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32.xml" ContentType="application/vnd.openxmlformats-officedocument.spreadsheetml.worksheet+xml"/>
  <Override PartName="/xl/worksheets/sheet31.xml" ContentType="application/vnd.openxmlformats-officedocument.spreadsheetml.worksheet+xml"/>
  <Override PartName="/xl/worksheets/sheet30.xml" ContentType="application/vnd.openxmlformats-officedocument.spreadsheetml.worksheet+xml"/>
  <Override PartName="/xl/worksheets/sheet29.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calcChain.xml" ContentType="application/vnd.openxmlformats-officedocument.spreadsheetml.calcChain+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CHENG191\Desktop\生產日報(工廠寄)\JFM 井上\晉欣\"/>
    </mc:Choice>
  </mc:AlternateContent>
  <bookViews>
    <workbookView xWindow="0" yWindow="0" windowWidth="14490" windowHeight="11640" tabRatio="924" firstSheet="11" activeTab="13"/>
  </bookViews>
  <sheets>
    <sheet name="填寫舉例" sheetId="1" state="hidden" r:id="rId1"/>
    <sheet name="生產管理報表(月)" sheetId="13" r:id="rId2"/>
    <sheet name="生產管理報表(週) " sheetId="39" state="hidden" r:id="rId3"/>
    <sheet name="（１）收支狀況" sheetId="3" r:id="rId4"/>
    <sheet name="（２）ＫＰＩ達成進度" sheetId="5" r:id="rId5"/>
    <sheet name="（３）業績構成比" sheetId="7" r:id="rId6"/>
    <sheet name="（４）訂單數量構成比" sheetId="6" r:id="rId7"/>
    <sheet name="（５-1）品群別人時生產性（18℃-飯糰）" sheetId="8" r:id="rId8"/>
    <sheet name="（５-2）品群別人時生產性（18-壽司手卷)" sheetId="30" r:id="rId9"/>
    <sheet name="（５-3）品群別人時生產性（4℃-飯糰)" sheetId="32" r:id="rId10"/>
    <sheet name="（５-4）品群別人時生產性（4℃-壽司手卷)" sheetId="31" r:id="rId11"/>
    <sheet name="（５-5）品群別人時生產性(主食) " sheetId="33" r:id="rId12"/>
    <sheet name="（５-6）品群別人時生產性(便當)" sheetId="34" r:id="rId13"/>
    <sheet name="（５-7）品群別人時生產性(熱食義麵) " sheetId="35" r:id="rId14"/>
    <sheet name="（５-8）品群別人時生產性(季節調理麵) " sheetId="36" r:id="rId15"/>
    <sheet name="（５-9）品群別人時生產性(微波小吃)" sheetId="37" r:id="rId16"/>
    <sheet name="生產管理報表 6-1" sheetId="15" r:id="rId17"/>
    <sheet name="生產管理報表 6-2" sheetId="22" r:id="rId18"/>
    <sheet name="生產管理報表 6-3" sheetId="23" r:id="rId19"/>
    <sheet name="生產管理報表 6-4" sheetId="24" r:id="rId20"/>
    <sheet name="生產管理報表 6-5" sheetId="25" r:id="rId21"/>
    <sheet name="生產管理報表 7-1(月)" sheetId="40" state="hidden" r:id="rId22"/>
    <sheet name="生產管理報表 7-1 (週)" sheetId="41" r:id="rId23"/>
    <sheet name="生產管理報表 8-1(報廢)" sheetId="19" r:id="rId24"/>
    <sheet name="生產管理報表 8-2(報廢)" sheetId="20" r:id="rId25"/>
    <sheet name="生產管理報表 8-3(超用)" sheetId="44" r:id="rId26"/>
    <sheet name="生產管理報表 8-4(超用)" sheetId="45" r:id="rId27"/>
    <sheet name="生產管理報表 9" sheetId="21" r:id="rId28"/>
    <sheet name="報廢20大－原因別分析" sheetId="46" r:id="rId29"/>
    <sheet name="超用20大－原因別分析" sheetId="47" r:id="rId30"/>
    <sheet name="日別報廢率總表  " sheetId="48" r:id="rId31"/>
    <sheet name="鮮食品群番" sheetId="38" state="hidden" r:id="rId32"/>
  </sheets>
  <externalReferences>
    <externalReference r:id="rId33"/>
    <externalReference r:id="rId34"/>
    <externalReference r:id="rId35"/>
  </externalReferences>
  <definedNames>
    <definedName name="_xlnm._FilterDatabase" localSheetId="7" hidden="1">'（５-1）品群別人時生產性（18℃-飯糰）'!#REF!</definedName>
    <definedName name="_xlnm._FilterDatabase" localSheetId="8" hidden="1">'（５-2）品群別人時生產性（18-壽司手卷)'!#REF!</definedName>
    <definedName name="_xlnm._FilterDatabase" localSheetId="9" hidden="1">'（５-3）品群別人時生產性（4℃-飯糰)'!#REF!</definedName>
    <definedName name="_xlnm._FilterDatabase" localSheetId="10" hidden="1">'（５-4）品群別人時生產性（4℃-壽司手卷)'!#REF!</definedName>
    <definedName name="_xlnm._FilterDatabase" localSheetId="11" hidden="1">'（５-5）品群別人時生產性(主食) '!#REF!</definedName>
    <definedName name="_xlnm._FilterDatabase" localSheetId="12" hidden="1">'（５-6）品群別人時生產性(便當)'!#REF!</definedName>
    <definedName name="_xlnm._FilterDatabase" localSheetId="13" hidden="1">'（５-7）品群別人時生產性(熱食義麵) '!#REF!</definedName>
    <definedName name="_xlnm._FilterDatabase" localSheetId="14" hidden="1">'（５-8）品群別人時生產性(季節調理麵) '!#REF!</definedName>
    <definedName name="_xlnm._FilterDatabase" localSheetId="15" hidden="1">'（５-9）品群別人時生產性(微波小吃)'!#REF!</definedName>
    <definedName name="_xlnm._FilterDatabase" localSheetId="25" hidden="1">'生產管理報表 8-3(超用)'!$R$24:$W$28</definedName>
    <definedName name="_xlnm._FilterDatabase" localSheetId="26" hidden="1">'生產管理報表 8-4(超用)'!$R$24:$W$29</definedName>
    <definedName name="_xlnm._FilterDatabase" localSheetId="28" hidden="1">'報廢20大－原因別分析'!$U$7:$U$26</definedName>
    <definedName name="_xlnm._FilterDatabase" localSheetId="29" hidden="1">'超用20大－原因別分析'!$U$7:$U$26</definedName>
    <definedName name="_xlnm.Print_Area" localSheetId="16">'生產管理報表 6-1'!$A$1:$L$35</definedName>
    <definedName name="_xlnm.Print_Area" localSheetId="17">'生產管理報表 6-2'!$A$1:$L$35</definedName>
    <definedName name="_xlnm.Print_Area" localSheetId="18">'生產管理報表 6-3'!$A$1:$L$35</definedName>
    <definedName name="_xlnm.Print_Area" localSheetId="19">'生產管理報表 6-4'!$A$1:$L$35</definedName>
    <definedName name="_xlnm.Print_Area" localSheetId="20">'生產管理報表 6-5'!$A$1:$L$35</definedName>
    <definedName name="_xlnm.Print_Area" localSheetId="22">'生產管理報表 7-1 (週)'!$A$1:$M$2</definedName>
    <definedName name="_xlnm.Print_Area" localSheetId="21">'生產管理報表 7-1(月)'!$A$1:$M$15</definedName>
    <definedName name="_xlnm.Print_Area" localSheetId="25">'生產管理報表 8-3(超用)'!$A$1:$Q$30</definedName>
    <definedName name="_xlnm.Print_Area" localSheetId="26">'生產管理報表 8-4(超用)'!$A$1:$Q$38</definedName>
    <definedName name="_xlnm.Print_Area" localSheetId="27">'生產管理報表 9'!#REF!</definedName>
    <definedName name="_xlnm.Print_Area" localSheetId="1">'生產管理報表(月)'!$A$1:$K$36</definedName>
    <definedName name="_xlnm.Print_Area" localSheetId="2">'生產管理報表(週) '!$A$1:$K$36</definedName>
    <definedName name="_xlnm.Print_Area" localSheetId="31">鮮食品群番!$B$2:$F$20</definedName>
  </definedNames>
  <calcPr calcId="162913"/>
</workbook>
</file>

<file path=xl/calcChain.xml><?xml version="1.0" encoding="utf-8"?>
<calcChain xmlns="http://schemas.openxmlformats.org/spreadsheetml/2006/main">
  <c r="X121" i="37" l="1"/>
  <c r="S121" i="37"/>
  <c r="X120" i="37"/>
  <c r="S120" i="37"/>
  <c r="X119" i="37"/>
  <c r="S119" i="37"/>
  <c r="X118" i="37"/>
  <c r="S118" i="37"/>
  <c r="X117" i="37"/>
  <c r="S117" i="37"/>
  <c r="X116" i="37"/>
  <c r="S116" i="37"/>
  <c r="X115" i="37"/>
  <c r="S115" i="37"/>
  <c r="X114" i="37"/>
  <c r="S114" i="37"/>
  <c r="K114" i="37"/>
  <c r="J114" i="37"/>
  <c r="I114" i="37"/>
  <c r="X113" i="37"/>
  <c r="S113" i="37"/>
  <c r="K113" i="37"/>
  <c r="J113" i="37"/>
  <c r="I113" i="37"/>
  <c r="X112" i="37"/>
  <c r="S112" i="37"/>
  <c r="K112" i="37"/>
  <c r="M112" i="37" s="1"/>
  <c r="J112" i="37"/>
  <c r="I112" i="37"/>
  <c r="X111" i="37"/>
  <c r="S111" i="37"/>
  <c r="K111" i="37"/>
  <c r="J111" i="37"/>
  <c r="I111" i="37"/>
  <c r="X110" i="37"/>
  <c r="S110" i="37"/>
  <c r="K110" i="37"/>
  <c r="L107" i="37" s="1"/>
  <c r="J110" i="37"/>
  <c r="I110" i="37"/>
  <c r="X109" i="37"/>
  <c r="S109" i="37"/>
  <c r="K109" i="37"/>
  <c r="J109" i="37"/>
  <c r="I109" i="37"/>
  <c r="X108" i="37"/>
  <c r="S108" i="37"/>
  <c r="K108" i="37"/>
  <c r="J108" i="37"/>
  <c r="I108" i="37"/>
  <c r="Y107" i="37"/>
  <c r="X107" i="37"/>
  <c r="T107" i="37"/>
  <c r="S107" i="37"/>
  <c r="K107" i="37"/>
  <c r="J107" i="37"/>
  <c r="I107" i="37"/>
  <c r="H107" i="37"/>
  <c r="X121" i="36"/>
  <c r="S121" i="36"/>
  <c r="X120" i="36"/>
  <c r="S120" i="36"/>
  <c r="X119" i="36"/>
  <c r="S119" i="36"/>
  <c r="X118" i="36"/>
  <c r="S118" i="36"/>
  <c r="X117" i="36"/>
  <c r="S117" i="36"/>
  <c r="X116" i="36"/>
  <c r="S116" i="36"/>
  <c r="X115" i="36"/>
  <c r="S115" i="36"/>
  <c r="X114" i="36"/>
  <c r="S114" i="36"/>
  <c r="X113" i="36"/>
  <c r="S113" i="36"/>
  <c r="X112" i="36"/>
  <c r="S112" i="36"/>
  <c r="X111" i="36"/>
  <c r="S111" i="36"/>
  <c r="K111" i="36"/>
  <c r="J111" i="36"/>
  <c r="I111" i="36"/>
  <c r="X110" i="36"/>
  <c r="S110" i="36"/>
  <c r="K110" i="36"/>
  <c r="J110" i="36"/>
  <c r="I110" i="36"/>
  <c r="X109" i="36"/>
  <c r="S109" i="36"/>
  <c r="K109" i="36"/>
  <c r="J109" i="36"/>
  <c r="I109" i="36"/>
  <c r="X108" i="36"/>
  <c r="S108" i="36"/>
  <c r="K108" i="36"/>
  <c r="J108" i="36"/>
  <c r="I108" i="36"/>
  <c r="Y107" i="36"/>
  <c r="X107" i="36"/>
  <c r="T107" i="36"/>
  <c r="S107" i="36"/>
  <c r="K107" i="36"/>
  <c r="M119" i="36" s="1"/>
  <c r="J107" i="36"/>
  <c r="I107" i="36"/>
  <c r="H107" i="36"/>
  <c r="X121" i="35"/>
  <c r="S121" i="35"/>
  <c r="X120" i="35"/>
  <c r="S120" i="35"/>
  <c r="X119" i="35"/>
  <c r="S119" i="35"/>
  <c r="X118" i="35"/>
  <c r="S118" i="35"/>
  <c r="X117" i="35"/>
  <c r="S117" i="35"/>
  <c r="X116" i="35"/>
  <c r="S116" i="35"/>
  <c r="X115" i="35"/>
  <c r="S115" i="35"/>
  <c r="K115" i="35"/>
  <c r="J115" i="35"/>
  <c r="I115" i="35"/>
  <c r="X114" i="35"/>
  <c r="S114" i="35"/>
  <c r="K114" i="35"/>
  <c r="J114" i="35"/>
  <c r="I114" i="35"/>
  <c r="X113" i="35"/>
  <c r="S113" i="35"/>
  <c r="K113" i="35"/>
  <c r="J113" i="35"/>
  <c r="I113" i="35"/>
  <c r="X112" i="35"/>
  <c r="S112" i="35"/>
  <c r="K112" i="35"/>
  <c r="J112" i="35"/>
  <c r="I112" i="35"/>
  <c r="X111" i="35"/>
  <c r="S111" i="35"/>
  <c r="K111" i="35"/>
  <c r="J111" i="35"/>
  <c r="I111" i="35"/>
  <c r="X110" i="35"/>
  <c r="S110" i="35"/>
  <c r="K110" i="35"/>
  <c r="J110" i="35"/>
  <c r="I110" i="35"/>
  <c r="X109" i="35"/>
  <c r="S109" i="35"/>
  <c r="K109" i="35"/>
  <c r="J109" i="35"/>
  <c r="I109" i="35"/>
  <c r="X108" i="35"/>
  <c r="S108" i="35"/>
  <c r="K108" i="35"/>
  <c r="J108" i="35"/>
  <c r="I108" i="35"/>
  <c r="Y107" i="35"/>
  <c r="X107" i="35"/>
  <c r="T107" i="35"/>
  <c r="S107" i="35"/>
  <c r="K107" i="35"/>
  <c r="J107" i="35"/>
  <c r="I107" i="35"/>
  <c r="H107" i="35"/>
  <c r="X121" i="34"/>
  <c r="S121" i="34"/>
  <c r="X120" i="34"/>
  <c r="S120" i="34"/>
  <c r="X119" i="34"/>
  <c r="S119" i="34"/>
  <c r="X118" i="34"/>
  <c r="S118" i="34"/>
  <c r="X117" i="34"/>
  <c r="S117" i="34"/>
  <c r="K117" i="34"/>
  <c r="J117" i="34"/>
  <c r="I117" i="34"/>
  <c r="X116" i="34"/>
  <c r="S116" i="34"/>
  <c r="K116" i="34"/>
  <c r="J116" i="34"/>
  <c r="I116" i="34"/>
  <c r="X115" i="34"/>
  <c r="S115" i="34"/>
  <c r="K115" i="34"/>
  <c r="J115" i="34"/>
  <c r="I115" i="34"/>
  <c r="X114" i="34"/>
  <c r="S114" i="34"/>
  <c r="K114" i="34"/>
  <c r="J114" i="34"/>
  <c r="I114" i="34"/>
  <c r="X113" i="34"/>
  <c r="S113" i="34"/>
  <c r="K113" i="34"/>
  <c r="J113" i="34"/>
  <c r="I113" i="34"/>
  <c r="X112" i="34"/>
  <c r="S112" i="34"/>
  <c r="K112" i="34"/>
  <c r="M112" i="34" s="1"/>
  <c r="J112" i="34"/>
  <c r="I112" i="34"/>
  <c r="X111" i="34"/>
  <c r="S111" i="34"/>
  <c r="K111" i="34"/>
  <c r="J111" i="34"/>
  <c r="I111" i="34"/>
  <c r="X110" i="34"/>
  <c r="S110" i="34"/>
  <c r="K110" i="34"/>
  <c r="J110" i="34"/>
  <c r="I110" i="34"/>
  <c r="X109" i="34"/>
  <c r="S109" i="34"/>
  <c r="K109" i="34"/>
  <c r="J109" i="34"/>
  <c r="I109" i="34"/>
  <c r="X108" i="34"/>
  <c r="S108" i="34"/>
  <c r="K108" i="34"/>
  <c r="J108" i="34"/>
  <c r="I108" i="34"/>
  <c r="Y107" i="34"/>
  <c r="X107" i="34"/>
  <c r="T107" i="34"/>
  <c r="S107" i="34"/>
  <c r="K107" i="34"/>
  <c r="J107" i="34"/>
  <c r="I107" i="34"/>
  <c r="H107" i="34"/>
  <c r="X211" i="33"/>
  <c r="S211" i="33"/>
  <c r="G211" i="33"/>
  <c r="F211" i="33"/>
  <c r="E211" i="33"/>
  <c r="X210" i="33"/>
  <c r="S210" i="33"/>
  <c r="G210" i="33"/>
  <c r="H182" i="33" s="1"/>
  <c r="F210" i="33"/>
  <c r="E210" i="33"/>
  <c r="S209" i="33"/>
  <c r="K209" i="33"/>
  <c r="J209" i="33"/>
  <c r="I209" i="33"/>
  <c r="X208" i="33"/>
  <c r="S208" i="33"/>
  <c r="K208" i="33"/>
  <c r="M208" i="33" s="1"/>
  <c r="J208" i="33"/>
  <c r="I208" i="33"/>
  <c r="S207" i="33"/>
  <c r="K207" i="33"/>
  <c r="J207" i="33"/>
  <c r="I207" i="33"/>
  <c r="X206" i="33"/>
  <c r="S206" i="33"/>
  <c r="K206" i="33"/>
  <c r="J206" i="33"/>
  <c r="I206" i="33"/>
  <c r="S205" i="33"/>
  <c r="K205" i="33"/>
  <c r="J205" i="33"/>
  <c r="I205" i="33"/>
  <c r="X204" i="33"/>
  <c r="S204" i="33"/>
  <c r="K204" i="33"/>
  <c r="J204" i="33"/>
  <c r="I204" i="33"/>
  <c r="S203" i="33"/>
  <c r="K203" i="33"/>
  <c r="J203" i="33"/>
  <c r="I203" i="33"/>
  <c r="X202" i="33"/>
  <c r="S202" i="33"/>
  <c r="K202" i="33"/>
  <c r="J202" i="33"/>
  <c r="I202" i="33"/>
  <c r="S201" i="33"/>
  <c r="K201" i="33"/>
  <c r="J201" i="33"/>
  <c r="I201" i="33"/>
  <c r="X200" i="33"/>
  <c r="S200" i="33"/>
  <c r="K200" i="33"/>
  <c r="J200" i="33"/>
  <c r="I200" i="33"/>
  <c r="S199" i="33"/>
  <c r="K199" i="33"/>
  <c r="J199" i="33"/>
  <c r="I199" i="33"/>
  <c r="X198" i="33"/>
  <c r="S198" i="33"/>
  <c r="K198" i="33"/>
  <c r="J198" i="33"/>
  <c r="I198" i="33"/>
  <c r="S197" i="33"/>
  <c r="K197" i="33"/>
  <c r="J197" i="33"/>
  <c r="I197" i="33"/>
  <c r="X196" i="33"/>
  <c r="S196" i="33"/>
  <c r="K196" i="33"/>
  <c r="J196" i="33"/>
  <c r="I196" i="33"/>
  <c r="S195" i="33"/>
  <c r="K195" i="33"/>
  <c r="J195" i="33"/>
  <c r="I195" i="33"/>
  <c r="X194" i="33"/>
  <c r="S194" i="33"/>
  <c r="K194" i="33"/>
  <c r="J194" i="33"/>
  <c r="I194" i="33"/>
  <c r="S193" i="33"/>
  <c r="K193" i="33"/>
  <c r="J193" i="33"/>
  <c r="I193" i="33"/>
  <c r="X192" i="33"/>
  <c r="S192" i="33"/>
  <c r="K192" i="33"/>
  <c r="J192" i="33"/>
  <c r="I192" i="33"/>
  <c r="S191" i="33"/>
  <c r="K191" i="33"/>
  <c r="J191" i="33"/>
  <c r="I191" i="33"/>
  <c r="X190" i="33"/>
  <c r="S190" i="33"/>
  <c r="K190" i="33"/>
  <c r="J190" i="33"/>
  <c r="I190" i="33"/>
  <c r="S189" i="33"/>
  <c r="K189" i="33"/>
  <c r="J189" i="33"/>
  <c r="I189" i="33"/>
  <c r="X188" i="33"/>
  <c r="S188" i="33"/>
  <c r="K188" i="33"/>
  <c r="J188" i="33"/>
  <c r="I188" i="33"/>
  <c r="S187" i="33"/>
  <c r="K187" i="33"/>
  <c r="J187" i="33"/>
  <c r="I187" i="33"/>
  <c r="X186" i="33"/>
  <c r="S186" i="33"/>
  <c r="K186" i="33"/>
  <c r="J186" i="33"/>
  <c r="I186" i="33"/>
  <c r="S185" i="33"/>
  <c r="K185" i="33"/>
  <c r="J185" i="33"/>
  <c r="I185" i="33"/>
  <c r="X184" i="33"/>
  <c r="S184" i="33"/>
  <c r="K184" i="33"/>
  <c r="M184" i="33" s="1"/>
  <c r="J184" i="33"/>
  <c r="I184" i="33"/>
  <c r="S183" i="33"/>
  <c r="K183" i="33"/>
  <c r="J183" i="33"/>
  <c r="I183" i="33"/>
  <c r="Y182" i="33"/>
  <c r="X182" i="33"/>
  <c r="S182" i="33"/>
  <c r="K182" i="33"/>
  <c r="J182" i="33"/>
  <c r="I182" i="33"/>
  <c r="X121" i="32"/>
  <c r="S121" i="32"/>
  <c r="X120" i="32"/>
  <c r="S120" i="32"/>
  <c r="X119" i="32"/>
  <c r="S119" i="32"/>
  <c r="X118" i="32"/>
  <c r="S118" i="32"/>
  <c r="X117" i="32"/>
  <c r="S117" i="32"/>
  <c r="K117" i="32"/>
  <c r="M117" i="32" s="1"/>
  <c r="J117" i="32"/>
  <c r="I117" i="32"/>
  <c r="X116" i="32"/>
  <c r="S116" i="32"/>
  <c r="K116" i="32"/>
  <c r="M116" i="32" s="1"/>
  <c r="J116" i="32"/>
  <c r="I116" i="32"/>
  <c r="X115" i="32"/>
  <c r="S115" i="32"/>
  <c r="K115" i="32"/>
  <c r="M115" i="32" s="1"/>
  <c r="J115" i="32"/>
  <c r="I115" i="32"/>
  <c r="X114" i="32"/>
  <c r="S114" i="32"/>
  <c r="K114" i="32"/>
  <c r="J114" i="32"/>
  <c r="I114" i="32"/>
  <c r="X113" i="32"/>
  <c r="S113" i="32"/>
  <c r="K113" i="32"/>
  <c r="M112" i="32" s="1"/>
  <c r="J113" i="32"/>
  <c r="I113" i="32"/>
  <c r="X112" i="32"/>
  <c r="S112" i="32"/>
  <c r="K112" i="32"/>
  <c r="J112" i="32"/>
  <c r="I112" i="32"/>
  <c r="X111" i="32"/>
  <c r="S111" i="32"/>
  <c r="K111" i="32"/>
  <c r="M111" i="32" s="1"/>
  <c r="J111" i="32"/>
  <c r="I111" i="32"/>
  <c r="X110" i="32"/>
  <c r="S110" i="32"/>
  <c r="K110" i="32"/>
  <c r="M114" i="32" s="1"/>
  <c r="J110" i="32"/>
  <c r="I110" i="32"/>
  <c r="X109" i="32"/>
  <c r="S109" i="32"/>
  <c r="K109" i="32"/>
  <c r="J109" i="32"/>
  <c r="I109" i="32"/>
  <c r="X108" i="32"/>
  <c r="S108" i="32"/>
  <c r="K108" i="32"/>
  <c r="J108" i="32"/>
  <c r="I108" i="32"/>
  <c r="Y107" i="32"/>
  <c r="X107" i="32"/>
  <c r="T107" i="32"/>
  <c r="S107" i="32"/>
  <c r="K107" i="32"/>
  <c r="M118" i="32" s="1"/>
  <c r="J107" i="32"/>
  <c r="I107" i="32"/>
  <c r="H107" i="32"/>
  <c r="M110" i="30"/>
  <c r="X121" i="30"/>
  <c r="S121" i="30"/>
  <c r="X120" i="30"/>
  <c r="S120" i="30"/>
  <c r="X119" i="30"/>
  <c r="S119" i="30"/>
  <c r="X118" i="30"/>
  <c r="S118" i="30"/>
  <c r="X117" i="30"/>
  <c r="S117" i="30"/>
  <c r="X116" i="30"/>
  <c r="S116" i="30"/>
  <c r="X115" i="30"/>
  <c r="S115" i="30"/>
  <c r="X114" i="30"/>
  <c r="S114" i="30"/>
  <c r="X113" i="30"/>
  <c r="S113" i="30"/>
  <c r="K113" i="30"/>
  <c r="M113" i="30" s="1"/>
  <c r="J113" i="30"/>
  <c r="I113" i="30"/>
  <c r="X112" i="30"/>
  <c r="S112" i="30"/>
  <c r="K112" i="30"/>
  <c r="M112" i="30" s="1"/>
  <c r="J112" i="30"/>
  <c r="I112" i="30"/>
  <c r="X111" i="30"/>
  <c r="S111" i="30"/>
  <c r="K111" i="30"/>
  <c r="J111" i="30"/>
  <c r="I111" i="30"/>
  <c r="X110" i="30"/>
  <c r="S110" i="30"/>
  <c r="K110" i="30"/>
  <c r="J110" i="30"/>
  <c r="I110" i="30"/>
  <c r="X109" i="30"/>
  <c r="S109" i="30"/>
  <c r="K109" i="30"/>
  <c r="M109" i="30" s="1"/>
  <c r="J109" i="30"/>
  <c r="I109" i="30"/>
  <c r="X108" i="30"/>
  <c r="S108" i="30"/>
  <c r="K108" i="30"/>
  <c r="M111" i="30" s="1"/>
  <c r="J108" i="30"/>
  <c r="I108" i="30"/>
  <c r="Y107" i="30"/>
  <c r="X107" i="30"/>
  <c r="T107" i="30"/>
  <c r="S107" i="30"/>
  <c r="K107" i="30"/>
  <c r="M115" i="30" s="1"/>
  <c r="J107" i="30"/>
  <c r="I107" i="30"/>
  <c r="H107" i="30"/>
  <c r="X211" i="8"/>
  <c r="X210" i="8"/>
  <c r="X209" i="8"/>
  <c r="X208" i="8"/>
  <c r="X207" i="8"/>
  <c r="X206" i="8"/>
  <c r="X205" i="8"/>
  <c r="X204" i="8"/>
  <c r="X203" i="8"/>
  <c r="X202" i="8"/>
  <c r="X201" i="8"/>
  <c r="X200" i="8"/>
  <c r="X199" i="8"/>
  <c r="X198" i="8"/>
  <c r="X197" i="8"/>
  <c r="X196" i="8"/>
  <c r="X195" i="8"/>
  <c r="X194" i="8"/>
  <c r="X193" i="8"/>
  <c r="X192" i="8"/>
  <c r="X191" i="8"/>
  <c r="X190" i="8"/>
  <c r="X189" i="8"/>
  <c r="X188" i="8"/>
  <c r="X187" i="8"/>
  <c r="X186" i="8"/>
  <c r="X185" i="8"/>
  <c r="X184" i="8"/>
  <c r="X183" i="8"/>
  <c r="X182" i="8"/>
  <c r="S211" i="8"/>
  <c r="S210" i="8"/>
  <c r="S209" i="8"/>
  <c r="S208" i="8"/>
  <c r="S207" i="8"/>
  <c r="S206" i="8"/>
  <c r="S205" i="8"/>
  <c r="S204" i="8"/>
  <c r="S203" i="8"/>
  <c r="S202" i="8"/>
  <c r="S201" i="8"/>
  <c r="S200" i="8"/>
  <c r="S199" i="8"/>
  <c r="S198" i="8"/>
  <c r="S197" i="8"/>
  <c r="S196" i="8"/>
  <c r="S195" i="8"/>
  <c r="S194" i="8"/>
  <c r="S193" i="8"/>
  <c r="S192" i="8"/>
  <c r="S191" i="8"/>
  <c r="S190" i="8"/>
  <c r="S189" i="8"/>
  <c r="S188" i="8"/>
  <c r="S187" i="8"/>
  <c r="S186" i="8"/>
  <c r="S185" i="8"/>
  <c r="S184" i="8"/>
  <c r="S183" i="8"/>
  <c r="S182" i="8"/>
  <c r="G211" i="8"/>
  <c r="F211" i="8"/>
  <c r="E211" i="8"/>
  <c r="G210" i="8"/>
  <c r="F210" i="8"/>
  <c r="E210" i="8"/>
  <c r="G209" i="8"/>
  <c r="F209" i="8"/>
  <c r="E209" i="8"/>
  <c r="G208" i="8"/>
  <c r="F208" i="8"/>
  <c r="E208" i="8"/>
  <c r="G207" i="8"/>
  <c r="F207" i="8"/>
  <c r="E207" i="8"/>
  <c r="G206" i="8"/>
  <c r="F206" i="8"/>
  <c r="E206" i="8"/>
  <c r="G205" i="8"/>
  <c r="F205" i="8"/>
  <c r="E205" i="8"/>
  <c r="G204" i="8"/>
  <c r="F204" i="8"/>
  <c r="E204" i="8"/>
  <c r="G203" i="8"/>
  <c r="F203" i="8"/>
  <c r="E203" i="8"/>
  <c r="J202" i="8"/>
  <c r="I202" i="8"/>
  <c r="K201" i="8"/>
  <c r="J201" i="8"/>
  <c r="I201" i="8"/>
  <c r="K200" i="8"/>
  <c r="J200" i="8"/>
  <c r="I200" i="8"/>
  <c r="K199" i="8"/>
  <c r="J199" i="8"/>
  <c r="I199" i="8"/>
  <c r="K198" i="8"/>
  <c r="J198" i="8"/>
  <c r="I198" i="8"/>
  <c r="K197" i="8"/>
  <c r="J197" i="8"/>
  <c r="I197" i="8"/>
  <c r="K196" i="8"/>
  <c r="J196" i="8"/>
  <c r="I196" i="8"/>
  <c r="K195" i="8"/>
  <c r="J195" i="8"/>
  <c r="I195" i="8"/>
  <c r="K194" i="8"/>
  <c r="J194" i="8"/>
  <c r="I194" i="8"/>
  <c r="K193" i="8"/>
  <c r="J193" i="8"/>
  <c r="I193" i="8"/>
  <c r="K192" i="8"/>
  <c r="J192" i="8"/>
  <c r="I192" i="8"/>
  <c r="K191" i="8"/>
  <c r="J191" i="8"/>
  <c r="I191" i="8"/>
  <c r="K190" i="8"/>
  <c r="J190" i="8"/>
  <c r="I190" i="8"/>
  <c r="K189" i="8"/>
  <c r="J189" i="8"/>
  <c r="I189" i="8"/>
  <c r="K188" i="8"/>
  <c r="J188" i="8"/>
  <c r="I188" i="8"/>
  <c r="K187" i="8"/>
  <c r="J187" i="8"/>
  <c r="I187" i="8"/>
  <c r="K186" i="8"/>
  <c r="J186" i="8"/>
  <c r="I186" i="8"/>
  <c r="K185" i="8"/>
  <c r="J185" i="8"/>
  <c r="I185" i="8"/>
  <c r="K184" i="8"/>
  <c r="J184" i="8"/>
  <c r="I184" i="8"/>
  <c r="K183" i="8"/>
  <c r="J183" i="8"/>
  <c r="I183" i="8"/>
  <c r="Y182" i="8"/>
  <c r="K182" i="8"/>
  <c r="J182" i="8"/>
  <c r="I182" i="8"/>
  <c r="M117" i="30" l="1"/>
  <c r="M107" i="32"/>
  <c r="M119" i="32"/>
  <c r="M111" i="34"/>
  <c r="M118" i="30"/>
  <c r="M108" i="32"/>
  <c r="M120" i="32"/>
  <c r="M183" i="33"/>
  <c r="M191" i="33"/>
  <c r="M199" i="33"/>
  <c r="M207" i="33"/>
  <c r="M119" i="34"/>
  <c r="M116" i="34"/>
  <c r="M111" i="37"/>
  <c r="M107" i="30"/>
  <c r="M119" i="30"/>
  <c r="M109" i="32"/>
  <c r="M121" i="32"/>
  <c r="M186" i="33"/>
  <c r="M194" i="33"/>
  <c r="M202" i="33"/>
  <c r="L107" i="34"/>
  <c r="M109" i="34"/>
  <c r="M120" i="37"/>
  <c r="M211" i="33"/>
  <c r="M108" i="30"/>
  <c r="M120" i="30"/>
  <c r="M110" i="32"/>
  <c r="M114" i="34"/>
  <c r="M109" i="37"/>
  <c r="M192" i="33"/>
  <c r="M121" i="30"/>
  <c r="M189" i="33"/>
  <c r="M197" i="33"/>
  <c r="M205" i="33"/>
  <c r="M114" i="37"/>
  <c r="M117" i="34"/>
  <c r="H182" i="8"/>
  <c r="L182" i="33"/>
  <c r="M187" i="33"/>
  <c r="M195" i="33"/>
  <c r="M203" i="33"/>
  <c r="M110" i="34"/>
  <c r="M113" i="32"/>
  <c r="M190" i="33"/>
  <c r="M198" i="33"/>
  <c r="M206" i="33"/>
  <c r="M115" i="34"/>
  <c r="M110" i="37"/>
  <c r="M114" i="30"/>
  <c r="L107" i="32"/>
  <c r="M108" i="34"/>
  <c r="M200" i="33"/>
  <c r="M185" i="33"/>
  <c r="M193" i="33"/>
  <c r="M201" i="33"/>
  <c r="M209" i="33"/>
  <c r="M113" i="34"/>
  <c r="M119" i="37"/>
  <c r="L107" i="30"/>
  <c r="M116" i="30"/>
  <c r="M188" i="33"/>
  <c r="M196" i="33"/>
  <c r="M204" i="33"/>
  <c r="M113" i="37"/>
  <c r="M107" i="37"/>
  <c r="M108" i="37"/>
  <c r="M118" i="37"/>
  <c r="M117" i="37"/>
  <c r="M121" i="37"/>
  <c r="M116" i="37"/>
  <c r="M115" i="37"/>
  <c r="L107" i="36"/>
  <c r="M114" i="36"/>
  <c r="M118" i="36"/>
  <c r="M107" i="36"/>
  <c r="M108" i="36"/>
  <c r="M110" i="36"/>
  <c r="M113" i="36"/>
  <c r="M117" i="36"/>
  <c r="M121" i="36"/>
  <c r="M112" i="36"/>
  <c r="M116" i="36"/>
  <c r="M120" i="36"/>
  <c r="M109" i="36"/>
  <c r="M111" i="36"/>
  <c r="M115" i="36"/>
  <c r="L107" i="35"/>
  <c r="M118" i="34"/>
  <c r="M121" i="34"/>
  <c r="M120" i="34"/>
  <c r="M107" i="34"/>
  <c r="M182" i="33"/>
  <c r="T182" i="33"/>
  <c r="X183" i="33"/>
  <c r="X185" i="33"/>
  <c r="X187" i="33"/>
  <c r="X189" i="33"/>
  <c r="X191" i="33"/>
  <c r="X193" i="33"/>
  <c r="X195" i="33"/>
  <c r="X197" i="33"/>
  <c r="X199" i="33"/>
  <c r="X201" i="33"/>
  <c r="X203" i="33"/>
  <c r="X205" i="33"/>
  <c r="X207" i="33"/>
  <c r="X209" i="33"/>
  <c r="M210" i="33"/>
  <c r="K202" i="8"/>
  <c r="M190" i="8" s="1"/>
  <c r="T182" i="8"/>
  <c r="M205" i="8" l="1"/>
  <c r="M209" i="8"/>
  <c r="M196" i="8"/>
  <c r="M198" i="8"/>
  <c r="M208" i="8"/>
  <c r="M204" i="8"/>
  <c r="M194" i="8"/>
  <c r="M207" i="8"/>
  <c r="M203" i="8"/>
  <c r="M211" i="8"/>
  <c r="M188" i="8"/>
  <c r="M202" i="8"/>
  <c r="M193" i="8"/>
  <c r="M191" i="8"/>
  <c r="M189" i="8"/>
  <c r="M185" i="8"/>
  <c r="M183" i="8"/>
  <c r="M201" i="8"/>
  <c r="M199" i="8"/>
  <c r="M197" i="8"/>
  <c r="M195" i="8"/>
  <c r="M187" i="8"/>
  <c r="M182" i="8"/>
  <c r="M192" i="8"/>
  <c r="M210" i="8"/>
  <c r="M206" i="8"/>
  <c r="L182" i="8"/>
  <c r="M200" i="8"/>
  <c r="M184" i="8"/>
  <c r="M186" i="8"/>
  <c r="K36" i="48" l="1"/>
  <c r="I36" i="48"/>
  <c r="G36" i="48"/>
  <c r="E36" i="48"/>
  <c r="C36" i="48"/>
  <c r="L36" i="48" s="1"/>
  <c r="B36" i="48"/>
  <c r="F36" i="48" s="1"/>
  <c r="J36" i="48"/>
  <c r="H36" i="48"/>
  <c r="K35" i="48"/>
  <c r="L35" i="48" s="1"/>
  <c r="I35" i="48"/>
  <c r="G35" i="48"/>
  <c r="H35" i="48" s="1"/>
  <c r="E35" i="48"/>
  <c r="F35" i="48" s="1"/>
  <c r="C35" i="48"/>
  <c r="D35" i="48" s="1"/>
  <c r="B35" i="48"/>
  <c r="O33" i="48"/>
  <c r="N33" i="48"/>
  <c r="M33" i="48"/>
  <c r="O26" i="48"/>
  <c r="N26" i="48"/>
  <c r="M26" i="48"/>
  <c r="O19" i="48"/>
  <c r="N19" i="48"/>
  <c r="M19" i="48"/>
  <c r="O12" i="48"/>
  <c r="N12" i="48"/>
  <c r="M12" i="48"/>
  <c r="O5" i="48"/>
  <c r="N5" i="48"/>
  <c r="M5" i="48"/>
  <c r="A5" i="48"/>
  <c r="A6" i="48" s="1"/>
  <c r="A7" i="48" s="1"/>
  <c r="A8" i="48" s="1"/>
  <c r="A9" i="48" s="1"/>
  <c r="A10" i="48" s="1"/>
  <c r="A11" i="48" s="1"/>
  <c r="A12" i="48" s="1"/>
  <c r="A13" i="48" s="1"/>
  <c r="A14" i="48" s="1"/>
  <c r="A15" i="48" s="1"/>
  <c r="A16" i="48" s="1"/>
  <c r="A17" i="48" s="1"/>
  <c r="A18" i="48" s="1"/>
  <c r="A19" i="48" s="1"/>
  <c r="A20" i="48" s="1"/>
  <c r="A21" i="48" s="1"/>
  <c r="A22" i="48" s="1"/>
  <c r="A23" i="48" s="1"/>
  <c r="A24" i="48" s="1"/>
  <c r="A25" i="48" s="1"/>
  <c r="A26" i="48" s="1"/>
  <c r="A27" i="48" s="1"/>
  <c r="A28" i="48" s="1"/>
  <c r="A29" i="48" s="1"/>
  <c r="A30" i="48" s="1"/>
  <c r="A31" i="48" s="1"/>
  <c r="A32" i="48" s="1"/>
  <c r="A33" i="48" s="1"/>
  <c r="A34" i="48" s="1"/>
  <c r="O4" i="48"/>
  <c r="N4" i="48"/>
  <c r="M4" i="48"/>
  <c r="M14" i="41"/>
  <c r="I10" i="41"/>
  <c r="G10" i="41"/>
  <c r="I9" i="41"/>
  <c r="G9" i="41"/>
  <c r="C9" i="41"/>
  <c r="J35" i="48" l="1"/>
  <c r="D36" i="48"/>
  <c r="C10" i="41"/>
  <c r="AW101" i="37"/>
  <c r="AR101" i="37"/>
  <c r="AM101" i="37"/>
  <c r="AH101" i="37"/>
  <c r="AC101" i="37"/>
  <c r="X101" i="37"/>
  <c r="S101" i="37"/>
  <c r="AW100" i="37"/>
  <c r="AR100" i="37"/>
  <c r="AM100" i="37"/>
  <c r="AH100" i="37"/>
  <c r="AC100" i="37"/>
  <c r="X100" i="37"/>
  <c r="S100" i="37"/>
  <c r="AW99" i="37"/>
  <c r="AR99" i="37"/>
  <c r="AM99" i="37"/>
  <c r="AH99" i="37"/>
  <c r="AC99" i="37"/>
  <c r="X99" i="37"/>
  <c r="S99" i="37"/>
  <c r="AW98" i="37"/>
  <c r="AR98" i="37"/>
  <c r="AM98" i="37"/>
  <c r="AH98" i="37"/>
  <c r="AC98" i="37"/>
  <c r="X98" i="37"/>
  <c r="S98" i="37"/>
  <c r="AW97" i="37"/>
  <c r="AR97" i="37"/>
  <c r="AM97" i="37"/>
  <c r="AH97" i="37"/>
  <c r="AC97" i="37"/>
  <c r="X97" i="37"/>
  <c r="S97" i="37"/>
  <c r="AW96" i="37"/>
  <c r="AR96" i="37"/>
  <c r="AM96" i="37"/>
  <c r="AH96" i="37"/>
  <c r="AC96" i="37"/>
  <c r="X96" i="37"/>
  <c r="S96" i="37"/>
  <c r="AW95" i="37"/>
  <c r="AR95" i="37"/>
  <c r="AM95" i="37"/>
  <c r="AH95" i="37"/>
  <c r="AC95" i="37"/>
  <c r="X95" i="37"/>
  <c r="S95" i="37"/>
  <c r="AW94" i="37"/>
  <c r="AR94" i="37"/>
  <c r="AM94" i="37"/>
  <c r="AH94" i="37"/>
  <c r="AC94" i="37"/>
  <c r="X94" i="37"/>
  <c r="S94" i="37"/>
  <c r="K94" i="37"/>
  <c r="M94" i="37" s="1"/>
  <c r="J94" i="37"/>
  <c r="I94" i="37"/>
  <c r="AW93" i="37"/>
  <c r="AR93" i="37"/>
  <c r="AM93" i="37"/>
  <c r="AH93" i="37"/>
  <c r="AC93" i="37"/>
  <c r="X93" i="37"/>
  <c r="S93" i="37"/>
  <c r="K93" i="37"/>
  <c r="J93" i="37"/>
  <c r="I93" i="37"/>
  <c r="AW92" i="37"/>
  <c r="AR92" i="37"/>
  <c r="AM92" i="37"/>
  <c r="AH92" i="37"/>
  <c r="AC92" i="37"/>
  <c r="X92" i="37"/>
  <c r="S92" i="37"/>
  <c r="K92" i="37"/>
  <c r="J92" i="37"/>
  <c r="I92" i="37"/>
  <c r="AW91" i="37"/>
  <c r="AR91" i="37"/>
  <c r="AM91" i="37"/>
  <c r="AH91" i="37"/>
  <c r="AC91" i="37"/>
  <c r="X91" i="37"/>
  <c r="S91" i="37"/>
  <c r="K91" i="37"/>
  <c r="J91" i="37"/>
  <c r="I91" i="37"/>
  <c r="AW90" i="37"/>
  <c r="AR90" i="37"/>
  <c r="AM90" i="37"/>
  <c r="AH90" i="37"/>
  <c r="AC90" i="37"/>
  <c r="X90" i="37"/>
  <c r="S90" i="37"/>
  <c r="K90" i="37"/>
  <c r="J90" i="37"/>
  <c r="I90" i="37"/>
  <c r="AW89" i="37"/>
  <c r="AR89" i="37"/>
  <c r="AM89" i="37"/>
  <c r="AH89" i="37"/>
  <c r="AC89" i="37"/>
  <c r="X89" i="37"/>
  <c r="S89" i="37"/>
  <c r="K89" i="37"/>
  <c r="J89" i="37"/>
  <c r="I89" i="37"/>
  <c r="AW88" i="37"/>
  <c r="AR88" i="37"/>
  <c r="AM88" i="37"/>
  <c r="AH88" i="37"/>
  <c r="AC88" i="37"/>
  <c r="X88" i="37"/>
  <c r="S88" i="37"/>
  <c r="K88" i="37"/>
  <c r="J88" i="37"/>
  <c r="I88" i="37"/>
  <c r="AX87" i="37"/>
  <c r="AW87" i="37"/>
  <c r="AS87" i="37"/>
  <c r="AR87" i="37"/>
  <c r="AN87" i="37"/>
  <c r="AM87" i="37"/>
  <c r="AI87" i="37"/>
  <c r="AH87" i="37"/>
  <c r="AD87" i="37"/>
  <c r="AC87" i="37"/>
  <c r="Y87" i="37"/>
  <c r="X87" i="37"/>
  <c r="T87" i="37"/>
  <c r="S87" i="37"/>
  <c r="K87" i="37"/>
  <c r="J87" i="37"/>
  <c r="I87" i="37"/>
  <c r="H87" i="37"/>
  <c r="AW81" i="37"/>
  <c r="AR81" i="37"/>
  <c r="AM81" i="37"/>
  <c r="AH81" i="37"/>
  <c r="AC81" i="37"/>
  <c r="X81" i="37"/>
  <c r="S81" i="37"/>
  <c r="AW80" i="37"/>
  <c r="AR80" i="37"/>
  <c r="AM80" i="37"/>
  <c r="AH80" i="37"/>
  <c r="AC80" i="37"/>
  <c r="X80" i="37"/>
  <c r="S80" i="37"/>
  <c r="AW79" i="37"/>
  <c r="AR79" i="37"/>
  <c r="AM79" i="37"/>
  <c r="AH79" i="37"/>
  <c r="AC79" i="37"/>
  <c r="X79" i="37"/>
  <c r="S79" i="37"/>
  <c r="AW78" i="37"/>
  <c r="AR78" i="37"/>
  <c r="AM78" i="37"/>
  <c r="AH78" i="37"/>
  <c r="AC78" i="37"/>
  <c r="X78" i="37"/>
  <c r="S78" i="37"/>
  <c r="AW77" i="37"/>
  <c r="AR77" i="37"/>
  <c r="AM77" i="37"/>
  <c r="AH77" i="37"/>
  <c r="AC77" i="37"/>
  <c r="X77" i="37"/>
  <c r="S77" i="37"/>
  <c r="AW76" i="37"/>
  <c r="AR76" i="37"/>
  <c r="AM76" i="37"/>
  <c r="AH76" i="37"/>
  <c r="AC76" i="37"/>
  <c r="X76" i="37"/>
  <c r="S76" i="37"/>
  <c r="AW75" i="37"/>
  <c r="AR75" i="37"/>
  <c r="AM75" i="37"/>
  <c r="AH75" i="37"/>
  <c r="AC75" i="37"/>
  <c r="X75" i="37"/>
  <c r="S75" i="37"/>
  <c r="AW74" i="37"/>
  <c r="AR74" i="37"/>
  <c r="AM74" i="37"/>
  <c r="AH74" i="37"/>
  <c r="AC74" i="37"/>
  <c r="X74" i="37"/>
  <c r="S74" i="37"/>
  <c r="K74" i="37"/>
  <c r="J74" i="37"/>
  <c r="I74" i="37"/>
  <c r="AW73" i="37"/>
  <c r="AR73" i="37"/>
  <c r="AM73" i="37"/>
  <c r="AH73" i="37"/>
  <c r="AC73" i="37"/>
  <c r="X73" i="37"/>
  <c r="S73" i="37"/>
  <c r="K73" i="37"/>
  <c r="J73" i="37"/>
  <c r="I73" i="37"/>
  <c r="AW72" i="37"/>
  <c r="AR72" i="37"/>
  <c r="AM72" i="37"/>
  <c r="AH72" i="37"/>
  <c r="AC72" i="37"/>
  <c r="X72" i="37"/>
  <c r="S72" i="37"/>
  <c r="K72" i="37"/>
  <c r="J72" i="37"/>
  <c r="I72" i="37"/>
  <c r="AW71" i="37"/>
  <c r="AR71" i="37"/>
  <c r="AM71" i="37"/>
  <c r="AH71" i="37"/>
  <c r="AC71" i="37"/>
  <c r="X71" i="37"/>
  <c r="S71" i="37"/>
  <c r="K71" i="37"/>
  <c r="J71" i="37"/>
  <c r="I71" i="37"/>
  <c r="AW70" i="37"/>
  <c r="AR70" i="37"/>
  <c r="AM70" i="37"/>
  <c r="AH70" i="37"/>
  <c r="AC70" i="37"/>
  <c r="X70" i="37"/>
  <c r="S70" i="37"/>
  <c r="K70" i="37"/>
  <c r="J70" i="37"/>
  <c r="I70" i="37"/>
  <c r="AW69" i="37"/>
  <c r="AR69" i="37"/>
  <c r="AM69" i="37"/>
  <c r="AH69" i="37"/>
  <c r="AC69" i="37"/>
  <c r="X69" i="37"/>
  <c r="S69" i="37"/>
  <c r="K69" i="37"/>
  <c r="J69" i="37"/>
  <c r="I69" i="37"/>
  <c r="AW68" i="37"/>
  <c r="AR68" i="37"/>
  <c r="AM68" i="37"/>
  <c r="AH68" i="37"/>
  <c r="AC68" i="37"/>
  <c r="X68" i="37"/>
  <c r="S68" i="37"/>
  <c r="K68" i="37"/>
  <c r="J68" i="37"/>
  <c r="I68" i="37"/>
  <c r="AX67" i="37"/>
  <c r="AW67" i="37"/>
  <c r="AS67" i="37"/>
  <c r="AR67" i="37"/>
  <c r="AN67" i="37"/>
  <c r="AM67" i="37"/>
  <c r="AI67" i="37"/>
  <c r="AH67" i="37"/>
  <c r="AD67" i="37"/>
  <c r="AC67" i="37"/>
  <c r="Y67" i="37"/>
  <c r="X67" i="37"/>
  <c r="T67" i="37"/>
  <c r="S67" i="37"/>
  <c r="K67" i="37"/>
  <c r="M81" i="37" s="1"/>
  <c r="J67" i="37"/>
  <c r="I67" i="37"/>
  <c r="H67" i="37"/>
  <c r="AW61" i="37"/>
  <c r="AR61" i="37"/>
  <c r="AM61" i="37"/>
  <c r="AH61" i="37"/>
  <c r="AC61" i="37"/>
  <c r="X61" i="37"/>
  <c r="S61" i="37"/>
  <c r="AW60" i="37"/>
  <c r="AR60" i="37"/>
  <c r="AM60" i="37"/>
  <c r="AH60" i="37"/>
  <c r="AC60" i="37"/>
  <c r="X60" i="37"/>
  <c r="S60" i="37"/>
  <c r="AW59" i="37"/>
  <c r="AR59" i="37"/>
  <c r="AM59" i="37"/>
  <c r="AH59" i="37"/>
  <c r="AC59" i="37"/>
  <c r="X59" i="37"/>
  <c r="S59" i="37"/>
  <c r="AW58" i="37"/>
  <c r="AR58" i="37"/>
  <c r="AM58" i="37"/>
  <c r="AH58" i="37"/>
  <c r="AC58" i="37"/>
  <c r="X58" i="37"/>
  <c r="S58" i="37"/>
  <c r="AW57" i="37"/>
  <c r="AR57" i="37"/>
  <c r="AM57" i="37"/>
  <c r="AH57" i="37"/>
  <c r="AC57" i="37"/>
  <c r="X57" i="37"/>
  <c r="S57" i="37"/>
  <c r="AW56" i="37"/>
  <c r="AR56" i="37"/>
  <c r="AM56" i="37"/>
  <c r="AH56" i="37"/>
  <c r="AC56" i="37"/>
  <c r="X56" i="37"/>
  <c r="S56" i="37"/>
  <c r="AW55" i="37"/>
  <c r="AR55" i="37"/>
  <c r="AM55" i="37"/>
  <c r="AH55" i="37"/>
  <c r="AC55" i="37"/>
  <c r="X55" i="37"/>
  <c r="S55" i="37"/>
  <c r="AW54" i="37"/>
  <c r="AR54" i="37"/>
  <c r="AM54" i="37"/>
  <c r="AH54" i="37"/>
  <c r="AC54" i="37"/>
  <c r="X54" i="37"/>
  <c r="S54" i="37"/>
  <c r="K54" i="37"/>
  <c r="J54" i="37"/>
  <c r="I54" i="37"/>
  <c r="AW53" i="37"/>
  <c r="AR53" i="37"/>
  <c r="AM53" i="37"/>
  <c r="AH53" i="37"/>
  <c r="AC53" i="37"/>
  <c r="X53" i="37"/>
  <c r="S53" i="37"/>
  <c r="K53" i="37"/>
  <c r="J53" i="37"/>
  <c r="I53" i="37"/>
  <c r="AW52" i="37"/>
  <c r="AR52" i="37"/>
  <c r="AM52" i="37"/>
  <c r="AH52" i="37"/>
  <c r="AC52" i="37"/>
  <c r="X52" i="37"/>
  <c r="S52" i="37"/>
  <c r="K52" i="37"/>
  <c r="J52" i="37"/>
  <c r="I52" i="37"/>
  <c r="AW51" i="37"/>
  <c r="AR51" i="37"/>
  <c r="AM51" i="37"/>
  <c r="AH51" i="37"/>
  <c r="AC51" i="37"/>
  <c r="X51" i="37"/>
  <c r="S51" i="37"/>
  <c r="K51" i="37"/>
  <c r="J51" i="37"/>
  <c r="I51" i="37"/>
  <c r="AW50" i="37"/>
  <c r="AR50" i="37"/>
  <c r="AM50" i="37"/>
  <c r="AH50" i="37"/>
  <c r="AC50" i="37"/>
  <c r="X50" i="37"/>
  <c r="S50" i="37"/>
  <c r="K50" i="37"/>
  <c r="J50" i="37"/>
  <c r="I50" i="37"/>
  <c r="AW49" i="37"/>
  <c r="AR49" i="37"/>
  <c r="AM49" i="37"/>
  <c r="AH49" i="37"/>
  <c r="AC49" i="37"/>
  <c r="X49" i="37"/>
  <c r="S49" i="37"/>
  <c r="K49" i="37"/>
  <c r="J49" i="37"/>
  <c r="I49" i="37"/>
  <c r="AW48" i="37"/>
  <c r="AR48" i="37"/>
  <c r="AM48" i="37"/>
  <c r="AH48" i="37"/>
  <c r="AC48" i="37"/>
  <c r="X48" i="37"/>
  <c r="S48" i="37"/>
  <c r="K48" i="37"/>
  <c r="M51" i="37" s="1"/>
  <c r="J48" i="37"/>
  <c r="I48" i="37"/>
  <c r="AX47" i="37"/>
  <c r="AW47" i="37"/>
  <c r="AS47" i="37"/>
  <c r="AR47" i="37"/>
  <c r="AN47" i="37"/>
  <c r="AM47" i="37"/>
  <c r="AI47" i="37"/>
  <c r="AH47" i="37"/>
  <c r="AD47" i="37"/>
  <c r="AC47" i="37"/>
  <c r="Y47" i="37"/>
  <c r="X47" i="37"/>
  <c r="T47" i="37"/>
  <c r="S47" i="37"/>
  <c r="K47" i="37"/>
  <c r="J47" i="37"/>
  <c r="I47" i="37"/>
  <c r="H47" i="37"/>
  <c r="P42" i="37"/>
  <c r="P62" i="37" s="1"/>
  <c r="AW41" i="37"/>
  <c r="AR41" i="37"/>
  <c r="AM41" i="37"/>
  <c r="AH41" i="37"/>
  <c r="AC41" i="37"/>
  <c r="X41" i="37"/>
  <c r="S41" i="37"/>
  <c r="AW40" i="37"/>
  <c r="AR40" i="37"/>
  <c r="AM40" i="37"/>
  <c r="AH40" i="37"/>
  <c r="AC40" i="37"/>
  <c r="X40" i="37"/>
  <c r="S40" i="37"/>
  <c r="AW39" i="37"/>
  <c r="AR39" i="37"/>
  <c r="AM39" i="37"/>
  <c r="AH39" i="37"/>
  <c r="AC39" i="37"/>
  <c r="X39" i="37"/>
  <c r="S39" i="37"/>
  <c r="AW38" i="37"/>
  <c r="AR38" i="37"/>
  <c r="AM38" i="37"/>
  <c r="AH38" i="37"/>
  <c r="AC38" i="37"/>
  <c r="X38" i="37"/>
  <c r="S38" i="37"/>
  <c r="AW37" i="37"/>
  <c r="AR37" i="37"/>
  <c r="AM37" i="37"/>
  <c r="AH37" i="37"/>
  <c r="AC37" i="37"/>
  <c r="X37" i="37"/>
  <c r="S37" i="37"/>
  <c r="AW36" i="37"/>
  <c r="AR36" i="37"/>
  <c r="AM36" i="37"/>
  <c r="AH36" i="37"/>
  <c r="AC36" i="37"/>
  <c r="X36" i="37"/>
  <c r="S36" i="37"/>
  <c r="AW35" i="37"/>
  <c r="AR35" i="37"/>
  <c r="AM35" i="37"/>
  <c r="AH35" i="37"/>
  <c r="AC35" i="37"/>
  <c r="X35" i="37"/>
  <c r="S35" i="37"/>
  <c r="AW34" i="37"/>
  <c r="AR34" i="37"/>
  <c r="AM34" i="37"/>
  <c r="AH34" i="37"/>
  <c r="AC34" i="37"/>
  <c r="X34" i="37"/>
  <c r="S34" i="37"/>
  <c r="K34" i="37"/>
  <c r="J34" i="37"/>
  <c r="I34" i="37"/>
  <c r="AW33" i="37"/>
  <c r="AR33" i="37"/>
  <c r="AM33" i="37"/>
  <c r="AH33" i="37"/>
  <c r="AC33" i="37"/>
  <c r="X33" i="37"/>
  <c r="S33" i="37"/>
  <c r="K33" i="37"/>
  <c r="J33" i="37"/>
  <c r="I33" i="37"/>
  <c r="AW32" i="37"/>
  <c r="AR32" i="37"/>
  <c r="AM32" i="37"/>
  <c r="AH32" i="37"/>
  <c r="AC32" i="37"/>
  <c r="X32" i="37"/>
  <c r="S32" i="37"/>
  <c r="K32" i="37"/>
  <c r="J32" i="37"/>
  <c r="I32" i="37"/>
  <c r="AW31" i="37"/>
  <c r="AR31" i="37"/>
  <c r="AM31" i="37"/>
  <c r="AH31" i="37"/>
  <c r="AC31" i="37"/>
  <c r="X31" i="37"/>
  <c r="S31" i="37"/>
  <c r="K31" i="37"/>
  <c r="J31" i="37"/>
  <c r="I31" i="37"/>
  <c r="AW30" i="37"/>
  <c r="AR30" i="37"/>
  <c r="AM30" i="37"/>
  <c r="AH30" i="37"/>
  <c r="AC30" i="37"/>
  <c r="X30" i="37"/>
  <c r="S30" i="37"/>
  <c r="K30" i="37"/>
  <c r="M30" i="37" s="1"/>
  <c r="J30" i="37"/>
  <c r="I30" i="37"/>
  <c r="AW29" i="37"/>
  <c r="AR29" i="37"/>
  <c r="AM29" i="37"/>
  <c r="AH29" i="37"/>
  <c r="AC29" i="37"/>
  <c r="X29" i="37"/>
  <c r="S29" i="37"/>
  <c r="K29" i="37"/>
  <c r="J29" i="37"/>
  <c r="I29" i="37"/>
  <c r="AW28" i="37"/>
  <c r="AR28" i="37"/>
  <c r="AM28" i="37"/>
  <c r="AH28" i="37"/>
  <c r="AC28" i="37"/>
  <c r="X28" i="37"/>
  <c r="S28" i="37"/>
  <c r="K28" i="37"/>
  <c r="J28" i="37"/>
  <c r="I28" i="37"/>
  <c r="AX27" i="37"/>
  <c r="AW27" i="37"/>
  <c r="AS27" i="37"/>
  <c r="AR27" i="37"/>
  <c r="AN27" i="37"/>
  <c r="AM27" i="37"/>
  <c r="AI27" i="37"/>
  <c r="AH27" i="37"/>
  <c r="AD27" i="37"/>
  <c r="AC27" i="37"/>
  <c r="Y27" i="37"/>
  <c r="X27" i="37"/>
  <c r="T27" i="37"/>
  <c r="S27" i="37"/>
  <c r="K27" i="37"/>
  <c r="J27" i="37"/>
  <c r="I27" i="37"/>
  <c r="H27" i="37"/>
  <c r="U22" i="37"/>
  <c r="Z22" i="37" s="1"/>
  <c r="AE22" i="37" s="1"/>
  <c r="AJ22" i="37" s="1"/>
  <c r="AO22" i="37" s="1"/>
  <c r="AT22" i="37" s="1"/>
  <c r="AW21" i="37"/>
  <c r="AR21" i="37"/>
  <c r="AM21" i="37"/>
  <c r="AH21" i="37"/>
  <c r="AC21" i="37"/>
  <c r="X21" i="37"/>
  <c r="S21" i="37"/>
  <c r="AW20" i="37"/>
  <c r="AR20" i="37"/>
  <c r="AM20" i="37"/>
  <c r="AH20" i="37"/>
  <c r="AC20" i="37"/>
  <c r="X20" i="37"/>
  <c r="S20" i="37"/>
  <c r="AW19" i="37"/>
  <c r="AR19" i="37"/>
  <c r="AM19" i="37"/>
  <c r="AH19" i="37"/>
  <c r="AC19" i="37"/>
  <c r="X19" i="37"/>
  <c r="S19" i="37"/>
  <c r="AW18" i="37"/>
  <c r="AR18" i="37"/>
  <c r="AM18" i="37"/>
  <c r="AH18" i="37"/>
  <c r="AC18" i="37"/>
  <c r="X18" i="37"/>
  <c r="S18" i="37"/>
  <c r="AW17" i="37"/>
  <c r="AR17" i="37"/>
  <c r="AM17" i="37"/>
  <c r="AH17" i="37"/>
  <c r="AC17" i="37"/>
  <c r="X17" i="37"/>
  <c r="S17" i="37"/>
  <c r="AW16" i="37"/>
  <c r="AR16" i="37"/>
  <c r="AM16" i="37"/>
  <c r="AH16" i="37"/>
  <c r="AC16" i="37"/>
  <c r="X16" i="37"/>
  <c r="S16" i="37"/>
  <c r="AW15" i="37"/>
  <c r="AR15" i="37"/>
  <c r="AM15" i="37"/>
  <c r="AH15" i="37"/>
  <c r="AC15" i="37"/>
  <c r="X15" i="37"/>
  <c r="S15" i="37"/>
  <c r="AW14" i="37"/>
  <c r="AR14" i="37"/>
  <c r="AM14" i="37"/>
  <c r="AH14" i="37"/>
  <c r="AC14" i="37"/>
  <c r="X14" i="37"/>
  <c r="S14" i="37"/>
  <c r="K14" i="37"/>
  <c r="J14" i="37"/>
  <c r="I14" i="37"/>
  <c r="AW13" i="37"/>
  <c r="AR13" i="37"/>
  <c r="AM13" i="37"/>
  <c r="AH13" i="37"/>
  <c r="AC13" i="37"/>
  <c r="X13" i="37"/>
  <c r="S13" i="37"/>
  <c r="K13" i="37"/>
  <c r="J13" i="37"/>
  <c r="I13" i="37"/>
  <c r="AW12" i="37"/>
  <c r="AR12" i="37"/>
  <c r="AM12" i="37"/>
  <c r="AH12" i="37"/>
  <c r="AC12" i="37"/>
  <c r="X12" i="37"/>
  <c r="S12" i="37"/>
  <c r="K12" i="37"/>
  <c r="J12" i="37"/>
  <c r="I12" i="37"/>
  <c r="AW11" i="37"/>
  <c r="AR11" i="37"/>
  <c r="AM11" i="37"/>
  <c r="AH11" i="37"/>
  <c r="AC11" i="37"/>
  <c r="X11" i="37"/>
  <c r="S11" i="37"/>
  <c r="K11" i="37"/>
  <c r="J11" i="37"/>
  <c r="I11" i="37"/>
  <c r="AW10" i="37"/>
  <c r="AR10" i="37"/>
  <c r="AM10" i="37"/>
  <c r="AH10" i="37"/>
  <c r="AC10" i="37"/>
  <c r="X10" i="37"/>
  <c r="S10" i="37"/>
  <c r="K10" i="37"/>
  <c r="J10" i="37"/>
  <c r="I10" i="37"/>
  <c r="AW9" i="37"/>
  <c r="AR9" i="37"/>
  <c r="AM9" i="37"/>
  <c r="AH9" i="37"/>
  <c r="AC9" i="37"/>
  <c r="X9" i="37"/>
  <c r="S9" i="37"/>
  <c r="K9" i="37"/>
  <c r="J9" i="37"/>
  <c r="I9" i="37"/>
  <c r="AW8" i="37"/>
  <c r="AR8" i="37"/>
  <c r="AM8" i="37"/>
  <c r="AH8" i="37"/>
  <c r="AC8" i="37"/>
  <c r="X8" i="37"/>
  <c r="S8" i="37"/>
  <c r="K8" i="37"/>
  <c r="J8" i="37"/>
  <c r="I8" i="37"/>
  <c r="AX7" i="37"/>
  <c r="AW7" i="37"/>
  <c r="AS7" i="37"/>
  <c r="AR7" i="37"/>
  <c r="AN7" i="37"/>
  <c r="AM7" i="37"/>
  <c r="AI7" i="37"/>
  <c r="AH7" i="37"/>
  <c r="AD7" i="37"/>
  <c r="AC7" i="37"/>
  <c r="Y7" i="37"/>
  <c r="X7" i="37"/>
  <c r="T7" i="37"/>
  <c r="S7" i="37"/>
  <c r="K7" i="37"/>
  <c r="J7" i="37"/>
  <c r="I7" i="37"/>
  <c r="H7" i="37"/>
  <c r="AW101" i="36"/>
  <c r="AR101" i="36"/>
  <c r="AM101" i="36"/>
  <c r="AH101" i="36"/>
  <c r="AC101" i="36"/>
  <c r="X101" i="36"/>
  <c r="S101" i="36"/>
  <c r="AW100" i="36"/>
  <c r="AR100" i="36"/>
  <c r="AM100" i="36"/>
  <c r="AH100" i="36"/>
  <c r="AC100" i="36"/>
  <c r="X100" i="36"/>
  <c r="S100" i="36"/>
  <c r="AW99" i="36"/>
  <c r="AR99" i="36"/>
  <c r="AM99" i="36"/>
  <c r="AH99" i="36"/>
  <c r="AC99" i="36"/>
  <c r="X99" i="36"/>
  <c r="S99" i="36"/>
  <c r="AW98" i="36"/>
  <c r="AR98" i="36"/>
  <c r="AM98" i="36"/>
  <c r="AH98" i="36"/>
  <c r="AC98" i="36"/>
  <c r="X98" i="36"/>
  <c r="S98" i="36"/>
  <c r="AW97" i="36"/>
  <c r="AR97" i="36"/>
  <c r="AM97" i="36"/>
  <c r="AH97" i="36"/>
  <c r="AC97" i="36"/>
  <c r="X97" i="36"/>
  <c r="S97" i="36"/>
  <c r="AW96" i="36"/>
  <c r="AR96" i="36"/>
  <c r="AM96" i="36"/>
  <c r="AH96" i="36"/>
  <c r="AC96" i="36"/>
  <c r="X96" i="36"/>
  <c r="S96" i="36"/>
  <c r="AW95" i="36"/>
  <c r="AR95" i="36"/>
  <c r="AM95" i="36"/>
  <c r="AH95" i="36"/>
  <c r="AC95" i="36"/>
  <c r="X95" i="36"/>
  <c r="S95" i="36"/>
  <c r="AW94" i="36"/>
  <c r="AR94" i="36"/>
  <c r="AM94" i="36"/>
  <c r="AH94" i="36"/>
  <c r="AC94" i="36"/>
  <c r="X94" i="36"/>
  <c r="S94" i="36"/>
  <c r="AW93" i="36"/>
  <c r="AR93" i="36"/>
  <c r="AM93" i="36"/>
  <c r="AH93" i="36"/>
  <c r="AC93" i="36"/>
  <c r="X93" i="36"/>
  <c r="S93" i="36"/>
  <c r="AW92" i="36"/>
  <c r="AR92" i="36"/>
  <c r="AM92" i="36"/>
  <c r="AH92" i="36"/>
  <c r="AC92" i="36"/>
  <c r="X92" i="36"/>
  <c r="S92" i="36"/>
  <c r="AW91" i="36"/>
  <c r="AR91" i="36"/>
  <c r="AM91" i="36"/>
  <c r="AH91" i="36"/>
  <c r="AC91" i="36"/>
  <c r="X91" i="36"/>
  <c r="S91" i="36"/>
  <c r="K91" i="36"/>
  <c r="J91" i="36"/>
  <c r="I91" i="36"/>
  <c r="AW90" i="36"/>
  <c r="AR90" i="36"/>
  <c r="AM90" i="36"/>
  <c r="AH90" i="36"/>
  <c r="AC90" i="36"/>
  <c r="X90" i="36"/>
  <c r="S90" i="36"/>
  <c r="K90" i="36"/>
  <c r="J90" i="36"/>
  <c r="I90" i="36"/>
  <c r="AW89" i="36"/>
  <c r="AR89" i="36"/>
  <c r="AM89" i="36"/>
  <c r="AH89" i="36"/>
  <c r="AC89" i="36"/>
  <c r="X89" i="36"/>
  <c r="S89" i="36"/>
  <c r="K89" i="36"/>
  <c r="J89" i="36"/>
  <c r="I89" i="36"/>
  <c r="AW88" i="36"/>
  <c r="AR88" i="36"/>
  <c r="AM88" i="36"/>
  <c r="AH88" i="36"/>
  <c r="AC88" i="36"/>
  <c r="X88" i="36"/>
  <c r="S88" i="36"/>
  <c r="K88" i="36"/>
  <c r="M87" i="36" s="1"/>
  <c r="J88" i="36"/>
  <c r="I88" i="36"/>
  <c r="AX87" i="36"/>
  <c r="AW87" i="36"/>
  <c r="AS87" i="36"/>
  <c r="AR87" i="36"/>
  <c r="AN87" i="36"/>
  <c r="AM87" i="36"/>
  <c r="AI87" i="36"/>
  <c r="AH87" i="36"/>
  <c r="AD87" i="36"/>
  <c r="AC87" i="36"/>
  <c r="Y87" i="36"/>
  <c r="X87" i="36"/>
  <c r="T87" i="36"/>
  <c r="S87" i="36"/>
  <c r="K87" i="36"/>
  <c r="J87" i="36"/>
  <c r="I87" i="36"/>
  <c r="H87" i="36"/>
  <c r="AW81" i="36"/>
  <c r="AR81" i="36"/>
  <c r="AM81" i="36"/>
  <c r="AH81" i="36"/>
  <c r="AC81" i="36"/>
  <c r="X81" i="36"/>
  <c r="S81" i="36"/>
  <c r="AW80" i="36"/>
  <c r="AR80" i="36"/>
  <c r="AM80" i="36"/>
  <c r="AH80" i="36"/>
  <c r="AC80" i="36"/>
  <c r="X80" i="36"/>
  <c r="S80" i="36"/>
  <c r="AW79" i="36"/>
  <c r="AR79" i="36"/>
  <c r="AM79" i="36"/>
  <c r="AH79" i="36"/>
  <c r="AC79" i="36"/>
  <c r="X79" i="36"/>
  <c r="S79" i="36"/>
  <c r="AW78" i="36"/>
  <c r="AR78" i="36"/>
  <c r="AM78" i="36"/>
  <c r="AH78" i="36"/>
  <c r="AC78" i="36"/>
  <c r="X78" i="36"/>
  <c r="S78" i="36"/>
  <c r="AW77" i="36"/>
  <c r="AR77" i="36"/>
  <c r="AM77" i="36"/>
  <c r="AH77" i="36"/>
  <c r="AC77" i="36"/>
  <c r="X77" i="36"/>
  <c r="S77" i="36"/>
  <c r="AW76" i="36"/>
  <c r="AR76" i="36"/>
  <c r="AM76" i="36"/>
  <c r="AH76" i="36"/>
  <c r="AC76" i="36"/>
  <c r="X76" i="36"/>
  <c r="S76" i="36"/>
  <c r="AW75" i="36"/>
  <c r="AR75" i="36"/>
  <c r="AM75" i="36"/>
  <c r="AH75" i="36"/>
  <c r="AC75" i="36"/>
  <c r="X75" i="36"/>
  <c r="S75" i="36"/>
  <c r="AW74" i="36"/>
  <c r="AR74" i="36"/>
  <c r="AM74" i="36"/>
  <c r="AH74" i="36"/>
  <c r="AC74" i="36"/>
  <c r="X74" i="36"/>
  <c r="S74" i="36"/>
  <c r="AW73" i="36"/>
  <c r="AR73" i="36"/>
  <c r="AM73" i="36"/>
  <c r="AH73" i="36"/>
  <c r="AC73" i="36"/>
  <c r="X73" i="36"/>
  <c r="S73" i="36"/>
  <c r="AW72" i="36"/>
  <c r="AR72" i="36"/>
  <c r="AM72" i="36"/>
  <c r="AH72" i="36"/>
  <c r="AC72" i="36"/>
  <c r="X72" i="36"/>
  <c r="S72" i="36"/>
  <c r="AW71" i="36"/>
  <c r="AR71" i="36"/>
  <c r="AM71" i="36"/>
  <c r="AH71" i="36"/>
  <c r="AC71" i="36"/>
  <c r="X71" i="36"/>
  <c r="S71" i="36"/>
  <c r="K71" i="36"/>
  <c r="J71" i="36"/>
  <c r="I71" i="36"/>
  <c r="AW70" i="36"/>
  <c r="AR70" i="36"/>
  <c r="AM70" i="36"/>
  <c r="AH70" i="36"/>
  <c r="AC70" i="36"/>
  <c r="X70" i="36"/>
  <c r="S70" i="36"/>
  <c r="K70" i="36"/>
  <c r="M70" i="36" s="1"/>
  <c r="J70" i="36"/>
  <c r="I70" i="36"/>
  <c r="AW69" i="36"/>
  <c r="AR69" i="36"/>
  <c r="AM69" i="36"/>
  <c r="AH69" i="36"/>
  <c r="AC69" i="36"/>
  <c r="X69" i="36"/>
  <c r="S69" i="36"/>
  <c r="K69" i="36"/>
  <c r="J69" i="36"/>
  <c r="I69" i="36"/>
  <c r="AW68" i="36"/>
  <c r="AR68" i="36"/>
  <c r="AM68" i="36"/>
  <c r="AH68" i="36"/>
  <c r="AC68" i="36"/>
  <c r="X68" i="36"/>
  <c r="S68" i="36"/>
  <c r="K68" i="36"/>
  <c r="J68" i="36"/>
  <c r="I68" i="36"/>
  <c r="AX67" i="36"/>
  <c r="AW67" i="36"/>
  <c r="AS67" i="36"/>
  <c r="AR67" i="36"/>
  <c r="AN67" i="36"/>
  <c r="AM67" i="36"/>
  <c r="AI67" i="36"/>
  <c r="AH67" i="36"/>
  <c r="AD67" i="36"/>
  <c r="AC67" i="36"/>
  <c r="Y67" i="36"/>
  <c r="X67" i="36"/>
  <c r="T67" i="36"/>
  <c r="S67" i="36"/>
  <c r="K67" i="36"/>
  <c r="J67" i="36"/>
  <c r="I67" i="36"/>
  <c r="H67" i="36"/>
  <c r="AW61" i="36"/>
  <c r="AR61" i="36"/>
  <c r="AM61" i="36"/>
  <c r="AH61" i="36"/>
  <c r="AC61" i="36"/>
  <c r="X61" i="36"/>
  <c r="S61" i="36"/>
  <c r="AW60" i="36"/>
  <c r="AR60" i="36"/>
  <c r="AM60" i="36"/>
  <c r="AH60" i="36"/>
  <c r="AC60" i="36"/>
  <c r="X60" i="36"/>
  <c r="S60" i="36"/>
  <c r="AW59" i="36"/>
  <c r="AR59" i="36"/>
  <c r="AM59" i="36"/>
  <c r="AH59" i="36"/>
  <c r="AC59" i="36"/>
  <c r="X59" i="36"/>
  <c r="S59" i="36"/>
  <c r="AW58" i="36"/>
  <c r="AR58" i="36"/>
  <c r="AM58" i="36"/>
  <c r="AH58" i="36"/>
  <c r="AC58" i="36"/>
  <c r="X58" i="36"/>
  <c r="S58" i="36"/>
  <c r="AW57" i="36"/>
  <c r="AR57" i="36"/>
  <c r="AM57" i="36"/>
  <c r="AH57" i="36"/>
  <c r="AC57" i="36"/>
  <c r="X57" i="36"/>
  <c r="S57" i="36"/>
  <c r="AW56" i="36"/>
  <c r="AR56" i="36"/>
  <c r="AM56" i="36"/>
  <c r="AH56" i="36"/>
  <c r="AC56" i="36"/>
  <c r="X56" i="36"/>
  <c r="S56" i="36"/>
  <c r="AW55" i="36"/>
  <c r="AR55" i="36"/>
  <c r="AM55" i="36"/>
  <c r="AH55" i="36"/>
  <c r="AC55" i="36"/>
  <c r="X55" i="36"/>
  <c r="S55" i="36"/>
  <c r="AW54" i="36"/>
  <c r="AR54" i="36"/>
  <c r="AM54" i="36"/>
  <c r="AH54" i="36"/>
  <c r="AC54" i="36"/>
  <c r="X54" i="36"/>
  <c r="S54" i="36"/>
  <c r="AW53" i="36"/>
  <c r="AR53" i="36"/>
  <c r="AM53" i="36"/>
  <c r="AH53" i="36"/>
  <c r="AC53" i="36"/>
  <c r="X53" i="36"/>
  <c r="S53" i="36"/>
  <c r="AW52" i="36"/>
  <c r="AR52" i="36"/>
  <c r="AM52" i="36"/>
  <c r="AH52" i="36"/>
  <c r="AC52" i="36"/>
  <c r="X52" i="36"/>
  <c r="S52" i="36"/>
  <c r="AW51" i="36"/>
  <c r="AR51" i="36"/>
  <c r="AM51" i="36"/>
  <c r="AH51" i="36"/>
  <c r="AC51" i="36"/>
  <c r="X51" i="36"/>
  <c r="S51" i="36"/>
  <c r="K51" i="36"/>
  <c r="M51" i="36" s="1"/>
  <c r="J51" i="36"/>
  <c r="I51" i="36"/>
  <c r="AW50" i="36"/>
  <c r="AR50" i="36"/>
  <c r="AM50" i="36"/>
  <c r="AH50" i="36"/>
  <c r="AC50" i="36"/>
  <c r="X50" i="36"/>
  <c r="S50" i="36"/>
  <c r="K50" i="36"/>
  <c r="J50" i="36"/>
  <c r="I50" i="36"/>
  <c r="AW49" i="36"/>
  <c r="AR49" i="36"/>
  <c r="AM49" i="36"/>
  <c r="AH49" i="36"/>
  <c r="AC49" i="36"/>
  <c r="X49" i="36"/>
  <c r="S49" i="36"/>
  <c r="K49" i="36"/>
  <c r="J49" i="36"/>
  <c r="I49" i="36"/>
  <c r="AW48" i="36"/>
  <c r="AR48" i="36"/>
  <c r="AM48" i="36"/>
  <c r="AH48" i="36"/>
  <c r="AC48" i="36"/>
  <c r="X48" i="36"/>
  <c r="S48" i="36"/>
  <c r="K48" i="36"/>
  <c r="J48" i="36"/>
  <c r="I48" i="36"/>
  <c r="AX47" i="36"/>
  <c r="AW47" i="36"/>
  <c r="AS47" i="36"/>
  <c r="AR47" i="36"/>
  <c r="AN47" i="36"/>
  <c r="AM47" i="36"/>
  <c r="AI47" i="36"/>
  <c r="AH47" i="36"/>
  <c r="AD47" i="36"/>
  <c r="AC47" i="36"/>
  <c r="Y47" i="36"/>
  <c r="X47" i="36"/>
  <c r="T47" i="36"/>
  <c r="S47" i="36"/>
  <c r="K47" i="36"/>
  <c r="J47" i="36"/>
  <c r="I47" i="36"/>
  <c r="H47" i="36"/>
  <c r="P42" i="36"/>
  <c r="P62" i="36" s="1"/>
  <c r="AW41" i="36"/>
  <c r="AR41" i="36"/>
  <c r="AM41" i="36"/>
  <c r="AH41" i="36"/>
  <c r="AC41" i="36"/>
  <c r="X41" i="36"/>
  <c r="S41" i="36"/>
  <c r="AW40" i="36"/>
  <c r="AR40" i="36"/>
  <c r="AM40" i="36"/>
  <c r="AH40" i="36"/>
  <c r="AC40" i="36"/>
  <c r="X40" i="36"/>
  <c r="S40" i="36"/>
  <c r="AW39" i="36"/>
  <c r="AR39" i="36"/>
  <c r="AM39" i="36"/>
  <c r="AH39" i="36"/>
  <c r="AC39" i="36"/>
  <c r="X39" i="36"/>
  <c r="S39" i="36"/>
  <c r="AW38" i="36"/>
  <c r="AR38" i="36"/>
  <c r="AM38" i="36"/>
  <c r="AH38" i="36"/>
  <c r="AC38" i="36"/>
  <c r="X38" i="36"/>
  <c r="S38" i="36"/>
  <c r="AW37" i="36"/>
  <c r="AR37" i="36"/>
  <c r="AM37" i="36"/>
  <c r="AH37" i="36"/>
  <c r="AC37" i="36"/>
  <c r="X37" i="36"/>
  <c r="S37" i="36"/>
  <c r="AW36" i="36"/>
  <c r="AR36" i="36"/>
  <c r="AM36" i="36"/>
  <c r="AH36" i="36"/>
  <c r="AC36" i="36"/>
  <c r="X36" i="36"/>
  <c r="S36" i="36"/>
  <c r="AW35" i="36"/>
  <c r="AR35" i="36"/>
  <c r="AM35" i="36"/>
  <c r="AH35" i="36"/>
  <c r="AC35" i="36"/>
  <c r="X35" i="36"/>
  <c r="S35" i="36"/>
  <c r="AW34" i="36"/>
  <c r="AR34" i="36"/>
  <c r="AM34" i="36"/>
  <c r="AH34" i="36"/>
  <c r="AC34" i="36"/>
  <c r="X34" i="36"/>
  <c r="S34" i="36"/>
  <c r="AW33" i="36"/>
  <c r="AR33" i="36"/>
  <c r="AM33" i="36"/>
  <c r="AH33" i="36"/>
  <c r="AC33" i="36"/>
  <c r="X33" i="36"/>
  <c r="S33" i="36"/>
  <c r="AW32" i="36"/>
  <c r="AR32" i="36"/>
  <c r="AM32" i="36"/>
  <c r="AH32" i="36"/>
  <c r="AC32" i="36"/>
  <c r="X32" i="36"/>
  <c r="S32" i="36"/>
  <c r="AW31" i="36"/>
  <c r="AR31" i="36"/>
  <c r="AM31" i="36"/>
  <c r="AH31" i="36"/>
  <c r="AC31" i="36"/>
  <c r="X31" i="36"/>
  <c r="S31" i="36"/>
  <c r="K31" i="36"/>
  <c r="J31" i="36"/>
  <c r="I31" i="36"/>
  <c r="AW30" i="36"/>
  <c r="AR30" i="36"/>
  <c r="AM30" i="36"/>
  <c r="AH30" i="36"/>
  <c r="AC30" i="36"/>
  <c r="X30" i="36"/>
  <c r="S30" i="36"/>
  <c r="K30" i="36"/>
  <c r="J30" i="36"/>
  <c r="I30" i="36"/>
  <c r="AW29" i="36"/>
  <c r="AR29" i="36"/>
  <c r="AM29" i="36"/>
  <c r="AH29" i="36"/>
  <c r="AC29" i="36"/>
  <c r="X29" i="36"/>
  <c r="S29" i="36"/>
  <c r="K29" i="36"/>
  <c r="J29" i="36"/>
  <c r="I29" i="36"/>
  <c r="AW28" i="36"/>
  <c r="AR28" i="36"/>
  <c r="AM28" i="36"/>
  <c r="AH28" i="36"/>
  <c r="AC28" i="36"/>
  <c r="X28" i="36"/>
  <c r="S28" i="36"/>
  <c r="K28" i="36"/>
  <c r="J28" i="36"/>
  <c r="I28" i="36"/>
  <c r="AX27" i="36"/>
  <c r="AW27" i="36"/>
  <c r="AS27" i="36"/>
  <c r="AR27" i="36"/>
  <c r="AN27" i="36"/>
  <c r="AM27" i="36"/>
  <c r="AI27" i="36"/>
  <c r="AH27" i="36"/>
  <c r="AD27" i="36"/>
  <c r="AC27" i="36"/>
  <c r="Y27" i="36"/>
  <c r="X27" i="36"/>
  <c r="T27" i="36"/>
  <c r="S27" i="36"/>
  <c r="K27" i="36"/>
  <c r="J27" i="36"/>
  <c r="I27" i="36"/>
  <c r="H27" i="36"/>
  <c r="U22" i="36"/>
  <c r="Z22" i="36" s="1"/>
  <c r="AE22" i="36" s="1"/>
  <c r="AJ22" i="36" s="1"/>
  <c r="AO22" i="36" s="1"/>
  <c r="AT22" i="36" s="1"/>
  <c r="AW21" i="36"/>
  <c r="AR21" i="36"/>
  <c r="AM21" i="36"/>
  <c r="AH21" i="36"/>
  <c r="AC21" i="36"/>
  <c r="X21" i="36"/>
  <c r="S21" i="36"/>
  <c r="AW20" i="36"/>
  <c r="AR20" i="36"/>
  <c r="AM20" i="36"/>
  <c r="AH20" i="36"/>
  <c r="AC20" i="36"/>
  <c r="X20" i="36"/>
  <c r="S20" i="36"/>
  <c r="AW19" i="36"/>
  <c r="AR19" i="36"/>
  <c r="AM19" i="36"/>
  <c r="AH19" i="36"/>
  <c r="AC19" i="36"/>
  <c r="X19" i="36"/>
  <c r="S19" i="36"/>
  <c r="AW18" i="36"/>
  <c r="AR18" i="36"/>
  <c r="AM18" i="36"/>
  <c r="AH18" i="36"/>
  <c r="AC18" i="36"/>
  <c r="X18" i="36"/>
  <c r="S18" i="36"/>
  <c r="AW17" i="36"/>
  <c r="AR17" i="36"/>
  <c r="AM17" i="36"/>
  <c r="AH17" i="36"/>
  <c r="AC17" i="36"/>
  <c r="X17" i="36"/>
  <c r="S17" i="36"/>
  <c r="AW16" i="36"/>
  <c r="AR16" i="36"/>
  <c r="AM16" i="36"/>
  <c r="AH16" i="36"/>
  <c r="AC16" i="36"/>
  <c r="X16" i="36"/>
  <c r="S16" i="36"/>
  <c r="AW15" i="36"/>
  <c r="AR15" i="36"/>
  <c r="AM15" i="36"/>
  <c r="AH15" i="36"/>
  <c r="AC15" i="36"/>
  <c r="X15" i="36"/>
  <c r="S15" i="36"/>
  <c r="AW14" i="36"/>
  <c r="AR14" i="36"/>
  <c r="AM14" i="36"/>
  <c r="AH14" i="36"/>
  <c r="AC14" i="36"/>
  <c r="X14" i="36"/>
  <c r="S14" i="36"/>
  <c r="AW13" i="36"/>
  <c r="AR13" i="36"/>
  <c r="AM13" i="36"/>
  <c r="AH13" i="36"/>
  <c r="AC13" i="36"/>
  <c r="X13" i="36"/>
  <c r="S13" i="36"/>
  <c r="AW12" i="36"/>
  <c r="AR12" i="36"/>
  <c r="AM12" i="36"/>
  <c r="AH12" i="36"/>
  <c r="AC12" i="36"/>
  <c r="X12" i="36"/>
  <c r="S12" i="36"/>
  <c r="AW11" i="36"/>
  <c r="AR11" i="36"/>
  <c r="AM11" i="36"/>
  <c r="AH11" i="36"/>
  <c r="AC11" i="36"/>
  <c r="X11" i="36"/>
  <c r="S11" i="36"/>
  <c r="K11" i="36"/>
  <c r="J11" i="36"/>
  <c r="I11" i="36"/>
  <c r="AW10" i="36"/>
  <c r="AR10" i="36"/>
  <c r="AM10" i="36"/>
  <c r="AH10" i="36"/>
  <c r="AC10" i="36"/>
  <c r="X10" i="36"/>
  <c r="S10" i="36"/>
  <c r="K10" i="36"/>
  <c r="J10" i="36"/>
  <c r="I10" i="36"/>
  <c r="AW9" i="36"/>
  <c r="AR9" i="36"/>
  <c r="AM9" i="36"/>
  <c r="AH9" i="36"/>
  <c r="AC9" i="36"/>
  <c r="X9" i="36"/>
  <c r="S9" i="36"/>
  <c r="K9" i="36"/>
  <c r="J9" i="36"/>
  <c r="I9" i="36"/>
  <c r="AW8" i="36"/>
  <c r="AR8" i="36"/>
  <c r="AM8" i="36"/>
  <c r="AH8" i="36"/>
  <c r="AC8" i="36"/>
  <c r="X8" i="36"/>
  <c r="S8" i="36"/>
  <c r="K8" i="36"/>
  <c r="M9" i="36" s="1"/>
  <c r="J8" i="36"/>
  <c r="I8" i="36"/>
  <c r="AX7" i="36"/>
  <c r="AW7" i="36"/>
  <c r="AS7" i="36"/>
  <c r="AR7" i="36"/>
  <c r="AN7" i="36"/>
  <c r="AM7" i="36"/>
  <c r="AI7" i="36"/>
  <c r="AH7" i="36"/>
  <c r="AD7" i="36"/>
  <c r="AC7" i="36"/>
  <c r="Y7" i="36"/>
  <c r="X7" i="36"/>
  <c r="T7" i="36"/>
  <c r="S7" i="36"/>
  <c r="K7" i="36"/>
  <c r="J7" i="36"/>
  <c r="I7" i="36"/>
  <c r="H7" i="36"/>
  <c r="AW101" i="35"/>
  <c r="AR101" i="35"/>
  <c r="AM101" i="35"/>
  <c r="AH101" i="35"/>
  <c r="AC101" i="35"/>
  <c r="X101" i="35"/>
  <c r="S101" i="35"/>
  <c r="AW100" i="35"/>
  <c r="AR100" i="35"/>
  <c r="AM100" i="35"/>
  <c r="AH100" i="35"/>
  <c r="AC100" i="35"/>
  <c r="X100" i="35"/>
  <c r="S100" i="35"/>
  <c r="AW99" i="35"/>
  <c r="AR99" i="35"/>
  <c r="AM99" i="35"/>
  <c r="AH99" i="35"/>
  <c r="AC99" i="35"/>
  <c r="X99" i="35"/>
  <c r="S99" i="35"/>
  <c r="AW98" i="35"/>
  <c r="AR98" i="35"/>
  <c r="AM98" i="35"/>
  <c r="AH98" i="35"/>
  <c r="AC98" i="35"/>
  <c r="X98" i="35"/>
  <c r="S98" i="35"/>
  <c r="AW97" i="35"/>
  <c r="AR97" i="35"/>
  <c r="AM97" i="35"/>
  <c r="AH97" i="35"/>
  <c r="AC97" i="35"/>
  <c r="X97" i="35"/>
  <c r="S97" i="35"/>
  <c r="AW96" i="35"/>
  <c r="AR96" i="35"/>
  <c r="AM96" i="35"/>
  <c r="AH96" i="35"/>
  <c r="AC96" i="35"/>
  <c r="X96" i="35"/>
  <c r="S96" i="35"/>
  <c r="AW95" i="35"/>
  <c r="AR95" i="35"/>
  <c r="AM95" i="35"/>
  <c r="AH95" i="35"/>
  <c r="AC95" i="35"/>
  <c r="X95" i="35"/>
  <c r="S95" i="35"/>
  <c r="K95" i="35"/>
  <c r="J95" i="35"/>
  <c r="I95" i="35"/>
  <c r="AW94" i="35"/>
  <c r="AR94" i="35"/>
  <c r="AM94" i="35"/>
  <c r="AH94" i="35"/>
  <c r="AC94" i="35"/>
  <c r="X94" i="35"/>
  <c r="S94" i="35"/>
  <c r="K94" i="35"/>
  <c r="J94" i="35"/>
  <c r="I94" i="35"/>
  <c r="AW93" i="35"/>
  <c r="AR93" i="35"/>
  <c r="AM93" i="35"/>
  <c r="AH93" i="35"/>
  <c r="AC93" i="35"/>
  <c r="X93" i="35"/>
  <c r="S93" i="35"/>
  <c r="K93" i="35"/>
  <c r="J93" i="35"/>
  <c r="I93" i="35"/>
  <c r="AW92" i="35"/>
  <c r="AR92" i="35"/>
  <c r="AM92" i="35"/>
  <c r="AH92" i="35"/>
  <c r="AC92" i="35"/>
  <c r="X92" i="35"/>
  <c r="S92" i="35"/>
  <c r="K92" i="35"/>
  <c r="J92" i="35"/>
  <c r="I92" i="35"/>
  <c r="AW91" i="35"/>
  <c r="AR91" i="35"/>
  <c r="AM91" i="35"/>
  <c r="AH91" i="35"/>
  <c r="AC91" i="35"/>
  <c r="X91" i="35"/>
  <c r="S91" i="35"/>
  <c r="K91" i="35"/>
  <c r="J91" i="35"/>
  <c r="I91" i="35"/>
  <c r="AW90" i="35"/>
  <c r="AR90" i="35"/>
  <c r="AM90" i="35"/>
  <c r="AH90" i="35"/>
  <c r="AC90" i="35"/>
  <c r="X90" i="35"/>
  <c r="S90" i="35"/>
  <c r="K90" i="35"/>
  <c r="J90" i="35"/>
  <c r="I90" i="35"/>
  <c r="AW89" i="35"/>
  <c r="AR89" i="35"/>
  <c r="AM89" i="35"/>
  <c r="AH89" i="35"/>
  <c r="AC89" i="35"/>
  <c r="X89" i="35"/>
  <c r="S89" i="35"/>
  <c r="K89" i="35"/>
  <c r="J89" i="35"/>
  <c r="I89" i="35"/>
  <c r="AW88" i="35"/>
  <c r="AR88" i="35"/>
  <c r="AM88" i="35"/>
  <c r="AH88" i="35"/>
  <c r="AC88" i="35"/>
  <c r="X88" i="35"/>
  <c r="S88" i="35"/>
  <c r="K88" i="35"/>
  <c r="J88" i="35"/>
  <c r="I88" i="35"/>
  <c r="AX87" i="35"/>
  <c r="AW87" i="35"/>
  <c r="AS87" i="35"/>
  <c r="AR87" i="35"/>
  <c r="AN87" i="35"/>
  <c r="AM87" i="35"/>
  <c r="AI87" i="35"/>
  <c r="AH87" i="35"/>
  <c r="AD87" i="35"/>
  <c r="AC87" i="35"/>
  <c r="Y87" i="35"/>
  <c r="X87" i="35"/>
  <c r="T87" i="35"/>
  <c r="S87" i="35"/>
  <c r="K87" i="35"/>
  <c r="J87" i="35"/>
  <c r="I87" i="35"/>
  <c r="H87" i="35"/>
  <c r="AW81" i="35"/>
  <c r="AR81" i="35"/>
  <c r="AM81" i="35"/>
  <c r="AH81" i="35"/>
  <c r="AC81" i="35"/>
  <c r="X81" i="35"/>
  <c r="S81" i="35"/>
  <c r="AW80" i="35"/>
  <c r="AR80" i="35"/>
  <c r="AM80" i="35"/>
  <c r="AH80" i="35"/>
  <c r="AC80" i="35"/>
  <c r="X80" i="35"/>
  <c r="S80" i="35"/>
  <c r="AW79" i="35"/>
  <c r="AR79" i="35"/>
  <c r="AM79" i="35"/>
  <c r="AH79" i="35"/>
  <c r="AC79" i="35"/>
  <c r="X79" i="35"/>
  <c r="S79" i="35"/>
  <c r="AW78" i="35"/>
  <c r="AR78" i="35"/>
  <c r="AM78" i="35"/>
  <c r="AH78" i="35"/>
  <c r="AC78" i="35"/>
  <c r="X78" i="35"/>
  <c r="S78" i="35"/>
  <c r="AW77" i="35"/>
  <c r="AR77" i="35"/>
  <c r="AM77" i="35"/>
  <c r="AH77" i="35"/>
  <c r="AC77" i="35"/>
  <c r="X77" i="35"/>
  <c r="S77" i="35"/>
  <c r="AW76" i="35"/>
  <c r="AR76" i="35"/>
  <c r="AM76" i="35"/>
  <c r="AH76" i="35"/>
  <c r="AC76" i="35"/>
  <c r="X76" i="35"/>
  <c r="S76" i="35"/>
  <c r="K76" i="35"/>
  <c r="J76" i="35"/>
  <c r="I76" i="35"/>
  <c r="AW75" i="35"/>
  <c r="AR75" i="35"/>
  <c r="AM75" i="35"/>
  <c r="AH75" i="35"/>
  <c r="AC75" i="35"/>
  <c r="X75" i="35"/>
  <c r="S75" i="35"/>
  <c r="K75" i="35"/>
  <c r="J75" i="35"/>
  <c r="I75" i="35"/>
  <c r="AW74" i="35"/>
  <c r="AR74" i="35"/>
  <c r="AM74" i="35"/>
  <c r="AH74" i="35"/>
  <c r="AC74" i="35"/>
  <c r="X74" i="35"/>
  <c r="S74" i="35"/>
  <c r="K74" i="35"/>
  <c r="J74" i="35"/>
  <c r="I74" i="35"/>
  <c r="AW73" i="35"/>
  <c r="AR73" i="35"/>
  <c r="AM73" i="35"/>
  <c r="AH73" i="35"/>
  <c r="AC73" i="35"/>
  <c r="X73" i="35"/>
  <c r="S73" i="35"/>
  <c r="K73" i="35"/>
  <c r="J73" i="35"/>
  <c r="I73" i="35"/>
  <c r="AW72" i="35"/>
  <c r="AR72" i="35"/>
  <c r="AM72" i="35"/>
  <c r="AH72" i="35"/>
  <c r="AC72" i="35"/>
  <c r="X72" i="35"/>
  <c r="S72" i="35"/>
  <c r="K72" i="35"/>
  <c r="J72" i="35"/>
  <c r="I72" i="35"/>
  <c r="AW71" i="35"/>
  <c r="AR71" i="35"/>
  <c r="AM71" i="35"/>
  <c r="AH71" i="35"/>
  <c r="AC71" i="35"/>
  <c r="X71" i="35"/>
  <c r="S71" i="35"/>
  <c r="K71" i="35"/>
  <c r="J71" i="35"/>
  <c r="I71" i="35"/>
  <c r="AW70" i="35"/>
  <c r="AR70" i="35"/>
  <c r="AM70" i="35"/>
  <c r="AH70" i="35"/>
  <c r="AC70" i="35"/>
  <c r="X70" i="35"/>
  <c r="S70" i="35"/>
  <c r="K70" i="35"/>
  <c r="J70" i="35"/>
  <c r="I70" i="35"/>
  <c r="AW69" i="35"/>
  <c r="AR69" i="35"/>
  <c r="AM69" i="35"/>
  <c r="AH69" i="35"/>
  <c r="AC69" i="35"/>
  <c r="X69" i="35"/>
  <c r="S69" i="35"/>
  <c r="K69" i="35"/>
  <c r="J69" i="35"/>
  <c r="I69" i="35"/>
  <c r="AW68" i="35"/>
  <c r="AR68" i="35"/>
  <c r="AM68" i="35"/>
  <c r="AH68" i="35"/>
  <c r="AC68" i="35"/>
  <c r="X68" i="35"/>
  <c r="S68" i="35"/>
  <c r="K68" i="35"/>
  <c r="J68" i="35"/>
  <c r="I68" i="35"/>
  <c r="AX67" i="35"/>
  <c r="AW67" i="35"/>
  <c r="AS67" i="35"/>
  <c r="AR67" i="35"/>
  <c r="AN67" i="35"/>
  <c r="AM67" i="35"/>
  <c r="AI67" i="35"/>
  <c r="AH67" i="35"/>
  <c r="AD67" i="35"/>
  <c r="AC67" i="35"/>
  <c r="Y67" i="35"/>
  <c r="X67" i="35"/>
  <c r="T67" i="35"/>
  <c r="S67" i="35"/>
  <c r="K67" i="35"/>
  <c r="J67" i="35"/>
  <c r="I67" i="35"/>
  <c r="H67" i="35"/>
  <c r="AW61" i="35"/>
  <c r="AR61" i="35"/>
  <c r="AM61" i="35"/>
  <c r="AH61" i="35"/>
  <c r="AC61" i="35"/>
  <c r="X61" i="35"/>
  <c r="S61" i="35"/>
  <c r="AW60" i="35"/>
  <c r="AR60" i="35"/>
  <c r="AM60" i="35"/>
  <c r="AH60" i="35"/>
  <c r="AC60" i="35"/>
  <c r="X60" i="35"/>
  <c r="S60" i="35"/>
  <c r="AW59" i="35"/>
  <c r="AR59" i="35"/>
  <c r="AM59" i="35"/>
  <c r="AH59" i="35"/>
  <c r="AC59" i="35"/>
  <c r="X59" i="35"/>
  <c r="S59" i="35"/>
  <c r="AW58" i="35"/>
  <c r="AR58" i="35"/>
  <c r="AM58" i="35"/>
  <c r="AH58" i="35"/>
  <c r="AC58" i="35"/>
  <c r="X58" i="35"/>
  <c r="S58" i="35"/>
  <c r="K58" i="35"/>
  <c r="J58" i="35"/>
  <c r="I58" i="35"/>
  <c r="AW57" i="35"/>
  <c r="AR57" i="35"/>
  <c r="AM57" i="35"/>
  <c r="AH57" i="35"/>
  <c r="AC57" i="35"/>
  <c r="X57" i="35"/>
  <c r="S57" i="35"/>
  <c r="K57" i="35"/>
  <c r="J57" i="35"/>
  <c r="I57" i="35"/>
  <c r="AW56" i="35"/>
  <c r="AR56" i="35"/>
  <c r="AM56" i="35"/>
  <c r="AH56" i="35"/>
  <c r="AC56" i="35"/>
  <c r="X56" i="35"/>
  <c r="S56" i="35"/>
  <c r="K56" i="35"/>
  <c r="J56" i="35"/>
  <c r="I56" i="35"/>
  <c r="AW55" i="35"/>
  <c r="AR55" i="35"/>
  <c r="AM55" i="35"/>
  <c r="AH55" i="35"/>
  <c r="AC55" i="35"/>
  <c r="X55" i="35"/>
  <c r="S55" i="35"/>
  <c r="K55" i="35"/>
  <c r="J55" i="35"/>
  <c r="I55" i="35"/>
  <c r="AW54" i="35"/>
  <c r="AR54" i="35"/>
  <c r="AM54" i="35"/>
  <c r="AH54" i="35"/>
  <c r="AC54" i="35"/>
  <c r="X54" i="35"/>
  <c r="S54" i="35"/>
  <c r="K54" i="35"/>
  <c r="J54" i="35"/>
  <c r="I54" i="35"/>
  <c r="AW53" i="35"/>
  <c r="AR53" i="35"/>
  <c r="AM53" i="35"/>
  <c r="AH53" i="35"/>
  <c r="AC53" i="35"/>
  <c r="X53" i="35"/>
  <c r="S53" i="35"/>
  <c r="K53" i="35"/>
  <c r="J53" i="35"/>
  <c r="I53" i="35"/>
  <c r="AW52" i="35"/>
  <c r="AR52" i="35"/>
  <c r="AM52" i="35"/>
  <c r="AH52" i="35"/>
  <c r="AC52" i="35"/>
  <c r="X52" i="35"/>
  <c r="S52" i="35"/>
  <c r="K52" i="35"/>
  <c r="J52" i="35"/>
  <c r="I52" i="35"/>
  <c r="AW51" i="35"/>
  <c r="AR51" i="35"/>
  <c r="AM51" i="35"/>
  <c r="AH51" i="35"/>
  <c r="AC51" i="35"/>
  <c r="X51" i="35"/>
  <c r="S51" i="35"/>
  <c r="K51" i="35"/>
  <c r="J51" i="35"/>
  <c r="I51" i="35"/>
  <c r="AW50" i="35"/>
  <c r="AR50" i="35"/>
  <c r="AM50" i="35"/>
  <c r="AH50" i="35"/>
  <c r="AC50" i="35"/>
  <c r="X50" i="35"/>
  <c r="S50" i="35"/>
  <c r="K50" i="35"/>
  <c r="J50" i="35"/>
  <c r="I50" i="35"/>
  <c r="AW49" i="35"/>
  <c r="AR49" i="35"/>
  <c r="AM49" i="35"/>
  <c r="AH49" i="35"/>
  <c r="AC49" i="35"/>
  <c r="X49" i="35"/>
  <c r="S49" i="35"/>
  <c r="K49" i="35"/>
  <c r="J49" i="35"/>
  <c r="I49" i="35"/>
  <c r="AW48" i="35"/>
  <c r="AR48" i="35"/>
  <c r="AM48" i="35"/>
  <c r="AH48" i="35"/>
  <c r="AC48" i="35"/>
  <c r="X48" i="35"/>
  <c r="S48" i="35"/>
  <c r="K48" i="35"/>
  <c r="J48" i="35"/>
  <c r="I48" i="35"/>
  <c r="AX47" i="35"/>
  <c r="AW47" i="35"/>
  <c r="AS47" i="35"/>
  <c r="AR47" i="35"/>
  <c r="AN47" i="35"/>
  <c r="AM47" i="35"/>
  <c r="AI47" i="35"/>
  <c r="AH47" i="35"/>
  <c r="AD47" i="35"/>
  <c r="AC47" i="35"/>
  <c r="Y47" i="35"/>
  <c r="X47" i="35"/>
  <c r="T47" i="35"/>
  <c r="S47" i="35"/>
  <c r="K47" i="35"/>
  <c r="J47" i="35"/>
  <c r="I47" i="35"/>
  <c r="H47" i="35"/>
  <c r="P42" i="35"/>
  <c r="P62" i="35" s="1"/>
  <c r="AW41" i="35"/>
  <c r="AR41" i="35"/>
  <c r="AM41" i="35"/>
  <c r="AH41" i="35"/>
  <c r="AC41" i="35"/>
  <c r="X41" i="35"/>
  <c r="S41" i="35"/>
  <c r="AW40" i="35"/>
  <c r="AR40" i="35"/>
  <c r="AM40" i="35"/>
  <c r="AH40" i="35"/>
  <c r="AC40" i="35"/>
  <c r="X40" i="35"/>
  <c r="S40" i="35"/>
  <c r="AW39" i="35"/>
  <c r="AR39" i="35"/>
  <c r="AM39" i="35"/>
  <c r="AH39" i="35"/>
  <c r="AC39" i="35"/>
  <c r="X39" i="35"/>
  <c r="S39" i="35"/>
  <c r="AW38" i="35"/>
  <c r="AR38" i="35"/>
  <c r="AM38" i="35"/>
  <c r="AH38" i="35"/>
  <c r="AC38" i="35"/>
  <c r="X38" i="35"/>
  <c r="S38" i="35"/>
  <c r="K38" i="35"/>
  <c r="J38" i="35"/>
  <c r="I38" i="35"/>
  <c r="AW37" i="35"/>
  <c r="AR37" i="35"/>
  <c r="AM37" i="35"/>
  <c r="AH37" i="35"/>
  <c r="AC37" i="35"/>
  <c r="X37" i="35"/>
  <c r="S37" i="35"/>
  <c r="K37" i="35"/>
  <c r="M37" i="35" s="1"/>
  <c r="J37" i="35"/>
  <c r="I37" i="35"/>
  <c r="AW36" i="35"/>
  <c r="AR36" i="35"/>
  <c r="AM36" i="35"/>
  <c r="AH36" i="35"/>
  <c r="AC36" i="35"/>
  <c r="X36" i="35"/>
  <c r="S36" i="35"/>
  <c r="K36" i="35"/>
  <c r="J36" i="35"/>
  <c r="I36" i="35"/>
  <c r="AW35" i="35"/>
  <c r="AR35" i="35"/>
  <c r="AM35" i="35"/>
  <c r="AH35" i="35"/>
  <c r="AC35" i="35"/>
  <c r="X35" i="35"/>
  <c r="S35" i="35"/>
  <c r="K35" i="35"/>
  <c r="J35" i="35"/>
  <c r="I35" i="35"/>
  <c r="AW34" i="35"/>
  <c r="AR34" i="35"/>
  <c r="AM34" i="35"/>
  <c r="AH34" i="35"/>
  <c r="AC34" i="35"/>
  <c r="X34" i="35"/>
  <c r="S34" i="35"/>
  <c r="K34" i="35"/>
  <c r="J34" i="35"/>
  <c r="I34" i="35"/>
  <c r="AW33" i="35"/>
  <c r="AR33" i="35"/>
  <c r="AM33" i="35"/>
  <c r="AH33" i="35"/>
  <c r="AC33" i="35"/>
  <c r="X33" i="35"/>
  <c r="S33" i="35"/>
  <c r="K33" i="35"/>
  <c r="J33" i="35"/>
  <c r="I33" i="35"/>
  <c r="AW32" i="35"/>
  <c r="AR32" i="35"/>
  <c r="AM32" i="35"/>
  <c r="AH32" i="35"/>
  <c r="AC32" i="35"/>
  <c r="X32" i="35"/>
  <c r="S32" i="35"/>
  <c r="K32" i="35"/>
  <c r="J32" i="35"/>
  <c r="I32" i="35"/>
  <c r="AW31" i="35"/>
  <c r="AR31" i="35"/>
  <c r="AM31" i="35"/>
  <c r="AH31" i="35"/>
  <c r="AC31" i="35"/>
  <c r="X31" i="35"/>
  <c r="S31" i="35"/>
  <c r="K31" i="35"/>
  <c r="J31" i="35"/>
  <c r="I31" i="35"/>
  <c r="AW30" i="35"/>
  <c r="AR30" i="35"/>
  <c r="AM30" i="35"/>
  <c r="AH30" i="35"/>
  <c r="AC30" i="35"/>
  <c r="X30" i="35"/>
  <c r="S30" i="35"/>
  <c r="K30" i="35"/>
  <c r="J30" i="35"/>
  <c r="I30" i="35"/>
  <c r="AW29" i="35"/>
  <c r="AR29" i="35"/>
  <c r="AM29" i="35"/>
  <c r="AH29" i="35"/>
  <c r="AC29" i="35"/>
  <c r="X29" i="35"/>
  <c r="S29" i="35"/>
  <c r="K29" i="35"/>
  <c r="J29" i="35"/>
  <c r="I29" i="35"/>
  <c r="AW28" i="35"/>
  <c r="AR28" i="35"/>
  <c r="AM28" i="35"/>
  <c r="AH28" i="35"/>
  <c r="AC28" i="35"/>
  <c r="X28" i="35"/>
  <c r="S28" i="35"/>
  <c r="K28" i="35"/>
  <c r="J28" i="35"/>
  <c r="I28" i="35"/>
  <c r="AX27" i="35"/>
  <c r="AW27" i="35"/>
  <c r="AS27" i="35"/>
  <c r="AR27" i="35"/>
  <c r="AN27" i="35"/>
  <c r="AM27" i="35"/>
  <c r="AI27" i="35"/>
  <c r="AH27" i="35"/>
  <c r="AD27" i="35"/>
  <c r="AC27" i="35"/>
  <c r="Y27" i="35"/>
  <c r="X27" i="35"/>
  <c r="T27" i="35"/>
  <c r="S27" i="35"/>
  <c r="K27" i="35"/>
  <c r="J27" i="35"/>
  <c r="I27" i="35"/>
  <c r="H27" i="35"/>
  <c r="U22" i="35"/>
  <c r="Z22" i="35" s="1"/>
  <c r="AE22" i="35" s="1"/>
  <c r="AJ22" i="35" s="1"/>
  <c r="AO22" i="35" s="1"/>
  <c r="AT22" i="35" s="1"/>
  <c r="AW21" i="35"/>
  <c r="AR21" i="35"/>
  <c r="AM21" i="35"/>
  <c r="AH21" i="35"/>
  <c r="AC21" i="35"/>
  <c r="X21" i="35"/>
  <c r="S21" i="35"/>
  <c r="AW20" i="35"/>
  <c r="AR20" i="35"/>
  <c r="AM20" i="35"/>
  <c r="AH20" i="35"/>
  <c r="AC20" i="35"/>
  <c r="X20" i="35"/>
  <c r="S20" i="35"/>
  <c r="AW19" i="35"/>
  <c r="AR19" i="35"/>
  <c r="AM19" i="35"/>
  <c r="AH19" i="35"/>
  <c r="AC19" i="35"/>
  <c r="X19" i="35"/>
  <c r="S19" i="35"/>
  <c r="AW18" i="35"/>
  <c r="AR18" i="35"/>
  <c r="AM18" i="35"/>
  <c r="AH18" i="35"/>
  <c r="AC18" i="35"/>
  <c r="X18" i="35"/>
  <c r="S18" i="35"/>
  <c r="AW17" i="35"/>
  <c r="AR17" i="35"/>
  <c r="AM17" i="35"/>
  <c r="AH17" i="35"/>
  <c r="AC17" i="35"/>
  <c r="X17" i="35"/>
  <c r="S17" i="35"/>
  <c r="AW16" i="35"/>
  <c r="AR16" i="35"/>
  <c r="AM16" i="35"/>
  <c r="AH16" i="35"/>
  <c r="AC16" i="35"/>
  <c r="X16" i="35"/>
  <c r="S16" i="35"/>
  <c r="K16" i="35"/>
  <c r="M16" i="35" s="1"/>
  <c r="J16" i="35"/>
  <c r="I16" i="35"/>
  <c r="AW15" i="35"/>
  <c r="AR15" i="35"/>
  <c r="AM15" i="35"/>
  <c r="AH15" i="35"/>
  <c r="AC15" i="35"/>
  <c r="X15" i="35"/>
  <c r="S15" i="35"/>
  <c r="K15" i="35"/>
  <c r="J15" i="35"/>
  <c r="I15" i="35"/>
  <c r="AW14" i="35"/>
  <c r="AR14" i="35"/>
  <c r="AM14" i="35"/>
  <c r="AH14" i="35"/>
  <c r="AC14" i="35"/>
  <c r="X14" i="35"/>
  <c r="S14" i="35"/>
  <c r="K14" i="35"/>
  <c r="J14" i="35"/>
  <c r="I14" i="35"/>
  <c r="AW13" i="35"/>
  <c r="AR13" i="35"/>
  <c r="AM13" i="35"/>
  <c r="AH13" i="35"/>
  <c r="AC13" i="35"/>
  <c r="X13" i="35"/>
  <c r="S13" i="35"/>
  <c r="K13" i="35"/>
  <c r="J13" i="35"/>
  <c r="I13" i="35"/>
  <c r="AW12" i="35"/>
  <c r="AR12" i="35"/>
  <c r="AM12" i="35"/>
  <c r="AH12" i="35"/>
  <c r="AC12" i="35"/>
  <c r="X12" i="35"/>
  <c r="S12" i="35"/>
  <c r="K12" i="35"/>
  <c r="J12" i="35"/>
  <c r="I12" i="35"/>
  <c r="AW11" i="35"/>
  <c r="AR11" i="35"/>
  <c r="AM11" i="35"/>
  <c r="AH11" i="35"/>
  <c r="AC11" i="35"/>
  <c r="X11" i="35"/>
  <c r="S11" i="35"/>
  <c r="K11" i="35"/>
  <c r="J11" i="35"/>
  <c r="I11" i="35"/>
  <c r="AW10" i="35"/>
  <c r="AR10" i="35"/>
  <c r="AM10" i="35"/>
  <c r="AH10" i="35"/>
  <c r="AC10" i="35"/>
  <c r="X10" i="35"/>
  <c r="S10" i="35"/>
  <c r="K10" i="35"/>
  <c r="M10" i="35" s="1"/>
  <c r="J10" i="35"/>
  <c r="I10" i="35"/>
  <c r="AW9" i="35"/>
  <c r="AR9" i="35"/>
  <c r="AM9" i="35"/>
  <c r="AH9" i="35"/>
  <c r="AC9" i="35"/>
  <c r="X9" i="35"/>
  <c r="S9" i="35"/>
  <c r="K9" i="35"/>
  <c r="J9" i="35"/>
  <c r="I9" i="35"/>
  <c r="AW8" i="35"/>
  <c r="AR8" i="35"/>
  <c r="AM8" i="35"/>
  <c r="AH8" i="35"/>
  <c r="AC8" i="35"/>
  <c r="X8" i="35"/>
  <c r="S8" i="35"/>
  <c r="K8" i="35"/>
  <c r="J8" i="35"/>
  <c r="I8" i="35"/>
  <c r="AX7" i="35"/>
  <c r="AW7" i="35"/>
  <c r="AS7" i="35"/>
  <c r="AR7" i="35"/>
  <c r="AN7" i="35"/>
  <c r="AM7" i="35"/>
  <c r="AI7" i="35"/>
  <c r="AH7" i="35"/>
  <c r="AD7" i="35"/>
  <c r="AC7" i="35"/>
  <c r="Y7" i="35"/>
  <c r="X7" i="35"/>
  <c r="T7" i="35"/>
  <c r="S7" i="35"/>
  <c r="L7" i="35"/>
  <c r="K7" i="35"/>
  <c r="J7" i="35"/>
  <c r="I7" i="35"/>
  <c r="H7" i="35"/>
  <c r="AW101" i="34"/>
  <c r="AR101" i="34"/>
  <c r="AM101" i="34"/>
  <c r="AH101" i="34"/>
  <c r="AC101" i="34"/>
  <c r="X101" i="34"/>
  <c r="S101" i="34"/>
  <c r="AW100" i="34"/>
  <c r="AR100" i="34"/>
  <c r="AM100" i="34"/>
  <c r="AH100" i="34"/>
  <c r="AC100" i="34"/>
  <c r="X100" i="34"/>
  <c r="S100" i="34"/>
  <c r="AW99" i="34"/>
  <c r="AR99" i="34"/>
  <c r="AM99" i="34"/>
  <c r="AH99" i="34"/>
  <c r="AC99" i="34"/>
  <c r="X99" i="34"/>
  <c r="S99" i="34"/>
  <c r="AW98" i="34"/>
  <c r="AR98" i="34"/>
  <c r="AM98" i="34"/>
  <c r="AH98" i="34"/>
  <c r="AC98" i="34"/>
  <c r="X98" i="34"/>
  <c r="S98" i="34"/>
  <c r="AW97" i="34"/>
  <c r="AR97" i="34"/>
  <c r="AM97" i="34"/>
  <c r="AH97" i="34"/>
  <c r="AC97" i="34"/>
  <c r="X97" i="34"/>
  <c r="S97" i="34"/>
  <c r="K97" i="34"/>
  <c r="J97" i="34"/>
  <c r="I97" i="34"/>
  <c r="AW96" i="34"/>
  <c r="AR96" i="34"/>
  <c r="AM96" i="34"/>
  <c r="AH96" i="34"/>
  <c r="AC96" i="34"/>
  <c r="X96" i="34"/>
  <c r="S96" i="34"/>
  <c r="K96" i="34"/>
  <c r="J96" i="34"/>
  <c r="I96" i="34"/>
  <c r="AW95" i="34"/>
  <c r="AR95" i="34"/>
  <c r="AM95" i="34"/>
  <c r="AH95" i="34"/>
  <c r="AC95" i="34"/>
  <c r="X95" i="34"/>
  <c r="S95" i="34"/>
  <c r="K95" i="34"/>
  <c r="J95" i="34"/>
  <c r="I95" i="34"/>
  <c r="AW94" i="34"/>
  <c r="AR94" i="34"/>
  <c r="AM94" i="34"/>
  <c r="AH94" i="34"/>
  <c r="AC94" i="34"/>
  <c r="X94" i="34"/>
  <c r="S94" i="34"/>
  <c r="K94" i="34"/>
  <c r="J94" i="34"/>
  <c r="I94" i="34"/>
  <c r="AW93" i="34"/>
  <c r="AR93" i="34"/>
  <c r="AM93" i="34"/>
  <c r="AH93" i="34"/>
  <c r="AC93" i="34"/>
  <c r="X93" i="34"/>
  <c r="S93" i="34"/>
  <c r="K93" i="34"/>
  <c r="J93" i="34"/>
  <c r="I93" i="34"/>
  <c r="AW92" i="34"/>
  <c r="AR92" i="34"/>
  <c r="AM92" i="34"/>
  <c r="AH92" i="34"/>
  <c r="AC92" i="34"/>
  <c r="X92" i="34"/>
  <c r="S92" i="34"/>
  <c r="K92" i="34"/>
  <c r="J92" i="34"/>
  <c r="I92" i="34"/>
  <c r="AW91" i="34"/>
  <c r="AR91" i="34"/>
  <c r="AM91" i="34"/>
  <c r="AH91" i="34"/>
  <c r="AC91" i="34"/>
  <c r="X91" i="34"/>
  <c r="S91" i="34"/>
  <c r="K91" i="34"/>
  <c r="J91" i="34"/>
  <c r="I91" i="34"/>
  <c r="AW90" i="34"/>
  <c r="AR90" i="34"/>
  <c r="AM90" i="34"/>
  <c r="AH90" i="34"/>
  <c r="AC90" i="34"/>
  <c r="X90" i="34"/>
  <c r="S90" i="34"/>
  <c r="K90" i="34"/>
  <c r="J90" i="34"/>
  <c r="I90" i="34"/>
  <c r="AW89" i="34"/>
  <c r="AR89" i="34"/>
  <c r="AM89" i="34"/>
  <c r="AH89" i="34"/>
  <c r="AC89" i="34"/>
  <c r="X89" i="34"/>
  <c r="S89" i="34"/>
  <c r="K89" i="34"/>
  <c r="M89" i="34" s="1"/>
  <c r="J89" i="34"/>
  <c r="I89" i="34"/>
  <c r="AW88" i="34"/>
  <c r="AR88" i="34"/>
  <c r="AM88" i="34"/>
  <c r="AH88" i="34"/>
  <c r="AC88" i="34"/>
  <c r="X88" i="34"/>
  <c r="S88" i="34"/>
  <c r="K88" i="34"/>
  <c r="J88" i="34"/>
  <c r="I88" i="34"/>
  <c r="AX87" i="34"/>
  <c r="AW87" i="34"/>
  <c r="AS87" i="34"/>
  <c r="AR87" i="34"/>
  <c r="AN87" i="34"/>
  <c r="AM87" i="34"/>
  <c r="AI87" i="34"/>
  <c r="AH87" i="34"/>
  <c r="AD87" i="34"/>
  <c r="AC87" i="34"/>
  <c r="Y87" i="34"/>
  <c r="X87" i="34"/>
  <c r="T87" i="34"/>
  <c r="S87" i="34"/>
  <c r="K87" i="34"/>
  <c r="J87" i="34"/>
  <c r="I87" i="34"/>
  <c r="H87" i="34"/>
  <c r="AW81" i="34"/>
  <c r="AR81" i="34"/>
  <c r="AM81" i="34"/>
  <c r="AH81" i="34"/>
  <c r="AC81" i="34"/>
  <c r="X81" i="34"/>
  <c r="S81" i="34"/>
  <c r="AW80" i="34"/>
  <c r="AR80" i="34"/>
  <c r="AM80" i="34"/>
  <c r="AH80" i="34"/>
  <c r="AC80" i="34"/>
  <c r="X80" i="34"/>
  <c r="S80" i="34"/>
  <c r="AW79" i="34"/>
  <c r="AR79" i="34"/>
  <c r="AM79" i="34"/>
  <c r="AH79" i="34"/>
  <c r="AC79" i="34"/>
  <c r="X79" i="34"/>
  <c r="S79" i="34"/>
  <c r="AW78" i="34"/>
  <c r="AR78" i="34"/>
  <c r="AM78" i="34"/>
  <c r="AH78" i="34"/>
  <c r="AC78" i="34"/>
  <c r="X78" i="34"/>
  <c r="S78" i="34"/>
  <c r="K78" i="34"/>
  <c r="J78" i="34"/>
  <c r="I78" i="34"/>
  <c r="AW77" i="34"/>
  <c r="AR77" i="34"/>
  <c r="AM77" i="34"/>
  <c r="AH77" i="34"/>
  <c r="AC77" i="34"/>
  <c r="X77" i="34"/>
  <c r="S77" i="34"/>
  <c r="K77" i="34"/>
  <c r="J77" i="34"/>
  <c r="I77" i="34"/>
  <c r="AW76" i="34"/>
  <c r="AR76" i="34"/>
  <c r="AM76" i="34"/>
  <c r="AH76" i="34"/>
  <c r="AC76" i="34"/>
  <c r="X76" i="34"/>
  <c r="S76" i="34"/>
  <c r="K76" i="34"/>
  <c r="J76" i="34"/>
  <c r="I76" i="34"/>
  <c r="AW75" i="34"/>
  <c r="AR75" i="34"/>
  <c r="AM75" i="34"/>
  <c r="AH75" i="34"/>
  <c r="AC75" i="34"/>
  <c r="X75" i="34"/>
  <c r="S75" i="34"/>
  <c r="K75" i="34"/>
  <c r="J75" i="34"/>
  <c r="I75" i="34"/>
  <c r="AW74" i="34"/>
  <c r="AR74" i="34"/>
  <c r="AM74" i="34"/>
  <c r="AH74" i="34"/>
  <c r="AC74" i="34"/>
  <c r="X74" i="34"/>
  <c r="S74" i="34"/>
  <c r="K74" i="34"/>
  <c r="J74" i="34"/>
  <c r="I74" i="34"/>
  <c r="AW73" i="34"/>
  <c r="AR73" i="34"/>
  <c r="AM73" i="34"/>
  <c r="AH73" i="34"/>
  <c r="AC73" i="34"/>
  <c r="X73" i="34"/>
  <c r="S73" i="34"/>
  <c r="K73" i="34"/>
  <c r="J73" i="34"/>
  <c r="I73" i="34"/>
  <c r="AW72" i="34"/>
  <c r="AR72" i="34"/>
  <c r="AM72" i="34"/>
  <c r="AH72" i="34"/>
  <c r="AC72" i="34"/>
  <c r="X72" i="34"/>
  <c r="S72" i="34"/>
  <c r="K72" i="34"/>
  <c r="J72" i="34"/>
  <c r="I72" i="34"/>
  <c r="AW71" i="34"/>
  <c r="AR71" i="34"/>
  <c r="AM71" i="34"/>
  <c r="AH71" i="34"/>
  <c r="AC71" i="34"/>
  <c r="X71" i="34"/>
  <c r="S71" i="34"/>
  <c r="K71" i="34"/>
  <c r="J71" i="34"/>
  <c r="I71" i="34"/>
  <c r="AW70" i="34"/>
  <c r="AR70" i="34"/>
  <c r="AM70" i="34"/>
  <c r="AH70" i="34"/>
  <c r="AC70" i="34"/>
  <c r="X70" i="34"/>
  <c r="S70" i="34"/>
  <c r="K70" i="34"/>
  <c r="J70" i="34"/>
  <c r="I70" i="34"/>
  <c r="AW69" i="34"/>
  <c r="AR69" i="34"/>
  <c r="AM69" i="34"/>
  <c r="AH69" i="34"/>
  <c r="AC69" i="34"/>
  <c r="X69" i="34"/>
  <c r="S69" i="34"/>
  <c r="K69" i="34"/>
  <c r="J69" i="34"/>
  <c r="I69" i="34"/>
  <c r="AW68" i="34"/>
  <c r="AR68" i="34"/>
  <c r="AM68" i="34"/>
  <c r="AH68" i="34"/>
  <c r="AC68" i="34"/>
  <c r="X68" i="34"/>
  <c r="S68" i="34"/>
  <c r="K68" i="34"/>
  <c r="J68" i="34"/>
  <c r="I68" i="34"/>
  <c r="AX67" i="34"/>
  <c r="AW67" i="34"/>
  <c r="AS67" i="34"/>
  <c r="AR67" i="34"/>
  <c r="AN67" i="34"/>
  <c r="AM67" i="34"/>
  <c r="AI67" i="34"/>
  <c r="AH67" i="34"/>
  <c r="AD67" i="34"/>
  <c r="AC67" i="34"/>
  <c r="Y67" i="34"/>
  <c r="X67" i="34"/>
  <c r="T67" i="34"/>
  <c r="S67" i="34"/>
  <c r="K67" i="34"/>
  <c r="J67" i="34"/>
  <c r="I67" i="34"/>
  <c r="H67" i="34"/>
  <c r="AW61" i="34"/>
  <c r="AR61" i="34"/>
  <c r="AM61" i="34"/>
  <c r="AH61" i="34"/>
  <c r="AC61" i="34"/>
  <c r="X61" i="34"/>
  <c r="S61" i="34"/>
  <c r="AW60" i="34"/>
  <c r="AR60" i="34"/>
  <c r="AM60" i="34"/>
  <c r="AH60" i="34"/>
  <c r="AC60" i="34"/>
  <c r="X60" i="34"/>
  <c r="S60" i="34"/>
  <c r="AW59" i="34"/>
  <c r="AR59" i="34"/>
  <c r="AM59" i="34"/>
  <c r="AH59" i="34"/>
  <c r="AC59" i="34"/>
  <c r="X59" i="34"/>
  <c r="S59" i="34"/>
  <c r="AW58" i="34"/>
  <c r="AR58" i="34"/>
  <c r="AM58" i="34"/>
  <c r="AH58" i="34"/>
  <c r="AC58" i="34"/>
  <c r="X58" i="34"/>
  <c r="S58" i="34"/>
  <c r="K58" i="34"/>
  <c r="J58" i="34"/>
  <c r="I58" i="34"/>
  <c r="AW57" i="34"/>
  <c r="AR57" i="34"/>
  <c r="AM57" i="34"/>
  <c r="AH57" i="34"/>
  <c r="AC57" i="34"/>
  <c r="X57" i="34"/>
  <c r="S57" i="34"/>
  <c r="K57" i="34"/>
  <c r="J57" i="34"/>
  <c r="I57" i="34"/>
  <c r="AW56" i="34"/>
  <c r="AR56" i="34"/>
  <c r="AM56" i="34"/>
  <c r="AH56" i="34"/>
  <c r="AC56" i="34"/>
  <c r="X56" i="34"/>
  <c r="S56" i="34"/>
  <c r="K56" i="34"/>
  <c r="J56" i="34"/>
  <c r="I56" i="34"/>
  <c r="AW55" i="34"/>
  <c r="AR55" i="34"/>
  <c r="AM55" i="34"/>
  <c r="AH55" i="34"/>
  <c r="AC55" i="34"/>
  <c r="X55" i="34"/>
  <c r="S55" i="34"/>
  <c r="K55" i="34"/>
  <c r="J55" i="34"/>
  <c r="I55" i="34"/>
  <c r="AW54" i="34"/>
  <c r="AR54" i="34"/>
  <c r="AM54" i="34"/>
  <c r="AH54" i="34"/>
  <c r="AC54" i="34"/>
  <c r="X54" i="34"/>
  <c r="S54" i="34"/>
  <c r="K54" i="34"/>
  <c r="J54" i="34"/>
  <c r="I54" i="34"/>
  <c r="AW53" i="34"/>
  <c r="AR53" i="34"/>
  <c r="AM53" i="34"/>
  <c r="AH53" i="34"/>
  <c r="AC53" i="34"/>
  <c r="X53" i="34"/>
  <c r="S53" i="34"/>
  <c r="K53" i="34"/>
  <c r="J53" i="34"/>
  <c r="I53" i="34"/>
  <c r="AW52" i="34"/>
  <c r="AR52" i="34"/>
  <c r="AM52" i="34"/>
  <c r="AH52" i="34"/>
  <c r="AC52" i="34"/>
  <c r="X52" i="34"/>
  <c r="S52" i="34"/>
  <c r="K52" i="34"/>
  <c r="J52" i="34"/>
  <c r="I52" i="34"/>
  <c r="AW51" i="34"/>
  <c r="AR51" i="34"/>
  <c r="AM51" i="34"/>
  <c r="AH51" i="34"/>
  <c r="AC51" i="34"/>
  <c r="X51" i="34"/>
  <c r="S51" i="34"/>
  <c r="K51" i="34"/>
  <c r="J51" i="34"/>
  <c r="I51" i="34"/>
  <c r="AW50" i="34"/>
  <c r="AR50" i="34"/>
  <c r="AM50" i="34"/>
  <c r="AH50" i="34"/>
  <c r="AC50" i="34"/>
  <c r="X50" i="34"/>
  <c r="S50" i="34"/>
  <c r="K50" i="34"/>
  <c r="J50" i="34"/>
  <c r="I50" i="34"/>
  <c r="AW49" i="34"/>
  <c r="AR49" i="34"/>
  <c r="AM49" i="34"/>
  <c r="AH49" i="34"/>
  <c r="AC49" i="34"/>
  <c r="X49" i="34"/>
  <c r="S49" i="34"/>
  <c r="K49" i="34"/>
  <c r="J49" i="34"/>
  <c r="I49" i="34"/>
  <c r="AW48" i="34"/>
  <c r="AR48" i="34"/>
  <c r="AM48" i="34"/>
  <c r="AH48" i="34"/>
  <c r="AC48" i="34"/>
  <c r="X48" i="34"/>
  <c r="S48" i="34"/>
  <c r="K48" i="34"/>
  <c r="J48" i="34"/>
  <c r="I48" i="34"/>
  <c r="AX47" i="34"/>
  <c r="AW47" i="34"/>
  <c r="AS47" i="34"/>
  <c r="AR47" i="34"/>
  <c r="AN47" i="34"/>
  <c r="AM47" i="34"/>
  <c r="AI47" i="34"/>
  <c r="AH47" i="34"/>
  <c r="AD47" i="34"/>
  <c r="AC47" i="34"/>
  <c r="Y47" i="34"/>
  <c r="X47" i="34"/>
  <c r="T47" i="34"/>
  <c r="S47" i="34"/>
  <c r="K47" i="34"/>
  <c r="J47" i="34"/>
  <c r="I47" i="34"/>
  <c r="H47" i="34"/>
  <c r="P42" i="34"/>
  <c r="P62" i="34" s="1"/>
  <c r="AW41" i="34"/>
  <c r="AR41" i="34"/>
  <c r="AM41" i="34"/>
  <c r="AH41" i="34"/>
  <c r="AC41" i="34"/>
  <c r="X41" i="34"/>
  <c r="S41" i="34"/>
  <c r="AW40" i="34"/>
  <c r="AR40" i="34"/>
  <c r="AM40" i="34"/>
  <c r="AH40" i="34"/>
  <c r="AC40" i="34"/>
  <c r="X40" i="34"/>
  <c r="S40" i="34"/>
  <c r="AW39" i="34"/>
  <c r="AR39" i="34"/>
  <c r="AM39" i="34"/>
  <c r="AH39" i="34"/>
  <c r="AC39" i="34"/>
  <c r="X39" i="34"/>
  <c r="S39" i="34"/>
  <c r="AW38" i="34"/>
  <c r="AR38" i="34"/>
  <c r="AM38" i="34"/>
  <c r="AH38" i="34"/>
  <c r="AC38" i="34"/>
  <c r="X38" i="34"/>
  <c r="S38" i="34"/>
  <c r="K38" i="34"/>
  <c r="J38" i="34"/>
  <c r="I38" i="34"/>
  <c r="AW37" i="34"/>
  <c r="AR37" i="34"/>
  <c r="AM37" i="34"/>
  <c r="AH37" i="34"/>
  <c r="AC37" i="34"/>
  <c r="X37" i="34"/>
  <c r="S37" i="34"/>
  <c r="K37" i="34"/>
  <c r="J37" i="34"/>
  <c r="I37" i="34"/>
  <c r="AW36" i="34"/>
  <c r="AR36" i="34"/>
  <c r="AM36" i="34"/>
  <c r="AH36" i="34"/>
  <c r="AC36" i="34"/>
  <c r="X36" i="34"/>
  <c r="S36" i="34"/>
  <c r="K36" i="34"/>
  <c r="J36" i="34"/>
  <c r="I36" i="34"/>
  <c r="AW35" i="34"/>
  <c r="AR35" i="34"/>
  <c r="AM35" i="34"/>
  <c r="AH35" i="34"/>
  <c r="AC35" i="34"/>
  <c r="X35" i="34"/>
  <c r="S35" i="34"/>
  <c r="K35" i="34"/>
  <c r="J35" i="34"/>
  <c r="I35" i="34"/>
  <c r="AW34" i="34"/>
  <c r="AR34" i="34"/>
  <c r="AM34" i="34"/>
  <c r="AH34" i="34"/>
  <c r="AC34" i="34"/>
  <c r="X34" i="34"/>
  <c r="S34" i="34"/>
  <c r="K34" i="34"/>
  <c r="J34" i="34"/>
  <c r="I34" i="34"/>
  <c r="AW33" i="34"/>
  <c r="AR33" i="34"/>
  <c r="AM33" i="34"/>
  <c r="AH33" i="34"/>
  <c r="AC33" i="34"/>
  <c r="X33" i="34"/>
  <c r="S33" i="34"/>
  <c r="K33" i="34"/>
  <c r="M33" i="34" s="1"/>
  <c r="J33" i="34"/>
  <c r="I33" i="34"/>
  <c r="AW32" i="34"/>
  <c r="AR32" i="34"/>
  <c r="AM32" i="34"/>
  <c r="AH32" i="34"/>
  <c r="AC32" i="34"/>
  <c r="X32" i="34"/>
  <c r="S32" i="34"/>
  <c r="K32" i="34"/>
  <c r="J32" i="34"/>
  <c r="I32" i="34"/>
  <c r="AW31" i="34"/>
  <c r="AR31" i="34"/>
  <c r="AM31" i="34"/>
  <c r="AH31" i="34"/>
  <c r="AC31" i="34"/>
  <c r="X31" i="34"/>
  <c r="S31" i="34"/>
  <c r="K31" i="34"/>
  <c r="J31" i="34"/>
  <c r="I31" i="34"/>
  <c r="AW30" i="34"/>
  <c r="AR30" i="34"/>
  <c r="AM30" i="34"/>
  <c r="AH30" i="34"/>
  <c r="AC30" i="34"/>
  <c r="X30" i="34"/>
  <c r="S30" i="34"/>
  <c r="K30" i="34"/>
  <c r="J30" i="34"/>
  <c r="I30" i="34"/>
  <c r="AW29" i="34"/>
  <c r="AR29" i="34"/>
  <c r="AM29" i="34"/>
  <c r="AH29" i="34"/>
  <c r="AC29" i="34"/>
  <c r="X29" i="34"/>
  <c r="S29" i="34"/>
  <c r="K29" i="34"/>
  <c r="J29" i="34"/>
  <c r="I29" i="34"/>
  <c r="AW28" i="34"/>
  <c r="AR28" i="34"/>
  <c r="AM28" i="34"/>
  <c r="AH28" i="34"/>
  <c r="AC28" i="34"/>
  <c r="X28" i="34"/>
  <c r="S28" i="34"/>
  <c r="K28" i="34"/>
  <c r="J28" i="34"/>
  <c r="I28" i="34"/>
  <c r="AX27" i="34"/>
  <c r="AW27" i="34"/>
  <c r="AS27" i="34"/>
  <c r="AR27" i="34"/>
  <c r="AN27" i="34"/>
  <c r="AM27" i="34"/>
  <c r="AI27" i="34"/>
  <c r="AH27" i="34"/>
  <c r="AD27" i="34"/>
  <c r="AC27" i="34"/>
  <c r="Y27" i="34"/>
  <c r="X27" i="34"/>
  <c r="T27" i="34"/>
  <c r="S27" i="34"/>
  <c r="K27" i="34"/>
  <c r="J27" i="34"/>
  <c r="I27" i="34"/>
  <c r="H27" i="34"/>
  <c r="U22" i="34"/>
  <c r="Z22" i="34" s="1"/>
  <c r="AE22" i="34" s="1"/>
  <c r="AJ22" i="34" s="1"/>
  <c r="AO22" i="34" s="1"/>
  <c r="AT22" i="34" s="1"/>
  <c r="AW21" i="34"/>
  <c r="AR21" i="34"/>
  <c r="AM21" i="34"/>
  <c r="AH21" i="34"/>
  <c r="AC21" i="34"/>
  <c r="X21" i="34"/>
  <c r="S21" i="34"/>
  <c r="AW20" i="34"/>
  <c r="AR20" i="34"/>
  <c r="AM20" i="34"/>
  <c r="AH20" i="34"/>
  <c r="AC20" i="34"/>
  <c r="X20" i="34"/>
  <c r="S20" i="34"/>
  <c r="AW19" i="34"/>
  <c r="AR19" i="34"/>
  <c r="AM19" i="34"/>
  <c r="AH19" i="34"/>
  <c r="AC19" i="34"/>
  <c r="X19" i="34"/>
  <c r="S19" i="34"/>
  <c r="AW18" i="34"/>
  <c r="AR18" i="34"/>
  <c r="AM18" i="34"/>
  <c r="AH18" i="34"/>
  <c r="AC18" i="34"/>
  <c r="X18" i="34"/>
  <c r="S18" i="34"/>
  <c r="AW17" i="34"/>
  <c r="AR17" i="34"/>
  <c r="AM17" i="34"/>
  <c r="AH17" i="34"/>
  <c r="AC17" i="34"/>
  <c r="X17" i="34"/>
  <c r="S17" i="34"/>
  <c r="K17" i="34"/>
  <c r="J17" i="34"/>
  <c r="I17" i="34"/>
  <c r="AW16" i="34"/>
  <c r="AR16" i="34"/>
  <c r="AM16" i="34"/>
  <c r="AH16" i="34"/>
  <c r="AC16" i="34"/>
  <c r="X16" i="34"/>
  <c r="S16" i="34"/>
  <c r="K16" i="34"/>
  <c r="J16" i="34"/>
  <c r="I16" i="34"/>
  <c r="AW15" i="34"/>
  <c r="AR15" i="34"/>
  <c r="AM15" i="34"/>
  <c r="AH15" i="34"/>
  <c r="AC15" i="34"/>
  <c r="X15" i="34"/>
  <c r="S15" i="34"/>
  <c r="K15" i="34"/>
  <c r="J15" i="34"/>
  <c r="I15" i="34"/>
  <c r="AW14" i="34"/>
  <c r="AR14" i="34"/>
  <c r="AM14" i="34"/>
  <c r="AH14" i="34"/>
  <c r="AC14" i="34"/>
  <c r="X14" i="34"/>
  <c r="S14" i="34"/>
  <c r="K14" i="34"/>
  <c r="J14" i="34"/>
  <c r="I14" i="34"/>
  <c r="AW13" i="34"/>
  <c r="AR13" i="34"/>
  <c r="AM13" i="34"/>
  <c r="AH13" i="34"/>
  <c r="AC13" i="34"/>
  <c r="X13" i="34"/>
  <c r="S13" i="34"/>
  <c r="K13" i="34"/>
  <c r="J13" i="34"/>
  <c r="I13" i="34"/>
  <c r="AW12" i="34"/>
  <c r="AR12" i="34"/>
  <c r="AM12" i="34"/>
  <c r="AH12" i="34"/>
  <c r="AC12" i="34"/>
  <c r="X12" i="34"/>
  <c r="S12" i="34"/>
  <c r="K12" i="34"/>
  <c r="J12" i="34"/>
  <c r="I12" i="34"/>
  <c r="AW11" i="34"/>
  <c r="AR11" i="34"/>
  <c r="AM11" i="34"/>
  <c r="AH11" i="34"/>
  <c r="AC11" i="34"/>
  <c r="X11" i="34"/>
  <c r="S11" i="34"/>
  <c r="K11" i="34"/>
  <c r="M11" i="34" s="1"/>
  <c r="J11" i="34"/>
  <c r="I11" i="34"/>
  <c r="AW10" i="34"/>
  <c r="AR10" i="34"/>
  <c r="AM10" i="34"/>
  <c r="AH10" i="34"/>
  <c r="AC10" i="34"/>
  <c r="X10" i="34"/>
  <c r="S10" i="34"/>
  <c r="K10" i="34"/>
  <c r="J10" i="34"/>
  <c r="I10" i="34"/>
  <c r="AW9" i="34"/>
  <c r="AR9" i="34"/>
  <c r="AM9" i="34"/>
  <c r="AH9" i="34"/>
  <c r="AC9" i="34"/>
  <c r="X9" i="34"/>
  <c r="S9" i="34"/>
  <c r="K9" i="34"/>
  <c r="J9" i="34"/>
  <c r="I9" i="34"/>
  <c r="AW8" i="34"/>
  <c r="AR8" i="34"/>
  <c r="AM8" i="34"/>
  <c r="AH8" i="34"/>
  <c r="AC8" i="34"/>
  <c r="X8" i="34"/>
  <c r="S8" i="34"/>
  <c r="K8" i="34"/>
  <c r="J8" i="34"/>
  <c r="I8" i="34"/>
  <c r="AX7" i="34"/>
  <c r="AW7" i="34"/>
  <c r="AS7" i="34"/>
  <c r="AR7" i="34"/>
  <c r="AN7" i="34"/>
  <c r="AM7" i="34"/>
  <c r="AI7" i="34"/>
  <c r="AH7" i="34"/>
  <c r="AD7" i="34"/>
  <c r="AC7" i="34"/>
  <c r="Y7" i="34"/>
  <c r="X7" i="34"/>
  <c r="T7" i="34"/>
  <c r="S7" i="34"/>
  <c r="K7" i="34"/>
  <c r="M14" i="34" s="1"/>
  <c r="J7" i="34"/>
  <c r="I7" i="34"/>
  <c r="H7" i="34"/>
  <c r="AW176" i="33"/>
  <c r="AR176" i="33"/>
  <c r="AM176" i="33"/>
  <c r="AH176" i="33"/>
  <c r="AC176" i="33"/>
  <c r="X176" i="33"/>
  <c r="S176" i="33"/>
  <c r="AW175" i="33"/>
  <c r="AR175" i="33"/>
  <c r="AM175" i="33"/>
  <c r="AH175" i="33"/>
  <c r="AC175" i="33"/>
  <c r="X175" i="33"/>
  <c r="S175" i="33"/>
  <c r="AW174" i="33"/>
  <c r="AR174" i="33"/>
  <c r="AM174" i="33"/>
  <c r="AH174" i="33"/>
  <c r="AC174" i="33"/>
  <c r="X174" i="33"/>
  <c r="S174" i="33"/>
  <c r="K174" i="33"/>
  <c r="J174" i="33"/>
  <c r="I174" i="33"/>
  <c r="AW173" i="33"/>
  <c r="AR173" i="33"/>
  <c r="AM173" i="33"/>
  <c r="AH173" i="33"/>
  <c r="AC173" i="33"/>
  <c r="X173" i="33"/>
  <c r="S173" i="33"/>
  <c r="K173" i="33"/>
  <c r="J173" i="33"/>
  <c r="I173" i="33"/>
  <c r="AW172" i="33"/>
  <c r="AR172" i="33"/>
  <c r="AM172" i="33"/>
  <c r="AH172" i="33"/>
  <c r="AC172" i="33"/>
  <c r="X172" i="33"/>
  <c r="S172" i="33"/>
  <c r="K172" i="33"/>
  <c r="J172" i="33"/>
  <c r="I172" i="33"/>
  <c r="AW171" i="33"/>
  <c r="AR171" i="33"/>
  <c r="AM171" i="33"/>
  <c r="AH171" i="33"/>
  <c r="AC171" i="33"/>
  <c r="X171" i="33"/>
  <c r="S171" i="33"/>
  <c r="K171" i="33"/>
  <c r="J171" i="33"/>
  <c r="I171" i="33"/>
  <c r="AW170" i="33"/>
  <c r="AR170" i="33"/>
  <c r="AM170" i="33"/>
  <c r="AH170" i="33"/>
  <c r="AC170" i="33"/>
  <c r="X170" i="33"/>
  <c r="S170" i="33"/>
  <c r="K170" i="33"/>
  <c r="J170" i="33"/>
  <c r="I170" i="33"/>
  <c r="AW169" i="33"/>
  <c r="AR169" i="33"/>
  <c r="AM169" i="33"/>
  <c r="AH169" i="33"/>
  <c r="AC169" i="33"/>
  <c r="X169" i="33"/>
  <c r="S169" i="33"/>
  <c r="K169" i="33"/>
  <c r="J169" i="33"/>
  <c r="I169" i="33"/>
  <c r="AW168" i="33"/>
  <c r="AR168" i="33"/>
  <c r="AM168" i="33"/>
  <c r="AH168" i="33"/>
  <c r="AC168" i="33"/>
  <c r="X168" i="33"/>
  <c r="S168" i="33"/>
  <c r="K168" i="33"/>
  <c r="J168" i="33"/>
  <c r="I168" i="33"/>
  <c r="AW167" i="33"/>
  <c r="AR167" i="33"/>
  <c r="AM167" i="33"/>
  <c r="AH167" i="33"/>
  <c r="AC167" i="33"/>
  <c r="X167" i="33"/>
  <c r="S167" i="33"/>
  <c r="K167" i="33"/>
  <c r="J167" i="33"/>
  <c r="I167" i="33"/>
  <c r="AW166" i="33"/>
  <c r="AR166" i="33"/>
  <c r="AM166" i="33"/>
  <c r="AH166" i="33"/>
  <c r="AC166" i="33"/>
  <c r="X166" i="33"/>
  <c r="S166" i="33"/>
  <c r="K166" i="33"/>
  <c r="J166" i="33"/>
  <c r="I166" i="33"/>
  <c r="AW165" i="33"/>
  <c r="AR165" i="33"/>
  <c r="AM165" i="33"/>
  <c r="AH165" i="33"/>
  <c r="AC165" i="33"/>
  <c r="X165" i="33"/>
  <c r="S165" i="33"/>
  <c r="K165" i="33"/>
  <c r="J165" i="33"/>
  <c r="I165" i="33"/>
  <c r="AW164" i="33"/>
  <c r="AR164" i="33"/>
  <c r="AM164" i="33"/>
  <c r="AH164" i="33"/>
  <c r="AC164" i="33"/>
  <c r="X164" i="33"/>
  <c r="S164" i="33"/>
  <c r="K164" i="33"/>
  <c r="J164" i="33"/>
  <c r="I164" i="33"/>
  <c r="AW163" i="33"/>
  <c r="AR163" i="33"/>
  <c r="AM163" i="33"/>
  <c r="AH163" i="33"/>
  <c r="AC163" i="33"/>
  <c r="X163" i="33"/>
  <c r="S163" i="33"/>
  <c r="K163" i="33"/>
  <c r="J163" i="33"/>
  <c r="I163" i="33"/>
  <c r="AW162" i="33"/>
  <c r="AR162" i="33"/>
  <c r="AM162" i="33"/>
  <c r="AH162" i="33"/>
  <c r="AC162" i="33"/>
  <c r="X162" i="33"/>
  <c r="S162" i="33"/>
  <c r="K162" i="33"/>
  <c r="J162" i="33"/>
  <c r="I162" i="33"/>
  <c r="AW161" i="33"/>
  <c r="AR161" i="33"/>
  <c r="AM161" i="33"/>
  <c r="AH161" i="33"/>
  <c r="AC161" i="33"/>
  <c r="X161" i="33"/>
  <c r="S161" i="33"/>
  <c r="K161" i="33"/>
  <c r="J161" i="33"/>
  <c r="I161" i="33"/>
  <c r="AW160" i="33"/>
  <c r="AR160" i="33"/>
  <c r="AM160" i="33"/>
  <c r="AH160" i="33"/>
  <c r="AC160" i="33"/>
  <c r="X160" i="33"/>
  <c r="S160" i="33"/>
  <c r="K160" i="33"/>
  <c r="J160" i="33"/>
  <c r="I160" i="33"/>
  <c r="AW159" i="33"/>
  <c r="AR159" i="33"/>
  <c r="AM159" i="33"/>
  <c r="AH159" i="33"/>
  <c r="AC159" i="33"/>
  <c r="X159" i="33"/>
  <c r="S159" i="33"/>
  <c r="K159" i="33"/>
  <c r="J159" i="33"/>
  <c r="I159" i="33"/>
  <c r="AW158" i="33"/>
  <c r="AR158" i="33"/>
  <c r="AM158" i="33"/>
  <c r="AH158" i="33"/>
  <c r="AC158" i="33"/>
  <c r="X158" i="33"/>
  <c r="S158" i="33"/>
  <c r="K158" i="33"/>
  <c r="J158" i="33"/>
  <c r="I158" i="33"/>
  <c r="AW157" i="33"/>
  <c r="AR157" i="33"/>
  <c r="AM157" i="33"/>
  <c r="AH157" i="33"/>
  <c r="AC157" i="33"/>
  <c r="X157" i="33"/>
  <c r="S157" i="33"/>
  <c r="K157" i="33"/>
  <c r="J157" i="33"/>
  <c r="I157" i="33"/>
  <c r="AW156" i="33"/>
  <c r="AR156" i="33"/>
  <c r="AM156" i="33"/>
  <c r="AH156" i="33"/>
  <c r="AC156" i="33"/>
  <c r="X156" i="33"/>
  <c r="S156" i="33"/>
  <c r="K156" i="33"/>
  <c r="J156" i="33"/>
  <c r="I156" i="33"/>
  <c r="AW155" i="33"/>
  <c r="AR155" i="33"/>
  <c r="AM155" i="33"/>
  <c r="AH155" i="33"/>
  <c r="AC155" i="33"/>
  <c r="X155" i="33"/>
  <c r="S155" i="33"/>
  <c r="K155" i="33"/>
  <c r="J155" i="33"/>
  <c r="I155" i="33"/>
  <c r="AW154" i="33"/>
  <c r="AR154" i="33"/>
  <c r="AM154" i="33"/>
  <c r="AH154" i="33"/>
  <c r="AC154" i="33"/>
  <c r="X154" i="33"/>
  <c r="S154" i="33"/>
  <c r="K154" i="33"/>
  <c r="J154" i="33"/>
  <c r="I154" i="33"/>
  <c r="AW153" i="33"/>
  <c r="AR153" i="33"/>
  <c r="AM153" i="33"/>
  <c r="AH153" i="33"/>
  <c r="AC153" i="33"/>
  <c r="X153" i="33"/>
  <c r="S153" i="33"/>
  <c r="K153" i="33"/>
  <c r="J153" i="33"/>
  <c r="I153" i="33"/>
  <c r="AW152" i="33"/>
  <c r="AR152" i="33"/>
  <c r="AM152" i="33"/>
  <c r="AH152" i="33"/>
  <c r="AC152" i="33"/>
  <c r="X152" i="33"/>
  <c r="S152" i="33"/>
  <c r="K152" i="33"/>
  <c r="J152" i="33"/>
  <c r="I152" i="33"/>
  <c r="AW151" i="33"/>
  <c r="AR151" i="33"/>
  <c r="AM151" i="33"/>
  <c r="AH151" i="33"/>
  <c r="AC151" i="33"/>
  <c r="X151" i="33"/>
  <c r="S151" i="33"/>
  <c r="K151" i="33"/>
  <c r="J151" i="33"/>
  <c r="I151" i="33"/>
  <c r="AW150" i="33"/>
  <c r="AR150" i="33"/>
  <c r="AM150" i="33"/>
  <c r="AH150" i="33"/>
  <c r="AC150" i="33"/>
  <c r="X150" i="33"/>
  <c r="S150" i="33"/>
  <c r="K150" i="33"/>
  <c r="J150" i="33"/>
  <c r="I150" i="33"/>
  <c r="AW149" i="33"/>
  <c r="AR149" i="33"/>
  <c r="AM149" i="33"/>
  <c r="AH149" i="33"/>
  <c r="AC149" i="33"/>
  <c r="X149" i="33"/>
  <c r="S149" i="33"/>
  <c r="K149" i="33"/>
  <c r="J149" i="33"/>
  <c r="I149" i="33"/>
  <c r="AW148" i="33"/>
  <c r="AR148" i="33"/>
  <c r="AM148" i="33"/>
  <c r="AH148" i="33"/>
  <c r="AC148" i="33"/>
  <c r="X148" i="33"/>
  <c r="S148" i="33"/>
  <c r="K148" i="33"/>
  <c r="J148" i="33"/>
  <c r="I148" i="33"/>
  <c r="AX147" i="33"/>
  <c r="AW147" i="33"/>
  <c r="AS147" i="33"/>
  <c r="AR147" i="33"/>
  <c r="AN147" i="33"/>
  <c r="AM147" i="33"/>
  <c r="AI147" i="33"/>
  <c r="AH147" i="33"/>
  <c r="AD147" i="33"/>
  <c r="AC147" i="33"/>
  <c r="Y147" i="33"/>
  <c r="X147" i="33"/>
  <c r="T147" i="33"/>
  <c r="S147" i="33"/>
  <c r="K147" i="33"/>
  <c r="J147" i="33"/>
  <c r="I147" i="33"/>
  <c r="H147" i="33"/>
  <c r="AW141" i="33"/>
  <c r="AR141" i="33"/>
  <c r="AM141" i="33"/>
  <c r="AH141" i="33"/>
  <c r="AC141" i="33"/>
  <c r="X141" i="33"/>
  <c r="S141" i="33"/>
  <c r="AW140" i="33"/>
  <c r="AR140" i="33"/>
  <c r="AM140" i="33"/>
  <c r="AH140" i="33"/>
  <c r="AC140" i="33"/>
  <c r="X140" i="33"/>
  <c r="S140" i="33"/>
  <c r="AW139" i="33"/>
  <c r="AR139" i="33"/>
  <c r="AM139" i="33"/>
  <c r="AH139" i="33"/>
  <c r="AC139" i="33"/>
  <c r="X139" i="33"/>
  <c r="S139" i="33"/>
  <c r="AW138" i="33"/>
  <c r="AR138" i="33"/>
  <c r="AM138" i="33"/>
  <c r="AH138" i="33"/>
  <c r="AC138" i="33"/>
  <c r="X138" i="33"/>
  <c r="S138" i="33"/>
  <c r="K138" i="33"/>
  <c r="J138" i="33"/>
  <c r="I138" i="33"/>
  <c r="AW137" i="33"/>
  <c r="AR137" i="33"/>
  <c r="AM137" i="33"/>
  <c r="AH137" i="33"/>
  <c r="AC137" i="33"/>
  <c r="X137" i="33"/>
  <c r="S137" i="33"/>
  <c r="K137" i="33"/>
  <c r="J137" i="33"/>
  <c r="I137" i="33"/>
  <c r="AW136" i="33"/>
  <c r="AR136" i="33"/>
  <c r="AM136" i="33"/>
  <c r="AH136" i="33"/>
  <c r="AC136" i="33"/>
  <c r="X136" i="33"/>
  <c r="S136" i="33"/>
  <c r="K136" i="33"/>
  <c r="J136" i="33"/>
  <c r="I136" i="33"/>
  <c r="AW135" i="33"/>
  <c r="AR135" i="33"/>
  <c r="AM135" i="33"/>
  <c r="AH135" i="33"/>
  <c r="AC135" i="33"/>
  <c r="X135" i="33"/>
  <c r="S135" i="33"/>
  <c r="K135" i="33"/>
  <c r="J135" i="33"/>
  <c r="I135" i="33"/>
  <c r="AW134" i="33"/>
  <c r="AR134" i="33"/>
  <c r="AM134" i="33"/>
  <c r="AH134" i="33"/>
  <c r="AC134" i="33"/>
  <c r="X134" i="33"/>
  <c r="S134" i="33"/>
  <c r="K134" i="33"/>
  <c r="J134" i="33"/>
  <c r="I134" i="33"/>
  <c r="AW133" i="33"/>
  <c r="AR133" i="33"/>
  <c r="AM133" i="33"/>
  <c r="AH133" i="33"/>
  <c r="AC133" i="33"/>
  <c r="X133" i="33"/>
  <c r="S133" i="33"/>
  <c r="K133" i="33"/>
  <c r="J133" i="33"/>
  <c r="I133" i="33"/>
  <c r="AW132" i="33"/>
  <c r="AR132" i="33"/>
  <c r="AM132" i="33"/>
  <c r="AH132" i="33"/>
  <c r="AC132" i="33"/>
  <c r="X132" i="33"/>
  <c r="S132" i="33"/>
  <c r="K132" i="33"/>
  <c r="J132" i="33"/>
  <c r="I132" i="33"/>
  <c r="AW131" i="33"/>
  <c r="AR131" i="33"/>
  <c r="AM131" i="33"/>
  <c r="AH131" i="33"/>
  <c r="AC131" i="33"/>
  <c r="X131" i="33"/>
  <c r="S131" i="33"/>
  <c r="K131" i="33"/>
  <c r="J131" i="33"/>
  <c r="I131" i="33"/>
  <c r="AW130" i="33"/>
  <c r="AR130" i="33"/>
  <c r="AM130" i="33"/>
  <c r="AH130" i="33"/>
  <c r="AC130" i="33"/>
  <c r="X130" i="33"/>
  <c r="S130" i="33"/>
  <c r="K130" i="33"/>
  <c r="J130" i="33"/>
  <c r="I130" i="33"/>
  <c r="AW129" i="33"/>
  <c r="AR129" i="33"/>
  <c r="AM129" i="33"/>
  <c r="AH129" i="33"/>
  <c r="AC129" i="33"/>
  <c r="X129" i="33"/>
  <c r="S129" i="33"/>
  <c r="K129" i="33"/>
  <c r="J129" i="33"/>
  <c r="I129" i="33"/>
  <c r="AW128" i="33"/>
  <c r="AR128" i="33"/>
  <c r="AM128" i="33"/>
  <c r="AH128" i="33"/>
  <c r="AC128" i="33"/>
  <c r="X128" i="33"/>
  <c r="S128" i="33"/>
  <c r="K128" i="33"/>
  <c r="J128" i="33"/>
  <c r="I128" i="33"/>
  <c r="AW127" i="33"/>
  <c r="AR127" i="33"/>
  <c r="AM127" i="33"/>
  <c r="AH127" i="33"/>
  <c r="AC127" i="33"/>
  <c r="X127" i="33"/>
  <c r="S127" i="33"/>
  <c r="K127" i="33"/>
  <c r="J127" i="33"/>
  <c r="I127" i="33"/>
  <c r="AW126" i="33"/>
  <c r="AR126" i="33"/>
  <c r="AM126" i="33"/>
  <c r="AH126" i="33"/>
  <c r="AC126" i="33"/>
  <c r="X126" i="33"/>
  <c r="S126" i="33"/>
  <c r="K126" i="33"/>
  <c r="J126" i="33"/>
  <c r="I126" i="33"/>
  <c r="AW125" i="33"/>
  <c r="AR125" i="33"/>
  <c r="AM125" i="33"/>
  <c r="AH125" i="33"/>
  <c r="AC125" i="33"/>
  <c r="X125" i="33"/>
  <c r="S125" i="33"/>
  <c r="K125" i="33"/>
  <c r="J125" i="33"/>
  <c r="I125" i="33"/>
  <c r="AW124" i="33"/>
  <c r="AR124" i="33"/>
  <c r="AM124" i="33"/>
  <c r="AH124" i="33"/>
  <c r="AC124" i="33"/>
  <c r="X124" i="33"/>
  <c r="S124" i="33"/>
  <c r="K124" i="33"/>
  <c r="J124" i="33"/>
  <c r="I124" i="33"/>
  <c r="AW123" i="33"/>
  <c r="AR123" i="33"/>
  <c r="AM123" i="33"/>
  <c r="AH123" i="33"/>
  <c r="AC123" i="33"/>
  <c r="X123" i="33"/>
  <c r="S123" i="33"/>
  <c r="K123" i="33"/>
  <c r="J123" i="33"/>
  <c r="I123" i="33"/>
  <c r="AW122" i="33"/>
  <c r="AR122" i="33"/>
  <c r="AM122" i="33"/>
  <c r="AH122" i="33"/>
  <c r="AC122" i="33"/>
  <c r="X122" i="33"/>
  <c r="S122" i="33"/>
  <c r="K122" i="33"/>
  <c r="J122" i="33"/>
  <c r="I122" i="33"/>
  <c r="AW121" i="33"/>
  <c r="AR121" i="33"/>
  <c r="AM121" i="33"/>
  <c r="AH121" i="33"/>
  <c r="AC121" i="33"/>
  <c r="X121" i="33"/>
  <c r="S121" i="33"/>
  <c r="K121" i="33"/>
  <c r="J121" i="33"/>
  <c r="I121" i="33"/>
  <c r="AW120" i="33"/>
  <c r="AR120" i="33"/>
  <c r="AM120" i="33"/>
  <c r="AH120" i="33"/>
  <c r="AC120" i="33"/>
  <c r="X120" i="33"/>
  <c r="S120" i="33"/>
  <c r="K120" i="33"/>
  <c r="J120" i="33"/>
  <c r="I120" i="33"/>
  <c r="AW119" i="33"/>
  <c r="AR119" i="33"/>
  <c r="AM119" i="33"/>
  <c r="AH119" i="33"/>
  <c r="AC119" i="33"/>
  <c r="X119" i="33"/>
  <c r="S119" i="33"/>
  <c r="K119" i="33"/>
  <c r="J119" i="33"/>
  <c r="I119" i="33"/>
  <c r="AW118" i="33"/>
  <c r="AR118" i="33"/>
  <c r="AM118" i="33"/>
  <c r="AH118" i="33"/>
  <c r="AC118" i="33"/>
  <c r="X118" i="33"/>
  <c r="S118" i="33"/>
  <c r="K118" i="33"/>
  <c r="J118" i="33"/>
  <c r="I118" i="33"/>
  <c r="AW117" i="33"/>
  <c r="AR117" i="33"/>
  <c r="AM117" i="33"/>
  <c r="AH117" i="33"/>
  <c r="AC117" i="33"/>
  <c r="X117" i="33"/>
  <c r="S117" i="33"/>
  <c r="K117" i="33"/>
  <c r="J117" i="33"/>
  <c r="I117" i="33"/>
  <c r="AW116" i="33"/>
  <c r="AR116" i="33"/>
  <c r="AM116" i="33"/>
  <c r="AH116" i="33"/>
  <c r="AC116" i="33"/>
  <c r="X116" i="33"/>
  <c r="S116" i="33"/>
  <c r="K116" i="33"/>
  <c r="J116" i="33"/>
  <c r="I116" i="33"/>
  <c r="AW115" i="33"/>
  <c r="AR115" i="33"/>
  <c r="AM115" i="33"/>
  <c r="AH115" i="33"/>
  <c r="AC115" i="33"/>
  <c r="X115" i="33"/>
  <c r="S115" i="33"/>
  <c r="K115" i="33"/>
  <c r="J115" i="33"/>
  <c r="I115" i="33"/>
  <c r="AW114" i="33"/>
  <c r="AR114" i="33"/>
  <c r="AM114" i="33"/>
  <c r="AH114" i="33"/>
  <c r="AC114" i="33"/>
  <c r="X114" i="33"/>
  <c r="S114" i="33"/>
  <c r="K114" i="33"/>
  <c r="M114" i="33" s="1"/>
  <c r="J114" i="33"/>
  <c r="I114" i="33"/>
  <c r="AW113" i="33"/>
  <c r="AR113" i="33"/>
  <c r="AM113" i="33"/>
  <c r="AH113" i="33"/>
  <c r="AC113" i="33"/>
  <c r="X113" i="33"/>
  <c r="S113" i="33"/>
  <c r="K113" i="33"/>
  <c r="J113" i="33"/>
  <c r="I113" i="33"/>
  <c r="AX112" i="33"/>
  <c r="AW112" i="33"/>
  <c r="AS112" i="33"/>
  <c r="AR112" i="33"/>
  <c r="AN112" i="33"/>
  <c r="AM112" i="33"/>
  <c r="AI112" i="33"/>
  <c r="AH112" i="33"/>
  <c r="AD112" i="33"/>
  <c r="AC112" i="33"/>
  <c r="Y112" i="33"/>
  <c r="X112" i="33"/>
  <c r="T112" i="33"/>
  <c r="S112" i="33"/>
  <c r="K112" i="33"/>
  <c r="J112" i="33"/>
  <c r="I112" i="33"/>
  <c r="H112" i="33"/>
  <c r="AW106" i="33"/>
  <c r="AR106" i="33"/>
  <c r="AM106" i="33"/>
  <c r="AH106" i="33"/>
  <c r="AC106" i="33"/>
  <c r="X106" i="33"/>
  <c r="S106" i="33"/>
  <c r="AW105" i="33"/>
  <c r="AR105" i="33"/>
  <c r="AM105" i="33"/>
  <c r="AH105" i="33"/>
  <c r="AC105" i="33"/>
  <c r="X105" i="33"/>
  <c r="S105" i="33"/>
  <c r="AW104" i="33"/>
  <c r="AR104" i="33"/>
  <c r="AM104" i="33"/>
  <c r="AH104" i="33"/>
  <c r="AC104" i="33"/>
  <c r="X104" i="33"/>
  <c r="S104" i="33"/>
  <c r="AW103" i="33"/>
  <c r="AR103" i="33"/>
  <c r="AM103" i="33"/>
  <c r="AH103" i="33"/>
  <c r="AC103" i="33"/>
  <c r="X103" i="33"/>
  <c r="S103" i="33"/>
  <c r="AW102" i="33"/>
  <c r="AR102" i="33"/>
  <c r="AM102" i="33"/>
  <c r="AH102" i="33"/>
  <c r="AC102" i="33"/>
  <c r="X102" i="33"/>
  <c r="S102" i="33"/>
  <c r="AW101" i="33"/>
  <c r="AR101" i="33"/>
  <c r="AM101" i="33"/>
  <c r="AH101" i="33"/>
  <c r="AC101" i="33"/>
  <c r="X101" i="33"/>
  <c r="S101" i="33"/>
  <c r="K101" i="33"/>
  <c r="J101" i="33"/>
  <c r="I101" i="33"/>
  <c r="AW100" i="33"/>
  <c r="AR100" i="33"/>
  <c r="AM100" i="33"/>
  <c r="AH100" i="33"/>
  <c r="AC100" i="33"/>
  <c r="X100" i="33"/>
  <c r="S100" i="33"/>
  <c r="K100" i="33"/>
  <c r="J100" i="33"/>
  <c r="I100" i="33"/>
  <c r="AW99" i="33"/>
  <c r="AR99" i="33"/>
  <c r="AM99" i="33"/>
  <c r="AH99" i="33"/>
  <c r="AC99" i="33"/>
  <c r="X99" i="33"/>
  <c r="S99" i="33"/>
  <c r="K99" i="33"/>
  <c r="J99" i="33"/>
  <c r="I99" i="33"/>
  <c r="AW98" i="33"/>
  <c r="AR98" i="33"/>
  <c r="AM98" i="33"/>
  <c r="AH98" i="33"/>
  <c r="AC98" i="33"/>
  <c r="X98" i="33"/>
  <c r="S98" i="33"/>
  <c r="K98" i="33"/>
  <c r="J98" i="33"/>
  <c r="I98" i="33"/>
  <c r="AW97" i="33"/>
  <c r="AR97" i="33"/>
  <c r="AM97" i="33"/>
  <c r="AH97" i="33"/>
  <c r="AC97" i="33"/>
  <c r="X97" i="33"/>
  <c r="S97" i="33"/>
  <c r="K97" i="33"/>
  <c r="J97" i="33"/>
  <c r="I97" i="33"/>
  <c r="AW96" i="33"/>
  <c r="AR96" i="33"/>
  <c r="AM96" i="33"/>
  <c r="AH96" i="33"/>
  <c r="AC96" i="33"/>
  <c r="X96" i="33"/>
  <c r="S96" i="33"/>
  <c r="K96" i="33"/>
  <c r="J96" i="33"/>
  <c r="I96" i="33"/>
  <c r="AW95" i="33"/>
  <c r="AR95" i="33"/>
  <c r="AM95" i="33"/>
  <c r="AH95" i="33"/>
  <c r="AC95" i="33"/>
  <c r="X95" i="33"/>
  <c r="S95" i="33"/>
  <c r="K95" i="33"/>
  <c r="J95" i="33"/>
  <c r="I95" i="33"/>
  <c r="AW94" i="33"/>
  <c r="AR94" i="33"/>
  <c r="AM94" i="33"/>
  <c r="AH94" i="33"/>
  <c r="AC94" i="33"/>
  <c r="X94" i="33"/>
  <c r="S94" i="33"/>
  <c r="K94" i="33"/>
  <c r="J94" i="33"/>
  <c r="I94" i="33"/>
  <c r="AW93" i="33"/>
  <c r="AR93" i="33"/>
  <c r="AM93" i="33"/>
  <c r="AH93" i="33"/>
  <c r="AC93" i="33"/>
  <c r="X93" i="33"/>
  <c r="S93" i="33"/>
  <c r="K93" i="33"/>
  <c r="J93" i="33"/>
  <c r="I93" i="33"/>
  <c r="AW92" i="33"/>
  <c r="AR92" i="33"/>
  <c r="AM92" i="33"/>
  <c r="AH92" i="33"/>
  <c r="AC92" i="33"/>
  <c r="X92" i="33"/>
  <c r="S92" i="33"/>
  <c r="K92" i="33"/>
  <c r="J92" i="33"/>
  <c r="I92" i="33"/>
  <c r="AW91" i="33"/>
  <c r="AR91" i="33"/>
  <c r="AM91" i="33"/>
  <c r="AH91" i="33"/>
  <c r="AC91" i="33"/>
  <c r="X91" i="33"/>
  <c r="S91" i="33"/>
  <c r="K91" i="33"/>
  <c r="J91" i="33"/>
  <c r="I91" i="33"/>
  <c r="AW90" i="33"/>
  <c r="AR90" i="33"/>
  <c r="AM90" i="33"/>
  <c r="AH90" i="33"/>
  <c r="AC90" i="33"/>
  <c r="X90" i="33"/>
  <c r="S90" i="33"/>
  <c r="K90" i="33"/>
  <c r="J90" i="33"/>
  <c r="I90" i="33"/>
  <c r="AW89" i="33"/>
  <c r="AR89" i="33"/>
  <c r="AM89" i="33"/>
  <c r="AH89" i="33"/>
  <c r="AC89" i="33"/>
  <c r="X89" i="33"/>
  <c r="S89" i="33"/>
  <c r="K89" i="33"/>
  <c r="J89" i="33"/>
  <c r="I89" i="33"/>
  <c r="AW88" i="33"/>
  <c r="AR88" i="33"/>
  <c r="AM88" i="33"/>
  <c r="AH88" i="33"/>
  <c r="AC88" i="33"/>
  <c r="X88" i="33"/>
  <c r="S88" i="33"/>
  <c r="K88" i="33"/>
  <c r="M88" i="33" s="1"/>
  <c r="J88" i="33"/>
  <c r="I88" i="33"/>
  <c r="AW87" i="33"/>
  <c r="AR87" i="33"/>
  <c r="AM87" i="33"/>
  <c r="AH87" i="33"/>
  <c r="AC87" i="33"/>
  <c r="X87" i="33"/>
  <c r="S87" i="33"/>
  <c r="K87" i="33"/>
  <c r="J87" i="33"/>
  <c r="I87" i="33"/>
  <c r="AW86" i="33"/>
  <c r="AR86" i="33"/>
  <c r="AM86" i="33"/>
  <c r="AH86" i="33"/>
  <c r="AC86" i="33"/>
  <c r="X86" i="33"/>
  <c r="S86" i="33"/>
  <c r="K86" i="33"/>
  <c r="J86" i="33"/>
  <c r="I86" i="33"/>
  <c r="AW85" i="33"/>
  <c r="AR85" i="33"/>
  <c r="AM85" i="33"/>
  <c r="AH85" i="33"/>
  <c r="AC85" i="33"/>
  <c r="X85" i="33"/>
  <c r="S85" i="33"/>
  <c r="K85" i="33"/>
  <c r="J85" i="33"/>
  <c r="I85" i="33"/>
  <c r="AW84" i="33"/>
  <c r="AR84" i="33"/>
  <c r="AM84" i="33"/>
  <c r="AH84" i="33"/>
  <c r="AC84" i="33"/>
  <c r="X84" i="33"/>
  <c r="S84" i="33"/>
  <c r="K84" i="33"/>
  <c r="J84" i="33"/>
  <c r="I84" i="33"/>
  <c r="AW83" i="33"/>
  <c r="AR83" i="33"/>
  <c r="AM83" i="33"/>
  <c r="AH83" i="33"/>
  <c r="AC83" i="33"/>
  <c r="X83" i="33"/>
  <c r="S83" i="33"/>
  <c r="K83" i="33"/>
  <c r="J83" i="33"/>
  <c r="I83" i="33"/>
  <c r="AW82" i="33"/>
  <c r="AR82" i="33"/>
  <c r="AM82" i="33"/>
  <c r="AH82" i="33"/>
  <c r="AC82" i="33"/>
  <c r="X82" i="33"/>
  <c r="S82" i="33"/>
  <c r="K82" i="33"/>
  <c r="M82" i="33" s="1"/>
  <c r="J82" i="33"/>
  <c r="I82" i="33"/>
  <c r="AW81" i="33"/>
  <c r="AR81" i="33"/>
  <c r="AM81" i="33"/>
  <c r="AH81" i="33"/>
  <c r="AC81" i="33"/>
  <c r="X81" i="33"/>
  <c r="S81" i="33"/>
  <c r="K81" i="33"/>
  <c r="J81" i="33"/>
  <c r="I81" i="33"/>
  <c r="AW80" i="33"/>
  <c r="AR80" i="33"/>
  <c r="AM80" i="33"/>
  <c r="AH80" i="33"/>
  <c r="AC80" i="33"/>
  <c r="X80" i="33"/>
  <c r="S80" i="33"/>
  <c r="K80" i="33"/>
  <c r="J80" i="33"/>
  <c r="I80" i="33"/>
  <c r="AW79" i="33"/>
  <c r="AR79" i="33"/>
  <c r="AM79" i="33"/>
  <c r="AH79" i="33"/>
  <c r="AC79" i="33"/>
  <c r="X79" i="33"/>
  <c r="S79" i="33"/>
  <c r="K79" i="33"/>
  <c r="J79" i="33"/>
  <c r="I79" i="33"/>
  <c r="AW78" i="33"/>
  <c r="AR78" i="33"/>
  <c r="AM78" i="33"/>
  <c r="AH78" i="33"/>
  <c r="AC78" i="33"/>
  <c r="X78" i="33"/>
  <c r="S78" i="33"/>
  <c r="K78" i="33"/>
  <c r="J78" i="33"/>
  <c r="I78" i="33"/>
  <c r="AX77" i="33"/>
  <c r="AW77" i="33"/>
  <c r="AS77" i="33"/>
  <c r="AR77" i="33"/>
  <c r="AN77" i="33"/>
  <c r="AM77" i="33"/>
  <c r="AI77" i="33"/>
  <c r="AH77" i="33"/>
  <c r="AD77" i="33"/>
  <c r="AC77" i="33"/>
  <c r="Y77" i="33"/>
  <c r="X77" i="33"/>
  <c r="T77" i="33"/>
  <c r="S77" i="33"/>
  <c r="K77" i="33"/>
  <c r="J77" i="33"/>
  <c r="I77" i="33"/>
  <c r="H77" i="33"/>
  <c r="U72" i="33"/>
  <c r="Z72" i="33" s="1"/>
  <c r="AE72" i="33" s="1"/>
  <c r="AJ72" i="33" s="1"/>
  <c r="AO72" i="33" s="1"/>
  <c r="AT72" i="33" s="1"/>
  <c r="P72" i="33"/>
  <c r="P107" i="33" s="1"/>
  <c r="AW71" i="33"/>
  <c r="AW70" i="33"/>
  <c r="AW69" i="33"/>
  <c r="AW68" i="33"/>
  <c r="AQ68" i="33"/>
  <c r="AR71" i="33" s="1"/>
  <c r="AP68" i="33"/>
  <c r="AO68" i="33"/>
  <c r="AL68" i="33"/>
  <c r="AM68" i="33" s="1"/>
  <c r="AK68" i="33"/>
  <c r="AJ68" i="33"/>
  <c r="AG68" i="33"/>
  <c r="AH68" i="33" s="1"/>
  <c r="AF68" i="33"/>
  <c r="AE68" i="33"/>
  <c r="AB68" i="33"/>
  <c r="AC71" i="33" s="1"/>
  <c r="AA68" i="33"/>
  <c r="Z68" i="33"/>
  <c r="W68" i="33"/>
  <c r="X71" i="33" s="1"/>
  <c r="V68" i="33"/>
  <c r="U68" i="33"/>
  <c r="I68" i="33" s="1"/>
  <c r="R68" i="33"/>
  <c r="S68" i="33" s="1"/>
  <c r="Q68" i="33"/>
  <c r="P68" i="33"/>
  <c r="AW67" i="33"/>
  <c r="AR67" i="33"/>
  <c r="K67" i="33"/>
  <c r="J67" i="33"/>
  <c r="I67" i="33"/>
  <c r="AW66" i="33"/>
  <c r="AC66" i="33"/>
  <c r="K66" i="33"/>
  <c r="J66" i="33"/>
  <c r="I66" i="33"/>
  <c r="AW65" i="33"/>
  <c r="AR65" i="33"/>
  <c r="K65" i="33"/>
  <c r="J65" i="33"/>
  <c r="I65" i="33"/>
  <c r="AW64" i="33"/>
  <c r="AC64" i="33"/>
  <c r="K64" i="33"/>
  <c r="J64" i="33"/>
  <c r="I64" i="33"/>
  <c r="AW63" i="33"/>
  <c r="AR63" i="33"/>
  <c r="AH63" i="33"/>
  <c r="X63" i="33"/>
  <c r="K63" i="33"/>
  <c r="J63" i="33"/>
  <c r="I63" i="33"/>
  <c r="AW62" i="33"/>
  <c r="AC62" i="33"/>
  <c r="K62" i="33"/>
  <c r="J62" i="33"/>
  <c r="I62" i="33"/>
  <c r="AW61" i="33"/>
  <c r="AR61" i="33"/>
  <c r="AC61" i="33"/>
  <c r="X61" i="33"/>
  <c r="K61" i="33"/>
  <c r="J61" i="33"/>
  <c r="I61" i="33"/>
  <c r="AW60" i="33"/>
  <c r="AR60" i="33"/>
  <c r="AH60" i="33"/>
  <c r="AC60" i="33"/>
  <c r="K60" i="33"/>
  <c r="J60" i="33"/>
  <c r="I60" i="33"/>
  <c r="AW59" i="33"/>
  <c r="AR59" i="33"/>
  <c r="AM59" i="33"/>
  <c r="AC59" i="33"/>
  <c r="K59" i="33"/>
  <c r="J59" i="33"/>
  <c r="I59" i="33"/>
  <c r="AW58" i="33"/>
  <c r="AR58" i="33"/>
  <c r="AC58" i="33"/>
  <c r="X58" i="33"/>
  <c r="K58" i="33"/>
  <c r="J58" i="33"/>
  <c r="I58" i="33"/>
  <c r="AW57" i="33"/>
  <c r="AR57" i="33"/>
  <c r="AC57" i="33"/>
  <c r="X57" i="33"/>
  <c r="K57" i="33"/>
  <c r="J57" i="33"/>
  <c r="I57" i="33"/>
  <c r="AW56" i="33"/>
  <c r="AR56" i="33"/>
  <c r="AC56" i="33"/>
  <c r="X56" i="33"/>
  <c r="K56" i="33"/>
  <c r="J56" i="33"/>
  <c r="I56" i="33"/>
  <c r="AW55" i="33"/>
  <c r="AR55" i="33"/>
  <c r="AC55" i="33"/>
  <c r="X55" i="33"/>
  <c r="K55" i="33"/>
  <c r="J55" i="33"/>
  <c r="I55" i="33"/>
  <c r="AW54" i="33"/>
  <c r="AR54" i="33"/>
  <c r="AC54" i="33"/>
  <c r="X54" i="33"/>
  <c r="K54" i="33"/>
  <c r="J54" i="33"/>
  <c r="I54" i="33"/>
  <c r="AW53" i="33"/>
  <c r="AR53" i="33"/>
  <c r="AM53" i="33"/>
  <c r="AC53" i="33"/>
  <c r="X53" i="33"/>
  <c r="K53" i="33"/>
  <c r="J53" i="33"/>
  <c r="I53" i="33"/>
  <c r="AW52" i="33"/>
  <c r="AR52" i="33"/>
  <c r="AC52" i="33"/>
  <c r="X52" i="33"/>
  <c r="K52" i="33"/>
  <c r="J52" i="33"/>
  <c r="I52" i="33"/>
  <c r="AW51" i="33"/>
  <c r="AR51" i="33"/>
  <c r="AH51" i="33"/>
  <c r="AC51" i="33"/>
  <c r="X51" i="33"/>
  <c r="K51" i="33"/>
  <c r="J51" i="33"/>
  <c r="I51" i="33"/>
  <c r="AW50" i="33"/>
  <c r="AR50" i="33"/>
  <c r="AH50" i="33"/>
  <c r="AC50" i="33"/>
  <c r="X50" i="33"/>
  <c r="K50" i="33"/>
  <c r="J50" i="33"/>
  <c r="I50" i="33"/>
  <c r="AW49" i="33"/>
  <c r="AR49" i="33"/>
  <c r="AC49" i="33"/>
  <c r="X49" i="33"/>
  <c r="K49" i="33"/>
  <c r="J49" i="33"/>
  <c r="I49" i="33"/>
  <c r="AW48" i="33"/>
  <c r="AR48" i="33"/>
  <c r="AH48" i="33"/>
  <c r="AC48" i="33"/>
  <c r="X48" i="33"/>
  <c r="K48" i="33"/>
  <c r="J48" i="33"/>
  <c r="I48" i="33"/>
  <c r="AW47" i="33"/>
  <c r="AR47" i="33"/>
  <c r="AM47" i="33"/>
  <c r="AC47" i="33"/>
  <c r="X47" i="33"/>
  <c r="K47" i="33"/>
  <c r="J47" i="33"/>
  <c r="I47" i="33"/>
  <c r="AW46" i="33"/>
  <c r="AR46" i="33"/>
  <c r="AH46" i="33"/>
  <c r="AC46" i="33"/>
  <c r="X46" i="33"/>
  <c r="K46" i="33"/>
  <c r="J46" i="33"/>
  <c r="I46" i="33"/>
  <c r="AW45" i="33"/>
  <c r="AR45" i="33"/>
  <c r="AC45" i="33"/>
  <c r="X45" i="33"/>
  <c r="K45" i="33"/>
  <c r="J45" i="33"/>
  <c r="I45" i="33"/>
  <c r="AW44" i="33"/>
  <c r="AR44" i="33"/>
  <c r="AC44" i="33"/>
  <c r="X44" i="33"/>
  <c r="K44" i="33"/>
  <c r="J44" i="33"/>
  <c r="I44" i="33"/>
  <c r="AW43" i="33"/>
  <c r="AR43" i="33"/>
  <c r="AH43" i="33"/>
  <c r="AC43" i="33"/>
  <c r="X43" i="33"/>
  <c r="K43" i="33"/>
  <c r="J43" i="33"/>
  <c r="I43" i="33"/>
  <c r="AX42" i="33"/>
  <c r="AW42" i="33"/>
  <c r="AS42" i="33"/>
  <c r="AR42" i="33"/>
  <c r="AI42" i="33"/>
  <c r="AH42" i="33"/>
  <c r="AD42" i="33"/>
  <c r="AC42" i="33"/>
  <c r="Y42" i="33"/>
  <c r="X42" i="33"/>
  <c r="K42" i="33"/>
  <c r="J42" i="33"/>
  <c r="I42" i="33"/>
  <c r="H42" i="33"/>
  <c r="U37" i="33"/>
  <c r="Z37" i="33" s="1"/>
  <c r="AE37" i="33" s="1"/>
  <c r="AJ37" i="33" s="1"/>
  <c r="AO37" i="33" s="1"/>
  <c r="AT37" i="33" s="1"/>
  <c r="AW36" i="33"/>
  <c r="AR36" i="33"/>
  <c r="AM36" i="33"/>
  <c r="AH36" i="33"/>
  <c r="AC36" i="33"/>
  <c r="X36" i="33"/>
  <c r="S36" i="33"/>
  <c r="AW35" i="33"/>
  <c r="AR35" i="33"/>
  <c r="AM35" i="33"/>
  <c r="AH35" i="33"/>
  <c r="AC35" i="33"/>
  <c r="X35" i="33"/>
  <c r="S35" i="33"/>
  <c r="AW34" i="33"/>
  <c r="AR34" i="33"/>
  <c r="AM34" i="33"/>
  <c r="AH34" i="33"/>
  <c r="AC34" i="33"/>
  <c r="X34" i="33"/>
  <c r="S34" i="33"/>
  <c r="AW33" i="33"/>
  <c r="AR33" i="33"/>
  <c r="AM33" i="33"/>
  <c r="AH33" i="33"/>
  <c r="AC33" i="33"/>
  <c r="X33" i="33"/>
  <c r="S33" i="33"/>
  <c r="AW32" i="33"/>
  <c r="AR32" i="33"/>
  <c r="AM32" i="33"/>
  <c r="AH32" i="33"/>
  <c r="AC32" i="33"/>
  <c r="X32" i="33"/>
  <c r="S32" i="33"/>
  <c r="AW31" i="33"/>
  <c r="AR31" i="33"/>
  <c r="AM31" i="33"/>
  <c r="AH31" i="33"/>
  <c r="AC31" i="33"/>
  <c r="X31" i="33"/>
  <c r="S31" i="33"/>
  <c r="K31" i="33"/>
  <c r="J31" i="33"/>
  <c r="I31" i="33"/>
  <c r="AW30" i="33"/>
  <c r="AR30" i="33"/>
  <c r="AM30" i="33"/>
  <c r="AH30" i="33"/>
  <c r="AC30" i="33"/>
  <c r="X30" i="33"/>
  <c r="S30" i="33"/>
  <c r="K30" i="33"/>
  <c r="J30" i="33"/>
  <c r="I30" i="33"/>
  <c r="AW29" i="33"/>
  <c r="AR29" i="33"/>
  <c r="AM29" i="33"/>
  <c r="AH29" i="33"/>
  <c r="AC29" i="33"/>
  <c r="X29" i="33"/>
  <c r="S29" i="33"/>
  <c r="K29" i="33"/>
  <c r="J29" i="33"/>
  <c r="I29" i="33"/>
  <c r="AW28" i="33"/>
  <c r="AR28" i="33"/>
  <c r="AM28" i="33"/>
  <c r="AH28" i="33"/>
  <c r="AC28" i="33"/>
  <c r="X28" i="33"/>
  <c r="S28" i="33"/>
  <c r="K28" i="33"/>
  <c r="J28" i="33"/>
  <c r="I28" i="33"/>
  <c r="AW27" i="33"/>
  <c r="AR27" i="33"/>
  <c r="AM27" i="33"/>
  <c r="AH27" i="33"/>
  <c r="AC27" i="33"/>
  <c r="X27" i="33"/>
  <c r="S27" i="33"/>
  <c r="K27" i="33"/>
  <c r="J27" i="33"/>
  <c r="I27" i="33"/>
  <c r="AW26" i="33"/>
  <c r="AR26" i="33"/>
  <c r="AM26" i="33"/>
  <c r="AH26" i="33"/>
  <c r="AC26" i="33"/>
  <c r="X26" i="33"/>
  <c r="S26" i="33"/>
  <c r="K26" i="33"/>
  <c r="J26" i="33"/>
  <c r="I26" i="33"/>
  <c r="AW25" i="33"/>
  <c r="AR25" i="33"/>
  <c r="AM25" i="33"/>
  <c r="AH25" i="33"/>
  <c r="AC25" i="33"/>
  <c r="X25" i="33"/>
  <c r="S25" i="33"/>
  <c r="K25" i="33"/>
  <c r="J25" i="33"/>
  <c r="I25" i="33"/>
  <c r="AW24" i="33"/>
  <c r="AR24" i="33"/>
  <c r="AM24" i="33"/>
  <c r="AH24" i="33"/>
  <c r="AC24" i="33"/>
  <c r="X24" i="33"/>
  <c r="S24" i="33"/>
  <c r="K24" i="33"/>
  <c r="J24" i="33"/>
  <c r="I24" i="33"/>
  <c r="AW23" i="33"/>
  <c r="AR23" i="33"/>
  <c r="AM23" i="33"/>
  <c r="AH23" i="33"/>
  <c r="AC23" i="33"/>
  <c r="X23" i="33"/>
  <c r="S23" i="33"/>
  <c r="K23" i="33"/>
  <c r="J23" i="33"/>
  <c r="I23" i="33"/>
  <c r="AW22" i="33"/>
  <c r="AR22" i="33"/>
  <c r="AM22" i="33"/>
  <c r="AH22" i="33"/>
  <c r="AC22" i="33"/>
  <c r="X22" i="33"/>
  <c r="S22" i="33"/>
  <c r="K22" i="33"/>
  <c r="J22" i="33"/>
  <c r="I22" i="33"/>
  <c r="AW21" i="33"/>
  <c r="AR21" i="33"/>
  <c r="AM21" i="33"/>
  <c r="AH21" i="33"/>
  <c r="AC21" i="33"/>
  <c r="X21" i="33"/>
  <c r="S21" i="33"/>
  <c r="K21" i="33"/>
  <c r="J21" i="33"/>
  <c r="I21" i="33"/>
  <c r="AW20" i="33"/>
  <c r="AR20" i="33"/>
  <c r="AM20" i="33"/>
  <c r="AH20" i="33"/>
  <c r="AC20" i="33"/>
  <c r="X20" i="33"/>
  <c r="S20" i="33"/>
  <c r="K20" i="33"/>
  <c r="J20" i="33"/>
  <c r="I20" i="33"/>
  <c r="AW19" i="33"/>
  <c r="AR19" i="33"/>
  <c r="AM19" i="33"/>
  <c r="AH19" i="33"/>
  <c r="AC19" i="33"/>
  <c r="X19" i="33"/>
  <c r="S19" i="33"/>
  <c r="K19" i="33"/>
  <c r="J19" i="33"/>
  <c r="I19" i="33"/>
  <c r="AW18" i="33"/>
  <c r="AR18" i="33"/>
  <c r="AM18" i="33"/>
  <c r="AH18" i="33"/>
  <c r="AC18" i="33"/>
  <c r="X18" i="33"/>
  <c r="S18" i="33"/>
  <c r="K18" i="33"/>
  <c r="J18" i="33"/>
  <c r="I18" i="33"/>
  <c r="AW17" i="33"/>
  <c r="AR17" i="33"/>
  <c r="AM17" i="33"/>
  <c r="AH17" i="33"/>
  <c r="AC17" i="33"/>
  <c r="X17" i="33"/>
  <c r="S17" i="33"/>
  <c r="K17" i="33"/>
  <c r="J17" i="33"/>
  <c r="I17" i="33"/>
  <c r="AW16" i="33"/>
  <c r="AR16" i="33"/>
  <c r="AM16" i="33"/>
  <c r="AH16" i="33"/>
  <c r="AC16" i="33"/>
  <c r="X16" i="33"/>
  <c r="S16" i="33"/>
  <c r="K16" i="33"/>
  <c r="J16" i="33"/>
  <c r="I16" i="33"/>
  <c r="AW15" i="33"/>
  <c r="AR15" i="33"/>
  <c r="AM15" i="33"/>
  <c r="AH15" i="33"/>
  <c r="AC15" i="33"/>
  <c r="X15" i="33"/>
  <c r="S15" i="33"/>
  <c r="K15" i="33"/>
  <c r="J15" i="33"/>
  <c r="I15" i="33"/>
  <c r="AW14" i="33"/>
  <c r="AR14" i="33"/>
  <c r="AM14" i="33"/>
  <c r="AH14" i="33"/>
  <c r="AC14" i="33"/>
  <c r="X14" i="33"/>
  <c r="S14" i="33"/>
  <c r="K14" i="33"/>
  <c r="J14" i="33"/>
  <c r="I14" i="33"/>
  <c r="AW13" i="33"/>
  <c r="AR13" i="33"/>
  <c r="AM13" i="33"/>
  <c r="AH13" i="33"/>
  <c r="AC13" i="33"/>
  <c r="X13" i="33"/>
  <c r="S13" i="33"/>
  <c r="K13" i="33"/>
  <c r="J13" i="33"/>
  <c r="I13" i="33"/>
  <c r="AW12" i="33"/>
  <c r="AR12" i="33"/>
  <c r="AM12" i="33"/>
  <c r="AH12" i="33"/>
  <c r="AC12" i="33"/>
  <c r="X12" i="33"/>
  <c r="S12" i="33"/>
  <c r="K12" i="33"/>
  <c r="J12" i="33"/>
  <c r="I12" i="33"/>
  <c r="AW11" i="33"/>
  <c r="AR11" i="33"/>
  <c r="AM11" i="33"/>
  <c r="AH11" i="33"/>
  <c r="AC11" i="33"/>
  <c r="X11" i="33"/>
  <c r="S11" i="33"/>
  <c r="K11" i="33"/>
  <c r="J11" i="33"/>
  <c r="I11" i="33"/>
  <c r="AW10" i="33"/>
  <c r="AR10" i="33"/>
  <c r="AM10" i="33"/>
  <c r="AH10" i="33"/>
  <c r="AC10" i="33"/>
  <c r="X10" i="33"/>
  <c r="S10" i="33"/>
  <c r="K10" i="33"/>
  <c r="J10" i="33"/>
  <c r="I10" i="33"/>
  <c r="AW9" i="33"/>
  <c r="AR9" i="33"/>
  <c r="AM9" i="33"/>
  <c r="AH9" i="33"/>
  <c r="AC9" i="33"/>
  <c r="X9" i="33"/>
  <c r="S9" i="33"/>
  <c r="K9" i="33"/>
  <c r="J9" i="33"/>
  <c r="I9" i="33"/>
  <c r="AW8" i="33"/>
  <c r="AR8" i="33"/>
  <c r="AM8" i="33"/>
  <c r="AH8" i="33"/>
  <c r="AC8" i="33"/>
  <c r="X8" i="33"/>
  <c r="S8" i="33"/>
  <c r="K8" i="33"/>
  <c r="J8" i="33"/>
  <c r="I8" i="33"/>
  <c r="AX7" i="33"/>
  <c r="AW7" i="33"/>
  <c r="AS7" i="33"/>
  <c r="AR7" i="33"/>
  <c r="AN7" i="33"/>
  <c r="AM7" i="33"/>
  <c r="AI7" i="33"/>
  <c r="AH7" i="33"/>
  <c r="AD7" i="33"/>
  <c r="AC7" i="33"/>
  <c r="Y7" i="33"/>
  <c r="X7" i="33"/>
  <c r="T7" i="33"/>
  <c r="S7" i="33"/>
  <c r="K7" i="33"/>
  <c r="J7" i="33"/>
  <c r="I7" i="33"/>
  <c r="H7" i="33"/>
  <c r="AW61" i="31"/>
  <c r="AR61" i="31"/>
  <c r="AM61" i="31"/>
  <c r="AH61" i="31"/>
  <c r="AC61" i="31"/>
  <c r="X61" i="31"/>
  <c r="S61" i="31"/>
  <c r="AW60" i="31"/>
  <c r="AR60" i="31"/>
  <c r="AM60" i="31"/>
  <c r="AH60" i="31"/>
  <c r="AC60" i="31"/>
  <c r="X60" i="31"/>
  <c r="S60" i="31"/>
  <c r="AW59" i="31"/>
  <c r="AR59" i="31"/>
  <c r="AM59" i="31"/>
  <c r="AH59" i="31"/>
  <c r="AC59" i="31"/>
  <c r="X59" i="31"/>
  <c r="S59" i="31"/>
  <c r="AW58" i="31"/>
  <c r="AR58" i="31"/>
  <c r="AM58" i="31"/>
  <c r="AH58" i="31"/>
  <c r="AC58" i="31"/>
  <c r="X58" i="31"/>
  <c r="S58" i="31"/>
  <c r="AW57" i="31"/>
  <c r="AR57" i="31"/>
  <c r="AM57" i="31"/>
  <c r="AH57" i="31"/>
  <c r="AC57" i="31"/>
  <c r="X57" i="31"/>
  <c r="S57" i="31"/>
  <c r="AW56" i="31"/>
  <c r="AR56" i="31"/>
  <c r="AM56" i="31"/>
  <c r="AH56" i="31"/>
  <c r="AC56" i="31"/>
  <c r="X56" i="31"/>
  <c r="S56" i="31"/>
  <c r="AW55" i="31"/>
  <c r="AR55" i="31"/>
  <c r="AM55" i="31"/>
  <c r="AH55" i="31"/>
  <c r="AC55" i="31"/>
  <c r="X55" i="31"/>
  <c r="S55" i="31"/>
  <c r="AW54" i="31"/>
  <c r="AR54" i="31"/>
  <c r="AM54" i="31"/>
  <c r="AH54" i="31"/>
  <c r="AC54" i="31"/>
  <c r="X54" i="31"/>
  <c r="S54" i="31"/>
  <c r="AW53" i="31"/>
  <c r="AR53" i="31"/>
  <c r="AM53" i="31"/>
  <c r="AH53" i="31"/>
  <c r="AC53" i="31"/>
  <c r="X53" i="31"/>
  <c r="S53" i="31"/>
  <c r="AW52" i="31"/>
  <c r="AR52" i="31"/>
  <c r="AM52" i="31"/>
  <c r="AH52" i="31"/>
  <c r="AC52" i="31"/>
  <c r="X52" i="31"/>
  <c r="S52" i="31"/>
  <c r="AW51" i="31"/>
  <c r="AR51" i="31"/>
  <c r="AM51" i="31"/>
  <c r="AH51" i="31"/>
  <c r="AC51" i="31"/>
  <c r="X51" i="31"/>
  <c r="S51" i="31"/>
  <c r="AW50" i="31"/>
  <c r="AR50" i="31"/>
  <c r="AM50" i="31"/>
  <c r="AH50" i="31"/>
  <c r="AC50" i="31"/>
  <c r="X50" i="31"/>
  <c r="S50" i="31"/>
  <c r="AW49" i="31"/>
  <c r="AR49" i="31"/>
  <c r="AM49" i="31"/>
  <c r="AH49" i="31"/>
  <c r="AC49" i="31"/>
  <c r="X49" i="31"/>
  <c r="S49" i="31"/>
  <c r="AW48" i="31"/>
  <c r="AR48" i="31"/>
  <c r="AM48" i="31"/>
  <c r="AH48" i="31"/>
  <c r="AC48" i="31"/>
  <c r="X48" i="31"/>
  <c r="S48" i="31"/>
  <c r="AX47" i="31"/>
  <c r="AW47" i="31"/>
  <c r="AS47" i="31"/>
  <c r="AR47" i="31"/>
  <c r="AN47" i="31"/>
  <c r="AM47" i="31"/>
  <c r="AI47" i="31"/>
  <c r="AH47" i="31"/>
  <c r="AD47" i="31"/>
  <c r="AC47" i="31"/>
  <c r="Y47" i="31"/>
  <c r="X47" i="31"/>
  <c r="T47" i="31"/>
  <c r="S47" i="31"/>
  <c r="K47" i="31"/>
  <c r="M47" i="31" s="1"/>
  <c r="J47" i="31"/>
  <c r="I47" i="31"/>
  <c r="H47" i="31"/>
  <c r="P42" i="31"/>
  <c r="U42" i="31" s="1"/>
  <c r="Z42" i="31" s="1"/>
  <c r="AE42" i="31" s="1"/>
  <c r="AJ42" i="31" s="1"/>
  <c r="AO42" i="31" s="1"/>
  <c r="AT42" i="31" s="1"/>
  <c r="AW41" i="31"/>
  <c r="AR41" i="31"/>
  <c r="AM41" i="31"/>
  <c r="AH41" i="31"/>
  <c r="AC41" i="31"/>
  <c r="X41" i="31"/>
  <c r="S41" i="31"/>
  <c r="AW40" i="31"/>
  <c r="AR40" i="31"/>
  <c r="AM40" i="31"/>
  <c r="AH40" i="31"/>
  <c r="AC40" i="31"/>
  <c r="X40" i="31"/>
  <c r="S40" i="31"/>
  <c r="AW39" i="31"/>
  <c r="AR39" i="31"/>
  <c r="AM39" i="31"/>
  <c r="AH39" i="31"/>
  <c r="AC39" i="31"/>
  <c r="X39" i="31"/>
  <c r="S39" i="31"/>
  <c r="AW38" i="31"/>
  <c r="AR38" i="31"/>
  <c r="AM38" i="31"/>
  <c r="AH38" i="31"/>
  <c r="AC38" i="31"/>
  <c r="X38" i="31"/>
  <c r="S38" i="31"/>
  <c r="AW37" i="31"/>
  <c r="AR37" i="31"/>
  <c r="AM37" i="31"/>
  <c r="AH37" i="31"/>
  <c r="AC37" i="31"/>
  <c r="X37" i="31"/>
  <c r="S37" i="31"/>
  <c r="AW36" i="31"/>
  <c r="AR36" i="31"/>
  <c r="AM36" i="31"/>
  <c r="AH36" i="31"/>
  <c r="AC36" i="31"/>
  <c r="X36" i="31"/>
  <c r="S36" i="31"/>
  <c r="AW35" i="31"/>
  <c r="AR35" i="31"/>
  <c r="AM35" i="31"/>
  <c r="AH35" i="31"/>
  <c r="AC35" i="31"/>
  <c r="X35" i="31"/>
  <c r="S35" i="31"/>
  <c r="AW34" i="31"/>
  <c r="AR34" i="31"/>
  <c r="AM34" i="31"/>
  <c r="AH34" i="31"/>
  <c r="AC34" i="31"/>
  <c r="X34" i="31"/>
  <c r="S34" i="31"/>
  <c r="AW33" i="31"/>
  <c r="AR33" i="31"/>
  <c r="AM33" i="31"/>
  <c r="AH33" i="31"/>
  <c r="AC33" i="31"/>
  <c r="X33" i="31"/>
  <c r="S33" i="31"/>
  <c r="AW32" i="31"/>
  <c r="AR32" i="31"/>
  <c r="AM32" i="31"/>
  <c r="AH32" i="31"/>
  <c r="AC32" i="31"/>
  <c r="X32" i="31"/>
  <c r="S32" i="31"/>
  <c r="AW31" i="31"/>
  <c r="AR31" i="31"/>
  <c r="AM31" i="31"/>
  <c r="AH31" i="31"/>
  <c r="AC31" i="31"/>
  <c r="X31" i="31"/>
  <c r="S31" i="31"/>
  <c r="AW30" i="31"/>
  <c r="AR30" i="31"/>
  <c r="AM30" i="31"/>
  <c r="AH30" i="31"/>
  <c r="AC30" i="31"/>
  <c r="X30" i="31"/>
  <c r="S30" i="31"/>
  <c r="AW29" i="31"/>
  <c r="AR29" i="31"/>
  <c r="AM29" i="31"/>
  <c r="AH29" i="31"/>
  <c r="AC29" i="31"/>
  <c r="X29" i="31"/>
  <c r="S29" i="31"/>
  <c r="AW28" i="31"/>
  <c r="AR28" i="31"/>
  <c r="AM28" i="31"/>
  <c r="AH28" i="31"/>
  <c r="AC28" i="31"/>
  <c r="X28" i="31"/>
  <c r="S28" i="31"/>
  <c r="AX27" i="31"/>
  <c r="AW27" i="31"/>
  <c r="AS27" i="31"/>
  <c r="AR27" i="31"/>
  <c r="AN27" i="31"/>
  <c r="AM27" i="31"/>
  <c r="AH27" i="31"/>
  <c r="AI27" i="31"/>
  <c r="J27" i="31"/>
  <c r="AD27" i="31"/>
  <c r="AC27" i="31"/>
  <c r="Y27" i="31"/>
  <c r="X27" i="31"/>
  <c r="T27" i="31"/>
  <c r="S27" i="31"/>
  <c r="K27" i="31"/>
  <c r="M27" i="31" s="1"/>
  <c r="I27" i="31"/>
  <c r="H27" i="31"/>
  <c r="Z22" i="31"/>
  <c r="AE22" i="31" s="1"/>
  <c r="AJ22" i="31" s="1"/>
  <c r="AO22" i="31" s="1"/>
  <c r="AT22" i="31" s="1"/>
  <c r="U22" i="31"/>
  <c r="AW21" i="31"/>
  <c r="AR21" i="31"/>
  <c r="AM21" i="31"/>
  <c r="AH21" i="31"/>
  <c r="AC21" i="31"/>
  <c r="X21" i="31"/>
  <c r="S21" i="31"/>
  <c r="AW20" i="31"/>
  <c r="AR20" i="31"/>
  <c r="AM20" i="31"/>
  <c r="AH20" i="31"/>
  <c r="AC20" i="31"/>
  <c r="X20" i="31"/>
  <c r="S20" i="31"/>
  <c r="AW19" i="31"/>
  <c r="AR19" i="31"/>
  <c r="AM19" i="31"/>
  <c r="AH19" i="31"/>
  <c r="AC19" i="31"/>
  <c r="X19" i="31"/>
  <c r="S19" i="31"/>
  <c r="AW18" i="31"/>
  <c r="AR18" i="31"/>
  <c r="AM18" i="31"/>
  <c r="AH18" i="31"/>
  <c r="AC18" i="31"/>
  <c r="X18" i="31"/>
  <c r="S18" i="31"/>
  <c r="AW17" i="31"/>
  <c r="AR17" i="31"/>
  <c r="AM17" i="31"/>
  <c r="AH17" i="31"/>
  <c r="AC17" i="31"/>
  <c r="X17" i="31"/>
  <c r="S17" i="31"/>
  <c r="AW16" i="31"/>
  <c r="AR16" i="31"/>
  <c r="AM16" i="31"/>
  <c r="AH16" i="31"/>
  <c r="AC16" i="31"/>
  <c r="X16" i="31"/>
  <c r="S16" i="31"/>
  <c r="AW15" i="31"/>
  <c r="AR15" i="31"/>
  <c r="AM15" i="31"/>
  <c r="AH15" i="31"/>
  <c r="AC15" i="31"/>
  <c r="X15" i="31"/>
  <c r="S15" i="31"/>
  <c r="AW14" i="31"/>
  <c r="AR14" i="31"/>
  <c r="AM14" i="31"/>
  <c r="AH14" i="31"/>
  <c r="AC14" i="31"/>
  <c r="X14" i="31"/>
  <c r="S14" i="31"/>
  <c r="AW13" i="31"/>
  <c r="AR13" i="31"/>
  <c r="AM13" i="31"/>
  <c r="AH13" i="31"/>
  <c r="AC13" i="31"/>
  <c r="X13" i="31"/>
  <c r="S13" i="31"/>
  <c r="AW12" i="31"/>
  <c r="AR12" i="31"/>
  <c r="AM12" i="31"/>
  <c r="AH12" i="31"/>
  <c r="AC12" i="31"/>
  <c r="X12" i="31"/>
  <c r="S12" i="31"/>
  <c r="AW11" i="31"/>
  <c r="AR11" i="31"/>
  <c r="AM11" i="31"/>
  <c r="AH11" i="31"/>
  <c r="AC11" i="31"/>
  <c r="X11" i="31"/>
  <c r="S11" i="31"/>
  <c r="AW10" i="31"/>
  <c r="AR10" i="31"/>
  <c r="AM10" i="31"/>
  <c r="AH10" i="31"/>
  <c r="AC10" i="31"/>
  <c r="X10" i="31"/>
  <c r="S10" i="31"/>
  <c r="AW9" i="31"/>
  <c r="AR9" i="31"/>
  <c r="AM9" i="31"/>
  <c r="AH9" i="31"/>
  <c r="AC9" i="31"/>
  <c r="X9" i="31"/>
  <c r="S9" i="31"/>
  <c r="AW8" i="31"/>
  <c r="AR8" i="31"/>
  <c r="AM8" i="31"/>
  <c r="AH8" i="31"/>
  <c r="AC8" i="31"/>
  <c r="X8" i="31"/>
  <c r="S8" i="31"/>
  <c r="K8" i="31"/>
  <c r="M7" i="31" s="1"/>
  <c r="J8" i="31"/>
  <c r="I8" i="31"/>
  <c r="AX7" i="31"/>
  <c r="AW7" i="31"/>
  <c r="AS7" i="31"/>
  <c r="AR7" i="31"/>
  <c r="AN7" i="31"/>
  <c r="AM7" i="31"/>
  <c r="AI7" i="31"/>
  <c r="AH7" i="31"/>
  <c r="AD7" i="31"/>
  <c r="AC7" i="31"/>
  <c r="Y7" i="31"/>
  <c r="X7" i="31"/>
  <c r="T7" i="31"/>
  <c r="S7" i="31"/>
  <c r="H7" i="31"/>
  <c r="AW101" i="32"/>
  <c r="AR101" i="32"/>
  <c r="AM101" i="32"/>
  <c r="AH101" i="32"/>
  <c r="AC101" i="32"/>
  <c r="X101" i="32"/>
  <c r="S101" i="32"/>
  <c r="AW100" i="32"/>
  <c r="AR100" i="32"/>
  <c r="AM100" i="32"/>
  <c r="AH100" i="32"/>
  <c r="AC100" i="32"/>
  <c r="X100" i="32"/>
  <c r="S100" i="32"/>
  <c r="AW99" i="32"/>
  <c r="AR99" i="32"/>
  <c r="AM99" i="32"/>
  <c r="AH99" i="32"/>
  <c r="AC99" i="32"/>
  <c r="X99" i="32"/>
  <c r="S99" i="32"/>
  <c r="AW98" i="32"/>
  <c r="AR98" i="32"/>
  <c r="AM98" i="32"/>
  <c r="AH98" i="32"/>
  <c r="AC98" i="32"/>
  <c r="X98" i="32"/>
  <c r="S98" i="32"/>
  <c r="AW97" i="32"/>
  <c r="AR97" i="32"/>
  <c r="AM97" i="32"/>
  <c r="AH97" i="32"/>
  <c r="AC97" i="32"/>
  <c r="X97" i="32"/>
  <c r="S97" i="32"/>
  <c r="K97" i="32"/>
  <c r="J97" i="32"/>
  <c r="I97" i="32"/>
  <c r="AW96" i="32"/>
  <c r="AR96" i="32"/>
  <c r="AM96" i="32"/>
  <c r="AH96" i="32"/>
  <c r="AC96" i="32"/>
  <c r="X96" i="32"/>
  <c r="S96" i="32"/>
  <c r="K96" i="32"/>
  <c r="J96" i="32"/>
  <c r="I96" i="32"/>
  <c r="AW95" i="32"/>
  <c r="AR95" i="32"/>
  <c r="AM95" i="32"/>
  <c r="AH95" i="32"/>
  <c r="AC95" i="32"/>
  <c r="X95" i="32"/>
  <c r="S95" i="32"/>
  <c r="K95" i="32"/>
  <c r="J95" i="32"/>
  <c r="I95" i="32"/>
  <c r="AW94" i="32"/>
  <c r="AR94" i="32"/>
  <c r="AM94" i="32"/>
  <c r="AH94" i="32"/>
  <c r="AC94" i="32"/>
  <c r="X94" i="32"/>
  <c r="S94" i="32"/>
  <c r="K94" i="32"/>
  <c r="J94" i="32"/>
  <c r="I94" i="32"/>
  <c r="AW93" i="32"/>
  <c r="AR93" i="32"/>
  <c r="AM93" i="32"/>
  <c r="AH93" i="32"/>
  <c r="AC93" i="32"/>
  <c r="X93" i="32"/>
  <c r="S93" i="32"/>
  <c r="K93" i="32"/>
  <c r="J93" i="32"/>
  <c r="I93" i="32"/>
  <c r="AW92" i="32"/>
  <c r="AR92" i="32"/>
  <c r="AM92" i="32"/>
  <c r="AH92" i="32"/>
  <c r="AC92" i="32"/>
  <c r="X92" i="32"/>
  <c r="S92" i="32"/>
  <c r="K92" i="32"/>
  <c r="J92" i="32"/>
  <c r="I92" i="32"/>
  <c r="AW91" i="32"/>
  <c r="AR91" i="32"/>
  <c r="AM91" i="32"/>
  <c r="AH91" i="32"/>
  <c r="AC91" i="32"/>
  <c r="X91" i="32"/>
  <c r="S91" i="32"/>
  <c r="K91" i="32"/>
  <c r="J91" i="32"/>
  <c r="I91" i="32"/>
  <c r="AW90" i="32"/>
  <c r="AR90" i="32"/>
  <c r="AM90" i="32"/>
  <c r="AH90" i="32"/>
  <c r="AC90" i="32"/>
  <c r="X90" i="32"/>
  <c r="S90" i="32"/>
  <c r="K90" i="32"/>
  <c r="J90" i="32"/>
  <c r="I90" i="32"/>
  <c r="AW89" i="32"/>
  <c r="AR89" i="32"/>
  <c r="AM89" i="32"/>
  <c r="AH89" i="32"/>
  <c r="AC89" i="32"/>
  <c r="X89" i="32"/>
  <c r="S89" i="32"/>
  <c r="K89" i="32"/>
  <c r="J89" i="32"/>
  <c r="I89" i="32"/>
  <c r="AW88" i="32"/>
  <c r="AR88" i="32"/>
  <c r="AM88" i="32"/>
  <c r="AH88" i="32"/>
  <c r="AC88" i="32"/>
  <c r="X88" i="32"/>
  <c r="S88" i="32"/>
  <c r="K88" i="32"/>
  <c r="J88" i="32"/>
  <c r="I88" i="32"/>
  <c r="AX87" i="32"/>
  <c r="AW87" i="32"/>
  <c r="AS87" i="32"/>
  <c r="AR87" i="32"/>
  <c r="AN87" i="32"/>
  <c r="AM87" i="32"/>
  <c r="AI87" i="32"/>
  <c r="AH87" i="32"/>
  <c r="AD87" i="32"/>
  <c r="AC87" i="32"/>
  <c r="Y87" i="32"/>
  <c r="X87" i="32"/>
  <c r="T87" i="32"/>
  <c r="S87" i="32"/>
  <c r="K87" i="32"/>
  <c r="J87" i="32"/>
  <c r="I87" i="32"/>
  <c r="H87" i="32"/>
  <c r="AW81" i="32"/>
  <c r="AR81" i="32"/>
  <c r="AM81" i="32"/>
  <c r="AH81" i="32"/>
  <c r="AC81" i="32"/>
  <c r="X81" i="32"/>
  <c r="S81" i="32"/>
  <c r="AW80" i="32"/>
  <c r="AR80" i="32"/>
  <c r="AM80" i="32"/>
  <c r="AH80" i="32"/>
  <c r="AC80" i="32"/>
  <c r="X80" i="32"/>
  <c r="S80" i="32"/>
  <c r="AW79" i="32"/>
  <c r="AR79" i="32"/>
  <c r="AM79" i="32"/>
  <c r="AH79" i="32"/>
  <c r="AC79" i="32"/>
  <c r="X79" i="32"/>
  <c r="S79" i="32"/>
  <c r="AW78" i="32"/>
  <c r="AR78" i="32"/>
  <c r="AM78" i="32"/>
  <c r="AH78" i="32"/>
  <c r="AC78" i="32"/>
  <c r="X78" i="32"/>
  <c r="S78" i="32"/>
  <c r="AW77" i="32"/>
  <c r="AR77" i="32"/>
  <c r="AM77" i="32"/>
  <c r="AH77" i="32"/>
  <c r="AC77" i="32"/>
  <c r="X77" i="32"/>
  <c r="S77" i="32"/>
  <c r="K77" i="32"/>
  <c r="J77" i="32"/>
  <c r="I77" i="32"/>
  <c r="AW76" i="32"/>
  <c r="AR76" i="32"/>
  <c r="AM76" i="32"/>
  <c r="AH76" i="32"/>
  <c r="AC76" i="32"/>
  <c r="X76" i="32"/>
  <c r="S76" i="32"/>
  <c r="K76" i="32"/>
  <c r="J76" i="32"/>
  <c r="I76" i="32"/>
  <c r="AW75" i="32"/>
  <c r="AR75" i="32"/>
  <c r="AM75" i="32"/>
  <c r="AH75" i="32"/>
  <c r="AC75" i="32"/>
  <c r="X75" i="32"/>
  <c r="S75" i="32"/>
  <c r="K75" i="32"/>
  <c r="J75" i="32"/>
  <c r="I75" i="32"/>
  <c r="AW74" i="32"/>
  <c r="AR74" i="32"/>
  <c r="AM74" i="32"/>
  <c r="AH74" i="32"/>
  <c r="AC74" i="32"/>
  <c r="X74" i="32"/>
  <c r="S74" i="32"/>
  <c r="K74" i="32"/>
  <c r="J74" i="32"/>
  <c r="I74" i="32"/>
  <c r="AW73" i="32"/>
  <c r="AR73" i="32"/>
  <c r="AM73" i="32"/>
  <c r="AH73" i="32"/>
  <c r="AC73" i="32"/>
  <c r="X73" i="32"/>
  <c r="S73" i="32"/>
  <c r="K73" i="32"/>
  <c r="L67" i="32" s="1"/>
  <c r="J73" i="32"/>
  <c r="I73" i="32"/>
  <c r="AW72" i="32"/>
  <c r="AR72" i="32"/>
  <c r="AM72" i="32"/>
  <c r="AH72" i="32"/>
  <c r="AC72" i="32"/>
  <c r="X72" i="32"/>
  <c r="S72" i="32"/>
  <c r="K72" i="32"/>
  <c r="J72" i="32"/>
  <c r="I72" i="32"/>
  <c r="AW71" i="32"/>
  <c r="AR71" i="32"/>
  <c r="AM71" i="32"/>
  <c r="AH71" i="32"/>
  <c r="AC71" i="32"/>
  <c r="X71" i="32"/>
  <c r="S71" i="32"/>
  <c r="K71" i="32"/>
  <c r="J71" i="32"/>
  <c r="I71" i="32"/>
  <c r="AW70" i="32"/>
  <c r="AR70" i="32"/>
  <c r="AM70" i="32"/>
  <c r="AH70" i="32"/>
  <c r="AC70" i="32"/>
  <c r="X70" i="32"/>
  <c r="S70" i="32"/>
  <c r="K70" i="32"/>
  <c r="J70" i="32"/>
  <c r="I70" i="32"/>
  <c r="AW69" i="32"/>
  <c r="AR69" i="32"/>
  <c r="AM69" i="32"/>
  <c r="AH69" i="32"/>
  <c r="AC69" i="32"/>
  <c r="X69" i="32"/>
  <c r="S69" i="32"/>
  <c r="K69" i="32"/>
  <c r="J69" i="32"/>
  <c r="I69" i="32"/>
  <c r="AW68" i="32"/>
  <c r="AR68" i="32"/>
  <c r="AM68" i="32"/>
  <c r="AH68" i="32"/>
  <c r="AC68" i="32"/>
  <c r="X68" i="32"/>
  <c r="S68" i="32"/>
  <c r="K68" i="32"/>
  <c r="J68" i="32"/>
  <c r="I68" i="32"/>
  <c r="AX67" i="32"/>
  <c r="AW67" i="32"/>
  <c r="AS67" i="32"/>
  <c r="AR67" i="32"/>
  <c r="AN67" i="32"/>
  <c r="AM67" i="32"/>
  <c r="AI67" i="32"/>
  <c r="AH67" i="32"/>
  <c r="AD67" i="32"/>
  <c r="AC67" i="32"/>
  <c r="Y67" i="32"/>
  <c r="X67" i="32"/>
  <c r="T67" i="32"/>
  <c r="S67" i="32"/>
  <c r="K67" i="32"/>
  <c r="J67" i="32"/>
  <c r="I67" i="32"/>
  <c r="H67" i="32"/>
  <c r="AW61" i="32"/>
  <c r="AR61" i="32"/>
  <c r="AM61" i="32"/>
  <c r="AH61" i="32"/>
  <c r="AC61" i="32"/>
  <c r="X61" i="32"/>
  <c r="S61" i="32"/>
  <c r="AW60" i="32"/>
  <c r="AR60" i="32"/>
  <c r="AM60" i="32"/>
  <c r="AH60" i="32"/>
  <c r="AC60" i="32"/>
  <c r="X60" i="32"/>
  <c r="S60" i="32"/>
  <c r="AW59" i="32"/>
  <c r="AR59" i="32"/>
  <c r="AM59" i="32"/>
  <c r="AH59" i="32"/>
  <c r="AC59" i="32"/>
  <c r="X59" i="32"/>
  <c r="S59" i="32"/>
  <c r="AW58" i="32"/>
  <c r="AR58" i="32"/>
  <c r="AM58" i="32"/>
  <c r="AH58" i="32"/>
  <c r="AC58" i="32"/>
  <c r="X58" i="32"/>
  <c r="S58" i="32"/>
  <c r="AW57" i="32"/>
  <c r="AR57" i="32"/>
  <c r="AM57" i="32"/>
  <c r="AH57" i="32"/>
  <c r="AC57" i="32"/>
  <c r="X57" i="32"/>
  <c r="S57" i="32"/>
  <c r="K57" i="32"/>
  <c r="J57" i="32"/>
  <c r="J138" i="32" s="1"/>
  <c r="I57" i="32"/>
  <c r="I138" i="32" s="1"/>
  <c r="AW56" i="32"/>
  <c r="AR56" i="32"/>
  <c r="AM56" i="32"/>
  <c r="AH56" i="32"/>
  <c r="AC56" i="32"/>
  <c r="X56" i="32"/>
  <c r="S56" i="32"/>
  <c r="K56" i="32"/>
  <c r="J56" i="32"/>
  <c r="I56" i="32"/>
  <c r="AW55" i="32"/>
  <c r="AR55" i="32"/>
  <c r="AM55" i="32"/>
  <c r="AH55" i="32"/>
  <c r="AC55" i="32"/>
  <c r="X55" i="32"/>
  <c r="S55" i="32"/>
  <c r="K55" i="32"/>
  <c r="J55" i="32"/>
  <c r="I55" i="32"/>
  <c r="AW54" i="32"/>
  <c r="AR54" i="32"/>
  <c r="AM54" i="32"/>
  <c r="AH54" i="32"/>
  <c r="AC54" i="32"/>
  <c r="X54" i="32"/>
  <c r="S54" i="32"/>
  <c r="K54" i="32"/>
  <c r="J54" i="32"/>
  <c r="I54" i="32"/>
  <c r="AW53" i="32"/>
  <c r="AR53" i="32"/>
  <c r="AM53" i="32"/>
  <c r="AH53" i="32"/>
  <c r="AC53" i="32"/>
  <c r="X53" i="32"/>
  <c r="S53" i="32"/>
  <c r="K53" i="32"/>
  <c r="J53" i="32"/>
  <c r="I53" i="32"/>
  <c r="AW52" i="32"/>
  <c r="AR52" i="32"/>
  <c r="AM52" i="32"/>
  <c r="AH52" i="32"/>
  <c r="AC52" i="32"/>
  <c r="X52" i="32"/>
  <c r="S52" i="32"/>
  <c r="K52" i="32"/>
  <c r="J52" i="32"/>
  <c r="I52" i="32"/>
  <c r="AW51" i="32"/>
  <c r="AR51" i="32"/>
  <c r="AM51" i="32"/>
  <c r="AH51" i="32"/>
  <c r="AC51" i="32"/>
  <c r="X51" i="32"/>
  <c r="S51" i="32"/>
  <c r="K51" i="32"/>
  <c r="M51" i="32" s="1"/>
  <c r="J51" i="32"/>
  <c r="I51" i="32"/>
  <c r="AW50" i="32"/>
  <c r="AR50" i="32"/>
  <c r="AM50" i="32"/>
  <c r="AH50" i="32"/>
  <c r="AC50" i="32"/>
  <c r="X50" i="32"/>
  <c r="S50" i="32"/>
  <c r="K50" i="32"/>
  <c r="J50" i="32"/>
  <c r="I50" i="32"/>
  <c r="AW49" i="32"/>
  <c r="AR49" i="32"/>
  <c r="AM49" i="32"/>
  <c r="AH49" i="32"/>
  <c r="AC49" i="32"/>
  <c r="X49" i="32"/>
  <c r="S49" i="32"/>
  <c r="K49" i="32"/>
  <c r="J49" i="32"/>
  <c r="I49" i="32"/>
  <c r="AW48" i="32"/>
  <c r="AR48" i="32"/>
  <c r="AM48" i="32"/>
  <c r="AH48" i="32"/>
  <c r="AC48" i="32"/>
  <c r="X48" i="32"/>
  <c r="S48" i="32"/>
  <c r="K48" i="32"/>
  <c r="J48" i="32"/>
  <c r="I48" i="32"/>
  <c r="AX47" i="32"/>
  <c r="AW47" i="32"/>
  <c r="AS47" i="32"/>
  <c r="AR47" i="32"/>
  <c r="AN47" i="32"/>
  <c r="AM47" i="32"/>
  <c r="AI47" i="32"/>
  <c r="AH47" i="32"/>
  <c r="AD47" i="32"/>
  <c r="AC47" i="32"/>
  <c r="Y47" i="32"/>
  <c r="X47" i="32"/>
  <c r="T47" i="32"/>
  <c r="S47" i="32"/>
  <c r="K47" i="32"/>
  <c r="J47" i="32"/>
  <c r="I47" i="32"/>
  <c r="H47" i="32"/>
  <c r="AW41" i="32"/>
  <c r="AR41" i="32"/>
  <c r="AM41" i="32"/>
  <c r="AH41" i="32"/>
  <c r="AC41" i="32"/>
  <c r="X41" i="32"/>
  <c r="S41" i="32"/>
  <c r="AW40" i="32"/>
  <c r="AR40" i="32"/>
  <c r="AM40" i="32"/>
  <c r="AH40" i="32"/>
  <c r="AC40" i="32"/>
  <c r="X40" i="32"/>
  <c r="S40" i="32"/>
  <c r="AW39" i="32"/>
  <c r="AR39" i="32"/>
  <c r="AM39" i="32"/>
  <c r="AH39" i="32"/>
  <c r="AC39" i="32"/>
  <c r="X39" i="32"/>
  <c r="S39" i="32"/>
  <c r="AW38" i="32"/>
  <c r="AR38" i="32"/>
  <c r="AM38" i="32"/>
  <c r="AH38" i="32"/>
  <c r="AC38" i="32"/>
  <c r="X38" i="32"/>
  <c r="S38" i="32"/>
  <c r="AW37" i="32"/>
  <c r="AR37" i="32"/>
  <c r="AM37" i="32"/>
  <c r="AH37" i="32"/>
  <c r="AC37" i="32"/>
  <c r="X37" i="32"/>
  <c r="S37" i="32"/>
  <c r="AW36" i="32"/>
  <c r="AR36" i="32"/>
  <c r="AM36" i="32"/>
  <c r="AH36" i="32"/>
  <c r="AC36" i="32"/>
  <c r="X36" i="32"/>
  <c r="S36" i="32"/>
  <c r="K36" i="32"/>
  <c r="J36" i="32"/>
  <c r="I36" i="32"/>
  <c r="AW35" i="32"/>
  <c r="AR35" i="32"/>
  <c r="AM35" i="32"/>
  <c r="AH35" i="32"/>
  <c r="AC35" i="32"/>
  <c r="X35" i="32"/>
  <c r="S35" i="32"/>
  <c r="K35" i="32"/>
  <c r="J35" i="32"/>
  <c r="I35" i="32"/>
  <c r="AW34" i="32"/>
  <c r="AR34" i="32"/>
  <c r="AM34" i="32"/>
  <c r="AH34" i="32"/>
  <c r="AC34" i="32"/>
  <c r="X34" i="32"/>
  <c r="S34" i="32"/>
  <c r="K34" i="32"/>
  <c r="J34" i="32"/>
  <c r="I34" i="32"/>
  <c r="AW33" i="32"/>
  <c r="AR33" i="32"/>
  <c r="AM33" i="32"/>
  <c r="AH33" i="32"/>
  <c r="AC33" i="32"/>
  <c r="X33" i="32"/>
  <c r="S33" i="32"/>
  <c r="K33" i="32"/>
  <c r="J33" i="32"/>
  <c r="I33" i="32"/>
  <c r="AW32" i="32"/>
  <c r="AR32" i="32"/>
  <c r="AM32" i="32"/>
  <c r="AH32" i="32"/>
  <c r="AC32" i="32"/>
  <c r="X32" i="32"/>
  <c r="S32" i="32"/>
  <c r="K32" i="32"/>
  <c r="M32" i="32" s="1"/>
  <c r="J32" i="32"/>
  <c r="I32" i="32"/>
  <c r="AW31" i="32"/>
  <c r="AR31" i="32"/>
  <c r="AM31" i="32"/>
  <c r="AH31" i="32"/>
  <c r="AC31" i="32"/>
  <c r="X31" i="32"/>
  <c r="S31" i="32"/>
  <c r="K31" i="32"/>
  <c r="J31" i="32"/>
  <c r="I31" i="32"/>
  <c r="AW30" i="32"/>
  <c r="AR30" i="32"/>
  <c r="AM30" i="32"/>
  <c r="AH30" i="32"/>
  <c r="AC30" i="32"/>
  <c r="X30" i="32"/>
  <c r="S30" i="32"/>
  <c r="K30" i="32"/>
  <c r="J30" i="32"/>
  <c r="I30" i="32"/>
  <c r="AW29" i="32"/>
  <c r="AR29" i="32"/>
  <c r="AM29" i="32"/>
  <c r="AH29" i="32"/>
  <c r="AC29" i="32"/>
  <c r="X29" i="32"/>
  <c r="S29" i="32"/>
  <c r="K29" i="32"/>
  <c r="J29" i="32"/>
  <c r="I29" i="32"/>
  <c r="AW28" i="32"/>
  <c r="AR28" i="32"/>
  <c r="AM28" i="32"/>
  <c r="AH28" i="32"/>
  <c r="AC28" i="32"/>
  <c r="X28" i="32"/>
  <c r="S28" i="32"/>
  <c r="K28" i="32"/>
  <c r="J28" i="32"/>
  <c r="I28" i="32"/>
  <c r="AX27" i="32"/>
  <c r="AW27" i="32"/>
  <c r="AS27" i="32"/>
  <c r="AR27" i="32"/>
  <c r="AN27" i="32"/>
  <c r="AM27" i="32"/>
  <c r="AI27" i="32"/>
  <c r="AH27" i="32"/>
  <c r="AD27" i="32"/>
  <c r="AC27" i="32"/>
  <c r="Y27" i="32"/>
  <c r="X27" i="32"/>
  <c r="T27" i="32"/>
  <c r="S27" i="32"/>
  <c r="K27" i="32"/>
  <c r="J27" i="32"/>
  <c r="I27" i="32"/>
  <c r="H27" i="32"/>
  <c r="AW21" i="32"/>
  <c r="AR21" i="32"/>
  <c r="AM21" i="32"/>
  <c r="AH21" i="32"/>
  <c r="AC21" i="32"/>
  <c r="X21" i="32"/>
  <c r="S21" i="32"/>
  <c r="AW20" i="32"/>
  <c r="AR20" i="32"/>
  <c r="AM20" i="32"/>
  <c r="AH20" i="32"/>
  <c r="AC20" i="32"/>
  <c r="X20" i="32"/>
  <c r="S20" i="32"/>
  <c r="AW19" i="32"/>
  <c r="AR19" i="32"/>
  <c r="AM19" i="32"/>
  <c r="AH19" i="32"/>
  <c r="AC19" i="32"/>
  <c r="X19" i="32"/>
  <c r="S19" i="32"/>
  <c r="AW18" i="32"/>
  <c r="AR18" i="32"/>
  <c r="AM18" i="32"/>
  <c r="AH18" i="32"/>
  <c r="AC18" i="32"/>
  <c r="X18" i="32"/>
  <c r="S18" i="32"/>
  <c r="AW17" i="32"/>
  <c r="AR17" i="32"/>
  <c r="AM17" i="32"/>
  <c r="AH17" i="32"/>
  <c r="AC17" i="32"/>
  <c r="X17" i="32"/>
  <c r="S17" i="32"/>
  <c r="AW16" i="32"/>
  <c r="AR16" i="32"/>
  <c r="AM16" i="32"/>
  <c r="AH16" i="32"/>
  <c r="AC16" i="32"/>
  <c r="X16" i="32"/>
  <c r="S16" i="32"/>
  <c r="K16" i="32"/>
  <c r="J16" i="32"/>
  <c r="I16" i="32"/>
  <c r="AW15" i="32"/>
  <c r="AR15" i="32"/>
  <c r="AM15" i="32"/>
  <c r="AH15" i="32"/>
  <c r="AC15" i="32"/>
  <c r="X15" i="32"/>
  <c r="S15" i="32"/>
  <c r="K15" i="32"/>
  <c r="J15" i="32"/>
  <c r="I15" i="32"/>
  <c r="AW14" i="32"/>
  <c r="AR14" i="32"/>
  <c r="AM14" i="32"/>
  <c r="AH14" i="32"/>
  <c r="AC14" i="32"/>
  <c r="X14" i="32"/>
  <c r="S14" i="32"/>
  <c r="K14" i="32"/>
  <c r="J14" i="32"/>
  <c r="I14" i="32"/>
  <c r="AW13" i="32"/>
  <c r="AR13" i="32"/>
  <c r="AM13" i="32"/>
  <c r="AH13" i="32"/>
  <c r="AC13" i="32"/>
  <c r="X13" i="32"/>
  <c r="S13" i="32"/>
  <c r="K13" i="32"/>
  <c r="J13" i="32"/>
  <c r="I13" i="32"/>
  <c r="AW12" i="32"/>
  <c r="AR12" i="32"/>
  <c r="AM12" i="32"/>
  <c r="AH12" i="32"/>
  <c r="AC12" i="32"/>
  <c r="X12" i="32"/>
  <c r="S12" i="32"/>
  <c r="K12" i="32"/>
  <c r="M12" i="32" s="1"/>
  <c r="J12" i="32"/>
  <c r="I12" i="32"/>
  <c r="AW11" i="32"/>
  <c r="AR11" i="32"/>
  <c r="AM11" i="32"/>
  <c r="AH11" i="32"/>
  <c r="AC11" i="32"/>
  <c r="X11" i="32"/>
  <c r="S11" i="32"/>
  <c r="K11" i="32"/>
  <c r="J11" i="32"/>
  <c r="I11" i="32"/>
  <c r="AW10" i="32"/>
  <c r="AR10" i="32"/>
  <c r="AM10" i="32"/>
  <c r="AH10" i="32"/>
  <c r="AC10" i="32"/>
  <c r="X10" i="32"/>
  <c r="S10" i="32"/>
  <c r="K10" i="32"/>
  <c r="J10" i="32"/>
  <c r="I10" i="32"/>
  <c r="AW9" i="32"/>
  <c r="AR9" i="32"/>
  <c r="AM9" i="32"/>
  <c r="AH9" i="32"/>
  <c r="AC9" i="32"/>
  <c r="X9" i="32"/>
  <c r="S9" i="32"/>
  <c r="K9" i="32"/>
  <c r="J9" i="32"/>
  <c r="I9" i="32"/>
  <c r="AW8" i="32"/>
  <c r="AR8" i="32"/>
  <c r="AM8" i="32"/>
  <c r="AH8" i="32"/>
  <c r="AC8" i="32"/>
  <c r="X8" i="32"/>
  <c r="S8" i="32"/>
  <c r="K8" i="32"/>
  <c r="J8" i="32"/>
  <c r="I8" i="32"/>
  <c r="AX7" i="32"/>
  <c r="AW7" i="32"/>
  <c r="AS7" i="32"/>
  <c r="AR7" i="32"/>
  <c r="AN7" i="32"/>
  <c r="AM7" i="32"/>
  <c r="AI7" i="32"/>
  <c r="AH7" i="32"/>
  <c r="AD7" i="32"/>
  <c r="AC7" i="32"/>
  <c r="Y7" i="32"/>
  <c r="X7" i="32"/>
  <c r="T7" i="32"/>
  <c r="S7" i="32"/>
  <c r="K7" i="32"/>
  <c r="J7" i="32"/>
  <c r="I7" i="32"/>
  <c r="H7" i="32"/>
  <c r="AW101" i="30"/>
  <c r="AR101" i="30"/>
  <c r="AM101" i="30"/>
  <c r="AH101" i="30"/>
  <c r="AC101" i="30"/>
  <c r="X101" i="30"/>
  <c r="S101" i="30"/>
  <c r="AW100" i="30"/>
  <c r="AR100" i="30"/>
  <c r="AM100" i="30"/>
  <c r="AH100" i="30"/>
  <c r="AC100" i="30"/>
  <c r="X100" i="30"/>
  <c r="S100" i="30"/>
  <c r="AW99" i="30"/>
  <c r="AR99" i="30"/>
  <c r="AM99" i="30"/>
  <c r="AH99" i="30"/>
  <c r="AC99" i="30"/>
  <c r="X99" i="30"/>
  <c r="S99" i="30"/>
  <c r="AW98" i="30"/>
  <c r="AR98" i="30"/>
  <c r="AM98" i="30"/>
  <c r="AH98" i="30"/>
  <c r="AC98" i="30"/>
  <c r="X98" i="30"/>
  <c r="S98" i="30"/>
  <c r="AW97" i="30"/>
  <c r="AR97" i="30"/>
  <c r="AM97" i="30"/>
  <c r="AH97" i="30"/>
  <c r="AC97" i="30"/>
  <c r="X97" i="30"/>
  <c r="S97" i="30"/>
  <c r="AW96" i="30"/>
  <c r="AR96" i="30"/>
  <c r="AM96" i="30"/>
  <c r="AH96" i="30"/>
  <c r="AC96" i="30"/>
  <c r="X96" i="30"/>
  <c r="S96" i="30"/>
  <c r="AW95" i="30"/>
  <c r="AR95" i="30"/>
  <c r="AM95" i="30"/>
  <c r="AH95" i="30"/>
  <c r="AC95" i="30"/>
  <c r="X95" i="30"/>
  <c r="S95" i="30"/>
  <c r="AW94" i="30"/>
  <c r="AR94" i="30"/>
  <c r="AM94" i="30"/>
  <c r="AH94" i="30"/>
  <c r="AC94" i="30"/>
  <c r="X94" i="30"/>
  <c r="S94" i="30"/>
  <c r="AW93" i="30"/>
  <c r="AR93" i="30"/>
  <c r="AM93" i="30"/>
  <c r="AH93" i="30"/>
  <c r="AC93" i="30"/>
  <c r="X93" i="30"/>
  <c r="S93" i="30"/>
  <c r="K93" i="30"/>
  <c r="J93" i="30"/>
  <c r="I93" i="30"/>
  <c r="AW92" i="30"/>
  <c r="AR92" i="30"/>
  <c r="AM92" i="30"/>
  <c r="AH92" i="30"/>
  <c r="AC92" i="30"/>
  <c r="X92" i="30"/>
  <c r="S92" i="30"/>
  <c r="K92" i="30"/>
  <c r="J92" i="30"/>
  <c r="I92" i="30"/>
  <c r="AW91" i="30"/>
  <c r="AR91" i="30"/>
  <c r="AM91" i="30"/>
  <c r="AH91" i="30"/>
  <c r="AC91" i="30"/>
  <c r="X91" i="30"/>
  <c r="S91" i="30"/>
  <c r="K91" i="30"/>
  <c r="J91" i="30"/>
  <c r="I91" i="30"/>
  <c r="AW90" i="30"/>
  <c r="AR90" i="30"/>
  <c r="AM90" i="30"/>
  <c r="AH90" i="30"/>
  <c r="AC90" i="30"/>
  <c r="X90" i="30"/>
  <c r="S90" i="30"/>
  <c r="K90" i="30"/>
  <c r="J90" i="30"/>
  <c r="I90" i="30"/>
  <c r="AW89" i="30"/>
  <c r="AR89" i="30"/>
  <c r="AM89" i="30"/>
  <c r="AH89" i="30"/>
  <c r="AC89" i="30"/>
  <c r="X89" i="30"/>
  <c r="S89" i="30"/>
  <c r="K89" i="30"/>
  <c r="J89" i="30"/>
  <c r="I89" i="30"/>
  <c r="AW88" i="30"/>
  <c r="AR88" i="30"/>
  <c r="AM88" i="30"/>
  <c r="AH88" i="30"/>
  <c r="AC88" i="30"/>
  <c r="X88" i="30"/>
  <c r="S88" i="30"/>
  <c r="K88" i="30"/>
  <c r="J88" i="30"/>
  <c r="I88" i="30"/>
  <c r="AX87" i="30"/>
  <c r="AW87" i="30"/>
  <c r="AS87" i="30"/>
  <c r="AR87" i="30"/>
  <c r="AN87" i="30"/>
  <c r="AM87" i="30"/>
  <c r="AI87" i="30"/>
  <c r="AH87" i="30"/>
  <c r="AD87" i="30"/>
  <c r="AC87" i="30"/>
  <c r="Y87" i="30"/>
  <c r="X87" i="30"/>
  <c r="T87" i="30"/>
  <c r="S87" i="30"/>
  <c r="K87" i="30"/>
  <c r="M90" i="30" s="1"/>
  <c r="J87" i="30"/>
  <c r="I87" i="30"/>
  <c r="H87" i="30"/>
  <c r="AW81" i="30"/>
  <c r="AR81" i="30"/>
  <c r="AM81" i="30"/>
  <c r="AH81" i="30"/>
  <c r="AC81" i="30"/>
  <c r="X81" i="30"/>
  <c r="S81" i="30"/>
  <c r="AW80" i="30"/>
  <c r="AR80" i="30"/>
  <c r="AM80" i="30"/>
  <c r="AH80" i="30"/>
  <c r="AC80" i="30"/>
  <c r="X80" i="30"/>
  <c r="S80" i="30"/>
  <c r="AW79" i="30"/>
  <c r="AR79" i="30"/>
  <c r="AM79" i="30"/>
  <c r="AH79" i="30"/>
  <c r="AC79" i="30"/>
  <c r="X79" i="30"/>
  <c r="S79" i="30"/>
  <c r="AW78" i="30"/>
  <c r="AR78" i="30"/>
  <c r="AM78" i="30"/>
  <c r="AH78" i="30"/>
  <c r="AC78" i="30"/>
  <c r="X78" i="30"/>
  <c r="S78" i="30"/>
  <c r="AW77" i="30"/>
  <c r="AR77" i="30"/>
  <c r="AM77" i="30"/>
  <c r="AH77" i="30"/>
  <c r="AC77" i="30"/>
  <c r="X77" i="30"/>
  <c r="S77" i="30"/>
  <c r="AW76" i="30"/>
  <c r="AR76" i="30"/>
  <c r="AM76" i="30"/>
  <c r="AH76" i="30"/>
  <c r="AC76" i="30"/>
  <c r="X76" i="30"/>
  <c r="S76" i="30"/>
  <c r="AW75" i="30"/>
  <c r="AR75" i="30"/>
  <c r="AM75" i="30"/>
  <c r="AH75" i="30"/>
  <c r="AC75" i="30"/>
  <c r="X75" i="30"/>
  <c r="S75" i="30"/>
  <c r="AW74" i="30"/>
  <c r="AR74" i="30"/>
  <c r="AM74" i="30"/>
  <c r="AH74" i="30"/>
  <c r="AC74" i="30"/>
  <c r="X74" i="30"/>
  <c r="S74" i="30"/>
  <c r="AW73" i="30"/>
  <c r="AR73" i="30"/>
  <c r="AM73" i="30"/>
  <c r="AH73" i="30"/>
  <c r="AC73" i="30"/>
  <c r="X73" i="30"/>
  <c r="S73" i="30"/>
  <c r="AW72" i="30"/>
  <c r="AR72" i="30"/>
  <c r="AM72" i="30"/>
  <c r="AH72" i="30"/>
  <c r="AC72" i="30"/>
  <c r="X72" i="30"/>
  <c r="S72" i="30"/>
  <c r="K72" i="30"/>
  <c r="J72" i="30"/>
  <c r="I72" i="30"/>
  <c r="AW71" i="30"/>
  <c r="AR71" i="30"/>
  <c r="AM71" i="30"/>
  <c r="AH71" i="30"/>
  <c r="AC71" i="30"/>
  <c r="X71" i="30"/>
  <c r="S71" i="30"/>
  <c r="K71" i="30"/>
  <c r="J71" i="30"/>
  <c r="I71" i="30"/>
  <c r="AW70" i="30"/>
  <c r="AR70" i="30"/>
  <c r="AM70" i="30"/>
  <c r="AH70" i="30"/>
  <c r="AC70" i="30"/>
  <c r="X70" i="30"/>
  <c r="S70" i="30"/>
  <c r="K70" i="30"/>
  <c r="J70" i="30"/>
  <c r="I70" i="30"/>
  <c r="AW69" i="30"/>
  <c r="AR69" i="30"/>
  <c r="AM69" i="30"/>
  <c r="AH69" i="30"/>
  <c r="AC69" i="30"/>
  <c r="X69" i="30"/>
  <c r="S69" i="30"/>
  <c r="K69" i="30"/>
  <c r="J69" i="30"/>
  <c r="I69" i="30"/>
  <c r="AW68" i="30"/>
  <c r="AR68" i="30"/>
  <c r="AM68" i="30"/>
  <c r="AH68" i="30"/>
  <c r="AC68" i="30"/>
  <c r="X68" i="30"/>
  <c r="S68" i="30"/>
  <c r="K68" i="30"/>
  <c r="J68" i="30"/>
  <c r="I68" i="30"/>
  <c r="AX67" i="30"/>
  <c r="AW67" i="30"/>
  <c r="AS67" i="30"/>
  <c r="AR67" i="30"/>
  <c r="AN67" i="30"/>
  <c r="AM67" i="30"/>
  <c r="AI67" i="30"/>
  <c r="AH67" i="30"/>
  <c r="AD67" i="30"/>
  <c r="AC67" i="30"/>
  <c r="Y67" i="30"/>
  <c r="X67" i="30"/>
  <c r="T67" i="30"/>
  <c r="S67" i="30"/>
  <c r="K67" i="30"/>
  <c r="M81" i="30" s="1"/>
  <c r="J67" i="30"/>
  <c r="I67" i="30"/>
  <c r="H67" i="30"/>
  <c r="AW61" i="30"/>
  <c r="AR61" i="30"/>
  <c r="AM61" i="30"/>
  <c r="AH61" i="30"/>
  <c r="AC61" i="30"/>
  <c r="X61" i="30"/>
  <c r="S61" i="30"/>
  <c r="AW60" i="30"/>
  <c r="AR60" i="30"/>
  <c r="AM60" i="30"/>
  <c r="AH60" i="30"/>
  <c r="AC60" i="30"/>
  <c r="X60" i="30"/>
  <c r="S60" i="30"/>
  <c r="AW59" i="30"/>
  <c r="AR59" i="30"/>
  <c r="AM59" i="30"/>
  <c r="AH59" i="30"/>
  <c r="AC59" i="30"/>
  <c r="X59" i="30"/>
  <c r="S59" i="30"/>
  <c r="AW58" i="30"/>
  <c r="AR58" i="30"/>
  <c r="AM58" i="30"/>
  <c r="AH58" i="30"/>
  <c r="AC58" i="30"/>
  <c r="X58" i="30"/>
  <c r="S58" i="30"/>
  <c r="AW57" i="30"/>
  <c r="AR57" i="30"/>
  <c r="AM57" i="30"/>
  <c r="AH57" i="30"/>
  <c r="AC57" i="30"/>
  <c r="X57" i="30"/>
  <c r="S57" i="30"/>
  <c r="AW56" i="30"/>
  <c r="AR56" i="30"/>
  <c r="AM56" i="30"/>
  <c r="AH56" i="30"/>
  <c r="AC56" i="30"/>
  <c r="X56" i="30"/>
  <c r="S56" i="30"/>
  <c r="AW55" i="30"/>
  <c r="AR55" i="30"/>
  <c r="AM55" i="30"/>
  <c r="AH55" i="30"/>
  <c r="AC55" i="30"/>
  <c r="X55" i="30"/>
  <c r="S55" i="30"/>
  <c r="AW54" i="30"/>
  <c r="AR54" i="30"/>
  <c r="AM54" i="30"/>
  <c r="AH54" i="30"/>
  <c r="AC54" i="30"/>
  <c r="X54" i="30"/>
  <c r="S54" i="30"/>
  <c r="AW53" i="30"/>
  <c r="AR53" i="30"/>
  <c r="AM53" i="30"/>
  <c r="AH53" i="30"/>
  <c r="AC53" i="30"/>
  <c r="X53" i="30"/>
  <c r="S53" i="30"/>
  <c r="K53" i="30"/>
  <c r="J53" i="30"/>
  <c r="I53" i="30"/>
  <c r="AW52" i="30"/>
  <c r="AR52" i="30"/>
  <c r="AM52" i="30"/>
  <c r="AH52" i="30"/>
  <c r="AC52" i="30"/>
  <c r="X52" i="30"/>
  <c r="S52" i="30"/>
  <c r="K52" i="30"/>
  <c r="J52" i="30"/>
  <c r="I52" i="30"/>
  <c r="AW51" i="30"/>
  <c r="AR51" i="30"/>
  <c r="AM51" i="30"/>
  <c r="AH51" i="30"/>
  <c r="AC51" i="30"/>
  <c r="X51" i="30"/>
  <c r="S51" i="30"/>
  <c r="K51" i="30"/>
  <c r="J51" i="30"/>
  <c r="I51" i="30"/>
  <c r="AW50" i="30"/>
  <c r="AR50" i="30"/>
  <c r="AM50" i="30"/>
  <c r="AH50" i="30"/>
  <c r="AC50" i="30"/>
  <c r="X50" i="30"/>
  <c r="S50" i="30"/>
  <c r="K50" i="30"/>
  <c r="J50" i="30"/>
  <c r="I50" i="30"/>
  <c r="AW49" i="30"/>
  <c r="AR49" i="30"/>
  <c r="AM49" i="30"/>
  <c r="AH49" i="30"/>
  <c r="AC49" i="30"/>
  <c r="X49" i="30"/>
  <c r="S49" i="30"/>
  <c r="K49" i="30"/>
  <c r="M49" i="30" s="1"/>
  <c r="J49" i="30"/>
  <c r="I49" i="30"/>
  <c r="AW48" i="30"/>
  <c r="AR48" i="30"/>
  <c r="AM48" i="30"/>
  <c r="AH48" i="30"/>
  <c r="AC48" i="30"/>
  <c r="X48" i="30"/>
  <c r="S48" i="30"/>
  <c r="K48" i="30"/>
  <c r="J48" i="30"/>
  <c r="I48" i="30"/>
  <c r="AX47" i="30"/>
  <c r="AW47" i="30"/>
  <c r="AS47" i="30"/>
  <c r="AR47" i="30"/>
  <c r="AN47" i="30"/>
  <c r="AM47" i="30"/>
  <c r="AI47" i="30"/>
  <c r="AH47" i="30"/>
  <c r="AD47" i="30"/>
  <c r="AC47" i="30"/>
  <c r="Y47" i="30"/>
  <c r="X47" i="30"/>
  <c r="T47" i="30"/>
  <c r="S47" i="30"/>
  <c r="K47" i="30"/>
  <c r="J47" i="30"/>
  <c r="I47" i="30"/>
  <c r="H47" i="30"/>
  <c r="AW41" i="30"/>
  <c r="AR41" i="30"/>
  <c r="AM41" i="30"/>
  <c r="AH41" i="30"/>
  <c r="AC41" i="30"/>
  <c r="X41" i="30"/>
  <c r="S41" i="30"/>
  <c r="AW40" i="30"/>
  <c r="AR40" i="30"/>
  <c r="AM40" i="30"/>
  <c r="AH40" i="30"/>
  <c r="AC40" i="30"/>
  <c r="X40" i="30"/>
  <c r="S40" i="30"/>
  <c r="AW39" i="30"/>
  <c r="AR39" i="30"/>
  <c r="AM39" i="30"/>
  <c r="AH39" i="30"/>
  <c r="AC39" i="30"/>
  <c r="X39" i="30"/>
  <c r="S39" i="30"/>
  <c r="AW38" i="30"/>
  <c r="AR38" i="30"/>
  <c r="AM38" i="30"/>
  <c r="AH38" i="30"/>
  <c r="AC38" i="30"/>
  <c r="X38" i="30"/>
  <c r="S38" i="30"/>
  <c r="AW37" i="30"/>
  <c r="AR37" i="30"/>
  <c r="AM37" i="30"/>
  <c r="AH37" i="30"/>
  <c r="AC37" i="30"/>
  <c r="X37" i="30"/>
  <c r="S37" i="30"/>
  <c r="AW36" i="30"/>
  <c r="AR36" i="30"/>
  <c r="AM36" i="30"/>
  <c r="AH36" i="30"/>
  <c r="AC36" i="30"/>
  <c r="X36" i="30"/>
  <c r="S36" i="30"/>
  <c r="AW35" i="30"/>
  <c r="AR35" i="30"/>
  <c r="AM35" i="30"/>
  <c r="AH35" i="30"/>
  <c r="AC35" i="30"/>
  <c r="X35" i="30"/>
  <c r="S35" i="30"/>
  <c r="AW34" i="30"/>
  <c r="AR34" i="30"/>
  <c r="AM34" i="30"/>
  <c r="AH34" i="30"/>
  <c r="AC34" i="30"/>
  <c r="X34" i="30"/>
  <c r="S34" i="30"/>
  <c r="AW33" i="30"/>
  <c r="AR33" i="30"/>
  <c r="AM33" i="30"/>
  <c r="AH33" i="30"/>
  <c r="AC33" i="30"/>
  <c r="X33" i="30"/>
  <c r="S33" i="30"/>
  <c r="K33" i="30"/>
  <c r="J33" i="30"/>
  <c r="I33" i="30"/>
  <c r="AW32" i="30"/>
  <c r="AR32" i="30"/>
  <c r="AM32" i="30"/>
  <c r="AH32" i="30"/>
  <c r="AC32" i="30"/>
  <c r="X32" i="30"/>
  <c r="S32" i="30"/>
  <c r="K32" i="30"/>
  <c r="J32" i="30"/>
  <c r="I32" i="30"/>
  <c r="AW31" i="30"/>
  <c r="AR31" i="30"/>
  <c r="AM31" i="30"/>
  <c r="AH31" i="30"/>
  <c r="AC31" i="30"/>
  <c r="X31" i="30"/>
  <c r="S31" i="30"/>
  <c r="K31" i="30"/>
  <c r="J31" i="30"/>
  <c r="I31" i="30"/>
  <c r="AW30" i="30"/>
  <c r="AR30" i="30"/>
  <c r="AM30" i="30"/>
  <c r="AH30" i="30"/>
  <c r="AC30" i="30"/>
  <c r="X30" i="30"/>
  <c r="S30" i="30"/>
  <c r="K30" i="30"/>
  <c r="J30" i="30"/>
  <c r="I30" i="30"/>
  <c r="AW29" i="30"/>
  <c r="AR29" i="30"/>
  <c r="AM29" i="30"/>
  <c r="AH29" i="30"/>
  <c r="AC29" i="30"/>
  <c r="X29" i="30"/>
  <c r="S29" i="30"/>
  <c r="K29" i="30"/>
  <c r="J29" i="30"/>
  <c r="I29" i="30"/>
  <c r="AW28" i="30"/>
  <c r="AR28" i="30"/>
  <c r="AM28" i="30"/>
  <c r="AH28" i="30"/>
  <c r="AC28" i="30"/>
  <c r="X28" i="30"/>
  <c r="S28" i="30"/>
  <c r="K28" i="30"/>
  <c r="J28" i="30"/>
  <c r="I28" i="30"/>
  <c r="AX27" i="30"/>
  <c r="AW27" i="30"/>
  <c r="AS27" i="30"/>
  <c r="AR27" i="30"/>
  <c r="AN27" i="30"/>
  <c r="AM27" i="30"/>
  <c r="AI27" i="30"/>
  <c r="AH27" i="30"/>
  <c r="AD27" i="30"/>
  <c r="AC27" i="30"/>
  <c r="Y27" i="30"/>
  <c r="X27" i="30"/>
  <c r="T27" i="30"/>
  <c r="S27" i="30"/>
  <c r="K27" i="30"/>
  <c r="J27" i="30"/>
  <c r="I27" i="30"/>
  <c r="H27" i="30"/>
  <c r="AW21" i="30"/>
  <c r="AR21" i="30"/>
  <c r="AM21" i="30"/>
  <c r="AH21" i="30"/>
  <c r="AC21" i="30"/>
  <c r="X21" i="30"/>
  <c r="S21" i="30"/>
  <c r="AW20" i="30"/>
  <c r="AR20" i="30"/>
  <c r="AM20" i="30"/>
  <c r="AH20" i="30"/>
  <c r="AC20" i="30"/>
  <c r="X20" i="30"/>
  <c r="S20" i="30"/>
  <c r="AW19" i="30"/>
  <c r="AR19" i="30"/>
  <c r="AM19" i="30"/>
  <c r="AH19" i="30"/>
  <c r="AC19" i="30"/>
  <c r="X19" i="30"/>
  <c r="S19" i="30"/>
  <c r="AW18" i="30"/>
  <c r="AR18" i="30"/>
  <c r="AM18" i="30"/>
  <c r="AH18" i="30"/>
  <c r="AC18" i="30"/>
  <c r="X18" i="30"/>
  <c r="S18" i="30"/>
  <c r="AW17" i="30"/>
  <c r="AR17" i="30"/>
  <c r="AM17" i="30"/>
  <c r="AH17" i="30"/>
  <c r="AC17" i="30"/>
  <c r="X17" i="30"/>
  <c r="S17" i="30"/>
  <c r="AW16" i="30"/>
  <c r="AR16" i="30"/>
  <c r="AM16" i="30"/>
  <c r="AH16" i="30"/>
  <c r="AC16" i="30"/>
  <c r="X16" i="30"/>
  <c r="S16" i="30"/>
  <c r="AW15" i="30"/>
  <c r="AR15" i="30"/>
  <c r="AM15" i="30"/>
  <c r="AH15" i="30"/>
  <c r="AC15" i="30"/>
  <c r="X15" i="30"/>
  <c r="S15" i="30"/>
  <c r="AW14" i="30"/>
  <c r="AR14" i="30"/>
  <c r="AM14" i="30"/>
  <c r="AH14" i="30"/>
  <c r="AC14" i="30"/>
  <c r="X14" i="30"/>
  <c r="S14" i="30"/>
  <c r="K14" i="30"/>
  <c r="J14" i="30"/>
  <c r="I14" i="30"/>
  <c r="AW13" i="30"/>
  <c r="AR13" i="30"/>
  <c r="AM13" i="30"/>
  <c r="AH13" i="30"/>
  <c r="AC13" i="30"/>
  <c r="X13" i="30"/>
  <c r="S13" i="30"/>
  <c r="AW12" i="30"/>
  <c r="AR12" i="30"/>
  <c r="AM12" i="30"/>
  <c r="AH12" i="30"/>
  <c r="AC12" i="30"/>
  <c r="X12" i="30"/>
  <c r="S12" i="30"/>
  <c r="K12" i="30"/>
  <c r="J12" i="30"/>
  <c r="I12" i="30"/>
  <c r="AW11" i="30"/>
  <c r="AR11" i="30"/>
  <c r="AM11" i="30"/>
  <c r="AH11" i="30"/>
  <c r="AC11" i="30"/>
  <c r="X11" i="30"/>
  <c r="S11" i="30"/>
  <c r="K11" i="30"/>
  <c r="J11" i="30"/>
  <c r="I11" i="30"/>
  <c r="AW10" i="30"/>
  <c r="AR10" i="30"/>
  <c r="AM10" i="30"/>
  <c r="AH10" i="30"/>
  <c r="AC10" i="30"/>
  <c r="X10" i="30"/>
  <c r="S10" i="30"/>
  <c r="K10" i="30"/>
  <c r="J10" i="30"/>
  <c r="I10" i="30"/>
  <c r="AW9" i="30"/>
  <c r="AR9" i="30"/>
  <c r="AM9" i="30"/>
  <c r="AH9" i="30"/>
  <c r="AC9" i="30"/>
  <c r="X9" i="30"/>
  <c r="S9" i="30"/>
  <c r="K9" i="30"/>
  <c r="J9" i="30"/>
  <c r="I9" i="30"/>
  <c r="AW8" i="30"/>
  <c r="AR8" i="30"/>
  <c r="AM8" i="30"/>
  <c r="AH8" i="30"/>
  <c r="AC8" i="30"/>
  <c r="X8" i="30"/>
  <c r="S8" i="30"/>
  <c r="K8" i="30"/>
  <c r="M18" i="30" s="1"/>
  <c r="J8" i="30"/>
  <c r="I8" i="30"/>
  <c r="AX7" i="30"/>
  <c r="AW7" i="30"/>
  <c r="AS7" i="30"/>
  <c r="AR7" i="30"/>
  <c r="AN7" i="30"/>
  <c r="AM7" i="30"/>
  <c r="AI7" i="30"/>
  <c r="AH7" i="30"/>
  <c r="AD7" i="30"/>
  <c r="AC7" i="30"/>
  <c r="Y7" i="30"/>
  <c r="X7" i="30"/>
  <c r="T7" i="30"/>
  <c r="S7" i="30"/>
  <c r="K7" i="30"/>
  <c r="J7" i="30"/>
  <c r="I7" i="30"/>
  <c r="H7" i="30"/>
  <c r="AW176" i="8"/>
  <c r="AR176" i="8"/>
  <c r="AM176" i="8"/>
  <c r="AH176" i="8"/>
  <c r="AC176" i="8"/>
  <c r="X176" i="8"/>
  <c r="S176" i="8"/>
  <c r="AW175" i="8"/>
  <c r="AR175" i="8"/>
  <c r="AM175" i="8"/>
  <c r="AH175" i="8"/>
  <c r="AC175" i="8"/>
  <c r="X175" i="8"/>
  <c r="S175" i="8"/>
  <c r="AW174" i="8"/>
  <c r="AR174" i="8"/>
  <c r="AM174" i="8"/>
  <c r="AH174" i="8"/>
  <c r="AC174" i="8"/>
  <c r="X174" i="8"/>
  <c r="S174" i="8"/>
  <c r="AW173" i="8"/>
  <c r="AR173" i="8"/>
  <c r="AM173" i="8"/>
  <c r="AH173" i="8"/>
  <c r="AC173" i="8"/>
  <c r="X173" i="8"/>
  <c r="S173" i="8"/>
  <c r="AW172" i="8"/>
  <c r="AR172" i="8"/>
  <c r="AM172" i="8"/>
  <c r="AH172" i="8"/>
  <c r="AC172" i="8"/>
  <c r="X172" i="8"/>
  <c r="S172" i="8"/>
  <c r="AW171" i="8"/>
  <c r="AR171" i="8"/>
  <c r="AM171" i="8"/>
  <c r="AH171" i="8"/>
  <c r="AC171" i="8"/>
  <c r="X171" i="8"/>
  <c r="S171" i="8"/>
  <c r="AW170" i="8"/>
  <c r="AR170" i="8"/>
  <c r="AM170" i="8"/>
  <c r="AH170" i="8"/>
  <c r="AC170" i="8"/>
  <c r="X170" i="8"/>
  <c r="S170" i="8"/>
  <c r="AW169" i="8"/>
  <c r="AR169" i="8"/>
  <c r="AM169" i="8"/>
  <c r="AH169" i="8"/>
  <c r="AC169" i="8"/>
  <c r="X169" i="8"/>
  <c r="S169" i="8"/>
  <c r="AW168" i="8"/>
  <c r="AR168" i="8"/>
  <c r="AM168" i="8"/>
  <c r="AH168" i="8"/>
  <c r="AC168" i="8"/>
  <c r="X168" i="8"/>
  <c r="S168" i="8"/>
  <c r="AW167" i="8"/>
  <c r="AR167" i="8"/>
  <c r="AM167" i="8"/>
  <c r="AH167" i="8"/>
  <c r="AC167" i="8"/>
  <c r="X167" i="8"/>
  <c r="S167" i="8"/>
  <c r="AW166" i="8"/>
  <c r="AR166" i="8"/>
  <c r="AM166" i="8"/>
  <c r="AH166" i="8"/>
  <c r="AC166" i="8"/>
  <c r="X166" i="8"/>
  <c r="S166" i="8"/>
  <c r="K166" i="8"/>
  <c r="J166" i="8"/>
  <c r="I166" i="8"/>
  <c r="AW165" i="8"/>
  <c r="AR165" i="8"/>
  <c r="AM165" i="8"/>
  <c r="AH165" i="8"/>
  <c r="AC165" i="8"/>
  <c r="X165" i="8"/>
  <c r="S165" i="8"/>
  <c r="K165" i="8"/>
  <c r="J165" i="8"/>
  <c r="I165" i="8"/>
  <c r="AW164" i="8"/>
  <c r="AR164" i="8"/>
  <c r="AM164" i="8"/>
  <c r="AH164" i="8"/>
  <c r="AC164" i="8"/>
  <c r="X164" i="8"/>
  <c r="S164" i="8"/>
  <c r="K164" i="8"/>
  <c r="J164" i="8"/>
  <c r="I164" i="8"/>
  <c r="AW163" i="8"/>
  <c r="AR163" i="8"/>
  <c r="AM163" i="8"/>
  <c r="AH163" i="8"/>
  <c r="AC163" i="8"/>
  <c r="X163" i="8"/>
  <c r="S163" i="8"/>
  <c r="K163" i="8"/>
  <c r="J163" i="8"/>
  <c r="I163" i="8"/>
  <c r="AW162" i="8"/>
  <c r="AR162" i="8"/>
  <c r="AM162" i="8"/>
  <c r="AH162" i="8"/>
  <c r="AC162" i="8"/>
  <c r="X162" i="8"/>
  <c r="S162" i="8"/>
  <c r="K162" i="8"/>
  <c r="J162" i="8"/>
  <c r="I162" i="8"/>
  <c r="AW161" i="8"/>
  <c r="AR161" i="8"/>
  <c r="AM161" i="8"/>
  <c r="AH161" i="8"/>
  <c r="AC161" i="8"/>
  <c r="X161" i="8"/>
  <c r="S161" i="8"/>
  <c r="K161" i="8"/>
  <c r="J161" i="8"/>
  <c r="I161" i="8"/>
  <c r="AW160" i="8"/>
  <c r="AR160" i="8"/>
  <c r="AM160" i="8"/>
  <c r="AH160" i="8"/>
  <c r="AC160" i="8"/>
  <c r="X160" i="8"/>
  <c r="S160" i="8"/>
  <c r="K160" i="8"/>
  <c r="J160" i="8"/>
  <c r="I160" i="8"/>
  <c r="AW159" i="8"/>
  <c r="AR159" i="8"/>
  <c r="AM159" i="8"/>
  <c r="AH159" i="8"/>
  <c r="AC159" i="8"/>
  <c r="X159" i="8"/>
  <c r="S159" i="8"/>
  <c r="K159" i="8"/>
  <c r="J159" i="8"/>
  <c r="I159" i="8"/>
  <c r="AW158" i="8"/>
  <c r="AR158" i="8"/>
  <c r="AM158" i="8"/>
  <c r="AH158" i="8"/>
  <c r="AC158" i="8"/>
  <c r="X158" i="8"/>
  <c r="S158" i="8"/>
  <c r="K158" i="8"/>
  <c r="J158" i="8"/>
  <c r="I158" i="8"/>
  <c r="AW157" i="8"/>
  <c r="AR157" i="8"/>
  <c r="AM157" i="8"/>
  <c r="AH157" i="8"/>
  <c r="AC157" i="8"/>
  <c r="X157" i="8"/>
  <c r="S157" i="8"/>
  <c r="K157" i="8"/>
  <c r="J157" i="8"/>
  <c r="I157" i="8"/>
  <c r="AW156" i="8"/>
  <c r="AR156" i="8"/>
  <c r="AM156" i="8"/>
  <c r="AH156" i="8"/>
  <c r="AC156" i="8"/>
  <c r="X156" i="8"/>
  <c r="S156" i="8"/>
  <c r="K156" i="8"/>
  <c r="J156" i="8"/>
  <c r="I156" i="8"/>
  <c r="AW155" i="8"/>
  <c r="AR155" i="8"/>
  <c r="AM155" i="8"/>
  <c r="AH155" i="8"/>
  <c r="AC155" i="8"/>
  <c r="X155" i="8"/>
  <c r="S155" i="8"/>
  <c r="K155" i="8"/>
  <c r="J155" i="8"/>
  <c r="I155" i="8"/>
  <c r="AW154" i="8"/>
  <c r="AR154" i="8"/>
  <c r="AM154" i="8"/>
  <c r="AH154" i="8"/>
  <c r="AC154" i="8"/>
  <c r="X154" i="8"/>
  <c r="S154" i="8"/>
  <c r="K154" i="8"/>
  <c r="J154" i="8"/>
  <c r="I154" i="8"/>
  <c r="AW153" i="8"/>
  <c r="AR153" i="8"/>
  <c r="AM153" i="8"/>
  <c r="AH153" i="8"/>
  <c r="AC153" i="8"/>
  <c r="X153" i="8"/>
  <c r="S153" i="8"/>
  <c r="K153" i="8"/>
  <c r="J153" i="8"/>
  <c r="I153" i="8"/>
  <c r="AW152" i="8"/>
  <c r="AR152" i="8"/>
  <c r="AM152" i="8"/>
  <c r="AH152" i="8"/>
  <c r="AC152" i="8"/>
  <c r="X152" i="8"/>
  <c r="S152" i="8"/>
  <c r="K152" i="8"/>
  <c r="J152" i="8"/>
  <c r="I152" i="8"/>
  <c r="AW151" i="8"/>
  <c r="AR151" i="8"/>
  <c r="AM151" i="8"/>
  <c r="AH151" i="8"/>
  <c r="AC151" i="8"/>
  <c r="X151" i="8"/>
  <c r="S151" i="8"/>
  <c r="K151" i="8"/>
  <c r="J151" i="8"/>
  <c r="I151" i="8"/>
  <c r="AW150" i="8"/>
  <c r="AR150" i="8"/>
  <c r="AM150" i="8"/>
  <c r="AH150" i="8"/>
  <c r="AC150" i="8"/>
  <c r="X150" i="8"/>
  <c r="S150" i="8"/>
  <c r="K150" i="8"/>
  <c r="J150" i="8"/>
  <c r="I150" i="8"/>
  <c r="AW149" i="8"/>
  <c r="AR149" i="8"/>
  <c r="AM149" i="8"/>
  <c r="AH149" i="8"/>
  <c r="AC149" i="8"/>
  <c r="X149" i="8"/>
  <c r="S149" i="8"/>
  <c r="K149" i="8"/>
  <c r="J149" i="8"/>
  <c r="I149" i="8"/>
  <c r="AW148" i="8"/>
  <c r="AR148" i="8"/>
  <c r="AM148" i="8"/>
  <c r="AH148" i="8"/>
  <c r="AC148" i="8"/>
  <c r="X148" i="8"/>
  <c r="S148" i="8"/>
  <c r="K148" i="8"/>
  <c r="J148" i="8"/>
  <c r="I148" i="8"/>
  <c r="AX147" i="8"/>
  <c r="AW147" i="8"/>
  <c r="AS147" i="8"/>
  <c r="AR147" i="8"/>
  <c r="AN147" i="8"/>
  <c r="AM147" i="8"/>
  <c r="AI147" i="8"/>
  <c r="AH147" i="8"/>
  <c r="AD147" i="8"/>
  <c r="AC147" i="8"/>
  <c r="Y147" i="8"/>
  <c r="X147" i="8"/>
  <c r="T147" i="8"/>
  <c r="S147" i="8"/>
  <c r="K147" i="8"/>
  <c r="J147" i="8"/>
  <c r="I147" i="8"/>
  <c r="H147" i="8"/>
  <c r="AW141" i="8"/>
  <c r="AR141" i="8"/>
  <c r="AM141" i="8"/>
  <c r="AH141" i="8"/>
  <c r="AC141" i="8"/>
  <c r="X141" i="8"/>
  <c r="S141" i="8"/>
  <c r="AW140" i="8"/>
  <c r="AR140" i="8"/>
  <c r="AM140" i="8"/>
  <c r="AH140" i="8"/>
  <c r="AC140" i="8"/>
  <c r="X140" i="8"/>
  <c r="S140" i="8"/>
  <c r="AW139" i="8"/>
  <c r="AR139" i="8"/>
  <c r="AM139" i="8"/>
  <c r="AH139" i="8"/>
  <c r="AC139" i="8"/>
  <c r="X139" i="8"/>
  <c r="S139" i="8"/>
  <c r="AW138" i="8"/>
  <c r="AR138" i="8"/>
  <c r="AM138" i="8"/>
  <c r="AH138" i="8"/>
  <c r="AC138" i="8"/>
  <c r="X138" i="8"/>
  <c r="S138" i="8"/>
  <c r="AW137" i="8"/>
  <c r="AR137" i="8"/>
  <c r="AM137" i="8"/>
  <c r="AH137" i="8"/>
  <c r="AC137" i="8"/>
  <c r="X137" i="8"/>
  <c r="S137" i="8"/>
  <c r="AW136" i="8"/>
  <c r="AR136" i="8"/>
  <c r="AM136" i="8"/>
  <c r="AH136" i="8"/>
  <c r="AC136" i="8"/>
  <c r="X136" i="8"/>
  <c r="S136" i="8"/>
  <c r="AW135" i="8"/>
  <c r="AR135" i="8"/>
  <c r="AM135" i="8"/>
  <c r="AH135" i="8"/>
  <c r="AC135" i="8"/>
  <c r="X135" i="8"/>
  <c r="S135" i="8"/>
  <c r="AW134" i="8"/>
  <c r="AR134" i="8"/>
  <c r="AM134" i="8"/>
  <c r="AH134" i="8"/>
  <c r="AC134" i="8"/>
  <c r="X134" i="8"/>
  <c r="S134" i="8"/>
  <c r="AW133" i="8"/>
  <c r="AR133" i="8"/>
  <c r="AM133" i="8"/>
  <c r="AH133" i="8"/>
  <c r="AC133" i="8"/>
  <c r="X133" i="8"/>
  <c r="S133" i="8"/>
  <c r="AW132" i="8"/>
  <c r="AR132" i="8"/>
  <c r="AM132" i="8"/>
  <c r="AH132" i="8"/>
  <c r="AC132" i="8"/>
  <c r="X132" i="8"/>
  <c r="S132" i="8"/>
  <c r="AW131" i="8"/>
  <c r="AR131" i="8"/>
  <c r="AM131" i="8"/>
  <c r="AH131" i="8"/>
  <c r="AC131" i="8"/>
  <c r="X131" i="8"/>
  <c r="S131" i="8"/>
  <c r="AW130" i="8"/>
  <c r="AR130" i="8"/>
  <c r="AM130" i="8"/>
  <c r="AH130" i="8"/>
  <c r="AC130" i="8"/>
  <c r="X130" i="8"/>
  <c r="S130" i="8"/>
  <c r="K130" i="8"/>
  <c r="J130" i="8"/>
  <c r="I130" i="8"/>
  <c r="AW129" i="8"/>
  <c r="AR129" i="8"/>
  <c r="AM129" i="8"/>
  <c r="AH129" i="8"/>
  <c r="AC129" i="8"/>
  <c r="X129" i="8"/>
  <c r="S129" i="8"/>
  <c r="K129" i="8"/>
  <c r="J129" i="8"/>
  <c r="I129" i="8"/>
  <c r="AW128" i="8"/>
  <c r="AR128" i="8"/>
  <c r="AM128" i="8"/>
  <c r="AH128" i="8"/>
  <c r="AC128" i="8"/>
  <c r="X128" i="8"/>
  <c r="S128" i="8"/>
  <c r="K128" i="8"/>
  <c r="J128" i="8"/>
  <c r="I128" i="8"/>
  <c r="AW127" i="8"/>
  <c r="AR127" i="8"/>
  <c r="AM127" i="8"/>
  <c r="AH127" i="8"/>
  <c r="AC127" i="8"/>
  <c r="X127" i="8"/>
  <c r="S127" i="8"/>
  <c r="K127" i="8"/>
  <c r="J127" i="8"/>
  <c r="I127" i="8"/>
  <c r="AW126" i="8"/>
  <c r="AR126" i="8"/>
  <c r="AM126" i="8"/>
  <c r="AH126" i="8"/>
  <c r="AC126" i="8"/>
  <c r="X126" i="8"/>
  <c r="S126" i="8"/>
  <c r="K126" i="8"/>
  <c r="J126" i="8"/>
  <c r="I126" i="8"/>
  <c r="AW125" i="8"/>
  <c r="AR125" i="8"/>
  <c r="AM125" i="8"/>
  <c r="AH125" i="8"/>
  <c r="AC125" i="8"/>
  <c r="X125" i="8"/>
  <c r="S125" i="8"/>
  <c r="K125" i="8"/>
  <c r="J125" i="8"/>
  <c r="I125" i="8"/>
  <c r="AW124" i="8"/>
  <c r="AR124" i="8"/>
  <c r="AM124" i="8"/>
  <c r="AH124" i="8"/>
  <c r="AC124" i="8"/>
  <c r="X124" i="8"/>
  <c r="S124" i="8"/>
  <c r="K124" i="8"/>
  <c r="J124" i="8"/>
  <c r="I124" i="8"/>
  <c r="AW123" i="8"/>
  <c r="AR123" i="8"/>
  <c r="AM123" i="8"/>
  <c r="AH123" i="8"/>
  <c r="AC123" i="8"/>
  <c r="X123" i="8"/>
  <c r="S123" i="8"/>
  <c r="K123" i="8"/>
  <c r="J123" i="8"/>
  <c r="I123" i="8"/>
  <c r="AW122" i="8"/>
  <c r="AR122" i="8"/>
  <c r="AM122" i="8"/>
  <c r="AH122" i="8"/>
  <c r="AC122" i="8"/>
  <c r="X122" i="8"/>
  <c r="S122" i="8"/>
  <c r="K122" i="8"/>
  <c r="J122" i="8"/>
  <c r="I122" i="8"/>
  <c r="AW121" i="8"/>
  <c r="AR121" i="8"/>
  <c r="AM121" i="8"/>
  <c r="AH121" i="8"/>
  <c r="AC121" i="8"/>
  <c r="X121" i="8"/>
  <c r="S121" i="8"/>
  <c r="K121" i="8"/>
  <c r="J121" i="8"/>
  <c r="I121" i="8"/>
  <c r="AW120" i="8"/>
  <c r="AR120" i="8"/>
  <c r="AM120" i="8"/>
  <c r="AH120" i="8"/>
  <c r="AC120" i="8"/>
  <c r="X120" i="8"/>
  <c r="S120" i="8"/>
  <c r="K120" i="8"/>
  <c r="J120" i="8"/>
  <c r="I120" i="8"/>
  <c r="AW119" i="8"/>
  <c r="AR119" i="8"/>
  <c r="AM119" i="8"/>
  <c r="AH119" i="8"/>
  <c r="AC119" i="8"/>
  <c r="X119" i="8"/>
  <c r="S119" i="8"/>
  <c r="K119" i="8"/>
  <c r="J119" i="8"/>
  <c r="I119" i="8"/>
  <c r="AW118" i="8"/>
  <c r="AR118" i="8"/>
  <c r="AM118" i="8"/>
  <c r="AH118" i="8"/>
  <c r="AC118" i="8"/>
  <c r="X118" i="8"/>
  <c r="S118" i="8"/>
  <c r="K118" i="8"/>
  <c r="M118" i="8" s="1"/>
  <c r="J118" i="8"/>
  <c r="I118" i="8"/>
  <c r="AW117" i="8"/>
  <c r="AR117" i="8"/>
  <c r="AM117" i="8"/>
  <c r="AH117" i="8"/>
  <c r="AC117" i="8"/>
  <c r="X117" i="8"/>
  <c r="S117" i="8"/>
  <c r="K117" i="8"/>
  <c r="J117" i="8"/>
  <c r="I117" i="8"/>
  <c r="AW116" i="8"/>
  <c r="AR116" i="8"/>
  <c r="AM116" i="8"/>
  <c r="AH116" i="8"/>
  <c r="AC116" i="8"/>
  <c r="X116" i="8"/>
  <c r="S116" i="8"/>
  <c r="K116" i="8"/>
  <c r="J116" i="8"/>
  <c r="I116" i="8"/>
  <c r="AW115" i="8"/>
  <c r="AR115" i="8"/>
  <c r="AM115" i="8"/>
  <c r="AH115" i="8"/>
  <c r="AC115" i="8"/>
  <c r="X115" i="8"/>
  <c r="S115" i="8"/>
  <c r="K115" i="8"/>
  <c r="J115" i="8"/>
  <c r="I115" i="8"/>
  <c r="AW114" i="8"/>
  <c r="AR114" i="8"/>
  <c r="AM114" i="8"/>
  <c r="AH114" i="8"/>
  <c r="AC114" i="8"/>
  <c r="X114" i="8"/>
  <c r="S114" i="8"/>
  <c r="K114" i="8"/>
  <c r="J114" i="8"/>
  <c r="I114" i="8"/>
  <c r="AW113" i="8"/>
  <c r="AR113" i="8"/>
  <c r="AM113" i="8"/>
  <c r="AH113" i="8"/>
  <c r="AC113" i="8"/>
  <c r="X113" i="8"/>
  <c r="S113" i="8"/>
  <c r="K113" i="8"/>
  <c r="J113" i="8"/>
  <c r="I113" i="8"/>
  <c r="AX112" i="8"/>
  <c r="AW112" i="8"/>
  <c r="AS112" i="8"/>
  <c r="AR112" i="8"/>
  <c r="AN112" i="8"/>
  <c r="AM112" i="8"/>
  <c r="AI112" i="8"/>
  <c r="AH112" i="8"/>
  <c r="AD112" i="8"/>
  <c r="AC112" i="8"/>
  <c r="Y112" i="8"/>
  <c r="X112" i="8"/>
  <c r="T112" i="8"/>
  <c r="S112" i="8"/>
  <c r="K112" i="8"/>
  <c r="J112" i="8"/>
  <c r="I112" i="8"/>
  <c r="H112" i="8"/>
  <c r="AW106" i="8"/>
  <c r="AR106" i="8"/>
  <c r="AM106" i="8"/>
  <c r="AH106" i="8"/>
  <c r="AC106" i="8"/>
  <c r="X106" i="8"/>
  <c r="S106" i="8"/>
  <c r="AW105" i="8"/>
  <c r="AR105" i="8"/>
  <c r="AM105" i="8"/>
  <c r="AH105" i="8"/>
  <c r="AC105" i="8"/>
  <c r="X105" i="8"/>
  <c r="S105" i="8"/>
  <c r="AW104" i="8"/>
  <c r="AR104" i="8"/>
  <c r="AM104" i="8"/>
  <c r="AH104" i="8"/>
  <c r="AC104" i="8"/>
  <c r="X104" i="8"/>
  <c r="S104" i="8"/>
  <c r="AW103" i="8"/>
  <c r="AR103" i="8"/>
  <c r="AM103" i="8"/>
  <c r="AH103" i="8"/>
  <c r="AC103" i="8"/>
  <c r="X103" i="8"/>
  <c r="S103" i="8"/>
  <c r="AW102" i="8"/>
  <c r="AR102" i="8"/>
  <c r="AM102" i="8"/>
  <c r="AH102" i="8"/>
  <c r="AC102" i="8"/>
  <c r="X102" i="8"/>
  <c r="S102" i="8"/>
  <c r="AW101" i="8"/>
  <c r="AR101" i="8"/>
  <c r="AM101" i="8"/>
  <c r="AH101" i="8"/>
  <c r="AC101" i="8"/>
  <c r="X101" i="8"/>
  <c r="S101" i="8"/>
  <c r="AW100" i="8"/>
  <c r="AR100" i="8"/>
  <c r="AM100" i="8"/>
  <c r="AH100" i="8"/>
  <c r="AC100" i="8"/>
  <c r="X100" i="8"/>
  <c r="S100" i="8"/>
  <c r="AW99" i="8"/>
  <c r="AR99" i="8"/>
  <c r="AM99" i="8"/>
  <c r="AH99" i="8"/>
  <c r="AC99" i="8"/>
  <c r="X99" i="8"/>
  <c r="S99" i="8"/>
  <c r="AW98" i="8"/>
  <c r="AR98" i="8"/>
  <c r="AM98" i="8"/>
  <c r="AH98" i="8"/>
  <c r="AC98" i="8"/>
  <c r="X98" i="8"/>
  <c r="S98" i="8"/>
  <c r="AW97" i="8"/>
  <c r="AR97" i="8"/>
  <c r="AM97" i="8"/>
  <c r="AH97" i="8"/>
  <c r="AC97" i="8"/>
  <c r="X97" i="8"/>
  <c r="S97" i="8"/>
  <c r="AW96" i="8"/>
  <c r="AR96" i="8"/>
  <c r="AM96" i="8"/>
  <c r="AH96" i="8"/>
  <c r="AC96" i="8"/>
  <c r="X96" i="8"/>
  <c r="S96" i="8"/>
  <c r="AW95" i="8"/>
  <c r="AR95" i="8"/>
  <c r="AM95" i="8"/>
  <c r="AH95" i="8"/>
  <c r="AC95" i="8"/>
  <c r="X95" i="8"/>
  <c r="S95" i="8"/>
  <c r="K95" i="8"/>
  <c r="J95" i="8"/>
  <c r="I95" i="8"/>
  <c r="AW94" i="8"/>
  <c r="AR94" i="8"/>
  <c r="AM94" i="8"/>
  <c r="AH94" i="8"/>
  <c r="AC94" i="8"/>
  <c r="X94" i="8"/>
  <c r="S94" i="8"/>
  <c r="K94" i="8"/>
  <c r="J94" i="8"/>
  <c r="I94" i="8"/>
  <c r="AW93" i="8"/>
  <c r="AR93" i="8"/>
  <c r="AM93" i="8"/>
  <c r="AH93" i="8"/>
  <c r="AC93" i="8"/>
  <c r="X93" i="8"/>
  <c r="S93" i="8"/>
  <c r="K93" i="8"/>
  <c r="J93" i="8"/>
  <c r="I93" i="8"/>
  <c r="AW92" i="8"/>
  <c r="AR92" i="8"/>
  <c r="AM92" i="8"/>
  <c r="AH92" i="8"/>
  <c r="AC92" i="8"/>
  <c r="X92" i="8"/>
  <c r="S92" i="8"/>
  <c r="K92" i="8"/>
  <c r="J92" i="8"/>
  <c r="I92" i="8"/>
  <c r="AW91" i="8"/>
  <c r="AR91" i="8"/>
  <c r="AM91" i="8"/>
  <c r="AH91" i="8"/>
  <c r="AC91" i="8"/>
  <c r="X91" i="8"/>
  <c r="S91" i="8"/>
  <c r="K91" i="8"/>
  <c r="J91" i="8"/>
  <c r="I91" i="8"/>
  <c r="AW90" i="8"/>
  <c r="AR90" i="8"/>
  <c r="AM90" i="8"/>
  <c r="AH90" i="8"/>
  <c r="AC90" i="8"/>
  <c r="X90" i="8"/>
  <c r="S90" i="8"/>
  <c r="K90" i="8"/>
  <c r="J90" i="8"/>
  <c r="I90" i="8"/>
  <c r="AW89" i="8"/>
  <c r="AR89" i="8"/>
  <c r="AM89" i="8"/>
  <c r="AH89" i="8"/>
  <c r="AC89" i="8"/>
  <c r="X89" i="8"/>
  <c r="S89" i="8"/>
  <c r="K89" i="8"/>
  <c r="J89" i="8"/>
  <c r="I89" i="8"/>
  <c r="AW88" i="8"/>
  <c r="AR88" i="8"/>
  <c r="AM88" i="8"/>
  <c r="AH88" i="8"/>
  <c r="AC88" i="8"/>
  <c r="X88" i="8"/>
  <c r="S88" i="8"/>
  <c r="K88" i="8"/>
  <c r="J88" i="8"/>
  <c r="I88" i="8"/>
  <c r="AW87" i="8"/>
  <c r="AR87" i="8"/>
  <c r="AM87" i="8"/>
  <c r="AH87" i="8"/>
  <c r="AC87" i="8"/>
  <c r="X87" i="8"/>
  <c r="S87" i="8"/>
  <c r="K87" i="8"/>
  <c r="J87" i="8"/>
  <c r="I87" i="8"/>
  <c r="AW86" i="8"/>
  <c r="AR86" i="8"/>
  <c r="AM86" i="8"/>
  <c r="AH86" i="8"/>
  <c r="AC86" i="8"/>
  <c r="X86" i="8"/>
  <c r="S86" i="8"/>
  <c r="K86" i="8"/>
  <c r="J86" i="8"/>
  <c r="I86" i="8"/>
  <c r="AW85" i="8"/>
  <c r="AR85" i="8"/>
  <c r="AM85" i="8"/>
  <c r="AH85" i="8"/>
  <c r="AC85" i="8"/>
  <c r="X85" i="8"/>
  <c r="S85" i="8"/>
  <c r="K85" i="8"/>
  <c r="J85" i="8"/>
  <c r="I85" i="8"/>
  <c r="AW84" i="8"/>
  <c r="AR84" i="8"/>
  <c r="AM84" i="8"/>
  <c r="AH84" i="8"/>
  <c r="AC84" i="8"/>
  <c r="X84" i="8"/>
  <c r="S84" i="8"/>
  <c r="K84" i="8"/>
  <c r="J84" i="8"/>
  <c r="I84" i="8"/>
  <c r="AW83" i="8"/>
  <c r="AR83" i="8"/>
  <c r="AM83" i="8"/>
  <c r="AH83" i="8"/>
  <c r="AC83" i="8"/>
  <c r="X83" i="8"/>
  <c r="S83" i="8"/>
  <c r="K83" i="8"/>
  <c r="M83" i="8" s="1"/>
  <c r="J83" i="8"/>
  <c r="I83" i="8"/>
  <c r="AW82" i="8"/>
  <c r="AR82" i="8"/>
  <c r="AM82" i="8"/>
  <c r="AH82" i="8"/>
  <c r="AC82" i="8"/>
  <c r="X82" i="8"/>
  <c r="S82" i="8"/>
  <c r="K82" i="8"/>
  <c r="J82" i="8"/>
  <c r="I82" i="8"/>
  <c r="AW81" i="8"/>
  <c r="AR81" i="8"/>
  <c r="AM81" i="8"/>
  <c r="AH81" i="8"/>
  <c r="AC81" i="8"/>
  <c r="X81" i="8"/>
  <c r="S81" i="8"/>
  <c r="K81" i="8"/>
  <c r="J81" i="8"/>
  <c r="I81" i="8"/>
  <c r="AW80" i="8"/>
  <c r="AR80" i="8"/>
  <c r="AM80" i="8"/>
  <c r="AH80" i="8"/>
  <c r="AC80" i="8"/>
  <c r="X80" i="8"/>
  <c r="S80" i="8"/>
  <c r="K80" i="8"/>
  <c r="J80" i="8"/>
  <c r="I80" i="8"/>
  <c r="AW79" i="8"/>
  <c r="AR79" i="8"/>
  <c r="AM79" i="8"/>
  <c r="AH79" i="8"/>
  <c r="AC79" i="8"/>
  <c r="X79" i="8"/>
  <c r="S79" i="8"/>
  <c r="K79" i="8"/>
  <c r="J79" i="8"/>
  <c r="I79" i="8"/>
  <c r="AW78" i="8"/>
  <c r="AR78" i="8"/>
  <c r="AM78" i="8"/>
  <c r="AH78" i="8"/>
  <c r="AC78" i="8"/>
  <c r="X78" i="8"/>
  <c r="S78" i="8"/>
  <c r="K78" i="8"/>
  <c r="J78" i="8"/>
  <c r="I78" i="8"/>
  <c r="AX77" i="8"/>
  <c r="AW77" i="8"/>
  <c r="AS77" i="8"/>
  <c r="AR77" i="8"/>
  <c r="AN77" i="8"/>
  <c r="AM77" i="8"/>
  <c r="AI77" i="8"/>
  <c r="AH77" i="8"/>
  <c r="AD77" i="8"/>
  <c r="AC77" i="8"/>
  <c r="Y77" i="8"/>
  <c r="X77" i="8"/>
  <c r="T77" i="8"/>
  <c r="S77" i="8"/>
  <c r="K77" i="8"/>
  <c r="J77" i="8"/>
  <c r="I77" i="8"/>
  <c r="H77" i="8"/>
  <c r="AW71" i="8"/>
  <c r="AR71" i="8"/>
  <c r="AM71" i="8"/>
  <c r="AH71" i="8"/>
  <c r="AC71" i="8"/>
  <c r="X71" i="8"/>
  <c r="S71" i="8"/>
  <c r="AW70" i="8"/>
  <c r="AR70" i="8"/>
  <c r="AM70" i="8"/>
  <c r="AH70" i="8"/>
  <c r="AC70" i="8"/>
  <c r="X70" i="8"/>
  <c r="S70" i="8"/>
  <c r="AW69" i="8"/>
  <c r="AR69" i="8"/>
  <c r="AM69" i="8"/>
  <c r="AH69" i="8"/>
  <c r="AC69" i="8"/>
  <c r="X69" i="8"/>
  <c r="S69" i="8"/>
  <c r="AW68" i="8"/>
  <c r="AR68" i="8"/>
  <c r="AM68" i="8"/>
  <c r="AH68" i="8"/>
  <c r="AC68" i="8"/>
  <c r="X68" i="8"/>
  <c r="S68" i="8"/>
  <c r="AW67" i="8"/>
  <c r="AR67" i="8"/>
  <c r="AM67" i="8"/>
  <c r="AH67" i="8"/>
  <c r="AC67" i="8"/>
  <c r="X67" i="8"/>
  <c r="S67" i="8"/>
  <c r="AW66" i="8"/>
  <c r="AR66" i="8"/>
  <c r="AM66" i="8"/>
  <c r="AH66" i="8"/>
  <c r="AC66" i="8"/>
  <c r="X66" i="8"/>
  <c r="S66" i="8"/>
  <c r="AW65" i="8"/>
  <c r="AR65" i="8"/>
  <c r="AM65" i="8"/>
  <c r="AH65" i="8"/>
  <c r="AC65" i="8"/>
  <c r="X65" i="8"/>
  <c r="S65" i="8"/>
  <c r="AW64" i="8"/>
  <c r="AR64" i="8"/>
  <c r="AM64" i="8"/>
  <c r="AH64" i="8"/>
  <c r="AC64" i="8"/>
  <c r="X64" i="8"/>
  <c r="S64" i="8"/>
  <c r="AW63" i="8"/>
  <c r="AR63" i="8"/>
  <c r="AM63" i="8"/>
  <c r="AH63" i="8"/>
  <c r="AC63" i="8"/>
  <c r="X63" i="8"/>
  <c r="S63" i="8"/>
  <c r="AW62" i="8"/>
  <c r="AR62" i="8"/>
  <c r="AM62" i="8"/>
  <c r="AH62" i="8"/>
  <c r="AC62" i="8"/>
  <c r="X62" i="8"/>
  <c r="S62" i="8"/>
  <c r="AW61" i="8"/>
  <c r="AR61" i="8"/>
  <c r="AM61" i="8"/>
  <c r="AH61" i="8"/>
  <c r="AC61" i="8"/>
  <c r="X61" i="8"/>
  <c r="S61" i="8"/>
  <c r="AW60" i="8"/>
  <c r="AR60" i="8"/>
  <c r="AM60" i="8"/>
  <c r="AH60" i="8"/>
  <c r="AC60" i="8"/>
  <c r="X60" i="8"/>
  <c r="S60" i="8"/>
  <c r="K60" i="8"/>
  <c r="J60" i="8"/>
  <c r="I60" i="8"/>
  <c r="AW59" i="8"/>
  <c r="AR59" i="8"/>
  <c r="AM59" i="8"/>
  <c r="AH59" i="8"/>
  <c r="AC59" i="8"/>
  <c r="X59" i="8"/>
  <c r="S59" i="8"/>
  <c r="K59" i="8"/>
  <c r="J59" i="8"/>
  <c r="I59" i="8"/>
  <c r="AW58" i="8"/>
  <c r="AR58" i="8"/>
  <c r="AM58" i="8"/>
  <c r="AH58" i="8"/>
  <c r="AC58" i="8"/>
  <c r="X58" i="8"/>
  <c r="S58" i="8"/>
  <c r="K58" i="8"/>
  <c r="J58" i="8"/>
  <c r="I58" i="8"/>
  <c r="AW57" i="8"/>
  <c r="AR57" i="8"/>
  <c r="AM57" i="8"/>
  <c r="AH57" i="8"/>
  <c r="AC57" i="8"/>
  <c r="X57" i="8"/>
  <c r="S57" i="8"/>
  <c r="K57" i="8"/>
  <c r="J57" i="8"/>
  <c r="I57" i="8"/>
  <c r="AW56" i="8"/>
  <c r="AR56" i="8"/>
  <c r="AM56" i="8"/>
  <c r="AH56" i="8"/>
  <c r="AC56" i="8"/>
  <c r="X56" i="8"/>
  <c r="S56" i="8"/>
  <c r="K56" i="8"/>
  <c r="J56" i="8"/>
  <c r="I56" i="8"/>
  <c r="AW55" i="8"/>
  <c r="AR55" i="8"/>
  <c r="AM55" i="8"/>
  <c r="AH55" i="8"/>
  <c r="AC55" i="8"/>
  <c r="X55" i="8"/>
  <c r="S55" i="8"/>
  <c r="K55" i="8"/>
  <c r="J55" i="8"/>
  <c r="I55" i="8"/>
  <c r="AW54" i="8"/>
  <c r="AR54" i="8"/>
  <c r="AM54" i="8"/>
  <c r="AH54" i="8"/>
  <c r="AC54" i="8"/>
  <c r="X54" i="8"/>
  <c r="S54" i="8"/>
  <c r="K54" i="8"/>
  <c r="J54" i="8"/>
  <c r="I54" i="8"/>
  <c r="AW53" i="8"/>
  <c r="AR53" i="8"/>
  <c r="AM53" i="8"/>
  <c r="AH53" i="8"/>
  <c r="AC53" i="8"/>
  <c r="X53" i="8"/>
  <c r="S53" i="8"/>
  <c r="K53" i="8"/>
  <c r="J53" i="8"/>
  <c r="I53" i="8"/>
  <c r="AW52" i="8"/>
  <c r="AR52" i="8"/>
  <c r="AM52" i="8"/>
  <c r="AH52" i="8"/>
  <c r="AC52" i="8"/>
  <c r="X52" i="8"/>
  <c r="S52" i="8"/>
  <c r="K52" i="8"/>
  <c r="J52" i="8"/>
  <c r="I52" i="8"/>
  <c r="AW51" i="8"/>
  <c r="AR51" i="8"/>
  <c r="AM51" i="8"/>
  <c r="AH51" i="8"/>
  <c r="AC51" i="8"/>
  <c r="X51" i="8"/>
  <c r="S51" i="8"/>
  <c r="K51" i="8"/>
  <c r="J51" i="8"/>
  <c r="I51" i="8"/>
  <c r="AW50" i="8"/>
  <c r="AR50" i="8"/>
  <c r="AM50" i="8"/>
  <c r="AH50" i="8"/>
  <c r="AC50" i="8"/>
  <c r="X50" i="8"/>
  <c r="S50" i="8"/>
  <c r="K50" i="8"/>
  <c r="J50" i="8"/>
  <c r="I50" i="8"/>
  <c r="AW49" i="8"/>
  <c r="AR49" i="8"/>
  <c r="AM49" i="8"/>
  <c r="AH49" i="8"/>
  <c r="AC49" i="8"/>
  <c r="X49" i="8"/>
  <c r="S49" i="8"/>
  <c r="K49" i="8"/>
  <c r="J49" i="8"/>
  <c r="I49" i="8"/>
  <c r="AW48" i="8"/>
  <c r="AR48" i="8"/>
  <c r="AM48" i="8"/>
  <c r="AH48" i="8"/>
  <c r="AC48" i="8"/>
  <c r="X48" i="8"/>
  <c r="S48" i="8"/>
  <c r="K48" i="8"/>
  <c r="J48" i="8"/>
  <c r="I48" i="8"/>
  <c r="AW47" i="8"/>
  <c r="AR47" i="8"/>
  <c r="AM47" i="8"/>
  <c r="AH47" i="8"/>
  <c r="AC47" i="8"/>
  <c r="X47" i="8"/>
  <c r="S47" i="8"/>
  <c r="K47" i="8"/>
  <c r="J47" i="8"/>
  <c r="I47" i="8"/>
  <c r="AW46" i="8"/>
  <c r="AR46" i="8"/>
  <c r="AM46" i="8"/>
  <c r="AH46" i="8"/>
  <c r="AC46" i="8"/>
  <c r="X46" i="8"/>
  <c r="S46" i="8"/>
  <c r="K46" i="8"/>
  <c r="J46" i="8"/>
  <c r="I46" i="8"/>
  <c r="AW45" i="8"/>
  <c r="AR45" i="8"/>
  <c r="AM45" i="8"/>
  <c r="AH45" i="8"/>
  <c r="AC45" i="8"/>
  <c r="X45" i="8"/>
  <c r="S45" i="8"/>
  <c r="K45" i="8"/>
  <c r="J45" i="8"/>
  <c r="I45" i="8"/>
  <c r="AW44" i="8"/>
  <c r="AR44" i="8"/>
  <c r="AM44" i="8"/>
  <c r="AH44" i="8"/>
  <c r="AC44" i="8"/>
  <c r="X44" i="8"/>
  <c r="S44" i="8"/>
  <c r="K44" i="8"/>
  <c r="J44" i="8"/>
  <c r="I44" i="8"/>
  <c r="AW43" i="8"/>
  <c r="AR43" i="8"/>
  <c r="AM43" i="8"/>
  <c r="AH43" i="8"/>
  <c r="AC43" i="8"/>
  <c r="X43" i="8"/>
  <c r="S43" i="8"/>
  <c r="K43" i="8"/>
  <c r="J43" i="8"/>
  <c r="I43" i="8"/>
  <c r="AX42" i="8"/>
  <c r="AW42" i="8"/>
  <c r="AS42" i="8"/>
  <c r="AR42" i="8"/>
  <c r="AN42" i="8"/>
  <c r="AM42" i="8"/>
  <c r="AI42" i="8"/>
  <c r="AH42" i="8"/>
  <c r="AD42" i="8"/>
  <c r="AC42" i="8"/>
  <c r="Y42" i="8"/>
  <c r="X42" i="8"/>
  <c r="T42" i="8"/>
  <c r="S42" i="8"/>
  <c r="K42" i="8"/>
  <c r="J42" i="8"/>
  <c r="I42" i="8"/>
  <c r="H42" i="8"/>
  <c r="AW36" i="8"/>
  <c r="AR36" i="8"/>
  <c r="AM36" i="8"/>
  <c r="AH36" i="8"/>
  <c r="AC36" i="8"/>
  <c r="X36" i="8"/>
  <c r="S36" i="8"/>
  <c r="AW35" i="8"/>
  <c r="AR35" i="8"/>
  <c r="AM35" i="8"/>
  <c r="AH35" i="8"/>
  <c r="AC35" i="8"/>
  <c r="X35" i="8"/>
  <c r="S35" i="8"/>
  <c r="AW34" i="8"/>
  <c r="AR34" i="8"/>
  <c r="AM34" i="8"/>
  <c r="AH34" i="8"/>
  <c r="AC34" i="8"/>
  <c r="X34" i="8"/>
  <c r="S34" i="8"/>
  <c r="AW33" i="8"/>
  <c r="AR33" i="8"/>
  <c r="AM33" i="8"/>
  <c r="AH33" i="8"/>
  <c r="AC33" i="8"/>
  <c r="X33" i="8"/>
  <c r="S33" i="8"/>
  <c r="AW32" i="8"/>
  <c r="AR32" i="8"/>
  <c r="AM32" i="8"/>
  <c r="AH32" i="8"/>
  <c r="AC32" i="8"/>
  <c r="X32" i="8"/>
  <c r="S32" i="8"/>
  <c r="AW31" i="8"/>
  <c r="AR31" i="8"/>
  <c r="AM31" i="8"/>
  <c r="AH31" i="8"/>
  <c r="AC31" i="8"/>
  <c r="X31" i="8"/>
  <c r="S31" i="8"/>
  <c r="AW30" i="8"/>
  <c r="AR30" i="8"/>
  <c r="AM30" i="8"/>
  <c r="AH30" i="8"/>
  <c r="AC30" i="8"/>
  <c r="X30" i="8"/>
  <c r="S30" i="8"/>
  <c r="AW29" i="8"/>
  <c r="AR29" i="8"/>
  <c r="AM29" i="8"/>
  <c r="AH29" i="8"/>
  <c r="AC29" i="8"/>
  <c r="X29" i="8"/>
  <c r="S29" i="8"/>
  <c r="AW28" i="8"/>
  <c r="AR28" i="8"/>
  <c r="AM28" i="8"/>
  <c r="AH28" i="8"/>
  <c r="AC28" i="8"/>
  <c r="X28" i="8"/>
  <c r="S28" i="8"/>
  <c r="AW27" i="8"/>
  <c r="AR27" i="8"/>
  <c r="AM27" i="8"/>
  <c r="AH27" i="8"/>
  <c r="AC27" i="8"/>
  <c r="X27" i="8"/>
  <c r="S27" i="8"/>
  <c r="K27" i="8"/>
  <c r="J27" i="8"/>
  <c r="I27" i="8"/>
  <c r="AW26" i="8"/>
  <c r="AR26" i="8"/>
  <c r="AM26" i="8"/>
  <c r="AH26" i="8"/>
  <c r="AC26" i="8"/>
  <c r="X26" i="8"/>
  <c r="S26" i="8"/>
  <c r="K26" i="8"/>
  <c r="J26" i="8"/>
  <c r="I26" i="8"/>
  <c r="AW25" i="8"/>
  <c r="AR25" i="8"/>
  <c r="AM25" i="8"/>
  <c r="AH25" i="8"/>
  <c r="AC25" i="8"/>
  <c r="X25" i="8"/>
  <c r="S25" i="8"/>
  <c r="K25" i="8"/>
  <c r="J25" i="8"/>
  <c r="I25" i="8"/>
  <c r="AW24" i="8"/>
  <c r="AR24" i="8"/>
  <c r="AM24" i="8"/>
  <c r="AH24" i="8"/>
  <c r="AC24" i="8"/>
  <c r="X24" i="8"/>
  <c r="S24" i="8"/>
  <c r="K24" i="8"/>
  <c r="J24" i="8"/>
  <c r="I24" i="8"/>
  <c r="AW23" i="8"/>
  <c r="AR23" i="8"/>
  <c r="AM23" i="8"/>
  <c r="AH23" i="8"/>
  <c r="AC23" i="8"/>
  <c r="X23" i="8"/>
  <c r="S23" i="8"/>
  <c r="K23" i="8"/>
  <c r="J23" i="8"/>
  <c r="I23" i="8"/>
  <c r="AW22" i="8"/>
  <c r="AR22" i="8"/>
  <c r="AM22" i="8"/>
  <c r="AH22" i="8"/>
  <c r="AC22" i="8"/>
  <c r="X22" i="8"/>
  <c r="S22" i="8"/>
  <c r="K22" i="8"/>
  <c r="J22" i="8"/>
  <c r="I22" i="8"/>
  <c r="AW21" i="8"/>
  <c r="AR21" i="8"/>
  <c r="AM21" i="8"/>
  <c r="AH21" i="8"/>
  <c r="AC21" i="8"/>
  <c r="X21" i="8"/>
  <c r="S21" i="8"/>
  <c r="K21" i="8"/>
  <c r="J21" i="8"/>
  <c r="I21" i="8"/>
  <c r="AW20" i="8"/>
  <c r="AR20" i="8"/>
  <c r="AM20" i="8"/>
  <c r="AH20" i="8"/>
  <c r="AC20" i="8"/>
  <c r="X20" i="8"/>
  <c r="S20" i="8"/>
  <c r="K20" i="8"/>
  <c r="J20" i="8"/>
  <c r="I20" i="8"/>
  <c r="AW19" i="8"/>
  <c r="AR19" i="8"/>
  <c r="AM19" i="8"/>
  <c r="AH19" i="8"/>
  <c r="AC19" i="8"/>
  <c r="X19" i="8"/>
  <c r="S19" i="8"/>
  <c r="K19" i="8"/>
  <c r="J19" i="8"/>
  <c r="I19" i="8"/>
  <c r="AW18" i="8"/>
  <c r="AR18" i="8"/>
  <c r="AM18" i="8"/>
  <c r="AH18" i="8"/>
  <c r="AC18" i="8"/>
  <c r="X18" i="8"/>
  <c r="S18" i="8"/>
  <c r="K18" i="8"/>
  <c r="J18" i="8"/>
  <c r="I18" i="8"/>
  <c r="AW17" i="8"/>
  <c r="AR17" i="8"/>
  <c r="AM17" i="8"/>
  <c r="AH17" i="8"/>
  <c r="AC17" i="8"/>
  <c r="X17" i="8"/>
  <c r="S17" i="8"/>
  <c r="AW16" i="8"/>
  <c r="AR16" i="8"/>
  <c r="AM16" i="8"/>
  <c r="AH16" i="8"/>
  <c r="AC16" i="8"/>
  <c r="X16" i="8"/>
  <c r="S16" i="8"/>
  <c r="K16" i="8"/>
  <c r="J16" i="8"/>
  <c r="I16" i="8"/>
  <c r="AW15" i="8"/>
  <c r="AR15" i="8"/>
  <c r="AM15" i="8"/>
  <c r="AH15" i="8"/>
  <c r="AC15" i="8"/>
  <c r="X15" i="8"/>
  <c r="S15" i="8"/>
  <c r="K15" i="8"/>
  <c r="J15" i="8"/>
  <c r="I15" i="8"/>
  <c r="AW14" i="8"/>
  <c r="AR14" i="8"/>
  <c r="AM14" i="8"/>
  <c r="AH14" i="8"/>
  <c r="AC14" i="8"/>
  <c r="X14" i="8"/>
  <c r="S14" i="8"/>
  <c r="K14" i="8"/>
  <c r="J14" i="8"/>
  <c r="I14" i="8"/>
  <c r="AW13" i="8"/>
  <c r="AR13" i="8"/>
  <c r="AM13" i="8"/>
  <c r="AH13" i="8"/>
  <c r="AC13" i="8"/>
  <c r="X13" i="8"/>
  <c r="S13" i="8"/>
  <c r="K13" i="8"/>
  <c r="J13" i="8"/>
  <c r="I13" i="8"/>
  <c r="AW12" i="8"/>
  <c r="AR12" i="8"/>
  <c r="AM12" i="8"/>
  <c r="AH12" i="8"/>
  <c r="AC12" i="8"/>
  <c r="X12" i="8"/>
  <c r="S12" i="8"/>
  <c r="K12" i="8"/>
  <c r="J12" i="8"/>
  <c r="I12" i="8"/>
  <c r="AW11" i="8"/>
  <c r="AR11" i="8"/>
  <c r="AM11" i="8"/>
  <c r="AH11" i="8"/>
  <c r="AC11" i="8"/>
  <c r="X11" i="8"/>
  <c r="S11" i="8"/>
  <c r="K11" i="8"/>
  <c r="J11" i="8"/>
  <c r="I11" i="8"/>
  <c r="AW10" i="8"/>
  <c r="AR10" i="8"/>
  <c r="AM10" i="8"/>
  <c r="AH10" i="8"/>
  <c r="AC10" i="8"/>
  <c r="X10" i="8"/>
  <c r="S10" i="8"/>
  <c r="K10" i="8"/>
  <c r="J10" i="8"/>
  <c r="I10" i="8"/>
  <c r="AW9" i="8"/>
  <c r="AR9" i="8"/>
  <c r="AM9" i="8"/>
  <c r="AH9" i="8"/>
  <c r="AC9" i="8"/>
  <c r="X9" i="8"/>
  <c r="S9" i="8"/>
  <c r="K9" i="8"/>
  <c r="J9" i="8"/>
  <c r="I9" i="8"/>
  <c r="AW8" i="8"/>
  <c r="AR8" i="8"/>
  <c r="AM8" i="8"/>
  <c r="AH8" i="8"/>
  <c r="AC8" i="8"/>
  <c r="X8" i="8"/>
  <c r="S8" i="8"/>
  <c r="K8" i="8"/>
  <c r="L7" i="8" s="1"/>
  <c r="J8" i="8"/>
  <c r="I8" i="8"/>
  <c r="AX7" i="8"/>
  <c r="AW7" i="8"/>
  <c r="AS7" i="8"/>
  <c r="AR7" i="8"/>
  <c r="AN7" i="8"/>
  <c r="AM7" i="8"/>
  <c r="AI7" i="8"/>
  <c r="AH7" i="8"/>
  <c r="AD7" i="8"/>
  <c r="AC7" i="8"/>
  <c r="Y7" i="8"/>
  <c r="X7" i="8"/>
  <c r="T7" i="8"/>
  <c r="S7" i="8"/>
  <c r="K7" i="8"/>
  <c r="J7" i="8"/>
  <c r="I7" i="8"/>
  <c r="H7" i="8"/>
  <c r="N9" i="5"/>
  <c r="Q9" i="5"/>
  <c r="W9" i="5"/>
  <c r="T9" i="5"/>
  <c r="H9" i="5"/>
  <c r="T9" i="3"/>
  <c r="N9" i="3"/>
  <c r="K9" i="3"/>
  <c r="H9" i="3"/>
  <c r="M41" i="7"/>
  <c r="AC41" i="6"/>
  <c r="S41" i="6"/>
  <c r="M41" i="6"/>
  <c r="S41" i="7"/>
  <c r="AC41" i="7"/>
  <c r="X65" i="33" l="1"/>
  <c r="X60" i="33"/>
  <c r="X59" i="33"/>
  <c r="T42" i="33"/>
  <c r="AH44" i="33"/>
  <c r="AH54" i="33"/>
  <c r="AH47" i="33"/>
  <c r="AH57" i="33"/>
  <c r="J68" i="33"/>
  <c r="AH53" i="33"/>
  <c r="AH56" i="33"/>
  <c r="AH59" i="33"/>
  <c r="AH62" i="33"/>
  <c r="S45" i="33"/>
  <c r="AH49" i="33"/>
  <c r="AH52" i="33"/>
  <c r="AC69" i="33"/>
  <c r="S51" i="33"/>
  <c r="AH55" i="33"/>
  <c r="AH45" i="33"/>
  <c r="AH58" i="33"/>
  <c r="X67" i="33"/>
  <c r="S57" i="33"/>
  <c r="AH61" i="33"/>
  <c r="M126" i="33"/>
  <c r="M12" i="8"/>
  <c r="M48" i="8"/>
  <c r="M54" i="8"/>
  <c r="M60" i="8"/>
  <c r="M70" i="30"/>
  <c r="M27" i="32"/>
  <c r="M54" i="32"/>
  <c r="M72" i="32"/>
  <c r="M30" i="33"/>
  <c r="M11" i="33"/>
  <c r="M17" i="33"/>
  <c r="M23" i="33"/>
  <c r="M29" i="33"/>
  <c r="S44" i="33"/>
  <c r="AM46" i="33"/>
  <c r="S50" i="33"/>
  <c r="AM52" i="33"/>
  <c r="S56" i="33"/>
  <c r="AM58" i="33"/>
  <c r="S62" i="33"/>
  <c r="AH65" i="33"/>
  <c r="M49" i="34"/>
  <c r="M55" i="34"/>
  <c r="M53" i="35"/>
  <c r="M89" i="35"/>
  <c r="M95" i="35"/>
  <c r="M50" i="36"/>
  <c r="U42" i="37"/>
  <c r="Z42" i="37" s="1"/>
  <c r="AE42" i="37" s="1"/>
  <c r="AJ42" i="37" s="1"/>
  <c r="AO42" i="37" s="1"/>
  <c r="AT42" i="37" s="1"/>
  <c r="M70" i="37"/>
  <c r="M91" i="30"/>
  <c r="M54" i="37"/>
  <c r="M91" i="37"/>
  <c r="M151" i="8"/>
  <c r="M163" i="8"/>
  <c r="M12" i="30"/>
  <c r="M33" i="30"/>
  <c r="M7" i="32"/>
  <c r="L27" i="32"/>
  <c r="M93" i="32"/>
  <c r="M7" i="33"/>
  <c r="M106" i="33"/>
  <c r="M151" i="33"/>
  <c r="M154" i="33"/>
  <c r="M160" i="33"/>
  <c r="M166" i="33"/>
  <c r="M172" i="33"/>
  <c r="M71" i="34"/>
  <c r="M77" i="34"/>
  <c r="M69" i="35"/>
  <c r="M75" i="35"/>
  <c r="M11" i="37"/>
  <c r="M164" i="8"/>
  <c r="M100" i="33"/>
  <c r="M24" i="8"/>
  <c r="M116" i="8"/>
  <c r="M122" i="8"/>
  <c r="M128" i="8"/>
  <c r="L147" i="8"/>
  <c r="M89" i="30"/>
  <c r="M10" i="32"/>
  <c r="M16" i="32"/>
  <c r="M30" i="32"/>
  <c r="M36" i="32"/>
  <c r="S43" i="33"/>
  <c r="AM45" i="33"/>
  <c r="S49" i="33"/>
  <c r="AM51" i="33"/>
  <c r="S55" i="33"/>
  <c r="AM57" i="33"/>
  <c r="S61" i="33"/>
  <c r="AH67" i="33"/>
  <c r="L77" i="33"/>
  <c r="M9" i="34"/>
  <c r="M15" i="34"/>
  <c r="M31" i="34"/>
  <c r="M37" i="34"/>
  <c r="M81" i="34"/>
  <c r="M93" i="34"/>
  <c r="M29" i="35"/>
  <c r="M35" i="35"/>
  <c r="M69" i="36"/>
  <c r="M12" i="37"/>
  <c r="M31" i="37"/>
  <c r="M34" i="37"/>
  <c r="M52" i="37"/>
  <c r="M92" i="37"/>
  <c r="M23" i="8"/>
  <c r="M89" i="8"/>
  <c r="M158" i="8"/>
  <c r="M21" i="8"/>
  <c r="M27" i="8"/>
  <c r="M81" i="8"/>
  <c r="M87" i="8"/>
  <c r="M93" i="8"/>
  <c r="M127" i="8"/>
  <c r="M162" i="8"/>
  <c r="M11" i="30"/>
  <c r="M53" i="30"/>
  <c r="M49" i="32"/>
  <c r="M55" i="32"/>
  <c r="AM62" i="33"/>
  <c r="M80" i="33"/>
  <c r="M86" i="33"/>
  <c r="M92" i="33"/>
  <c r="M98" i="33"/>
  <c r="M118" i="33"/>
  <c r="M124" i="33"/>
  <c r="M130" i="33"/>
  <c r="M136" i="33"/>
  <c r="M41" i="34"/>
  <c r="M13" i="35"/>
  <c r="M14" i="35"/>
  <c r="M27" i="36"/>
  <c r="M49" i="36"/>
  <c r="M124" i="8"/>
  <c r="M17" i="34"/>
  <c r="M95" i="8"/>
  <c r="L67" i="30"/>
  <c r="M57" i="32"/>
  <c r="K138" i="32"/>
  <c r="M138" i="33"/>
  <c r="L67" i="37"/>
  <c r="M10" i="8"/>
  <c r="M16" i="8"/>
  <c r="M46" i="8"/>
  <c r="M52" i="8"/>
  <c r="M58" i="8"/>
  <c r="M92" i="8"/>
  <c r="M7" i="30"/>
  <c r="M69" i="30"/>
  <c r="M88" i="30"/>
  <c r="M70" i="32"/>
  <c r="M76" i="32"/>
  <c r="M10" i="33"/>
  <c r="M15" i="33"/>
  <c r="M21" i="33"/>
  <c r="M27" i="33"/>
  <c r="AM44" i="33"/>
  <c r="S48" i="33"/>
  <c r="AM50" i="33"/>
  <c r="S54" i="33"/>
  <c r="AM56" i="33"/>
  <c r="S60" i="33"/>
  <c r="AR62" i="33"/>
  <c r="S64" i="33"/>
  <c r="M53" i="34"/>
  <c r="M51" i="35"/>
  <c r="M57" i="35"/>
  <c r="M93" i="35"/>
  <c r="M30" i="36"/>
  <c r="M61" i="37"/>
  <c r="M71" i="37"/>
  <c r="M74" i="37"/>
  <c r="M101" i="37"/>
  <c r="M31" i="35"/>
  <c r="M74" i="35"/>
  <c r="M118" i="35"/>
  <c r="M121" i="35"/>
  <c r="M117" i="35"/>
  <c r="M120" i="35"/>
  <c r="M119" i="35"/>
  <c r="M116" i="35"/>
  <c r="M115" i="35"/>
  <c r="M111" i="35"/>
  <c r="M112" i="35"/>
  <c r="M110" i="35"/>
  <c r="M113" i="35"/>
  <c r="M107" i="35"/>
  <c r="M114" i="35"/>
  <c r="M109" i="35"/>
  <c r="M108" i="35"/>
  <c r="M94" i="33"/>
  <c r="M7" i="34"/>
  <c r="M57" i="8"/>
  <c r="M149" i="8"/>
  <c r="M155" i="8"/>
  <c r="M10" i="30"/>
  <c r="M31" i="30"/>
  <c r="M91" i="32"/>
  <c r="M97" i="32"/>
  <c r="AM42" i="33"/>
  <c r="AC70" i="33"/>
  <c r="M152" i="33"/>
  <c r="M158" i="33"/>
  <c r="M164" i="33"/>
  <c r="M170" i="33"/>
  <c r="M69" i="34"/>
  <c r="M75" i="34"/>
  <c r="M61" i="35"/>
  <c r="M73" i="35"/>
  <c r="M7" i="36"/>
  <c r="M88" i="36"/>
  <c r="M91" i="36"/>
  <c r="M9" i="37"/>
  <c r="L47" i="37"/>
  <c r="L87" i="37"/>
  <c r="M120" i="33"/>
  <c r="M41" i="35"/>
  <c r="M114" i="8"/>
  <c r="M120" i="8"/>
  <c r="M126" i="8"/>
  <c r="M30" i="30"/>
  <c r="M93" i="30"/>
  <c r="M13" i="32"/>
  <c r="M14" i="32"/>
  <c r="M33" i="32"/>
  <c r="M34" i="32"/>
  <c r="M94" i="32"/>
  <c r="L7" i="31"/>
  <c r="AN42" i="33"/>
  <c r="AM43" i="33"/>
  <c r="S47" i="33"/>
  <c r="AM49" i="33"/>
  <c r="S53" i="33"/>
  <c r="AM55" i="33"/>
  <c r="S59" i="33"/>
  <c r="AM61" i="33"/>
  <c r="AM64" i="33"/>
  <c r="S66" i="33"/>
  <c r="M13" i="34"/>
  <c r="M29" i="34"/>
  <c r="M35" i="34"/>
  <c r="M91" i="34"/>
  <c r="M97" i="34"/>
  <c r="M33" i="35"/>
  <c r="L7" i="36"/>
  <c r="M32" i="37"/>
  <c r="M50" i="37"/>
  <c r="M90" i="37"/>
  <c r="M95" i="34"/>
  <c r="M19" i="8"/>
  <c r="M25" i="8"/>
  <c r="M79" i="8"/>
  <c r="M85" i="8"/>
  <c r="M91" i="8"/>
  <c r="M154" i="8"/>
  <c r="M166" i="8"/>
  <c r="M51" i="30"/>
  <c r="M53" i="32"/>
  <c r="K68" i="33"/>
  <c r="M68" i="33" s="1"/>
  <c r="M85" i="33"/>
  <c r="M84" i="33"/>
  <c r="M90" i="33"/>
  <c r="M96" i="33"/>
  <c r="M135" i="33"/>
  <c r="M116" i="33"/>
  <c r="M122" i="33"/>
  <c r="M128" i="33"/>
  <c r="M134" i="33"/>
  <c r="M171" i="33"/>
  <c r="M94" i="34"/>
  <c r="M12" i="35"/>
  <c r="M17" i="36"/>
  <c r="M130" i="8"/>
  <c r="M132" i="33"/>
  <c r="M11" i="8"/>
  <c r="M14" i="8"/>
  <c r="M44" i="8"/>
  <c r="M50" i="8"/>
  <c r="M56" i="8"/>
  <c r="M50" i="30"/>
  <c r="M72" i="30"/>
  <c r="M81" i="32"/>
  <c r="M74" i="32"/>
  <c r="M13" i="33"/>
  <c r="M19" i="33"/>
  <c r="M25" i="33"/>
  <c r="M31" i="33"/>
  <c r="S46" i="33"/>
  <c r="AM48" i="33"/>
  <c r="S52" i="33"/>
  <c r="AM54" i="33"/>
  <c r="S58" i="33"/>
  <c r="AM60" i="33"/>
  <c r="AM66" i="33"/>
  <c r="M112" i="33"/>
  <c r="L147" i="33"/>
  <c r="M51" i="34"/>
  <c r="M57" i="34"/>
  <c r="M49" i="35"/>
  <c r="M55" i="35"/>
  <c r="M91" i="35"/>
  <c r="M41" i="36"/>
  <c r="M67" i="36"/>
  <c r="M41" i="37"/>
  <c r="M72" i="37"/>
  <c r="M159" i="8"/>
  <c r="M29" i="30"/>
  <c r="M89" i="32"/>
  <c r="M95" i="32"/>
  <c r="S42" i="33"/>
  <c r="M150" i="33"/>
  <c r="M156" i="33"/>
  <c r="M162" i="33"/>
  <c r="M168" i="33"/>
  <c r="M174" i="33"/>
  <c r="M61" i="34"/>
  <c r="M73" i="34"/>
  <c r="M7" i="35"/>
  <c r="M71" i="35"/>
  <c r="M92" i="35"/>
  <c r="L67" i="36"/>
  <c r="M89" i="36"/>
  <c r="M13" i="37"/>
  <c r="L27" i="37"/>
  <c r="U62" i="37"/>
  <c r="Z62" i="37" s="1"/>
  <c r="AE62" i="37" s="1"/>
  <c r="AJ62" i="37" s="1"/>
  <c r="AO62" i="37" s="1"/>
  <c r="AT62" i="37" s="1"/>
  <c r="P82" i="37"/>
  <c r="U82" i="37" s="1"/>
  <c r="Z82" i="37" s="1"/>
  <c r="AE82" i="37" s="1"/>
  <c r="AJ82" i="37" s="1"/>
  <c r="AO82" i="37" s="1"/>
  <c r="AT82" i="37" s="1"/>
  <c r="L7" i="37"/>
  <c r="M27" i="37"/>
  <c r="M35" i="37"/>
  <c r="M36" i="37"/>
  <c r="M37" i="37"/>
  <c r="M38" i="37"/>
  <c r="M39" i="37"/>
  <c r="M40" i="37"/>
  <c r="M47" i="37"/>
  <c r="M55" i="37"/>
  <c r="M56" i="37"/>
  <c r="M57" i="37"/>
  <c r="M58" i="37"/>
  <c r="M59" i="37"/>
  <c r="M60" i="37"/>
  <c r="M67" i="37"/>
  <c r="M75" i="37"/>
  <c r="M76" i="37"/>
  <c r="M77" i="37"/>
  <c r="M78" i="37"/>
  <c r="M79" i="37"/>
  <c r="M80" i="37"/>
  <c r="M87" i="37"/>
  <c r="M95" i="37"/>
  <c r="M96" i="37"/>
  <c r="M97" i="37"/>
  <c r="M98" i="37"/>
  <c r="M99" i="37"/>
  <c r="M100" i="37"/>
  <c r="M7" i="37"/>
  <c r="M10" i="37"/>
  <c r="M14" i="37"/>
  <c r="M15" i="37"/>
  <c r="M16" i="37"/>
  <c r="M17" i="37"/>
  <c r="M18" i="37"/>
  <c r="M19" i="37"/>
  <c r="M20" i="37"/>
  <c r="M21" i="37"/>
  <c r="M29" i="37"/>
  <c r="M33" i="37"/>
  <c r="M49" i="37"/>
  <c r="M53" i="37"/>
  <c r="M69" i="37"/>
  <c r="M73" i="37"/>
  <c r="M89" i="37"/>
  <c r="M93" i="37"/>
  <c r="M28" i="37"/>
  <c r="M48" i="37"/>
  <c r="M68" i="37"/>
  <c r="M88" i="37"/>
  <c r="M8" i="37"/>
  <c r="U62" i="36"/>
  <c r="Z62" i="36" s="1"/>
  <c r="AE62" i="36" s="1"/>
  <c r="AJ62" i="36" s="1"/>
  <c r="AO62" i="36" s="1"/>
  <c r="AT62" i="36" s="1"/>
  <c r="P82" i="36"/>
  <c r="U82" i="36" s="1"/>
  <c r="Z82" i="36" s="1"/>
  <c r="AE82" i="36" s="1"/>
  <c r="AJ82" i="36" s="1"/>
  <c r="AO82" i="36" s="1"/>
  <c r="AT82" i="36" s="1"/>
  <c r="M11" i="36"/>
  <c r="M15" i="36"/>
  <c r="M18" i="36"/>
  <c r="M21" i="36"/>
  <c r="M8" i="36"/>
  <c r="U42" i="36"/>
  <c r="Z42" i="36" s="1"/>
  <c r="AE42" i="36" s="1"/>
  <c r="AJ42" i="36" s="1"/>
  <c r="AO42" i="36" s="1"/>
  <c r="AT42" i="36" s="1"/>
  <c r="M68" i="36"/>
  <c r="L87" i="36"/>
  <c r="M92" i="36"/>
  <c r="M93" i="36"/>
  <c r="M94" i="36"/>
  <c r="M95" i="36"/>
  <c r="M96" i="36"/>
  <c r="M97" i="36"/>
  <c r="M98" i="36"/>
  <c r="M99" i="36"/>
  <c r="M100" i="36"/>
  <c r="M101" i="36"/>
  <c r="M12" i="36"/>
  <c r="M13" i="36"/>
  <c r="M16" i="36"/>
  <c r="M19" i="36"/>
  <c r="M20" i="36"/>
  <c r="M71" i="36"/>
  <c r="M72" i="36"/>
  <c r="M73" i="36"/>
  <c r="M74" i="36"/>
  <c r="M75" i="36"/>
  <c r="M76" i="36"/>
  <c r="M77" i="36"/>
  <c r="M78" i="36"/>
  <c r="M79" i="36"/>
  <c r="M80" i="36"/>
  <c r="M81" i="36"/>
  <c r="M90" i="36"/>
  <c r="M10" i="36"/>
  <c r="M28" i="36"/>
  <c r="L47" i="36"/>
  <c r="M52" i="36"/>
  <c r="M53" i="36"/>
  <c r="M54" i="36"/>
  <c r="M55" i="36"/>
  <c r="M56" i="36"/>
  <c r="M57" i="36"/>
  <c r="M58" i="36"/>
  <c r="M59" i="36"/>
  <c r="M60" i="36"/>
  <c r="M61" i="36"/>
  <c r="M14" i="36"/>
  <c r="M29" i="36"/>
  <c r="M48" i="36"/>
  <c r="L27" i="36"/>
  <c r="M31" i="36"/>
  <c r="M32" i="36"/>
  <c r="M33" i="36"/>
  <c r="M34" i="36"/>
  <c r="M35" i="36"/>
  <c r="M36" i="36"/>
  <c r="M37" i="36"/>
  <c r="M38" i="36"/>
  <c r="M39" i="36"/>
  <c r="M40" i="36"/>
  <c r="M47" i="36"/>
  <c r="P82" i="35"/>
  <c r="U82" i="35" s="1"/>
  <c r="Z82" i="35" s="1"/>
  <c r="AE82" i="35" s="1"/>
  <c r="AJ82" i="35" s="1"/>
  <c r="AO82" i="35" s="1"/>
  <c r="AT82" i="35" s="1"/>
  <c r="U62" i="35"/>
  <c r="Z62" i="35" s="1"/>
  <c r="AE62" i="35" s="1"/>
  <c r="AJ62" i="35" s="1"/>
  <c r="AO62" i="35" s="1"/>
  <c r="AT62" i="35" s="1"/>
  <c r="M8" i="35"/>
  <c r="M17" i="35"/>
  <c r="M18" i="35"/>
  <c r="M19" i="35"/>
  <c r="M20" i="35"/>
  <c r="M21" i="35"/>
  <c r="U42" i="35"/>
  <c r="Z42" i="35" s="1"/>
  <c r="AE42" i="35" s="1"/>
  <c r="AJ42" i="35" s="1"/>
  <c r="AO42" i="35" s="1"/>
  <c r="AT42" i="35" s="1"/>
  <c r="L87" i="35"/>
  <c r="M96" i="35"/>
  <c r="M97" i="35"/>
  <c r="M98" i="35"/>
  <c r="M99" i="35"/>
  <c r="M100" i="35"/>
  <c r="M101" i="35"/>
  <c r="M11" i="35"/>
  <c r="M15" i="35"/>
  <c r="M28" i="35"/>
  <c r="M32" i="35"/>
  <c r="M36" i="35"/>
  <c r="M48" i="35"/>
  <c r="M52" i="35"/>
  <c r="M56" i="35"/>
  <c r="M68" i="35"/>
  <c r="M72" i="35"/>
  <c r="M76" i="35"/>
  <c r="M77" i="35"/>
  <c r="M78" i="35"/>
  <c r="M79" i="35"/>
  <c r="M80" i="35"/>
  <c r="M81" i="35"/>
  <c r="M87" i="35"/>
  <c r="M90" i="35"/>
  <c r="M94" i="35"/>
  <c r="L27" i="35"/>
  <c r="L47" i="35"/>
  <c r="L67" i="35"/>
  <c r="M9" i="35"/>
  <c r="M27" i="35"/>
  <c r="M30" i="35"/>
  <c r="M34" i="35"/>
  <c r="M38" i="35"/>
  <c r="M39" i="35"/>
  <c r="M40" i="35"/>
  <c r="M47" i="35"/>
  <c r="M50" i="35"/>
  <c r="M54" i="35"/>
  <c r="M58" i="35"/>
  <c r="M59" i="35"/>
  <c r="M60" i="35"/>
  <c r="M67" i="35"/>
  <c r="M70" i="35"/>
  <c r="M88" i="35"/>
  <c r="P82" i="34"/>
  <c r="U82" i="34" s="1"/>
  <c r="Z82" i="34" s="1"/>
  <c r="AE82" i="34" s="1"/>
  <c r="AJ82" i="34" s="1"/>
  <c r="AO82" i="34" s="1"/>
  <c r="AT82" i="34" s="1"/>
  <c r="U62" i="34"/>
  <c r="Z62" i="34" s="1"/>
  <c r="AE62" i="34" s="1"/>
  <c r="AJ62" i="34" s="1"/>
  <c r="AO62" i="34" s="1"/>
  <c r="AT62" i="34" s="1"/>
  <c r="M18" i="34"/>
  <c r="M19" i="34"/>
  <c r="M20" i="34"/>
  <c r="M21" i="34"/>
  <c r="U42" i="34"/>
  <c r="Z42" i="34" s="1"/>
  <c r="AE42" i="34" s="1"/>
  <c r="AJ42" i="34" s="1"/>
  <c r="AO42" i="34" s="1"/>
  <c r="AT42" i="34" s="1"/>
  <c r="M98" i="34"/>
  <c r="M99" i="34"/>
  <c r="M100" i="34"/>
  <c r="M101" i="34"/>
  <c r="M8" i="34"/>
  <c r="M12" i="34"/>
  <c r="M16" i="34"/>
  <c r="M28" i="34"/>
  <c r="M32" i="34"/>
  <c r="M36" i="34"/>
  <c r="M48" i="34"/>
  <c r="M52" i="34"/>
  <c r="M56" i="34"/>
  <c r="M68" i="34"/>
  <c r="M72" i="34"/>
  <c r="M76" i="34"/>
  <c r="M88" i="34"/>
  <c r="M92" i="34"/>
  <c r="M96" i="34"/>
  <c r="L7" i="34"/>
  <c r="L27" i="34"/>
  <c r="L47" i="34"/>
  <c r="L67" i="34"/>
  <c r="L87" i="34"/>
  <c r="M10" i="34"/>
  <c r="M27" i="34"/>
  <c r="M30" i="34"/>
  <c r="M34" i="34"/>
  <c r="M38" i="34"/>
  <c r="M39" i="34"/>
  <c r="M40" i="34"/>
  <c r="M47" i="34"/>
  <c r="M50" i="34"/>
  <c r="M54" i="34"/>
  <c r="M58" i="34"/>
  <c r="M59" i="34"/>
  <c r="M60" i="34"/>
  <c r="M67" i="34"/>
  <c r="M70" i="34"/>
  <c r="M74" i="34"/>
  <c r="M78" i="34"/>
  <c r="M79" i="34"/>
  <c r="M80" i="34"/>
  <c r="M87" i="34"/>
  <c r="M90" i="34"/>
  <c r="P142" i="33"/>
  <c r="U142" i="33" s="1"/>
  <c r="Z142" i="33" s="1"/>
  <c r="AE142" i="33" s="1"/>
  <c r="AJ142" i="33" s="1"/>
  <c r="AO142" i="33" s="1"/>
  <c r="AT142" i="33" s="1"/>
  <c r="U107" i="33"/>
  <c r="Z107" i="33" s="1"/>
  <c r="AE107" i="33" s="1"/>
  <c r="AJ107" i="33" s="1"/>
  <c r="AO107" i="33" s="1"/>
  <c r="AT107" i="33" s="1"/>
  <c r="M9" i="33"/>
  <c r="S63" i="33"/>
  <c r="AM63" i="33"/>
  <c r="X64" i="33"/>
  <c r="AR64" i="33"/>
  <c r="AC65" i="33"/>
  <c r="AH66" i="33"/>
  <c r="S67" i="33"/>
  <c r="AM67" i="33"/>
  <c r="AH69" i="33"/>
  <c r="AH70" i="33"/>
  <c r="AH71" i="33"/>
  <c r="M77" i="33"/>
  <c r="M139" i="33"/>
  <c r="M140" i="33"/>
  <c r="M141" i="33"/>
  <c r="M147" i="33"/>
  <c r="M175" i="33"/>
  <c r="M176" i="33"/>
  <c r="M8" i="33"/>
  <c r="M12" i="33"/>
  <c r="M16" i="33"/>
  <c r="M20" i="33"/>
  <c r="M24" i="33"/>
  <c r="M28" i="33"/>
  <c r="M42" i="33"/>
  <c r="S69" i="33"/>
  <c r="AM69" i="33"/>
  <c r="S70" i="33"/>
  <c r="AM70" i="33"/>
  <c r="S71" i="33"/>
  <c r="AM71" i="33"/>
  <c r="M79" i="33"/>
  <c r="M83" i="33"/>
  <c r="M87" i="33"/>
  <c r="M91" i="33"/>
  <c r="M95" i="33"/>
  <c r="M99" i="33"/>
  <c r="M113" i="33"/>
  <c r="M117" i="33"/>
  <c r="M121" i="33"/>
  <c r="M125" i="33"/>
  <c r="M129" i="33"/>
  <c r="M133" i="33"/>
  <c r="M137" i="33"/>
  <c r="M149" i="33"/>
  <c r="M153" i="33"/>
  <c r="M157" i="33"/>
  <c r="M161" i="33"/>
  <c r="M165" i="33"/>
  <c r="M169" i="33"/>
  <c r="M173" i="33"/>
  <c r="L7" i="33"/>
  <c r="M32" i="33"/>
  <c r="M33" i="33"/>
  <c r="M34" i="33"/>
  <c r="M35" i="33"/>
  <c r="M36" i="33"/>
  <c r="X62" i="33"/>
  <c r="AC63" i="33"/>
  <c r="AH64" i="33"/>
  <c r="S65" i="33"/>
  <c r="AM65" i="33"/>
  <c r="X66" i="33"/>
  <c r="AR66" i="33"/>
  <c r="AC67" i="33"/>
  <c r="X68" i="33"/>
  <c r="AC68" i="33"/>
  <c r="AR68" i="33"/>
  <c r="X69" i="33"/>
  <c r="AR69" i="33"/>
  <c r="X70" i="33"/>
  <c r="AR70" i="33"/>
  <c r="M78" i="33"/>
  <c r="L112" i="33"/>
  <c r="M148" i="33"/>
  <c r="M14" i="33"/>
  <c r="M18" i="33"/>
  <c r="M22" i="33"/>
  <c r="M26" i="33"/>
  <c r="M81" i="33"/>
  <c r="M89" i="33"/>
  <c r="M93" i="33"/>
  <c r="M97" i="33"/>
  <c r="M101" i="33"/>
  <c r="M102" i="33"/>
  <c r="M103" i="33"/>
  <c r="M104" i="33"/>
  <c r="M105" i="33"/>
  <c r="M115" i="33"/>
  <c r="M119" i="33"/>
  <c r="M123" i="33"/>
  <c r="M127" i="33"/>
  <c r="M131" i="33"/>
  <c r="M155" i="33"/>
  <c r="M159" i="33"/>
  <c r="M163" i="33"/>
  <c r="M167" i="33"/>
  <c r="M8" i="31"/>
  <c r="M9" i="31"/>
  <c r="M10" i="31"/>
  <c r="M11" i="31"/>
  <c r="M12" i="31"/>
  <c r="M13" i="31"/>
  <c r="M14" i="31"/>
  <c r="M15" i="31"/>
  <c r="M16" i="31"/>
  <c r="M17" i="31"/>
  <c r="M18" i="31"/>
  <c r="M19" i="31"/>
  <c r="M20" i="31"/>
  <c r="M21" i="31"/>
  <c r="L47" i="31"/>
  <c r="M48" i="31"/>
  <c r="M49" i="31"/>
  <c r="M50" i="31"/>
  <c r="M51" i="31"/>
  <c r="M52" i="31"/>
  <c r="M53" i="31"/>
  <c r="M54" i="31"/>
  <c r="M55" i="31"/>
  <c r="M56" i="31"/>
  <c r="M57" i="31"/>
  <c r="M58" i="31"/>
  <c r="M59" i="31"/>
  <c r="M60" i="31"/>
  <c r="M61" i="31"/>
  <c r="M28" i="31"/>
  <c r="M29" i="31"/>
  <c r="M30" i="31"/>
  <c r="M31" i="31"/>
  <c r="M32" i="31"/>
  <c r="M33" i="31"/>
  <c r="M34" i="31"/>
  <c r="M35" i="31"/>
  <c r="M36" i="31"/>
  <c r="M37" i="31"/>
  <c r="M38" i="31"/>
  <c r="M39" i="31"/>
  <c r="M40" i="31"/>
  <c r="M41" i="31"/>
  <c r="L27" i="31"/>
  <c r="M68" i="32"/>
  <c r="M98" i="32"/>
  <c r="M99" i="32"/>
  <c r="M100" i="32"/>
  <c r="M101" i="32"/>
  <c r="M71" i="32"/>
  <c r="M75" i="32"/>
  <c r="M88" i="32"/>
  <c r="M92" i="32"/>
  <c r="M96" i="32"/>
  <c r="M67" i="32"/>
  <c r="L87" i="32"/>
  <c r="M69" i="32"/>
  <c r="M73" i="32"/>
  <c r="M77" i="32"/>
  <c r="M78" i="32"/>
  <c r="M79" i="32"/>
  <c r="M80" i="32"/>
  <c r="M87" i="32"/>
  <c r="M90" i="32"/>
  <c r="M58" i="32"/>
  <c r="M59" i="32"/>
  <c r="M60" i="32"/>
  <c r="M61" i="32"/>
  <c r="M48" i="32"/>
  <c r="M52" i="32"/>
  <c r="M56" i="32"/>
  <c r="L47" i="32"/>
  <c r="M47" i="32"/>
  <c r="M50" i="32"/>
  <c r="M28" i="32"/>
  <c r="M37" i="32"/>
  <c r="M38" i="32"/>
  <c r="M39" i="32"/>
  <c r="M40" i="32"/>
  <c r="M41" i="32"/>
  <c r="M31" i="32"/>
  <c r="M35" i="32"/>
  <c r="M29" i="32"/>
  <c r="M8" i="32"/>
  <c r="M17" i="32"/>
  <c r="M18" i="32"/>
  <c r="M19" i="32"/>
  <c r="M20" i="32"/>
  <c r="M21" i="32"/>
  <c r="L7" i="32"/>
  <c r="M11" i="32"/>
  <c r="M15" i="32"/>
  <c r="M9" i="32"/>
  <c r="M94" i="30"/>
  <c r="M95" i="30"/>
  <c r="M96" i="30"/>
  <c r="M97" i="30"/>
  <c r="M98" i="30"/>
  <c r="M99" i="30"/>
  <c r="M100" i="30"/>
  <c r="M101" i="30"/>
  <c r="M92" i="30"/>
  <c r="L87" i="30"/>
  <c r="M87" i="30"/>
  <c r="M68" i="30"/>
  <c r="M73" i="30"/>
  <c r="M74" i="30"/>
  <c r="M75" i="30"/>
  <c r="M76" i="30"/>
  <c r="M77" i="30"/>
  <c r="M78" i="30"/>
  <c r="M79" i="30"/>
  <c r="M80" i="30"/>
  <c r="M71" i="30"/>
  <c r="M67" i="30"/>
  <c r="M54" i="30"/>
  <c r="M55" i="30"/>
  <c r="M56" i="30"/>
  <c r="M57" i="30"/>
  <c r="M58" i="30"/>
  <c r="M59" i="30"/>
  <c r="M60" i="30"/>
  <c r="M61" i="30"/>
  <c r="M48" i="30"/>
  <c r="M52" i="30"/>
  <c r="L47" i="30"/>
  <c r="M47" i="30"/>
  <c r="M34" i="30"/>
  <c r="M35" i="30"/>
  <c r="M36" i="30"/>
  <c r="M37" i="30"/>
  <c r="M38" i="30"/>
  <c r="M39" i="30"/>
  <c r="M40" i="30"/>
  <c r="M41" i="30"/>
  <c r="M28" i="30"/>
  <c r="M32" i="30"/>
  <c r="L27" i="30"/>
  <c r="M27" i="30"/>
  <c r="M14" i="30"/>
  <c r="M16" i="30"/>
  <c r="M17" i="30"/>
  <c r="M19" i="30"/>
  <c r="M20" i="30"/>
  <c r="M8" i="30"/>
  <c r="M21" i="30"/>
  <c r="M13" i="30"/>
  <c r="L7" i="30"/>
  <c r="M9" i="30"/>
  <c r="M15" i="30"/>
  <c r="M147" i="8"/>
  <c r="M150" i="8"/>
  <c r="M167" i="8"/>
  <c r="M168" i="8"/>
  <c r="M169" i="8"/>
  <c r="M170" i="8"/>
  <c r="M171" i="8"/>
  <c r="M172" i="8"/>
  <c r="M173" i="8"/>
  <c r="M174" i="8"/>
  <c r="M175" i="8"/>
  <c r="M176" i="8"/>
  <c r="M153" i="8"/>
  <c r="M157" i="8"/>
  <c r="M161" i="8"/>
  <c r="M165" i="8"/>
  <c r="M148" i="8"/>
  <c r="M152" i="8"/>
  <c r="M156" i="8"/>
  <c r="M160" i="8"/>
  <c r="M112" i="8"/>
  <c r="M131" i="8"/>
  <c r="M132" i="8"/>
  <c r="M133" i="8"/>
  <c r="M134" i="8"/>
  <c r="M135" i="8"/>
  <c r="M136" i="8"/>
  <c r="M137" i="8"/>
  <c r="M138" i="8"/>
  <c r="M139" i="8"/>
  <c r="M140" i="8"/>
  <c r="M141" i="8"/>
  <c r="M113" i="8"/>
  <c r="M117" i="8"/>
  <c r="M121" i="8"/>
  <c r="M125" i="8"/>
  <c r="M129" i="8"/>
  <c r="L112" i="8"/>
  <c r="M115" i="8"/>
  <c r="M119" i="8"/>
  <c r="M123" i="8"/>
  <c r="M77" i="8"/>
  <c r="M84" i="8"/>
  <c r="M96" i="8"/>
  <c r="M97" i="8"/>
  <c r="M98" i="8"/>
  <c r="M99" i="8"/>
  <c r="M100" i="8"/>
  <c r="M101" i="8"/>
  <c r="M102" i="8"/>
  <c r="M103" i="8"/>
  <c r="M104" i="8"/>
  <c r="M105" i="8"/>
  <c r="M106" i="8"/>
  <c r="M82" i="8"/>
  <c r="M86" i="8"/>
  <c r="M90" i="8"/>
  <c r="M94" i="8"/>
  <c r="M78" i="8"/>
  <c r="L77" i="8"/>
  <c r="M80" i="8"/>
  <c r="M88" i="8"/>
  <c r="M49" i="8"/>
  <c r="M61" i="8"/>
  <c r="M62" i="8"/>
  <c r="M63" i="8"/>
  <c r="M64" i="8"/>
  <c r="M65" i="8"/>
  <c r="M66" i="8"/>
  <c r="M67" i="8"/>
  <c r="M68" i="8"/>
  <c r="M69" i="8"/>
  <c r="M70" i="8"/>
  <c r="M71" i="8"/>
  <c r="M51" i="8"/>
  <c r="M55" i="8"/>
  <c r="M59" i="8"/>
  <c r="M43" i="8"/>
  <c r="M47" i="8"/>
  <c r="L42" i="8"/>
  <c r="M42" i="8"/>
  <c r="M45" i="8"/>
  <c r="M53" i="8"/>
  <c r="M7" i="8"/>
  <c r="M28" i="8"/>
  <c r="M29" i="8"/>
  <c r="M30" i="8"/>
  <c r="M31" i="8"/>
  <c r="M32" i="8"/>
  <c r="M33" i="8"/>
  <c r="M34" i="8"/>
  <c r="M35" i="8"/>
  <c r="M36" i="8"/>
  <c r="M9" i="8"/>
  <c r="M13" i="8"/>
  <c r="M18" i="8"/>
  <c r="M22" i="8"/>
  <c r="M26" i="8"/>
  <c r="M8" i="8"/>
  <c r="M17" i="8"/>
  <c r="M15" i="8"/>
  <c r="M20" i="8"/>
  <c r="F41" i="6"/>
  <c r="D14" i="6"/>
  <c r="D15" i="6" s="1"/>
  <c r="D16" i="6" s="1"/>
  <c r="D17" i="6" s="1"/>
  <c r="D18" i="6" s="1"/>
  <c r="D19" i="6" s="1"/>
  <c r="D20" i="6" s="1"/>
  <c r="D21" i="6" s="1"/>
  <c r="D22" i="6" s="1"/>
  <c r="D23" i="6" s="1"/>
  <c r="D24" i="6" s="1"/>
  <c r="D25" i="6" s="1"/>
  <c r="D26" i="6" s="1"/>
  <c r="D27" i="6" s="1"/>
  <c r="D28" i="6" s="1"/>
  <c r="D29" i="6" s="1"/>
  <c r="D30" i="6" s="1"/>
  <c r="D31" i="6" s="1"/>
  <c r="D32" i="6" s="1"/>
  <c r="D33" i="6" s="1"/>
  <c r="D34" i="6" s="1"/>
  <c r="D35" i="6" s="1"/>
  <c r="D36" i="6" s="1"/>
  <c r="D37" i="6" s="1"/>
  <c r="D38" i="6" s="1"/>
  <c r="D39" i="6" s="1"/>
  <c r="D40" i="6" s="1"/>
  <c r="D41" i="6" s="1"/>
  <c r="D13" i="6"/>
  <c r="F41" i="7"/>
  <c r="D13" i="7"/>
  <c r="D14" i="7" s="1"/>
  <c r="D15" i="7" s="1"/>
  <c r="D16" i="7" s="1"/>
  <c r="D17" i="7" s="1"/>
  <c r="D18" i="7" s="1"/>
  <c r="D19" i="7" s="1"/>
  <c r="D20" i="7" s="1"/>
  <c r="D21" i="7" s="1"/>
  <c r="D22" i="7" s="1"/>
  <c r="D23" i="7" s="1"/>
  <c r="D24" i="7" s="1"/>
  <c r="D25" i="7" s="1"/>
  <c r="D26" i="7" s="1"/>
  <c r="D27" i="7" s="1"/>
  <c r="D28" i="7" s="1"/>
  <c r="D29" i="7" s="1"/>
  <c r="D30" i="7" s="1"/>
  <c r="D31" i="7" s="1"/>
  <c r="D32" i="7" s="1"/>
  <c r="D33" i="7" s="1"/>
  <c r="D34" i="7" s="1"/>
  <c r="D35" i="7" s="1"/>
  <c r="D36" i="7" s="1"/>
  <c r="D37" i="7" s="1"/>
  <c r="D38" i="7" s="1"/>
  <c r="D39" i="7" s="1"/>
  <c r="D40" i="7" s="1"/>
  <c r="D41" i="7" s="1"/>
  <c r="D11" i="5"/>
  <c r="D12" i="5" s="1"/>
  <c r="D13" i="5" s="1"/>
  <c r="D14" i="5" s="1"/>
  <c r="D15" i="5" s="1"/>
  <c r="D16" i="5" s="1"/>
  <c r="D17" i="5" s="1"/>
  <c r="D18" i="5" s="1"/>
  <c r="D19" i="5" s="1"/>
  <c r="D20" i="5" s="1"/>
  <c r="D21" i="5" s="1"/>
  <c r="D22" i="5" s="1"/>
  <c r="D23" i="5" s="1"/>
  <c r="D24" i="5" s="1"/>
  <c r="D25" i="5" s="1"/>
  <c r="D26" i="5" s="1"/>
  <c r="D27" i="5" s="1"/>
  <c r="D28" i="5" s="1"/>
  <c r="D29" i="5" s="1"/>
  <c r="D30" i="5" s="1"/>
  <c r="D31" i="5" s="1"/>
  <c r="D32" i="5" s="1"/>
  <c r="D33" i="5" s="1"/>
  <c r="D34" i="5" s="1"/>
  <c r="D35" i="5" s="1"/>
  <c r="D36" i="5" s="1"/>
  <c r="D37" i="5" s="1"/>
  <c r="D38" i="5" s="1"/>
  <c r="D39" i="5" s="1"/>
  <c r="U39" i="3"/>
  <c r="O39" i="3"/>
  <c r="D11" i="3"/>
  <c r="D12" i="3" s="1"/>
  <c r="D13" i="3" s="1"/>
  <c r="D14" i="3" s="1"/>
  <c r="D15" i="3" s="1"/>
  <c r="D16" i="3" s="1"/>
  <c r="D17" i="3" s="1"/>
  <c r="D18" i="3" s="1"/>
  <c r="D19" i="3" s="1"/>
  <c r="D20" i="3" s="1"/>
  <c r="D21" i="3" s="1"/>
  <c r="D22" i="3" s="1"/>
  <c r="D23" i="3" s="1"/>
  <c r="D24" i="3" s="1"/>
  <c r="D25" i="3" s="1"/>
  <c r="D26" i="3" s="1"/>
  <c r="D27" i="3" s="1"/>
  <c r="D28" i="3" s="1"/>
  <c r="D29" i="3" s="1"/>
  <c r="D30" i="3" s="1"/>
  <c r="D31" i="3" s="1"/>
  <c r="D32" i="3" s="1"/>
  <c r="D33" i="3" s="1"/>
  <c r="D34" i="3" s="1"/>
  <c r="D35" i="3" s="1"/>
  <c r="D36" i="3" s="1"/>
  <c r="D37" i="3" s="1"/>
  <c r="D38" i="3" s="1"/>
  <c r="D39" i="3" s="1"/>
  <c r="M52" i="33" l="1"/>
  <c r="M56" i="33"/>
  <c r="M71" i="33"/>
  <c r="M46" i="33"/>
  <c r="M66" i="33"/>
  <c r="M60" i="33"/>
  <c r="M58" i="33"/>
  <c r="M64" i="33"/>
  <c r="L42" i="33"/>
  <c r="M54" i="33"/>
  <c r="M70" i="33"/>
  <c r="M44" i="33"/>
  <c r="M48" i="33"/>
  <c r="M50" i="33"/>
  <c r="M59" i="33"/>
  <c r="M61" i="33"/>
  <c r="M69" i="33"/>
  <c r="M67" i="33"/>
  <c r="M55" i="33"/>
  <c r="M57" i="33"/>
  <c r="M65" i="33"/>
  <c r="M51" i="33"/>
  <c r="M53" i="33"/>
  <c r="M63" i="33"/>
  <c r="AB41" i="6"/>
  <c r="R41" i="6"/>
  <c r="M47" i="33"/>
  <c r="M49" i="33"/>
  <c r="AD41" i="6"/>
  <c r="AJ41" i="6"/>
  <c r="AH41" i="6"/>
  <c r="AF41" i="6"/>
  <c r="AL41" i="6"/>
  <c r="M43" i="33"/>
  <c r="M45" i="33"/>
  <c r="M62" i="33"/>
  <c r="T41" i="6"/>
  <c r="V41" i="6"/>
  <c r="Z41" i="6"/>
  <c r="X41" i="6"/>
  <c r="N41" i="6"/>
  <c r="P41" i="6"/>
  <c r="L41" i="6"/>
  <c r="J41" i="6"/>
  <c r="AJ41" i="7"/>
  <c r="AH41" i="7"/>
  <c r="AF41" i="7"/>
  <c r="AL41" i="7"/>
  <c r="AD41" i="7"/>
  <c r="V41" i="7"/>
  <c r="N41" i="7"/>
  <c r="AB41" i="7"/>
  <c r="T41" i="7"/>
  <c r="L41" i="7"/>
  <c r="P41" i="7"/>
  <c r="Z41" i="7"/>
  <c r="R41" i="7"/>
  <c r="J41" i="7"/>
  <c r="X41" i="7"/>
  <c r="K135" i="37" l="1"/>
  <c r="J135" i="37"/>
  <c r="I135" i="37"/>
  <c r="K134" i="37"/>
  <c r="J134" i="37"/>
  <c r="I134" i="37"/>
  <c r="K138" i="35"/>
  <c r="J138" i="35"/>
  <c r="I138" i="35"/>
  <c r="K139" i="34"/>
  <c r="J139" i="34"/>
  <c r="I139" i="34"/>
  <c r="K138" i="34"/>
  <c r="J138" i="34"/>
  <c r="I138" i="34"/>
  <c r="K137" i="34"/>
  <c r="J137" i="34"/>
  <c r="I137" i="34"/>
  <c r="K136" i="34"/>
  <c r="J136" i="34"/>
  <c r="I136" i="34"/>
  <c r="K243" i="33"/>
  <c r="J243" i="33"/>
  <c r="I243" i="33"/>
  <c r="K242" i="33"/>
  <c r="J242" i="33"/>
  <c r="I242" i="33"/>
  <c r="C10" i="39" l="1"/>
  <c r="H23" i="39" l="1"/>
  <c r="H22" i="39"/>
  <c r="H21" i="39"/>
  <c r="H20" i="39"/>
  <c r="H19" i="39"/>
  <c r="H18" i="39"/>
  <c r="H17" i="39"/>
  <c r="H16" i="39"/>
  <c r="H15" i="39"/>
  <c r="B23" i="39"/>
  <c r="B22" i="39"/>
  <c r="B21" i="39"/>
  <c r="B20" i="39"/>
  <c r="B19" i="39"/>
  <c r="B18" i="39"/>
  <c r="B17" i="39"/>
  <c r="B16" i="39"/>
  <c r="B15" i="39"/>
  <c r="B8" i="13" l="1"/>
  <c r="AI8" i="47" l="1"/>
  <c r="AH8" i="47"/>
  <c r="AG8" i="47"/>
  <c r="AF8" i="47"/>
  <c r="AE8" i="47"/>
  <c r="AD8" i="47"/>
  <c r="AC8" i="47"/>
  <c r="AB8" i="47"/>
  <c r="AI7" i="47"/>
  <c r="AH7" i="47"/>
  <c r="AG7" i="47"/>
  <c r="AF7" i="47"/>
  <c r="AE7" i="47"/>
  <c r="AD7" i="47"/>
  <c r="AC7" i="47"/>
  <c r="AB7" i="47"/>
  <c r="AC13" i="6" l="1"/>
  <c r="AB13" i="6"/>
  <c r="S13" i="6"/>
  <c r="R13" i="6"/>
  <c r="M13" i="6"/>
  <c r="AC12" i="6"/>
  <c r="AB12" i="6"/>
  <c r="S12" i="6"/>
  <c r="R12" i="6"/>
  <c r="M12" i="6"/>
  <c r="AC11" i="6"/>
  <c r="AB11" i="6"/>
  <c r="S11" i="6"/>
  <c r="R11" i="6"/>
  <c r="M11" i="6"/>
  <c r="AC13" i="7"/>
  <c r="S13" i="7"/>
  <c r="M13" i="7"/>
  <c r="AC12" i="7"/>
  <c r="S12" i="7"/>
  <c r="M12" i="7"/>
  <c r="AC11" i="7"/>
  <c r="S11" i="7"/>
  <c r="M11" i="7"/>
  <c r="B10" i="13"/>
  <c r="I11" i="13"/>
  <c r="I10" i="13"/>
  <c r="I9" i="13"/>
  <c r="I8" i="13"/>
  <c r="I6" i="13"/>
  <c r="B7" i="13"/>
  <c r="B6" i="13"/>
  <c r="AZ36" i="33" l="1"/>
  <c r="AZ36" i="8"/>
  <c r="I88" i="31" l="1"/>
  <c r="K88" i="31"/>
  <c r="J88" i="31"/>
  <c r="K68" i="31"/>
  <c r="K129" i="31" s="1"/>
  <c r="J68" i="31"/>
  <c r="J129" i="31" s="1"/>
  <c r="I68" i="31"/>
  <c r="I129" i="31" s="1"/>
  <c r="H128" i="37" l="1"/>
  <c r="M14" i="6" l="1"/>
  <c r="M15" i="6"/>
  <c r="M16" i="6"/>
  <c r="M17" i="6"/>
  <c r="M18" i="6"/>
  <c r="M19" i="6"/>
  <c r="M20" i="6"/>
  <c r="M21" i="6"/>
  <c r="M22" i="6"/>
  <c r="M23" i="6"/>
  <c r="M24" i="6"/>
  <c r="M25" i="6"/>
  <c r="M26" i="6"/>
  <c r="M27" i="6"/>
  <c r="AA7" i="47" l="1"/>
  <c r="AI8" i="46"/>
  <c r="AH8" i="46"/>
  <c r="AG8" i="46"/>
  <c r="AF8" i="46"/>
  <c r="AE8" i="46"/>
  <c r="AD8" i="46"/>
  <c r="AC8" i="46"/>
  <c r="AB8" i="46"/>
  <c r="AI7" i="46"/>
  <c r="AH7" i="46"/>
  <c r="AG7" i="46"/>
  <c r="AF7" i="46"/>
  <c r="AE7" i="46"/>
  <c r="AD7" i="46"/>
  <c r="AC7" i="46"/>
  <c r="AB7" i="46"/>
  <c r="AA7" i="46"/>
  <c r="E10" i="39" l="1"/>
  <c r="E8" i="39"/>
  <c r="E7" i="39"/>
  <c r="E6" i="39"/>
  <c r="S33" i="3"/>
  <c r="B10" i="39" s="1"/>
  <c r="S26" i="3"/>
  <c r="S19" i="3"/>
  <c r="S12" i="3"/>
  <c r="M33" i="3"/>
  <c r="B8" i="39" s="1"/>
  <c r="M26" i="3"/>
  <c r="M19" i="3"/>
  <c r="M12" i="3"/>
  <c r="J33" i="3"/>
  <c r="B7" i="39" s="1"/>
  <c r="J26" i="3"/>
  <c r="J19" i="3"/>
  <c r="J12" i="3"/>
  <c r="G33" i="3"/>
  <c r="B6" i="39" s="1"/>
  <c r="G26" i="3"/>
  <c r="G19" i="3"/>
  <c r="G12" i="3"/>
  <c r="V33" i="5"/>
  <c r="I11" i="39" s="1"/>
  <c r="V26" i="5"/>
  <c r="V19" i="5"/>
  <c r="V12" i="5"/>
  <c r="K11" i="39"/>
  <c r="S33" i="5"/>
  <c r="S26" i="5"/>
  <c r="S19" i="5"/>
  <c r="S12" i="5"/>
  <c r="P33" i="5"/>
  <c r="I9" i="39" s="1"/>
  <c r="P26" i="5"/>
  <c r="P19" i="5"/>
  <c r="P12" i="5"/>
  <c r="K9" i="39"/>
  <c r="K8" i="39"/>
  <c r="M33" i="5"/>
  <c r="I8" i="39" s="1"/>
  <c r="M26" i="5"/>
  <c r="M19" i="5"/>
  <c r="M12" i="5"/>
  <c r="K6" i="39"/>
  <c r="G33" i="5"/>
  <c r="I6" i="39" s="1"/>
  <c r="G26" i="5"/>
  <c r="G19" i="5"/>
  <c r="G12" i="5"/>
  <c r="BB36" i="8"/>
  <c r="BB35" i="8"/>
  <c r="BB34" i="8"/>
  <c r="BB33" i="8"/>
  <c r="BB32" i="8"/>
  <c r="BB31" i="8"/>
  <c r="BB30" i="8"/>
  <c r="BB29" i="8"/>
  <c r="BB28" i="8"/>
  <c r="BB27" i="8"/>
  <c r="BB26" i="8"/>
  <c r="BB25" i="8"/>
  <c r="BB24" i="8"/>
  <c r="BB23" i="8"/>
  <c r="BB22" i="8"/>
  <c r="BB21" i="8"/>
  <c r="BB20" i="8"/>
  <c r="BB19" i="8"/>
  <c r="BB18" i="8"/>
  <c r="BB17" i="8"/>
  <c r="BB16" i="8"/>
  <c r="BB15" i="8"/>
  <c r="BB14" i="8"/>
  <c r="BB13" i="8"/>
  <c r="BB12" i="8"/>
  <c r="BB11" i="8"/>
  <c r="BB10" i="8"/>
  <c r="BB9" i="8"/>
  <c r="BB8" i="8"/>
  <c r="BB7" i="8"/>
  <c r="BB36" i="33"/>
  <c r="BB35" i="33"/>
  <c r="BB34" i="33"/>
  <c r="BB33" i="33"/>
  <c r="BB32" i="33"/>
  <c r="BB31" i="33"/>
  <c r="BB30" i="33"/>
  <c r="BB29" i="33"/>
  <c r="BB28" i="33"/>
  <c r="BB27" i="33"/>
  <c r="BB26" i="33"/>
  <c r="BB25" i="33"/>
  <c r="BB24" i="33"/>
  <c r="BB23" i="33"/>
  <c r="BB22" i="33"/>
  <c r="BB21" i="33"/>
  <c r="BB20" i="33"/>
  <c r="BB19" i="33"/>
  <c r="BB18" i="33"/>
  <c r="BB17" i="33"/>
  <c r="BB16" i="33"/>
  <c r="BB15" i="33"/>
  <c r="BB14" i="33"/>
  <c r="BB13" i="33"/>
  <c r="BB12" i="33"/>
  <c r="BB11" i="33"/>
  <c r="BB10" i="33"/>
  <c r="BB9" i="33"/>
  <c r="BB8" i="33"/>
  <c r="BB7" i="33"/>
  <c r="BB21" i="32"/>
  <c r="BB20" i="32"/>
  <c r="BB19" i="32"/>
  <c r="BB18" i="32"/>
  <c r="BB17" i="32"/>
  <c r="BB16" i="32"/>
  <c r="BB15" i="32"/>
  <c r="BB14" i="32"/>
  <c r="BB13" i="32"/>
  <c r="BB12" i="32"/>
  <c r="BB11" i="32"/>
  <c r="BB10" i="32"/>
  <c r="BB9" i="32"/>
  <c r="BB8" i="32"/>
  <c r="BB7" i="32"/>
  <c r="BB21" i="31"/>
  <c r="BB20" i="31"/>
  <c r="BB19" i="31"/>
  <c r="BB18" i="31"/>
  <c r="BB17" i="31"/>
  <c r="BB16" i="31"/>
  <c r="BB15" i="31"/>
  <c r="BB14" i="31"/>
  <c r="BB13" i="31"/>
  <c r="BB12" i="31"/>
  <c r="BB11" i="31"/>
  <c r="BB10" i="31"/>
  <c r="BB9" i="31"/>
  <c r="BB8" i="31"/>
  <c r="BB7" i="31"/>
  <c r="BB21" i="34"/>
  <c r="BB20" i="34"/>
  <c r="BB19" i="34"/>
  <c r="BB18" i="34"/>
  <c r="BB17" i="34"/>
  <c r="BB16" i="34"/>
  <c r="BB15" i="34"/>
  <c r="BB14" i="34"/>
  <c r="BB13" i="34"/>
  <c r="BB12" i="34"/>
  <c r="BB11" i="34"/>
  <c r="BB10" i="34"/>
  <c r="BB9" i="34"/>
  <c r="BB8" i="34"/>
  <c r="BB7" i="34"/>
  <c r="BB21" i="35"/>
  <c r="BB20" i="35"/>
  <c r="BB19" i="35"/>
  <c r="BB18" i="35"/>
  <c r="BB17" i="35"/>
  <c r="BB16" i="35"/>
  <c r="BB15" i="35"/>
  <c r="BB14" i="35"/>
  <c r="BB13" i="35"/>
  <c r="BB12" i="35"/>
  <c r="BB11" i="35"/>
  <c r="BB10" i="35"/>
  <c r="BB9" i="35"/>
  <c r="BB8" i="35"/>
  <c r="BB7" i="35"/>
  <c r="BB21" i="36"/>
  <c r="BB20" i="36"/>
  <c r="BB19" i="36"/>
  <c r="BB18" i="36"/>
  <c r="BB17" i="36"/>
  <c r="BB16" i="36"/>
  <c r="BB15" i="36"/>
  <c r="BB14" i="36"/>
  <c r="BB13" i="36"/>
  <c r="BB12" i="36"/>
  <c r="BB11" i="36"/>
  <c r="BB10" i="36"/>
  <c r="BB9" i="36"/>
  <c r="BB8" i="36"/>
  <c r="BB7" i="36"/>
  <c r="BB21" i="37"/>
  <c r="BB20" i="37"/>
  <c r="BB19" i="37"/>
  <c r="BB18" i="37"/>
  <c r="BB17" i="37"/>
  <c r="BB16" i="37"/>
  <c r="BB15" i="37"/>
  <c r="BB14" i="37"/>
  <c r="BB13" i="37"/>
  <c r="BB12" i="37"/>
  <c r="BB11" i="37"/>
  <c r="BB10" i="37"/>
  <c r="BB9" i="37"/>
  <c r="BB8" i="37"/>
  <c r="BB7" i="37"/>
  <c r="BB21" i="30"/>
  <c r="BB20" i="30"/>
  <c r="BB19" i="30"/>
  <c r="BB18" i="30"/>
  <c r="BB17" i="30"/>
  <c r="BB16" i="30"/>
  <c r="BB15" i="30"/>
  <c r="BB14" i="30"/>
  <c r="BB13" i="30"/>
  <c r="BB12" i="30"/>
  <c r="BB11" i="30"/>
  <c r="BB10" i="30"/>
  <c r="BB9" i="30"/>
  <c r="BB8" i="30"/>
  <c r="BB7" i="30"/>
  <c r="P26" i="3" l="1"/>
  <c r="P33" i="3"/>
  <c r="B9" i="39" s="1"/>
  <c r="V26" i="3"/>
  <c r="V33" i="3"/>
  <c r="B11" i="39" s="1"/>
  <c r="AZ12" i="37"/>
  <c r="AZ15" i="35"/>
  <c r="AZ7" i="36"/>
  <c r="AZ9" i="37"/>
  <c r="AZ21" i="37"/>
  <c r="AZ18" i="34"/>
  <c r="AZ11" i="37"/>
  <c r="AZ9" i="34"/>
  <c r="AZ9" i="36"/>
  <c r="P12" i="3"/>
  <c r="P19" i="3"/>
  <c r="V19" i="3"/>
  <c r="V12" i="3"/>
  <c r="Q9" i="3"/>
  <c r="W9" i="3"/>
  <c r="AW211" i="8"/>
  <c r="AW210" i="8"/>
  <c r="AW209" i="8"/>
  <c r="AW208" i="8"/>
  <c r="AW207" i="8"/>
  <c r="AW206" i="8"/>
  <c r="AW205" i="8"/>
  <c r="AW204" i="8"/>
  <c r="AW203" i="8"/>
  <c r="AW202" i="8"/>
  <c r="AW201" i="8"/>
  <c r="AW200" i="8"/>
  <c r="AW199" i="8"/>
  <c r="AW198" i="8"/>
  <c r="AW197" i="8"/>
  <c r="AW196" i="8"/>
  <c r="AW195" i="8"/>
  <c r="AW194" i="8"/>
  <c r="AW193" i="8"/>
  <c r="AW192" i="8"/>
  <c r="AW191" i="8"/>
  <c r="AW190" i="8"/>
  <c r="AW189" i="8"/>
  <c r="AW188" i="8"/>
  <c r="AW187" i="8"/>
  <c r="AW186" i="8"/>
  <c r="AW185" i="8"/>
  <c r="AW184" i="8"/>
  <c r="AW183" i="8"/>
  <c r="AW182" i="8"/>
  <c r="AR211" i="8"/>
  <c r="AR210" i="8"/>
  <c r="AR209" i="8"/>
  <c r="AR208" i="8"/>
  <c r="AR207" i="8"/>
  <c r="AR206" i="8"/>
  <c r="AR205" i="8"/>
  <c r="AR204" i="8"/>
  <c r="AR203" i="8"/>
  <c r="AR202" i="8"/>
  <c r="AR201" i="8"/>
  <c r="AR200" i="8"/>
  <c r="AR199" i="8"/>
  <c r="AR198" i="8"/>
  <c r="AR197" i="8"/>
  <c r="AR196" i="8"/>
  <c r="AR195" i="8"/>
  <c r="AR194" i="8"/>
  <c r="AR193" i="8"/>
  <c r="AR192" i="8"/>
  <c r="AR191" i="8"/>
  <c r="AR190" i="8"/>
  <c r="AR189" i="8"/>
  <c r="AR188" i="8"/>
  <c r="AR187" i="8"/>
  <c r="AR186" i="8"/>
  <c r="AR185" i="8"/>
  <c r="AR184" i="8"/>
  <c r="AR183" i="8"/>
  <c r="AR182" i="8"/>
  <c r="AM211" i="8"/>
  <c r="AM210" i="8"/>
  <c r="AM209" i="8"/>
  <c r="AM208" i="8"/>
  <c r="AM207" i="8"/>
  <c r="AM206" i="8"/>
  <c r="AM205" i="8"/>
  <c r="AM204" i="8"/>
  <c r="AM203" i="8"/>
  <c r="AM202" i="8"/>
  <c r="AM201" i="8"/>
  <c r="AM200" i="8"/>
  <c r="AM199" i="8"/>
  <c r="AM198" i="8"/>
  <c r="AM197" i="8"/>
  <c r="AM196" i="8"/>
  <c r="AM195" i="8"/>
  <c r="AM194" i="8"/>
  <c r="AM193" i="8"/>
  <c r="AM192" i="8"/>
  <c r="AM191" i="8"/>
  <c r="AM190" i="8"/>
  <c r="AM189" i="8"/>
  <c r="AM188" i="8"/>
  <c r="AM187" i="8"/>
  <c r="AM186" i="8"/>
  <c r="AM185" i="8"/>
  <c r="AM184" i="8"/>
  <c r="AM183" i="8"/>
  <c r="AM182" i="8"/>
  <c r="AH211" i="8"/>
  <c r="AH210" i="8"/>
  <c r="AH209" i="8"/>
  <c r="AH208" i="8"/>
  <c r="AH207" i="8"/>
  <c r="AH206" i="8"/>
  <c r="AH205" i="8"/>
  <c r="AH204" i="8"/>
  <c r="AH203" i="8"/>
  <c r="AH202" i="8"/>
  <c r="AH201" i="8"/>
  <c r="AH200" i="8"/>
  <c r="AH199" i="8"/>
  <c r="AH198" i="8"/>
  <c r="AH197" i="8"/>
  <c r="AH196" i="8"/>
  <c r="AH195" i="8"/>
  <c r="AH194" i="8"/>
  <c r="AH193" i="8"/>
  <c r="AH192" i="8"/>
  <c r="AH191" i="8"/>
  <c r="AH190" i="8"/>
  <c r="AH189" i="8"/>
  <c r="AH188" i="8"/>
  <c r="AH187" i="8"/>
  <c r="AH186" i="8"/>
  <c r="AH185" i="8"/>
  <c r="AH184" i="8"/>
  <c r="AH183" i="8"/>
  <c r="AH182" i="8"/>
  <c r="AC211" i="8"/>
  <c r="AC210" i="8"/>
  <c r="AC209" i="8"/>
  <c r="AC208" i="8"/>
  <c r="AC207" i="8"/>
  <c r="AC206" i="8"/>
  <c r="AC205" i="8"/>
  <c r="AC204" i="8"/>
  <c r="AC203" i="8"/>
  <c r="AC202" i="8"/>
  <c r="AC201" i="8"/>
  <c r="AC200" i="8"/>
  <c r="AC199" i="8"/>
  <c r="AC198" i="8"/>
  <c r="AC197" i="8"/>
  <c r="AC196" i="8"/>
  <c r="AC195" i="8"/>
  <c r="AC194" i="8"/>
  <c r="AC193" i="8"/>
  <c r="AC192" i="8"/>
  <c r="AC191" i="8"/>
  <c r="AC190" i="8"/>
  <c r="AC189" i="8"/>
  <c r="AC188" i="8"/>
  <c r="AC187" i="8"/>
  <c r="AC186" i="8"/>
  <c r="AC185" i="8"/>
  <c r="AC184" i="8"/>
  <c r="AC183" i="8"/>
  <c r="AC182" i="8"/>
  <c r="AO2" i="8"/>
  <c r="E11" i="39" l="1"/>
  <c r="B11" i="13"/>
  <c r="E9" i="39"/>
  <c r="B9" i="13"/>
  <c r="AZ9" i="35"/>
  <c r="AZ16" i="37"/>
  <c r="AZ7" i="34"/>
  <c r="AZ10" i="37"/>
  <c r="AZ19" i="37"/>
  <c r="AZ7" i="37"/>
  <c r="AZ11" i="34"/>
  <c r="AZ15" i="36"/>
  <c r="AZ21" i="34"/>
  <c r="AZ18" i="37"/>
  <c r="AZ15" i="37"/>
  <c r="AZ20" i="34"/>
  <c r="AZ14" i="34"/>
  <c r="AZ20" i="36"/>
  <c r="AZ8" i="36"/>
  <c r="AZ18" i="36"/>
  <c r="AZ17" i="37"/>
  <c r="AZ16" i="36"/>
  <c r="AZ12" i="36"/>
  <c r="AZ15" i="34"/>
  <c r="AZ12" i="35"/>
  <c r="AZ10" i="35"/>
  <c r="AZ18" i="35"/>
  <c r="AZ13" i="36"/>
  <c r="AZ20" i="35"/>
  <c r="AZ7" i="35"/>
  <c r="AZ17" i="34"/>
  <c r="AZ16" i="34"/>
  <c r="AZ8" i="35"/>
  <c r="AZ13" i="34"/>
  <c r="AZ16" i="35"/>
  <c r="AZ17" i="36"/>
  <c r="AZ11" i="36"/>
  <c r="AZ19" i="35"/>
  <c r="AZ12" i="34"/>
  <c r="AZ19" i="36"/>
  <c r="AZ8" i="34"/>
  <c r="AZ10" i="36"/>
  <c r="AZ21" i="36"/>
  <c r="AZ19" i="34"/>
  <c r="AZ11" i="35"/>
  <c r="AZ14" i="35"/>
  <c r="AZ13" i="37"/>
  <c r="AZ17" i="35"/>
  <c r="AZ10" i="34"/>
  <c r="AZ14" i="36"/>
  <c r="AZ21" i="35"/>
  <c r="AZ13" i="35"/>
  <c r="AZ14" i="37"/>
  <c r="AZ8" i="37"/>
  <c r="AZ20" i="37"/>
  <c r="AW113" i="37"/>
  <c r="AW112" i="37"/>
  <c r="AW111" i="37"/>
  <c r="AW110" i="37"/>
  <c r="AW109" i="37"/>
  <c r="AW108" i="37"/>
  <c r="AW107" i="37"/>
  <c r="AR113" i="37"/>
  <c r="AR112" i="37"/>
  <c r="AR111" i="37"/>
  <c r="AR110" i="37"/>
  <c r="AR109" i="37"/>
  <c r="AR108" i="37"/>
  <c r="AR107" i="37"/>
  <c r="AM113" i="37"/>
  <c r="AM112" i="37"/>
  <c r="AM111" i="37"/>
  <c r="AM110" i="37"/>
  <c r="AM109" i="37"/>
  <c r="AM108" i="37"/>
  <c r="AM107" i="37"/>
  <c r="AH113" i="37"/>
  <c r="AH112" i="37"/>
  <c r="AH111" i="37"/>
  <c r="AH110" i="37"/>
  <c r="AH109" i="37"/>
  <c r="AH108" i="37"/>
  <c r="AH107" i="37"/>
  <c r="AC113" i="37"/>
  <c r="AC112" i="37"/>
  <c r="AC111" i="37"/>
  <c r="AC110" i="37"/>
  <c r="AC109" i="37"/>
  <c r="AC108" i="37"/>
  <c r="AC107" i="37"/>
  <c r="AW121" i="34"/>
  <c r="AW120" i="34"/>
  <c r="AW117" i="34"/>
  <c r="AW116" i="34"/>
  <c r="AW115" i="34"/>
  <c r="AW114" i="34"/>
  <c r="AW113" i="34"/>
  <c r="AW112" i="34"/>
  <c r="AW111" i="34"/>
  <c r="AW110" i="34"/>
  <c r="AW109" i="34"/>
  <c r="AW108" i="34"/>
  <c r="AW107" i="34"/>
  <c r="AW119" i="34"/>
  <c r="AR121" i="34"/>
  <c r="AR118" i="34"/>
  <c r="AR117" i="34"/>
  <c r="AR116" i="34"/>
  <c r="AR115" i="34"/>
  <c r="AR114" i="34"/>
  <c r="AR113" i="34"/>
  <c r="AR112" i="34"/>
  <c r="AR111" i="34"/>
  <c r="AR110" i="34"/>
  <c r="AR109" i="34"/>
  <c r="AR108" i="34"/>
  <c r="AR120" i="34"/>
  <c r="AM118" i="34"/>
  <c r="AM116" i="34"/>
  <c r="AM115" i="34"/>
  <c r="AM114" i="34"/>
  <c r="AM113" i="34"/>
  <c r="AM112" i="34"/>
  <c r="AM111" i="34"/>
  <c r="AM110" i="34"/>
  <c r="AM109" i="34"/>
  <c r="AM108" i="34"/>
  <c r="AM121" i="34"/>
  <c r="AH116" i="34"/>
  <c r="AH114" i="34"/>
  <c r="AH113" i="34"/>
  <c r="AH112" i="34"/>
  <c r="AH111" i="34"/>
  <c r="AH110" i="34"/>
  <c r="AH109" i="34"/>
  <c r="AH108" i="34"/>
  <c r="AH119" i="34"/>
  <c r="AC121" i="34"/>
  <c r="AC120" i="34"/>
  <c r="AC117" i="34"/>
  <c r="AC116" i="34"/>
  <c r="AC115" i="34"/>
  <c r="AC114" i="34"/>
  <c r="AC113" i="34"/>
  <c r="AC112" i="34"/>
  <c r="AC111" i="34"/>
  <c r="AC110" i="34"/>
  <c r="AC109" i="34"/>
  <c r="AC108" i="34"/>
  <c r="AC107" i="34"/>
  <c r="AC119" i="34"/>
  <c r="AW121" i="31"/>
  <c r="AW120" i="31"/>
  <c r="AW117" i="31"/>
  <c r="AW116" i="31"/>
  <c r="AW113" i="31"/>
  <c r="AW112" i="31"/>
  <c r="AW109" i="31"/>
  <c r="AW108" i="31"/>
  <c r="AW107" i="31"/>
  <c r="AW119" i="31"/>
  <c r="AR121" i="31"/>
  <c r="AR118" i="31"/>
  <c r="AR117" i="31"/>
  <c r="AR114" i="31"/>
  <c r="AR113" i="31"/>
  <c r="AR110" i="31"/>
  <c r="AR109" i="31"/>
  <c r="AR108" i="31"/>
  <c r="AR120" i="31"/>
  <c r="AM118" i="31"/>
  <c r="AM114" i="31"/>
  <c r="AM110" i="31"/>
  <c r="AM108" i="31"/>
  <c r="J108" i="31"/>
  <c r="AM119" i="31"/>
  <c r="K108" i="31"/>
  <c r="AH119" i="31"/>
  <c r="AC121" i="31"/>
  <c r="AC120" i="31"/>
  <c r="AC117" i="31"/>
  <c r="AC116" i="31"/>
  <c r="AC113" i="31"/>
  <c r="AC112" i="31"/>
  <c r="AC109" i="31"/>
  <c r="AC108" i="31"/>
  <c r="AC107" i="31"/>
  <c r="AC119" i="31"/>
  <c r="X121" i="31"/>
  <c r="X118" i="31"/>
  <c r="X117" i="31"/>
  <c r="X114" i="31"/>
  <c r="X113" i="31"/>
  <c r="X110" i="31"/>
  <c r="X109" i="31"/>
  <c r="X108" i="31"/>
  <c r="X120" i="31"/>
  <c r="S121" i="31"/>
  <c r="S120" i="31"/>
  <c r="S119" i="31"/>
  <c r="S118" i="31"/>
  <c r="S117" i="31"/>
  <c r="S116" i="31"/>
  <c r="S115" i="31"/>
  <c r="S114" i="31"/>
  <c r="S113" i="31"/>
  <c r="S112" i="31"/>
  <c r="S111" i="31"/>
  <c r="S110" i="31"/>
  <c r="S109" i="31"/>
  <c r="S108" i="31"/>
  <c r="S107" i="31"/>
  <c r="I108" i="31"/>
  <c r="AW118" i="32"/>
  <c r="AW117" i="32"/>
  <c r="AW116" i="32"/>
  <c r="AW115" i="32"/>
  <c r="AW114" i="32"/>
  <c r="AW113" i="32"/>
  <c r="AW112" i="32"/>
  <c r="AW111" i="32"/>
  <c r="AW110" i="32"/>
  <c r="AW109" i="32"/>
  <c r="AW108" i="32"/>
  <c r="AW121" i="32"/>
  <c r="AR120" i="32"/>
  <c r="AR119" i="32"/>
  <c r="AR118" i="32"/>
  <c r="AR117" i="32"/>
  <c r="AR116" i="32"/>
  <c r="AR115" i="32"/>
  <c r="AR114" i="32"/>
  <c r="AR113" i="32"/>
  <c r="AR112" i="32"/>
  <c r="AR111" i="32"/>
  <c r="AR110" i="32"/>
  <c r="AR109" i="32"/>
  <c r="AR108" i="32"/>
  <c r="AR107" i="32"/>
  <c r="AR121" i="32"/>
  <c r="AM119" i="32"/>
  <c r="AM118" i="32"/>
  <c r="AM117" i="32"/>
  <c r="AM116" i="32"/>
  <c r="AM115" i="32"/>
  <c r="AM114" i="32"/>
  <c r="AM113" i="32"/>
  <c r="AM112" i="32"/>
  <c r="AM111" i="32"/>
  <c r="AM110" i="32"/>
  <c r="AM109" i="32"/>
  <c r="AM108" i="32"/>
  <c r="AM107" i="32"/>
  <c r="AM121" i="32"/>
  <c r="AH118" i="32"/>
  <c r="AH117" i="32"/>
  <c r="AH116" i="32"/>
  <c r="AH115" i="32"/>
  <c r="AH114" i="32"/>
  <c r="AH113" i="32"/>
  <c r="AH112" i="32"/>
  <c r="AH111" i="32"/>
  <c r="AH110" i="32"/>
  <c r="AH109" i="32"/>
  <c r="AH108" i="32"/>
  <c r="AH121" i="32"/>
  <c r="AC120" i="32"/>
  <c r="AC118" i="32"/>
  <c r="AC117" i="32"/>
  <c r="AC116" i="32"/>
  <c r="AC115" i="32"/>
  <c r="AC114" i="32"/>
  <c r="AC113" i="32"/>
  <c r="AC112" i="32"/>
  <c r="AC111" i="32"/>
  <c r="AC110" i="32"/>
  <c r="AC109" i="32"/>
  <c r="AC108" i="32"/>
  <c r="AC121" i="32"/>
  <c r="AH115" i="34" l="1"/>
  <c r="AM119" i="34"/>
  <c r="AC118" i="34"/>
  <c r="AH117" i="34"/>
  <c r="AH121" i="34"/>
  <c r="AM107" i="34"/>
  <c r="AM120" i="34"/>
  <c r="AR119" i="34"/>
  <c r="AW118" i="34"/>
  <c r="AH107" i="34"/>
  <c r="AH120" i="34"/>
  <c r="AH118" i="34"/>
  <c r="AM117" i="34"/>
  <c r="AR107" i="34"/>
  <c r="AH111" i="31"/>
  <c r="AH108" i="31"/>
  <c r="AH116" i="31"/>
  <c r="AM111" i="31"/>
  <c r="X111" i="31"/>
  <c r="X115" i="31"/>
  <c r="X119" i="31"/>
  <c r="AC110" i="31"/>
  <c r="AC114" i="31"/>
  <c r="AC118" i="31"/>
  <c r="AH109" i="31"/>
  <c r="AH113" i="31"/>
  <c r="AH117" i="31"/>
  <c r="AH121" i="31"/>
  <c r="AM107" i="31"/>
  <c r="AM112" i="31"/>
  <c r="AM116" i="31"/>
  <c r="AM120" i="31"/>
  <c r="AR111" i="31"/>
  <c r="AR115" i="31"/>
  <c r="AR119" i="31"/>
  <c r="AW110" i="31"/>
  <c r="AW114" i="31"/>
  <c r="AW118" i="31"/>
  <c r="AH107" i="31"/>
  <c r="AH112" i="31"/>
  <c r="AH120" i="31"/>
  <c r="AM115" i="31"/>
  <c r="X107" i="31"/>
  <c r="X112" i="31"/>
  <c r="X116" i="31"/>
  <c r="AC111" i="31"/>
  <c r="AC115" i="31"/>
  <c r="AH110" i="31"/>
  <c r="AH114" i="31"/>
  <c r="AH118" i="31"/>
  <c r="AM109" i="31"/>
  <c r="AM113" i="31"/>
  <c r="AM117" i="31"/>
  <c r="AM121" i="31"/>
  <c r="AR107" i="31"/>
  <c r="AR112" i="31"/>
  <c r="AR116" i="31"/>
  <c r="AW111" i="31"/>
  <c r="AW115" i="31"/>
  <c r="AH115" i="31"/>
  <c r="AH107" i="32"/>
  <c r="AC107" i="32"/>
  <c r="AH119" i="32"/>
  <c r="AM120" i="32"/>
  <c r="AW107" i="32"/>
  <c r="AC119" i="32"/>
  <c r="AH120" i="32"/>
  <c r="AW119" i="32"/>
  <c r="AW120" i="32"/>
  <c r="AW120" i="37"/>
  <c r="AR120" i="37"/>
  <c r="AR118" i="37"/>
  <c r="AR116" i="37"/>
  <c r="AR114" i="37"/>
  <c r="AR121" i="37"/>
  <c r="AM121" i="37"/>
  <c r="AM117" i="37"/>
  <c r="AM118" i="37"/>
  <c r="AH120" i="37"/>
  <c r="AH118" i="37"/>
  <c r="AH116" i="37"/>
  <c r="AH114" i="37"/>
  <c r="AH119" i="37"/>
  <c r="AC121" i="37"/>
  <c r="AW110" i="36"/>
  <c r="AW109" i="36"/>
  <c r="AW108" i="36"/>
  <c r="AW121" i="36"/>
  <c r="AR110" i="36"/>
  <c r="AR109" i="36"/>
  <c r="AR108" i="36"/>
  <c r="AR120" i="36"/>
  <c r="AM120" i="36"/>
  <c r="AM119" i="36"/>
  <c r="AM118" i="36"/>
  <c r="AM116" i="36"/>
  <c r="AM115" i="36"/>
  <c r="AM114" i="36"/>
  <c r="AM112" i="36"/>
  <c r="AM111" i="36"/>
  <c r="AM110" i="36"/>
  <c r="AM109" i="36"/>
  <c r="AM108" i="36"/>
  <c r="AM107" i="36"/>
  <c r="AM121" i="36"/>
  <c r="AH110" i="36"/>
  <c r="AH109" i="36"/>
  <c r="AH108" i="36"/>
  <c r="AH118" i="36"/>
  <c r="AC110" i="36"/>
  <c r="AC109" i="36"/>
  <c r="AC108" i="36"/>
  <c r="AC121" i="36"/>
  <c r="AC117" i="37" l="1"/>
  <c r="AM115" i="37"/>
  <c r="AM119" i="37"/>
  <c r="AW117" i="37"/>
  <c r="AW121" i="37"/>
  <c r="AC114" i="37"/>
  <c r="AC118" i="37"/>
  <c r="AH117" i="37"/>
  <c r="AH121" i="37"/>
  <c r="AM116" i="37"/>
  <c r="AM120" i="37"/>
  <c r="AR115" i="37"/>
  <c r="AR119" i="37"/>
  <c r="AW114" i="37"/>
  <c r="AW118" i="37"/>
  <c r="AC119" i="37"/>
  <c r="AC115" i="37"/>
  <c r="AW115" i="37"/>
  <c r="AW119" i="37"/>
  <c r="AC116" i="37"/>
  <c r="AC120" i="37"/>
  <c r="AH115" i="37"/>
  <c r="AM114" i="37"/>
  <c r="AR117" i="37"/>
  <c r="AW116" i="37"/>
  <c r="AC107" i="36"/>
  <c r="AC114" i="36"/>
  <c r="AC118" i="36"/>
  <c r="AH111" i="36"/>
  <c r="AH115" i="36"/>
  <c r="AH119" i="36"/>
  <c r="AR113" i="36"/>
  <c r="AR117" i="36"/>
  <c r="AR121" i="36"/>
  <c r="AW107" i="36"/>
  <c r="AW114" i="36"/>
  <c r="AW118" i="36"/>
  <c r="AC111" i="36"/>
  <c r="AC115" i="36"/>
  <c r="AC119" i="36"/>
  <c r="AH112" i="36"/>
  <c r="AH116" i="36"/>
  <c r="AH120" i="36"/>
  <c r="AM113" i="36"/>
  <c r="AM117" i="36"/>
  <c r="AR107" i="36"/>
  <c r="AR114" i="36"/>
  <c r="AR118" i="36"/>
  <c r="AW111" i="36"/>
  <c r="AW115" i="36"/>
  <c r="AW119" i="36"/>
  <c r="AC112" i="36"/>
  <c r="AC116" i="36"/>
  <c r="AC120" i="36"/>
  <c r="AH113" i="36"/>
  <c r="AH117" i="36"/>
  <c r="AH121" i="36"/>
  <c r="AR111" i="36"/>
  <c r="AR115" i="36"/>
  <c r="AR119" i="36"/>
  <c r="AW112" i="36"/>
  <c r="AW116" i="36"/>
  <c r="AW120" i="36"/>
  <c r="AC113" i="36"/>
  <c r="AC117" i="36"/>
  <c r="AH107" i="36"/>
  <c r="AH114" i="36"/>
  <c r="AR112" i="36"/>
  <c r="AR116" i="36"/>
  <c r="AW113" i="36"/>
  <c r="AW117" i="36"/>
  <c r="I38" i="5" l="1"/>
  <c r="I37" i="5"/>
  <c r="I36" i="5"/>
  <c r="I35" i="5"/>
  <c r="I34" i="5"/>
  <c r="AX107" i="37" l="1"/>
  <c r="AS107" i="37"/>
  <c r="AN107" i="37"/>
  <c r="AI107" i="37"/>
  <c r="AD107" i="37"/>
  <c r="K130" i="36"/>
  <c r="J130" i="36"/>
  <c r="I130" i="36"/>
  <c r="H128" i="36"/>
  <c r="AX107" i="36"/>
  <c r="AS107" i="36"/>
  <c r="AN107" i="36"/>
  <c r="AI107" i="36"/>
  <c r="AD107" i="36"/>
  <c r="H128" i="35"/>
  <c r="AW121" i="35"/>
  <c r="AR121" i="35"/>
  <c r="AM121" i="35"/>
  <c r="AH121" i="35"/>
  <c r="AC121" i="35"/>
  <c r="AW120" i="35"/>
  <c r="AR120" i="35"/>
  <c r="AM120" i="35"/>
  <c r="AH120" i="35"/>
  <c r="AC120" i="35"/>
  <c r="AW119" i="35"/>
  <c r="AR119" i="35"/>
  <c r="AM119" i="35"/>
  <c r="AH119" i="35"/>
  <c r="AC119" i="35"/>
  <c r="AW118" i="35"/>
  <c r="AR118" i="35"/>
  <c r="AM118" i="35"/>
  <c r="AH118" i="35"/>
  <c r="AC118" i="35"/>
  <c r="AW117" i="35"/>
  <c r="AR117" i="35"/>
  <c r="AM117" i="35"/>
  <c r="AH117" i="35"/>
  <c r="AC117" i="35"/>
  <c r="AW116" i="35"/>
  <c r="AR116" i="35"/>
  <c r="AM116" i="35"/>
  <c r="AH116" i="35"/>
  <c r="AC116" i="35"/>
  <c r="J137" i="35"/>
  <c r="I137" i="35"/>
  <c r="AW115" i="35"/>
  <c r="AR115" i="35"/>
  <c r="AM115" i="35"/>
  <c r="AH115" i="35"/>
  <c r="AC115" i="35"/>
  <c r="J136" i="35"/>
  <c r="I136" i="35"/>
  <c r="AW114" i="35"/>
  <c r="AR114" i="35"/>
  <c r="AM114" i="35"/>
  <c r="AH114" i="35"/>
  <c r="AC114" i="35"/>
  <c r="AW113" i="35"/>
  <c r="AR113" i="35"/>
  <c r="AM113" i="35"/>
  <c r="AH113" i="35"/>
  <c r="AC113" i="35"/>
  <c r="AW112" i="35"/>
  <c r="AR112" i="35"/>
  <c r="AM112" i="35"/>
  <c r="AH112" i="35"/>
  <c r="AC112" i="35"/>
  <c r="AW111" i="35"/>
  <c r="AR111" i="35"/>
  <c r="AM111" i="35"/>
  <c r="AH111" i="35"/>
  <c r="AC111" i="35"/>
  <c r="AW110" i="35"/>
  <c r="AR110" i="35"/>
  <c r="AM110" i="35"/>
  <c r="AH110" i="35"/>
  <c r="AC110" i="35"/>
  <c r="J131" i="35"/>
  <c r="I131" i="35"/>
  <c r="AW109" i="35"/>
  <c r="AR109" i="35"/>
  <c r="AM109" i="35"/>
  <c r="AH109" i="35"/>
  <c r="AC109" i="35"/>
  <c r="AW108" i="35"/>
  <c r="AR108" i="35"/>
  <c r="AM108" i="35"/>
  <c r="AH108" i="35"/>
  <c r="AC108" i="35"/>
  <c r="AX107" i="35"/>
  <c r="AW107" i="35"/>
  <c r="AS107" i="35"/>
  <c r="AR107" i="35"/>
  <c r="AN107" i="35"/>
  <c r="AM107" i="35"/>
  <c r="AI107" i="35"/>
  <c r="AH107" i="35"/>
  <c r="AD107" i="35"/>
  <c r="AC107" i="35"/>
  <c r="H128" i="34"/>
  <c r="J135" i="34"/>
  <c r="I135" i="34"/>
  <c r="AX107" i="34"/>
  <c r="AS107" i="34"/>
  <c r="AN107" i="34"/>
  <c r="AI107" i="34"/>
  <c r="AD107" i="34"/>
  <c r="H218" i="33"/>
  <c r="AW211" i="33"/>
  <c r="AR211" i="33"/>
  <c r="AM211" i="33"/>
  <c r="AH211" i="33"/>
  <c r="AC211" i="33"/>
  <c r="AW210" i="33"/>
  <c r="AR210" i="33"/>
  <c r="AM210" i="33"/>
  <c r="AH210" i="33"/>
  <c r="AC210" i="33"/>
  <c r="AW209" i="33"/>
  <c r="AR209" i="33"/>
  <c r="AM209" i="33"/>
  <c r="AH209" i="33"/>
  <c r="AC209" i="33"/>
  <c r="AW208" i="33"/>
  <c r="AR208" i="33"/>
  <c r="AM208" i="33"/>
  <c r="AH208" i="33"/>
  <c r="AC208" i="33"/>
  <c r="AW207" i="33"/>
  <c r="AR207" i="33"/>
  <c r="AM207" i="33"/>
  <c r="AH207" i="33"/>
  <c r="AC207" i="33"/>
  <c r="AW206" i="33"/>
  <c r="AR206" i="33"/>
  <c r="AM206" i="33"/>
  <c r="AH206" i="33"/>
  <c r="AC206" i="33"/>
  <c r="AW205" i="33"/>
  <c r="AR205" i="33"/>
  <c r="AM205" i="33"/>
  <c r="AH205" i="33"/>
  <c r="AC205" i="33"/>
  <c r="AW204" i="33"/>
  <c r="AR204" i="33"/>
  <c r="AM204" i="33"/>
  <c r="AH204" i="33"/>
  <c r="AC204" i="33"/>
  <c r="AW203" i="33"/>
  <c r="AR203" i="33"/>
  <c r="AM203" i="33"/>
  <c r="AH203" i="33"/>
  <c r="AC203" i="33"/>
  <c r="AW202" i="33"/>
  <c r="AR202" i="33"/>
  <c r="AM202" i="33"/>
  <c r="AH202" i="33"/>
  <c r="AC202" i="33"/>
  <c r="AW201" i="33"/>
  <c r="AR201" i="33"/>
  <c r="AM201" i="33"/>
  <c r="AH201" i="33"/>
  <c r="AC201" i="33"/>
  <c r="AW200" i="33"/>
  <c r="AR200" i="33"/>
  <c r="AM200" i="33"/>
  <c r="AH200" i="33"/>
  <c r="AC200" i="33"/>
  <c r="AW199" i="33"/>
  <c r="AR199" i="33"/>
  <c r="AM199" i="33"/>
  <c r="AH199" i="33"/>
  <c r="AC199" i="33"/>
  <c r="AW198" i="33"/>
  <c r="AR198" i="33"/>
  <c r="AM198" i="33"/>
  <c r="AH198" i="33"/>
  <c r="AC198" i="33"/>
  <c r="AW197" i="33"/>
  <c r="AR197" i="33"/>
  <c r="AM197" i="33"/>
  <c r="AH197" i="33"/>
  <c r="AC197" i="33"/>
  <c r="AW196" i="33"/>
  <c r="AR196" i="33"/>
  <c r="AM196" i="33"/>
  <c r="AH196" i="33"/>
  <c r="AC196" i="33"/>
  <c r="AW195" i="33"/>
  <c r="AR195" i="33"/>
  <c r="AM195" i="33"/>
  <c r="AH195" i="33"/>
  <c r="AC195" i="33"/>
  <c r="AW194" i="33"/>
  <c r="AR194" i="33"/>
  <c r="AM194" i="33"/>
  <c r="AH194" i="33"/>
  <c r="AC194" i="33"/>
  <c r="AW193" i="33"/>
  <c r="AR193" i="33"/>
  <c r="AM193" i="33"/>
  <c r="AH193" i="33"/>
  <c r="AC193" i="33"/>
  <c r="AW192" i="33"/>
  <c r="AR192" i="33"/>
  <c r="AM192" i="33"/>
  <c r="AH192" i="33"/>
  <c r="AC192" i="33"/>
  <c r="AW191" i="33"/>
  <c r="AR191" i="33"/>
  <c r="AM191" i="33"/>
  <c r="AH191" i="33"/>
  <c r="AC191" i="33"/>
  <c r="AW190" i="33"/>
  <c r="AR190" i="33"/>
  <c r="AM190" i="33"/>
  <c r="AH190" i="33"/>
  <c r="AC190" i="33"/>
  <c r="AW189" i="33"/>
  <c r="AR189" i="33"/>
  <c r="AM189" i="33"/>
  <c r="AH189" i="33"/>
  <c r="AC189" i="33"/>
  <c r="AW188" i="33"/>
  <c r="AR188" i="33"/>
  <c r="AM188" i="33"/>
  <c r="AH188" i="33"/>
  <c r="AC188" i="33"/>
  <c r="AW187" i="33"/>
  <c r="AR187" i="33"/>
  <c r="AM187" i="33"/>
  <c r="AH187" i="33"/>
  <c r="AC187" i="33"/>
  <c r="AW186" i="33"/>
  <c r="AR186" i="33"/>
  <c r="AM186" i="33"/>
  <c r="AH186" i="33"/>
  <c r="AC186" i="33"/>
  <c r="AW185" i="33"/>
  <c r="AR185" i="33"/>
  <c r="AM185" i="33"/>
  <c r="AH185" i="33"/>
  <c r="AC185" i="33"/>
  <c r="AW184" i="33"/>
  <c r="AR184" i="33"/>
  <c r="AM184" i="33"/>
  <c r="AH184" i="33"/>
  <c r="AC184" i="33"/>
  <c r="AW183" i="33"/>
  <c r="AR183" i="33"/>
  <c r="AM183" i="33"/>
  <c r="AH183" i="33"/>
  <c r="AC183" i="33"/>
  <c r="AX182" i="33"/>
  <c r="AW182" i="33"/>
  <c r="AS182" i="33"/>
  <c r="AR182" i="33"/>
  <c r="AN182" i="33"/>
  <c r="AM182" i="33"/>
  <c r="AI182" i="33"/>
  <c r="AH182" i="33"/>
  <c r="AD182" i="33"/>
  <c r="AC182" i="33"/>
  <c r="H128" i="31"/>
  <c r="M108" i="31"/>
  <c r="AX107" i="31"/>
  <c r="AS107" i="31"/>
  <c r="AN107" i="31"/>
  <c r="AI107" i="31"/>
  <c r="AD107" i="31"/>
  <c r="Y107" i="31"/>
  <c r="T107" i="31"/>
  <c r="K107" i="31"/>
  <c r="M107" i="31" s="1"/>
  <c r="J107" i="31"/>
  <c r="I107" i="31"/>
  <c r="H107" i="31"/>
  <c r="H128" i="32"/>
  <c r="AX107" i="32"/>
  <c r="AS107" i="32"/>
  <c r="AN107" i="32"/>
  <c r="AI107" i="32"/>
  <c r="AD107" i="32"/>
  <c r="K132" i="30"/>
  <c r="J132" i="30"/>
  <c r="I132" i="30"/>
  <c r="AW121" i="30"/>
  <c r="AR121" i="30"/>
  <c r="AM121" i="30"/>
  <c r="AH121" i="30"/>
  <c r="AC121" i="30"/>
  <c r="AW120" i="30"/>
  <c r="AR120" i="30"/>
  <c r="AM120" i="30"/>
  <c r="AH120" i="30"/>
  <c r="AC120" i="30"/>
  <c r="AW119" i="30"/>
  <c r="AR119" i="30"/>
  <c r="AM119" i="30"/>
  <c r="AH119" i="30"/>
  <c r="AC119" i="30"/>
  <c r="AW118" i="30"/>
  <c r="AR118" i="30"/>
  <c r="AM118" i="30"/>
  <c r="AH118" i="30"/>
  <c r="AC118" i="30"/>
  <c r="AW117" i="30"/>
  <c r="AR117" i="30"/>
  <c r="AM117" i="30"/>
  <c r="AH117" i="30"/>
  <c r="AC117" i="30"/>
  <c r="AW116" i="30"/>
  <c r="AR116" i="30"/>
  <c r="AM116" i="30"/>
  <c r="AH116" i="30"/>
  <c r="AC116" i="30"/>
  <c r="AW115" i="30"/>
  <c r="AR115" i="30"/>
  <c r="AM115" i="30"/>
  <c r="AH115" i="30"/>
  <c r="AC115" i="30"/>
  <c r="AW114" i="30"/>
  <c r="AR114" i="30"/>
  <c r="AM114" i="30"/>
  <c r="AH114" i="30"/>
  <c r="AC114" i="30"/>
  <c r="AW113" i="30"/>
  <c r="AR113" i="30"/>
  <c r="AM113" i="30"/>
  <c r="AH113" i="30"/>
  <c r="AC113" i="30"/>
  <c r="AW112" i="30"/>
  <c r="AR112" i="30"/>
  <c r="AM112" i="30"/>
  <c r="AH112" i="30"/>
  <c r="AC112" i="30"/>
  <c r="AW111" i="30"/>
  <c r="AR111" i="30"/>
  <c r="AM111" i="30"/>
  <c r="AH111" i="30"/>
  <c r="AC111" i="30"/>
  <c r="AW110" i="30"/>
  <c r="AR110" i="30"/>
  <c r="AM110" i="30"/>
  <c r="AH110" i="30"/>
  <c r="AC110" i="30"/>
  <c r="AW109" i="30"/>
  <c r="AR109" i="30"/>
  <c r="AM109" i="30"/>
  <c r="AH109" i="30"/>
  <c r="AC109" i="30"/>
  <c r="AW108" i="30"/>
  <c r="AR108" i="30"/>
  <c r="AM108" i="30"/>
  <c r="AH108" i="30"/>
  <c r="AC108" i="30"/>
  <c r="AX107" i="30"/>
  <c r="AW107" i="30"/>
  <c r="AS107" i="30"/>
  <c r="AR107" i="30"/>
  <c r="AN107" i="30"/>
  <c r="AM107" i="30"/>
  <c r="AI107" i="30"/>
  <c r="AH107" i="30"/>
  <c r="AD107" i="30"/>
  <c r="AC107" i="30"/>
  <c r="AX182" i="8"/>
  <c r="AS182" i="8"/>
  <c r="AN182" i="8"/>
  <c r="AI182" i="8"/>
  <c r="AD182" i="8"/>
  <c r="K131" i="35" l="1"/>
  <c r="K137" i="35"/>
  <c r="K136" i="35"/>
  <c r="K135" i="34"/>
  <c r="H128" i="30"/>
  <c r="H218" i="8"/>
  <c r="L107" i="31"/>
  <c r="I33" i="5" l="1"/>
  <c r="J33" i="5" s="1"/>
  <c r="I7" i="39" s="1"/>
  <c r="I32" i="5"/>
  <c r="I31" i="5"/>
  <c r="I30" i="5"/>
  <c r="I29" i="5"/>
  <c r="I28" i="5"/>
  <c r="I27" i="5"/>
  <c r="L20" i="21" l="1"/>
  <c r="L19" i="21"/>
  <c r="L18" i="21"/>
  <c r="L17" i="21"/>
  <c r="L16" i="21"/>
  <c r="L13" i="21"/>
  <c r="L12" i="21"/>
  <c r="L11" i="21"/>
  <c r="L10" i="21"/>
  <c r="L9" i="21"/>
  <c r="M15" i="40"/>
  <c r="K15" i="40"/>
  <c r="I15" i="40"/>
  <c r="G15" i="40"/>
  <c r="M14" i="40"/>
  <c r="K14" i="40"/>
  <c r="I14" i="40"/>
  <c r="G14" i="40"/>
  <c r="M10" i="40"/>
  <c r="K10" i="40"/>
  <c r="I10" i="40"/>
  <c r="G10" i="40"/>
  <c r="C10" i="40"/>
  <c r="M9" i="40"/>
  <c r="K9" i="40"/>
  <c r="I9" i="40"/>
  <c r="G9" i="40"/>
  <c r="C9" i="40"/>
  <c r="J133" i="37"/>
  <c r="I133" i="37"/>
  <c r="J132" i="37"/>
  <c r="I132" i="37"/>
  <c r="K131" i="37"/>
  <c r="J131" i="37"/>
  <c r="I131" i="37"/>
  <c r="K130" i="37"/>
  <c r="J130" i="37"/>
  <c r="I130" i="37"/>
  <c r="J129" i="37"/>
  <c r="I129" i="37"/>
  <c r="J128" i="37"/>
  <c r="I128" i="37"/>
  <c r="AO2" i="37"/>
  <c r="K132" i="36"/>
  <c r="J132" i="36"/>
  <c r="I132" i="36"/>
  <c r="K131" i="36"/>
  <c r="J131" i="36"/>
  <c r="I131" i="36"/>
  <c r="J129" i="36"/>
  <c r="I129" i="36"/>
  <c r="J128" i="36"/>
  <c r="I128" i="36"/>
  <c r="AO2" i="36"/>
  <c r="K135" i="35"/>
  <c r="J135" i="35"/>
  <c r="I135" i="35"/>
  <c r="J134" i="35"/>
  <c r="I134" i="35"/>
  <c r="J133" i="35"/>
  <c r="I133" i="35"/>
  <c r="K132" i="35"/>
  <c r="J132" i="35"/>
  <c r="I132" i="35"/>
  <c r="K130" i="35"/>
  <c r="J130" i="35"/>
  <c r="I130" i="35"/>
  <c r="J129" i="35"/>
  <c r="I129" i="35"/>
  <c r="J128" i="35"/>
  <c r="I128" i="35"/>
  <c r="AO2" i="35"/>
  <c r="J134" i="34"/>
  <c r="I134" i="34"/>
  <c r="K133" i="34"/>
  <c r="J133" i="34"/>
  <c r="I133" i="34"/>
  <c r="J132" i="34"/>
  <c r="I132" i="34"/>
  <c r="K131" i="34"/>
  <c r="J131" i="34"/>
  <c r="I131" i="34"/>
  <c r="J130" i="34"/>
  <c r="I130" i="34"/>
  <c r="K129" i="34"/>
  <c r="J129" i="34"/>
  <c r="I129" i="34"/>
  <c r="J128" i="34"/>
  <c r="I128" i="34"/>
  <c r="AO2" i="34"/>
  <c r="K239" i="33"/>
  <c r="I239" i="33"/>
  <c r="K227" i="33"/>
  <c r="I227" i="33"/>
  <c r="J240" i="33"/>
  <c r="I240" i="33"/>
  <c r="K236" i="33"/>
  <c r="J236" i="33"/>
  <c r="I236" i="33"/>
  <c r="K235" i="33"/>
  <c r="I235" i="33"/>
  <c r="J234" i="33"/>
  <c r="K232" i="33"/>
  <c r="I232" i="33"/>
  <c r="K231" i="33"/>
  <c r="I231" i="33"/>
  <c r="J230" i="33"/>
  <c r="J228" i="33"/>
  <c r="I228" i="33"/>
  <c r="K224" i="33"/>
  <c r="J224" i="33"/>
  <c r="I224" i="33"/>
  <c r="K223" i="33"/>
  <c r="I223" i="33"/>
  <c r="J222" i="33"/>
  <c r="K220" i="33"/>
  <c r="I220" i="33"/>
  <c r="K219" i="33"/>
  <c r="I219" i="33"/>
  <c r="K218" i="33"/>
  <c r="AO2" i="33"/>
  <c r="AR101" i="31"/>
  <c r="AM101" i="31"/>
  <c r="AH101" i="31"/>
  <c r="AC101" i="31"/>
  <c r="X101" i="31"/>
  <c r="S101" i="31"/>
  <c r="AR100" i="31"/>
  <c r="AM100" i="31"/>
  <c r="AH100" i="31"/>
  <c r="AC100" i="31"/>
  <c r="X100" i="31"/>
  <c r="S100" i="31"/>
  <c r="AR99" i="31"/>
  <c r="AM99" i="31"/>
  <c r="AH99" i="31"/>
  <c r="AC99" i="31"/>
  <c r="X99" i="31"/>
  <c r="S99" i="31"/>
  <c r="AR98" i="31"/>
  <c r="AM98" i="31"/>
  <c r="AH98" i="31"/>
  <c r="AC98" i="31"/>
  <c r="X98" i="31"/>
  <c r="S98" i="31"/>
  <c r="AR97" i="31"/>
  <c r="AM97" i="31"/>
  <c r="AH97" i="31"/>
  <c r="AC97" i="31"/>
  <c r="X97" i="31"/>
  <c r="S97" i="31"/>
  <c r="AR96" i="31"/>
  <c r="AM96" i="31"/>
  <c r="AH96" i="31"/>
  <c r="AC96" i="31"/>
  <c r="X96" i="31"/>
  <c r="S96" i="31"/>
  <c r="AR95" i="31"/>
  <c r="AM95" i="31"/>
  <c r="AH95" i="31"/>
  <c r="AC95" i="31"/>
  <c r="X95" i="31"/>
  <c r="S95" i="31"/>
  <c r="AR94" i="31"/>
  <c r="AM94" i="31"/>
  <c r="AH94" i="31"/>
  <c r="AC94" i="31"/>
  <c r="X94" i="31"/>
  <c r="S94" i="31"/>
  <c r="AR93" i="31"/>
  <c r="AM93" i="31"/>
  <c r="AH93" i="31"/>
  <c r="AC93" i="31"/>
  <c r="X93" i="31"/>
  <c r="S93" i="31"/>
  <c r="AR92" i="31"/>
  <c r="AM92" i="31"/>
  <c r="AH92" i="31"/>
  <c r="AC92" i="31"/>
  <c r="X92" i="31"/>
  <c r="S92" i="31"/>
  <c r="AR91" i="31"/>
  <c r="AM91" i="31"/>
  <c r="AH91" i="31"/>
  <c r="AC91" i="31"/>
  <c r="X91" i="31"/>
  <c r="S91" i="31"/>
  <c r="AR90" i="31"/>
  <c r="AM90" i="31"/>
  <c r="AH90" i="31"/>
  <c r="AC90" i="31"/>
  <c r="X90" i="31"/>
  <c r="S90" i="31"/>
  <c r="AR89" i="31"/>
  <c r="AM89" i="31"/>
  <c r="AH89" i="31"/>
  <c r="AC89" i="31"/>
  <c r="X89" i="31"/>
  <c r="S89" i="31"/>
  <c r="AR88" i="31"/>
  <c r="AM88" i="31"/>
  <c r="AH88" i="31"/>
  <c r="AC88" i="31"/>
  <c r="X88" i="31"/>
  <c r="S88" i="31"/>
  <c r="AS87" i="31"/>
  <c r="AR87" i="31"/>
  <c r="AN87" i="31"/>
  <c r="AM87" i="31"/>
  <c r="AI87" i="31"/>
  <c r="AH87" i="31"/>
  <c r="AD87" i="31"/>
  <c r="AC87" i="31"/>
  <c r="Y87" i="31"/>
  <c r="X87" i="31"/>
  <c r="T87" i="31"/>
  <c r="S87" i="31"/>
  <c r="K87" i="31"/>
  <c r="J87" i="31"/>
  <c r="I87" i="31"/>
  <c r="H87" i="31"/>
  <c r="AW81" i="31"/>
  <c r="AR81" i="31"/>
  <c r="AM81" i="31"/>
  <c r="AH81" i="31"/>
  <c r="AC81" i="31"/>
  <c r="X81" i="31"/>
  <c r="S81" i="31"/>
  <c r="AW80" i="31"/>
  <c r="AR80" i="31"/>
  <c r="AM80" i="31"/>
  <c r="AH80" i="31"/>
  <c r="AC80" i="31"/>
  <c r="X80" i="31"/>
  <c r="S80" i="31"/>
  <c r="AW79" i="31"/>
  <c r="AR79" i="31"/>
  <c r="AM79" i="31"/>
  <c r="AH79" i="31"/>
  <c r="AC79" i="31"/>
  <c r="X79" i="31"/>
  <c r="S79" i="31"/>
  <c r="AW78" i="31"/>
  <c r="AR78" i="31"/>
  <c r="AM78" i="31"/>
  <c r="AH78" i="31"/>
  <c r="AC78" i="31"/>
  <c r="X78" i="31"/>
  <c r="S78" i="31"/>
  <c r="AW77" i="31"/>
  <c r="AR77" i="31"/>
  <c r="AM77" i="31"/>
  <c r="AH77" i="31"/>
  <c r="AC77" i="31"/>
  <c r="X77" i="31"/>
  <c r="S77" i="31"/>
  <c r="AW76" i="31"/>
  <c r="AR76" i="31"/>
  <c r="AM76" i="31"/>
  <c r="AH76" i="31"/>
  <c r="AC76" i="31"/>
  <c r="X76" i="31"/>
  <c r="S76" i="31"/>
  <c r="AW75" i="31"/>
  <c r="AR75" i="31"/>
  <c r="AM75" i="31"/>
  <c r="AH75" i="31"/>
  <c r="AC75" i="31"/>
  <c r="X75" i="31"/>
  <c r="S75" i="31"/>
  <c r="AW74" i="31"/>
  <c r="AR74" i="31"/>
  <c r="AM74" i="31"/>
  <c r="AH74" i="31"/>
  <c r="AC74" i="31"/>
  <c r="X74" i="31"/>
  <c r="S74" i="31"/>
  <c r="AW73" i="31"/>
  <c r="AR73" i="31"/>
  <c r="AM73" i="31"/>
  <c r="AH73" i="31"/>
  <c r="AC73" i="31"/>
  <c r="X73" i="31"/>
  <c r="S73" i="31"/>
  <c r="AW72" i="31"/>
  <c r="AR72" i="31"/>
  <c r="AM72" i="31"/>
  <c r="AH72" i="31"/>
  <c r="AC72" i="31"/>
  <c r="X72" i="31"/>
  <c r="S72" i="31"/>
  <c r="AW71" i="31"/>
  <c r="AR71" i="31"/>
  <c r="AM71" i="31"/>
  <c r="AH71" i="31"/>
  <c r="AC71" i="31"/>
  <c r="X71" i="31"/>
  <c r="S71" i="31"/>
  <c r="AW70" i="31"/>
  <c r="AR70" i="31"/>
  <c r="AM70" i="31"/>
  <c r="AH70" i="31"/>
  <c r="AC70" i="31"/>
  <c r="X70" i="31"/>
  <c r="S70" i="31"/>
  <c r="AW69" i="31"/>
  <c r="AR69" i="31"/>
  <c r="AM69" i="31"/>
  <c r="AH69" i="31"/>
  <c r="AC69" i="31"/>
  <c r="X69" i="31"/>
  <c r="S69" i="31"/>
  <c r="AW68" i="31"/>
  <c r="AR68" i="31"/>
  <c r="AM68" i="31"/>
  <c r="AH68" i="31"/>
  <c r="AC68" i="31"/>
  <c r="X68" i="31"/>
  <c r="S68" i="31"/>
  <c r="AX67" i="31"/>
  <c r="AW67" i="31"/>
  <c r="AS67" i="31"/>
  <c r="AR67" i="31"/>
  <c r="AN67" i="31"/>
  <c r="AM67" i="31"/>
  <c r="AI67" i="31"/>
  <c r="AH67" i="31"/>
  <c r="AD67" i="31"/>
  <c r="AC67" i="31"/>
  <c r="Y67" i="31"/>
  <c r="X67" i="31"/>
  <c r="T67" i="31"/>
  <c r="S67" i="31"/>
  <c r="K67" i="31"/>
  <c r="M67" i="31" s="1"/>
  <c r="J67" i="31"/>
  <c r="I67" i="31"/>
  <c r="H67" i="31"/>
  <c r="AO2" i="31"/>
  <c r="K137" i="32"/>
  <c r="I136" i="32"/>
  <c r="K135" i="32"/>
  <c r="I135" i="32"/>
  <c r="K134" i="32"/>
  <c r="J134" i="32"/>
  <c r="I134" i="32"/>
  <c r="I133" i="32"/>
  <c r="J132" i="32"/>
  <c r="K131" i="32"/>
  <c r="K130" i="32"/>
  <c r="J130" i="32"/>
  <c r="I130" i="32"/>
  <c r="K129" i="32"/>
  <c r="I129" i="32"/>
  <c r="AO2" i="32"/>
  <c r="P22" i="32" s="1"/>
  <c r="K134" i="30"/>
  <c r="J134" i="30"/>
  <c r="I134" i="30"/>
  <c r="K133" i="30"/>
  <c r="J133" i="30"/>
  <c r="J131" i="30"/>
  <c r="K129" i="30"/>
  <c r="J129" i="30"/>
  <c r="I129" i="30"/>
  <c r="J128" i="30"/>
  <c r="I128" i="30"/>
  <c r="AO2" i="30"/>
  <c r="P22" i="30" s="1"/>
  <c r="K236" i="8"/>
  <c r="K235" i="8"/>
  <c r="J235" i="8"/>
  <c r="I235" i="8"/>
  <c r="J234" i="8"/>
  <c r="K233" i="8"/>
  <c r="K232" i="8"/>
  <c r="I232" i="8"/>
  <c r="K229" i="8"/>
  <c r="I229" i="8"/>
  <c r="K226" i="8"/>
  <c r="I226" i="8"/>
  <c r="K225" i="8"/>
  <c r="J225" i="8"/>
  <c r="I225" i="8"/>
  <c r="J224" i="8"/>
  <c r="I224" i="8"/>
  <c r="K223" i="8"/>
  <c r="I223" i="8"/>
  <c r="K220" i="8"/>
  <c r="I220" i="8"/>
  <c r="K234" i="8"/>
  <c r="I234" i="8"/>
  <c r="K238" i="8"/>
  <c r="J238" i="8"/>
  <c r="I238" i="8"/>
  <c r="K237" i="8"/>
  <c r="J237" i="8"/>
  <c r="I237" i="8"/>
  <c r="J236" i="8"/>
  <c r="I236" i="8"/>
  <c r="J233" i="8"/>
  <c r="I233" i="8"/>
  <c r="J232" i="8"/>
  <c r="K231" i="8"/>
  <c r="J231" i="8"/>
  <c r="I231" i="8"/>
  <c r="K230" i="8"/>
  <c r="J230" i="8"/>
  <c r="I230" i="8"/>
  <c r="J229" i="8"/>
  <c r="K228" i="8"/>
  <c r="J228" i="8"/>
  <c r="I228" i="8"/>
  <c r="K227" i="8"/>
  <c r="J227" i="8"/>
  <c r="I227" i="8"/>
  <c r="J226" i="8"/>
  <c r="K221" i="8"/>
  <c r="J221" i="8"/>
  <c r="I221" i="8"/>
  <c r="K222" i="8"/>
  <c r="J222" i="8"/>
  <c r="I222" i="8"/>
  <c r="J223" i="8"/>
  <c r="J220" i="8"/>
  <c r="K219" i="8"/>
  <c r="J219" i="8"/>
  <c r="I219" i="8"/>
  <c r="K218" i="8"/>
  <c r="J218" i="8"/>
  <c r="I218" i="8"/>
  <c r="P37" i="8"/>
  <c r="AK46" i="6"/>
  <c r="AK47" i="6" s="1"/>
  <c r="AI46" i="6"/>
  <c r="AI47" i="6" s="1"/>
  <c r="AG46" i="6"/>
  <c r="AG47" i="6" s="1"/>
  <c r="AE46" i="6"/>
  <c r="H20" i="13" s="1"/>
  <c r="AA46" i="6"/>
  <c r="Y46" i="6"/>
  <c r="W46" i="6"/>
  <c r="W47" i="6" s="1"/>
  <c r="U46" i="6"/>
  <c r="U47" i="6" s="1"/>
  <c r="Q46" i="6"/>
  <c r="O46" i="6"/>
  <c r="K46" i="6"/>
  <c r="I46" i="6"/>
  <c r="AC45" i="6"/>
  <c r="AB45" i="6"/>
  <c r="S45" i="6"/>
  <c r="R45" i="6"/>
  <c r="M45" i="6"/>
  <c r="AC44" i="6"/>
  <c r="AB44" i="6"/>
  <c r="S44" i="6"/>
  <c r="R44" i="6"/>
  <c r="M44" i="6"/>
  <c r="AC43" i="6"/>
  <c r="AB43" i="6"/>
  <c r="S43" i="6"/>
  <c r="R43" i="6"/>
  <c r="M43" i="6"/>
  <c r="AC40" i="6"/>
  <c r="AB40" i="6"/>
  <c r="S40" i="6"/>
  <c r="R40" i="6"/>
  <c r="M40" i="6"/>
  <c r="AC39" i="6"/>
  <c r="AB39" i="6"/>
  <c r="S39" i="6"/>
  <c r="R39" i="6"/>
  <c r="M39" i="6"/>
  <c r="AC38" i="6"/>
  <c r="AB38" i="6"/>
  <c r="S38" i="6"/>
  <c r="R38" i="6"/>
  <c r="M38" i="6"/>
  <c r="AC37" i="6"/>
  <c r="AB37" i="6"/>
  <c r="S37" i="6"/>
  <c r="R37" i="6"/>
  <c r="M37" i="6"/>
  <c r="AC36" i="6"/>
  <c r="AB36" i="6"/>
  <c r="S36" i="6"/>
  <c r="R36" i="6"/>
  <c r="M36" i="6"/>
  <c r="AC35" i="6"/>
  <c r="AB35" i="6"/>
  <c r="S35" i="6"/>
  <c r="R35" i="6"/>
  <c r="M35" i="6"/>
  <c r="AC34" i="6"/>
  <c r="AB34" i="6"/>
  <c r="S34" i="6"/>
  <c r="R34" i="6"/>
  <c r="M34" i="6"/>
  <c r="AC33" i="6"/>
  <c r="AB33" i="6"/>
  <c r="S33" i="6"/>
  <c r="R33" i="6"/>
  <c r="M33" i="6"/>
  <c r="AC32" i="6"/>
  <c r="AB32" i="6"/>
  <c r="S32" i="6"/>
  <c r="R32" i="6"/>
  <c r="M32" i="6"/>
  <c r="AC31" i="6"/>
  <c r="AB31" i="6"/>
  <c r="S31" i="6"/>
  <c r="R31" i="6"/>
  <c r="M31" i="6"/>
  <c r="AC30" i="6"/>
  <c r="AB30" i="6"/>
  <c r="S30" i="6"/>
  <c r="R30" i="6"/>
  <c r="M30" i="6"/>
  <c r="AC29" i="6"/>
  <c r="AB29" i="6"/>
  <c r="S29" i="6"/>
  <c r="R29" i="6"/>
  <c r="M29" i="6"/>
  <c r="AC28" i="6"/>
  <c r="AB28" i="6"/>
  <c r="S28" i="6"/>
  <c r="R28" i="6"/>
  <c r="M28" i="6"/>
  <c r="AC27" i="6"/>
  <c r="AB27" i="6"/>
  <c r="S27" i="6"/>
  <c r="R27" i="6"/>
  <c r="AC26" i="6"/>
  <c r="AB26" i="6"/>
  <c r="S26" i="6"/>
  <c r="R26" i="6"/>
  <c r="AC25" i="6"/>
  <c r="AB25" i="6"/>
  <c r="S25" i="6"/>
  <c r="F25" i="6" s="1"/>
  <c r="AH25" i="6" s="1"/>
  <c r="R25" i="6"/>
  <c r="AC24" i="6"/>
  <c r="AB24" i="6"/>
  <c r="S24" i="6"/>
  <c r="R24" i="6"/>
  <c r="AC23" i="6"/>
  <c r="AB23" i="6"/>
  <c r="S23" i="6"/>
  <c r="R23" i="6"/>
  <c r="AC22" i="6"/>
  <c r="AB22" i="6"/>
  <c r="S22" i="6"/>
  <c r="F22" i="6" s="1"/>
  <c r="AH22" i="6" s="1"/>
  <c r="R22" i="6"/>
  <c r="AC21" i="6"/>
  <c r="AB21" i="6"/>
  <c r="S21" i="6"/>
  <c r="R21" i="6"/>
  <c r="AC20" i="6"/>
  <c r="AB20" i="6"/>
  <c r="S20" i="6"/>
  <c r="R20" i="6"/>
  <c r="AC19" i="6"/>
  <c r="AB19" i="6"/>
  <c r="S19" i="6"/>
  <c r="F19" i="6" s="1"/>
  <c r="R19" i="6"/>
  <c r="AC18" i="6"/>
  <c r="AB18" i="6"/>
  <c r="S18" i="6"/>
  <c r="R18" i="6"/>
  <c r="AC17" i="6"/>
  <c r="AB17" i="6"/>
  <c r="S17" i="6"/>
  <c r="R17" i="6"/>
  <c r="AC16" i="6"/>
  <c r="AB16" i="6"/>
  <c r="S16" i="6"/>
  <c r="R16" i="6"/>
  <c r="AC15" i="6"/>
  <c r="AB15" i="6"/>
  <c r="S15" i="6"/>
  <c r="R15" i="6"/>
  <c r="AC14" i="6"/>
  <c r="AB14" i="6"/>
  <c r="S14" i="6"/>
  <c r="R14" i="6"/>
  <c r="F13" i="6"/>
  <c r="F12" i="6"/>
  <c r="F11" i="6"/>
  <c r="AK46" i="7"/>
  <c r="AK47" i="7" s="1"/>
  <c r="AI46" i="7"/>
  <c r="AI47" i="7" s="1"/>
  <c r="AG46" i="7"/>
  <c r="AG47" i="7" s="1"/>
  <c r="AE46" i="7"/>
  <c r="AE47" i="7" s="1"/>
  <c r="AA46" i="7"/>
  <c r="Y46" i="7"/>
  <c r="W46" i="7"/>
  <c r="W47" i="7" s="1"/>
  <c r="U46" i="7"/>
  <c r="U47" i="7" s="1"/>
  <c r="Q46" i="7"/>
  <c r="O46" i="7"/>
  <c r="K46" i="7"/>
  <c r="I46" i="7"/>
  <c r="AC45" i="7"/>
  <c r="S45" i="7"/>
  <c r="M45" i="7"/>
  <c r="AC44" i="7"/>
  <c r="S44" i="7"/>
  <c r="M44" i="7"/>
  <c r="AC43" i="7"/>
  <c r="S43" i="7"/>
  <c r="M43" i="7"/>
  <c r="AC42" i="7"/>
  <c r="S42" i="7"/>
  <c r="M42" i="7"/>
  <c r="AC40" i="7"/>
  <c r="S40" i="7"/>
  <c r="M40" i="7"/>
  <c r="AC39" i="7"/>
  <c r="S39" i="7"/>
  <c r="M39" i="7"/>
  <c r="AC38" i="7"/>
  <c r="S38" i="7"/>
  <c r="M38" i="7"/>
  <c r="AC37" i="7"/>
  <c r="S37" i="7"/>
  <c r="M37" i="7"/>
  <c r="AC36" i="7"/>
  <c r="S36" i="7"/>
  <c r="M36" i="7"/>
  <c r="AC35" i="7"/>
  <c r="S35" i="7"/>
  <c r="M35" i="7"/>
  <c r="AC34" i="7"/>
  <c r="S34" i="7"/>
  <c r="M34" i="7"/>
  <c r="AC33" i="7"/>
  <c r="S33" i="7"/>
  <c r="M33" i="7"/>
  <c r="AC32" i="7"/>
  <c r="S32" i="7"/>
  <c r="M32" i="7"/>
  <c r="AC31" i="7"/>
  <c r="S31" i="7"/>
  <c r="M31" i="7"/>
  <c r="AC30" i="7"/>
  <c r="S30" i="7"/>
  <c r="M30" i="7"/>
  <c r="AC29" i="7"/>
  <c r="S29" i="7"/>
  <c r="M29" i="7"/>
  <c r="AC28" i="7"/>
  <c r="S28" i="7"/>
  <c r="M28" i="7"/>
  <c r="AC27" i="7"/>
  <c r="S27" i="7"/>
  <c r="M27" i="7"/>
  <c r="AC26" i="7"/>
  <c r="S26" i="7"/>
  <c r="M26" i="7"/>
  <c r="AC25" i="7"/>
  <c r="S25" i="7"/>
  <c r="M25" i="7"/>
  <c r="AC24" i="7"/>
  <c r="S24" i="7"/>
  <c r="M24" i="7"/>
  <c r="AC23" i="7"/>
  <c r="S23" i="7"/>
  <c r="M23" i="7"/>
  <c r="AC22" i="7"/>
  <c r="S22" i="7"/>
  <c r="M22" i="7"/>
  <c r="AC21" i="7"/>
  <c r="S21" i="7"/>
  <c r="M21" i="7"/>
  <c r="AC20" i="7"/>
  <c r="S20" i="7"/>
  <c r="M20" i="7"/>
  <c r="AC19" i="7"/>
  <c r="S19" i="7"/>
  <c r="M19" i="7"/>
  <c r="AC18" i="7"/>
  <c r="S18" i="7"/>
  <c r="M18" i="7"/>
  <c r="AC17" i="7"/>
  <c r="S17" i="7"/>
  <c r="M17" i="7"/>
  <c r="AC16" i="7"/>
  <c r="S16" i="7"/>
  <c r="M16" i="7"/>
  <c r="AC15" i="7"/>
  <c r="S15" i="7"/>
  <c r="M15" i="7"/>
  <c r="AC14" i="7"/>
  <c r="S14" i="7"/>
  <c r="M14" i="7"/>
  <c r="F12" i="7"/>
  <c r="I26" i="5"/>
  <c r="J26" i="5" s="1"/>
  <c r="I25" i="5"/>
  <c r="I24" i="5"/>
  <c r="I23" i="5"/>
  <c r="I22" i="5"/>
  <c r="I21" i="5"/>
  <c r="I20" i="5"/>
  <c r="I19" i="5"/>
  <c r="I18" i="5"/>
  <c r="I17" i="5"/>
  <c r="I16" i="5"/>
  <c r="I15" i="5"/>
  <c r="I14" i="5"/>
  <c r="I13" i="5"/>
  <c r="I12" i="5"/>
  <c r="I11" i="5"/>
  <c r="I10" i="5"/>
  <c r="I9" i="5"/>
  <c r="K10" i="13"/>
  <c r="U40" i="3"/>
  <c r="O40" i="3"/>
  <c r="U38" i="3"/>
  <c r="O38" i="3"/>
  <c r="U37" i="3"/>
  <c r="O37" i="3"/>
  <c r="U36" i="3"/>
  <c r="O36" i="3"/>
  <c r="U35" i="3"/>
  <c r="O35" i="3"/>
  <c r="U34" i="3"/>
  <c r="O34" i="3"/>
  <c r="I20" i="39"/>
  <c r="K20" i="39" s="1"/>
  <c r="U33" i="3"/>
  <c r="O33" i="3"/>
  <c r="U32" i="3"/>
  <c r="O32" i="3"/>
  <c r="U31" i="3"/>
  <c r="O31" i="3"/>
  <c r="U30" i="3"/>
  <c r="O30" i="3"/>
  <c r="U29" i="3"/>
  <c r="O29" i="3"/>
  <c r="U28" i="3"/>
  <c r="O28" i="3"/>
  <c r="U27" i="3"/>
  <c r="O27" i="3"/>
  <c r="U26" i="3"/>
  <c r="O26" i="3"/>
  <c r="U25" i="3"/>
  <c r="O25" i="3"/>
  <c r="U24" i="3"/>
  <c r="O24" i="3"/>
  <c r="U23" i="3"/>
  <c r="O23" i="3"/>
  <c r="U22" i="3"/>
  <c r="O22" i="3"/>
  <c r="U21" i="3"/>
  <c r="O21" i="3"/>
  <c r="U20" i="3"/>
  <c r="O20" i="3"/>
  <c r="U19" i="3"/>
  <c r="O19" i="3"/>
  <c r="U18" i="3"/>
  <c r="O18" i="3"/>
  <c r="U17" i="3"/>
  <c r="O17" i="3"/>
  <c r="U16" i="3"/>
  <c r="O16" i="3"/>
  <c r="U15" i="3"/>
  <c r="O15" i="3"/>
  <c r="U14" i="3"/>
  <c r="O14" i="3"/>
  <c r="U13" i="3"/>
  <c r="O13" i="3"/>
  <c r="U12" i="3"/>
  <c r="O12" i="3"/>
  <c r="U11" i="3"/>
  <c r="O11" i="3"/>
  <c r="U10" i="3"/>
  <c r="O10" i="3"/>
  <c r="U9" i="3"/>
  <c r="O9" i="3"/>
  <c r="J24" i="39"/>
  <c r="D24" i="39"/>
  <c r="I22" i="39"/>
  <c r="K22" i="39" s="1"/>
  <c r="I18" i="39"/>
  <c r="K18" i="39" s="1"/>
  <c r="D8" i="39"/>
  <c r="J24" i="13"/>
  <c r="D24" i="13"/>
  <c r="H18" i="13"/>
  <c r="E10" i="13"/>
  <c r="K9" i="13"/>
  <c r="K8" i="13"/>
  <c r="K6" i="13"/>
  <c r="X55" i="1"/>
  <c r="X54" i="1"/>
  <c r="X53" i="1"/>
  <c r="X52" i="1"/>
  <c r="X47" i="1"/>
  <c r="X46" i="1"/>
  <c r="X45" i="1"/>
  <c r="X44" i="1"/>
  <c r="X43" i="1"/>
  <c r="X41" i="1"/>
  <c r="X40" i="1"/>
  <c r="X39" i="1"/>
  <c r="X38" i="1"/>
  <c r="X37" i="1"/>
  <c r="X33" i="1"/>
  <c r="X32" i="1"/>
  <c r="X31" i="1"/>
  <c r="X30" i="1"/>
  <c r="X29" i="1"/>
  <c r="X27" i="1"/>
  <c r="X26" i="1"/>
  <c r="X25" i="1"/>
  <c r="X24" i="1"/>
  <c r="X23" i="1"/>
  <c r="S19" i="1"/>
  <c r="Q19" i="1"/>
  <c r="O19" i="1"/>
  <c r="S18" i="1"/>
  <c r="Q18" i="1"/>
  <c r="O18" i="1"/>
  <c r="J18" i="1"/>
  <c r="E18" i="1"/>
  <c r="D18" i="1"/>
  <c r="J17" i="1"/>
  <c r="E17" i="1"/>
  <c r="D17" i="1"/>
  <c r="J16" i="1"/>
  <c r="E16" i="1"/>
  <c r="D16" i="1"/>
  <c r="J15" i="1"/>
  <c r="E15" i="1"/>
  <c r="D15" i="1"/>
  <c r="V14" i="1"/>
  <c r="P14" i="1"/>
  <c r="U13" i="1"/>
  <c r="W13" i="1" s="1"/>
  <c r="O13" i="1"/>
  <c r="Q13" i="1" s="1"/>
  <c r="U12" i="1"/>
  <c r="W12" i="1" s="1"/>
  <c r="O12" i="1"/>
  <c r="Q12" i="1" s="1"/>
  <c r="U11" i="1"/>
  <c r="W11" i="1" s="1"/>
  <c r="O11" i="1"/>
  <c r="C11" i="1"/>
  <c r="B11" i="1"/>
  <c r="E11" i="1" s="1"/>
  <c r="U10" i="1"/>
  <c r="W10" i="1" s="1"/>
  <c r="O10" i="1"/>
  <c r="Q10" i="1" s="1"/>
  <c r="E10" i="1"/>
  <c r="D10" i="1"/>
  <c r="U9" i="1"/>
  <c r="O9" i="1"/>
  <c r="Q9" i="1" s="1"/>
  <c r="C9" i="1"/>
  <c r="B9" i="1"/>
  <c r="E9" i="1" s="1"/>
  <c r="U8" i="1"/>
  <c r="W8" i="1" s="1"/>
  <c r="O8" i="1"/>
  <c r="Q8" i="1" s="1"/>
  <c r="E8" i="1"/>
  <c r="D8" i="1"/>
  <c r="U7" i="1"/>
  <c r="W7" i="1" s="1"/>
  <c r="O7" i="1"/>
  <c r="Q7" i="1" s="1"/>
  <c r="E7" i="1"/>
  <c r="D7" i="1"/>
  <c r="U6" i="1"/>
  <c r="W6" i="1" s="1"/>
  <c r="O6" i="1"/>
  <c r="Q6" i="1" s="1"/>
  <c r="E6" i="1"/>
  <c r="D6" i="1"/>
  <c r="M128" i="30" l="1"/>
  <c r="L128" i="30"/>
  <c r="K9" i="5"/>
  <c r="X48" i="1"/>
  <c r="V48" i="1" s="1"/>
  <c r="X34" i="1"/>
  <c r="V34" i="1" s="1"/>
  <c r="X42" i="1"/>
  <c r="V42" i="1" s="1"/>
  <c r="I7" i="13"/>
  <c r="AH13" i="6"/>
  <c r="X13" i="6"/>
  <c r="L13" i="6"/>
  <c r="P13" i="6"/>
  <c r="AF13" i="6"/>
  <c r="Z13" i="6"/>
  <c r="AL13" i="6"/>
  <c r="AJ13" i="6"/>
  <c r="V13" i="6"/>
  <c r="J13" i="6"/>
  <c r="N13" i="6"/>
  <c r="AD13" i="6"/>
  <c r="T13" i="6"/>
  <c r="AH11" i="6"/>
  <c r="AJ11" i="6"/>
  <c r="V11" i="6"/>
  <c r="J11" i="6"/>
  <c r="AF11" i="6"/>
  <c r="Z11" i="6"/>
  <c r="AL11" i="6"/>
  <c r="X11" i="6"/>
  <c r="L11" i="6"/>
  <c r="P11" i="6"/>
  <c r="AD11" i="6"/>
  <c r="N11" i="6"/>
  <c r="T11" i="6"/>
  <c r="AL12" i="6"/>
  <c r="X12" i="6"/>
  <c r="L12" i="6"/>
  <c r="AF12" i="6"/>
  <c r="AJ12" i="6"/>
  <c r="V12" i="6"/>
  <c r="P12" i="6"/>
  <c r="J12" i="6"/>
  <c r="AH12" i="6"/>
  <c r="Z12" i="6"/>
  <c r="AD12" i="6"/>
  <c r="N12" i="6"/>
  <c r="T12" i="6"/>
  <c r="F22" i="7"/>
  <c r="AH22" i="7" s="1"/>
  <c r="AH12" i="7"/>
  <c r="AB12" i="7"/>
  <c r="AF12" i="7"/>
  <c r="Z12" i="7"/>
  <c r="AL12" i="7"/>
  <c r="X12" i="7"/>
  <c r="R12" i="7"/>
  <c r="L12" i="7"/>
  <c r="AJ12" i="7"/>
  <c r="V12" i="7"/>
  <c r="P12" i="7"/>
  <c r="J12" i="7"/>
  <c r="AD12" i="7"/>
  <c r="T12" i="7"/>
  <c r="N12" i="7"/>
  <c r="X28" i="1"/>
  <c r="V28" i="1" s="1"/>
  <c r="D11" i="1"/>
  <c r="F45" i="6"/>
  <c r="AH45" i="6" s="1"/>
  <c r="O14" i="1"/>
  <c r="B23" i="13"/>
  <c r="C23" i="13" s="1"/>
  <c r="E23" i="13" s="1"/>
  <c r="F30" i="7"/>
  <c r="AH30" i="7" s="1"/>
  <c r="F27" i="6"/>
  <c r="AH27" i="6" s="1"/>
  <c r="F30" i="6"/>
  <c r="AF30" i="6" s="1"/>
  <c r="U14" i="1"/>
  <c r="F34" i="6"/>
  <c r="AF34" i="6" s="1"/>
  <c r="K228" i="33"/>
  <c r="H17" i="13"/>
  <c r="K133" i="32"/>
  <c r="I128" i="31"/>
  <c r="W9" i="1"/>
  <c r="Q11" i="1"/>
  <c r="J19" i="5"/>
  <c r="F44" i="6"/>
  <c r="AF44" i="6" s="1"/>
  <c r="J220" i="33"/>
  <c r="J232" i="33"/>
  <c r="J227" i="33"/>
  <c r="J239" i="33"/>
  <c r="K128" i="30"/>
  <c r="I221" i="33"/>
  <c r="I225" i="33"/>
  <c r="I233" i="33"/>
  <c r="I229" i="33"/>
  <c r="J131" i="32"/>
  <c r="J135" i="32"/>
  <c r="AZ20" i="31"/>
  <c r="J221" i="33"/>
  <c r="J225" i="33"/>
  <c r="J229" i="33"/>
  <c r="J233" i="33"/>
  <c r="J130" i="30"/>
  <c r="K221" i="33"/>
  <c r="K225" i="33"/>
  <c r="K229" i="33"/>
  <c r="K233" i="33"/>
  <c r="K237" i="33"/>
  <c r="K240" i="33"/>
  <c r="F35" i="6"/>
  <c r="AF35" i="6" s="1"/>
  <c r="K130" i="30"/>
  <c r="I128" i="32"/>
  <c r="I132" i="32"/>
  <c r="I218" i="33"/>
  <c r="I222" i="33"/>
  <c r="I226" i="33"/>
  <c r="I230" i="33"/>
  <c r="I234" i="33"/>
  <c r="I238" i="33"/>
  <c r="J128" i="32"/>
  <c r="J218" i="33"/>
  <c r="J226" i="33"/>
  <c r="J238" i="33"/>
  <c r="F34" i="7"/>
  <c r="AH34" i="7" s="1"/>
  <c r="F24" i="7"/>
  <c r="AD24" i="7" s="1"/>
  <c r="F28" i="7"/>
  <c r="AD28" i="7" s="1"/>
  <c r="D9" i="1"/>
  <c r="F32" i="7"/>
  <c r="AD32" i="7" s="1"/>
  <c r="K128" i="32"/>
  <c r="K132" i="32"/>
  <c r="K222" i="33"/>
  <c r="K226" i="33"/>
  <c r="K230" i="33"/>
  <c r="K234" i="33"/>
  <c r="K238" i="33"/>
  <c r="I241" i="33"/>
  <c r="AD45" i="6"/>
  <c r="I137" i="32"/>
  <c r="J241" i="33"/>
  <c r="F18" i="7"/>
  <c r="AB18" i="7" s="1"/>
  <c r="I131" i="32"/>
  <c r="F44" i="7"/>
  <c r="AH44" i="7" s="1"/>
  <c r="F17" i="6"/>
  <c r="L17" i="6" s="1"/>
  <c r="F23" i="6"/>
  <c r="V23" i="6" s="1"/>
  <c r="F26" i="6"/>
  <c r="AD26" i="6" s="1"/>
  <c r="F40" i="6"/>
  <c r="AJ40" i="6" s="1"/>
  <c r="J129" i="32"/>
  <c r="J133" i="32"/>
  <c r="J137" i="32"/>
  <c r="J219" i="33"/>
  <c r="J223" i="33"/>
  <c r="J231" i="33"/>
  <c r="H21" i="13"/>
  <c r="K128" i="37"/>
  <c r="K133" i="37"/>
  <c r="K129" i="37"/>
  <c r="K132" i="37"/>
  <c r="K129" i="36"/>
  <c r="K128" i="36"/>
  <c r="K129" i="35"/>
  <c r="K133" i="35"/>
  <c r="K128" i="35"/>
  <c r="K134" i="35"/>
  <c r="K132" i="34"/>
  <c r="K134" i="34"/>
  <c r="K128" i="34"/>
  <c r="K130" i="34"/>
  <c r="I237" i="33"/>
  <c r="J235" i="33"/>
  <c r="J237" i="33"/>
  <c r="K241" i="33"/>
  <c r="K128" i="31"/>
  <c r="M135" i="31" s="1"/>
  <c r="J136" i="32"/>
  <c r="K136" i="32"/>
  <c r="I130" i="30"/>
  <c r="K131" i="30"/>
  <c r="I131" i="30"/>
  <c r="I133" i="30"/>
  <c r="K224" i="8"/>
  <c r="M228" i="8" s="1"/>
  <c r="K7" i="39"/>
  <c r="J12" i="5"/>
  <c r="B22" i="13"/>
  <c r="C22" i="13" s="1"/>
  <c r="E22" i="13" s="1"/>
  <c r="B21" i="13"/>
  <c r="C21" i="13" s="1"/>
  <c r="E21" i="13" s="1"/>
  <c r="B18" i="13"/>
  <c r="C18" i="13" s="1"/>
  <c r="E18" i="13" s="1"/>
  <c r="F16" i="7"/>
  <c r="AH16" i="7" s="1"/>
  <c r="F20" i="7"/>
  <c r="T20" i="7" s="1"/>
  <c r="F26" i="7"/>
  <c r="AH26" i="7" s="1"/>
  <c r="F15" i="6"/>
  <c r="AH15" i="6" s="1"/>
  <c r="F18" i="6"/>
  <c r="AH18" i="6" s="1"/>
  <c r="AD19" i="6"/>
  <c r="B17" i="13"/>
  <c r="C17" i="13" s="1"/>
  <c r="E17" i="13" s="1"/>
  <c r="F14" i="7"/>
  <c r="F13" i="7"/>
  <c r="F11" i="7"/>
  <c r="F15" i="7"/>
  <c r="F19" i="7"/>
  <c r="N19" i="7" s="1"/>
  <c r="F23" i="7"/>
  <c r="N23" i="7" s="1"/>
  <c r="F27" i="7"/>
  <c r="N27" i="7" s="1"/>
  <c r="F31" i="7"/>
  <c r="AD31" i="7" s="1"/>
  <c r="F35" i="7"/>
  <c r="T35" i="7" s="1"/>
  <c r="F45" i="7"/>
  <c r="N45" i="7" s="1"/>
  <c r="F17" i="7"/>
  <c r="T17" i="7" s="1"/>
  <c r="F21" i="7"/>
  <c r="T21" i="7" s="1"/>
  <c r="V22" i="7"/>
  <c r="F25" i="7"/>
  <c r="AD25" i="7" s="1"/>
  <c r="F29" i="7"/>
  <c r="AD29" i="7" s="1"/>
  <c r="F33" i="7"/>
  <c r="AD33" i="7" s="1"/>
  <c r="AC46" i="7"/>
  <c r="B19" i="13" s="1"/>
  <c r="C19" i="13" s="1"/>
  <c r="E19" i="13" s="1"/>
  <c r="F43" i="7"/>
  <c r="N43" i="7" s="1"/>
  <c r="AH19" i="6"/>
  <c r="AJ19" i="6"/>
  <c r="X19" i="6"/>
  <c r="P19" i="6"/>
  <c r="J19" i="6"/>
  <c r="V19" i="6"/>
  <c r="L19" i="6"/>
  <c r="AL19" i="6"/>
  <c r="J26" i="6"/>
  <c r="AJ27" i="6"/>
  <c r="P45" i="6"/>
  <c r="AJ45" i="6"/>
  <c r="AL27" i="6"/>
  <c r="J45" i="6"/>
  <c r="AL45" i="6"/>
  <c r="H23" i="13"/>
  <c r="N19" i="6"/>
  <c r="F21" i="6"/>
  <c r="L21" i="6" s="1"/>
  <c r="L27" i="6"/>
  <c r="F31" i="6"/>
  <c r="N31" i="6" s="1"/>
  <c r="L45" i="6"/>
  <c r="X45" i="6"/>
  <c r="V27" i="6"/>
  <c r="N45" i="6"/>
  <c r="V45" i="6"/>
  <c r="F20" i="6"/>
  <c r="N20" i="6" s="1"/>
  <c r="N22" i="6"/>
  <c r="T22" i="6"/>
  <c r="T25" i="6"/>
  <c r="AF25" i="6"/>
  <c r="AL17" i="6"/>
  <c r="AF22" i="6"/>
  <c r="Z22" i="6"/>
  <c r="AL22" i="6"/>
  <c r="AD22" i="6"/>
  <c r="X22" i="6"/>
  <c r="L22" i="6"/>
  <c r="P22" i="6"/>
  <c r="V22" i="6"/>
  <c r="AJ22" i="6"/>
  <c r="F24" i="6"/>
  <c r="N24" i="6" s="1"/>
  <c r="N25" i="6"/>
  <c r="Z25" i="6"/>
  <c r="F14" i="6"/>
  <c r="H11" i="6" s="1"/>
  <c r="J22" i="6"/>
  <c r="F29" i="6"/>
  <c r="F16" i="6"/>
  <c r="N16" i="6" s="1"/>
  <c r="AL25" i="6"/>
  <c r="AD25" i="6"/>
  <c r="X25" i="6"/>
  <c r="L25" i="6"/>
  <c r="AJ25" i="6"/>
  <c r="V25" i="6"/>
  <c r="P25" i="6"/>
  <c r="J25" i="6"/>
  <c r="N44" i="6"/>
  <c r="T44" i="6"/>
  <c r="AH44" i="6"/>
  <c r="F33" i="6"/>
  <c r="F43" i="6"/>
  <c r="J44" i="6"/>
  <c r="P44" i="6"/>
  <c r="V44" i="6"/>
  <c r="AJ44" i="6"/>
  <c r="Z19" i="6"/>
  <c r="AF19" i="6"/>
  <c r="Z27" i="6"/>
  <c r="AF27" i="6"/>
  <c r="F28" i="6"/>
  <c r="N28" i="6" s="1"/>
  <c r="F32" i="6"/>
  <c r="N32" i="6" s="1"/>
  <c r="L44" i="6"/>
  <c r="X44" i="6"/>
  <c r="AD44" i="6"/>
  <c r="AL44" i="6"/>
  <c r="Z45" i="6"/>
  <c r="AF45" i="6"/>
  <c r="T19" i="6"/>
  <c r="T27" i="6"/>
  <c r="Z44" i="6"/>
  <c r="T45" i="6"/>
  <c r="L67" i="31"/>
  <c r="M68" i="31"/>
  <c r="M69" i="31"/>
  <c r="M70" i="31"/>
  <c r="M71" i="31"/>
  <c r="M72" i="31"/>
  <c r="M73" i="31"/>
  <c r="M74" i="31"/>
  <c r="M75" i="31"/>
  <c r="M76" i="31"/>
  <c r="M77" i="31"/>
  <c r="M78" i="31"/>
  <c r="M79" i="31"/>
  <c r="M80" i="31"/>
  <c r="M81" i="31"/>
  <c r="M101" i="31"/>
  <c r="M118" i="31"/>
  <c r="M114" i="31"/>
  <c r="M110" i="31"/>
  <c r="M121" i="31"/>
  <c r="M117" i="31"/>
  <c r="M113" i="31"/>
  <c r="M109" i="31"/>
  <c r="M120" i="31"/>
  <c r="M116" i="31"/>
  <c r="M112" i="31"/>
  <c r="M119" i="31"/>
  <c r="M115" i="31"/>
  <c r="M111" i="31"/>
  <c r="J128" i="31"/>
  <c r="P42" i="32"/>
  <c r="U22" i="32"/>
  <c r="Z22" i="32" s="1"/>
  <c r="AE22" i="32" s="1"/>
  <c r="AJ22" i="32" s="1"/>
  <c r="AO22" i="32" s="1"/>
  <c r="AT22" i="32" s="1"/>
  <c r="U22" i="30"/>
  <c r="Z22" i="30" s="1"/>
  <c r="AE22" i="30" s="1"/>
  <c r="AJ22" i="30" s="1"/>
  <c r="AO22" i="30" s="1"/>
  <c r="AT22" i="30" s="1"/>
  <c r="P42" i="30"/>
  <c r="D10" i="39"/>
  <c r="K11" i="13"/>
  <c r="AC46" i="6"/>
  <c r="AC47" i="6" s="1"/>
  <c r="S46" i="6"/>
  <c r="S47" i="6" s="1"/>
  <c r="H16" i="13" s="1"/>
  <c r="F38" i="6"/>
  <c r="AH38" i="6" s="1"/>
  <c r="M46" i="6"/>
  <c r="M47" i="6" s="1"/>
  <c r="F37" i="6"/>
  <c r="N37" i="6" s="1"/>
  <c r="F39" i="6"/>
  <c r="N39" i="6" s="1"/>
  <c r="F42" i="7"/>
  <c r="AH42" i="7" s="1"/>
  <c r="S46" i="7"/>
  <c r="S47" i="7" s="1"/>
  <c r="F38" i="7"/>
  <c r="AH38" i="7" s="1"/>
  <c r="F37" i="7"/>
  <c r="N37" i="7" s="1"/>
  <c r="M46" i="7"/>
  <c r="B15" i="13" s="1"/>
  <c r="C15" i="13" s="1"/>
  <c r="F40" i="7"/>
  <c r="F39" i="7"/>
  <c r="N39" i="7" s="1"/>
  <c r="I17" i="39"/>
  <c r="K17" i="39" s="1"/>
  <c r="I21" i="39"/>
  <c r="K21" i="39" s="1"/>
  <c r="D7" i="39"/>
  <c r="I15" i="39"/>
  <c r="I19" i="39"/>
  <c r="K19" i="39" s="1"/>
  <c r="I23" i="39"/>
  <c r="K23" i="39" s="1"/>
  <c r="I16" i="39"/>
  <c r="K16" i="39" s="1"/>
  <c r="D9" i="39"/>
  <c r="H22" i="13"/>
  <c r="AE47" i="6"/>
  <c r="F36" i="6"/>
  <c r="AL36" i="6" s="1"/>
  <c r="B20" i="13"/>
  <c r="C20" i="13" s="1"/>
  <c r="E20" i="13" s="1"/>
  <c r="F36" i="7"/>
  <c r="AL36" i="7" s="1"/>
  <c r="D6" i="13"/>
  <c r="E6" i="13"/>
  <c r="P72" i="8"/>
  <c r="U37" i="8"/>
  <c r="Z37" i="8" s="1"/>
  <c r="AE37" i="8" s="1"/>
  <c r="AJ37" i="8" s="1"/>
  <c r="AO37" i="8" s="1"/>
  <c r="AT37" i="8" s="1"/>
  <c r="D10" i="13"/>
  <c r="D11" i="39"/>
  <c r="B36" i="39"/>
  <c r="B35" i="39"/>
  <c r="B34" i="39"/>
  <c r="B33" i="39"/>
  <c r="B32" i="39"/>
  <c r="M88" i="31"/>
  <c r="M89" i="31"/>
  <c r="M90" i="31"/>
  <c r="M91" i="31"/>
  <c r="M92" i="31"/>
  <c r="M93" i="31"/>
  <c r="M94" i="31"/>
  <c r="L87" i="31"/>
  <c r="B31" i="39" s="1"/>
  <c r="M87" i="31"/>
  <c r="M95" i="31"/>
  <c r="M96" i="31"/>
  <c r="M97" i="31"/>
  <c r="M98" i="31"/>
  <c r="M99" i="31"/>
  <c r="M100" i="31"/>
  <c r="B30" i="39"/>
  <c r="B29" i="39"/>
  <c r="B28" i="39"/>
  <c r="M130" i="36" l="1"/>
  <c r="H11" i="7"/>
  <c r="M134" i="35"/>
  <c r="M242" i="33"/>
  <c r="M132" i="30"/>
  <c r="M136" i="30"/>
  <c r="N34" i="6"/>
  <c r="T30" i="6"/>
  <c r="Z17" i="6"/>
  <c r="M135" i="32"/>
  <c r="AL40" i="6"/>
  <c r="N35" i="6"/>
  <c r="AD30" i="6"/>
  <c r="V30" i="6"/>
  <c r="AB22" i="7"/>
  <c r="J22" i="7"/>
  <c r="N22" i="7"/>
  <c r="Z22" i="7"/>
  <c r="AL22" i="7"/>
  <c r="P22" i="7"/>
  <c r="AF22" i="7"/>
  <c r="L22" i="7"/>
  <c r="R22" i="7"/>
  <c r="AJ22" i="7"/>
  <c r="X22" i="7"/>
  <c r="AD22" i="7"/>
  <c r="X23" i="6"/>
  <c r="AD23" i="6"/>
  <c r="AF23" i="6"/>
  <c r="P23" i="6"/>
  <c r="AH23" i="6"/>
  <c r="AJ23" i="6"/>
  <c r="X27" i="6"/>
  <c r="AD27" i="6"/>
  <c r="N27" i="6"/>
  <c r="J27" i="6"/>
  <c r="P27" i="6"/>
  <c r="P18" i="7"/>
  <c r="V18" i="7"/>
  <c r="AL18" i="7"/>
  <c r="Z18" i="7"/>
  <c r="AH18" i="7"/>
  <c r="AH14" i="7"/>
  <c r="J17" i="6"/>
  <c r="P17" i="6"/>
  <c r="X17" i="6"/>
  <c r="N14" i="6"/>
  <c r="Z30" i="6"/>
  <c r="X30" i="6"/>
  <c r="P30" i="6"/>
  <c r="N30" i="6"/>
  <c r="AJ26" i="6"/>
  <c r="L30" i="6"/>
  <c r="J30" i="6"/>
  <c r="Z26" i="6"/>
  <c r="AL30" i="6"/>
  <c r="AJ30" i="6"/>
  <c r="AH30" i="6"/>
  <c r="AF26" i="6"/>
  <c r="T18" i="7"/>
  <c r="R34" i="7"/>
  <c r="J18" i="7"/>
  <c r="T22" i="7"/>
  <c r="N18" i="7"/>
  <c r="AF18" i="7"/>
  <c r="R18" i="7"/>
  <c r="N30" i="7"/>
  <c r="X18" i="7"/>
  <c r="AD18" i="7"/>
  <c r="AJ18" i="7"/>
  <c r="L18" i="7"/>
  <c r="J34" i="7"/>
  <c r="AL13" i="7"/>
  <c r="X13" i="7"/>
  <c r="R13" i="7"/>
  <c r="L13" i="7"/>
  <c r="AJ13" i="7"/>
  <c r="V13" i="7"/>
  <c r="P13" i="7"/>
  <c r="J13" i="7"/>
  <c r="AH13" i="7"/>
  <c r="AB13" i="7"/>
  <c r="AF13" i="7"/>
  <c r="Z13" i="7"/>
  <c r="AD13" i="7"/>
  <c r="T13" i="7"/>
  <c r="N13" i="7"/>
  <c r="AL11" i="7"/>
  <c r="X11" i="7"/>
  <c r="R11" i="7"/>
  <c r="L11" i="7"/>
  <c r="AJ11" i="7"/>
  <c r="V11" i="7"/>
  <c r="P11" i="7"/>
  <c r="J11" i="7"/>
  <c r="AH11" i="7"/>
  <c r="AB11" i="7"/>
  <c r="AF11" i="7"/>
  <c r="Z11" i="7"/>
  <c r="N11" i="7"/>
  <c r="AD11" i="7"/>
  <c r="T11" i="7"/>
  <c r="T35" i="6"/>
  <c r="AL34" i="7"/>
  <c r="J30" i="7"/>
  <c r="L30" i="7"/>
  <c r="X30" i="7"/>
  <c r="Z28" i="7"/>
  <c r="AB34" i="7"/>
  <c r="V34" i="7"/>
  <c r="AB30" i="7"/>
  <c r="L28" i="7"/>
  <c r="AL30" i="7"/>
  <c r="X28" i="7"/>
  <c r="R30" i="7"/>
  <c r="P30" i="7"/>
  <c r="V30" i="7"/>
  <c r="AJ30" i="7"/>
  <c r="Z30" i="7"/>
  <c r="L34" i="7"/>
  <c r="P34" i="7"/>
  <c r="AF30" i="7"/>
  <c r="X34" i="7"/>
  <c r="AH28" i="7"/>
  <c r="AF34" i="7"/>
  <c r="N34" i="7"/>
  <c r="AD34" i="7"/>
  <c r="N28" i="7"/>
  <c r="T34" i="7"/>
  <c r="T28" i="7"/>
  <c r="R32" i="7"/>
  <c r="AD30" i="7"/>
  <c r="T30" i="7"/>
  <c r="AL28" i="7"/>
  <c r="AB28" i="7"/>
  <c r="R28" i="7"/>
  <c r="L32" i="7"/>
  <c r="T32" i="7"/>
  <c r="AB32" i="7"/>
  <c r="Z32" i="7"/>
  <c r="AF28" i="7"/>
  <c r="AF32" i="7"/>
  <c r="J28" i="7"/>
  <c r="AH32" i="7"/>
  <c r="J32" i="7"/>
  <c r="P28" i="7"/>
  <c r="X32" i="7"/>
  <c r="P32" i="7"/>
  <c r="V28" i="7"/>
  <c r="N32" i="7"/>
  <c r="V32" i="7"/>
  <c r="AJ28" i="7"/>
  <c r="AD42" i="7"/>
  <c r="AH40" i="6"/>
  <c r="AZ18" i="30"/>
  <c r="P26" i="6"/>
  <c r="X35" i="6"/>
  <c r="J35" i="6"/>
  <c r="R44" i="7"/>
  <c r="AF40" i="6"/>
  <c r="AZ14" i="30"/>
  <c r="L26" i="6"/>
  <c r="L44" i="7"/>
  <c r="Z44" i="7"/>
  <c r="Z40" i="6"/>
  <c r="AZ27" i="33"/>
  <c r="X26" i="6"/>
  <c r="V44" i="7"/>
  <c r="T31" i="7"/>
  <c r="AL26" i="6"/>
  <c r="L35" i="6"/>
  <c r="N26" i="6"/>
  <c r="P40" i="6"/>
  <c r="L40" i="6"/>
  <c r="Z35" i="6"/>
  <c r="AJ35" i="6"/>
  <c r="V40" i="6"/>
  <c r="X40" i="6"/>
  <c r="J40" i="6"/>
  <c r="AD40" i="6"/>
  <c r="AH35" i="6"/>
  <c r="V35" i="6"/>
  <c r="P35" i="6"/>
  <c r="T40" i="6"/>
  <c r="N40" i="6"/>
  <c r="V26" i="6"/>
  <c r="AL35" i="6"/>
  <c r="AH26" i="6"/>
  <c r="AB44" i="7"/>
  <c r="AJ34" i="7"/>
  <c r="Z31" i="6"/>
  <c r="AD34" i="6"/>
  <c r="P34" i="6"/>
  <c r="AJ34" i="6"/>
  <c r="Z34" i="6"/>
  <c r="L34" i="6"/>
  <c r="AH34" i="6"/>
  <c r="AL34" i="6"/>
  <c r="J34" i="6"/>
  <c r="X34" i="6"/>
  <c r="V34" i="6"/>
  <c r="T34" i="6"/>
  <c r="C1" i="37"/>
  <c r="B36" i="13" s="1"/>
  <c r="X26" i="7"/>
  <c r="T24" i="7"/>
  <c r="X24" i="7"/>
  <c r="L24" i="7"/>
  <c r="AH24" i="7"/>
  <c r="N24" i="7"/>
  <c r="J26" i="7"/>
  <c r="AB24" i="7"/>
  <c r="R24" i="7"/>
  <c r="AL24" i="7"/>
  <c r="Z24" i="7"/>
  <c r="AF24" i="7"/>
  <c r="J24" i="7"/>
  <c r="P24" i="7"/>
  <c r="V24" i="7"/>
  <c r="AJ24" i="7"/>
  <c r="T31" i="6"/>
  <c r="L16" i="7"/>
  <c r="AH17" i="6"/>
  <c r="AD17" i="6"/>
  <c r="L23" i="6"/>
  <c r="AD43" i="7"/>
  <c r="AJ44" i="7"/>
  <c r="AB26" i="7"/>
  <c r="T26" i="7"/>
  <c r="AZ18" i="33"/>
  <c r="AZ10" i="33"/>
  <c r="AZ17" i="30"/>
  <c r="AZ15" i="30"/>
  <c r="AZ9" i="31"/>
  <c r="AZ30" i="33"/>
  <c r="AZ22" i="33"/>
  <c r="AZ21" i="31"/>
  <c r="N42" i="7"/>
  <c r="M140" i="30"/>
  <c r="M133" i="30"/>
  <c r="T23" i="6"/>
  <c r="Z23" i="6"/>
  <c r="N17" i="6"/>
  <c r="T26" i="6"/>
  <c r="AD31" i="6"/>
  <c r="V26" i="7"/>
  <c r="AL32" i="7"/>
  <c r="AZ11" i="33"/>
  <c r="AZ34" i="33"/>
  <c r="AZ19" i="30"/>
  <c r="AZ10" i="31"/>
  <c r="AB42" i="7"/>
  <c r="M134" i="30"/>
  <c r="T38" i="7"/>
  <c r="M138" i="30"/>
  <c r="M131" i="30"/>
  <c r="AF17" i="6"/>
  <c r="T45" i="7"/>
  <c r="Z26" i="7"/>
  <c r="X44" i="7"/>
  <c r="AZ19" i="33"/>
  <c r="AZ35" i="33"/>
  <c r="AZ8" i="30"/>
  <c r="AZ11" i="31"/>
  <c r="M141" i="30"/>
  <c r="AZ34" i="8"/>
  <c r="AZ30" i="8"/>
  <c r="AZ24" i="8"/>
  <c r="AZ22" i="8"/>
  <c r="AZ29" i="8"/>
  <c r="AZ12" i="8"/>
  <c r="AZ10" i="8"/>
  <c r="AZ17" i="8"/>
  <c r="AZ35" i="8"/>
  <c r="AZ18" i="8"/>
  <c r="AZ28" i="8"/>
  <c r="AZ23" i="8"/>
  <c r="AZ7" i="8"/>
  <c r="AZ33" i="8"/>
  <c r="AZ16" i="8"/>
  <c r="AZ11" i="8"/>
  <c r="AZ21" i="8"/>
  <c r="AZ27" i="8"/>
  <c r="AZ9" i="8"/>
  <c r="AZ15" i="8"/>
  <c r="AZ32" i="8"/>
  <c r="AZ26" i="8"/>
  <c r="AZ20" i="8"/>
  <c r="AZ14" i="8"/>
  <c r="AZ8" i="8"/>
  <c r="AZ25" i="8"/>
  <c r="AZ19" i="8"/>
  <c r="AZ31" i="8"/>
  <c r="AZ13" i="8"/>
  <c r="M142" i="30"/>
  <c r="M129" i="30"/>
  <c r="AF31" i="6"/>
  <c r="T17" i="6"/>
  <c r="N23" i="6"/>
  <c r="AL44" i="7"/>
  <c r="N44" i="7"/>
  <c r="AZ31" i="33"/>
  <c r="AZ12" i="33"/>
  <c r="AZ20" i="30"/>
  <c r="AZ12" i="31"/>
  <c r="AZ8" i="33"/>
  <c r="AZ24" i="33"/>
  <c r="AZ9" i="30"/>
  <c r="AZ13" i="31"/>
  <c r="AZ20" i="33"/>
  <c r="AZ13" i="33"/>
  <c r="AZ21" i="30"/>
  <c r="AZ15" i="31"/>
  <c r="X38" i="7"/>
  <c r="AZ32" i="33"/>
  <c r="AZ25" i="33"/>
  <c r="AZ11" i="30"/>
  <c r="AZ14" i="31"/>
  <c r="AD35" i="6"/>
  <c r="M135" i="30"/>
  <c r="V17" i="6"/>
  <c r="J23" i="6"/>
  <c r="AF44" i="7"/>
  <c r="AZ16" i="33"/>
  <c r="AZ9" i="33"/>
  <c r="AZ14" i="33"/>
  <c r="AZ10" i="30"/>
  <c r="AZ7" i="31"/>
  <c r="AZ16" i="31"/>
  <c r="AZ28" i="33"/>
  <c r="AZ21" i="33"/>
  <c r="AZ26" i="33"/>
  <c r="AZ12" i="30"/>
  <c r="AZ19" i="31"/>
  <c r="AZ17" i="31"/>
  <c r="M139" i="30"/>
  <c r="M137" i="30"/>
  <c r="M130" i="30"/>
  <c r="AJ17" i="6"/>
  <c r="AL23" i="6"/>
  <c r="J44" i="7"/>
  <c r="AD44" i="7"/>
  <c r="C1" i="34"/>
  <c r="L26" i="7"/>
  <c r="P44" i="7"/>
  <c r="Z34" i="7"/>
  <c r="T44" i="7"/>
  <c r="AJ32" i="7"/>
  <c r="AZ17" i="33"/>
  <c r="AZ33" i="33"/>
  <c r="AZ15" i="33"/>
  <c r="AZ7" i="30"/>
  <c r="AZ13" i="30"/>
  <c r="AZ8" i="31"/>
  <c r="AZ18" i="31"/>
  <c r="AZ7" i="33"/>
  <c r="AZ29" i="33"/>
  <c r="AZ23" i="33"/>
  <c r="AZ16" i="30"/>
  <c r="K15" i="39"/>
  <c r="I24" i="39"/>
  <c r="L18" i="6"/>
  <c r="AF18" i="6"/>
  <c r="AJ18" i="6"/>
  <c r="X18" i="6"/>
  <c r="Z18" i="6"/>
  <c r="V21" i="6"/>
  <c r="T21" i="6"/>
  <c r="J15" i="6"/>
  <c r="AD21" i="6"/>
  <c r="N21" i="6"/>
  <c r="AH21" i="6"/>
  <c r="P21" i="6"/>
  <c r="X21" i="6"/>
  <c r="AF21" i="6"/>
  <c r="AJ21" i="6"/>
  <c r="AL21" i="6"/>
  <c r="Z21" i="6"/>
  <c r="J21" i="6"/>
  <c r="M130" i="37"/>
  <c r="M133" i="37"/>
  <c r="M129" i="37"/>
  <c r="M142" i="37"/>
  <c r="M134" i="37"/>
  <c r="M136" i="37"/>
  <c r="M140" i="37"/>
  <c r="M135" i="37"/>
  <c r="M137" i="37"/>
  <c r="M138" i="37"/>
  <c r="M139" i="37"/>
  <c r="L128" i="37"/>
  <c r="M128" i="37"/>
  <c r="M141" i="37"/>
  <c r="M132" i="37"/>
  <c r="M131" i="37"/>
  <c r="M131" i="36"/>
  <c r="M132" i="36"/>
  <c r="M129" i="36"/>
  <c r="M141" i="36"/>
  <c r="M138" i="36"/>
  <c r="M134" i="36"/>
  <c r="M137" i="36"/>
  <c r="M136" i="36"/>
  <c r="M133" i="36"/>
  <c r="M140" i="36"/>
  <c r="M139" i="36"/>
  <c r="M128" i="36"/>
  <c r="L128" i="36"/>
  <c r="M142" i="36"/>
  <c r="M135" i="36"/>
  <c r="M132" i="35"/>
  <c r="M133" i="35"/>
  <c r="M136" i="35"/>
  <c r="M140" i="35"/>
  <c r="M128" i="35"/>
  <c r="M142" i="35"/>
  <c r="M138" i="35"/>
  <c r="M141" i="35"/>
  <c r="M131" i="35"/>
  <c r="M137" i="35"/>
  <c r="M139" i="35"/>
  <c r="L128" i="35"/>
  <c r="M130" i="35"/>
  <c r="M129" i="35"/>
  <c r="M135" i="35"/>
  <c r="M134" i="34"/>
  <c r="M130" i="34"/>
  <c r="M133" i="34"/>
  <c r="M132" i="34"/>
  <c r="M141" i="34"/>
  <c r="M128" i="34"/>
  <c r="M135" i="34"/>
  <c r="M139" i="34"/>
  <c r="M142" i="34"/>
  <c r="M138" i="34"/>
  <c r="M140" i="34"/>
  <c r="M137" i="34"/>
  <c r="M136" i="34"/>
  <c r="L128" i="34"/>
  <c r="M131" i="34"/>
  <c r="M129" i="34"/>
  <c r="M236" i="33"/>
  <c r="M219" i="33"/>
  <c r="M227" i="33"/>
  <c r="M240" i="33"/>
  <c r="M234" i="33"/>
  <c r="M225" i="33"/>
  <c r="M229" i="33"/>
  <c r="M220" i="33"/>
  <c r="L218" i="33"/>
  <c r="M247" i="33"/>
  <c r="M228" i="33"/>
  <c r="M231" i="33"/>
  <c r="M246" i="33"/>
  <c r="M241" i="33"/>
  <c r="M238" i="33"/>
  <c r="M232" i="33"/>
  <c r="M223" i="33"/>
  <c r="M235" i="33"/>
  <c r="M226" i="33"/>
  <c r="M244" i="33"/>
  <c r="M243" i="33"/>
  <c r="M245" i="33"/>
  <c r="M222" i="33"/>
  <c r="M237" i="33"/>
  <c r="M230" i="33"/>
  <c r="M221" i="33"/>
  <c r="M233" i="33"/>
  <c r="M224" i="33"/>
  <c r="M218" i="33"/>
  <c r="M239" i="33"/>
  <c r="M138" i="31"/>
  <c r="M139" i="31"/>
  <c r="M136" i="31"/>
  <c r="M137" i="31"/>
  <c r="M140" i="31"/>
  <c r="M141" i="31"/>
  <c r="L128" i="31"/>
  <c r="M142" i="31"/>
  <c r="M128" i="31"/>
  <c r="M129" i="31"/>
  <c r="M130" i="31"/>
  <c r="M131" i="31"/>
  <c r="M132" i="31"/>
  <c r="M133" i="31"/>
  <c r="M134" i="31"/>
  <c r="M137" i="32"/>
  <c r="M128" i="32"/>
  <c r="M133" i="32"/>
  <c r="M140" i="32"/>
  <c r="M134" i="32"/>
  <c r="M142" i="32"/>
  <c r="M131" i="32"/>
  <c r="M132" i="32"/>
  <c r="L128" i="32"/>
  <c r="M139" i="32"/>
  <c r="M136" i="32"/>
  <c r="M129" i="32"/>
  <c r="M130" i="32"/>
  <c r="M138" i="32"/>
  <c r="M141" i="32"/>
  <c r="M233" i="8"/>
  <c r="M235" i="8"/>
  <c r="M224" i="8"/>
  <c r="M221" i="8"/>
  <c r="L218" i="8"/>
  <c r="M226" i="8"/>
  <c r="M247" i="8"/>
  <c r="M234" i="8"/>
  <c r="M231" i="8"/>
  <c r="M223" i="8"/>
  <c r="M246" i="8"/>
  <c r="M225" i="8"/>
  <c r="M243" i="8"/>
  <c r="M232" i="8"/>
  <c r="M222" i="8"/>
  <c r="M238" i="8"/>
  <c r="M229" i="8"/>
  <c r="M219" i="8"/>
  <c r="M240" i="8"/>
  <c r="M239" i="8"/>
  <c r="M244" i="8"/>
  <c r="M245" i="8"/>
  <c r="M230" i="8"/>
  <c r="M220" i="8"/>
  <c r="M236" i="8"/>
  <c r="M227" i="8"/>
  <c r="M241" i="8"/>
  <c r="M218" i="8"/>
  <c r="M242" i="8"/>
  <c r="M237" i="8"/>
  <c r="AB20" i="7"/>
  <c r="AB16" i="7"/>
  <c r="X16" i="7"/>
  <c r="AL16" i="7"/>
  <c r="AF16" i="7"/>
  <c r="X20" i="7"/>
  <c r="P16" i="7"/>
  <c r="AD14" i="7"/>
  <c r="AJ16" i="7"/>
  <c r="J20" i="7"/>
  <c r="AC47" i="7"/>
  <c r="L20" i="7"/>
  <c r="Z20" i="7"/>
  <c r="Z14" i="7"/>
  <c r="V20" i="7"/>
  <c r="AB14" i="7"/>
  <c r="N14" i="7"/>
  <c r="J14" i="7"/>
  <c r="AH20" i="7"/>
  <c r="R20" i="7"/>
  <c r="P20" i="7"/>
  <c r="AL14" i="7"/>
  <c r="P14" i="7"/>
  <c r="X14" i="7"/>
  <c r="AD20" i="7"/>
  <c r="N20" i="7"/>
  <c r="AL20" i="7"/>
  <c r="AF20" i="7"/>
  <c r="AJ20" i="7"/>
  <c r="T14" i="7"/>
  <c r="L14" i="7"/>
  <c r="R14" i="7"/>
  <c r="AF14" i="7"/>
  <c r="B16" i="13"/>
  <c r="C16" i="13" s="1"/>
  <c r="E16" i="13" s="1"/>
  <c r="R16" i="7"/>
  <c r="Z16" i="7"/>
  <c r="V16" i="7"/>
  <c r="N16" i="7"/>
  <c r="T16" i="7"/>
  <c r="AD16" i="7"/>
  <c r="J16" i="7"/>
  <c r="AL26" i="7"/>
  <c r="P26" i="7"/>
  <c r="AF26" i="7"/>
  <c r="AD26" i="7"/>
  <c r="R26" i="7"/>
  <c r="AJ26" i="7"/>
  <c r="T23" i="7"/>
  <c r="N26" i="7"/>
  <c r="V14" i="7"/>
  <c r="AJ14" i="7"/>
  <c r="V18" i="6"/>
  <c r="AD18" i="6"/>
  <c r="J18" i="6"/>
  <c r="P18" i="6"/>
  <c r="AL18" i="6"/>
  <c r="AF15" i="6"/>
  <c r="N15" i="6"/>
  <c r="P15" i="6"/>
  <c r="T15" i="6"/>
  <c r="X15" i="6"/>
  <c r="L15" i="6"/>
  <c r="AD15" i="6"/>
  <c r="Z15" i="6"/>
  <c r="V15" i="6"/>
  <c r="AL15" i="6"/>
  <c r="AJ15" i="6"/>
  <c r="H15" i="13"/>
  <c r="T18" i="6"/>
  <c r="N18" i="6"/>
  <c r="K7" i="13"/>
  <c r="AD27" i="7"/>
  <c r="AD23" i="7"/>
  <c r="AD19" i="7"/>
  <c r="T27" i="7"/>
  <c r="G14" i="7"/>
  <c r="AD45" i="7"/>
  <c r="N15" i="7"/>
  <c r="T19" i="7"/>
  <c r="M47" i="7"/>
  <c r="AH43" i="7"/>
  <c r="AB43" i="7"/>
  <c r="AL43" i="7"/>
  <c r="X43" i="7"/>
  <c r="R43" i="7"/>
  <c r="L43" i="7"/>
  <c r="P43" i="7"/>
  <c r="Z43" i="7"/>
  <c r="AJ43" i="7"/>
  <c r="V43" i="7"/>
  <c r="J43" i="7"/>
  <c r="AF43" i="7"/>
  <c r="AL45" i="7"/>
  <c r="X45" i="7"/>
  <c r="R45" i="7"/>
  <c r="L45" i="7"/>
  <c r="AH45" i="7"/>
  <c r="AB45" i="7"/>
  <c r="AJ45" i="7"/>
  <c r="V45" i="7"/>
  <c r="J45" i="7"/>
  <c r="AF45" i="7"/>
  <c r="P45" i="7"/>
  <c r="Z45" i="7"/>
  <c r="T43" i="7"/>
  <c r="N31" i="7"/>
  <c r="AH23" i="7"/>
  <c r="AB23" i="7"/>
  <c r="AL23" i="7"/>
  <c r="X23" i="7"/>
  <c r="R23" i="7"/>
  <c r="L23" i="7"/>
  <c r="AJ23" i="7"/>
  <c r="V23" i="7"/>
  <c r="J23" i="7"/>
  <c r="AF23" i="7"/>
  <c r="P23" i="7"/>
  <c r="Z23" i="7"/>
  <c r="N17" i="7"/>
  <c r="AL33" i="7"/>
  <c r="X33" i="7"/>
  <c r="R33" i="7"/>
  <c r="L33" i="7"/>
  <c r="AH33" i="7"/>
  <c r="AB33" i="7"/>
  <c r="P33" i="7"/>
  <c r="Z33" i="7"/>
  <c r="AJ33" i="7"/>
  <c r="V33" i="7"/>
  <c r="J33" i="7"/>
  <c r="AF33" i="7"/>
  <c r="AL29" i="7"/>
  <c r="X29" i="7"/>
  <c r="R29" i="7"/>
  <c r="L29" i="7"/>
  <c r="AH29" i="7"/>
  <c r="AB29" i="7"/>
  <c r="P29" i="7"/>
  <c r="Z29" i="7"/>
  <c r="AJ29" i="7"/>
  <c r="V29" i="7"/>
  <c r="J29" i="7"/>
  <c r="AF29" i="7"/>
  <c r="AL25" i="7"/>
  <c r="X25" i="7"/>
  <c r="R25" i="7"/>
  <c r="L25" i="7"/>
  <c r="AH25" i="7"/>
  <c r="AB25" i="7"/>
  <c r="P25" i="7"/>
  <c r="Z25" i="7"/>
  <c r="AJ25" i="7"/>
  <c r="V25" i="7"/>
  <c r="J25" i="7"/>
  <c r="AF25" i="7"/>
  <c r="G21" i="7"/>
  <c r="AL21" i="7"/>
  <c r="X21" i="7"/>
  <c r="R21" i="7"/>
  <c r="L21" i="7"/>
  <c r="AH21" i="7"/>
  <c r="AB21" i="7"/>
  <c r="P21" i="7"/>
  <c r="Z21" i="7"/>
  <c r="AJ21" i="7"/>
  <c r="V21" i="7"/>
  <c r="J21" i="7"/>
  <c r="AF21" i="7"/>
  <c r="G35" i="7"/>
  <c r="AH35" i="7"/>
  <c r="AB35" i="7"/>
  <c r="AL35" i="7"/>
  <c r="X35" i="7"/>
  <c r="R35" i="7"/>
  <c r="L35" i="7"/>
  <c r="AJ35" i="7"/>
  <c r="V35" i="7"/>
  <c r="J35" i="7"/>
  <c r="AF35" i="7"/>
  <c r="P35" i="7"/>
  <c r="Z35" i="7"/>
  <c r="T33" i="7"/>
  <c r="G28" i="7"/>
  <c r="AD21" i="7"/>
  <c r="N33" i="7"/>
  <c r="N29" i="7"/>
  <c r="N25" i="7"/>
  <c r="N21" i="7"/>
  <c r="AD35" i="7"/>
  <c r="N35" i="7"/>
  <c r="AH27" i="7"/>
  <c r="AB27" i="7"/>
  <c r="AL27" i="7"/>
  <c r="X27" i="7"/>
  <c r="R27" i="7"/>
  <c r="L27" i="7"/>
  <c r="AJ27" i="7"/>
  <c r="V27" i="7"/>
  <c r="J27" i="7"/>
  <c r="AF27" i="7"/>
  <c r="P27" i="7"/>
  <c r="Z27" i="7"/>
  <c r="T25" i="7"/>
  <c r="AH19" i="7"/>
  <c r="AB19" i="7"/>
  <c r="AL19" i="7"/>
  <c r="X19" i="7"/>
  <c r="R19" i="7"/>
  <c r="L19" i="7"/>
  <c r="AJ19" i="7"/>
  <c r="V19" i="7"/>
  <c r="J19" i="7"/>
  <c r="P19" i="7"/>
  <c r="Z19" i="7"/>
  <c r="AF19" i="7"/>
  <c r="AH15" i="7"/>
  <c r="AB15" i="7"/>
  <c r="AL15" i="7"/>
  <c r="X15" i="7"/>
  <c r="R15" i="7"/>
  <c r="L15" i="7"/>
  <c r="AJ15" i="7"/>
  <c r="Z15" i="7"/>
  <c r="V15" i="7"/>
  <c r="J15" i="7"/>
  <c r="AF15" i="7"/>
  <c r="P15" i="7"/>
  <c r="T15" i="7"/>
  <c r="AD15" i="7"/>
  <c r="AL17" i="7"/>
  <c r="X17" i="7"/>
  <c r="R17" i="7"/>
  <c r="L17" i="7"/>
  <c r="AH17" i="7"/>
  <c r="AB17" i="7"/>
  <c r="AF17" i="7"/>
  <c r="Z17" i="7"/>
  <c r="V17" i="7"/>
  <c r="J17" i="7"/>
  <c r="AJ17" i="7"/>
  <c r="P17" i="7"/>
  <c r="AH31" i="7"/>
  <c r="AB31" i="7"/>
  <c r="AL31" i="7"/>
  <c r="X31" i="7"/>
  <c r="R31" i="7"/>
  <c r="L31" i="7"/>
  <c r="AJ31" i="7"/>
  <c r="V31" i="7"/>
  <c r="J31" i="7"/>
  <c r="AF31" i="7"/>
  <c r="P31" i="7"/>
  <c r="Z31" i="7"/>
  <c r="T29" i="7"/>
  <c r="AD17" i="7"/>
  <c r="AH31" i="6"/>
  <c r="AL31" i="6"/>
  <c r="J31" i="6"/>
  <c r="L31" i="6"/>
  <c r="AJ31" i="6"/>
  <c r="X31" i="6"/>
  <c r="P31" i="6"/>
  <c r="V31" i="6"/>
  <c r="AJ16" i="6"/>
  <c r="V16" i="6"/>
  <c r="P16" i="6"/>
  <c r="J16" i="6"/>
  <c r="AH16" i="6"/>
  <c r="T16" i="6"/>
  <c r="AF16" i="6"/>
  <c r="Z16" i="6"/>
  <c r="AD16" i="6"/>
  <c r="X16" i="6"/>
  <c r="L16" i="6"/>
  <c r="AL16" i="6"/>
  <c r="G28" i="6"/>
  <c r="AJ28" i="6"/>
  <c r="V28" i="6"/>
  <c r="P28" i="6"/>
  <c r="J28" i="6"/>
  <c r="AH28" i="6"/>
  <c r="T28" i="6"/>
  <c r="AF28" i="6"/>
  <c r="Z28" i="6"/>
  <c r="AL28" i="6"/>
  <c r="X28" i="6"/>
  <c r="L28" i="6"/>
  <c r="AD28" i="6"/>
  <c r="G14" i="6"/>
  <c r="AF14" i="6"/>
  <c r="Z14" i="6"/>
  <c r="AL14" i="6"/>
  <c r="AD14" i="6"/>
  <c r="X14" i="6"/>
  <c r="AJ14" i="6"/>
  <c r="P14" i="6"/>
  <c r="J14" i="6"/>
  <c r="AH14" i="6"/>
  <c r="T14" i="6"/>
  <c r="L14" i="6"/>
  <c r="V14" i="6"/>
  <c r="AJ32" i="6"/>
  <c r="V32" i="6"/>
  <c r="P32" i="6"/>
  <c r="J32" i="6"/>
  <c r="AH32" i="6"/>
  <c r="T32" i="6"/>
  <c r="AF32" i="6"/>
  <c r="Z32" i="6"/>
  <c r="AL32" i="6"/>
  <c r="AD32" i="6"/>
  <c r="X32" i="6"/>
  <c r="L32" i="6"/>
  <c r="AL43" i="6"/>
  <c r="AD43" i="6"/>
  <c r="X43" i="6"/>
  <c r="L43" i="6"/>
  <c r="AJ43" i="6"/>
  <c r="V43" i="6"/>
  <c r="P43" i="6"/>
  <c r="J43" i="6"/>
  <c r="AH43" i="6"/>
  <c r="T43" i="6"/>
  <c r="AF43" i="6"/>
  <c r="Z43" i="6"/>
  <c r="AL29" i="6"/>
  <c r="AD29" i="6"/>
  <c r="X29" i="6"/>
  <c r="L29" i="6"/>
  <c r="AJ29" i="6"/>
  <c r="V29" i="6"/>
  <c r="P29" i="6"/>
  <c r="J29" i="6"/>
  <c r="AH29" i="6"/>
  <c r="T29" i="6"/>
  <c r="AF29" i="6"/>
  <c r="Z29" i="6"/>
  <c r="N43" i="6"/>
  <c r="AJ24" i="6"/>
  <c r="V24" i="6"/>
  <c r="P24" i="6"/>
  <c r="J24" i="6"/>
  <c r="AH24" i="6"/>
  <c r="T24" i="6"/>
  <c r="AL24" i="6"/>
  <c r="AF24" i="6"/>
  <c r="Z24" i="6"/>
  <c r="AD24" i="6"/>
  <c r="X24" i="6"/>
  <c r="L24" i="6"/>
  <c r="G35" i="6"/>
  <c r="AL33" i="6"/>
  <c r="AD33" i="6"/>
  <c r="X33" i="6"/>
  <c r="L33" i="6"/>
  <c r="AJ33" i="6"/>
  <c r="V33" i="6"/>
  <c r="P33" i="6"/>
  <c r="J33" i="6"/>
  <c r="AH33" i="6"/>
  <c r="T33" i="6"/>
  <c r="AF33" i="6"/>
  <c r="Z33" i="6"/>
  <c r="N29" i="6"/>
  <c r="N33" i="6"/>
  <c r="AJ20" i="6"/>
  <c r="V20" i="6"/>
  <c r="P20" i="6"/>
  <c r="J20" i="6"/>
  <c r="AH20" i="6"/>
  <c r="T20" i="6"/>
  <c r="AD20" i="6"/>
  <c r="X20" i="6"/>
  <c r="L20" i="6"/>
  <c r="AL20" i="6"/>
  <c r="AF20" i="6"/>
  <c r="Z20" i="6"/>
  <c r="G21" i="6"/>
  <c r="H19" i="13"/>
  <c r="C1" i="32"/>
  <c r="AZ20" i="32"/>
  <c r="AZ12" i="32"/>
  <c r="AZ10" i="32"/>
  <c r="AZ18" i="32"/>
  <c r="AZ16" i="32"/>
  <c r="AZ8" i="32"/>
  <c r="AZ14" i="32"/>
  <c r="AZ21" i="32"/>
  <c r="AZ7" i="32"/>
  <c r="AZ17" i="32"/>
  <c r="AZ11" i="32"/>
  <c r="AZ15" i="32"/>
  <c r="AZ9" i="32"/>
  <c r="AZ19" i="32"/>
  <c r="AZ13" i="32"/>
  <c r="C1" i="36"/>
  <c r="D34" i="39"/>
  <c r="C1" i="35"/>
  <c r="E34" i="39" s="1"/>
  <c r="C1" i="31"/>
  <c r="C1" i="30"/>
  <c r="P62" i="31"/>
  <c r="U42" i="32"/>
  <c r="Z42" i="32" s="1"/>
  <c r="AE42" i="32" s="1"/>
  <c r="AJ42" i="32" s="1"/>
  <c r="AO42" i="32" s="1"/>
  <c r="AT42" i="32" s="1"/>
  <c r="P62" i="32"/>
  <c r="P82" i="32" s="1"/>
  <c r="U82" i="32" s="1"/>
  <c r="Z82" i="32" s="1"/>
  <c r="AE82" i="32" s="1"/>
  <c r="AJ82" i="32" s="1"/>
  <c r="AO82" i="32" s="1"/>
  <c r="AT82" i="32" s="1"/>
  <c r="P62" i="30"/>
  <c r="U42" i="30"/>
  <c r="Z42" i="30" s="1"/>
  <c r="AE42" i="30" s="1"/>
  <c r="AJ42" i="30" s="1"/>
  <c r="AO42" i="30" s="1"/>
  <c r="AT42" i="30" s="1"/>
  <c r="C1" i="33"/>
  <c r="C1" i="8"/>
  <c r="AD38" i="6"/>
  <c r="T38" i="6"/>
  <c r="AF38" i="6"/>
  <c r="L38" i="6"/>
  <c r="AJ38" i="6"/>
  <c r="P38" i="6"/>
  <c r="X38" i="6"/>
  <c r="J38" i="6"/>
  <c r="N38" i="6"/>
  <c r="Z38" i="6"/>
  <c r="AL38" i="6"/>
  <c r="V38" i="6"/>
  <c r="AF37" i="6"/>
  <c r="Z37" i="6"/>
  <c r="AL37" i="6"/>
  <c r="AD37" i="6"/>
  <c r="X37" i="6"/>
  <c r="L37" i="6"/>
  <c r="AJ37" i="6"/>
  <c r="V37" i="6"/>
  <c r="P37" i="6"/>
  <c r="J37" i="6"/>
  <c r="AH37" i="6"/>
  <c r="T37" i="6"/>
  <c r="AJ39" i="6"/>
  <c r="V39" i="6"/>
  <c r="P39" i="6"/>
  <c r="J39" i="6"/>
  <c r="AH39" i="6"/>
  <c r="T39" i="6"/>
  <c r="AF39" i="6"/>
  <c r="Z39" i="6"/>
  <c r="AL39" i="6"/>
  <c r="AD39" i="6"/>
  <c r="X39" i="6"/>
  <c r="L39" i="6"/>
  <c r="Z38" i="7"/>
  <c r="Z42" i="7"/>
  <c r="R42" i="7"/>
  <c r="AJ42" i="7"/>
  <c r="AB38" i="7"/>
  <c r="X42" i="7"/>
  <c r="T42" i="7"/>
  <c r="AF42" i="7"/>
  <c r="AL42" i="7"/>
  <c r="V42" i="7"/>
  <c r="R38" i="7"/>
  <c r="P42" i="7"/>
  <c r="L42" i="7"/>
  <c r="J42" i="7"/>
  <c r="AJ38" i="7"/>
  <c r="AD38" i="7"/>
  <c r="P38" i="7"/>
  <c r="N38" i="7"/>
  <c r="AF38" i="7"/>
  <c r="AL38" i="7"/>
  <c r="L38" i="7"/>
  <c r="V38" i="7"/>
  <c r="J38" i="7"/>
  <c r="AJ39" i="7"/>
  <c r="V39" i="7"/>
  <c r="P39" i="7"/>
  <c r="J39" i="7"/>
  <c r="AH39" i="7"/>
  <c r="AB39" i="7"/>
  <c r="T39" i="7"/>
  <c r="AF39" i="7"/>
  <c r="Z39" i="7"/>
  <c r="AL39" i="7"/>
  <c r="AD39" i="7"/>
  <c r="X39" i="7"/>
  <c r="R39" i="7"/>
  <c r="L39" i="7"/>
  <c r="AL40" i="7"/>
  <c r="AD40" i="7"/>
  <c r="X40" i="7"/>
  <c r="R40" i="7"/>
  <c r="L40" i="7"/>
  <c r="AJ40" i="7"/>
  <c r="V40" i="7"/>
  <c r="P40" i="7"/>
  <c r="J40" i="7"/>
  <c r="AH40" i="7"/>
  <c r="AB40" i="7"/>
  <c r="T40" i="7"/>
  <c r="AF40" i="7"/>
  <c r="Z40" i="7"/>
  <c r="AF37" i="7"/>
  <c r="Z37" i="7"/>
  <c r="AL37" i="7"/>
  <c r="AD37" i="7"/>
  <c r="X37" i="7"/>
  <c r="R37" i="7"/>
  <c r="L37" i="7"/>
  <c r="AJ37" i="7"/>
  <c r="V37" i="7"/>
  <c r="P37" i="7"/>
  <c r="J37" i="7"/>
  <c r="AH37" i="7"/>
  <c r="AB37" i="7"/>
  <c r="T37" i="7"/>
  <c r="N40" i="7"/>
  <c r="C22" i="39"/>
  <c r="E22" i="39" s="1"/>
  <c r="C20" i="39"/>
  <c r="E20" i="39" s="1"/>
  <c r="C18" i="39"/>
  <c r="E18" i="39" s="1"/>
  <c r="C16" i="39"/>
  <c r="E16" i="39" s="1"/>
  <c r="D6" i="39"/>
  <c r="C23" i="39"/>
  <c r="E23" i="39" s="1"/>
  <c r="C21" i="39"/>
  <c r="E21" i="39" s="1"/>
  <c r="C19" i="39"/>
  <c r="E19" i="39" s="1"/>
  <c r="C17" i="39"/>
  <c r="E17" i="39" s="1"/>
  <c r="C15" i="39"/>
  <c r="AJ36" i="6"/>
  <c r="X36" i="6"/>
  <c r="N36" i="6"/>
  <c r="J36" i="6"/>
  <c r="AD36" i="6"/>
  <c r="Z36" i="6"/>
  <c r="T36" i="6"/>
  <c r="L36" i="6"/>
  <c r="P36" i="6"/>
  <c r="AF36" i="6"/>
  <c r="AH36" i="6"/>
  <c r="V36" i="6"/>
  <c r="E9" i="13"/>
  <c r="J36" i="7"/>
  <c r="AD36" i="7"/>
  <c r="R36" i="7"/>
  <c r="V36" i="7"/>
  <c r="AB36" i="7"/>
  <c r="Z36" i="7"/>
  <c r="L36" i="7"/>
  <c r="P36" i="7"/>
  <c r="T36" i="7"/>
  <c r="X36" i="7"/>
  <c r="AJ36" i="7"/>
  <c r="AH36" i="7"/>
  <c r="AF36" i="7"/>
  <c r="R46" i="7"/>
  <c r="N36" i="7"/>
  <c r="E15" i="13"/>
  <c r="D8" i="13"/>
  <c r="E8" i="13"/>
  <c r="P107" i="8"/>
  <c r="U72" i="8"/>
  <c r="Z72" i="8" s="1"/>
  <c r="AE72" i="8" s="1"/>
  <c r="AJ72" i="8" s="1"/>
  <c r="AO72" i="8" s="1"/>
  <c r="AT72" i="8" s="1"/>
  <c r="D11" i="13"/>
  <c r="E11" i="13"/>
  <c r="D36" i="39"/>
  <c r="D35" i="39"/>
  <c r="D33" i="39"/>
  <c r="D32" i="39"/>
  <c r="D31" i="39"/>
  <c r="D30" i="39"/>
  <c r="D29" i="39"/>
  <c r="D28" i="39"/>
  <c r="C24" i="13" l="1"/>
  <c r="E36" i="39"/>
  <c r="I15" i="13"/>
  <c r="K15" i="13" s="1"/>
  <c r="D9" i="13"/>
  <c r="B34" i="13"/>
  <c r="D34" i="13" s="1"/>
  <c r="P82" i="31"/>
  <c r="U62" i="31"/>
  <c r="Z62" i="31" s="1"/>
  <c r="AE62" i="31" s="1"/>
  <c r="AJ62" i="31" s="1"/>
  <c r="AO62" i="31" s="1"/>
  <c r="AT62" i="31" s="1"/>
  <c r="U62" i="32"/>
  <c r="Z62" i="32" s="1"/>
  <c r="AE62" i="32" s="1"/>
  <c r="AJ62" i="32" s="1"/>
  <c r="AO62" i="32" s="1"/>
  <c r="AT62" i="32" s="1"/>
  <c r="P82" i="30"/>
  <c r="U62" i="30"/>
  <c r="Z62" i="30" s="1"/>
  <c r="AE62" i="30" s="1"/>
  <c r="AJ62" i="30" s="1"/>
  <c r="AO62" i="30" s="1"/>
  <c r="AT62" i="30" s="1"/>
  <c r="AH46" i="6"/>
  <c r="E15" i="39"/>
  <c r="C24" i="39"/>
  <c r="P46" i="6"/>
  <c r="N46" i="6"/>
  <c r="X46" i="6"/>
  <c r="R46" i="6"/>
  <c r="V46" i="6"/>
  <c r="J46" i="6"/>
  <c r="L46" i="6"/>
  <c r="AB46" i="6"/>
  <c r="AD46" i="6"/>
  <c r="AF46" i="6"/>
  <c r="AL46" i="6"/>
  <c r="Z46" i="6"/>
  <c r="T46" i="6"/>
  <c r="AJ46" i="6"/>
  <c r="I19" i="13"/>
  <c r="K19" i="13" s="1"/>
  <c r="I23" i="13"/>
  <c r="K23" i="13" s="1"/>
  <c r="I22" i="13"/>
  <c r="K22" i="13" s="1"/>
  <c r="I21" i="13"/>
  <c r="K21" i="13" s="1"/>
  <c r="I20" i="13"/>
  <c r="K20" i="13" s="1"/>
  <c r="I17" i="13"/>
  <c r="K17" i="13" s="1"/>
  <c r="E7" i="13"/>
  <c r="I18" i="13"/>
  <c r="K18" i="13" s="1"/>
  <c r="I16" i="13"/>
  <c r="K16" i="13" s="1"/>
  <c r="D7" i="13"/>
  <c r="J46" i="7"/>
  <c r="V46" i="7"/>
  <c r="L46" i="7"/>
  <c r="Z46" i="7"/>
  <c r="N46" i="7"/>
  <c r="AJ46" i="7"/>
  <c r="AB46" i="7"/>
  <c r="AD46" i="7"/>
  <c r="P46" i="7"/>
  <c r="AF46" i="7"/>
  <c r="T46" i="7"/>
  <c r="X46" i="7"/>
  <c r="AL46" i="7"/>
  <c r="AH46" i="7"/>
  <c r="P142" i="8"/>
  <c r="U107" i="8"/>
  <c r="Z107" i="8" s="1"/>
  <c r="AE107" i="8" s="1"/>
  <c r="AJ107" i="8" s="1"/>
  <c r="AO107" i="8" s="1"/>
  <c r="AT107" i="8" s="1"/>
  <c r="E36" i="13"/>
  <c r="D36" i="13"/>
  <c r="E35" i="39"/>
  <c r="B35" i="13"/>
  <c r="E33" i="39"/>
  <c r="B33" i="13"/>
  <c r="B32" i="13"/>
  <c r="E32" i="39"/>
  <c r="E31" i="39"/>
  <c r="B31" i="13"/>
  <c r="B30" i="13"/>
  <c r="E30" i="39"/>
  <c r="D37" i="39"/>
  <c r="B29" i="13"/>
  <c r="E29" i="39"/>
  <c r="E28" i="39"/>
  <c r="B28" i="13"/>
  <c r="P177" i="33" l="1"/>
  <c r="U177" i="33" s="1"/>
  <c r="Z177" i="33" s="1"/>
  <c r="AE177" i="33" s="1"/>
  <c r="AJ177" i="33" s="1"/>
  <c r="AO177" i="33" s="1"/>
  <c r="AT177" i="33" s="1"/>
  <c r="E34" i="13"/>
  <c r="P102" i="37"/>
  <c r="U102" i="37" s="1"/>
  <c r="Z102" i="37" s="1"/>
  <c r="AE102" i="37" s="1"/>
  <c r="AJ102" i="37" s="1"/>
  <c r="AO102" i="37" s="1"/>
  <c r="AT102" i="37" s="1"/>
  <c r="P102" i="36"/>
  <c r="U102" i="36" s="1"/>
  <c r="Z102" i="36" s="1"/>
  <c r="AE102" i="36" s="1"/>
  <c r="AJ102" i="36" s="1"/>
  <c r="AO102" i="36" s="1"/>
  <c r="AT102" i="36" s="1"/>
  <c r="P102" i="35"/>
  <c r="U102" i="35" s="1"/>
  <c r="Z102" i="35" s="1"/>
  <c r="AE102" i="35" s="1"/>
  <c r="AJ102" i="35" s="1"/>
  <c r="AO102" i="35" s="1"/>
  <c r="AT102" i="35" s="1"/>
  <c r="P102" i="34"/>
  <c r="U102" i="34" s="1"/>
  <c r="Z102" i="34" s="1"/>
  <c r="AE102" i="34" s="1"/>
  <c r="AJ102" i="34" s="1"/>
  <c r="AO102" i="34" s="1"/>
  <c r="AT102" i="34" s="1"/>
  <c r="P102" i="31"/>
  <c r="U102" i="31" s="1"/>
  <c r="Z102" i="31" s="1"/>
  <c r="AE102" i="31" s="1"/>
  <c r="AJ102" i="31" s="1"/>
  <c r="AO102" i="31" s="1"/>
  <c r="AT102" i="31" s="1"/>
  <c r="U82" i="31"/>
  <c r="Z82" i="31" s="1"/>
  <c r="AE82" i="31" s="1"/>
  <c r="AJ82" i="31" s="1"/>
  <c r="AO82" i="31" s="1"/>
  <c r="P102" i="32"/>
  <c r="U102" i="32" s="1"/>
  <c r="Z102" i="32" s="1"/>
  <c r="AE102" i="32" s="1"/>
  <c r="AJ102" i="32" s="1"/>
  <c r="AO102" i="32" s="1"/>
  <c r="AT102" i="32" s="1"/>
  <c r="P102" i="30"/>
  <c r="U102" i="30" s="1"/>
  <c r="Z102" i="30" s="1"/>
  <c r="AE102" i="30" s="1"/>
  <c r="AJ102" i="30" s="1"/>
  <c r="AO102" i="30" s="1"/>
  <c r="AT102" i="30" s="1"/>
  <c r="U82" i="30"/>
  <c r="Z82" i="30" s="1"/>
  <c r="AE82" i="30" s="1"/>
  <c r="AJ82" i="30" s="1"/>
  <c r="AO82" i="30" s="1"/>
  <c r="U142" i="8"/>
  <c r="Z142" i="8" s="1"/>
  <c r="AE142" i="8" s="1"/>
  <c r="AJ142" i="8" s="1"/>
  <c r="AO142" i="8" s="1"/>
  <c r="P177" i="8"/>
  <c r="U177" i="8" s="1"/>
  <c r="Z177" i="8" s="1"/>
  <c r="AE177" i="8" s="1"/>
  <c r="AJ177" i="8" s="1"/>
  <c r="AO177" i="8" s="1"/>
  <c r="AT177" i="8" s="1"/>
  <c r="I24" i="13"/>
  <c r="D35" i="13"/>
  <c r="E35" i="13"/>
  <c r="E33" i="13"/>
  <c r="D33" i="13"/>
  <c r="E32" i="13"/>
  <c r="D32" i="13"/>
  <c r="E31" i="13"/>
  <c r="D31" i="13"/>
  <c r="E30" i="13"/>
  <c r="D30" i="13"/>
  <c r="D29" i="13"/>
  <c r="E29" i="13"/>
  <c r="E28" i="13"/>
  <c r="D28" i="13"/>
  <c r="G15" i="41" l="1"/>
  <c r="I15" i="41"/>
  <c r="K10" i="41"/>
  <c r="K15" i="41"/>
  <c r="M10" i="41"/>
  <c r="M15" i="41"/>
  <c r="K9" i="41" l="1"/>
  <c r="I14" i="41" l="1"/>
  <c r="M9" i="41"/>
  <c r="K14" i="41"/>
  <c r="G14" i="41"/>
</calcChain>
</file>

<file path=xl/comments1.xml><?xml version="1.0" encoding="utf-8"?>
<comments xmlns="http://schemas.openxmlformats.org/spreadsheetml/2006/main">
  <authors>
    <author/>
  </authors>
  <commentList>
    <comment ref="A1" authorId="0" shapeId="0">
      <text>
        <r>
          <rPr>
            <sz val="10"/>
            <color rgb="FF000000"/>
            <rFont val="Arial"/>
            <family val="2"/>
            <scheme val="minor"/>
          </rPr>
          <t>@m-inoue547@family.co.jp 
工場名の記載欄があるとよいです。
収支はTFM側と相談が良いです。（企業秘密なのでどこまで開示されるか？があるので）
	-中川昇</t>
        </r>
      </text>
    </comment>
  </commentList>
</comments>
</file>

<file path=xl/sharedStrings.xml><?xml version="1.0" encoding="utf-8"?>
<sst xmlns="http://schemas.openxmlformats.org/spreadsheetml/2006/main" count="7271" uniqueCount="1023">
  <si>
    <t>・・・・・・・・</t>
  </si>
  <si>
    <t>前月</t>
  </si>
  <si>
    <t>差異</t>
  </si>
  <si>
    <t>累計</t>
  </si>
  <si>
    <t>達成率</t>
  </si>
  <si>
    <t>材料費</t>
  </si>
  <si>
    <t>材料費率</t>
  </si>
  <si>
    <t>導入率</t>
  </si>
  <si>
    <t>-</t>
  </si>
  <si>
    <t>-%</t>
  </si>
  <si>
    <t>合計</t>
  </si>
  <si>
    <t>金額</t>
  </si>
  <si>
    <t>商品名</t>
  </si>
  <si>
    <t>前月比</t>
  </si>
  <si>
    <t>手巻明太子</t>
  </si>
  <si>
    <t>6/30新商品</t>
  </si>
  <si>
    <t>海老炒飯</t>
  </si>
  <si>
    <t>（９）歩留</t>
  </si>
  <si>
    <t>No.</t>
  </si>
  <si>
    <t>規格</t>
  </si>
  <si>
    <t>工廠</t>
    <phoneticPr fontId="8"/>
  </si>
  <si>
    <t>（１）收支狀況</t>
    <phoneticPr fontId="8"/>
  </si>
  <si>
    <t>當月</t>
    <phoneticPr fontId="8"/>
  </si>
  <si>
    <t>※單位：千元</t>
    <phoneticPr fontId="8"/>
  </si>
  <si>
    <t>業績金額</t>
    <phoneticPr fontId="8"/>
  </si>
  <si>
    <t>訂單數量</t>
    <phoneticPr fontId="8"/>
  </si>
  <si>
    <t>半成品報廢</t>
    <phoneticPr fontId="8"/>
  </si>
  <si>
    <t>半成品超用</t>
    <phoneticPr fontId="8"/>
  </si>
  <si>
    <t>固定產線</t>
    <phoneticPr fontId="8"/>
  </si>
  <si>
    <t>教育訓練</t>
    <phoneticPr fontId="8"/>
  </si>
  <si>
    <r>
      <rPr>
        <sz val="10"/>
        <color theme="1"/>
        <rFont val="Arial"/>
        <family val="3"/>
        <charset val="136"/>
        <scheme val="minor"/>
      </rPr>
      <t>人時生產性</t>
    </r>
    <r>
      <rPr>
        <sz val="10"/>
        <color theme="1"/>
        <rFont val="Arial"/>
        <family val="2"/>
        <scheme val="minor"/>
      </rPr>
      <t xml:space="preserve">1 </t>
    </r>
    <phoneticPr fontId="8"/>
  </si>
  <si>
    <r>
      <rPr>
        <sz val="10"/>
        <color theme="1"/>
        <rFont val="Arial"/>
        <family val="3"/>
        <charset val="136"/>
        <scheme val="minor"/>
      </rPr>
      <t>人時生產性</t>
    </r>
    <r>
      <rPr>
        <sz val="10"/>
        <color theme="1"/>
        <rFont val="Arial"/>
        <family val="2"/>
        <scheme val="minor"/>
      </rPr>
      <t>2</t>
    </r>
    <phoneticPr fontId="8"/>
  </si>
  <si>
    <t>（３）業績構成比</t>
    <phoneticPr fontId="8"/>
  </si>
  <si>
    <t>（４）訂單數量構成比</t>
    <phoneticPr fontId="8"/>
  </si>
  <si>
    <t>飯糰</t>
    <phoneticPr fontId="8"/>
  </si>
  <si>
    <t>大口飯糰</t>
    <phoneticPr fontId="8"/>
  </si>
  <si>
    <t>便當</t>
    <phoneticPr fontId="8"/>
  </si>
  <si>
    <t>調理麵包</t>
    <phoneticPr fontId="8"/>
  </si>
  <si>
    <t>袋裝調理麵包</t>
    <phoneticPr fontId="8"/>
  </si>
  <si>
    <t>義大利麵</t>
    <phoneticPr fontId="8"/>
  </si>
  <si>
    <t>調理包</t>
    <phoneticPr fontId="8"/>
  </si>
  <si>
    <t>比例</t>
    <phoneticPr fontId="8"/>
  </si>
  <si>
    <t>作業原因</t>
    <phoneticPr fontId="8"/>
  </si>
  <si>
    <t>規格原因</t>
    <phoneticPr fontId="8"/>
  </si>
  <si>
    <t>調理麵</t>
    <phoneticPr fontId="8"/>
  </si>
  <si>
    <t>（６）人時生產性前幾名品項</t>
    <phoneticPr fontId="8"/>
  </si>
  <si>
    <t>人數</t>
    <phoneticPr fontId="8"/>
  </si>
  <si>
    <t>排名</t>
    <phoneticPr fontId="8"/>
  </si>
  <si>
    <t>產能</t>
    <phoneticPr fontId="8"/>
  </si>
  <si>
    <t>人時生產性</t>
    <phoneticPr fontId="8"/>
  </si>
  <si>
    <t>主要原因&amp;對策</t>
  </si>
  <si>
    <t>主要原因&amp;對策</t>
    <phoneticPr fontId="8"/>
  </si>
  <si>
    <t>（８）報廢原因別前幾名品項</t>
    <phoneticPr fontId="8"/>
  </si>
  <si>
    <t>半成品名</t>
    <phoneticPr fontId="8"/>
  </si>
  <si>
    <t>單價</t>
    <phoneticPr fontId="8"/>
  </si>
  <si>
    <t>報廢率</t>
    <phoneticPr fontId="8"/>
  </si>
  <si>
    <t>數量</t>
    <phoneticPr fontId="8"/>
  </si>
  <si>
    <t>實績</t>
    <phoneticPr fontId="8"/>
  </si>
  <si>
    <t>前幾名合計比例</t>
    <phoneticPr fontId="8"/>
  </si>
  <si>
    <t>前幾名合計金額</t>
    <phoneticPr fontId="8"/>
  </si>
  <si>
    <t>※補充</t>
    <phoneticPr fontId="8"/>
  </si>
  <si>
    <r>
      <rPr>
        <sz val="11"/>
        <color theme="1"/>
        <rFont val="Arial"/>
        <family val="3"/>
        <charset val="136"/>
        <scheme val="minor"/>
      </rPr>
      <t>個／</t>
    </r>
    <r>
      <rPr>
        <sz val="11"/>
        <color theme="1"/>
        <rFont val="Arial"/>
        <family val="2"/>
        <scheme val="minor"/>
      </rPr>
      <t>MH</t>
    </r>
    <phoneticPr fontId="8"/>
  </si>
  <si>
    <t>實施率</t>
    <phoneticPr fontId="8"/>
  </si>
  <si>
    <t>（５）品群別人時生產性</t>
    <phoneticPr fontId="8"/>
  </si>
  <si>
    <t>勞務成本</t>
    <phoneticPr fontId="8"/>
  </si>
  <si>
    <t>勞務費率</t>
    <phoneticPr fontId="8"/>
  </si>
  <si>
    <t>比例</t>
    <phoneticPr fontId="8"/>
  </si>
  <si>
    <t>前月</t>
    <phoneticPr fontId="8"/>
  </si>
  <si>
    <t>差異</t>
    <phoneticPr fontId="8"/>
  </si>
  <si>
    <t>KPI</t>
    <phoneticPr fontId="8"/>
  </si>
  <si>
    <t>當月</t>
    <phoneticPr fontId="8"/>
  </si>
  <si>
    <t>（２）ＫＰＩ達成進度</t>
    <phoneticPr fontId="8"/>
  </si>
  <si>
    <t>（７）原因別分析</t>
    <phoneticPr fontId="8"/>
  </si>
  <si>
    <t>月別</t>
    <phoneticPr fontId="8"/>
  </si>
  <si>
    <t>工廠名</t>
    <phoneticPr fontId="8"/>
  </si>
  <si>
    <t>手巻卵黄雞絞肉</t>
    <phoneticPr fontId="8"/>
  </si>
  <si>
    <t>減少暫時停止生產,人時UP</t>
    <phoneticPr fontId="8"/>
  </si>
  <si>
    <t>因組裝2食材,人員增加,產速減少</t>
    <phoneticPr fontId="8"/>
  </si>
  <si>
    <t>透由調整速度提升。</t>
    <phoneticPr fontId="8"/>
  </si>
  <si>
    <t>直巻明太子美奶茲</t>
    <phoneticPr fontId="8"/>
  </si>
  <si>
    <t>大口飯糰燒肉美奶滋</t>
    <phoneticPr fontId="8"/>
  </si>
  <si>
    <t>因摺疊增員。實施教育訓練。</t>
    <phoneticPr fontId="8"/>
  </si>
  <si>
    <t>明太子海苔便當</t>
    <phoneticPr fontId="8"/>
  </si>
  <si>
    <t>指導鋪開炒柴魚片</t>
    <phoneticPr fontId="8"/>
  </si>
  <si>
    <t>肉狀態不良，已連動開發</t>
    <phoneticPr fontId="8"/>
  </si>
  <si>
    <t>油炸白身魚</t>
    <phoneticPr fontId="8"/>
  </si>
  <si>
    <t>油調過多報廢。變更條件。</t>
    <phoneticPr fontId="8"/>
  </si>
  <si>
    <t>川燙蝦子拌醬</t>
    <phoneticPr fontId="8"/>
  </si>
  <si>
    <t>蝦子入數不足</t>
    <phoneticPr fontId="8"/>
  </si>
  <si>
    <t>特製醬汁炙燒牛五花便當</t>
    <phoneticPr fontId="8"/>
  </si>
  <si>
    <t>牛五花醬汁</t>
    <phoneticPr fontId="8"/>
  </si>
  <si>
    <t>難度有差異。調理指導。</t>
    <phoneticPr fontId="8"/>
  </si>
  <si>
    <t>因原料變更。</t>
    <phoneticPr fontId="8"/>
  </si>
  <si>
    <t>牛五花燒成</t>
    <phoneticPr fontId="8"/>
  </si>
  <si>
    <t>大口飯糰三種起司午餐肉</t>
    <phoneticPr fontId="8"/>
  </si>
  <si>
    <t>３種起司燒成</t>
    <phoneticPr fontId="8"/>
  </si>
  <si>
    <t>與燒成範本不同。</t>
    <phoneticPr fontId="8"/>
  </si>
  <si>
    <t>燒成過多，調整調理條件。</t>
    <phoneticPr fontId="8"/>
  </si>
  <si>
    <t>超用率</t>
    <phoneticPr fontId="8"/>
  </si>
  <si>
    <r>
      <rPr>
        <sz val="10"/>
        <color theme="1"/>
        <rFont val="Arial"/>
        <family val="3"/>
        <charset val="136"/>
        <scheme val="minor"/>
      </rPr>
      <t>▼</t>
    </r>
    <r>
      <rPr>
        <sz val="10"/>
        <color theme="1"/>
        <rFont val="Arial"/>
        <family val="2"/>
        <scheme val="minor"/>
      </rPr>
      <t>4</t>
    </r>
    <phoneticPr fontId="8"/>
  </si>
  <si>
    <r>
      <rPr>
        <sz val="10"/>
        <color theme="1"/>
        <rFont val="Arial"/>
        <family val="3"/>
        <charset val="136"/>
        <scheme val="minor"/>
      </rPr>
      <t>▼</t>
    </r>
    <r>
      <rPr>
        <sz val="10"/>
        <color theme="1"/>
        <rFont val="Arial"/>
        <family val="2"/>
        <scheme val="minor"/>
      </rPr>
      <t>3</t>
    </r>
    <phoneticPr fontId="8"/>
  </si>
  <si>
    <r>
      <rPr>
        <sz val="10"/>
        <color theme="1"/>
        <rFont val="Arial"/>
        <family val="3"/>
        <charset val="136"/>
        <scheme val="minor"/>
      </rPr>
      <t>▼</t>
    </r>
    <r>
      <rPr>
        <sz val="10"/>
        <color theme="1"/>
        <rFont val="Arial"/>
        <family val="2"/>
        <scheme val="minor"/>
      </rPr>
      <t>1</t>
    </r>
    <phoneticPr fontId="8"/>
  </si>
  <si>
    <r>
      <rPr>
        <sz val="10"/>
        <color theme="1"/>
        <rFont val="Arial"/>
        <family val="3"/>
        <charset val="136"/>
        <scheme val="minor"/>
      </rPr>
      <t>▼</t>
    </r>
    <r>
      <rPr>
        <sz val="10"/>
        <color theme="1"/>
        <rFont val="Arial"/>
        <family val="2"/>
        <scheme val="minor"/>
      </rPr>
      <t>2</t>
    </r>
    <phoneticPr fontId="8"/>
  </si>
  <si>
    <r>
      <rPr>
        <sz val="10"/>
        <color theme="1"/>
        <rFont val="Arial"/>
        <family val="3"/>
        <charset val="136"/>
        <scheme val="minor"/>
      </rPr>
      <t>▼</t>
    </r>
    <r>
      <rPr>
        <sz val="10"/>
        <color theme="1"/>
        <rFont val="Arial"/>
        <family val="2"/>
        <scheme val="minor"/>
      </rPr>
      <t>5</t>
    </r>
    <phoneticPr fontId="8"/>
  </si>
  <si>
    <t>超用率</t>
    <phoneticPr fontId="8"/>
  </si>
  <si>
    <t>日期</t>
    <phoneticPr fontId="11" type="noConversion"/>
  </si>
  <si>
    <t xml:space="preserve">半成品超用(%) </t>
  </si>
  <si>
    <t xml:space="preserve">人時生產性(個/人) </t>
  </si>
  <si>
    <t xml:space="preserve">人時生產性達成率(%) </t>
  </si>
  <si>
    <t>固定產線-導入率(固定產線數/總產線數)</t>
  </si>
  <si>
    <t>教育訓練-實施率(進度/計畫)</t>
  </si>
  <si>
    <t>品類業績</t>
    <phoneticPr fontId="11" type="noConversion"/>
  </si>
  <si>
    <t>業績(元)</t>
    <phoneticPr fontId="11" type="noConversion"/>
  </si>
  <si>
    <t>比例(%)</t>
    <phoneticPr fontId="11" type="noConversion"/>
  </si>
  <si>
    <t>三</t>
    <phoneticPr fontId="11" type="noConversion"/>
  </si>
  <si>
    <t>日</t>
    <phoneticPr fontId="11" type="noConversion"/>
  </si>
  <si>
    <r>
      <t>月</t>
    </r>
    <r>
      <rPr>
        <sz val="11"/>
        <color rgb="FF000000"/>
        <rFont val="Arial"/>
        <family val="3"/>
        <charset val="136"/>
      </rPr>
      <t>份</t>
    </r>
    <phoneticPr fontId="11" type="noConversion"/>
  </si>
  <si>
    <t>週累積</t>
    <phoneticPr fontId="11" type="noConversion"/>
  </si>
  <si>
    <t>月累積</t>
    <phoneticPr fontId="11" type="noConversion"/>
  </si>
  <si>
    <t>訂單數量(個)</t>
    <phoneticPr fontId="11" type="noConversion"/>
  </si>
  <si>
    <t>材料費(元)</t>
    <phoneticPr fontId="11" type="noConversion"/>
  </si>
  <si>
    <r>
      <t>（１）收支</t>
    </r>
    <r>
      <rPr>
        <b/>
        <sz val="22"/>
        <color rgb="FF000000"/>
        <rFont val="細明體"/>
        <family val="3"/>
        <charset val="136"/>
      </rPr>
      <t>狀</t>
    </r>
    <r>
      <rPr>
        <b/>
        <sz val="22"/>
        <color rgb="FF000000"/>
        <rFont val="Meiryo UI"/>
        <family val="2"/>
      </rPr>
      <t>況</t>
    </r>
    <phoneticPr fontId="11" type="noConversion"/>
  </si>
  <si>
    <t>材料費率（材料費／營業額）</t>
    <phoneticPr fontId="11" type="noConversion"/>
  </si>
  <si>
    <t>勞務成本（全廠人事成本）</t>
    <phoneticPr fontId="11" type="noConversion"/>
  </si>
  <si>
    <t>勞務費率（勞務成本／營業額）</t>
    <phoneticPr fontId="11" type="noConversion"/>
  </si>
  <si>
    <t>（２）ＫＰＩ達成進度</t>
    <phoneticPr fontId="8"/>
  </si>
  <si>
    <t>（２）ＫＰＩ達成進度</t>
    <phoneticPr fontId="11" type="noConversion"/>
  </si>
  <si>
    <t>週平均</t>
    <phoneticPr fontId="11" type="noConversion"/>
  </si>
  <si>
    <t>月平均</t>
    <phoneticPr fontId="11" type="noConversion"/>
  </si>
  <si>
    <t>一配</t>
    <phoneticPr fontId="11" type="noConversion"/>
  </si>
  <si>
    <t>二配</t>
    <phoneticPr fontId="11" type="noConversion"/>
  </si>
  <si>
    <t>便當</t>
  </si>
  <si>
    <t>便當</t>
    <phoneticPr fontId="11" type="noConversion"/>
  </si>
  <si>
    <t>主食</t>
  </si>
  <si>
    <t>主食</t>
    <phoneticPr fontId="11" type="noConversion"/>
  </si>
  <si>
    <t>熱食義麵</t>
  </si>
  <si>
    <t>季節調理麵</t>
  </si>
  <si>
    <t>微波小吃</t>
  </si>
  <si>
    <t>微波小吃</t>
    <phoneticPr fontId="11" type="noConversion"/>
  </si>
  <si>
    <r>
      <t>月</t>
    </r>
    <r>
      <rPr>
        <sz val="12"/>
        <color rgb="FF000000"/>
        <rFont val="Arial"/>
        <family val="3"/>
        <charset val="136"/>
      </rPr>
      <t>份</t>
    </r>
    <phoneticPr fontId="11" type="noConversion"/>
  </si>
  <si>
    <r>
      <t>18℃</t>
    </r>
    <r>
      <rPr>
        <b/>
        <sz val="11.9"/>
        <color rgb="FF000000"/>
        <rFont val="Meiryo UI"/>
        <family val="2"/>
      </rPr>
      <t>-</t>
    </r>
    <r>
      <rPr>
        <b/>
        <sz val="14"/>
        <color rgb="FF000000"/>
        <rFont val="Meiryo UI"/>
        <family val="2"/>
      </rPr>
      <t>飯</t>
    </r>
    <r>
      <rPr>
        <b/>
        <sz val="14"/>
        <color rgb="FF000000"/>
        <rFont val="細明體"/>
        <family val="3"/>
        <charset val="136"/>
      </rPr>
      <t>糰</t>
    </r>
    <phoneticPr fontId="11" type="noConversion"/>
  </si>
  <si>
    <r>
      <t>18℃</t>
    </r>
    <r>
      <rPr>
        <b/>
        <sz val="11.9"/>
        <color rgb="FF000000"/>
        <rFont val="Meiryo UI"/>
        <family val="2"/>
      </rPr>
      <t>-壽司手卷</t>
    </r>
    <phoneticPr fontId="11" type="noConversion"/>
  </si>
  <si>
    <r>
      <t>4℃</t>
    </r>
    <r>
      <rPr>
        <b/>
        <sz val="11.9"/>
        <color rgb="FF000000"/>
        <rFont val="Meiryo UI"/>
        <family val="2"/>
      </rPr>
      <t>-</t>
    </r>
    <r>
      <rPr>
        <b/>
        <sz val="14"/>
        <color rgb="FF000000"/>
        <rFont val="Meiryo UI"/>
        <family val="2"/>
      </rPr>
      <t>飯</t>
    </r>
    <r>
      <rPr>
        <b/>
        <sz val="14"/>
        <color rgb="FF000000"/>
        <rFont val="細明體"/>
        <family val="3"/>
        <charset val="136"/>
      </rPr>
      <t>糰</t>
    </r>
    <phoneticPr fontId="11" type="noConversion"/>
  </si>
  <si>
    <r>
      <t>4℃</t>
    </r>
    <r>
      <rPr>
        <b/>
        <sz val="11.9"/>
        <color rgb="FF000000"/>
        <rFont val="Meiryo UI"/>
        <family val="2"/>
      </rPr>
      <t>-</t>
    </r>
    <r>
      <rPr>
        <b/>
        <sz val="14"/>
        <color rgb="FF000000"/>
        <rFont val="Meiryo UI"/>
        <family val="2"/>
      </rPr>
      <t>壽司手卷</t>
    </r>
    <phoneticPr fontId="11" type="noConversion"/>
  </si>
  <si>
    <r>
      <t>熱食義</t>
    </r>
    <r>
      <rPr>
        <b/>
        <sz val="14"/>
        <color rgb="FF000000"/>
        <rFont val="細明體"/>
        <family val="3"/>
        <charset val="136"/>
      </rPr>
      <t>麵</t>
    </r>
    <phoneticPr fontId="11" type="noConversion"/>
  </si>
  <si>
    <r>
      <t>季節調理</t>
    </r>
    <r>
      <rPr>
        <b/>
        <sz val="14"/>
        <color rgb="FF000000"/>
        <rFont val="細明體"/>
        <family val="3"/>
        <charset val="136"/>
      </rPr>
      <t>麵</t>
    </r>
    <phoneticPr fontId="11" type="noConversion"/>
  </si>
  <si>
    <t>合計</t>
    <phoneticPr fontId="11" type="noConversion"/>
  </si>
  <si>
    <t>（４）訂單數量構成比</t>
    <phoneticPr fontId="8"/>
  </si>
  <si>
    <t>訂單量</t>
    <phoneticPr fontId="11" type="noConversion"/>
  </si>
  <si>
    <t>訂單數</t>
    <phoneticPr fontId="11" type="noConversion"/>
  </si>
  <si>
    <t>18℃-飯糰</t>
  </si>
  <si>
    <t>18℃-壽司手卷</t>
  </si>
  <si>
    <t>4℃-飯糰</t>
  </si>
  <si>
    <t>4℃-壽司手卷</t>
  </si>
  <si>
    <t>品群</t>
    <phoneticPr fontId="11" type="noConversion"/>
  </si>
  <si>
    <t>日期</t>
    <phoneticPr fontId="11" type="noConversion"/>
  </si>
  <si>
    <t>資料繳交</t>
    <phoneticPr fontId="11" type="noConversion"/>
  </si>
  <si>
    <t>五</t>
    <phoneticPr fontId="11" type="noConversion"/>
  </si>
  <si>
    <t>二</t>
    <phoneticPr fontId="11" type="noConversion"/>
  </si>
  <si>
    <t>四</t>
    <phoneticPr fontId="11" type="noConversion"/>
  </si>
  <si>
    <t>六</t>
    <phoneticPr fontId="11" type="noConversion"/>
  </si>
  <si>
    <t>日</t>
    <phoneticPr fontId="11" type="noConversion"/>
  </si>
  <si>
    <t>一</t>
    <phoneticPr fontId="11" type="noConversion"/>
  </si>
  <si>
    <t>產線配置圖－每週更新</t>
    <phoneticPr fontId="11" type="noConversion"/>
  </si>
  <si>
    <t>製程不穩</t>
    <phoneticPr fontId="8"/>
  </si>
  <si>
    <t>研發設定</t>
    <phoneticPr fontId="8"/>
  </si>
  <si>
    <t>報廢</t>
  </si>
  <si>
    <t>排序</t>
  </si>
  <si>
    <t>明細展開</t>
  </si>
  <si>
    <t>類別</t>
  </si>
  <si>
    <t>備註-商品名稱</t>
  </si>
  <si>
    <t>半成品</t>
  </si>
  <si>
    <t>組合端</t>
  </si>
  <si>
    <t>名稱</t>
  </si>
  <si>
    <t>超用</t>
  </si>
  <si>
    <t>訂單需求
(kg)</t>
  </si>
  <si>
    <t>補單
(kg)</t>
  </si>
  <si>
    <t>單價
(元)</t>
  </si>
  <si>
    <t>差異
(元)</t>
  </si>
  <si>
    <t>kg</t>
  </si>
  <si>
    <t>占比</t>
  </si>
  <si>
    <t>金額
(元)</t>
  </si>
  <si>
    <r>
      <t>生</t>
    </r>
    <r>
      <rPr>
        <sz val="12"/>
        <color theme="1"/>
        <rFont val="微軟正黑體"/>
        <family val="2"/>
        <charset val="136"/>
      </rPr>
      <t>產</t>
    </r>
    <r>
      <rPr>
        <sz val="12"/>
        <color theme="1"/>
        <rFont val="Meiryo UI"/>
        <family val="2"/>
      </rPr>
      <t>資訊</t>
    </r>
  </si>
  <si>
    <r>
      <t>生</t>
    </r>
    <r>
      <rPr>
        <sz val="12"/>
        <color theme="1"/>
        <rFont val="微軟正黑體"/>
        <family val="2"/>
        <charset val="136"/>
      </rPr>
      <t>產</t>
    </r>
    <r>
      <rPr>
        <sz val="12"/>
        <color theme="1"/>
        <rFont val="Meiryo UI"/>
        <family val="2"/>
      </rPr>
      <t>端</t>
    </r>
  </si>
  <si>
    <r>
      <rPr>
        <sz val="12"/>
        <rFont val="微軟正黑體"/>
        <family val="2"/>
        <charset val="136"/>
      </rPr>
      <t>產</t>
    </r>
    <r>
      <rPr>
        <sz val="12"/>
        <rFont val="Meiryo UI"/>
        <family val="2"/>
      </rPr>
      <t>出量</t>
    </r>
  </si>
  <si>
    <r>
      <t>實際生</t>
    </r>
    <r>
      <rPr>
        <sz val="12"/>
        <color theme="1"/>
        <rFont val="微軟正黑體"/>
        <family val="2"/>
        <charset val="136"/>
      </rPr>
      <t xml:space="preserve">產
</t>
    </r>
    <r>
      <rPr>
        <sz val="12"/>
        <color theme="1"/>
        <rFont val="Meiryo UI"/>
        <family val="2"/>
      </rPr>
      <t>(對比訂單需求)</t>
    </r>
  </si>
  <si>
    <t>品群</t>
    <phoneticPr fontId="8"/>
  </si>
  <si>
    <t>品群</t>
    <phoneticPr fontId="8"/>
  </si>
  <si>
    <t>原物料規格</t>
    <phoneticPr fontId="8"/>
  </si>
  <si>
    <t>其他原因</t>
    <phoneticPr fontId="8"/>
  </si>
  <si>
    <t>類型</t>
    <phoneticPr fontId="11" type="noConversion"/>
  </si>
  <si>
    <t>作業原因</t>
    <phoneticPr fontId="8"/>
  </si>
  <si>
    <t>類型</t>
    <phoneticPr fontId="11" type="noConversion"/>
  </si>
  <si>
    <t>原料原因</t>
    <phoneticPr fontId="8"/>
  </si>
  <si>
    <t>個／MH</t>
    <phoneticPr fontId="8"/>
  </si>
  <si>
    <r>
      <t>（１）收支</t>
    </r>
    <r>
      <rPr>
        <b/>
        <sz val="12"/>
        <color theme="1"/>
        <rFont val="Arial"/>
        <family val="3"/>
        <charset val="136"/>
      </rPr>
      <t>狀</t>
    </r>
    <r>
      <rPr>
        <b/>
        <sz val="12"/>
        <color theme="1"/>
        <rFont val="Meiryo UI"/>
        <family val="2"/>
      </rPr>
      <t>況</t>
    </r>
    <phoneticPr fontId="8"/>
  </si>
  <si>
    <r>
      <t>（５）品群別人時生</t>
    </r>
    <r>
      <rPr>
        <b/>
        <sz val="12"/>
        <color theme="1"/>
        <rFont val="Arial"/>
        <family val="3"/>
        <charset val="136"/>
      </rPr>
      <t>產</t>
    </r>
    <r>
      <rPr>
        <b/>
        <sz val="12"/>
        <color theme="1"/>
        <rFont val="Meiryo UI"/>
        <family val="2"/>
      </rPr>
      <t>性</t>
    </r>
    <phoneticPr fontId="8"/>
  </si>
  <si>
    <t>項目</t>
    <phoneticPr fontId="11" type="noConversion"/>
  </si>
  <si>
    <r>
      <t>人時性(</t>
    </r>
    <r>
      <rPr>
        <sz val="10"/>
        <color theme="1"/>
        <rFont val="細明體"/>
        <family val="3"/>
        <charset val="136"/>
      </rPr>
      <t>個</t>
    </r>
    <r>
      <rPr>
        <sz val="10"/>
        <color theme="1"/>
        <rFont val="Meiryo UI"/>
        <family val="2"/>
      </rPr>
      <t>/</t>
    </r>
    <r>
      <rPr>
        <sz val="10"/>
        <color theme="1"/>
        <rFont val="細明體"/>
        <family val="3"/>
        <charset val="136"/>
      </rPr>
      <t>月均)</t>
    </r>
    <r>
      <rPr>
        <sz val="10"/>
        <color theme="1"/>
        <rFont val="Meiryo UI"/>
        <family val="2"/>
      </rPr>
      <t xml:space="preserve"> </t>
    </r>
    <phoneticPr fontId="8"/>
  </si>
  <si>
    <r>
      <t>人時</t>
    </r>
    <r>
      <rPr>
        <sz val="10"/>
        <color theme="1"/>
        <rFont val="細明體"/>
        <family val="3"/>
        <charset val="136"/>
      </rPr>
      <t>達成率</t>
    </r>
    <r>
      <rPr>
        <sz val="10"/>
        <color theme="1"/>
        <rFont val="Meiryo UI"/>
        <family val="2"/>
      </rPr>
      <t>(%/</t>
    </r>
    <r>
      <rPr>
        <sz val="10"/>
        <color theme="1"/>
        <rFont val="細明體"/>
        <family val="3"/>
        <charset val="136"/>
      </rPr>
      <t>月均)</t>
    </r>
    <r>
      <rPr>
        <sz val="10"/>
        <color theme="1"/>
        <rFont val="Meiryo UI"/>
        <family val="2"/>
      </rPr>
      <t xml:space="preserve"> </t>
    </r>
    <phoneticPr fontId="8"/>
  </si>
  <si>
    <t>半成品-報廢(%)</t>
    <phoneticPr fontId="8"/>
  </si>
  <si>
    <t>半成品-超用(%)</t>
    <phoneticPr fontId="8"/>
  </si>
  <si>
    <r>
      <t>固定</t>
    </r>
    <r>
      <rPr>
        <sz val="10"/>
        <color theme="1"/>
        <rFont val="細明體"/>
        <family val="3"/>
        <charset val="136"/>
      </rPr>
      <t>產</t>
    </r>
    <r>
      <rPr>
        <sz val="10"/>
        <color theme="1"/>
        <rFont val="Meiryo UI"/>
        <family val="2"/>
      </rPr>
      <t>線-</t>
    </r>
    <r>
      <rPr>
        <sz val="10"/>
        <color theme="1"/>
        <rFont val="細明體"/>
        <family val="3"/>
        <charset val="136"/>
      </rPr>
      <t>導入率(%)</t>
    </r>
    <phoneticPr fontId="8"/>
  </si>
  <si>
    <r>
      <t>教育訓練-</t>
    </r>
    <r>
      <rPr>
        <sz val="10"/>
        <color theme="1"/>
        <rFont val="細明體"/>
        <family val="3"/>
        <charset val="136"/>
      </rPr>
      <t>實施率(%)</t>
    </r>
    <phoneticPr fontId="8"/>
  </si>
  <si>
    <r>
      <t>生</t>
    </r>
    <r>
      <rPr>
        <b/>
        <sz val="20"/>
        <color rgb="FF000000"/>
        <rFont val="細明體"/>
        <family val="3"/>
        <charset val="136"/>
      </rPr>
      <t>產</t>
    </r>
    <r>
      <rPr>
        <b/>
        <sz val="20"/>
        <color rgb="FF000000"/>
        <rFont val="Meiryo UI"/>
        <family val="2"/>
      </rPr>
      <t>管理報表</t>
    </r>
    <phoneticPr fontId="11" type="noConversion"/>
  </si>
  <si>
    <r>
      <t>（６）人時生</t>
    </r>
    <r>
      <rPr>
        <b/>
        <sz val="12"/>
        <color rgb="FF000000"/>
        <rFont val="Arial"/>
        <family val="3"/>
        <charset val="136"/>
      </rPr>
      <t>產</t>
    </r>
    <r>
      <rPr>
        <b/>
        <sz val="12"/>
        <color rgb="FF000000"/>
        <rFont val="Meiryo UI"/>
        <family val="2"/>
      </rPr>
      <t>性前幾名品項</t>
    </r>
    <phoneticPr fontId="11" type="noConversion"/>
  </si>
  <si>
    <r>
      <t>18℃-飯</t>
    </r>
    <r>
      <rPr>
        <sz val="11"/>
        <color theme="1"/>
        <rFont val="Arial"/>
        <family val="2"/>
      </rPr>
      <t>糰</t>
    </r>
  </si>
  <si>
    <r>
      <t>4℃-飯</t>
    </r>
    <r>
      <rPr>
        <sz val="11"/>
        <color theme="1"/>
        <rFont val="Arial"/>
        <family val="3"/>
        <charset val="136"/>
      </rPr>
      <t>糰</t>
    </r>
  </si>
  <si>
    <r>
      <t>熱食義</t>
    </r>
    <r>
      <rPr>
        <sz val="11"/>
        <color theme="1"/>
        <rFont val="Arial"/>
        <family val="2"/>
      </rPr>
      <t>麵</t>
    </r>
  </si>
  <si>
    <r>
      <t>季節調理</t>
    </r>
    <r>
      <rPr>
        <sz val="10"/>
        <color rgb="FF000000"/>
        <rFont val="Arial"/>
        <family val="2"/>
      </rPr>
      <t>麵</t>
    </r>
  </si>
  <si>
    <t>（８）報廢原因別前幾名品項</t>
    <phoneticPr fontId="11" type="noConversion"/>
  </si>
  <si>
    <r>
      <t>調理多</t>
    </r>
    <r>
      <rPr>
        <sz val="11"/>
        <color theme="1"/>
        <rFont val="Arial"/>
        <family val="3"/>
        <charset val="136"/>
      </rPr>
      <t>產</t>
    </r>
    <phoneticPr fontId="8"/>
  </si>
  <si>
    <t>原物料規格</t>
  </si>
  <si>
    <t>研發設定</t>
  </si>
  <si>
    <r>
      <rPr>
        <sz val="11"/>
        <color theme="1"/>
        <rFont val="細明體"/>
        <family val="3"/>
        <charset val="136"/>
      </rPr>
      <t>步</t>
    </r>
    <r>
      <rPr>
        <sz val="11"/>
        <color theme="1"/>
        <rFont val="Meiryo UI"/>
        <family val="2"/>
      </rPr>
      <t>留因素</t>
    </r>
    <phoneticPr fontId="8"/>
  </si>
  <si>
    <r>
      <t>（9）</t>
    </r>
    <r>
      <rPr>
        <b/>
        <sz val="12"/>
        <color rgb="FF000000"/>
        <rFont val="細明體"/>
        <family val="3"/>
        <charset val="136"/>
      </rPr>
      <t>步</t>
    </r>
    <r>
      <rPr>
        <b/>
        <sz val="12"/>
        <color rgb="FF000000"/>
        <rFont val="Meiryo UI"/>
        <family val="2"/>
      </rPr>
      <t>留因素</t>
    </r>
    <phoneticPr fontId="11" type="noConversion"/>
  </si>
  <si>
    <r>
      <t>調理多</t>
    </r>
    <r>
      <rPr>
        <sz val="11"/>
        <color theme="1"/>
        <rFont val="Arial"/>
        <family val="3"/>
        <charset val="136"/>
      </rPr>
      <t>產</t>
    </r>
    <phoneticPr fontId="8"/>
  </si>
  <si>
    <r>
      <rPr>
        <sz val="11"/>
        <color theme="1"/>
        <rFont val="細明體"/>
        <family val="3"/>
        <charset val="136"/>
      </rPr>
      <t>步</t>
    </r>
    <r>
      <rPr>
        <sz val="11"/>
        <color theme="1"/>
        <rFont val="Meiryo UI"/>
        <family val="2"/>
      </rPr>
      <t>留因素</t>
    </r>
    <phoneticPr fontId="8"/>
  </si>
  <si>
    <r>
      <t>4℃-飯</t>
    </r>
    <r>
      <rPr>
        <sz val="10"/>
        <color theme="1"/>
        <rFont val="細明體"/>
        <family val="3"/>
        <charset val="136"/>
      </rPr>
      <t>糰</t>
    </r>
    <r>
      <rPr>
        <sz val="10"/>
        <color theme="1"/>
        <rFont val="Meiryo UI"/>
        <family val="2"/>
      </rPr>
      <t>(065)</t>
    </r>
    <phoneticPr fontId="11" type="noConversion"/>
  </si>
  <si>
    <t>4℃-壽司手卷(077)</t>
  </si>
  <si>
    <t>4℃-壽司手卷(077)</t>
    <phoneticPr fontId="11" type="noConversion"/>
  </si>
  <si>
    <t>18℃-壽司手卷(071,072,075,076)</t>
  </si>
  <si>
    <t>18℃-壽司手卷(071,072,075,076)</t>
    <phoneticPr fontId="11" type="noConversion"/>
  </si>
  <si>
    <t>主食(091,092,093,094,095)</t>
  </si>
  <si>
    <t>主食(091,092,093,094,095)</t>
    <phoneticPr fontId="11" type="noConversion"/>
  </si>
  <si>
    <t>便當(083)</t>
  </si>
  <si>
    <t>便當(083)</t>
    <phoneticPr fontId="11" type="noConversion"/>
  </si>
  <si>
    <r>
      <t>熱食義</t>
    </r>
    <r>
      <rPr>
        <sz val="10"/>
        <color theme="1"/>
        <rFont val="細明體"/>
        <family val="3"/>
        <charset val="136"/>
      </rPr>
      <t>麵</t>
    </r>
    <r>
      <rPr>
        <sz val="10"/>
        <color theme="1"/>
        <rFont val="Meiryo UI"/>
        <family val="2"/>
      </rPr>
      <t>(122,123,124,126)</t>
    </r>
    <phoneticPr fontId="11" type="noConversion"/>
  </si>
  <si>
    <r>
      <t>季節調理</t>
    </r>
    <r>
      <rPr>
        <sz val="10"/>
        <color theme="1"/>
        <rFont val="細明體"/>
        <family val="3"/>
        <charset val="136"/>
      </rPr>
      <t>麵</t>
    </r>
    <r>
      <rPr>
        <sz val="10"/>
        <color theme="1"/>
        <rFont val="Meiryo UI"/>
        <family val="2"/>
      </rPr>
      <t>(111,112)</t>
    </r>
    <phoneticPr fontId="11" type="noConversion"/>
  </si>
  <si>
    <t>微波小吃(153,154,155)</t>
  </si>
  <si>
    <t>微波小吃(153,154,155)</t>
    <phoneticPr fontId="11" type="noConversion"/>
  </si>
  <si>
    <t>4℃-飯糰(065)</t>
  </si>
  <si>
    <t>熱食義麵(122,123,124,126)</t>
  </si>
  <si>
    <t>季節調理麵(111,112)</t>
  </si>
  <si>
    <r>
      <t>生</t>
    </r>
    <r>
      <rPr>
        <b/>
        <sz val="20"/>
        <color rgb="FF000000"/>
        <rFont val="細明體"/>
        <family val="3"/>
        <charset val="136"/>
      </rPr>
      <t>產</t>
    </r>
    <r>
      <rPr>
        <b/>
        <sz val="20"/>
        <color rgb="FF000000"/>
        <rFont val="Meiryo UI"/>
        <family val="2"/>
      </rPr>
      <t>管理報表</t>
    </r>
    <phoneticPr fontId="11" type="noConversion"/>
  </si>
  <si>
    <r>
      <t>（７）</t>
    </r>
    <r>
      <rPr>
        <b/>
        <sz val="12"/>
        <color rgb="FF000000"/>
        <rFont val="Meiryo UI"/>
        <family val="2"/>
      </rPr>
      <t>原因別分析</t>
    </r>
    <phoneticPr fontId="11" type="noConversion"/>
  </si>
  <si>
    <t>業績金額</t>
    <phoneticPr fontId="11" type="noConversion"/>
  </si>
  <si>
    <t>項目</t>
    <phoneticPr fontId="11" type="noConversion"/>
  </si>
  <si>
    <r>
      <t>調理多</t>
    </r>
    <r>
      <rPr>
        <b/>
        <sz val="14"/>
        <color theme="1"/>
        <rFont val="Arial"/>
        <family val="3"/>
        <charset val="136"/>
      </rPr>
      <t>產</t>
    </r>
    <phoneticPr fontId="8"/>
  </si>
  <si>
    <t>製程不穩</t>
    <phoneticPr fontId="8"/>
  </si>
  <si>
    <t>抓樣不穩</t>
    <phoneticPr fontId="8"/>
  </si>
  <si>
    <t>比例</t>
    <phoneticPr fontId="8"/>
  </si>
  <si>
    <t>報廢</t>
    <phoneticPr fontId="8"/>
  </si>
  <si>
    <t>超用</t>
    <phoneticPr fontId="8"/>
  </si>
  <si>
    <t>原物料規格</t>
    <phoneticPr fontId="8"/>
  </si>
  <si>
    <t>研發設定</t>
    <phoneticPr fontId="8"/>
  </si>
  <si>
    <t>其他原因</t>
    <phoneticPr fontId="8"/>
  </si>
  <si>
    <r>
      <rPr>
        <b/>
        <sz val="14"/>
        <color rgb="FF000000"/>
        <rFont val="Arial"/>
        <family val="3"/>
        <charset val="136"/>
      </rPr>
      <t>步</t>
    </r>
    <r>
      <rPr>
        <b/>
        <sz val="14"/>
        <color rgb="FF000000"/>
        <rFont val="Meiryo UI"/>
        <family val="2"/>
      </rPr>
      <t>留不足</t>
    </r>
    <phoneticPr fontId="11" type="noConversion"/>
  </si>
  <si>
    <t>展開量高於１０5％</t>
    <phoneticPr fontId="8"/>
  </si>
  <si>
    <t>18℃-壽司手卷(071,072,075,076)</t>
    <phoneticPr fontId="11" type="noConversion"/>
  </si>
  <si>
    <t>鮮食品群番</t>
    <phoneticPr fontId="11" type="noConversion"/>
  </si>
  <si>
    <t>06</t>
  </si>
  <si>
    <t>飯糰</t>
  </si>
  <si>
    <t>10</t>
  </si>
  <si>
    <t>三明治</t>
  </si>
  <si>
    <t>061</t>
  </si>
  <si>
    <t>飯糰一配</t>
  </si>
  <si>
    <t>106</t>
  </si>
  <si>
    <t>三明治４度Ｃ</t>
  </si>
  <si>
    <t>063</t>
  </si>
  <si>
    <t>飯糰二配</t>
  </si>
  <si>
    <t>107</t>
  </si>
  <si>
    <t>調理麵包４度Ｃ</t>
  </si>
  <si>
    <t>065</t>
  </si>
  <si>
    <t>飯糰４度Ｃ</t>
  </si>
  <si>
    <t>11</t>
  </si>
  <si>
    <t>07</t>
  </si>
  <si>
    <t>壽司、手卷</t>
  </si>
  <si>
    <t>111</t>
  </si>
  <si>
    <t>涼麵</t>
  </si>
  <si>
    <t>071</t>
  </si>
  <si>
    <t>壽司一配</t>
  </si>
  <si>
    <t>112</t>
  </si>
  <si>
    <t>熱湯麵</t>
  </si>
  <si>
    <t>072</t>
  </si>
  <si>
    <t>手卷一配</t>
  </si>
  <si>
    <t>12</t>
  </si>
  <si>
    <t>075</t>
  </si>
  <si>
    <t>壽司二配</t>
  </si>
  <si>
    <t>122</t>
  </si>
  <si>
    <t>熱食麵</t>
  </si>
  <si>
    <t>076</t>
  </si>
  <si>
    <t>手卷２配</t>
  </si>
  <si>
    <t>123</t>
  </si>
  <si>
    <t>077</t>
  </si>
  <si>
    <t>４℃壽司手卷</t>
  </si>
  <si>
    <t>124</t>
  </si>
  <si>
    <t>義大利麵</t>
  </si>
  <si>
    <t>08</t>
  </si>
  <si>
    <t>126</t>
  </si>
  <si>
    <t>冷凍調理麵</t>
  </si>
  <si>
    <t>083</t>
  </si>
  <si>
    <t>便當４℃</t>
  </si>
  <si>
    <t>14</t>
  </si>
  <si>
    <t>沙拉</t>
  </si>
  <si>
    <t>09</t>
  </si>
  <si>
    <t>微波主食</t>
  </si>
  <si>
    <t>141</t>
  </si>
  <si>
    <t>091</t>
  </si>
  <si>
    <t>中式主食二配</t>
  </si>
  <si>
    <t>15</t>
  </si>
  <si>
    <t>小菜、微波</t>
  </si>
  <si>
    <t>092</t>
  </si>
  <si>
    <t>西式主食二配</t>
  </si>
  <si>
    <t>153</t>
  </si>
  <si>
    <t>湯品</t>
  </si>
  <si>
    <t>093</t>
  </si>
  <si>
    <t>日式主食</t>
  </si>
  <si>
    <t>154</t>
  </si>
  <si>
    <t>滷味</t>
  </si>
  <si>
    <t>094</t>
  </si>
  <si>
    <t>粥品</t>
  </si>
  <si>
    <t>155</t>
  </si>
  <si>
    <t>特色小吃</t>
  </si>
  <si>
    <t>095</t>
  </si>
  <si>
    <t>其他飯類</t>
  </si>
  <si>
    <t>品類訂單量</t>
    <phoneticPr fontId="11" type="noConversion"/>
  </si>
  <si>
    <t>（3）業績構成比</t>
    <phoneticPr fontId="11" type="noConversion"/>
  </si>
  <si>
    <t>（4）訂單數量構成比</t>
    <phoneticPr fontId="11" type="noConversion"/>
  </si>
  <si>
    <t>展開量高於１０5％</t>
    <phoneticPr fontId="8"/>
  </si>
  <si>
    <t>展開量高於１０5％</t>
    <phoneticPr fontId="8"/>
  </si>
  <si>
    <t>展開量高於１０5％</t>
    <phoneticPr fontId="8"/>
  </si>
  <si>
    <t xml:space="preserve">半成品報廢(%) </t>
    <phoneticPr fontId="11" type="noConversion"/>
  </si>
  <si>
    <t>月別</t>
    <phoneticPr fontId="8"/>
  </si>
  <si>
    <t>週別</t>
    <phoneticPr fontId="11" type="noConversion"/>
  </si>
  <si>
    <t>當週</t>
  </si>
  <si>
    <t>當週</t>
    <phoneticPr fontId="8"/>
  </si>
  <si>
    <t>前週</t>
  </si>
  <si>
    <t>前週</t>
    <phoneticPr fontId="11" type="noConversion"/>
  </si>
  <si>
    <t>前週</t>
    <phoneticPr fontId="8"/>
  </si>
  <si>
    <t>月平均人時性</t>
  </si>
  <si>
    <t>月平均人時性</t>
    <phoneticPr fontId="11" type="noConversion"/>
  </si>
  <si>
    <t>KPI</t>
    <phoneticPr fontId="11" type="noConversion"/>
  </si>
  <si>
    <t>18℃-飯糰(061,063)</t>
  </si>
  <si>
    <t>二</t>
    <phoneticPr fontId="11" type="noConversion"/>
  </si>
  <si>
    <t>三</t>
    <phoneticPr fontId="11" type="noConversion"/>
  </si>
  <si>
    <t>四</t>
    <phoneticPr fontId="11" type="noConversion"/>
  </si>
  <si>
    <t>五</t>
    <phoneticPr fontId="11" type="noConversion"/>
  </si>
  <si>
    <t>六</t>
    <phoneticPr fontId="11" type="noConversion"/>
  </si>
  <si>
    <t>日</t>
    <phoneticPr fontId="11" type="noConversion"/>
  </si>
  <si>
    <t>一</t>
    <phoneticPr fontId="11" type="noConversion"/>
  </si>
  <si>
    <r>
      <t>4℃</t>
    </r>
    <r>
      <rPr>
        <b/>
        <sz val="11.9"/>
        <color rgb="FF000000"/>
        <rFont val="Meiryo UI"/>
        <family val="2"/>
      </rPr>
      <t>-</t>
    </r>
    <r>
      <rPr>
        <b/>
        <sz val="14"/>
        <color rgb="FF000000"/>
        <rFont val="Meiryo UI"/>
        <family val="2"/>
      </rPr>
      <t>飯</t>
    </r>
    <r>
      <rPr>
        <b/>
        <sz val="14"/>
        <color rgb="FF000000"/>
        <rFont val="細明體"/>
        <family val="3"/>
        <charset val="136"/>
      </rPr>
      <t>糰</t>
    </r>
    <phoneticPr fontId="11" type="noConversion"/>
  </si>
  <si>
    <t>生產課</t>
  </si>
  <si>
    <t>二配香拌海鮮醬肉絲蛋炒飯</t>
  </si>
  <si>
    <t>其他</t>
  </si>
  <si>
    <t>二配金咖哩果香甘口咖哩飯</t>
  </si>
  <si>
    <t>北海道秋鮭親子飯糰</t>
  </si>
  <si>
    <t>府城鹽水意麵</t>
  </si>
  <si>
    <t>蒸鼎泰豐香辣醬</t>
  </si>
  <si>
    <t>香辣醬粉絲煲</t>
  </si>
  <si>
    <t>調配課</t>
  </si>
  <si>
    <t>調理多產</t>
  </si>
  <si>
    <t>共用類</t>
  </si>
  <si>
    <t>極上炙烤親子丼</t>
  </si>
  <si>
    <t>切-炙燒炭火燒肉片</t>
  </si>
  <si>
    <t>蒜蒜燒豚飯</t>
  </si>
  <si>
    <t>二配港式香滑嫩蛋牛肉燴飯</t>
  </si>
  <si>
    <t>營業額(元)</t>
    <phoneticPr fontId="11" type="noConversion"/>
  </si>
  <si>
    <t>營業額</t>
    <phoneticPr fontId="11" type="noConversion"/>
  </si>
  <si>
    <t>經典肉鬆飯糰</t>
  </si>
  <si>
    <t>蔬食鮪魚飯糰</t>
  </si>
  <si>
    <t>熟成紅鮭飯糰</t>
  </si>
  <si>
    <t>鮪魚飯糰</t>
  </si>
  <si>
    <t>贅沢鮭魚肚飯糰</t>
  </si>
  <si>
    <t>壹號醬炙烤牛飯糰</t>
  </si>
  <si>
    <t>明太子龍蝦風味沙拉飯糰</t>
  </si>
  <si>
    <t>鹽蔥燒肉飯糰</t>
  </si>
  <si>
    <t>雞肉飯飯糰</t>
  </si>
  <si>
    <t>碳烤燒肉飯飯糰(區)</t>
  </si>
  <si>
    <t>二配芝麻香鬆飯糰</t>
  </si>
  <si>
    <t>二配油蔥G絲飯糰</t>
  </si>
  <si>
    <t>長野稻荷壽司</t>
  </si>
  <si>
    <t>雙饗雙手卷</t>
  </si>
  <si>
    <t>海饌雙手卷</t>
  </si>
  <si>
    <t>優質池上飯</t>
  </si>
  <si>
    <t>壽喜燒牛丼</t>
  </si>
  <si>
    <t>二配鐵板蘑菇肉醬起司焗飯</t>
  </si>
  <si>
    <t>二配粗飽系雞排炒飯</t>
  </si>
  <si>
    <t>二配哞哞培根奶香海陸焗飯</t>
  </si>
  <si>
    <t>二配黃金雞排蘑菇白醬歐姆蛋飯</t>
  </si>
  <si>
    <t>二配里肌豬排可可咖哩歐姆蛋飯</t>
  </si>
  <si>
    <t>二配香辣醬蒜味香腸蛋炒飯</t>
  </si>
  <si>
    <t>鐵板滑蛋炸豬排丼</t>
  </si>
  <si>
    <t>二配煸椒烘蛋飯</t>
  </si>
  <si>
    <t>二配川味麻婆燒豆腐燴飯</t>
  </si>
  <si>
    <t>二配美味蟹煲</t>
  </si>
  <si>
    <t>嘉義劉里長雞肉飯</t>
  </si>
  <si>
    <t>嫩烤香料雞胸排蔬滿盒</t>
  </si>
  <si>
    <t>新招牌腿排便當</t>
  </si>
  <si>
    <t>經典滷肉飯</t>
  </si>
  <si>
    <t>美式雞丁餐盒</t>
  </si>
  <si>
    <t>健身G肉餐盒</t>
  </si>
  <si>
    <t>烤蛋白餐盒</t>
  </si>
  <si>
    <t>沙茶豬肉炒麵</t>
  </si>
  <si>
    <t>椒麻香蔥雞涼拌麵</t>
  </si>
  <si>
    <t>台式麻醬涼麵</t>
  </si>
  <si>
    <t>大滿足香辣涼麵</t>
  </si>
  <si>
    <t>大滿足麻醬涼麵</t>
  </si>
  <si>
    <t>多穀紫米飯</t>
  </si>
  <si>
    <t>糖燻豬耳絲</t>
  </si>
  <si>
    <t>韓式蒜味炸雞</t>
  </si>
  <si>
    <t>古早味炒炊粉</t>
  </si>
  <si>
    <t>麻油雞飯糰</t>
  </si>
  <si>
    <t>淡麗清酒蒸蛤蜊烤飯糰</t>
  </si>
  <si>
    <t>大口金黃薯牛堡飯糰</t>
  </si>
  <si>
    <t>大口日式塔塔醬蝦排飯糰</t>
  </si>
  <si>
    <t>大口歐風焙煎咖哩漢堡排飯糰</t>
  </si>
  <si>
    <t>大口蒜味香腸燒肉雙拼飯糰</t>
  </si>
  <si>
    <t>大口義式香草雞腿排飯糰</t>
  </si>
  <si>
    <t>晉欣廠</t>
    <phoneticPr fontId="11" type="noConversion"/>
  </si>
  <si>
    <r>
      <t>生</t>
    </r>
    <r>
      <rPr>
        <b/>
        <sz val="20"/>
        <color rgb="FF000000"/>
        <rFont val="微軟正黑體"/>
        <family val="2"/>
        <charset val="136"/>
      </rPr>
      <t>產</t>
    </r>
    <r>
      <rPr>
        <b/>
        <sz val="20"/>
        <color rgb="FF000000"/>
        <rFont val="Meiryo UI"/>
        <family val="2"/>
        <charset val="128"/>
      </rPr>
      <t>管理報表</t>
    </r>
    <phoneticPr fontId="11" type="noConversion"/>
  </si>
  <si>
    <t>胡麻鮮蔬雞絲飯糰(區)</t>
  </si>
  <si>
    <t>－</t>
  </si>
  <si>
    <t>累計</t>
    <phoneticPr fontId="11" type="noConversion"/>
  </si>
  <si>
    <t>製程不穩</t>
  </si>
  <si>
    <t>二配蒸鼎泰豐香辣醬</t>
  </si>
  <si>
    <t>切烤雞胸肉</t>
  </si>
  <si>
    <t>粉絲煲湯凍</t>
  </si>
  <si>
    <t>準備課</t>
  </si>
  <si>
    <t>壹號醬雞豚雙拼</t>
  </si>
  <si>
    <t>切-究極燒肉片</t>
  </si>
  <si>
    <t>平均人時性</t>
    <phoneticPr fontId="11" type="noConversion"/>
  </si>
  <si>
    <t>排名</t>
    <phoneticPr fontId="11" type="noConversion"/>
  </si>
  <si>
    <t>實際</t>
    <phoneticPr fontId="11" type="noConversion"/>
  </si>
  <si>
    <t>品群</t>
    <phoneticPr fontId="11" type="noConversion"/>
  </si>
  <si>
    <t>計畫</t>
    <phoneticPr fontId="11" type="noConversion"/>
  </si>
  <si>
    <t>實績</t>
    <phoneticPr fontId="11" type="noConversion"/>
  </si>
  <si>
    <t>日報</t>
    <phoneticPr fontId="11" type="noConversion"/>
  </si>
  <si>
    <t>產線配置圖</t>
    <phoneticPr fontId="11" type="noConversion"/>
  </si>
  <si>
    <t>生產實績</t>
    <phoneticPr fontId="11" type="noConversion"/>
  </si>
  <si>
    <t>人數</t>
    <phoneticPr fontId="11" type="noConversion"/>
  </si>
  <si>
    <t>產能／時</t>
    <phoneticPr fontId="11" type="noConversion"/>
  </si>
  <si>
    <t>人時性</t>
    <phoneticPr fontId="11" type="noConversion"/>
  </si>
  <si>
    <r>
      <t>4</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1" type="noConversion"/>
  </si>
  <si>
    <t>商品名稱</t>
    <phoneticPr fontId="11" type="noConversion"/>
  </si>
  <si>
    <r>
      <rPr>
        <sz val="10"/>
        <color rgb="FF000000"/>
        <rFont val="Arial"/>
        <family val="3"/>
        <charset val="136"/>
        <scheme val="minor"/>
      </rPr>
      <t>4℃</t>
    </r>
    <r>
      <rPr>
        <sz val="10"/>
        <color rgb="FF000000"/>
        <rFont val="Arial"/>
        <family val="2"/>
        <scheme val="minor"/>
      </rPr>
      <t>-</t>
    </r>
    <r>
      <rPr>
        <sz val="10"/>
        <color rgb="FF000000"/>
        <rFont val="Arial"/>
        <family val="3"/>
        <charset val="136"/>
        <scheme val="minor"/>
      </rPr>
      <t>壽司手卷</t>
    </r>
    <phoneticPr fontId="11" type="noConversion"/>
  </si>
  <si>
    <t>熱食義麵</t>
    <phoneticPr fontId="11" type="noConversion"/>
  </si>
  <si>
    <t>人數</t>
    <phoneticPr fontId="8"/>
  </si>
  <si>
    <r>
      <rPr>
        <sz val="10"/>
        <color theme="1"/>
        <rFont val="Arial"/>
        <family val="3"/>
        <charset val="136"/>
      </rPr>
      <t>產</t>
    </r>
    <r>
      <rPr>
        <sz val="10"/>
        <color theme="1"/>
        <rFont val="Meiryo UI"/>
        <family val="2"/>
      </rPr>
      <t>能</t>
    </r>
    <phoneticPr fontId="8"/>
  </si>
  <si>
    <r>
      <t>人時生</t>
    </r>
    <r>
      <rPr>
        <sz val="10"/>
        <color theme="1"/>
        <rFont val="Arial"/>
        <family val="3"/>
        <charset val="136"/>
      </rPr>
      <t>產</t>
    </r>
    <r>
      <rPr>
        <sz val="10"/>
        <color theme="1"/>
        <rFont val="Meiryo UI"/>
        <family val="2"/>
      </rPr>
      <t>性</t>
    </r>
    <phoneticPr fontId="8"/>
  </si>
  <si>
    <t>前週比</t>
    <phoneticPr fontId="11" type="noConversion"/>
  </si>
  <si>
    <t>主要原因&amp;對策</t>
    <phoneticPr fontId="8"/>
  </si>
  <si>
    <t>排名</t>
    <phoneticPr fontId="8"/>
  </si>
  <si>
    <t>▼1</t>
    <phoneticPr fontId="8"/>
  </si>
  <si>
    <t>▼2</t>
    <phoneticPr fontId="8"/>
  </si>
  <si>
    <t>▼3</t>
    <phoneticPr fontId="8"/>
  </si>
  <si>
    <t>▼4</t>
    <phoneticPr fontId="8"/>
  </si>
  <si>
    <t>▼5</t>
    <phoneticPr fontId="8"/>
  </si>
  <si>
    <t>燻之味-糖燻雞胗</t>
  </si>
  <si>
    <t>18切烤千層麵</t>
  </si>
  <si>
    <t>品群</t>
    <phoneticPr fontId="11" type="noConversion"/>
  </si>
  <si>
    <t>商品名稱</t>
    <phoneticPr fontId="11" type="noConversion"/>
  </si>
  <si>
    <t>計畫</t>
    <phoneticPr fontId="11" type="noConversion"/>
  </si>
  <si>
    <t>平均人時性</t>
    <phoneticPr fontId="11" type="noConversion"/>
  </si>
  <si>
    <t>實績</t>
    <phoneticPr fontId="11" type="noConversion"/>
  </si>
  <si>
    <t>排名</t>
    <phoneticPr fontId="11" type="noConversion"/>
  </si>
  <si>
    <t>日報</t>
    <phoneticPr fontId="11" type="noConversion"/>
  </si>
  <si>
    <t>實際</t>
    <phoneticPr fontId="11" type="noConversion"/>
  </si>
  <si>
    <t>產線配置圖</t>
    <phoneticPr fontId="11" type="noConversion"/>
  </si>
  <si>
    <t>生產實績</t>
    <phoneticPr fontId="11" type="noConversion"/>
  </si>
  <si>
    <t>人數</t>
    <phoneticPr fontId="11" type="noConversion"/>
  </si>
  <si>
    <t>產能／時</t>
    <phoneticPr fontId="11" type="noConversion"/>
  </si>
  <si>
    <t>人時性</t>
    <phoneticPr fontId="11" type="noConversion"/>
  </si>
  <si>
    <r>
      <rPr>
        <sz val="10"/>
        <color rgb="FF000000"/>
        <rFont val="Arial"/>
        <family val="3"/>
        <charset val="136"/>
        <scheme val="minor"/>
      </rPr>
      <t>4℃</t>
    </r>
    <r>
      <rPr>
        <sz val="10"/>
        <color rgb="FF000000"/>
        <rFont val="Arial"/>
        <family val="2"/>
        <scheme val="minor"/>
      </rPr>
      <t>-</t>
    </r>
    <r>
      <rPr>
        <sz val="10"/>
        <color rgb="FF000000"/>
        <rFont val="Arial"/>
        <family val="3"/>
        <charset val="136"/>
        <scheme val="minor"/>
      </rPr>
      <t>壽司手卷</t>
    </r>
    <phoneticPr fontId="11" type="noConversion"/>
  </si>
  <si>
    <t>季節調理麵</t>
    <phoneticPr fontId="11" type="noConversion"/>
  </si>
  <si>
    <t>糖燻野郎起司炙燒牛烤飯糰</t>
  </si>
  <si>
    <t>產能／時</t>
    <phoneticPr fontId="11" type="noConversion"/>
  </si>
  <si>
    <t>二配乳酪燻腸紅醬焗飯</t>
  </si>
  <si>
    <t>增加線上抽秤頻率</t>
  </si>
  <si>
    <t>博多明太子奶油飯糰</t>
  </si>
  <si>
    <r>
      <t>（５）品群別人時生</t>
    </r>
    <r>
      <rPr>
        <b/>
        <sz val="12"/>
        <color theme="1"/>
        <rFont val="細明體"/>
        <family val="3"/>
        <charset val="136"/>
      </rPr>
      <t>產</t>
    </r>
    <r>
      <rPr>
        <b/>
        <sz val="12"/>
        <color theme="1"/>
        <rFont val="Meiryo UI"/>
        <family val="2"/>
      </rPr>
      <t>性</t>
    </r>
    <phoneticPr fontId="8"/>
  </si>
  <si>
    <t>一</t>
  </si>
  <si>
    <t>二</t>
  </si>
  <si>
    <t>三</t>
  </si>
  <si>
    <t>四</t>
  </si>
  <si>
    <t>五</t>
  </si>
  <si>
    <t>六</t>
  </si>
  <si>
    <t>日</t>
  </si>
  <si>
    <r>
      <t>月</t>
    </r>
    <r>
      <rPr>
        <sz val="11"/>
        <color rgb="FFFF0000"/>
        <rFont val="細明體"/>
        <family val="3"/>
        <charset val="136"/>
      </rPr>
      <t>平均</t>
    </r>
    <phoneticPr fontId="11" type="noConversion"/>
  </si>
  <si>
    <t>雙醬雞排鐵板麵</t>
  </si>
  <si>
    <t>香濃起司蟹風味棒細卷</t>
  </si>
  <si>
    <t>照燒雞肉飯糰</t>
  </si>
  <si>
    <t>肉燥烤飯糰</t>
  </si>
  <si>
    <t>妮妮家漢堡排</t>
  </si>
  <si>
    <t>蒜泥狠台味三拼</t>
  </si>
  <si>
    <t>產線配置圖－月表</t>
    <phoneticPr fontId="11" type="noConversion"/>
  </si>
  <si>
    <t>品群</t>
    <phoneticPr fontId="11" type="noConversion"/>
  </si>
  <si>
    <t>商品名稱</t>
    <phoneticPr fontId="11" type="noConversion"/>
  </si>
  <si>
    <t>計畫</t>
    <phoneticPr fontId="11" type="noConversion"/>
  </si>
  <si>
    <t>平均人時性</t>
    <phoneticPr fontId="11" type="noConversion"/>
  </si>
  <si>
    <t>實績</t>
    <phoneticPr fontId="11" type="noConversion"/>
  </si>
  <si>
    <t>排名</t>
    <phoneticPr fontId="11" type="noConversion"/>
  </si>
  <si>
    <t>產線配置圖</t>
    <phoneticPr fontId="11" type="noConversion"/>
  </si>
  <si>
    <t>人數</t>
    <phoneticPr fontId="11" type="noConversion"/>
  </si>
  <si>
    <t>產能／時</t>
    <phoneticPr fontId="11" type="noConversion"/>
  </si>
  <si>
    <t>人時性</t>
    <phoneticPr fontId="11"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</si>
  <si>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1"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</si>
  <si>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1" type="noConversion"/>
  </si>
  <si>
    <t>產線配置圖－月表</t>
    <phoneticPr fontId="11" type="noConversion"/>
  </si>
  <si>
    <t>便當</t>
    <phoneticPr fontId="11" type="noConversion"/>
  </si>
  <si>
    <t>微波小吃</t>
    <phoneticPr fontId="11" type="noConversion"/>
  </si>
  <si>
    <t>韓式部隊鍋</t>
  </si>
  <si>
    <t>原物料大小差異</t>
  </si>
  <si>
    <t>腿肉丁大小差異</t>
  </si>
  <si>
    <t>海陸雙拼肉肉餐盒</t>
  </si>
  <si>
    <t>經典鮪魚沙拉細卷</t>
  </si>
  <si>
    <t>取樣不穩</t>
  </si>
  <si>
    <t>蔬活腿排補力餐盒</t>
  </si>
  <si>
    <t>類型</t>
    <phoneticPr fontId="11" type="noConversion"/>
  </si>
  <si>
    <t>展開量高於１０5％</t>
    <phoneticPr fontId="11" type="noConversion"/>
  </si>
  <si>
    <t>反應調配課級，追蹤三天備料狀況</t>
  </si>
  <si>
    <t>製程不穩</t>
    <phoneticPr fontId="11" type="noConversion"/>
  </si>
  <si>
    <t>蛤蜊五目中華燴麵</t>
  </si>
  <si>
    <t>二配西班牙風味海鮮燉飯</t>
  </si>
  <si>
    <t>製程報廢</t>
  </si>
  <si>
    <t>其他原因</t>
    <phoneticPr fontId="11" type="noConversion"/>
  </si>
  <si>
    <r>
      <t>生</t>
    </r>
    <r>
      <rPr>
        <b/>
        <sz val="20"/>
        <color rgb="FF000000"/>
        <rFont val="細明體"/>
        <family val="3"/>
        <charset val="136"/>
      </rPr>
      <t>產</t>
    </r>
    <r>
      <rPr>
        <b/>
        <sz val="20"/>
        <color rgb="FF000000"/>
        <rFont val="Meiryo UI"/>
        <family val="2"/>
      </rPr>
      <t>管理報表</t>
    </r>
    <phoneticPr fontId="11" type="noConversion"/>
  </si>
  <si>
    <t>（８）超用原因別前幾名品項</t>
    <phoneticPr fontId="11" type="noConversion"/>
  </si>
  <si>
    <t>展開量高於１０5％</t>
    <phoneticPr fontId="8"/>
  </si>
  <si>
    <r>
      <t>調理多</t>
    </r>
    <r>
      <rPr>
        <sz val="11"/>
        <color theme="1"/>
        <rFont val="Arial"/>
        <family val="3"/>
        <charset val="136"/>
      </rPr>
      <t>產</t>
    </r>
    <phoneticPr fontId="8"/>
  </si>
  <si>
    <t>製程不穩</t>
    <phoneticPr fontId="8"/>
  </si>
  <si>
    <t>取樣不穩</t>
    <phoneticPr fontId="8"/>
  </si>
  <si>
    <t>原物料規格</t>
    <phoneticPr fontId="8"/>
  </si>
  <si>
    <t>研發設定</t>
    <phoneticPr fontId="8"/>
  </si>
  <si>
    <t>其他原因</t>
    <phoneticPr fontId="8"/>
  </si>
  <si>
    <r>
      <rPr>
        <sz val="11"/>
        <color theme="1"/>
        <rFont val="細明體"/>
        <family val="3"/>
        <charset val="136"/>
      </rPr>
      <t>步</t>
    </r>
    <r>
      <rPr>
        <sz val="11"/>
        <color theme="1"/>
        <rFont val="Meiryo UI"/>
        <family val="2"/>
      </rPr>
      <t>留因素</t>
    </r>
    <phoneticPr fontId="8"/>
  </si>
  <si>
    <t>原物料大小、厚薄差異</t>
  </si>
  <si>
    <r>
      <t>報廢前</t>
    </r>
    <r>
      <rPr>
        <b/>
        <sz val="16"/>
        <color rgb="FF000000"/>
        <rFont val="細明體"/>
        <family val="3"/>
        <charset val="136"/>
      </rPr>
      <t>二</t>
    </r>
    <r>
      <rPr>
        <b/>
        <sz val="16"/>
        <color rgb="FF000000"/>
        <rFont val="Meiryo UI"/>
        <family val="2"/>
        <charset val="128"/>
      </rPr>
      <t>十名紀</t>
    </r>
    <r>
      <rPr>
        <b/>
        <sz val="16"/>
        <color rgb="FF000000"/>
        <rFont val="細明體"/>
        <family val="3"/>
        <charset val="136"/>
      </rPr>
      <t>錄</t>
    </r>
    <r>
      <rPr>
        <b/>
        <sz val="16"/>
        <color rgb="FF000000"/>
        <rFont val="Meiryo UI"/>
        <family val="2"/>
      </rPr>
      <t>表</t>
    </r>
    <phoneticPr fontId="11" type="noConversion"/>
  </si>
  <si>
    <t>月別</t>
    <phoneticPr fontId="11" type="noConversion"/>
  </si>
  <si>
    <t>分析原因</t>
    <phoneticPr fontId="11" type="noConversion"/>
  </si>
  <si>
    <r>
      <t>原因</t>
    </r>
    <r>
      <rPr>
        <sz val="12"/>
        <color theme="1"/>
        <rFont val="細明體"/>
        <family val="3"/>
        <charset val="136"/>
      </rPr>
      <t>說</t>
    </r>
    <r>
      <rPr>
        <sz val="12"/>
        <color theme="1"/>
        <rFont val="Meiryo UI"/>
        <family val="2"/>
        <charset val="128"/>
      </rPr>
      <t>明</t>
    </r>
    <phoneticPr fontId="11" type="noConversion"/>
  </si>
  <si>
    <t>後續對策</t>
    <phoneticPr fontId="11" type="noConversion"/>
  </si>
  <si>
    <t>次數</t>
    <phoneticPr fontId="11" type="noConversion"/>
  </si>
  <si>
    <t>分析原因（件）</t>
    <phoneticPr fontId="11" type="noConversion"/>
  </si>
  <si>
    <t>報廢金額</t>
    <phoneticPr fontId="11" type="noConversion"/>
  </si>
  <si>
    <r>
      <t>實際</t>
    </r>
    <r>
      <rPr>
        <sz val="12"/>
        <color theme="1"/>
        <rFont val="微軟正黑體"/>
        <family val="2"/>
        <charset val="136"/>
      </rPr>
      <t>產</t>
    </r>
    <r>
      <rPr>
        <sz val="12"/>
        <color theme="1"/>
        <rFont val="Meiryo UI"/>
        <family val="2"/>
      </rPr>
      <t>出
(kg)</t>
    </r>
    <phoneticPr fontId="11" type="noConversion"/>
  </si>
  <si>
    <r>
      <t>實際</t>
    </r>
    <r>
      <rPr>
        <sz val="12"/>
        <color theme="1"/>
        <rFont val="細明體"/>
        <family val="3"/>
        <charset val="136"/>
      </rPr>
      <t>產</t>
    </r>
    <r>
      <rPr>
        <sz val="12"/>
        <color theme="1"/>
        <rFont val="Meiryo UI"/>
        <family val="2"/>
      </rPr>
      <t>出占比</t>
    </r>
    <phoneticPr fontId="11" type="noConversion"/>
  </si>
  <si>
    <t>補單占比</t>
    <phoneticPr fontId="11" type="noConversion"/>
  </si>
  <si>
    <t>總件數</t>
    <phoneticPr fontId="11" type="noConversion"/>
  </si>
  <si>
    <t>展開量高於１０5％</t>
    <phoneticPr fontId="11" type="noConversion"/>
  </si>
  <si>
    <r>
      <t>調理多</t>
    </r>
    <r>
      <rPr>
        <sz val="12"/>
        <color theme="1"/>
        <rFont val="細明體"/>
        <family val="3"/>
        <charset val="136"/>
      </rPr>
      <t>產</t>
    </r>
    <phoneticPr fontId="11" type="noConversion"/>
  </si>
  <si>
    <t>製程不穩</t>
    <phoneticPr fontId="11" type="noConversion"/>
  </si>
  <si>
    <t>取樣不穩</t>
    <phoneticPr fontId="11" type="noConversion"/>
  </si>
  <si>
    <t>原物料規格</t>
    <phoneticPr fontId="11" type="noConversion"/>
  </si>
  <si>
    <t>研發設定</t>
    <phoneticPr fontId="11" type="noConversion"/>
  </si>
  <si>
    <t>其他原因</t>
    <phoneticPr fontId="11" type="noConversion"/>
  </si>
  <si>
    <r>
      <rPr>
        <sz val="12"/>
        <color theme="1"/>
        <rFont val="細明體"/>
        <family val="3"/>
        <charset val="136"/>
      </rPr>
      <t>步</t>
    </r>
    <r>
      <rPr>
        <sz val="12"/>
        <color theme="1"/>
        <rFont val="Meiryo UI"/>
        <family val="2"/>
      </rPr>
      <t>留</t>
    </r>
    <r>
      <rPr>
        <sz val="12"/>
        <color theme="1"/>
        <rFont val="細明體"/>
        <family val="3"/>
        <charset val="136"/>
      </rPr>
      <t>因素</t>
    </r>
    <phoneticPr fontId="11" type="noConversion"/>
  </si>
  <si>
    <t>月前二十</t>
    <phoneticPr fontId="11" type="noConversion"/>
  </si>
  <si>
    <r>
      <rPr>
        <sz val="12"/>
        <color rgb="FF000000"/>
        <rFont val="細明體"/>
        <family val="3"/>
        <charset val="136"/>
      </rPr>
      <t>取樣</t>
    </r>
    <r>
      <rPr>
        <sz val="12"/>
        <color rgb="FF000000"/>
        <rFont val="Meiryo UI"/>
        <family val="2"/>
      </rPr>
      <t>不穩</t>
    </r>
    <phoneticPr fontId="11" type="noConversion"/>
  </si>
  <si>
    <t>照燒豬排纖食餐盒</t>
  </si>
  <si>
    <t>其他原因</t>
  </si>
  <si>
    <t>步留因素</t>
    <phoneticPr fontId="11" type="noConversion"/>
  </si>
  <si>
    <t>占比</t>
    <phoneticPr fontId="11" type="noConversion"/>
  </si>
  <si>
    <t>金額</t>
    <phoneticPr fontId="11" type="noConversion"/>
  </si>
  <si>
    <r>
      <rPr>
        <b/>
        <sz val="16"/>
        <color rgb="FF000000"/>
        <rFont val="細明體"/>
        <family val="3"/>
        <charset val="136"/>
      </rPr>
      <t>超用</t>
    </r>
    <r>
      <rPr>
        <b/>
        <sz val="16"/>
        <color rgb="FF000000"/>
        <rFont val="Meiryo UI"/>
        <family val="2"/>
        <charset val="128"/>
      </rPr>
      <t>前</t>
    </r>
    <r>
      <rPr>
        <b/>
        <sz val="16"/>
        <color rgb="FF000000"/>
        <rFont val="細明體"/>
        <family val="3"/>
        <charset val="136"/>
      </rPr>
      <t>二</t>
    </r>
    <r>
      <rPr>
        <b/>
        <sz val="16"/>
        <color rgb="FF000000"/>
        <rFont val="Meiryo UI"/>
        <family val="2"/>
        <charset val="128"/>
      </rPr>
      <t>十名紀</t>
    </r>
    <r>
      <rPr>
        <b/>
        <sz val="16"/>
        <color rgb="FF000000"/>
        <rFont val="細明體"/>
        <family val="3"/>
        <charset val="136"/>
      </rPr>
      <t>錄</t>
    </r>
    <r>
      <rPr>
        <b/>
        <sz val="16"/>
        <color rgb="FF000000"/>
        <rFont val="Meiryo UI"/>
        <family val="2"/>
      </rPr>
      <t>表</t>
    </r>
    <phoneticPr fontId="11" type="noConversion"/>
  </si>
  <si>
    <t>原因說明</t>
    <phoneticPr fontId="11" type="noConversion"/>
  </si>
  <si>
    <t>次數</t>
    <phoneticPr fontId="11" type="noConversion"/>
  </si>
  <si>
    <t>分析原因（件）</t>
    <phoneticPr fontId="11" type="noConversion"/>
  </si>
  <si>
    <r>
      <t>實際</t>
    </r>
    <r>
      <rPr>
        <sz val="12"/>
        <color theme="1"/>
        <rFont val="微軟正黑體"/>
        <family val="2"/>
        <charset val="136"/>
      </rPr>
      <t>產</t>
    </r>
    <r>
      <rPr>
        <sz val="12"/>
        <color theme="1"/>
        <rFont val="Meiryo UI"/>
        <family val="2"/>
      </rPr>
      <t>出
(kg)</t>
    </r>
    <phoneticPr fontId="11" type="noConversion"/>
  </si>
  <si>
    <r>
      <t>實際</t>
    </r>
    <r>
      <rPr>
        <sz val="12"/>
        <color theme="1"/>
        <rFont val="細明體"/>
        <family val="3"/>
        <charset val="136"/>
      </rPr>
      <t>產</t>
    </r>
    <r>
      <rPr>
        <sz val="12"/>
        <color theme="1"/>
        <rFont val="Meiryo UI"/>
        <family val="2"/>
      </rPr>
      <t>出占比</t>
    </r>
    <phoneticPr fontId="11" type="noConversion"/>
  </si>
  <si>
    <t>補單占比</t>
    <phoneticPr fontId="11" type="noConversion"/>
  </si>
  <si>
    <t>總件數</t>
    <phoneticPr fontId="11" type="noConversion"/>
  </si>
  <si>
    <r>
      <t>調理多</t>
    </r>
    <r>
      <rPr>
        <sz val="12"/>
        <color theme="1"/>
        <rFont val="細明體"/>
        <family val="3"/>
        <charset val="136"/>
      </rPr>
      <t>產</t>
    </r>
    <phoneticPr fontId="11" type="noConversion"/>
  </si>
  <si>
    <t>取樣不穩</t>
    <phoneticPr fontId="11" type="noConversion"/>
  </si>
  <si>
    <t>原物料規格</t>
    <phoneticPr fontId="11" type="noConversion"/>
  </si>
  <si>
    <t>研發設定</t>
    <phoneticPr fontId="11" type="noConversion"/>
  </si>
  <si>
    <r>
      <rPr>
        <sz val="12"/>
        <color theme="1"/>
        <rFont val="細明體"/>
        <family val="3"/>
        <charset val="136"/>
      </rPr>
      <t>步</t>
    </r>
    <r>
      <rPr>
        <sz val="12"/>
        <color theme="1"/>
        <rFont val="Meiryo UI"/>
        <family val="2"/>
      </rPr>
      <t>留</t>
    </r>
    <r>
      <rPr>
        <sz val="12"/>
        <color theme="1"/>
        <rFont val="細明體"/>
        <family val="3"/>
        <charset val="136"/>
      </rPr>
      <t>因素</t>
    </r>
    <phoneticPr fontId="11" type="noConversion"/>
  </si>
  <si>
    <t>二配三杯醬爆菇菇飯糰</t>
  </si>
  <si>
    <t>壽喜燒牛五花</t>
  </si>
  <si>
    <t>切博多明太子</t>
  </si>
  <si>
    <t>油蔥雞汁飯糰(區)</t>
  </si>
  <si>
    <t>雙鬆細卷</t>
  </si>
  <si>
    <t>滿滿海鮮沙拉脆卷</t>
  </si>
  <si>
    <t>蕃茄起司手工千層麵(區2)</t>
  </si>
  <si>
    <t>明太子玉子脆卷</t>
  </si>
  <si>
    <r>
      <rPr>
        <sz val="12"/>
        <color theme="1"/>
        <rFont val="細明體"/>
        <family val="3"/>
        <charset val="136"/>
      </rPr>
      <t>超用</t>
    </r>
    <r>
      <rPr>
        <sz val="12"/>
        <color theme="1"/>
        <rFont val="Meiryo UI"/>
        <family val="2"/>
      </rPr>
      <t>金額</t>
    </r>
    <phoneticPr fontId="11" type="noConversion"/>
  </si>
  <si>
    <t>二配大飯糰鮪魚昆布</t>
  </si>
  <si>
    <t>兩粒飯糰(鮪魚.焦糖鮭魚)</t>
  </si>
  <si>
    <t/>
  </si>
  <si>
    <t>麻油鹽炙烤豬肉飯卷</t>
  </si>
  <si>
    <t>二配泰式綠咖哩雞</t>
  </si>
  <si>
    <t>香腸腿排雙拼便當</t>
  </si>
  <si>
    <t>日式蕎麥沾麵</t>
  </si>
  <si>
    <t>日式壽喜燒</t>
  </si>
  <si>
    <t>解凍-醬油漬鮭魚卵</t>
  </si>
  <si>
    <t>二配泰式椰香綠咖哩醬</t>
  </si>
  <si>
    <t>晉欣廠半成品管理日別總表</t>
    <phoneticPr fontId="11" type="noConversion"/>
  </si>
  <si>
    <t>日期</t>
    <phoneticPr fontId="91" type="noConversion"/>
  </si>
  <si>
    <t>營業額</t>
    <phoneticPr fontId="11" type="noConversion"/>
  </si>
  <si>
    <t>報廢額</t>
    <phoneticPr fontId="91" type="noConversion"/>
  </si>
  <si>
    <r>
      <t xml:space="preserve">報廢率
KPI </t>
    </r>
    <r>
      <rPr>
        <b/>
        <sz val="14"/>
        <color rgb="FFFF0000"/>
        <rFont val="微軟正黑體"/>
        <family val="2"/>
        <charset val="136"/>
      </rPr>
      <t>0.25%</t>
    </r>
    <phoneticPr fontId="11" type="noConversion"/>
  </si>
  <si>
    <t>超用額</t>
    <phoneticPr fontId="91" type="noConversion"/>
  </si>
  <si>
    <t>超用率</t>
    <phoneticPr fontId="11" type="noConversion"/>
  </si>
  <si>
    <t>廢棄前10名</t>
    <phoneticPr fontId="11" type="noConversion"/>
  </si>
  <si>
    <t>超用前10名</t>
    <phoneticPr fontId="11" type="noConversion"/>
  </si>
  <si>
    <t>共用類廢棄</t>
    <phoneticPr fontId="11" type="noConversion"/>
  </si>
  <si>
    <t>週累積</t>
    <phoneticPr fontId="11" type="noConversion"/>
  </si>
  <si>
    <t>金額總計</t>
    <phoneticPr fontId="11" type="noConversion"/>
  </si>
  <si>
    <t>構成比</t>
    <phoneticPr fontId="11" type="noConversion"/>
  </si>
  <si>
    <t>金額總計</t>
    <phoneticPr fontId="91" type="noConversion"/>
  </si>
  <si>
    <r>
      <t xml:space="preserve">構成比
KPI </t>
    </r>
    <r>
      <rPr>
        <b/>
        <sz val="14"/>
        <color rgb="FFFF0000"/>
        <rFont val="微軟正黑體"/>
        <family val="2"/>
        <charset val="136"/>
      </rPr>
      <t>15%</t>
    </r>
    <phoneticPr fontId="91" type="noConversion"/>
  </si>
  <si>
    <t>營業額</t>
    <phoneticPr fontId="11" type="noConversion"/>
  </si>
  <si>
    <t>週報廢</t>
    <phoneticPr fontId="11" type="noConversion"/>
  </si>
  <si>
    <t>週超用</t>
    <phoneticPr fontId="11" type="noConversion"/>
  </si>
  <si>
    <t>平均</t>
    <phoneticPr fontId="91" type="noConversion"/>
  </si>
  <si>
    <t>合計</t>
    <phoneticPr fontId="91" type="noConversion"/>
  </si>
  <si>
    <t>二配金咖哩濃厚辛口咖哩飯</t>
  </si>
  <si>
    <t>二配厚香料咖哩雞排飯</t>
  </si>
  <si>
    <t>蒜炒紅K高麗菜(111年)</t>
  </si>
  <si>
    <t>煮意麵肉燥</t>
  </si>
  <si>
    <t>香料咖哩烤雞飯卷</t>
  </si>
  <si>
    <t>清洗蔥花</t>
  </si>
  <si>
    <t>二配蒸果香甘口咖哩腿丁</t>
  </si>
  <si>
    <t>二配北海道秋鮭親子飯糰</t>
  </si>
  <si>
    <t>二配解凍-醬油漬鮭魚卵</t>
  </si>
  <si>
    <t>川燙青花菜</t>
  </si>
  <si>
    <t>(V)煮麻婆豆腐燴料(114年)</t>
  </si>
  <si>
    <t>麻婆豆腐波浪麵</t>
  </si>
  <si>
    <t>二配雞肉香料咖哩</t>
  </si>
  <si>
    <t>香料咖哩炸雞烤飯糰</t>
  </si>
  <si>
    <t>日式野菜烘蛋燴飯</t>
  </si>
  <si>
    <t>二配起司控培根白醬焗烤飯</t>
  </si>
  <si>
    <t>東京豚骨風味拉麵</t>
  </si>
  <si>
    <t>二配烤鹹蛋黃碎</t>
  </si>
  <si>
    <t>川燙五花肉片</t>
  </si>
  <si>
    <t>香烤藍尾鱈魚五行餐盒</t>
  </si>
  <si>
    <t>二配炒培根片</t>
  </si>
  <si>
    <t>二配蘑菇湯凍</t>
  </si>
  <si>
    <t>二配蒸海鮮醬(料)</t>
  </si>
  <si>
    <t>W4</t>
    <phoneticPr fontId="11" type="noConversion"/>
  </si>
  <si>
    <t>濃厚豚骨拉麵</t>
  </si>
  <si>
    <t>二配炒綠咖哩腿肉片</t>
  </si>
  <si>
    <t>二配歐姆蛋(111年版)</t>
  </si>
  <si>
    <t>蔥蔥玉子拌麵</t>
  </si>
  <si>
    <t>煮無敵家日式肉燥</t>
  </si>
  <si>
    <t>二配濃辛辣咖哩醬(114年)</t>
  </si>
  <si>
    <t>煮無敵家拌麵醬</t>
  </si>
  <si>
    <t>明太子雞叉燒拌麵</t>
  </si>
  <si>
    <t>切-原淬醃漬嫩雞胸CL</t>
  </si>
  <si>
    <t>煌輝洋蔥絲</t>
  </si>
  <si>
    <t>二配大飯糰韓式蒜烤豬五花</t>
  </si>
  <si>
    <t>和風牛肉咖哩炸飯糰</t>
  </si>
  <si>
    <t>醬油叉燒拉麵</t>
  </si>
  <si>
    <t>▲</t>
    <phoneticPr fontId="11" type="noConversion"/>
  </si>
  <si>
    <t>▼</t>
    <phoneticPr fontId="11" type="noConversion"/>
  </si>
  <si>
    <r>
      <t>前</t>
    </r>
    <r>
      <rPr>
        <sz val="11"/>
        <color theme="1"/>
        <rFont val="細明體"/>
        <family val="3"/>
        <charset val="136"/>
      </rPr>
      <t>月</t>
    </r>
    <r>
      <rPr>
        <sz val="11"/>
        <color theme="1"/>
        <rFont val="Meiryo UI"/>
        <family val="2"/>
        <charset val="128"/>
      </rPr>
      <t>比</t>
    </r>
    <phoneticPr fontId="11" type="noConversion"/>
  </si>
  <si>
    <r>
      <t>八爪機作業，</t>
    </r>
    <r>
      <rPr>
        <sz val="10"/>
        <color theme="1"/>
        <rFont val="細明體"/>
        <family val="3"/>
        <charset val="136"/>
      </rPr>
      <t>產</t>
    </r>
    <r>
      <rPr>
        <sz val="10"/>
        <color theme="1"/>
        <rFont val="Meiryo UI"/>
        <family val="2"/>
      </rPr>
      <t>能平均，差異在訂單量。</t>
    </r>
    <phoneticPr fontId="11" type="noConversion"/>
  </si>
  <si>
    <r>
      <t>18℃-飯</t>
    </r>
    <r>
      <rPr>
        <sz val="10"/>
        <color theme="1"/>
        <rFont val="細明體"/>
        <family val="3"/>
        <charset val="136"/>
      </rPr>
      <t>糰</t>
    </r>
    <r>
      <rPr>
        <sz val="10"/>
        <color theme="1"/>
        <rFont val="Meiryo UI"/>
        <family val="2"/>
      </rPr>
      <t>(061,063)</t>
    </r>
    <phoneticPr fontId="11" type="noConversion"/>
  </si>
  <si>
    <r>
      <t>18℃-飯</t>
    </r>
    <r>
      <rPr>
        <sz val="10"/>
        <color theme="1"/>
        <rFont val="細明體"/>
        <family val="3"/>
        <charset val="136"/>
      </rPr>
      <t>糰</t>
    </r>
    <r>
      <rPr>
        <sz val="10"/>
        <color theme="1"/>
        <rFont val="Meiryo UI"/>
        <family val="2"/>
      </rPr>
      <t>(061,063)</t>
    </r>
    <phoneticPr fontId="11" type="noConversion"/>
  </si>
  <si>
    <t>品群</t>
    <phoneticPr fontId="11" type="noConversion"/>
  </si>
  <si>
    <t>商品名稱</t>
    <phoneticPr fontId="11" type="noConversion"/>
  </si>
  <si>
    <t>計畫</t>
    <phoneticPr fontId="11" type="noConversion"/>
  </si>
  <si>
    <t>平均人時性</t>
    <phoneticPr fontId="11" type="noConversion"/>
  </si>
  <si>
    <t>實績</t>
    <phoneticPr fontId="11" type="noConversion"/>
  </si>
  <si>
    <t>排名</t>
    <phoneticPr fontId="11" type="noConversion"/>
  </si>
  <si>
    <t>日報</t>
    <phoneticPr fontId="11" type="noConversion"/>
  </si>
  <si>
    <t>實際</t>
    <phoneticPr fontId="11" type="noConversion"/>
  </si>
  <si>
    <t>產線配置圖</t>
    <phoneticPr fontId="11" type="noConversion"/>
  </si>
  <si>
    <t>生產實績</t>
    <phoneticPr fontId="11" type="noConversion"/>
  </si>
  <si>
    <t>人數</t>
    <phoneticPr fontId="11" type="noConversion"/>
  </si>
  <si>
    <t>產能／時</t>
    <phoneticPr fontId="11" type="noConversion"/>
  </si>
  <si>
    <t>人時性</t>
    <phoneticPr fontId="11" type="noConversion"/>
  </si>
  <si>
    <t>二配大飯糰滷肉飯加蛋</t>
  </si>
  <si>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1" type="noConversion"/>
  </si>
  <si>
    <t>人時性</t>
    <phoneticPr fontId="11" type="noConversion"/>
  </si>
  <si>
    <t>核桃腰果稻荷壽司組</t>
  </si>
  <si>
    <r>
      <t>4</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1" type="noConversion"/>
  </si>
  <si>
    <t>大口起司熔岩白醬炸魚飯糰</t>
  </si>
  <si>
    <t>平均人時性</t>
    <phoneticPr fontId="11" type="noConversion"/>
  </si>
  <si>
    <t>實際</t>
    <phoneticPr fontId="11" type="noConversion"/>
  </si>
  <si>
    <t>實際</t>
    <phoneticPr fontId="11" type="noConversion"/>
  </si>
  <si>
    <t>平均人時性</t>
    <phoneticPr fontId="11" type="noConversion"/>
  </si>
  <si>
    <t>實際</t>
    <phoneticPr fontId="11" type="noConversion"/>
  </si>
  <si>
    <t>產線配置圖</t>
    <phoneticPr fontId="11" type="noConversion"/>
  </si>
  <si>
    <t>產線配置圖</t>
    <phoneticPr fontId="11" type="noConversion"/>
  </si>
  <si>
    <t>生產實績</t>
    <phoneticPr fontId="11" type="noConversion"/>
  </si>
  <si>
    <t>生產實績</t>
    <phoneticPr fontId="11" type="noConversion"/>
  </si>
  <si>
    <t>人數</t>
    <phoneticPr fontId="11" type="noConversion"/>
  </si>
  <si>
    <t>產能／時</t>
    <phoneticPr fontId="11" type="noConversion"/>
  </si>
  <si>
    <t>排名</t>
    <phoneticPr fontId="11" type="noConversion"/>
  </si>
  <si>
    <t>人數</t>
    <phoneticPr fontId="11" type="noConversion"/>
  </si>
  <si>
    <t>人時性</t>
    <phoneticPr fontId="11" type="noConversion"/>
  </si>
  <si>
    <t>排名</t>
    <phoneticPr fontId="11" type="noConversion"/>
  </si>
  <si>
    <t>產能／時</t>
    <phoneticPr fontId="11" type="noConversion"/>
  </si>
  <si>
    <t>人時性</t>
    <phoneticPr fontId="11" type="noConversion"/>
  </si>
  <si>
    <t>排名</t>
    <phoneticPr fontId="11" type="noConversion"/>
  </si>
  <si>
    <r>
      <t>4</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1" type="noConversion"/>
  </si>
  <si>
    <t>資料繳交</t>
    <phoneticPr fontId="11" type="noConversion"/>
  </si>
  <si>
    <t>日期</t>
    <phoneticPr fontId="11" type="noConversion"/>
  </si>
  <si>
    <t>二</t>
    <phoneticPr fontId="11" type="noConversion"/>
  </si>
  <si>
    <t>二</t>
    <phoneticPr fontId="11" type="noConversion"/>
  </si>
  <si>
    <t>三</t>
    <phoneticPr fontId="11" type="noConversion"/>
  </si>
  <si>
    <t>四</t>
    <phoneticPr fontId="11" type="noConversion"/>
  </si>
  <si>
    <t>五</t>
    <phoneticPr fontId="11" type="noConversion"/>
  </si>
  <si>
    <t>五</t>
    <phoneticPr fontId="11" type="noConversion"/>
  </si>
  <si>
    <t>六</t>
    <phoneticPr fontId="11" type="noConversion"/>
  </si>
  <si>
    <t>日</t>
    <phoneticPr fontId="11" type="noConversion"/>
  </si>
  <si>
    <t>一</t>
    <phoneticPr fontId="11" type="noConversion"/>
  </si>
  <si>
    <t>品群</t>
    <phoneticPr fontId="11" type="noConversion"/>
  </si>
  <si>
    <t>商品名稱</t>
    <phoneticPr fontId="11" type="noConversion"/>
  </si>
  <si>
    <t>計畫</t>
    <phoneticPr fontId="11" type="noConversion"/>
  </si>
  <si>
    <t>實績</t>
    <phoneticPr fontId="11" type="noConversion"/>
  </si>
  <si>
    <t>日報</t>
    <phoneticPr fontId="11" type="noConversion"/>
  </si>
  <si>
    <r>
      <rPr>
        <sz val="10"/>
        <color rgb="FF000000"/>
        <rFont val="Arial"/>
        <family val="3"/>
        <charset val="136"/>
        <scheme val="minor"/>
      </rPr>
      <t>4℃</t>
    </r>
    <r>
      <rPr>
        <sz val="10"/>
        <color rgb="FF000000"/>
        <rFont val="Arial"/>
        <family val="2"/>
        <scheme val="minor"/>
      </rPr>
      <t>-</t>
    </r>
    <r>
      <rPr>
        <sz val="10"/>
        <color rgb="FF000000"/>
        <rFont val="Arial"/>
        <family val="3"/>
        <charset val="136"/>
        <scheme val="minor"/>
      </rPr>
      <t>壽司手卷</t>
    </r>
    <phoneticPr fontId="11" type="noConversion"/>
  </si>
  <si>
    <t>產線配置圖－每週更新</t>
    <phoneticPr fontId="11" type="noConversion"/>
  </si>
  <si>
    <t>資料繳交</t>
    <phoneticPr fontId="11" type="noConversion"/>
  </si>
  <si>
    <t>日期</t>
    <phoneticPr fontId="11" type="noConversion"/>
  </si>
  <si>
    <t>二</t>
    <phoneticPr fontId="11" type="noConversion"/>
  </si>
  <si>
    <t>三</t>
    <phoneticPr fontId="11" type="noConversion"/>
  </si>
  <si>
    <t>四</t>
    <phoneticPr fontId="11" type="noConversion"/>
  </si>
  <si>
    <t>五</t>
    <phoneticPr fontId="11" type="noConversion"/>
  </si>
  <si>
    <t>六</t>
    <phoneticPr fontId="11" type="noConversion"/>
  </si>
  <si>
    <t>日</t>
    <phoneticPr fontId="11" type="noConversion"/>
  </si>
  <si>
    <t>一</t>
    <phoneticPr fontId="11" type="noConversion"/>
  </si>
  <si>
    <t>主食</t>
    <phoneticPr fontId="11" type="noConversion"/>
  </si>
  <si>
    <t>二配失控起司薯餅焗飯</t>
  </si>
  <si>
    <t>二配蒙古風味烤肉飯</t>
  </si>
  <si>
    <t>二配麻油雞燴飯</t>
  </si>
  <si>
    <t>二配鮭魚蛋炒飯</t>
  </si>
  <si>
    <t>便當</t>
    <phoneticPr fontId="11" type="noConversion"/>
  </si>
  <si>
    <t>品群</t>
    <phoneticPr fontId="11" type="noConversion"/>
  </si>
  <si>
    <t>商品名稱</t>
    <phoneticPr fontId="11" type="noConversion"/>
  </si>
  <si>
    <t>計畫</t>
    <phoneticPr fontId="11" type="noConversion"/>
  </si>
  <si>
    <t>平均人時性</t>
    <phoneticPr fontId="11" type="noConversion"/>
  </si>
  <si>
    <t>實績</t>
    <phoneticPr fontId="11" type="noConversion"/>
  </si>
  <si>
    <t>排名</t>
    <phoneticPr fontId="11" type="noConversion"/>
  </si>
  <si>
    <t>日報</t>
    <phoneticPr fontId="11" type="noConversion"/>
  </si>
  <si>
    <t>實際</t>
    <phoneticPr fontId="11" type="noConversion"/>
  </si>
  <si>
    <t>平均人時性</t>
    <phoneticPr fontId="11" type="noConversion"/>
  </si>
  <si>
    <t>實際</t>
    <phoneticPr fontId="11" type="noConversion"/>
  </si>
  <si>
    <t>平均人時性</t>
    <phoneticPr fontId="11" type="noConversion"/>
  </si>
  <si>
    <t>實際</t>
    <phoneticPr fontId="11" type="noConversion"/>
  </si>
  <si>
    <t>平均人時性</t>
    <phoneticPr fontId="11" type="noConversion"/>
  </si>
  <si>
    <t>實際</t>
    <phoneticPr fontId="11" type="noConversion"/>
  </si>
  <si>
    <t>平均人時性</t>
    <phoneticPr fontId="11" type="noConversion"/>
  </si>
  <si>
    <t>實際</t>
    <phoneticPr fontId="11" type="noConversion"/>
  </si>
  <si>
    <t>產線配置圖</t>
    <phoneticPr fontId="11" type="noConversion"/>
  </si>
  <si>
    <t>產線配置圖</t>
    <phoneticPr fontId="11" type="noConversion"/>
  </si>
  <si>
    <t>生產實績</t>
    <phoneticPr fontId="11" type="noConversion"/>
  </si>
  <si>
    <t>生產實績</t>
    <phoneticPr fontId="11" type="noConversion"/>
  </si>
  <si>
    <t>生產實績</t>
    <phoneticPr fontId="11" type="noConversion"/>
  </si>
  <si>
    <t>熱食義麵</t>
    <phoneticPr fontId="11" type="noConversion"/>
  </si>
  <si>
    <t>柚子雞白湯拉麵</t>
  </si>
  <si>
    <t>愛恨椒芝麵</t>
  </si>
  <si>
    <t>品群</t>
    <phoneticPr fontId="11" type="noConversion"/>
  </si>
  <si>
    <t>商品名稱</t>
    <phoneticPr fontId="11" type="noConversion"/>
  </si>
  <si>
    <t>平均人時性</t>
    <phoneticPr fontId="11" type="noConversion"/>
  </si>
  <si>
    <t>實績</t>
    <phoneticPr fontId="11" type="noConversion"/>
  </si>
  <si>
    <t>排名</t>
    <phoneticPr fontId="11" type="noConversion"/>
  </si>
  <si>
    <t>日報</t>
    <phoneticPr fontId="11" type="noConversion"/>
  </si>
  <si>
    <t>實際</t>
    <phoneticPr fontId="11" type="noConversion"/>
  </si>
  <si>
    <t>實際</t>
    <phoneticPr fontId="11" type="noConversion"/>
  </si>
  <si>
    <t>實際</t>
    <phoneticPr fontId="11" type="noConversion"/>
  </si>
  <si>
    <t>平均人時性</t>
    <phoneticPr fontId="11" type="noConversion"/>
  </si>
  <si>
    <t>產線配置圖</t>
    <phoneticPr fontId="11" type="noConversion"/>
  </si>
  <si>
    <t>產線配置圖</t>
    <phoneticPr fontId="11" type="noConversion"/>
  </si>
  <si>
    <t>生產實績</t>
    <phoneticPr fontId="11" type="noConversion"/>
  </si>
  <si>
    <t>生產實績</t>
    <phoneticPr fontId="11" type="noConversion"/>
  </si>
  <si>
    <t>生產實績</t>
    <phoneticPr fontId="11" type="noConversion"/>
  </si>
  <si>
    <t>產能／時</t>
    <phoneticPr fontId="11" type="noConversion"/>
  </si>
  <si>
    <t>人時性</t>
    <phoneticPr fontId="11" type="noConversion"/>
  </si>
  <si>
    <t>人時性</t>
    <phoneticPr fontId="11" type="noConversion"/>
  </si>
  <si>
    <t>人時性</t>
    <phoneticPr fontId="11" type="noConversion"/>
  </si>
  <si>
    <t>人數</t>
    <phoneticPr fontId="11" type="noConversion"/>
  </si>
  <si>
    <t>產能／時</t>
    <phoneticPr fontId="11" type="noConversion"/>
  </si>
  <si>
    <t>產能／時</t>
    <phoneticPr fontId="11" type="noConversion"/>
  </si>
  <si>
    <t>人數</t>
    <phoneticPr fontId="11" type="noConversion"/>
  </si>
  <si>
    <t>人時性</t>
    <phoneticPr fontId="11" type="noConversion"/>
  </si>
  <si>
    <t>排名</t>
    <phoneticPr fontId="11" type="noConversion"/>
  </si>
  <si>
    <t>產能／時</t>
    <phoneticPr fontId="11" type="noConversion"/>
  </si>
  <si>
    <t>季節調理麵</t>
    <phoneticPr fontId="11" type="noConversion"/>
  </si>
  <si>
    <t>資料繳交</t>
    <phoneticPr fontId="11" type="noConversion"/>
  </si>
  <si>
    <t>日期</t>
    <phoneticPr fontId="11" type="noConversion"/>
  </si>
  <si>
    <t>三</t>
    <phoneticPr fontId="11" type="noConversion"/>
  </si>
  <si>
    <t>四</t>
    <phoneticPr fontId="11" type="noConversion"/>
  </si>
  <si>
    <t>五</t>
    <phoneticPr fontId="11" type="noConversion"/>
  </si>
  <si>
    <t>六</t>
    <phoneticPr fontId="11" type="noConversion"/>
  </si>
  <si>
    <t>日</t>
    <phoneticPr fontId="11" type="noConversion"/>
  </si>
  <si>
    <t>一</t>
    <phoneticPr fontId="11" type="noConversion"/>
  </si>
  <si>
    <t>品群</t>
    <phoneticPr fontId="11" type="noConversion"/>
  </si>
  <si>
    <t>商品名稱</t>
    <phoneticPr fontId="11" type="noConversion"/>
  </si>
  <si>
    <t>計畫</t>
    <phoneticPr fontId="11" type="noConversion"/>
  </si>
  <si>
    <t>平均人時性</t>
    <phoneticPr fontId="11" type="noConversion"/>
  </si>
  <si>
    <t>實績</t>
    <phoneticPr fontId="11" type="noConversion"/>
  </si>
  <si>
    <t>排名</t>
    <phoneticPr fontId="11" type="noConversion"/>
  </si>
  <si>
    <t>日報</t>
    <phoneticPr fontId="11" type="noConversion"/>
  </si>
  <si>
    <t>產線配置圖</t>
    <phoneticPr fontId="11" type="noConversion"/>
  </si>
  <si>
    <t>人數</t>
    <phoneticPr fontId="11" type="noConversion"/>
  </si>
  <si>
    <t>人時性</t>
    <phoneticPr fontId="11" type="noConversion"/>
  </si>
  <si>
    <t>季節調理麵</t>
    <phoneticPr fontId="11" type="noConversion"/>
  </si>
  <si>
    <t>產線配置圖－每週更新</t>
    <phoneticPr fontId="11" type="noConversion"/>
  </si>
  <si>
    <t>資料繳交</t>
    <phoneticPr fontId="11" type="noConversion"/>
  </si>
  <si>
    <t>日期</t>
    <phoneticPr fontId="11" type="noConversion"/>
  </si>
  <si>
    <t>季節調理麵</t>
    <phoneticPr fontId="11" type="noConversion"/>
  </si>
  <si>
    <t>微波小吃</t>
    <phoneticPr fontId="11" type="noConversion"/>
  </si>
  <si>
    <t>業績金額</t>
    <phoneticPr fontId="11" type="noConversion"/>
  </si>
  <si>
    <r>
      <t>前</t>
    </r>
    <r>
      <rPr>
        <b/>
        <sz val="10"/>
        <color rgb="FFFF0000"/>
        <rFont val="Meiryo UI"/>
        <family val="2"/>
        <charset val="128"/>
      </rPr>
      <t>20名</t>
    </r>
    <r>
      <rPr>
        <sz val="10"/>
        <color rgb="FF000000"/>
        <rFont val="Meiryo UI"/>
        <family val="2"/>
        <charset val="128"/>
      </rPr>
      <t>原因分析</t>
    </r>
    <phoneticPr fontId="11" type="noConversion"/>
  </si>
  <si>
    <t>項目</t>
    <phoneticPr fontId="11" type="noConversion"/>
  </si>
  <si>
    <t>展開量高於１０5％</t>
    <phoneticPr fontId="8"/>
  </si>
  <si>
    <r>
      <t>調理多</t>
    </r>
    <r>
      <rPr>
        <b/>
        <sz val="14"/>
        <color theme="1"/>
        <rFont val="Arial"/>
        <family val="3"/>
        <charset val="136"/>
      </rPr>
      <t>產</t>
    </r>
    <phoneticPr fontId="8"/>
  </si>
  <si>
    <t>製程不穩</t>
    <phoneticPr fontId="8"/>
  </si>
  <si>
    <t>取樣不穩</t>
    <phoneticPr fontId="8"/>
  </si>
  <si>
    <t>比例</t>
    <phoneticPr fontId="8"/>
  </si>
  <si>
    <t>報廢</t>
    <phoneticPr fontId="8"/>
  </si>
  <si>
    <t>超用</t>
    <phoneticPr fontId="8"/>
  </si>
  <si>
    <t>原物料規格</t>
    <phoneticPr fontId="8"/>
  </si>
  <si>
    <t>研發設定</t>
    <phoneticPr fontId="8"/>
  </si>
  <si>
    <t>其他原因</t>
    <phoneticPr fontId="8"/>
  </si>
  <si>
    <r>
      <rPr>
        <b/>
        <sz val="14"/>
        <color rgb="FF000000"/>
        <rFont val="Arial"/>
        <family val="3"/>
        <charset val="136"/>
      </rPr>
      <t>步</t>
    </r>
    <r>
      <rPr>
        <b/>
        <sz val="14"/>
        <color rgb="FF000000"/>
        <rFont val="Meiryo UI"/>
        <family val="2"/>
      </rPr>
      <t>留不足</t>
    </r>
    <phoneticPr fontId="11" type="noConversion"/>
  </si>
  <si>
    <r>
      <t>（７）</t>
    </r>
    <r>
      <rPr>
        <b/>
        <sz val="12"/>
        <color rgb="FF000000"/>
        <rFont val="Meiryo UI"/>
        <family val="2"/>
      </rPr>
      <t>原因別分析(12/01-12/31)</t>
    </r>
    <phoneticPr fontId="11" type="noConversion"/>
  </si>
  <si>
    <t>類型</t>
    <phoneticPr fontId="11" type="noConversion"/>
  </si>
  <si>
    <t>排名</t>
    <phoneticPr fontId="8"/>
  </si>
  <si>
    <t>半成品名</t>
    <phoneticPr fontId="8"/>
  </si>
  <si>
    <t>單價</t>
    <phoneticPr fontId="8"/>
  </si>
  <si>
    <t>報廢率</t>
    <phoneticPr fontId="8"/>
  </si>
  <si>
    <t>數量</t>
    <phoneticPr fontId="8"/>
  </si>
  <si>
    <t>前月比</t>
    <phoneticPr fontId="11" type="noConversion"/>
  </si>
  <si>
    <t>主要原因&amp;對策</t>
    <phoneticPr fontId="8"/>
  </si>
  <si>
    <t>展開量高於１０5％</t>
    <phoneticPr fontId="11" type="noConversion"/>
  </si>
  <si>
    <t>前幾名合計比例</t>
    <phoneticPr fontId="8"/>
  </si>
  <si>
    <t>前幾名合計金額</t>
    <phoneticPr fontId="8"/>
  </si>
  <si>
    <r>
      <t>調理多</t>
    </r>
    <r>
      <rPr>
        <sz val="10"/>
        <color rgb="FF000000"/>
        <rFont val="細明體"/>
        <family val="3"/>
        <charset val="136"/>
      </rPr>
      <t>產</t>
    </r>
    <phoneticPr fontId="11" type="noConversion"/>
  </si>
  <si>
    <t>虱目魚粥</t>
  </si>
  <si>
    <t>炒中薑絲</t>
  </si>
  <si>
    <t>二配蒸燻腸片</t>
  </si>
  <si>
    <t>112年炒金鉤蝦肉燥</t>
  </si>
  <si>
    <t>製程不穩</t>
    <phoneticPr fontId="11" type="noConversion"/>
  </si>
  <si>
    <t>二配雞肉飯飯糰</t>
  </si>
  <si>
    <t>二配蒸-全熟雞肉絲CL(升)</t>
  </si>
  <si>
    <t>確認備料是否正確，重新計算製成率範圍，調整出料率</t>
  </si>
  <si>
    <t>煮愛恨椒麻湯凍</t>
  </si>
  <si>
    <t>炒蒜味青花菜</t>
  </si>
  <si>
    <t>川燙韭菜西洋芹碎</t>
  </si>
  <si>
    <t>二配煮麻油雞丁</t>
  </si>
  <si>
    <t>烤照燒雞腿丁</t>
  </si>
  <si>
    <t>不拆袋加熱</t>
  </si>
  <si>
    <t>賣相需鋪滿</t>
  </si>
  <si>
    <t>其他原因</t>
    <phoneticPr fontId="11" type="noConversion"/>
  </si>
  <si>
    <t>單價高</t>
    <phoneticPr fontId="11" type="noConversion"/>
  </si>
  <si>
    <t>超用率</t>
    <phoneticPr fontId="8"/>
  </si>
  <si>
    <r>
      <t>調理多</t>
    </r>
    <r>
      <rPr>
        <sz val="10"/>
        <color rgb="FF000000"/>
        <rFont val="Arial"/>
        <family val="3"/>
        <charset val="136"/>
      </rPr>
      <t>產</t>
    </r>
    <phoneticPr fontId="11" type="noConversion"/>
  </si>
  <si>
    <t>二配川燙枸杞</t>
  </si>
  <si>
    <t>煮無敵家豚骨湯凍</t>
  </si>
  <si>
    <t>川燙虱目魚里肌肉</t>
  </si>
  <si>
    <t>柚香雞白湯凍</t>
  </si>
  <si>
    <t>原物料大小、厚薄差異</t>
    <phoneticPr fontId="11" type="noConversion"/>
  </si>
  <si>
    <t>二配炒蒙古肉片</t>
  </si>
  <si>
    <t>不拆袋加熱</t>
    <phoneticPr fontId="11" type="noConversion"/>
  </si>
  <si>
    <t>賣相要鋪滿</t>
    <phoneticPr fontId="11" type="noConversion"/>
  </si>
  <si>
    <t>連動研發反應廠商是否調整單包麵的重量</t>
    <phoneticPr fontId="11" type="noConversion"/>
  </si>
  <si>
    <t>使用冰杓進行放料，半成品的組成及挖醬的手法影響實際放料量。</t>
  </si>
  <si>
    <t>1.針對訂單量大的半成品尋找更加適用的挖醬定量工具。2.對於挖醬手法較不穩定的人員，請生產幹部特別確認並加強技能訓練。</t>
  </si>
  <si>
    <t>因為調理過程中，受到加熱時間，糖鹽度值測定值的影響，導致實際出料量會有浮動。</t>
  </si>
  <si>
    <t>1.連動調理單位確認製程狀況是否異常。2.連動製管確認冷卻前糖鹽度是否符合設定。3.調理關所確認冷卻後糖鹽度是否在範圍內。4.收集實際製程率後進行出料率調整</t>
  </si>
  <si>
    <t>擠醬機因為半成品的性狀，造成擠出的量會有些微差異。</t>
  </si>
  <si>
    <t>對於不同的半成品及使用量設定不同的出料設定。觀察平均的用料量，調整用料率以降低報廢量。</t>
  </si>
  <si>
    <t>高麗菜梗、葉的組成影響人員放料的手感，進而造成放料量不穩定。</t>
  </si>
  <si>
    <t>1.反應調配課確認高麗菜分切的手法，減少大梗的生產。2.生產線上增加線上抽秤的頻率以穩定放料量。3.盡量以固定的人員進行放料以培養人員放料的手感。</t>
  </si>
  <si>
    <t>1.農產品原物料大小重量差異，造成放料差。2.原物料個體重量差異造成放料重量的差異，有多一個超用，少一個不足重的狀況。未降低因半成品不足的補單工時而有提高展開量。</t>
  </si>
  <si>
    <t>反應物料課進貨時進行抽秤，確認原物料穩定。</t>
  </si>
  <si>
    <t>二配鼎泰豐-麻婆豆腐燴汁(113年)</t>
  </si>
  <si>
    <t>有使用到的商品多為少量使用，因為人工放料，在線上生產的時候容易有誤差。</t>
    <phoneticPr fontId="11" type="noConversion"/>
  </si>
  <si>
    <t>加強教育訓練，並持續追蹤該品項生產狀況，並於異常發生時即時檢討與修正，以降低類似報廢情形再次發生。</t>
    <phoneticPr fontId="11" type="noConversion"/>
  </si>
  <si>
    <t>二配鼎泰豐-煮麻婆豆腐(113年)</t>
  </si>
  <si>
    <t>雞肉飯醬汁(113年)</t>
  </si>
  <si>
    <t>訓練人員放料，訓練期間放料量不穩。</t>
    <phoneticPr fontId="11" type="noConversion"/>
  </si>
  <si>
    <t>反應用料狀況給生產課，持續教育訓練</t>
    <phoneticPr fontId="11" type="noConversion"/>
  </si>
  <si>
    <t>川燙高麗菜洋蔥</t>
  </si>
  <si>
    <t>因出料到生產的時間長短，影響半成品出水的多寡進而影響半成品製程率。</t>
  </si>
  <si>
    <t>1.協調生產與調理排程，盡量縮短待生產時間，減少出水。2.確認製程率後調整調理出料率。</t>
  </si>
  <si>
    <t>因為調理過程中，受到加熱時間，糖鹽度值測定值的影響，導致實際出料量會有浮動</t>
  </si>
  <si>
    <t>1.連動調理單位確認製程狀況是否異常2.連動製管確認冷卻前糖鹽度是否符合設定3.調理關所確認冷卻後糖鹽度是否在範圍內4.收集實際製程率後進行出料率調整</t>
  </si>
  <si>
    <t>研發設定不拆包加熱，故因訂單量可能會有多產的狀況，協調生產課調整用量而造成超用</t>
  </si>
  <si>
    <t>連動品保協助測試拆包後封存隔日再進行蒸箱加熱後的菌數狀況，若菌數狀況立即切換實際量拆包，剩餘量即封存待用</t>
  </si>
  <si>
    <t>1.研發賣相需求設定原物料肉片形狀及所含的筋膜及油脂會影響最終產出的肉片大小</t>
  </si>
  <si>
    <t>1.反應研發單位肉片狀況2.協調研發單位下次有同類型商品放料量設定使用範圍值3.調整分切方式漸少最終的碎肉產生</t>
  </si>
  <si>
    <t>使用冰杓進行放料，半成品的組成及挖醬的手法影響實際放料量</t>
  </si>
  <si>
    <t>1.針對訂單量大的半成品尋找更加適用的挖醬定量工具2.對於挖醬手法較不穩定的人員，請生產幹部特別確認並加強技能訓練</t>
  </si>
  <si>
    <t>投料作業為避免產出不足，操作人員習慣性多投料，造成實際使用量高於標準用量</t>
  </si>
  <si>
    <t>重新宣導標準投料量，並加強投料秤重確認，避免因過度保守操作導致原料超用</t>
  </si>
  <si>
    <t>擠醬機因為半成品的性狀，造成擠出的量會有些微差異</t>
  </si>
  <si>
    <t>對於不同的半成品及使用量設定不同的出料設定觀察平均的用料量，調整用料率以降低報廢量</t>
  </si>
  <si>
    <t>1.農產品原物料大小重量差異，造成放料差2.原物料個體重量差異造成放料重量的差異，有多一個超用，少一個不足重的狀況未降低因半成品不足的補單工時而有提高展開量</t>
  </si>
  <si>
    <t>1.反應研發單位半成品狀況2.協調研發單位下次有同類型商品放料量設定使用範圍值</t>
  </si>
  <si>
    <t>研發設定的分切方式、寬度及放料量固定因原物料的厚度大小不固定，以致分切後單體有重量差異</t>
  </si>
  <si>
    <t>1.反應研發單位該狀況，作為下次同樣原物料上市的參考2.減少裝籃量降低因為擠壓造成肉片破碎的狀況</t>
  </si>
  <si>
    <t>品群</t>
    <phoneticPr fontId="11" type="noConversion"/>
  </si>
  <si>
    <t>商品名稱</t>
    <phoneticPr fontId="11" type="noConversion"/>
  </si>
  <si>
    <t>計畫</t>
    <phoneticPr fontId="11" type="noConversion"/>
  </si>
  <si>
    <t>平均人時性</t>
    <phoneticPr fontId="11" type="noConversion"/>
  </si>
  <si>
    <t>實績</t>
    <phoneticPr fontId="11" type="noConversion"/>
  </si>
  <si>
    <t>排名</t>
    <phoneticPr fontId="11" type="noConversion"/>
  </si>
  <si>
    <t>日報</t>
    <phoneticPr fontId="11" type="noConversion"/>
  </si>
  <si>
    <t>實際</t>
    <phoneticPr fontId="11" type="noConversion"/>
  </si>
  <si>
    <t>產線配置圖</t>
    <phoneticPr fontId="11" type="noConversion"/>
  </si>
  <si>
    <t>生產實績</t>
    <phoneticPr fontId="11" type="noConversion"/>
  </si>
  <si>
    <t>人數</t>
    <phoneticPr fontId="11" type="noConversion"/>
  </si>
  <si>
    <t>產能／時</t>
    <phoneticPr fontId="11" type="noConversion"/>
  </si>
  <si>
    <t>人時性</t>
    <phoneticPr fontId="11"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</si>
  <si>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1" type="noConversion"/>
  </si>
  <si>
    <t>鮭魚奶油醬油飯糰</t>
  </si>
  <si>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1" type="noConversion"/>
  </si>
  <si>
    <r>
      <t>4</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1" type="noConversion"/>
  </si>
  <si>
    <t>二配香拌海鮮醬肉絲蛋炒飯</t>
    <phoneticPr fontId="11" type="noConversion"/>
  </si>
  <si>
    <t>二配香辣醬蒜味香腸蛋炒飯</t>
    <phoneticPr fontId="11" type="noConversion"/>
  </si>
  <si>
    <t>二配粗飽系雞排炒飯</t>
    <phoneticPr fontId="11" type="noConversion"/>
  </si>
  <si>
    <t>二配里肌豬排可可咖哩歐姆蛋飯</t>
    <phoneticPr fontId="11" type="noConversion"/>
  </si>
  <si>
    <t>二配黃金雞排蘑菇白醬歐姆蛋飯</t>
    <phoneticPr fontId="11" type="noConversion"/>
  </si>
  <si>
    <t>二配港式香滑嫩蛋牛肉燴飯</t>
    <phoneticPr fontId="11" type="noConversion"/>
  </si>
  <si>
    <t>二配金咖哩濃厚辛口咖哩飯</t>
    <phoneticPr fontId="11" type="noConversion"/>
  </si>
  <si>
    <t>二配川味麻婆燒豆腐燴飯</t>
    <phoneticPr fontId="11" type="noConversion"/>
  </si>
  <si>
    <t>二配金咖哩果香甘口咖哩飯</t>
    <phoneticPr fontId="11" type="noConversion"/>
  </si>
  <si>
    <t>二配鐵板蘑菇肉醬起司焗飯</t>
    <phoneticPr fontId="11" type="noConversion"/>
  </si>
  <si>
    <t>二配哞哞培根奶香海陸焗飯</t>
    <phoneticPr fontId="11" type="noConversion"/>
  </si>
  <si>
    <t>二配美味蟹煲</t>
    <phoneticPr fontId="11" type="noConversion"/>
  </si>
  <si>
    <t>二配乳酪燻腸紅醬焗飯</t>
    <phoneticPr fontId="11" type="noConversion"/>
  </si>
  <si>
    <t>二配西班牙風味海鮮燉飯</t>
    <phoneticPr fontId="11" type="noConversion"/>
  </si>
  <si>
    <t>二配泰式綠咖哩雞</t>
    <phoneticPr fontId="11" type="noConversion"/>
  </si>
  <si>
    <t>二配厚香料咖哩雞排飯</t>
    <phoneticPr fontId="11" type="noConversion"/>
  </si>
  <si>
    <t>日式野菜烘蛋燴飯</t>
    <phoneticPr fontId="11" type="noConversion"/>
  </si>
  <si>
    <t>二配起司控培根白醬焗烤飯</t>
    <phoneticPr fontId="11" type="noConversion"/>
  </si>
  <si>
    <t>二配失控起司薯餅焗飯</t>
    <phoneticPr fontId="11" type="noConversion"/>
  </si>
  <si>
    <t>二配失控起司薯餅焗飯</t>
    <phoneticPr fontId="11" type="noConversion"/>
  </si>
  <si>
    <t>二配蒙古風味烤肉飯</t>
    <phoneticPr fontId="11" type="noConversion"/>
  </si>
  <si>
    <t>二配麻油雞燴飯</t>
    <phoneticPr fontId="11" type="noConversion"/>
  </si>
  <si>
    <t>便當</t>
    <phoneticPr fontId="11" type="noConversion"/>
  </si>
  <si>
    <t>品群</t>
  </si>
  <si>
    <t>商品名稱</t>
  </si>
  <si>
    <t>計畫</t>
  </si>
  <si>
    <t>平均人時性</t>
  </si>
  <si>
    <t>實績</t>
  </si>
  <si>
    <t>排名</t>
  </si>
  <si>
    <t>日報</t>
  </si>
  <si>
    <t>產線配置圖</t>
  </si>
  <si>
    <t>人數</t>
  </si>
  <si>
    <t>產能／時</t>
  </si>
  <si>
    <t>人時性</t>
  </si>
  <si>
    <t>柚子雞白湯拉麵</t>
    <phoneticPr fontId="11" type="noConversion"/>
  </si>
  <si>
    <t>古早味炒炊粉</t>
    <phoneticPr fontId="11" type="noConversion"/>
  </si>
  <si>
    <t>韓式部隊鍋</t>
    <phoneticPr fontId="11" type="noConversion"/>
  </si>
  <si>
    <t>日式壽喜燒</t>
    <phoneticPr fontId="11" type="noConversion"/>
  </si>
  <si>
    <t>品群</t>
    <phoneticPr fontId="8"/>
  </si>
  <si>
    <t>排名</t>
    <phoneticPr fontId="8"/>
  </si>
  <si>
    <t>人數</t>
    <phoneticPr fontId="8"/>
  </si>
  <si>
    <r>
      <rPr>
        <sz val="10"/>
        <color theme="1"/>
        <rFont val="Arial"/>
        <family val="3"/>
        <charset val="136"/>
      </rPr>
      <t>產</t>
    </r>
    <r>
      <rPr>
        <sz val="10"/>
        <color theme="1"/>
        <rFont val="Meiryo UI"/>
        <family val="2"/>
      </rPr>
      <t>能</t>
    </r>
    <phoneticPr fontId="8"/>
  </si>
  <si>
    <r>
      <t>人時生</t>
    </r>
    <r>
      <rPr>
        <sz val="10"/>
        <color theme="1"/>
        <rFont val="Arial"/>
        <family val="3"/>
        <charset val="136"/>
      </rPr>
      <t>產</t>
    </r>
    <r>
      <rPr>
        <sz val="10"/>
        <color theme="1"/>
        <rFont val="Meiryo UI"/>
        <family val="2"/>
      </rPr>
      <t>性</t>
    </r>
    <phoneticPr fontId="8"/>
  </si>
  <si>
    <r>
      <t>前</t>
    </r>
    <r>
      <rPr>
        <sz val="11"/>
        <color theme="1"/>
        <rFont val="細明體"/>
        <family val="3"/>
        <charset val="136"/>
      </rPr>
      <t>月</t>
    </r>
    <r>
      <rPr>
        <sz val="11"/>
        <color theme="1"/>
        <rFont val="Meiryo UI"/>
        <family val="2"/>
        <charset val="128"/>
      </rPr>
      <t>比</t>
    </r>
    <phoneticPr fontId="11" type="noConversion"/>
  </si>
  <si>
    <t>主要原因&amp;對策</t>
    <phoneticPr fontId="8"/>
  </si>
  <si>
    <t>－</t>
    <phoneticPr fontId="11" type="noConversion"/>
  </si>
  <si>
    <t>▲</t>
    <phoneticPr fontId="11" type="noConversion"/>
  </si>
  <si>
    <t>▼</t>
    <phoneticPr fontId="11" type="noConversion"/>
  </si>
  <si>
    <t>產能、產力皆較上個月提升</t>
    <phoneticPr fontId="11" type="noConversion"/>
  </si>
  <si>
    <t>▼1</t>
    <phoneticPr fontId="8"/>
  </si>
  <si>
    <t>▼2</t>
    <phoneticPr fontId="8"/>
  </si>
  <si>
    <t>▼3</t>
    <phoneticPr fontId="8"/>
  </si>
  <si>
    <t>對比上月差異小</t>
    <phoneticPr fontId="11" type="noConversion"/>
  </si>
  <si>
    <t>▼4</t>
    <phoneticPr fontId="8"/>
  </si>
  <si>
    <t>▼5</t>
    <phoneticPr fontId="8"/>
  </si>
  <si>
    <t>長野稻荷壽司</t>
    <phoneticPr fontId="11" type="noConversion"/>
  </si>
  <si>
    <t>核桃腰果稻荷壽司組</t>
    <phoneticPr fontId="11" type="noConversion"/>
  </si>
  <si>
    <t>12/23新品，稻荷壽司再組裝其他半成品在壽司上，使用人數較多，產能及產力較低。</t>
    <phoneticPr fontId="11" type="noConversion"/>
  </si>
  <si>
    <t>明太子玉子脆卷</t>
    <phoneticPr fontId="11" type="noConversion"/>
  </si>
  <si>
    <r>
      <t>人時生</t>
    </r>
    <r>
      <rPr>
        <sz val="10"/>
        <color theme="1"/>
        <rFont val="細明體"/>
        <family val="3"/>
        <charset val="136"/>
      </rPr>
      <t>產</t>
    </r>
    <r>
      <rPr>
        <sz val="10"/>
        <color theme="1"/>
        <rFont val="Meiryo UI"/>
        <family val="2"/>
      </rPr>
      <t>性</t>
    </r>
    <phoneticPr fontId="8"/>
  </si>
  <si>
    <t>前週比</t>
    <phoneticPr fontId="11" type="noConversion"/>
  </si>
  <si>
    <t>大口起司熔岩白醬炸魚飯糰</t>
    <phoneticPr fontId="11" type="noConversion"/>
  </si>
  <si>
    <t>12/9新品，半成品少，工序簡單產能及產力較高。</t>
    <phoneticPr fontId="11" type="noConversion"/>
  </si>
  <si>
    <t>大口蒜味香腸燒肉雙拼飯糰</t>
    <phoneticPr fontId="11" type="noConversion"/>
  </si>
  <si>
    <r>
      <t>12/8</t>
    </r>
    <r>
      <rPr>
        <sz val="10"/>
        <color theme="1"/>
        <rFont val="細明體"/>
        <family val="3"/>
        <charset val="136"/>
      </rPr>
      <t>新品，半成品少，工序簡單，產能及產力較高。</t>
    </r>
    <phoneticPr fontId="11" type="noConversion"/>
  </si>
  <si>
    <t>對比上月差異小</t>
    <phoneticPr fontId="11" type="noConversion"/>
  </si>
  <si>
    <t>愛恨椒芝麵</t>
    <phoneticPr fontId="11" type="noConversion"/>
  </si>
  <si>
    <t>12/9新品，半成品少，工序簡單，產能及產力較高。</t>
    <phoneticPr fontId="11" type="noConversion"/>
  </si>
  <si>
    <t>最後幾名為L型封膜商品，工序較複雜，產能及產力較低。</t>
    <phoneticPr fontId="11" type="noConversion"/>
  </si>
  <si>
    <t>12/2新品，為L型封膜商品，工序較複雜，產能及產力較低。</t>
    <phoneticPr fontId="11" type="noConversion"/>
  </si>
  <si>
    <t>訂單量少</t>
    <phoneticPr fontId="11" type="noConversion"/>
  </si>
  <si>
    <t>涼麵商品對比上月差異小，主要差異在人員順手度。</t>
    <phoneticPr fontId="11" type="noConversion"/>
  </si>
  <si>
    <t>八爪機作業，產能平均，差異在訂單量。</t>
    <phoneticPr fontId="11" type="noConversion"/>
  </si>
  <si>
    <t>蔬活腿排補力餐盒</t>
    <phoneticPr fontId="11" type="noConversion"/>
  </si>
  <si>
    <t>照燒豬排纖食餐盒</t>
    <phoneticPr fontId="11" type="noConversion"/>
  </si>
  <si>
    <t>經典滷肉飯</t>
    <phoneticPr fontId="11" type="noConversion"/>
  </si>
  <si>
    <r>
      <t>健身</t>
    </r>
    <r>
      <rPr>
        <sz val="10"/>
        <color rgb="FF000000"/>
        <rFont val="Arial"/>
        <family val="3"/>
        <charset val="136"/>
        <scheme val="minor"/>
      </rPr>
      <t>G</t>
    </r>
    <r>
      <rPr>
        <sz val="10"/>
        <color rgb="FF000000"/>
        <rFont val="Arial"/>
        <family val="3"/>
        <charset val="136"/>
        <scheme val="minor"/>
      </rPr>
      <t>肉餐盒</t>
    </r>
    <phoneticPr fontId="11" type="noConversion"/>
  </si>
  <si>
    <t>鐵板滑蛋炸豬排丼</t>
    <phoneticPr fontId="11" type="noConversion"/>
  </si>
  <si>
    <t>蒜蒜燒豚飯</t>
    <phoneticPr fontId="11" type="noConversion"/>
  </si>
  <si>
    <t>蛤蜊五目中華燴麵</t>
    <phoneticPr fontId="11" type="noConversion"/>
  </si>
  <si>
    <t>蔥蔥玉子拌麵</t>
    <phoneticPr fontId="11" type="noConversion"/>
  </si>
  <si>
    <t>明太子雞叉燒拌麵</t>
    <phoneticPr fontId="11" type="noConversion"/>
  </si>
  <si>
    <r>
      <rPr>
        <sz val="10"/>
        <color rgb="FF000000"/>
        <rFont val="Arial"/>
        <family val="3"/>
        <charset val="136"/>
        <scheme val="minor"/>
      </rPr>
      <t>蕃茄起司手工千層麵</t>
    </r>
    <r>
      <rPr>
        <sz val="10"/>
        <color rgb="FF000000"/>
        <rFont val="Arial"/>
        <family val="2"/>
        <scheme val="minor"/>
      </rPr>
      <t>(</t>
    </r>
    <r>
      <rPr>
        <sz val="10"/>
        <color rgb="FF000000"/>
        <rFont val="Arial"/>
        <family val="3"/>
        <charset val="136"/>
        <scheme val="minor"/>
      </rPr>
      <t>區</t>
    </r>
    <r>
      <rPr>
        <sz val="10"/>
        <color rgb="FF000000"/>
        <rFont val="Arial"/>
        <family val="2"/>
        <scheme val="minor"/>
      </rPr>
      <t>2)</t>
    </r>
    <phoneticPr fontId="11" type="noConversion"/>
  </si>
  <si>
    <t>椒麻香蔥雞涼拌麵</t>
    <phoneticPr fontId="11" type="noConversion"/>
  </si>
  <si>
    <t>日式蕎麥沾麵</t>
    <phoneticPr fontId="11" type="noConversion"/>
  </si>
  <si>
    <t>東京豚骨風味拉麵</t>
    <phoneticPr fontId="11" type="noConversion"/>
  </si>
  <si>
    <t>醬油叉燒拉麵</t>
    <phoneticPr fontId="11" type="noConversion"/>
  </si>
  <si>
    <t>濃厚豚骨拉麵</t>
    <phoneticPr fontId="11" type="noConversion"/>
  </si>
  <si>
    <t>大滿足香辣涼麵</t>
    <phoneticPr fontId="11" type="noConversion"/>
  </si>
  <si>
    <t>韓式部隊鍋</t>
    <phoneticPr fontId="11" type="noConversion"/>
  </si>
  <si>
    <t>日式壽喜燒</t>
    <phoneticPr fontId="11" type="noConversion"/>
  </si>
  <si>
    <t>古早味炒炊粉</t>
    <phoneticPr fontId="11" type="noConversion"/>
  </si>
  <si>
    <t>蒜泥狠台味三拼</t>
    <phoneticPr fontId="11" type="noConversion"/>
  </si>
  <si>
    <t>大口法式蕈菇起司雞排飯糰</t>
    <phoneticPr fontId="11" type="noConversion"/>
  </si>
  <si>
    <t>大口金黃薯牛堡飯糰</t>
    <phoneticPr fontId="11" type="noConversion"/>
  </si>
  <si>
    <t>大口義式香草雞腿排飯糰</t>
    <phoneticPr fontId="11" type="noConversion"/>
  </si>
  <si>
    <t>大口起司熔岩白醬炸魚飯糰</t>
    <phoneticPr fontId="11" type="noConversion"/>
  </si>
  <si>
    <t>糖燻野郎起司炙燒牛烤飯糰</t>
    <phoneticPr fontId="11" type="noConversion"/>
  </si>
  <si>
    <t>香料咖哩炸雞烤飯糰</t>
    <phoneticPr fontId="11" type="noConversion"/>
  </si>
  <si>
    <t>淡麗清酒蒸蛤蜊烤飯糰</t>
    <phoneticPr fontId="11" type="noConversion"/>
  </si>
  <si>
    <r>
      <t>4</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1" type="noConversion"/>
  </si>
  <si>
    <t>麻油鹽炙烤豬肉飯卷</t>
    <phoneticPr fontId="11" type="noConversion"/>
  </si>
  <si>
    <t>香料咖哩烤雞飯卷</t>
    <phoneticPr fontId="11" type="noConversion"/>
  </si>
  <si>
    <t>鮪魚飯糰</t>
    <phoneticPr fontId="11" type="noConversion"/>
  </si>
  <si>
    <r>
      <rPr>
        <sz val="10"/>
        <color rgb="FF000000"/>
        <rFont val="Arial"/>
        <family val="3"/>
        <charset val="136"/>
        <scheme val="minor"/>
      </rPr>
      <t>兩粒飯糰</t>
    </r>
    <r>
      <rPr>
        <sz val="10"/>
        <color rgb="FF000000"/>
        <rFont val="Arial"/>
        <family val="2"/>
        <scheme val="minor"/>
      </rPr>
      <t>(</t>
    </r>
    <r>
      <rPr>
        <sz val="10"/>
        <color rgb="FF000000"/>
        <rFont val="Arial"/>
        <family val="3"/>
        <charset val="136"/>
        <scheme val="minor"/>
      </rPr>
      <t>鮪魚</t>
    </r>
    <r>
      <rPr>
        <sz val="10"/>
        <color rgb="FF000000"/>
        <rFont val="Arial"/>
        <family val="2"/>
        <scheme val="minor"/>
      </rPr>
      <t>.</t>
    </r>
    <r>
      <rPr>
        <sz val="10"/>
        <color rgb="FF000000"/>
        <rFont val="Arial"/>
        <family val="3"/>
        <charset val="136"/>
        <scheme val="minor"/>
      </rPr>
      <t>焦糖鮭魚</t>
    </r>
    <r>
      <rPr>
        <sz val="10"/>
        <color rgb="FF000000"/>
        <rFont val="Arial"/>
        <family val="2"/>
        <scheme val="minor"/>
      </rPr>
      <t>)</t>
    </r>
    <phoneticPr fontId="11" type="noConversion"/>
  </si>
  <si>
    <t>經典肉鬆飯糰</t>
    <phoneticPr fontId="11" type="noConversion"/>
  </si>
  <si>
    <t>核桃腰果稻荷壽司組</t>
    <phoneticPr fontId="11" type="noConversion"/>
  </si>
  <si>
    <t>經典鮪魚沙拉細卷</t>
    <phoneticPr fontId="11" type="noConversion"/>
  </si>
  <si>
    <t>二配美味蟹煲</t>
    <phoneticPr fontId="11" type="noConversion"/>
  </si>
  <si>
    <t>二配金咖哩濃厚辛口咖哩飯</t>
    <phoneticPr fontId="11" type="noConversion"/>
  </si>
  <si>
    <t>二配泰式綠咖哩雞</t>
    <phoneticPr fontId="11" type="noConversion"/>
  </si>
  <si>
    <t>二配粗飽系雞排炒飯</t>
    <phoneticPr fontId="11" type="noConversion"/>
  </si>
  <si>
    <t>二配鐵板蘑菇肉醬起司焗飯</t>
    <phoneticPr fontId="11" type="noConversion"/>
  </si>
  <si>
    <t>二配哞哞培根奶香海陸焗飯</t>
    <phoneticPr fontId="11" type="noConversion"/>
  </si>
  <si>
    <t>二配乳酪燻腸紅醬焗飯</t>
    <phoneticPr fontId="11" type="noConversion"/>
  </si>
  <si>
    <t>二配西班牙風味海鮮燉飯</t>
    <phoneticPr fontId="11" type="noConversion"/>
  </si>
  <si>
    <t>妮妮家漢堡排</t>
    <phoneticPr fontId="11" type="noConversion"/>
  </si>
  <si>
    <t>柚子雞白湯拉麵</t>
    <phoneticPr fontId="11" type="noConversion"/>
  </si>
  <si>
    <t>台式麻醬涼麵</t>
    <phoneticPr fontId="11" type="noConversion"/>
  </si>
  <si>
    <t>大滿足麻醬涼麵</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</si>
</sst>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5">
    <numFmt numFmtId="42" formatCode="_-&quot;$&quot;* #,##0_-;\-&quot;$&quot;* #,##0_-;_-&quot;$&quot;* &quot;-&quot;_-;_-@_-"/>
    <numFmt numFmtId="44" formatCode="_-&quot;$&quot;* #,##0.00_-;\-&quot;$&quot;* #,##0.00_-;_-&quot;$&quot;* &quot;-&quot;??_-;_-@_-"/>
    <numFmt numFmtId="43" formatCode="_-* #,##0.00_-;\-* #,##0.00_-;_-* &quot;-&quot;??_-;_-@_-"/>
    <numFmt numFmtId="176" formatCode="&quot;NT$&quot;#,##0.0"/>
    <numFmt numFmtId="177" formatCode="0&quot;個&quot;"/>
    <numFmt numFmtId="178" formatCode="&quot;NT$&quot;#,##0.0_);[Red]\(&quot;NT$&quot;#,##0.0\)"/>
    <numFmt numFmtId="179" formatCode="m&quot;月&quot;d&quot;日&quot;"/>
    <numFmt numFmtId="180" formatCode="0.0&quot;個&quot;"/>
    <numFmt numFmtId="181" formatCode="0.0_);[Red]\(0.0\)"/>
    <numFmt numFmtId="182" formatCode="&quot;NT$&quot;#,##0.00_);[Red]\(&quot;NT$&quot;#,##0.00\)"/>
    <numFmt numFmtId="183" formatCode="0.0"/>
    <numFmt numFmtId="184" formatCode="0,000"/>
    <numFmt numFmtId="185" formatCode="0.0%"/>
    <numFmt numFmtId="186" formatCode="&quot;NT$&quot;#,##0_);[Red]\(&quot;NT$&quot;#,##0\)"/>
    <numFmt numFmtId="187" formatCode="&quot;NT$&quot;#,##0"/>
    <numFmt numFmtId="188" formatCode="_-* #,##0_-;\-* #,##0_-;_-* &quot;-&quot;??_-;_-@_-"/>
    <numFmt numFmtId="189" formatCode="0.000%"/>
    <numFmt numFmtId="190" formatCode="_-* #,##0.0_-;\-* #,##0.0_-;_-* &quot;-&quot;??_-;_-@_-"/>
    <numFmt numFmtId="191" formatCode="#,##0.0"/>
    <numFmt numFmtId="192" formatCode="#,##0.0_ "/>
    <numFmt numFmtId="193" formatCode="m/d\ aaaa"/>
    <numFmt numFmtId="194" formatCode="0,000&quot;元&quot;"/>
    <numFmt numFmtId="195" formatCode="000&quot;元&quot;"/>
    <numFmt numFmtId="196" formatCode="0.00_)"/>
    <numFmt numFmtId="197" formatCode="#,##0_ "/>
  </numFmts>
  <fonts count="114">
    <font>
      <sz val="10"/>
      <color rgb="FF000000"/>
      <name val="Arial"/>
      <scheme val="minor"/>
    </font>
    <font>
      <sz val="12"/>
      <color theme="1"/>
      <name val="Arial"/>
      <family val="2"/>
      <charset val="136"/>
      <scheme val="minor"/>
    </font>
    <font>
      <sz val="12"/>
      <color theme="1"/>
      <name val="Arial"/>
      <family val="2"/>
      <charset val="136"/>
      <scheme val="minor"/>
    </font>
    <font>
      <sz val="12"/>
      <color theme="1"/>
      <name val="Arial"/>
      <family val="2"/>
      <charset val="136"/>
      <scheme val="minor"/>
    </font>
    <font>
      <sz val="12"/>
      <color theme="1"/>
      <name val="Arial"/>
      <family val="2"/>
      <charset val="136"/>
      <scheme val="minor"/>
    </font>
    <font>
      <sz val="11"/>
      <color theme="1"/>
      <name val="Arial"/>
      <family val="2"/>
      <scheme val="minor"/>
    </font>
    <font>
      <sz val="10"/>
      <color theme="1"/>
      <name val="Arial"/>
      <family val="2"/>
      <scheme val="minor"/>
    </font>
    <font>
      <sz val="10"/>
      <name val="Arial"/>
      <family val="2"/>
    </font>
    <font>
      <sz val="6"/>
      <name val="Arial"/>
      <family val="3"/>
      <charset val="128"/>
      <scheme val="minor"/>
    </font>
    <font>
      <sz val="11"/>
      <color theme="1"/>
      <name val="Arial"/>
      <family val="3"/>
      <charset val="136"/>
      <scheme val="minor"/>
    </font>
    <font>
      <sz val="10"/>
      <color theme="1"/>
      <name val="Arial"/>
      <family val="3"/>
      <charset val="136"/>
      <scheme val="minor"/>
    </font>
    <font>
      <sz val="9"/>
      <name val="Arial"/>
      <family val="3"/>
      <charset val="136"/>
      <scheme val="minor"/>
    </font>
    <font>
      <sz val="10"/>
      <color rgb="FF000000"/>
      <name val="Meiryo UI"/>
      <family val="2"/>
      <charset val="128"/>
    </font>
    <font>
      <sz val="11"/>
      <color rgb="FF000000"/>
      <name val="Meiryo UI"/>
      <family val="2"/>
      <charset val="128"/>
    </font>
    <font>
      <sz val="11"/>
      <color rgb="FF000000"/>
      <name val="Arial"/>
      <family val="3"/>
      <charset val="136"/>
    </font>
    <font>
      <sz val="11"/>
      <color rgb="FF000000"/>
      <name val="細明體"/>
      <family val="3"/>
      <charset val="136"/>
    </font>
    <font>
      <sz val="18"/>
      <color rgb="FF000000"/>
      <name val="Meiryo UI"/>
      <family val="2"/>
      <charset val="128"/>
    </font>
    <font>
      <b/>
      <sz val="22"/>
      <color rgb="FF000000"/>
      <name val="Meiryo UI"/>
      <family val="2"/>
      <charset val="128"/>
    </font>
    <font>
      <b/>
      <sz val="22"/>
      <color rgb="FF000000"/>
      <name val="細明體"/>
      <family val="3"/>
      <charset val="136"/>
    </font>
    <font>
      <sz val="12"/>
      <color rgb="FF000000"/>
      <name val="Arial"/>
      <family val="3"/>
      <charset val="136"/>
    </font>
    <font>
      <sz val="11"/>
      <color theme="1"/>
      <name val="細明體"/>
      <family val="3"/>
      <charset val="136"/>
    </font>
    <font>
      <b/>
      <sz val="14"/>
      <color rgb="FF000000"/>
      <name val="細明體"/>
      <family val="3"/>
      <charset val="136"/>
    </font>
    <font>
      <sz val="10"/>
      <color rgb="FF000000"/>
      <name val="Arial"/>
      <family val="2"/>
      <scheme val="minor"/>
    </font>
    <font>
      <b/>
      <sz val="22"/>
      <color rgb="FF000000"/>
      <name val="Meiryo UI"/>
      <family val="2"/>
    </font>
    <font>
      <sz val="10"/>
      <color rgb="FF000000"/>
      <name val="Meiryo UI"/>
      <family val="2"/>
    </font>
    <font>
      <sz val="11"/>
      <color rgb="FF000000"/>
      <name val="Meiryo UI"/>
      <family val="2"/>
    </font>
    <font>
      <sz val="11"/>
      <color theme="1"/>
      <name val="Meiryo UI"/>
      <family val="2"/>
    </font>
    <font>
      <sz val="12"/>
      <color rgb="FF000000"/>
      <name val="Meiryo UI"/>
      <family val="2"/>
    </font>
    <font>
      <b/>
      <sz val="14"/>
      <color rgb="FF000000"/>
      <name val="Meiryo UI"/>
      <family val="2"/>
    </font>
    <font>
      <b/>
      <sz val="11.9"/>
      <color rgb="FF000000"/>
      <name val="Meiryo UI"/>
      <family val="2"/>
    </font>
    <font>
      <b/>
      <sz val="16"/>
      <color rgb="FF000000"/>
      <name val="Meiryo UI"/>
      <family val="2"/>
    </font>
    <font>
      <sz val="10"/>
      <color rgb="FF000000"/>
      <name val="Arial"/>
      <family val="3"/>
      <charset val="136"/>
      <scheme val="minor"/>
    </font>
    <font>
      <b/>
      <sz val="12"/>
      <color rgb="FF000000"/>
      <name val="Arial"/>
      <family val="3"/>
      <charset val="136"/>
      <scheme val="minor"/>
    </font>
    <font>
      <b/>
      <sz val="12"/>
      <color rgb="FF000000"/>
      <name val="Arial"/>
      <family val="2"/>
      <scheme val="minor"/>
    </font>
    <font>
      <sz val="12"/>
      <color theme="1"/>
      <name val="Meiryo UI"/>
      <family val="2"/>
    </font>
    <font>
      <sz val="12"/>
      <color theme="1"/>
      <name val="微軟正黑體"/>
      <family val="2"/>
      <charset val="136"/>
    </font>
    <font>
      <sz val="12"/>
      <name val="Meiryo UI"/>
      <family val="2"/>
    </font>
    <font>
      <sz val="12"/>
      <name val="微軟正黑體"/>
      <family val="2"/>
      <charset val="136"/>
    </font>
    <font>
      <b/>
      <sz val="16"/>
      <color rgb="FF000000"/>
      <name val="Meiryo UI"/>
      <family val="2"/>
      <charset val="128"/>
    </font>
    <font>
      <sz val="10"/>
      <color rgb="FF000000"/>
      <name val="Arial"/>
      <family val="3"/>
      <charset val="136"/>
    </font>
    <font>
      <b/>
      <sz val="14"/>
      <color rgb="FF000000"/>
      <name val="Arial"/>
      <family val="3"/>
      <charset val="136"/>
    </font>
    <font>
      <b/>
      <sz val="20"/>
      <color rgb="FF000000"/>
      <name val="Meiryo UI"/>
      <family val="2"/>
      <charset val="128"/>
    </font>
    <font>
      <b/>
      <sz val="20"/>
      <color rgb="FF000000"/>
      <name val="細明體"/>
      <family val="3"/>
      <charset val="136"/>
    </font>
    <font>
      <b/>
      <sz val="20"/>
      <color rgb="FF000000"/>
      <name val="Meiryo UI"/>
      <family val="2"/>
    </font>
    <font>
      <sz val="10"/>
      <color theme="1"/>
      <name val="Meiryo UI"/>
      <family val="2"/>
    </font>
    <font>
      <sz val="11"/>
      <color rgb="FFFF0000"/>
      <name val="Meiryo UI"/>
      <family val="2"/>
    </font>
    <font>
      <sz val="11"/>
      <color theme="1"/>
      <name val="Arial"/>
      <family val="3"/>
      <charset val="136"/>
    </font>
    <font>
      <sz val="10"/>
      <color theme="1"/>
      <name val="Arial"/>
      <family val="3"/>
      <charset val="136"/>
    </font>
    <font>
      <b/>
      <sz val="12"/>
      <color theme="1"/>
      <name val="Meiryo UI"/>
      <family val="2"/>
    </font>
    <font>
      <b/>
      <sz val="12"/>
      <color theme="1"/>
      <name val="Arial"/>
      <family val="3"/>
      <charset val="136"/>
    </font>
    <font>
      <b/>
      <sz val="12"/>
      <color theme="1"/>
      <name val="Meiryo UI"/>
      <family val="2"/>
      <charset val="128"/>
    </font>
    <font>
      <sz val="14"/>
      <color theme="1"/>
      <name val="Meiryo UI"/>
      <family val="2"/>
    </font>
    <font>
      <sz val="10"/>
      <color theme="1"/>
      <name val="細明體"/>
      <family val="3"/>
      <charset val="136"/>
    </font>
    <font>
      <b/>
      <sz val="12"/>
      <color rgb="FF000000"/>
      <name val="Meiryo UI"/>
      <family val="2"/>
      <charset val="128"/>
    </font>
    <font>
      <b/>
      <sz val="12"/>
      <color rgb="FF000000"/>
      <name val="Meiryo UI"/>
      <family val="2"/>
    </font>
    <font>
      <sz val="10"/>
      <name val="Meiryo UI"/>
      <family val="2"/>
    </font>
    <font>
      <b/>
      <sz val="12"/>
      <color rgb="FF000000"/>
      <name val="Arial"/>
      <family val="3"/>
      <charset val="136"/>
    </font>
    <font>
      <sz val="11"/>
      <color theme="1"/>
      <name val="Arial"/>
      <family val="2"/>
    </font>
    <font>
      <sz val="10"/>
      <color rgb="FF000000"/>
      <name val="Arial"/>
      <family val="2"/>
    </font>
    <font>
      <b/>
      <sz val="12"/>
      <color rgb="FF000000"/>
      <name val="細明體"/>
      <family val="3"/>
      <charset val="136"/>
    </font>
    <font>
      <b/>
      <sz val="14"/>
      <color theme="1"/>
      <name val="Meiryo UI"/>
      <family val="2"/>
    </font>
    <font>
      <b/>
      <sz val="14"/>
      <color theme="1"/>
      <name val="Arial"/>
      <family val="3"/>
      <charset val="136"/>
    </font>
    <font>
      <sz val="11"/>
      <color theme="1"/>
      <name val="Meiryo UI"/>
      <family val="2"/>
      <charset val="128"/>
    </font>
    <font>
      <sz val="10"/>
      <color rgb="FFFF0000"/>
      <name val="Meiryo UI"/>
      <family val="2"/>
    </font>
    <font>
      <b/>
      <sz val="16"/>
      <color rgb="FF000000"/>
      <name val="細明體"/>
      <family val="3"/>
      <charset val="136"/>
    </font>
    <font>
      <sz val="12"/>
      <color theme="1"/>
      <name val="細明體"/>
      <family val="3"/>
      <charset val="136"/>
    </font>
    <font>
      <sz val="12"/>
      <color rgb="FFFF0000"/>
      <name val="Meiryo UI"/>
      <family val="2"/>
    </font>
    <font>
      <b/>
      <sz val="20"/>
      <color rgb="FF000000"/>
      <name val="微軟正黑體"/>
      <family val="2"/>
      <charset val="136"/>
    </font>
    <font>
      <sz val="11"/>
      <color theme="1"/>
      <name val="微軟正黑體"/>
      <family val="2"/>
      <charset val="136"/>
    </font>
    <font>
      <sz val="14"/>
      <color theme="1"/>
      <name val="細明體"/>
      <family val="3"/>
      <charset val="136"/>
    </font>
    <font>
      <sz val="10"/>
      <color rgb="FFFF0000"/>
      <name val="Arial"/>
      <family val="3"/>
      <charset val="136"/>
      <scheme val="minor"/>
    </font>
    <font>
      <sz val="12"/>
      <color rgb="FF000000"/>
      <name val="細明體"/>
      <family val="3"/>
      <charset val="136"/>
    </font>
    <font>
      <sz val="10"/>
      <color theme="4"/>
      <name val="Arial"/>
      <family val="3"/>
      <charset val="136"/>
      <scheme val="minor"/>
    </font>
    <font>
      <sz val="6"/>
      <color rgb="FF000000"/>
      <name val="Meiryo UI"/>
      <family val="2"/>
    </font>
    <font>
      <sz val="9"/>
      <color rgb="FF000000"/>
      <name val="Meiryo UI"/>
      <family val="2"/>
    </font>
    <font>
      <sz val="10"/>
      <color rgb="FF000000"/>
      <name val="Arial"/>
      <family val="2"/>
      <scheme val="minor"/>
    </font>
    <font>
      <sz val="11"/>
      <color rgb="FF0070C0"/>
      <name val="新細明體"/>
      <family val="1"/>
      <charset val="136"/>
    </font>
    <font>
      <sz val="11"/>
      <color rgb="FF92D050"/>
      <name val="細明體"/>
      <family val="3"/>
      <charset val="136"/>
    </font>
    <font>
      <sz val="11"/>
      <color rgb="FFFF0000"/>
      <name val="新細明體"/>
      <family val="1"/>
      <charset val="136"/>
    </font>
    <font>
      <sz val="11"/>
      <color rgb="FF0070C0"/>
      <name val="Meiryo UI"/>
      <family val="2"/>
    </font>
    <font>
      <sz val="7"/>
      <color rgb="FF000000"/>
      <name val="Meiryo UI"/>
      <family val="2"/>
    </font>
    <font>
      <sz val="10"/>
      <color rgb="FF000000"/>
      <name val="細明體"/>
      <family val="3"/>
      <charset val="136"/>
    </font>
    <font>
      <b/>
      <sz val="12"/>
      <color theme="1"/>
      <name val="細明體"/>
      <family val="3"/>
      <charset val="136"/>
    </font>
    <font>
      <sz val="11"/>
      <color rgb="FFFF0000"/>
      <name val="細明體"/>
      <family val="3"/>
      <charset val="136"/>
    </font>
    <font>
      <sz val="9"/>
      <color theme="1"/>
      <name val="細明體"/>
      <family val="3"/>
      <charset val="136"/>
    </font>
    <font>
      <sz val="12"/>
      <color theme="1"/>
      <name val="Meiryo UI"/>
      <family val="2"/>
      <charset val="128"/>
    </font>
    <font>
      <sz val="12"/>
      <color rgb="FF000000"/>
      <name val="細明體"/>
      <family val="2"/>
      <charset val="136"/>
    </font>
    <font>
      <sz val="12"/>
      <color theme="1"/>
      <name val="細明體"/>
      <family val="2"/>
      <charset val="136"/>
    </font>
    <font>
      <sz val="12"/>
      <color theme="1"/>
      <name val="Microsoft JhengHei"/>
      <family val="2"/>
    </font>
    <font>
      <b/>
      <sz val="20"/>
      <color theme="1"/>
      <name val="微軟正黑體"/>
      <family val="2"/>
      <charset val="136"/>
    </font>
    <font>
      <b/>
      <sz val="14"/>
      <color theme="1"/>
      <name val="微軟正黑體"/>
      <family val="2"/>
      <charset val="136"/>
    </font>
    <font>
      <sz val="9"/>
      <name val="Arial"/>
      <family val="2"/>
      <charset val="136"/>
      <scheme val="minor"/>
    </font>
    <font>
      <b/>
      <sz val="14"/>
      <color rgb="FFFF0000"/>
      <name val="微軟正黑體"/>
      <family val="2"/>
      <charset val="136"/>
    </font>
    <font>
      <b/>
      <sz val="12"/>
      <color theme="1"/>
      <name val="微軟正黑體"/>
      <family val="2"/>
      <charset val="136"/>
    </font>
    <font>
      <sz val="14"/>
      <color theme="1"/>
      <name val="微軟正黑體"/>
      <family val="2"/>
      <charset val="136"/>
    </font>
    <font>
      <sz val="14"/>
      <name val="微軟正黑體"/>
      <family val="2"/>
      <charset val="136"/>
    </font>
    <font>
      <sz val="14"/>
      <color rgb="FFFF0000"/>
      <name val="微軟正黑體"/>
      <family val="2"/>
      <charset val="136"/>
    </font>
    <font>
      <sz val="12"/>
      <name val="新細明體"/>
      <family val="1"/>
      <charset val="136"/>
    </font>
    <font>
      <sz val="12"/>
      <name val="Times New Roman"/>
      <family val="1"/>
    </font>
    <font>
      <b/>
      <i/>
      <sz val="16"/>
      <name val="Helv"/>
      <family val="2"/>
    </font>
    <font>
      <sz val="12"/>
      <color theme="1"/>
      <name val="Arial"/>
      <family val="1"/>
      <charset val="136"/>
      <scheme val="minor"/>
    </font>
    <font>
      <u/>
      <sz val="12"/>
      <color indexed="12"/>
      <name val="新細明體"/>
      <family val="1"/>
      <charset val="136"/>
    </font>
    <font>
      <sz val="10"/>
      <color indexed="8"/>
      <name val="ARIAL"/>
      <family val="2"/>
    </font>
    <font>
      <sz val="12"/>
      <color theme="1"/>
      <name val="Arial"/>
      <family val="2"/>
      <scheme val="minor"/>
    </font>
    <font>
      <sz val="12"/>
      <color indexed="8"/>
      <name val="新細明體"/>
      <family val="1"/>
      <charset val="136"/>
    </font>
    <font>
      <sz val="12"/>
      <color indexed="17"/>
      <name val="新細明體"/>
      <family val="1"/>
      <charset val="136"/>
    </font>
    <font>
      <sz val="16"/>
      <color indexed="17"/>
      <name val="新細明體"/>
      <family val="1"/>
      <charset val="136"/>
    </font>
    <font>
      <sz val="11"/>
      <name val="ＭＳ Ｐゴシック"/>
      <family val="2"/>
      <charset val="128"/>
    </font>
    <font>
      <sz val="12"/>
      <color indexed="20"/>
      <name val="新細明體"/>
      <family val="1"/>
      <charset val="136"/>
    </font>
    <font>
      <sz val="20"/>
      <color indexed="20"/>
      <name val="新細明體"/>
      <family val="1"/>
      <charset val="136"/>
    </font>
    <font>
      <sz val="6"/>
      <color theme="1"/>
      <name val="細明體"/>
      <family val="3"/>
      <charset val="136"/>
    </font>
    <font>
      <sz val="10"/>
      <name val="微軟正黑體"/>
      <family val="2"/>
      <charset val="136"/>
    </font>
    <font>
      <sz val="6"/>
      <color theme="1"/>
      <name val="Meiryo UI"/>
      <family val="2"/>
    </font>
    <font>
      <b/>
      <sz val="10"/>
      <color rgb="FFFF0000"/>
      <name val="Meiryo UI"/>
      <family val="2"/>
      <charset val="128"/>
    </font>
  </fonts>
  <fills count="22">
    <fill>
      <patternFill patternType="none"/>
    </fill>
    <fill>
      <patternFill patternType="gray125"/>
    </fill>
    <fill>
      <patternFill patternType="solid">
        <fgColor rgb="FFD9D9D9"/>
        <bgColor rgb="FFD9D9D9"/>
      </patternFill>
    </fill>
    <fill>
      <patternFill patternType="solid">
        <fgColor rgb="FFCFE2F3"/>
        <bgColor rgb="FFCFE2F3"/>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FFCC"/>
        <bgColor indexed="64"/>
      </patternFill>
    </fill>
    <fill>
      <patternFill patternType="solid">
        <fgColor theme="2" tint="-0.14999847407452621"/>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rgb="FF00B0F0"/>
        <bgColor indexed="64"/>
      </patternFill>
    </fill>
    <fill>
      <patternFill patternType="solid">
        <fgColor theme="4" tint="0.79998168889431442"/>
        <bgColor indexed="64"/>
      </patternFill>
    </fill>
    <fill>
      <patternFill patternType="solid">
        <fgColor indexed="42"/>
      </patternFill>
    </fill>
    <fill>
      <patternFill patternType="solid">
        <fgColor indexed="45"/>
      </patternFill>
    </fill>
    <fill>
      <patternFill patternType="solid">
        <fgColor rgb="FF92D050"/>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9" tint="0.39997558519241921"/>
        <bgColor indexed="64"/>
      </patternFill>
    </fill>
  </fills>
  <borders count="59">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double">
        <color rgb="FF000000"/>
      </top>
      <bottom style="thin">
        <color rgb="FF000000"/>
      </bottom>
      <diagonal/>
    </border>
    <border>
      <left style="thin">
        <color rgb="FF000000"/>
      </left>
      <right/>
      <top style="double">
        <color rgb="FF000000"/>
      </top>
      <bottom style="thin">
        <color rgb="FF000000"/>
      </bottom>
      <diagonal/>
    </border>
    <border>
      <left/>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top/>
      <bottom/>
      <diagonal/>
    </border>
    <border>
      <left style="double">
        <color rgb="FF000000"/>
      </left>
      <right style="thin">
        <color rgb="FF000000"/>
      </right>
      <top style="double">
        <color rgb="FF000000"/>
      </top>
      <bottom style="double">
        <color rgb="FF000000"/>
      </bottom>
      <diagonal/>
    </border>
    <border>
      <left style="thin">
        <color rgb="FF000000"/>
      </left>
      <right style="thin">
        <color rgb="FF000000"/>
      </right>
      <top style="double">
        <color rgb="FF000000"/>
      </top>
      <bottom style="double">
        <color rgb="FF000000"/>
      </bottom>
      <diagonal/>
    </border>
    <border>
      <left style="thin">
        <color rgb="FF000000"/>
      </left>
      <right style="double">
        <color rgb="FF000000"/>
      </right>
      <top style="double">
        <color rgb="FF000000"/>
      </top>
      <bottom style="double">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indexed="64"/>
      </right>
      <top/>
      <bottom style="thin">
        <color rgb="FF000000"/>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rgb="FF000000"/>
      </right>
      <top/>
      <bottom/>
      <diagonal/>
    </border>
    <border>
      <left style="double">
        <color rgb="FF000000"/>
      </left>
      <right/>
      <top style="thin">
        <color rgb="FF000000"/>
      </top>
      <bottom style="thin">
        <color rgb="FF000000"/>
      </bottom>
      <diagonal/>
    </border>
    <border>
      <left/>
      <right style="double">
        <color rgb="FF000000"/>
      </right>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medium">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right/>
      <top style="thin">
        <color rgb="FF000000"/>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rgb="FF000000"/>
      </left>
      <right style="thin">
        <color rgb="FF000000"/>
      </right>
      <top style="thin">
        <color rgb="FF000000"/>
      </top>
      <bottom style="medium">
        <color indexed="64"/>
      </bottom>
      <diagonal/>
    </border>
    <border>
      <left style="thin">
        <color indexed="64"/>
      </left>
      <right style="medium">
        <color indexed="64"/>
      </right>
      <top style="thin">
        <color indexed="64"/>
      </top>
      <bottom style="medium">
        <color indexed="64"/>
      </bottom>
      <diagonal/>
    </border>
  </borders>
  <cellStyleXfs count="577">
    <xf numFmtId="0" fontId="0" fillId="0" borderId="0"/>
    <xf numFmtId="0" fontId="4" fillId="0" borderId="0">
      <alignment vertical="center"/>
    </xf>
    <xf numFmtId="43" fontId="5" fillId="0" borderId="0" applyFont="0" applyFill="0" applyBorder="0" applyAlignment="0" applyProtection="0">
      <alignment vertical="center"/>
    </xf>
    <xf numFmtId="9" fontId="5" fillId="0" borderId="0" applyFont="0" applyFill="0" applyBorder="0" applyAlignment="0" applyProtection="0">
      <alignment vertical="center"/>
    </xf>
    <xf numFmtId="0" fontId="4" fillId="0" borderId="0">
      <alignment vertical="center"/>
    </xf>
    <xf numFmtId="0" fontId="5" fillId="0" borderId="0"/>
    <xf numFmtId="0" fontId="4" fillId="0" borderId="0">
      <alignment vertical="center"/>
    </xf>
    <xf numFmtId="0" fontId="4" fillId="0" borderId="0">
      <alignment vertical="center"/>
    </xf>
    <xf numFmtId="9" fontId="7" fillId="0" borderId="0" applyFont="0" applyFill="0" applyBorder="0" applyAlignment="0" applyProtection="0">
      <alignment vertical="center"/>
    </xf>
    <xf numFmtId="0" fontId="7" fillId="0" borderId="0"/>
    <xf numFmtId="9" fontId="7" fillId="0" borderId="0" applyFont="0" applyFill="0" applyBorder="0" applyAlignment="0" applyProtection="0"/>
    <xf numFmtId="0" fontId="22" fillId="0" borderId="0"/>
    <xf numFmtId="0" fontId="3" fillId="0" borderId="0">
      <alignment vertical="center"/>
    </xf>
    <xf numFmtId="9" fontId="22" fillId="0" borderId="0" applyFont="0" applyFill="0" applyBorder="0" applyAlignment="0" applyProtection="0">
      <alignment vertical="center"/>
    </xf>
    <xf numFmtId="43" fontId="75"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3" fontId="22" fillId="0" borderId="0" applyFont="0" applyFill="0" applyBorder="0" applyAlignment="0" applyProtection="0">
      <alignment vertical="center"/>
    </xf>
    <xf numFmtId="9" fontId="7" fillId="0" borderId="0" applyFont="0" applyFill="0" applyBorder="0" applyAlignment="0" applyProtection="0">
      <alignment vertical="center"/>
    </xf>
    <xf numFmtId="0" fontId="1" fillId="0" borderId="0">
      <alignment vertical="center"/>
    </xf>
    <xf numFmtId="9" fontId="1" fillId="0" borderId="0" applyFont="0" applyFill="0" applyBorder="0" applyAlignment="0" applyProtection="0">
      <alignment vertical="center"/>
    </xf>
    <xf numFmtId="0" fontId="97" fillId="0" borderId="0"/>
    <xf numFmtId="9" fontId="97" fillId="0" borderId="0" applyFont="0" applyFill="0" applyBorder="0" applyAlignment="0" applyProtection="0"/>
    <xf numFmtId="0" fontId="98"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196" fontId="99" fillId="0" borderId="0"/>
    <xf numFmtId="0" fontId="7" fillId="0" borderId="0"/>
    <xf numFmtId="0" fontId="97" fillId="0" borderId="0">
      <alignment vertical="center"/>
    </xf>
    <xf numFmtId="0" fontId="100" fillId="0" borderId="0"/>
    <xf numFmtId="42" fontId="98" fillId="0" borderId="0" applyFont="0" applyFill="0" applyBorder="0" applyAlignment="0" applyProtection="0"/>
    <xf numFmtId="0" fontId="101" fillId="0" borderId="0" applyNumberFormat="0" applyFill="0" applyBorder="0" applyAlignment="0" applyProtection="0">
      <alignment vertical="top"/>
      <protection locked="0"/>
    </xf>
    <xf numFmtId="0" fontId="102" fillId="0" borderId="0">
      <alignment vertical="top"/>
    </xf>
    <xf numFmtId="0" fontId="7" fillId="0" borderId="0"/>
    <xf numFmtId="0" fontId="100" fillId="0" borderId="0">
      <alignment vertical="center"/>
    </xf>
    <xf numFmtId="0" fontId="97" fillId="0" borderId="0"/>
    <xf numFmtId="0" fontId="97" fillId="0" borderId="0"/>
    <xf numFmtId="0" fontId="97" fillId="0" borderId="0"/>
    <xf numFmtId="0" fontId="100" fillId="0" borderId="0">
      <alignment vertical="center"/>
    </xf>
    <xf numFmtId="0" fontId="97" fillId="0" borderId="0"/>
    <xf numFmtId="0" fontId="97" fillId="0" borderId="0"/>
    <xf numFmtId="0" fontId="100" fillId="0" borderId="0">
      <alignment vertical="center"/>
    </xf>
    <xf numFmtId="0" fontId="100" fillId="0" borderId="0">
      <alignment vertical="center"/>
    </xf>
    <xf numFmtId="0" fontId="97" fillId="0" borderId="0"/>
    <xf numFmtId="0" fontId="100" fillId="0" borderId="0">
      <alignment vertical="center"/>
    </xf>
    <xf numFmtId="0" fontId="97" fillId="0" borderId="0"/>
    <xf numFmtId="0" fontId="100" fillId="0" borderId="0">
      <alignment vertical="center"/>
    </xf>
    <xf numFmtId="0" fontId="97" fillId="0" borderId="0"/>
    <xf numFmtId="0" fontId="97" fillId="0" borderId="0"/>
    <xf numFmtId="0" fontId="97" fillId="0" borderId="0"/>
    <xf numFmtId="0" fontId="103" fillId="0" borderId="0"/>
    <xf numFmtId="0" fontId="104" fillId="0" borderId="0">
      <alignment vertical="center"/>
    </xf>
    <xf numFmtId="0" fontId="104" fillId="0" borderId="0">
      <alignment vertical="center"/>
    </xf>
    <xf numFmtId="0" fontId="104" fillId="0" borderId="0">
      <alignment vertical="center"/>
    </xf>
    <xf numFmtId="0" fontId="1" fillId="0" borderId="0">
      <alignment vertical="center"/>
    </xf>
    <xf numFmtId="0" fontId="97" fillId="0" borderId="0"/>
    <xf numFmtId="0" fontId="97" fillId="0" borderId="0"/>
    <xf numFmtId="0" fontId="103" fillId="0" borderId="0"/>
    <xf numFmtId="0" fontId="1" fillId="0" borderId="0">
      <alignment vertical="center"/>
    </xf>
    <xf numFmtId="0" fontId="104" fillId="0" borderId="0">
      <alignment vertical="center"/>
    </xf>
    <xf numFmtId="0" fontId="104" fillId="0" borderId="0">
      <alignment vertical="center"/>
    </xf>
    <xf numFmtId="0" fontId="100" fillId="0" borderId="0"/>
    <xf numFmtId="0" fontId="97" fillId="0" borderId="0"/>
    <xf numFmtId="0" fontId="1" fillId="0" borderId="0">
      <alignment vertical="center"/>
    </xf>
    <xf numFmtId="0" fontId="100" fillId="0" borderId="0">
      <alignment vertical="center"/>
    </xf>
    <xf numFmtId="0" fontId="104" fillId="0" borderId="0">
      <alignment vertical="center"/>
    </xf>
    <xf numFmtId="0" fontId="104" fillId="0" borderId="0">
      <alignment vertical="center"/>
    </xf>
    <xf numFmtId="0" fontId="100" fillId="0" borderId="0">
      <alignment vertical="center"/>
    </xf>
    <xf numFmtId="0" fontId="97" fillId="0" borderId="0"/>
    <xf numFmtId="0" fontId="100" fillId="0" borderId="0">
      <alignment vertical="center"/>
    </xf>
    <xf numFmtId="0" fontId="100" fillId="0" borderId="0">
      <alignment vertical="center"/>
    </xf>
    <xf numFmtId="0" fontId="97" fillId="0" borderId="0"/>
    <xf numFmtId="0" fontId="100" fillId="0" borderId="0">
      <alignment vertical="center"/>
    </xf>
    <xf numFmtId="0" fontId="100" fillId="0" borderId="0">
      <alignment vertical="center"/>
    </xf>
    <xf numFmtId="0" fontId="1" fillId="0" borderId="0">
      <alignment vertical="center"/>
    </xf>
    <xf numFmtId="0" fontId="97" fillId="0" borderId="0"/>
    <xf numFmtId="0" fontId="100" fillId="0" borderId="0">
      <alignment vertical="center"/>
    </xf>
    <xf numFmtId="0" fontId="97" fillId="0" borderId="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100" fillId="0" borderId="0" applyFont="0" applyFill="0" applyBorder="0" applyAlignment="0" applyProtection="0">
      <alignment vertical="center"/>
    </xf>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0" fontId="105" fillId="16" borderId="0" applyNumberFormat="0" applyBorder="0" applyAlignment="0" applyProtection="0">
      <alignment vertical="center"/>
    </xf>
    <xf numFmtId="0" fontId="105" fillId="16" borderId="0" applyNumberFormat="0" applyBorder="0" applyAlignment="0" applyProtection="0">
      <alignment vertical="center"/>
    </xf>
    <xf numFmtId="0" fontId="106" fillId="16" borderId="0" applyNumberFormat="0" applyBorder="0" applyAlignment="0" applyProtection="0">
      <alignment vertical="center"/>
    </xf>
    <xf numFmtId="0" fontId="105" fillId="16" borderId="0" applyNumberFormat="0" applyBorder="0" applyAlignment="0" applyProtection="0">
      <alignment vertical="center"/>
    </xf>
    <xf numFmtId="0" fontId="105" fillId="16" borderId="0" applyNumberFormat="0" applyBorder="0" applyAlignment="0" applyProtection="0">
      <alignment vertical="center"/>
    </xf>
    <xf numFmtId="0" fontId="105" fillId="16" borderId="0" applyNumberFormat="0" applyBorder="0" applyAlignment="0" applyProtection="0">
      <alignment vertical="center"/>
    </xf>
    <xf numFmtId="0" fontId="105" fillId="16" borderId="0" applyNumberFormat="0" applyBorder="0" applyAlignment="0" applyProtection="0">
      <alignment vertical="center"/>
    </xf>
    <xf numFmtId="0" fontId="105" fillId="16" borderId="0" applyNumberFormat="0" applyBorder="0" applyAlignment="0" applyProtection="0">
      <alignment vertical="center"/>
    </xf>
    <xf numFmtId="0" fontId="105" fillId="16" borderId="0" applyNumberFormat="0" applyBorder="0" applyAlignment="0" applyProtection="0">
      <alignment vertical="center"/>
    </xf>
    <xf numFmtId="0" fontId="105" fillId="16" borderId="0" applyNumberFormat="0" applyBorder="0" applyAlignment="0" applyProtection="0">
      <alignment vertical="center"/>
    </xf>
    <xf numFmtId="0" fontId="105" fillId="16" borderId="0" applyNumberFormat="0" applyBorder="0" applyAlignment="0" applyProtection="0">
      <alignment vertical="center"/>
    </xf>
    <xf numFmtId="0" fontId="106" fillId="16" borderId="0" applyNumberFormat="0" applyBorder="0" applyAlignment="0" applyProtection="0">
      <alignment vertical="center"/>
    </xf>
    <xf numFmtId="9" fontId="104" fillId="0" borderId="0" applyFont="0" applyFill="0" applyBorder="0" applyAlignment="0" applyProtection="0">
      <alignment vertical="center"/>
    </xf>
    <xf numFmtId="9" fontId="104" fillId="0" borderId="0" applyFont="0" applyFill="0" applyBorder="0" applyAlignment="0" applyProtection="0">
      <alignment vertical="center"/>
    </xf>
    <xf numFmtId="9" fontId="104" fillId="0" borderId="0" applyFont="0" applyFill="0" applyBorder="0" applyAlignment="0" applyProtection="0">
      <alignment vertical="center"/>
    </xf>
    <xf numFmtId="9" fontId="97" fillId="0" borderId="0" applyFont="0" applyFill="0" applyBorder="0" applyAlignment="0" applyProtection="0"/>
    <xf numFmtId="9" fontId="97" fillId="0" borderId="0" applyFont="0" applyFill="0" applyBorder="0" applyAlignment="0" applyProtection="0"/>
    <xf numFmtId="9" fontId="104" fillId="0" borderId="0" applyFont="0" applyFill="0" applyBorder="0" applyAlignment="0" applyProtection="0">
      <alignment vertical="center"/>
    </xf>
    <xf numFmtId="9" fontId="100"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04" fillId="0" borderId="0" applyFont="0" applyFill="0" applyBorder="0" applyAlignment="0" applyProtection="0">
      <alignment vertical="center"/>
    </xf>
    <xf numFmtId="9" fontId="104"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04" fillId="0" borderId="0" applyFont="0" applyFill="0" applyBorder="0" applyAlignment="0" applyProtection="0">
      <alignment vertical="center"/>
    </xf>
    <xf numFmtId="9" fontId="97" fillId="0" borderId="0" applyFont="0" applyFill="0" applyBorder="0" applyAlignment="0" applyProtection="0"/>
    <xf numFmtId="9" fontId="104" fillId="0" borderId="0" applyFont="0" applyFill="0" applyBorder="0" applyAlignment="0" applyProtection="0">
      <alignment vertical="center"/>
    </xf>
    <xf numFmtId="9" fontId="104" fillId="0" borderId="0" applyFont="0" applyFill="0" applyBorder="0" applyAlignment="0" applyProtection="0">
      <alignment vertical="center"/>
    </xf>
    <xf numFmtId="9" fontId="97" fillId="0" borderId="0" applyFont="0" applyFill="0" applyBorder="0" applyAlignment="0" applyProtection="0"/>
    <xf numFmtId="9" fontId="97" fillId="0" borderId="0" applyFont="0" applyFill="0" applyBorder="0" applyAlignment="0" applyProtection="0"/>
    <xf numFmtId="44" fontId="103" fillId="0" borderId="0" applyFont="0" applyFill="0" applyBorder="0" applyAlignment="0" applyProtection="0">
      <alignment vertical="center"/>
    </xf>
    <xf numFmtId="0" fontId="107" fillId="0" borderId="0">
      <alignment vertical="center"/>
    </xf>
    <xf numFmtId="0" fontId="108" fillId="17" borderId="0" applyNumberFormat="0" applyBorder="0" applyAlignment="0" applyProtection="0">
      <alignment vertical="center"/>
    </xf>
    <xf numFmtId="0" fontId="108" fillId="17" borderId="0" applyNumberFormat="0" applyBorder="0" applyAlignment="0" applyProtection="0">
      <alignment vertical="center"/>
    </xf>
    <xf numFmtId="0" fontId="109" fillId="17" borderId="0" applyNumberFormat="0" applyBorder="0" applyAlignment="0" applyProtection="0">
      <alignment vertical="center"/>
    </xf>
    <xf numFmtId="0" fontId="108" fillId="17" borderId="0" applyNumberFormat="0" applyBorder="0" applyAlignment="0" applyProtection="0">
      <alignment vertical="center"/>
    </xf>
    <xf numFmtId="0" fontId="108" fillId="17" borderId="0" applyNumberFormat="0" applyBorder="0" applyAlignment="0" applyProtection="0">
      <alignment vertical="center"/>
    </xf>
    <xf numFmtId="0" fontId="108" fillId="17" borderId="0" applyNumberFormat="0" applyBorder="0" applyAlignment="0" applyProtection="0">
      <alignment vertical="center"/>
    </xf>
    <xf numFmtId="0" fontId="108" fillId="17" borderId="0" applyNumberFormat="0" applyBorder="0" applyAlignment="0" applyProtection="0">
      <alignment vertical="center"/>
    </xf>
    <xf numFmtId="0" fontId="108" fillId="17" borderId="0" applyNumberFormat="0" applyBorder="0" applyAlignment="0" applyProtection="0">
      <alignment vertical="center"/>
    </xf>
    <xf numFmtId="0" fontId="108" fillId="17" borderId="0" applyNumberFormat="0" applyBorder="0" applyAlignment="0" applyProtection="0">
      <alignment vertical="center"/>
    </xf>
    <xf numFmtId="0" fontId="108" fillId="17" borderId="0" applyNumberFormat="0" applyBorder="0" applyAlignment="0" applyProtection="0">
      <alignment vertical="center"/>
    </xf>
    <xf numFmtId="0" fontId="108" fillId="17" borderId="0" applyNumberFormat="0" applyBorder="0" applyAlignment="0" applyProtection="0">
      <alignment vertical="center"/>
    </xf>
    <xf numFmtId="0" fontId="109" fillId="17" borderId="0" applyNumberFormat="0" applyBorder="0" applyAlignment="0" applyProtection="0">
      <alignment vertical="center"/>
    </xf>
    <xf numFmtId="43" fontId="1" fillId="0" borderId="0" applyFont="0" applyFill="0" applyBorder="0" applyAlignment="0" applyProtection="0">
      <alignment vertical="center"/>
    </xf>
  </cellStyleXfs>
  <cellXfs count="829">
    <xf numFmtId="0" fontId="0" fillId="0" borderId="0" xfId="0" applyFont="1" applyAlignment="1"/>
    <xf numFmtId="0" fontId="5" fillId="0" borderId="0" xfId="0" applyFont="1" applyAlignment="1">
      <alignment shrinkToFit="1"/>
    </xf>
    <xf numFmtId="0" fontId="0" fillId="0" borderId="0" xfId="0" applyFont="1" applyAlignment="1">
      <alignment shrinkToFit="1"/>
    </xf>
    <xf numFmtId="0" fontId="5" fillId="0" borderId="1" xfId="0" applyFont="1" applyBorder="1" applyAlignment="1">
      <alignment horizontal="right" shrinkToFit="1"/>
    </xf>
    <xf numFmtId="0" fontId="5" fillId="0" borderId="1" xfId="0" applyFont="1" applyBorder="1" applyAlignment="1">
      <alignment shrinkToFit="1"/>
    </xf>
    <xf numFmtId="0" fontId="5" fillId="0" borderId="2" xfId="0" applyFont="1" applyBorder="1" applyAlignment="1">
      <alignment shrinkToFit="1"/>
    </xf>
    <xf numFmtId="0" fontId="6" fillId="0" borderId="3" xfId="0" applyFont="1" applyBorder="1" applyAlignment="1">
      <alignment shrinkToFit="1"/>
    </xf>
    <xf numFmtId="0" fontId="6" fillId="2" borderId="1" xfId="0" applyFont="1" applyFill="1" applyBorder="1" applyAlignment="1">
      <alignment shrinkToFit="1"/>
    </xf>
    <xf numFmtId="0" fontId="5" fillId="2" borderId="1" xfId="0" applyFont="1" applyFill="1" applyBorder="1" applyAlignment="1">
      <alignment shrinkToFit="1"/>
    </xf>
    <xf numFmtId="3" fontId="5" fillId="0" borderId="1" xfId="0" applyNumberFormat="1" applyFont="1" applyBorder="1" applyAlignment="1">
      <alignment shrinkToFit="1"/>
    </xf>
    <xf numFmtId="3" fontId="5" fillId="3" borderId="1" xfId="0" applyNumberFormat="1" applyFont="1" applyFill="1" applyBorder="1" applyAlignment="1">
      <alignment shrinkToFit="1"/>
    </xf>
    <xf numFmtId="4" fontId="5" fillId="0" borderId="1" xfId="0" applyNumberFormat="1" applyFont="1" applyBorder="1" applyAlignment="1">
      <alignment horizontal="right" shrinkToFit="1"/>
    </xf>
    <xf numFmtId="10" fontId="5" fillId="2" borderId="1" xfId="0" applyNumberFormat="1" applyFont="1" applyFill="1" applyBorder="1" applyAlignment="1">
      <alignment horizontal="right" shrinkToFit="1"/>
    </xf>
    <xf numFmtId="10" fontId="5" fillId="3" borderId="1" xfId="0" applyNumberFormat="1" applyFont="1" applyFill="1" applyBorder="1" applyAlignment="1">
      <alignment shrinkToFit="1"/>
    </xf>
    <xf numFmtId="10" fontId="5" fillId="0" borderId="1" xfId="0" applyNumberFormat="1" applyFont="1" applyBorder="1" applyAlignment="1">
      <alignment shrinkToFit="1"/>
    </xf>
    <xf numFmtId="10" fontId="6" fillId="0" borderId="0" xfId="0" applyNumberFormat="1" applyFont="1" applyAlignment="1">
      <alignment shrinkToFit="1"/>
    </xf>
    <xf numFmtId="0" fontId="5" fillId="3" borderId="1" xfId="0" applyFont="1" applyFill="1" applyBorder="1" applyAlignment="1">
      <alignment shrinkToFit="1"/>
    </xf>
    <xf numFmtId="4" fontId="5" fillId="0" borderId="1" xfId="0" applyNumberFormat="1" applyFont="1" applyBorder="1" applyAlignment="1">
      <alignment shrinkToFit="1"/>
    </xf>
    <xf numFmtId="0" fontId="6" fillId="2" borderId="5" xfId="0" applyFont="1" applyFill="1" applyBorder="1" applyAlignment="1">
      <alignment shrinkToFit="1"/>
    </xf>
    <xf numFmtId="0" fontId="6" fillId="2" borderId="3" xfId="0" applyFont="1" applyFill="1" applyBorder="1" applyAlignment="1">
      <alignment shrinkToFit="1"/>
    </xf>
    <xf numFmtId="0" fontId="6" fillId="2" borderId="6" xfId="0" applyFont="1" applyFill="1" applyBorder="1" applyAlignment="1">
      <alignment shrinkToFit="1"/>
    </xf>
    <xf numFmtId="0" fontId="5" fillId="2" borderId="3" xfId="0" applyFont="1" applyFill="1" applyBorder="1" applyAlignment="1">
      <alignment shrinkToFit="1"/>
    </xf>
    <xf numFmtId="0" fontId="5" fillId="2" borderId="6" xfId="0" applyFont="1" applyFill="1" applyBorder="1" applyAlignment="1">
      <alignment shrinkToFit="1"/>
    </xf>
    <xf numFmtId="0" fontId="6" fillId="2" borderId="7" xfId="0" applyFont="1" applyFill="1" applyBorder="1" applyAlignment="1">
      <alignment shrinkToFit="1"/>
    </xf>
    <xf numFmtId="0" fontId="5" fillId="0" borderId="3" xfId="0" applyFont="1" applyBorder="1" applyAlignment="1">
      <alignment shrinkToFit="1"/>
    </xf>
    <xf numFmtId="0" fontId="5" fillId="2" borderId="7" xfId="0" applyFont="1" applyFill="1" applyBorder="1" applyAlignment="1">
      <alignment shrinkToFit="1"/>
    </xf>
    <xf numFmtId="0" fontId="6" fillId="0" borderId="8" xfId="0" applyFont="1" applyBorder="1" applyAlignment="1">
      <alignment shrinkToFit="1"/>
    </xf>
    <xf numFmtId="0" fontId="5" fillId="0" borderId="5" xfId="0" applyFont="1" applyBorder="1" applyAlignment="1">
      <alignment shrinkToFit="1"/>
    </xf>
    <xf numFmtId="0" fontId="5" fillId="0" borderId="14" xfId="0" applyFont="1" applyBorder="1" applyAlignment="1">
      <alignment shrinkToFit="1"/>
    </xf>
    <xf numFmtId="0" fontId="5" fillId="0" borderId="8" xfId="0" applyFont="1" applyBorder="1" applyAlignment="1">
      <alignment shrinkToFit="1"/>
    </xf>
    <xf numFmtId="10" fontId="5" fillId="0" borderId="5" xfId="0" applyNumberFormat="1" applyFont="1" applyBorder="1" applyAlignment="1">
      <alignment shrinkToFit="1"/>
    </xf>
    <xf numFmtId="0" fontId="5" fillId="3" borderId="5" xfId="0" applyFont="1" applyFill="1" applyBorder="1" applyAlignment="1">
      <alignment shrinkToFit="1"/>
    </xf>
    <xf numFmtId="0" fontId="5" fillId="2" borderId="15" xfId="0" applyFont="1" applyFill="1" applyBorder="1" applyAlignment="1">
      <alignment shrinkToFit="1"/>
    </xf>
    <xf numFmtId="10" fontId="5" fillId="3" borderId="17" xfId="0" applyNumberFormat="1" applyFont="1" applyFill="1" applyBorder="1" applyAlignment="1">
      <alignment shrinkToFit="1"/>
    </xf>
    <xf numFmtId="0" fontId="5" fillId="3" borderId="18" xfId="0" applyFont="1" applyFill="1" applyBorder="1" applyAlignment="1">
      <alignment shrinkToFit="1"/>
    </xf>
    <xf numFmtId="0" fontId="5" fillId="0" borderId="6" xfId="0" applyFont="1" applyBorder="1" applyAlignment="1">
      <alignment shrinkToFit="1"/>
    </xf>
    <xf numFmtId="10" fontId="5" fillId="0" borderId="6" xfId="0" applyNumberFormat="1" applyFont="1" applyBorder="1" applyAlignment="1">
      <alignment shrinkToFit="1"/>
    </xf>
    <xf numFmtId="0" fontId="5" fillId="3" borderId="6" xfId="0" applyFont="1" applyFill="1" applyBorder="1" applyAlignment="1">
      <alignment shrinkToFit="1"/>
    </xf>
    <xf numFmtId="10" fontId="5" fillId="0" borderId="0" xfId="0" applyNumberFormat="1" applyFont="1" applyAlignment="1">
      <alignment shrinkToFit="1"/>
    </xf>
    <xf numFmtId="10" fontId="5" fillId="2" borderId="1" xfId="0" applyNumberFormat="1" applyFont="1" applyFill="1" applyBorder="1" applyAlignment="1">
      <alignment shrinkToFit="1"/>
    </xf>
    <xf numFmtId="0" fontId="5" fillId="3" borderId="7" xfId="0" applyFont="1" applyFill="1" applyBorder="1" applyAlignment="1">
      <alignment shrinkToFit="1"/>
    </xf>
    <xf numFmtId="10" fontId="5" fillId="3" borderId="5" xfId="0" applyNumberFormat="1" applyFont="1" applyFill="1" applyBorder="1" applyAlignment="1">
      <alignment shrinkToFit="1"/>
    </xf>
    <xf numFmtId="0" fontId="5" fillId="0" borderId="11" xfId="0" applyFont="1" applyBorder="1" applyAlignment="1">
      <alignment shrinkToFit="1"/>
    </xf>
    <xf numFmtId="10" fontId="5" fillId="0" borderId="14" xfId="0" applyNumberFormat="1" applyFont="1" applyBorder="1" applyAlignment="1">
      <alignment shrinkToFit="1"/>
    </xf>
    <xf numFmtId="10" fontId="5" fillId="3" borderId="14" xfId="0" applyNumberFormat="1" applyFont="1" applyFill="1" applyBorder="1" applyAlignment="1">
      <alignment shrinkToFit="1"/>
    </xf>
    <xf numFmtId="0" fontId="5" fillId="2" borderId="2" xfId="0" applyFont="1" applyFill="1" applyBorder="1" applyAlignment="1">
      <alignment shrinkToFit="1"/>
    </xf>
    <xf numFmtId="0" fontId="5" fillId="2" borderId="4" xfId="0" applyFont="1" applyFill="1" applyBorder="1" applyAlignment="1">
      <alignment shrinkToFit="1"/>
    </xf>
    <xf numFmtId="0" fontId="0" fillId="0" borderId="0" xfId="0" applyFont="1" applyAlignment="1">
      <alignment shrinkToFit="1"/>
    </xf>
    <xf numFmtId="0" fontId="9" fillId="0" borderId="1" xfId="0" applyFont="1" applyBorder="1" applyAlignment="1">
      <alignment shrinkToFit="1"/>
    </xf>
    <xf numFmtId="0" fontId="9" fillId="2" borderId="1" xfId="0" applyFont="1" applyFill="1" applyBorder="1" applyAlignment="1">
      <alignment horizontal="left" shrinkToFit="1"/>
    </xf>
    <xf numFmtId="0" fontId="10" fillId="2" borderId="1" xfId="0" applyFont="1" applyFill="1" applyBorder="1" applyAlignment="1">
      <alignment shrinkToFit="1"/>
    </xf>
    <xf numFmtId="0" fontId="9" fillId="2" borderId="6" xfId="0" applyFont="1" applyFill="1" applyBorder="1" applyAlignment="1">
      <alignment shrinkToFit="1"/>
    </xf>
    <xf numFmtId="0" fontId="9" fillId="2" borderId="2" xfId="0" applyFont="1" applyFill="1" applyBorder="1" applyAlignment="1">
      <alignment shrinkToFit="1"/>
    </xf>
    <xf numFmtId="0" fontId="10" fillId="2" borderId="5" xfId="0" applyFont="1" applyFill="1" applyBorder="1" applyAlignment="1">
      <alignment shrinkToFit="1"/>
    </xf>
    <xf numFmtId="0" fontId="10" fillId="2" borderId="4" xfId="0" applyFont="1" applyFill="1" applyBorder="1" applyAlignment="1">
      <alignment shrinkToFit="1"/>
    </xf>
    <xf numFmtId="0" fontId="5" fillId="2" borderId="22" xfId="0" applyFont="1" applyFill="1" applyBorder="1" applyAlignment="1">
      <alignment shrinkToFit="1"/>
    </xf>
    <xf numFmtId="0" fontId="5" fillId="2" borderId="23" xfId="0" applyFont="1" applyFill="1" applyBorder="1" applyAlignment="1">
      <alignment shrinkToFit="1"/>
    </xf>
    <xf numFmtId="0" fontId="9" fillId="2" borderId="22" xfId="0" applyFont="1" applyFill="1" applyBorder="1" applyAlignment="1">
      <alignment shrinkToFit="1"/>
    </xf>
    <xf numFmtId="0" fontId="9" fillId="2" borderId="1" xfId="0" applyFont="1" applyFill="1" applyBorder="1" applyAlignment="1">
      <alignment shrinkToFit="1"/>
    </xf>
    <xf numFmtId="0" fontId="9" fillId="2" borderId="4" xfId="0" applyFont="1" applyFill="1" applyBorder="1" applyAlignment="1">
      <alignment shrinkToFit="1"/>
    </xf>
    <xf numFmtId="0" fontId="9" fillId="2" borderId="16" xfId="0" applyFont="1" applyFill="1" applyBorder="1" applyAlignment="1">
      <alignment shrinkToFit="1"/>
    </xf>
    <xf numFmtId="0" fontId="9" fillId="4" borderId="0" xfId="0" applyFont="1" applyFill="1" applyAlignment="1"/>
    <xf numFmtId="0" fontId="10" fillId="4" borderId="0" xfId="0" applyFont="1" applyFill="1" applyAlignment="1">
      <alignment shrinkToFit="1"/>
    </xf>
    <xf numFmtId="0" fontId="9" fillId="4" borderId="0" xfId="0" applyFont="1" applyFill="1" applyAlignment="1">
      <alignment shrinkToFit="1"/>
    </xf>
    <xf numFmtId="0" fontId="6" fillId="4" borderId="0" xfId="0" applyFont="1" applyFill="1" applyAlignment="1">
      <alignment shrinkToFit="1"/>
    </xf>
    <xf numFmtId="0" fontId="5" fillId="4" borderId="0" xfId="0" applyFont="1" applyFill="1" applyAlignment="1"/>
    <xf numFmtId="10" fontId="5" fillId="4" borderId="0" xfId="0" applyNumberFormat="1" applyFont="1" applyFill="1" applyAlignment="1">
      <alignment shrinkToFit="1"/>
    </xf>
    <xf numFmtId="0" fontId="5" fillId="4" borderId="0" xfId="0" applyFont="1" applyFill="1" applyAlignment="1">
      <alignment shrinkToFit="1"/>
    </xf>
    <xf numFmtId="0" fontId="0" fillId="4" borderId="0" xfId="0" applyFont="1" applyFill="1" applyAlignment="1">
      <alignment shrinkToFit="1"/>
    </xf>
    <xf numFmtId="0" fontId="5" fillId="2" borderId="24" xfId="0" applyFont="1" applyFill="1" applyBorder="1" applyAlignment="1">
      <alignment shrinkToFit="1"/>
    </xf>
    <xf numFmtId="0" fontId="10" fillId="0" borderId="11" xfId="0" applyFont="1" applyBorder="1" applyAlignment="1">
      <alignment horizontal="right" shrinkToFit="1"/>
    </xf>
    <xf numFmtId="0" fontId="10" fillId="0" borderId="3" xfId="0" applyFont="1" applyBorder="1" applyAlignment="1">
      <alignment horizontal="right" shrinkToFit="1"/>
    </xf>
    <xf numFmtId="0" fontId="12" fillId="0" borderId="0" xfId="0" applyFont="1" applyAlignment="1">
      <alignment horizontal="center"/>
    </xf>
    <xf numFmtId="10" fontId="12" fillId="0" borderId="0" xfId="0" applyNumberFormat="1" applyFont="1" applyAlignment="1"/>
    <xf numFmtId="0" fontId="12" fillId="0" borderId="0" xfId="0" applyFont="1" applyAlignment="1"/>
    <xf numFmtId="0" fontId="16" fillId="0" borderId="0" xfId="0" applyFont="1" applyAlignment="1">
      <alignment horizontal="left" vertical="center"/>
    </xf>
    <xf numFmtId="0" fontId="0" fillId="0" borderId="0" xfId="0" applyFont="1" applyAlignment="1">
      <alignment shrinkToFit="1"/>
    </xf>
    <xf numFmtId="0" fontId="24" fillId="0" borderId="0" xfId="0" applyFont="1" applyAlignment="1"/>
    <xf numFmtId="176" fontId="25" fillId="5" borderId="0" xfId="0" applyNumberFormat="1" applyFont="1" applyFill="1" applyAlignment="1">
      <alignment horizontal="center" vertical="center"/>
    </xf>
    <xf numFmtId="0" fontId="24" fillId="0" borderId="0" xfId="0" applyFont="1" applyAlignment="1">
      <alignment horizontal="center" vertical="center"/>
    </xf>
    <xf numFmtId="0" fontId="24" fillId="0" borderId="0" xfId="0" applyFont="1" applyAlignment="1">
      <alignment horizontal="center"/>
    </xf>
    <xf numFmtId="0" fontId="24" fillId="0" borderId="0" xfId="0" applyFont="1" applyAlignment="1">
      <alignment vertical="center"/>
    </xf>
    <xf numFmtId="0" fontId="12" fillId="0" borderId="0" xfId="0" applyFont="1" applyFill="1" applyAlignment="1">
      <alignment vertical="center"/>
    </xf>
    <xf numFmtId="0" fontId="24" fillId="0" borderId="0" xfId="0" applyFont="1" applyFill="1" applyAlignment="1"/>
    <xf numFmtId="0" fontId="24" fillId="0" borderId="0" xfId="0" applyFont="1" applyFill="1" applyAlignment="1">
      <alignment horizontal="center"/>
    </xf>
    <xf numFmtId="176" fontId="25" fillId="0" borderId="0" xfId="0" applyNumberFormat="1" applyFont="1" applyFill="1" applyAlignment="1">
      <alignment horizontal="center" vertical="center"/>
    </xf>
    <xf numFmtId="179" fontId="24" fillId="0" borderId="0" xfId="0" applyNumberFormat="1" applyFont="1" applyFill="1" applyAlignment="1">
      <alignment horizontal="center"/>
    </xf>
    <xf numFmtId="176" fontId="24" fillId="0" borderId="0" xfId="0" applyNumberFormat="1" applyFont="1" applyFill="1" applyAlignment="1"/>
    <xf numFmtId="177" fontId="24" fillId="0" borderId="0" xfId="0" applyNumberFormat="1" applyFont="1" applyFill="1" applyAlignment="1"/>
    <xf numFmtId="178" fontId="24" fillId="0" borderId="0" xfId="0" applyNumberFormat="1" applyFont="1" applyFill="1" applyAlignment="1"/>
    <xf numFmtId="10" fontId="24" fillId="0" borderId="0" xfId="0" applyNumberFormat="1" applyFont="1" applyFill="1" applyAlignment="1"/>
    <xf numFmtId="176" fontId="25" fillId="6" borderId="0" xfId="0" applyNumberFormat="1" applyFont="1" applyFill="1" applyAlignment="1">
      <alignment horizontal="center" vertical="center"/>
    </xf>
    <xf numFmtId="176" fontId="25" fillId="7" borderId="0" xfId="0" applyNumberFormat="1" applyFont="1" applyFill="1" applyAlignment="1">
      <alignment horizontal="center" vertical="center"/>
    </xf>
    <xf numFmtId="180" fontId="24" fillId="0" borderId="0" xfId="0" applyNumberFormat="1" applyFont="1" applyFill="1" applyAlignment="1"/>
    <xf numFmtId="180" fontId="12" fillId="0" borderId="0" xfId="0" applyNumberFormat="1" applyFont="1" applyAlignment="1"/>
    <xf numFmtId="176" fontId="15" fillId="0" borderId="0" xfId="0" applyNumberFormat="1" applyFont="1" applyFill="1" applyAlignment="1">
      <alignment horizontal="center" vertical="center"/>
    </xf>
    <xf numFmtId="180" fontId="15" fillId="0" borderId="0" xfId="0" applyNumberFormat="1" applyFont="1" applyFill="1" applyAlignment="1">
      <alignment horizontal="center" vertical="center"/>
    </xf>
    <xf numFmtId="182" fontId="24" fillId="0" borderId="0" xfId="0" applyNumberFormat="1" applyFont="1" applyFill="1" applyAlignment="1"/>
    <xf numFmtId="0" fontId="24" fillId="0" borderId="0" xfId="0" applyFont="1" applyFill="1" applyAlignment="1">
      <alignment vertical="center"/>
    </xf>
    <xf numFmtId="182" fontId="25" fillId="0" borderId="22" xfId="0" applyNumberFormat="1" applyFont="1" applyFill="1" applyBorder="1" applyAlignment="1">
      <alignment horizontal="center" vertical="center"/>
    </xf>
    <xf numFmtId="10" fontId="25" fillId="0" borderId="22" xfId="0" applyNumberFormat="1" applyFont="1" applyFill="1" applyBorder="1" applyAlignment="1">
      <alignment horizontal="center" vertical="center"/>
    </xf>
    <xf numFmtId="10" fontId="24" fillId="0" borderId="22" xfId="0" applyNumberFormat="1" applyFont="1" applyFill="1" applyBorder="1" applyAlignment="1"/>
    <xf numFmtId="182" fontId="24" fillId="0" borderId="0" xfId="0" applyNumberFormat="1" applyFont="1" applyFill="1" applyAlignment="1">
      <alignment horizontal="center"/>
    </xf>
    <xf numFmtId="0" fontId="27" fillId="0" borderId="0" xfId="0" applyFont="1" applyFill="1" applyAlignment="1"/>
    <xf numFmtId="177" fontId="24" fillId="0" borderId="0" xfId="0" applyNumberFormat="1" applyFont="1" applyFill="1" applyAlignment="1">
      <alignment horizontal="center"/>
    </xf>
    <xf numFmtId="177" fontId="15" fillId="0" borderId="22" xfId="0" applyNumberFormat="1" applyFont="1" applyFill="1" applyBorder="1" applyAlignment="1">
      <alignment horizontal="center" vertical="center"/>
    </xf>
    <xf numFmtId="177" fontId="24" fillId="0" borderId="22" xfId="0" applyNumberFormat="1" applyFont="1" applyFill="1" applyBorder="1" applyAlignment="1"/>
    <xf numFmtId="0" fontId="0" fillId="0" borderId="0" xfId="0" applyFont="1" applyAlignment="1">
      <alignment horizontal="center" vertical="center"/>
    </xf>
    <xf numFmtId="0" fontId="0" fillId="0" borderId="0" xfId="0" applyFont="1" applyAlignment="1">
      <alignment vertical="center"/>
    </xf>
    <xf numFmtId="0" fontId="0" fillId="0" borderId="0" xfId="0" applyFont="1" applyAlignment="1">
      <alignment vertical="center" shrinkToFit="1"/>
    </xf>
    <xf numFmtId="0" fontId="0" fillId="0" borderId="0" xfId="0" applyFont="1" applyAlignment="1">
      <alignment horizontal="center" vertical="center" shrinkToFit="1"/>
    </xf>
    <xf numFmtId="0" fontId="0" fillId="0" borderId="0" xfId="0" applyFont="1" applyAlignment="1">
      <alignment wrapText="1" shrinkToFit="1"/>
    </xf>
    <xf numFmtId="0" fontId="5" fillId="0" borderId="3" xfId="0" applyFont="1" applyBorder="1" applyAlignment="1">
      <alignment vertical="center" shrinkToFit="1"/>
    </xf>
    <xf numFmtId="0" fontId="5" fillId="0" borderId="8" xfId="0" applyFont="1" applyBorder="1" applyAlignment="1">
      <alignment vertical="center" shrinkToFit="1"/>
    </xf>
    <xf numFmtId="0" fontId="9" fillId="2" borderId="1" xfId="0" applyFont="1" applyFill="1" applyBorder="1" applyAlignment="1">
      <alignment horizontal="center" vertical="center" shrinkToFit="1"/>
    </xf>
    <xf numFmtId="0" fontId="9" fillId="2" borderId="4" xfId="0" applyFont="1" applyFill="1" applyBorder="1" applyAlignment="1">
      <alignment horizontal="center" vertical="center" shrinkToFit="1"/>
    </xf>
    <xf numFmtId="0" fontId="9" fillId="2" borderId="2" xfId="0" applyFont="1" applyFill="1" applyBorder="1" applyAlignment="1">
      <alignment horizontal="center" vertical="center" shrinkToFit="1"/>
    </xf>
    <xf numFmtId="0" fontId="9" fillId="2" borderId="3" xfId="0" applyFont="1" applyFill="1" applyBorder="1" applyAlignment="1">
      <alignment horizontal="center" vertical="center" shrinkToFit="1"/>
    </xf>
    <xf numFmtId="0" fontId="5" fillId="2" borderId="1" xfId="0" applyFont="1" applyFill="1" applyBorder="1" applyAlignment="1">
      <alignment horizontal="center" vertical="center" shrinkToFit="1"/>
    </xf>
    <xf numFmtId="0" fontId="9" fillId="2" borderId="16" xfId="0" applyFont="1" applyFill="1" applyBorder="1" applyAlignment="1">
      <alignment horizontal="center" shrinkToFit="1"/>
    </xf>
    <xf numFmtId="0" fontId="24" fillId="0" borderId="0" xfId="0" applyFont="1" applyAlignment="1">
      <alignment shrinkToFit="1"/>
    </xf>
    <xf numFmtId="0" fontId="24" fillId="4" borderId="0" xfId="0" applyFont="1" applyFill="1" applyAlignment="1">
      <alignment shrinkToFit="1"/>
    </xf>
    <xf numFmtId="0" fontId="24" fillId="0" borderId="0" xfId="0" applyFont="1" applyFill="1" applyAlignment="1">
      <alignment shrinkToFit="1"/>
    </xf>
    <xf numFmtId="0" fontId="26" fillId="0" borderId="0" xfId="0" applyFont="1" applyFill="1" applyAlignment="1">
      <alignment shrinkToFit="1"/>
    </xf>
    <xf numFmtId="0" fontId="44" fillId="0" borderId="0" xfId="0" applyFont="1" applyFill="1" applyBorder="1" applyAlignment="1">
      <alignment shrinkToFit="1"/>
    </xf>
    <xf numFmtId="0" fontId="24" fillId="0" borderId="22" xfId="0" applyFont="1" applyFill="1" applyBorder="1" applyAlignment="1">
      <alignment shrinkToFit="1"/>
    </xf>
    <xf numFmtId="0" fontId="24" fillId="0" borderId="0" xfId="0" applyFont="1" applyFill="1" applyAlignment="1">
      <alignment horizontal="center" shrinkToFit="1"/>
    </xf>
    <xf numFmtId="0" fontId="26" fillId="0" borderId="0" xfId="0" applyFont="1" applyFill="1" applyAlignment="1">
      <alignment horizontal="center" shrinkToFit="1"/>
    </xf>
    <xf numFmtId="0" fontId="24" fillId="0" borderId="0" xfId="0" applyFont="1" applyFill="1" applyAlignment="1">
      <alignment horizontal="center" vertical="center" shrinkToFit="1"/>
    </xf>
    <xf numFmtId="0" fontId="44" fillId="0" borderId="22" xfId="0" applyFont="1" applyFill="1" applyBorder="1" applyAlignment="1">
      <alignment shrinkToFit="1"/>
    </xf>
    <xf numFmtId="4" fontId="26" fillId="0" borderId="22" xfId="0" applyNumberFormat="1" applyFont="1" applyFill="1" applyBorder="1" applyAlignment="1">
      <alignment shrinkToFit="1"/>
    </xf>
    <xf numFmtId="0" fontId="24" fillId="4" borderId="0" xfId="0" applyFont="1" applyFill="1" applyBorder="1" applyAlignment="1">
      <alignment shrinkToFit="1"/>
    </xf>
    <xf numFmtId="0" fontId="26" fillId="4" borderId="0" xfId="0" applyFont="1" applyFill="1" applyBorder="1" applyAlignment="1">
      <alignment shrinkToFit="1"/>
    </xf>
    <xf numFmtId="0" fontId="48" fillId="0" borderId="0" xfId="0" applyFont="1" applyFill="1" applyBorder="1" applyAlignment="1"/>
    <xf numFmtId="0" fontId="24" fillId="0" borderId="0" xfId="0" applyFont="1" applyFill="1" applyBorder="1" applyAlignment="1">
      <alignment shrinkToFit="1"/>
    </xf>
    <xf numFmtId="0" fontId="50" fillId="0" borderId="0" xfId="0" applyFont="1" applyFill="1" applyBorder="1" applyAlignment="1"/>
    <xf numFmtId="0" fontId="24" fillId="0" borderId="0" xfId="0" applyFont="1" applyFill="1" applyBorder="1" applyAlignment="1">
      <alignment horizontal="center" shrinkToFit="1"/>
    </xf>
    <xf numFmtId="0" fontId="24" fillId="0" borderId="0" xfId="0" applyFont="1" applyFill="1" applyBorder="1" applyAlignment="1">
      <alignment horizontal="center" vertical="center" shrinkToFit="1"/>
    </xf>
    <xf numFmtId="10" fontId="44" fillId="0" borderId="0" xfId="0" applyNumberFormat="1" applyFont="1" applyFill="1" applyBorder="1" applyAlignment="1">
      <alignment shrinkToFit="1"/>
    </xf>
    <xf numFmtId="0" fontId="45" fillId="0" borderId="0" xfId="0" applyFont="1" applyFill="1" applyBorder="1" applyAlignment="1"/>
    <xf numFmtId="0" fontId="51" fillId="0" borderId="22" xfId="0" applyFont="1" applyFill="1" applyBorder="1" applyAlignment="1">
      <alignment horizontal="center" vertical="center" shrinkToFit="1"/>
    </xf>
    <xf numFmtId="0" fontId="51" fillId="8" borderId="22" xfId="0" applyFont="1" applyFill="1" applyBorder="1" applyAlignment="1">
      <alignment horizontal="center" vertical="center" shrinkToFit="1"/>
    </xf>
    <xf numFmtId="0" fontId="44" fillId="0" borderId="22" xfId="0" applyFont="1" applyFill="1" applyBorder="1" applyAlignment="1">
      <alignment horizontal="center" shrinkToFit="1"/>
    </xf>
    <xf numFmtId="3" fontId="26" fillId="0" borderId="22" xfId="0" applyNumberFormat="1" applyFont="1" applyFill="1" applyBorder="1" applyAlignment="1">
      <alignment shrinkToFit="1"/>
    </xf>
    <xf numFmtId="10" fontId="26" fillId="0" borderId="22" xfId="0" applyNumberFormat="1" applyFont="1" applyFill="1" applyBorder="1" applyAlignment="1">
      <alignment shrinkToFit="1"/>
    </xf>
    <xf numFmtId="4" fontId="26" fillId="0" borderId="22" xfId="0" applyNumberFormat="1" applyFont="1" applyFill="1" applyBorder="1" applyAlignment="1">
      <alignment horizontal="right" shrinkToFit="1"/>
    </xf>
    <xf numFmtId="0" fontId="44" fillId="0" borderId="22" xfId="0" applyFont="1" applyFill="1" applyBorder="1" applyAlignment="1">
      <alignment horizontal="center" vertical="center" shrinkToFit="1"/>
    </xf>
    <xf numFmtId="0" fontId="52" fillId="0" borderId="22" xfId="0" applyFont="1" applyFill="1" applyBorder="1" applyAlignment="1">
      <alignment horizontal="center" shrinkToFit="1"/>
    </xf>
    <xf numFmtId="0" fontId="5" fillId="0" borderId="0" xfId="0" applyFont="1" applyBorder="1" applyAlignment="1">
      <alignment horizontal="center" vertical="center" shrinkToFit="1"/>
    </xf>
    <xf numFmtId="0" fontId="5" fillId="0" borderId="0" xfId="0" applyFont="1" applyBorder="1" applyAlignment="1">
      <alignment horizontal="right" shrinkToFit="1"/>
    </xf>
    <xf numFmtId="0" fontId="9" fillId="0" borderId="0" xfId="0" applyFont="1" applyBorder="1" applyAlignment="1">
      <alignment shrinkToFit="1"/>
    </xf>
    <xf numFmtId="0" fontId="5" fillId="0" borderId="0" xfId="0" applyFont="1" applyBorder="1" applyAlignment="1">
      <alignment shrinkToFit="1"/>
    </xf>
    <xf numFmtId="0" fontId="24" fillId="0" borderId="0" xfId="0" applyFont="1" applyBorder="1" applyAlignment="1">
      <alignment shrinkToFit="1"/>
    </xf>
    <xf numFmtId="0" fontId="24" fillId="4" borderId="0" xfId="0" applyFont="1" applyFill="1" applyBorder="1" applyAlignment="1">
      <alignment horizontal="center" vertical="center" shrinkToFit="1"/>
    </xf>
    <xf numFmtId="0" fontId="24" fillId="0" borderId="0" xfId="0" applyFont="1" applyAlignment="1">
      <alignment horizontal="center" vertical="center" shrinkToFit="1"/>
    </xf>
    <xf numFmtId="0" fontId="24" fillId="4" borderId="0" xfId="0" applyFont="1" applyFill="1" applyBorder="1" applyAlignment="1">
      <alignment horizontal="center" shrinkToFit="1"/>
    </xf>
    <xf numFmtId="0" fontId="26" fillId="0" borderId="22" xfId="0" applyFont="1" applyBorder="1" applyAlignment="1">
      <alignment horizontal="center" vertical="center" shrinkToFit="1"/>
    </xf>
    <xf numFmtId="0" fontId="26" fillId="0" borderId="22" xfId="0" applyFont="1" applyBorder="1" applyAlignment="1">
      <alignment horizontal="center" shrinkToFit="1"/>
    </xf>
    <xf numFmtId="0" fontId="44" fillId="0" borderId="22" xfId="0" applyFont="1" applyBorder="1" applyAlignment="1">
      <alignment horizontal="center" shrinkToFit="1"/>
    </xf>
    <xf numFmtId="0" fontId="24" fillId="4" borderId="22" xfId="0" applyFont="1" applyFill="1" applyBorder="1" applyAlignment="1">
      <alignment horizontal="center" shrinkToFit="1"/>
    </xf>
    <xf numFmtId="0" fontId="26" fillId="4" borderId="22" xfId="0" applyFont="1" applyFill="1" applyBorder="1" applyAlignment="1">
      <alignment horizontal="center" shrinkToFit="1"/>
    </xf>
    <xf numFmtId="0" fontId="24" fillId="0" borderId="0" xfId="0" applyFont="1" applyAlignment="1">
      <alignment vertical="center" shrinkToFit="1"/>
    </xf>
    <xf numFmtId="0" fontId="24" fillId="0" borderId="0" xfId="0" applyFont="1" applyAlignment="1">
      <alignment horizontal="center" shrinkToFit="1"/>
    </xf>
    <xf numFmtId="0" fontId="26" fillId="2" borderId="22" xfId="0" applyFont="1" applyFill="1" applyBorder="1" applyAlignment="1">
      <alignment horizontal="center" vertical="center" shrinkToFit="1"/>
    </xf>
    <xf numFmtId="0" fontId="26" fillId="0" borderId="22" xfId="0" applyFont="1" applyBorder="1" applyAlignment="1">
      <alignment shrinkToFit="1"/>
    </xf>
    <xf numFmtId="0" fontId="44" fillId="0" borderId="22" xfId="0" applyFont="1" applyBorder="1" applyAlignment="1">
      <alignment horizontal="right" shrinkToFit="1"/>
    </xf>
    <xf numFmtId="0" fontId="26" fillId="5" borderId="22" xfId="0" applyFont="1" applyFill="1" applyBorder="1" applyAlignment="1">
      <alignment horizontal="center" vertical="center" shrinkToFit="1"/>
    </xf>
    <xf numFmtId="0" fontId="26" fillId="5" borderId="22" xfId="0" applyFont="1" applyFill="1" applyBorder="1" applyAlignment="1">
      <alignment horizontal="center" shrinkToFit="1"/>
    </xf>
    <xf numFmtId="0" fontId="44" fillId="5" borderId="22" xfId="0" applyFont="1" applyFill="1" applyBorder="1" applyAlignment="1">
      <alignment horizontal="center" shrinkToFit="1"/>
    </xf>
    <xf numFmtId="0" fontId="24" fillId="5" borderId="22" xfId="0" applyFont="1" applyFill="1" applyBorder="1" applyAlignment="1">
      <alignment horizontal="center" shrinkToFit="1"/>
    </xf>
    <xf numFmtId="0" fontId="26" fillId="2" borderId="1" xfId="0" applyFont="1" applyFill="1" applyBorder="1" applyAlignment="1">
      <alignment horizontal="center" vertical="center" shrinkToFit="1"/>
    </xf>
    <xf numFmtId="0" fontId="26" fillId="0" borderId="3" xfId="0" applyFont="1" applyBorder="1" applyAlignment="1">
      <alignment vertical="center" shrinkToFit="1"/>
    </xf>
    <xf numFmtId="0" fontId="26" fillId="0" borderId="1" xfId="0" applyFont="1" applyBorder="1" applyAlignment="1">
      <alignment shrinkToFit="1"/>
    </xf>
    <xf numFmtId="0" fontId="26" fillId="0" borderId="8" xfId="0" applyFont="1" applyBorder="1" applyAlignment="1">
      <alignment vertical="center" shrinkToFit="1"/>
    </xf>
    <xf numFmtId="0" fontId="26" fillId="0" borderId="5" xfId="0" applyFont="1" applyBorder="1" applyAlignment="1">
      <alignment shrinkToFit="1"/>
    </xf>
    <xf numFmtId="0" fontId="24" fillId="0" borderId="0" xfId="0" applyFont="1" applyAlignment="1">
      <alignment wrapText="1" shrinkToFit="1"/>
    </xf>
    <xf numFmtId="0" fontId="24" fillId="0" borderId="0" xfId="0" applyFont="1" applyAlignment="1">
      <alignment horizontal="center" vertical="center" wrapText="1" shrinkToFit="1"/>
    </xf>
    <xf numFmtId="10" fontId="26" fillId="2" borderId="22" xfId="0" applyNumberFormat="1" applyFont="1" applyFill="1" applyBorder="1" applyAlignment="1">
      <alignment horizontal="center" vertical="center" shrinkToFit="1"/>
    </xf>
    <xf numFmtId="10" fontId="26" fillId="0" borderId="22" xfId="0" applyNumberFormat="1" applyFont="1" applyBorder="1" applyAlignment="1">
      <alignment shrinkToFit="1"/>
    </xf>
    <xf numFmtId="10" fontId="26" fillId="3" borderId="22" xfId="0" applyNumberFormat="1" applyFont="1" applyFill="1" applyBorder="1" applyAlignment="1">
      <alignment shrinkToFit="1"/>
    </xf>
    <xf numFmtId="0" fontId="26" fillId="2" borderId="23" xfId="0" applyFont="1" applyFill="1" applyBorder="1" applyAlignment="1">
      <alignment horizontal="center" vertical="center" shrinkToFit="1"/>
    </xf>
    <xf numFmtId="10" fontId="26" fillId="2" borderId="23" xfId="0" applyNumberFormat="1" applyFont="1" applyFill="1" applyBorder="1" applyAlignment="1">
      <alignment horizontal="center" vertical="center" shrinkToFit="1"/>
    </xf>
    <xf numFmtId="1" fontId="0" fillId="0" borderId="22" xfId="0" applyNumberFormat="1" applyFont="1" applyBorder="1" applyAlignment="1">
      <alignment horizontal="center" vertical="center"/>
    </xf>
    <xf numFmtId="0" fontId="24" fillId="0" borderId="0" xfId="11" applyFont="1" applyAlignment="1">
      <alignment shrinkToFit="1"/>
    </xf>
    <xf numFmtId="0" fontId="24" fillId="4" borderId="0" xfId="11" applyFont="1" applyFill="1" applyAlignment="1">
      <alignment shrinkToFit="1"/>
    </xf>
    <xf numFmtId="0" fontId="24" fillId="0" borderId="0" xfId="11" applyFont="1" applyBorder="1" applyAlignment="1">
      <alignment shrinkToFit="1"/>
    </xf>
    <xf numFmtId="0" fontId="24" fillId="4" borderId="0" xfId="11" applyFont="1" applyFill="1" applyBorder="1" applyAlignment="1">
      <alignment shrinkToFit="1"/>
    </xf>
    <xf numFmtId="0" fontId="45" fillId="0" borderId="0" xfId="11" applyFont="1" applyAlignment="1">
      <alignment shrinkToFit="1"/>
    </xf>
    <xf numFmtId="184" fontId="63" fillId="0" borderId="0" xfId="11" applyNumberFormat="1" applyFont="1" applyAlignment="1">
      <alignment shrinkToFit="1"/>
    </xf>
    <xf numFmtId="0" fontId="44" fillId="0" borderId="6" xfId="11" applyFont="1" applyFill="1" applyBorder="1" applyAlignment="1">
      <alignment horizontal="center" shrinkToFit="1"/>
    </xf>
    <xf numFmtId="3" fontId="34" fillId="0" borderId="6" xfId="11" applyNumberFormat="1" applyFont="1" applyFill="1" applyBorder="1" applyAlignment="1">
      <alignment shrinkToFit="1"/>
    </xf>
    <xf numFmtId="10" fontId="34" fillId="0" borderId="6" xfId="11" applyNumberFormat="1" applyFont="1" applyFill="1" applyBorder="1" applyAlignment="1">
      <alignment shrinkToFit="1"/>
    </xf>
    <xf numFmtId="3" fontId="26" fillId="0" borderId="22" xfId="11" applyNumberFormat="1" applyFont="1" applyFill="1" applyBorder="1" applyAlignment="1">
      <alignment shrinkToFit="1"/>
    </xf>
    <xf numFmtId="10" fontId="26" fillId="0" borderId="22" xfId="11" applyNumberFormat="1" applyFont="1" applyFill="1" applyBorder="1" applyAlignment="1">
      <alignment shrinkToFit="1"/>
    </xf>
    <xf numFmtId="0" fontId="24" fillId="0" borderId="0" xfId="11" applyFont="1" applyFill="1" applyAlignment="1">
      <alignment shrinkToFit="1"/>
    </xf>
    <xf numFmtId="0" fontId="44" fillId="0" borderId="1" xfId="11" applyFont="1" applyFill="1" applyBorder="1" applyAlignment="1">
      <alignment horizontal="center" shrinkToFit="1"/>
    </xf>
    <xf numFmtId="3" fontId="34" fillId="0" borderId="1" xfId="11" applyNumberFormat="1" applyFont="1" applyFill="1" applyBorder="1" applyAlignment="1">
      <alignment shrinkToFit="1"/>
    </xf>
    <xf numFmtId="0" fontId="33" fillId="0" borderId="34" xfId="0" applyFont="1" applyBorder="1" applyAlignment="1">
      <alignment horizontal="left" vertical="center"/>
    </xf>
    <xf numFmtId="0" fontId="33" fillId="0" borderId="36" xfId="0" applyFont="1" applyBorder="1" applyAlignment="1">
      <alignment horizontal="left" vertical="center"/>
    </xf>
    <xf numFmtId="1" fontId="0" fillId="0" borderId="22" xfId="0" applyNumberFormat="1" applyFont="1" applyFill="1" applyBorder="1" applyAlignment="1">
      <alignment horizontal="center" vertical="center"/>
    </xf>
    <xf numFmtId="183" fontId="0" fillId="0" borderId="22" xfId="0" applyNumberFormat="1" applyFont="1" applyFill="1" applyBorder="1" applyAlignment="1">
      <alignment horizontal="center" vertical="center"/>
    </xf>
    <xf numFmtId="1" fontId="0" fillId="0" borderId="31" xfId="0" applyNumberFormat="1" applyFont="1" applyFill="1" applyBorder="1" applyAlignment="1">
      <alignment horizontal="center" vertical="center"/>
    </xf>
    <xf numFmtId="0" fontId="0" fillId="0" borderId="22" xfId="0" applyFont="1" applyFill="1" applyBorder="1" applyAlignment="1">
      <alignment horizontal="center" vertical="center"/>
    </xf>
    <xf numFmtId="0" fontId="33" fillId="0" borderId="0" xfId="0" applyFont="1" applyFill="1" applyBorder="1" applyAlignment="1">
      <alignment horizontal="left" vertical="center"/>
    </xf>
    <xf numFmtId="0" fontId="33" fillId="0" borderId="34" xfId="0" applyFont="1" applyFill="1" applyBorder="1" applyAlignment="1">
      <alignment horizontal="left" vertical="center"/>
    </xf>
    <xf numFmtId="0" fontId="33" fillId="0" borderId="26" xfId="0" applyFont="1" applyFill="1" applyBorder="1" applyAlignment="1">
      <alignment horizontal="left" vertical="center"/>
    </xf>
    <xf numFmtId="0" fontId="33" fillId="0" borderId="36" xfId="0" applyFont="1" applyFill="1" applyBorder="1" applyAlignment="1">
      <alignment horizontal="left" vertical="center"/>
    </xf>
    <xf numFmtId="0" fontId="33" fillId="0" borderId="32" xfId="0" applyFont="1" applyFill="1" applyBorder="1" applyAlignment="1">
      <alignment horizontal="left" vertical="center"/>
    </xf>
    <xf numFmtId="0" fontId="33" fillId="0" borderId="37" xfId="0" applyFont="1" applyFill="1" applyBorder="1" applyAlignment="1">
      <alignment horizontal="left" vertical="center"/>
    </xf>
    <xf numFmtId="0" fontId="5" fillId="0" borderId="0" xfId="5"/>
    <xf numFmtId="0" fontId="68" fillId="8" borderId="30" xfId="5" applyFont="1" applyFill="1" applyBorder="1"/>
    <xf numFmtId="0" fontId="68" fillId="0" borderId="0" xfId="5" applyFont="1"/>
    <xf numFmtId="0" fontId="68" fillId="0" borderId="22" xfId="5" applyFont="1" applyBorder="1"/>
    <xf numFmtId="0" fontId="68" fillId="8" borderId="22" xfId="5" applyFont="1" applyFill="1" applyBorder="1"/>
    <xf numFmtId="185" fontId="24" fillId="0" borderId="0" xfId="0" applyNumberFormat="1" applyFont="1" applyFill="1" applyAlignment="1"/>
    <xf numFmtId="0" fontId="51" fillId="8" borderId="22" xfId="0" applyFont="1" applyFill="1" applyBorder="1" applyAlignment="1">
      <alignment horizontal="center" vertical="center" shrinkToFit="1"/>
    </xf>
    <xf numFmtId="0" fontId="26" fillId="0" borderId="22" xfId="11" applyFont="1" applyFill="1" applyBorder="1" applyAlignment="1">
      <alignment horizontal="center" vertical="center" shrinkToFit="1"/>
    </xf>
    <xf numFmtId="0" fontId="69" fillId="0" borderId="22" xfId="0" applyFont="1" applyFill="1" applyBorder="1" applyAlignment="1">
      <alignment horizontal="center" vertical="center" shrinkToFit="1"/>
    </xf>
    <xf numFmtId="0" fontId="52" fillId="0" borderId="22" xfId="0" applyFont="1" applyFill="1" applyBorder="1" applyAlignment="1">
      <alignment horizontal="center" vertical="center" shrinkToFit="1"/>
    </xf>
    <xf numFmtId="0" fontId="52" fillId="0" borderId="22" xfId="0" applyFont="1" applyFill="1" applyBorder="1" applyAlignment="1">
      <alignment shrinkToFit="1"/>
    </xf>
    <xf numFmtId="183" fontId="0" fillId="0" borderId="0" xfId="0" applyNumberFormat="1" applyFont="1" applyAlignment="1">
      <alignment horizontal="center" vertical="center"/>
    </xf>
    <xf numFmtId="0" fontId="70" fillId="0" borderId="0" xfId="0" applyFont="1" applyAlignment="1">
      <alignment vertical="center"/>
    </xf>
    <xf numFmtId="0" fontId="62" fillId="2" borderId="22" xfId="0" applyFont="1" applyFill="1" applyBorder="1" applyAlignment="1">
      <alignment horizontal="center" vertical="center" shrinkToFit="1"/>
    </xf>
    <xf numFmtId="0" fontId="27" fillId="5" borderId="23" xfId="11" applyFont="1" applyFill="1" applyBorder="1" applyAlignment="1">
      <alignment horizontal="center" vertical="center"/>
    </xf>
    <xf numFmtId="3" fontId="26" fillId="5" borderId="22" xfId="0" applyNumberFormat="1" applyFont="1" applyFill="1" applyBorder="1" applyAlignment="1">
      <alignment shrinkToFit="1"/>
    </xf>
    <xf numFmtId="10" fontId="26" fillId="5" borderId="22" xfId="0" applyNumberFormat="1" applyFont="1" applyFill="1" applyBorder="1" applyAlignment="1">
      <alignment shrinkToFit="1"/>
    </xf>
    <xf numFmtId="0" fontId="0" fillId="5" borderId="22" xfId="0" applyFont="1" applyFill="1" applyBorder="1" applyAlignment="1">
      <alignment horizontal="center" vertical="center"/>
    </xf>
    <xf numFmtId="186" fontId="73" fillId="0" borderId="22" xfId="0" applyNumberFormat="1" applyFont="1" applyFill="1" applyBorder="1" applyAlignment="1"/>
    <xf numFmtId="186" fontId="24" fillId="0" borderId="0" xfId="0" applyNumberFormat="1" applyFont="1" applyFill="1" applyAlignment="1"/>
    <xf numFmtId="180" fontId="24" fillId="9" borderId="0" xfId="0" applyNumberFormat="1" applyFont="1" applyFill="1" applyAlignment="1"/>
    <xf numFmtId="187" fontId="24" fillId="9" borderId="0" xfId="0" applyNumberFormat="1" applyFont="1" applyFill="1" applyAlignment="1"/>
    <xf numFmtId="177" fontId="24" fillId="9" borderId="0" xfId="0" applyNumberFormat="1" applyFont="1" applyFill="1" applyAlignment="1"/>
    <xf numFmtId="186" fontId="24" fillId="9" borderId="0" xfId="0" applyNumberFormat="1" applyFont="1" applyFill="1" applyAlignment="1"/>
    <xf numFmtId="185" fontId="24" fillId="9" borderId="0" xfId="0" applyNumberFormat="1" applyFont="1" applyFill="1" applyAlignment="1"/>
    <xf numFmtId="186" fontId="73" fillId="9" borderId="22" xfId="0" applyNumberFormat="1" applyFont="1" applyFill="1" applyBorder="1" applyAlignment="1"/>
    <xf numFmtId="177" fontId="24" fillId="9" borderId="22" xfId="0" applyNumberFormat="1" applyFont="1" applyFill="1" applyBorder="1" applyAlignment="1"/>
    <xf numFmtId="188" fontId="26" fillId="0" borderId="22" xfId="14" applyNumberFormat="1" applyFont="1" applyFill="1" applyBorder="1" applyAlignment="1">
      <alignment shrinkToFit="1"/>
    </xf>
    <xf numFmtId="189" fontId="26" fillId="5" borderId="22" xfId="0" applyNumberFormat="1" applyFont="1" applyFill="1" applyBorder="1" applyAlignment="1">
      <alignment shrinkToFit="1"/>
    </xf>
    <xf numFmtId="3" fontId="26" fillId="5" borderId="22" xfId="0" applyNumberFormat="1" applyFont="1" applyFill="1" applyBorder="1" applyAlignment="1">
      <alignment horizontal="right" shrinkToFit="1"/>
    </xf>
    <xf numFmtId="188" fontId="26" fillId="5" borderId="22" xfId="14" applyNumberFormat="1" applyFont="1" applyFill="1" applyBorder="1" applyAlignment="1">
      <alignment shrinkToFit="1"/>
    </xf>
    <xf numFmtId="1" fontId="26" fillId="0" borderId="22" xfId="0" applyNumberFormat="1" applyFont="1" applyBorder="1" applyAlignment="1">
      <alignment horizontal="center" vertical="center" shrinkToFit="1"/>
    </xf>
    <xf numFmtId="0" fontId="76" fillId="0" borderId="22" xfId="0" applyFont="1" applyBorder="1" applyAlignment="1">
      <alignment horizontal="center" vertical="center" shrinkToFit="1"/>
    </xf>
    <xf numFmtId="0" fontId="79" fillId="0" borderId="22" xfId="0" applyFont="1" applyBorder="1" applyAlignment="1">
      <alignment horizontal="center" shrinkToFit="1"/>
    </xf>
    <xf numFmtId="1" fontId="26" fillId="0" borderId="22" xfId="0" applyNumberFormat="1" applyFont="1" applyBorder="1" applyAlignment="1">
      <alignment horizontal="center" shrinkToFit="1"/>
    </xf>
    <xf numFmtId="190" fontId="26" fillId="5" borderId="22" xfId="14" applyNumberFormat="1" applyFont="1" applyFill="1" applyBorder="1" applyAlignment="1">
      <alignment shrinkToFit="1"/>
    </xf>
    <xf numFmtId="191" fontId="26" fillId="0" borderId="22" xfId="0" applyNumberFormat="1" applyFont="1" applyFill="1" applyBorder="1" applyAlignment="1">
      <alignment shrinkToFit="1"/>
    </xf>
    <xf numFmtId="10" fontId="26" fillId="3" borderId="22" xfId="0" applyNumberFormat="1" applyFont="1" applyFill="1" applyBorder="1" applyAlignment="1">
      <alignment horizontal="center" shrinkToFit="1"/>
    </xf>
    <xf numFmtId="0" fontId="9" fillId="2" borderId="22" xfId="0" applyFont="1" applyFill="1" applyBorder="1" applyAlignment="1">
      <alignment horizontal="center" shrinkToFit="1"/>
    </xf>
    <xf numFmtId="183" fontId="26" fillId="3" borderId="18" xfId="0" applyNumberFormat="1" applyFont="1" applyFill="1" applyBorder="1" applyAlignment="1">
      <alignment shrinkToFit="1"/>
    </xf>
    <xf numFmtId="189" fontId="24" fillId="9" borderId="0" xfId="0" applyNumberFormat="1" applyFont="1" applyFill="1" applyAlignment="1"/>
    <xf numFmtId="189" fontId="26" fillId="0" borderId="22" xfId="0" applyNumberFormat="1" applyFont="1" applyFill="1" applyBorder="1" applyAlignment="1">
      <alignment shrinkToFit="1"/>
    </xf>
    <xf numFmtId="185" fontId="26" fillId="5" borderId="22" xfId="0" applyNumberFormat="1" applyFont="1" applyFill="1" applyBorder="1" applyAlignment="1">
      <alignment shrinkToFit="1"/>
    </xf>
    <xf numFmtId="185" fontId="26" fillId="0" borderId="22" xfId="0" applyNumberFormat="1" applyFont="1" applyFill="1" applyBorder="1" applyAlignment="1">
      <alignment shrinkToFit="1"/>
    </xf>
    <xf numFmtId="183" fontId="24" fillId="0" borderId="0" xfId="0" applyNumberFormat="1" applyFont="1" applyAlignment="1">
      <alignment shrinkToFit="1"/>
    </xf>
    <xf numFmtId="9" fontId="26" fillId="5" borderId="22" xfId="0" applyNumberFormat="1" applyFont="1" applyFill="1" applyBorder="1" applyAlignment="1">
      <alignment shrinkToFit="1"/>
    </xf>
    <xf numFmtId="9" fontId="26" fillId="0" borderId="22" xfId="0" applyNumberFormat="1" applyFont="1" applyFill="1" applyBorder="1" applyAlignment="1">
      <alignment shrinkToFit="1"/>
    </xf>
    <xf numFmtId="3" fontId="45" fillId="5" borderId="22" xfId="0" applyNumberFormat="1" applyFont="1" applyFill="1" applyBorder="1" applyAlignment="1">
      <alignment shrinkToFit="1"/>
    </xf>
    <xf numFmtId="10" fontId="45" fillId="5" borderId="22" xfId="0" applyNumberFormat="1" applyFont="1" applyFill="1" applyBorder="1" applyAlignment="1">
      <alignment shrinkToFit="1"/>
    </xf>
    <xf numFmtId="189" fontId="45" fillId="5" borderId="22" xfId="0" applyNumberFormat="1" applyFont="1" applyFill="1" applyBorder="1" applyAlignment="1">
      <alignment shrinkToFit="1"/>
    </xf>
    <xf numFmtId="185" fontId="45" fillId="5" borderId="22" xfId="0" applyNumberFormat="1" applyFont="1" applyFill="1" applyBorder="1" applyAlignment="1">
      <alignment shrinkToFit="1"/>
    </xf>
    <xf numFmtId="190" fontId="45" fillId="5" borderId="22" xfId="14" applyNumberFormat="1" applyFont="1" applyFill="1" applyBorder="1" applyAlignment="1">
      <alignment shrinkToFit="1"/>
    </xf>
    <xf numFmtId="191" fontId="26" fillId="0" borderId="22" xfId="0" applyNumberFormat="1" applyFont="1" applyFill="1" applyBorder="1" applyAlignment="1">
      <alignment horizontal="right" shrinkToFit="1"/>
    </xf>
    <xf numFmtId="191" fontId="45" fillId="5" borderId="22" xfId="0" applyNumberFormat="1" applyFont="1" applyFill="1" applyBorder="1" applyAlignment="1">
      <alignment horizontal="right" shrinkToFit="1"/>
    </xf>
    <xf numFmtId="190" fontId="26" fillId="0" borderId="22" xfId="14" applyNumberFormat="1" applyFont="1" applyFill="1" applyBorder="1" applyAlignment="1">
      <alignment horizontal="right" shrinkToFit="1"/>
    </xf>
    <xf numFmtId="0" fontId="24" fillId="10" borderId="0" xfId="0" applyFont="1" applyFill="1" applyBorder="1" applyAlignment="1">
      <alignment shrinkToFit="1"/>
    </xf>
    <xf numFmtId="0" fontId="0" fillId="0" borderId="0" xfId="0" applyFont="1" applyAlignment="1">
      <alignment shrinkToFit="1"/>
    </xf>
    <xf numFmtId="0" fontId="26" fillId="0" borderId="22" xfId="0" applyFont="1" applyBorder="1" applyAlignment="1">
      <alignment shrinkToFit="1"/>
    </xf>
    <xf numFmtId="0" fontId="44" fillId="0" borderId="22" xfId="0" applyFont="1" applyBorder="1" applyAlignment="1">
      <alignment shrinkToFit="1"/>
    </xf>
    <xf numFmtId="0" fontId="44" fillId="2" borderId="22" xfId="0" applyFont="1" applyFill="1" applyBorder="1" applyAlignment="1">
      <alignment horizontal="center" shrinkToFit="1"/>
    </xf>
    <xf numFmtId="10" fontId="24" fillId="11" borderId="22" xfId="0" applyNumberFormat="1" applyFont="1" applyFill="1" applyBorder="1" applyAlignment="1"/>
    <xf numFmtId="177" fontId="74" fillId="11" borderId="0" xfId="0" applyNumberFormat="1" applyFont="1" applyFill="1" applyAlignment="1"/>
    <xf numFmtId="177" fontId="74" fillId="0" borderId="0" xfId="0" applyNumberFormat="1" applyFont="1" applyFill="1" applyAlignment="1"/>
    <xf numFmtId="10" fontId="80" fillId="11" borderId="22" xfId="0" applyNumberFormat="1" applyFont="1" applyFill="1" applyBorder="1" applyAlignment="1"/>
    <xf numFmtId="177" fontId="80" fillId="0" borderId="0" xfId="0" applyNumberFormat="1" applyFont="1" applyFill="1" applyAlignment="1"/>
    <xf numFmtId="10" fontId="80" fillId="0" borderId="0" xfId="0" applyNumberFormat="1" applyFont="1" applyFill="1" applyAlignment="1"/>
    <xf numFmtId="3" fontId="80" fillId="0" borderId="0" xfId="0" applyNumberFormat="1" applyFont="1" applyFill="1" applyAlignment="1"/>
    <xf numFmtId="186" fontId="73" fillId="11" borderId="22" xfId="0" applyNumberFormat="1" applyFont="1" applyFill="1" applyBorder="1" applyAlignment="1"/>
    <xf numFmtId="3" fontId="26" fillId="12" borderId="22" xfId="0" applyNumberFormat="1" applyFont="1" applyFill="1" applyBorder="1" applyAlignment="1">
      <alignment shrinkToFit="1"/>
    </xf>
    <xf numFmtId="10" fontId="26" fillId="12" borderId="22" xfId="0" applyNumberFormat="1" applyFont="1" applyFill="1" applyBorder="1" applyAlignment="1">
      <alignment shrinkToFit="1"/>
    </xf>
    <xf numFmtId="183" fontId="26" fillId="0" borderId="22" xfId="0" applyNumberFormat="1" applyFont="1" applyFill="1" applyBorder="1" applyAlignment="1">
      <alignment shrinkToFit="1"/>
    </xf>
    <xf numFmtId="3" fontId="26" fillId="0" borderId="22" xfId="0" applyNumberFormat="1" applyFont="1" applyFill="1" applyBorder="1" applyAlignment="1">
      <alignment horizontal="right" shrinkToFit="1"/>
    </xf>
    <xf numFmtId="0" fontId="0" fillId="0" borderId="22" xfId="0" applyFont="1" applyBorder="1" applyAlignment="1">
      <alignment horizontal="center" vertical="center"/>
    </xf>
    <xf numFmtId="0" fontId="31" fillId="0" borderId="22" xfId="0" applyFont="1" applyBorder="1" applyAlignment="1">
      <alignment horizontal="center" vertical="center"/>
    </xf>
    <xf numFmtId="0" fontId="31" fillId="0" borderId="22" xfId="0" applyFont="1" applyFill="1" applyBorder="1" applyAlignment="1">
      <alignment horizontal="center" vertical="center"/>
    </xf>
    <xf numFmtId="0" fontId="31" fillId="0" borderId="22" xfId="0" applyFont="1" applyFill="1" applyBorder="1" applyAlignment="1">
      <alignment horizontal="center" vertical="center"/>
    </xf>
    <xf numFmtId="0" fontId="31" fillId="0" borderId="22" xfId="0" applyFont="1" applyBorder="1" applyAlignment="1">
      <alignment horizontal="center" vertical="center"/>
    </xf>
    <xf numFmtId="0" fontId="0" fillId="0" borderId="22" xfId="0" applyFont="1" applyBorder="1" applyAlignment="1">
      <alignment horizontal="center" vertical="center"/>
    </xf>
    <xf numFmtId="0" fontId="33" fillId="0" borderId="0" xfId="0" applyFont="1" applyBorder="1" applyAlignment="1">
      <alignment horizontal="left" vertical="center"/>
    </xf>
    <xf numFmtId="0" fontId="33" fillId="0" borderId="26" xfId="0" applyFont="1" applyBorder="1" applyAlignment="1">
      <alignment horizontal="left" vertical="center"/>
    </xf>
    <xf numFmtId="180" fontId="24" fillId="10" borderId="0" xfId="0" applyNumberFormat="1" applyFont="1" applyFill="1" applyAlignment="1"/>
    <xf numFmtId="4" fontId="26" fillId="12" borderId="22" xfId="0" applyNumberFormat="1" applyFont="1" applyFill="1" applyBorder="1" applyAlignment="1">
      <alignment horizontal="right" shrinkToFit="1"/>
    </xf>
    <xf numFmtId="189" fontId="26" fillId="12" borderId="22" xfId="0" applyNumberFormat="1" applyFont="1" applyFill="1" applyBorder="1" applyAlignment="1">
      <alignment shrinkToFit="1"/>
    </xf>
    <xf numFmtId="185" fontId="26" fillId="12" borderId="22" xfId="0" applyNumberFormat="1" applyFont="1" applyFill="1" applyBorder="1" applyAlignment="1">
      <alignment shrinkToFit="1"/>
    </xf>
    <xf numFmtId="185" fontId="24" fillId="10" borderId="0" xfId="0" applyNumberFormat="1" applyFont="1" applyFill="1" applyAlignment="1"/>
    <xf numFmtId="189" fontId="24" fillId="10" borderId="0" xfId="0" applyNumberFormat="1" applyFont="1" applyFill="1" applyAlignment="1"/>
    <xf numFmtId="191" fontId="24" fillId="0" borderId="0" xfId="0" applyNumberFormat="1" applyFont="1" applyFill="1" applyAlignment="1">
      <alignment shrinkToFit="1"/>
    </xf>
    <xf numFmtId="187" fontId="24" fillId="0" borderId="0" xfId="0" applyNumberFormat="1" applyFont="1" applyFill="1" applyAlignment="1"/>
    <xf numFmtId="189" fontId="24" fillId="0" borderId="0" xfId="0" applyNumberFormat="1" applyFont="1" applyFill="1" applyAlignment="1"/>
    <xf numFmtId="179" fontId="63" fillId="0" borderId="0" xfId="0" applyNumberFormat="1" applyFont="1" applyFill="1" applyAlignment="1">
      <alignment horizontal="center"/>
    </xf>
    <xf numFmtId="176" fontId="45" fillId="0" borderId="0" xfId="0" applyNumberFormat="1" applyFont="1" applyFill="1" applyAlignment="1">
      <alignment horizontal="center" vertical="center"/>
    </xf>
    <xf numFmtId="183" fontId="5" fillId="3" borderId="1" xfId="0" applyNumberFormat="1" applyFont="1" applyFill="1" applyBorder="1" applyAlignment="1">
      <alignment shrinkToFit="1"/>
    </xf>
    <xf numFmtId="0" fontId="0" fillId="0" borderId="22" xfId="0" applyFont="1" applyBorder="1" applyAlignment="1">
      <alignment horizontal="center" vertical="center"/>
    </xf>
    <xf numFmtId="177" fontId="24" fillId="0" borderId="0" xfId="0" applyNumberFormat="1" applyFont="1" applyFill="1" applyAlignment="1">
      <alignment horizontal="right"/>
    </xf>
    <xf numFmtId="183" fontId="26" fillId="12" borderId="22" xfId="0" applyNumberFormat="1" applyFont="1" applyFill="1" applyBorder="1" applyAlignment="1">
      <alignment shrinkToFit="1"/>
    </xf>
    <xf numFmtId="0" fontId="0" fillId="0" borderId="22" xfId="0" applyFont="1" applyBorder="1" applyAlignment="1">
      <alignment horizontal="center" vertical="center"/>
    </xf>
    <xf numFmtId="0" fontId="31" fillId="0" borderId="22" xfId="0" applyFont="1" applyBorder="1" applyAlignment="1">
      <alignment horizontal="center" vertical="center"/>
    </xf>
    <xf numFmtId="0" fontId="31" fillId="0" borderId="22" xfId="0" applyFont="1" applyFill="1" applyBorder="1" applyAlignment="1">
      <alignment horizontal="center" vertical="center"/>
    </xf>
    <xf numFmtId="183" fontId="0" fillId="0" borderId="22" xfId="0" applyNumberFormat="1" applyFont="1" applyBorder="1" applyAlignment="1">
      <alignment horizontal="center" vertical="center"/>
    </xf>
    <xf numFmtId="0" fontId="33" fillId="13" borderId="37" xfId="0" applyFont="1" applyFill="1" applyBorder="1" applyAlignment="1">
      <alignment horizontal="left" vertical="center"/>
    </xf>
    <xf numFmtId="0" fontId="33" fillId="13" borderId="32" xfId="0" applyFont="1" applyFill="1" applyBorder="1" applyAlignment="1">
      <alignment horizontal="left" vertical="center"/>
    </xf>
    <xf numFmtId="0" fontId="33" fillId="13" borderId="26" xfId="0" applyFont="1" applyFill="1" applyBorder="1" applyAlignment="1">
      <alignment horizontal="left" vertical="center"/>
    </xf>
    <xf numFmtId="0" fontId="33" fillId="13" borderId="36" xfId="0" applyFont="1" applyFill="1" applyBorder="1" applyAlignment="1">
      <alignment horizontal="left" vertical="center"/>
    </xf>
    <xf numFmtId="1" fontId="31" fillId="0" borderId="22" xfId="0" applyNumberFormat="1" applyFont="1" applyFill="1" applyBorder="1" applyAlignment="1">
      <alignment horizontal="center" vertical="center"/>
    </xf>
    <xf numFmtId="0" fontId="31" fillId="5" borderId="22" xfId="0" applyFont="1" applyFill="1" applyBorder="1" applyAlignment="1">
      <alignment horizontal="center" vertical="center"/>
    </xf>
    <xf numFmtId="0" fontId="0" fillId="0" borderId="22" xfId="0" applyFont="1" applyBorder="1" applyAlignment="1">
      <alignment horizontal="center"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1" fontId="0" fillId="0" borderId="22" xfId="0" applyNumberFormat="1" applyFont="1" applyFill="1" applyBorder="1" applyAlignment="1">
      <alignment horizontal="center"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1" fontId="0" fillId="0" borderId="22" xfId="0" applyNumberFormat="1" applyFont="1" applyFill="1" applyBorder="1" applyAlignment="1">
      <alignment horizontal="center" vertical="center"/>
    </xf>
    <xf numFmtId="1" fontId="0" fillId="0" borderId="31" xfId="0" applyNumberFormat="1" applyFont="1" applyFill="1" applyBorder="1" applyAlignment="1">
      <alignment horizontal="center" vertical="center"/>
    </xf>
    <xf numFmtId="177" fontId="24" fillId="0" borderId="0" xfId="0" applyNumberFormat="1" applyFont="1" applyFill="1" applyBorder="1" applyAlignment="1"/>
    <xf numFmtId="186" fontId="74" fillId="0" borderId="32" xfId="0" applyNumberFormat="1" applyFont="1" applyFill="1" applyBorder="1" applyAlignment="1">
      <alignment vertical="center"/>
    </xf>
    <xf numFmtId="186" fontId="74" fillId="0" borderId="34" xfId="0" applyNumberFormat="1" applyFont="1" applyFill="1" applyBorder="1" applyAlignment="1">
      <alignment vertical="center"/>
    </xf>
    <xf numFmtId="10" fontId="24" fillId="0" borderId="0" xfId="0" applyNumberFormat="1" applyFont="1" applyFill="1" applyAlignment="1">
      <alignment vertical="center"/>
    </xf>
    <xf numFmtId="187" fontId="24" fillId="0" borderId="0" xfId="0" applyNumberFormat="1" applyFont="1" applyFill="1" applyAlignment="1">
      <alignment vertical="center"/>
    </xf>
    <xf numFmtId="177" fontId="24" fillId="0" borderId="0" xfId="0" applyNumberFormat="1" applyFont="1" applyFill="1" applyAlignment="1">
      <alignment vertical="center"/>
    </xf>
    <xf numFmtId="0" fontId="26" fillId="2" borderId="22" xfId="0" applyFont="1" applyFill="1" applyBorder="1" applyAlignment="1">
      <alignment horizontal="center" shrinkToFit="1"/>
    </xf>
    <xf numFmtId="0" fontId="34" fillId="5" borderId="23" xfId="5" applyFont="1" applyFill="1" applyBorder="1" applyAlignment="1">
      <alignment horizontal="center" vertical="center"/>
    </xf>
    <xf numFmtId="0" fontId="62" fillId="2" borderId="1" xfId="0" applyFont="1" applyFill="1" applyBorder="1" applyAlignment="1">
      <alignment horizontal="center" vertical="center" shrinkToFit="1"/>
    </xf>
    <xf numFmtId="183" fontId="5" fillId="0" borderId="1" xfId="0" applyNumberFormat="1" applyFont="1" applyBorder="1" applyAlignment="1">
      <alignment shrinkToFit="1"/>
    </xf>
    <xf numFmtId="0" fontId="24" fillId="0" borderId="0" xfId="11" applyFont="1" applyAlignment="1">
      <alignment horizontal="center" vertical="center" shrinkToFit="1"/>
    </xf>
    <xf numFmtId="0" fontId="24" fillId="0" borderId="0" xfId="11" applyFont="1" applyAlignment="1">
      <alignment wrapText="1" shrinkToFit="1"/>
    </xf>
    <xf numFmtId="0" fontId="24" fillId="0" borderId="0" xfId="11" applyFont="1" applyAlignment="1">
      <alignment vertical="center" shrinkToFit="1"/>
    </xf>
    <xf numFmtId="0" fontId="22" fillId="0" borderId="0" xfId="11" applyFont="1" applyAlignment="1">
      <alignment horizontal="center" vertical="center" shrinkToFit="1"/>
    </xf>
    <xf numFmtId="0" fontId="22" fillId="0" borderId="0" xfId="11" applyFont="1" applyAlignment="1">
      <alignment shrinkToFit="1"/>
    </xf>
    <xf numFmtId="0" fontId="22" fillId="0" borderId="0" xfId="11" applyFont="1" applyAlignment="1">
      <alignment wrapText="1" shrinkToFit="1"/>
    </xf>
    <xf numFmtId="0" fontId="22" fillId="0" borderId="0" xfId="11" applyFont="1" applyAlignment="1">
      <alignment vertical="center" shrinkToFit="1"/>
    </xf>
    <xf numFmtId="0" fontId="27" fillId="0" borderId="0" xfId="11" applyFont="1"/>
    <xf numFmtId="0" fontId="27" fillId="0" borderId="0" xfId="11" applyFont="1" applyAlignment="1">
      <alignment vertical="center"/>
    </xf>
    <xf numFmtId="0" fontId="34" fillId="5" borderId="22" xfId="15" applyFont="1" applyFill="1" applyBorder="1" applyAlignment="1">
      <alignment horizontal="center" vertical="center" wrapText="1"/>
    </xf>
    <xf numFmtId="0" fontId="34" fillId="5" borderId="22" xfId="15" applyFont="1" applyFill="1" applyBorder="1" applyAlignment="1">
      <alignment horizontal="center" vertical="center"/>
    </xf>
    <xf numFmtId="0" fontId="27" fillId="0" borderId="22" xfId="11" applyFont="1" applyBorder="1" applyAlignment="1">
      <alignment horizontal="center" vertical="center"/>
    </xf>
    <xf numFmtId="0" fontId="27" fillId="0" borderId="22" xfId="11" applyFont="1" applyBorder="1" applyAlignment="1">
      <alignment horizontal="left" vertical="center"/>
    </xf>
    <xf numFmtId="192" fontId="34" fillId="0" borderId="22" xfId="11" applyNumberFormat="1" applyFont="1" applyBorder="1" applyAlignment="1">
      <alignment horizontal="center" vertical="center"/>
    </xf>
    <xf numFmtId="185" fontId="34" fillId="8" borderId="22" xfId="13" applyNumberFormat="1" applyFont="1" applyFill="1" applyBorder="1" applyAlignment="1">
      <alignment horizontal="center" vertical="center"/>
    </xf>
    <xf numFmtId="192" fontId="34" fillId="8" borderId="22" xfId="11" applyNumberFormat="1" applyFont="1" applyFill="1" applyBorder="1" applyAlignment="1">
      <alignment horizontal="center" vertical="center"/>
    </xf>
    <xf numFmtId="0" fontId="87" fillId="0" borderId="22" xfId="11" applyFont="1" applyBorder="1" applyAlignment="1">
      <alignment horizontal="center" vertical="center"/>
    </xf>
    <xf numFmtId="0" fontId="34" fillId="0" borderId="22" xfId="11" applyFont="1" applyBorder="1" applyAlignment="1">
      <alignment horizontal="center" vertical="center"/>
    </xf>
    <xf numFmtId="0" fontId="85" fillId="0" borderId="22" xfId="11" applyFont="1" applyBorder="1" applyAlignment="1">
      <alignment horizontal="left" vertical="center"/>
    </xf>
    <xf numFmtId="0" fontId="71" fillId="0" borderId="0" xfId="11" applyFont="1" applyAlignment="1">
      <alignment horizontal="center" vertical="center"/>
    </xf>
    <xf numFmtId="1" fontId="27" fillId="0" borderId="41" xfId="11" applyNumberFormat="1" applyFont="1" applyBorder="1" applyAlignment="1">
      <alignment horizontal="center" vertical="center"/>
    </xf>
    <xf numFmtId="0" fontId="27" fillId="0" borderId="41" xfId="11" applyFont="1" applyBorder="1" applyAlignment="1">
      <alignment horizontal="center" vertical="center"/>
    </xf>
    <xf numFmtId="0" fontId="27" fillId="0" borderId="0" xfId="11" applyFont="1" applyAlignment="1">
      <alignment horizontal="center" vertical="center"/>
    </xf>
    <xf numFmtId="0" fontId="88" fillId="0" borderId="22" xfId="11" applyFont="1" applyBorder="1" applyAlignment="1">
      <alignment horizontal="center" vertical="center"/>
    </xf>
    <xf numFmtId="1" fontId="66" fillId="0" borderId="41" xfId="11" applyNumberFormat="1" applyFont="1" applyBorder="1" applyAlignment="1">
      <alignment horizontal="center" vertical="center"/>
    </xf>
    <xf numFmtId="0" fontId="27" fillId="0" borderId="0" xfId="11" applyFont="1" applyAlignment="1">
      <alignment horizontal="left" vertical="center"/>
    </xf>
    <xf numFmtId="0" fontId="71" fillId="0" borderId="0" xfId="11" applyFont="1" applyAlignment="1">
      <alignment horizontal="left" vertical="center"/>
    </xf>
    <xf numFmtId="0" fontId="88" fillId="0" borderId="0" xfId="11" applyFont="1" applyAlignment="1">
      <alignment horizontal="center" vertical="center"/>
    </xf>
    <xf numFmtId="0" fontId="87" fillId="0" borderId="0" xfId="11" applyFont="1" applyAlignment="1">
      <alignment horizontal="center" vertical="center"/>
    </xf>
    <xf numFmtId="0" fontId="27" fillId="0" borderId="0" xfId="11" applyFont="1" applyAlignment="1">
      <alignment horizontal="center"/>
    </xf>
    <xf numFmtId="0" fontId="2" fillId="0" borderId="0" xfId="15">
      <alignment vertical="center"/>
    </xf>
    <xf numFmtId="0" fontId="93" fillId="15" borderId="22" xfId="15" applyFont="1" applyFill="1" applyBorder="1" applyAlignment="1">
      <alignment horizontal="center" vertical="center"/>
    </xf>
    <xf numFmtId="194" fontId="94" fillId="8" borderId="22" xfId="15" applyNumberFormat="1" applyFont="1" applyFill="1" applyBorder="1" applyAlignment="1">
      <alignment horizontal="center" vertical="center"/>
    </xf>
    <xf numFmtId="189" fontId="94" fillId="0" borderId="22" xfId="15" applyNumberFormat="1" applyFont="1" applyBorder="1" applyAlignment="1">
      <alignment horizontal="center" vertical="center"/>
    </xf>
    <xf numFmtId="194" fontId="94" fillId="8" borderId="22" xfId="18" applyNumberFormat="1" applyFont="1" applyFill="1" applyBorder="1" applyAlignment="1">
      <alignment horizontal="center" vertical="center"/>
    </xf>
    <xf numFmtId="189" fontId="94" fillId="0" borderId="22" xfId="3" applyNumberFormat="1" applyFont="1" applyBorder="1" applyAlignment="1">
      <alignment horizontal="center" vertical="center"/>
    </xf>
    <xf numFmtId="10" fontId="94" fillId="0" borderId="22" xfId="3" applyNumberFormat="1" applyFont="1" applyBorder="1" applyAlignment="1">
      <alignment horizontal="center" vertical="center"/>
    </xf>
    <xf numFmtId="194" fontId="94" fillId="8" borderId="22" xfId="3" applyNumberFormat="1" applyFont="1" applyFill="1" applyBorder="1" applyAlignment="1">
      <alignment horizontal="center" vertical="center"/>
    </xf>
    <xf numFmtId="195" fontId="94" fillId="8" borderId="22" xfId="15" applyNumberFormat="1" applyFont="1" applyFill="1" applyBorder="1" applyAlignment="1">
      <alignment horizontal="center" vertical="center"/>
    </xf>
    <xf numFmtId="10" fontId="94" fillId="0" borderId="22" xfId="15" applyNumberFormat="1" applyFont="1" applyBorder="1" applyAlignment="1">
      <alignment horizontal="center" vertical="center"/>
    </xf>
    <xf numFmtId="193" fontId="95" fillId="0" borderId="22" xfId="5" applyNumberFormat="1" applyFont="1" applyBorder="1" applyAlignment="1">
      <alignment horizontal="center" vertical="center"/>
    </xf>
    <xf numFmtId="189" fontId="96" fillId="0" borderId="22" xfId="20" applyNumberFormat="1" applyFont="1" applyBorder="1" applyAlignment="1">
      <alignment horizontal="center" vertical="center"/>
    </xf>
    <xf numFmtId="10" fontId="94" fillId="0" borderId="22" xfId="20" applyNumberFormat="1" applyFont="1" applyBorder="1" applyAlignment="1">
      <alignment horizontal="center" vertical="center"/>
    </xf>
    <xf numFmtId="0" fontId="94" fillId="0" borderId="0" xfId="15" applyFont="1">
      <alignment vertical="center"/>
    </xf>
    <xf numFmtId="1" fontId="22" fillId="0" borderId="22" xfId="0" applyNumberFormat="1" applyFont="1" applyBorder="1" applyAlignment="1">
      <alignment horizontal="center" vertical="center"/>
    </xf>
    <xf numFmtId="194" fontId="94" fillId="8" borderId="22" xfId="4" applyNumberFormat="1" applyFont="1" applyFill="1" applyBorder="1" applyAlignment="1">
      <alignment horizontal="center" vertical="center"/>
    </xf>
    <xf numFmtId="194" fontId="94" fillId="8" borderId="22" xfId="6" applyNumberFormat="1" applyFont="1" applyFill="1" applyBorder="1" applyAlignment="1">
      <alignment horizontal="center" vertical="center"/>
    </xf>
    <xf numFmtId="195" fontId="94" fillId="8" borderId="22" xfId="4" applyNumberFormat="1" applyFont="1" applyFill="1" applyBorder="1" applyAlignment="1">
      <alignment horizontal="center" vertical="center"/>
    </xf>
    <xf numFmtId="10" fontId="94" fillId="0" borderId="22" xfId="4" applyNumberFormat="1" applyFont="1" applyBorder="1" applyAlignment="1">
      <alignment horizontal="center" vertical="center"/>
    </xf>
    <xf numFmtId="0" fontId="55" fillId="0" borderId="0" xfId="0" applyFont="1" applyFill="1" applyAlignment="1">
      <alignment vertical="center"/>
    </xf>
    <xf numFmtId="0" fontId="55" fillId="0" borderId="0" xfId="0" applyFont="1" applyFill="1" applyAlignment="1"/>
    <xf numFmtId="177" fontId="55" fillId="0" borderId="0" xfId="0" applyNumberFormat="1" applyFont="1" applyFill="1" applyAlignment="1"/>
    <xf numFmtId="177" fontId="55" fillId="0" borderId="0" xfId="0" applyNumberFormat="1" applyFont="1" applyFill="1" applyAlignment="1">
      <alignment horizontal="right"/>
    </xf>
    <xf numFmtId="177" fontId="55" fillId="9" borderId="22" xfId="0" applyNumberFormat="1" applyFont="1" applyFill="1" applyBorder="1" applyAlignment="1"/>
    <xf numFmtId="10" fontId="55" fillId="0" borderId="22" xfId="0" applyNumberFormat="1" applyFont="1" applyFill="1" applyBorder="1" applyAlignment="1"/>
    <xf numFmtId="177" fontId="55" fillId="0" borderId="22" xfId="0" applyNumberFormat="1" applyFont="1" applyFill="1" applyBorder="1" applyAlignment="1"/>
    <xf numFmtId="0" fontId="55" fillId="0" borderId="0" xfId="0" applyFont="1" applyAlignment="1"/>
    <xf numFmtId="1" fontId="0" fillId="0" borderId="22" xfId="0" applyNumberFormat="1" applyFont="1" applyFill="1" applyBorder="1" applyAlignment="1">
      <alignment horizontal="center"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1" fontId="0" fillId="0" borderId="22" xfId="0" applyNumberFormat="1" applyFont="1" applyFill="1" applyBorder="1" applyAlignment="1">
      <alignment horizontal="center" vertical="center"/>
    </xf>
    <xf numFmtId="0" fontId="90" fillId="15" borderId="22" xfId="15" applyFont="1" applyFill="1" applyBorder="1" applyAlignment="1">
      <alignment horizontal="center" vertical="center" wrapText="1"/>
    </xf>
    <xf numFmtId="0" fontId="24" fillId="0" borderId="37" xfId="0" applyFont="1" applyFill="1" applyBorder="1" applyAlignment="1">
      <alignment vertical="center"/>
    </xf>
    <xf numFmtId="177" fontId="24" fillId="0" borderId="34" xfId="0" applyNumberFormat="1" applyFont="1" applyFill="1" applyBorder="1" applyAlignment="1">
      <alignment vertical="center"/>
    </xf>
    <xf numFmtId="194" fontId="94" fillId="8" borderId="22" xfId="20" applyNumberFormat="1" applyFont="1" applyFill="1" applyBorder="1" applyAlignment="1">
      <alignment horizontal="center" vertical="center"/>
    </xf>
    <xf numFmtId="194" fontId="94" fillId="0" borderId="30" xfId="15" applyNumberFormat="1" applyFont="1" applyBorder="1" applyAlignment="1">
      <alignment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189" fontId="94" fillId="0" borderId="22" xfId="4" applyNumberFormat="1" applyFont="1" applyBorder="1" applyAlignment="1">
      <alignment horizontal="center" vertical="center"/>
    </xf>
    <xf numFmtId="1" fontId="0" fillId="0" borderId="22" xfId="0" applyNumberFormat="1" applyFont="1" applyFill="1" applyBorder="1" applyAlignment="1">
      <alignment horizontal="center" vertical="center"/>
    </xf>
    <xf numFmtId="0" fontId="31" fillId="0" borderId="22" xfId="0" applyFont="1" applyFill="1" applyBorder="1" applyAlignment="1">
      <alignment horizontal="center" vertical="center"/>
    </xf>
    <xf numFmtId="0" fontId="31" fillId="0" borderId="22" xfId="0" applyFont="1" applyBorder="1" applyAlignment="1">
      <alignment horizontal="center"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183" fontId="0" fillId="0" borderId="22" xfId="0" applyNumberFormat="1" applyFont="1" applyFill="1" applyBorder="1" applyAlignment="1">
      <alignment horizontal="center" vertical="center"/>
    </xf>
    <xf numFmtId="1" fontId="0" fillId="0" borderId="31" xfId="0" applyNumberFormat="1" applyFont="1" applyFill="1" applyBorder="1" applyAlignment="1">
      <alignment horizontal="center" vertical="center"/>
    </xf>
    <xf numFmtId="1" fontId="0" fillId="0" borderId="22" xfId="0" applyNumberFormat="1" applyFont="1" applyFill="1" applyBorder="1" applyAlignment="1">
      <alignment horizontal="center" vertical="center"/>
    </xf>
    <xf numFmtId="0" fontId="22" fillId="0" borderId="27" xfId="11" applyBorder="1" applyAlignment="1">
      <alignment horizontal="left" vertical="center"/>
    </xf>
    <xf numFmtId="0" fontId="22" fillId="0" borderId="28" xfId="11" applyBorder="1" applyAlignment="1">
      <alignment horizontal="left" vertical="center"/>
    </xf>
    <xf numFmtId="0" fontId="22" fillId="0" borderId="25" xfId="11" applyBorder="1" applyAlignment="1">
      <alignment horizontal="left" vertical="center"/>
    </xf>
    <xf numFmtId="0" fontId="26" fillId="0" borderId="22" xfId="11" applyFont="1" applyBorder="1" applyAlignment="1">
      <alignment horizontal="center" vertical="center" shrinkToFit="1"/>
    </xf>
    <xf numFmtId="1" fontId="26" fillId="0" borderId="22" xfId="11" applyNumberFormat="1" applyFont="1" applyBorder="1" applyAlignment="1">
      <alignment horizontal="center" vertical="center" shrinkToFit="1"/>
    </xf>
    <xf numFmtId="0" fontId="76" fillId="0" borderId="22" xfId="11" applyFont="1" applyBorder="1" applyAlignment="1">
      <alignment horizontal="center" vertical="center" shrinkToFit="1"/>
    </xf>
    <xf numFmtId="0" fontId="77" fillId="0" borderId="22" xfId="11" applyFont="1" applyBorder="1" applyAlignment="1">
      <alignment horizontal="center" vertical="center" shrinkToFit="1"/>
    </xf>
    <xf numFmtId="0" fontId="78" fillId="0" borderId="22" xfId="11" applyFont="1" applyBorder="1" applyAlignment="1">
      <alignment horizontal="center" vertical="center" shrinkToFit="1"/>
    </xf>
    <xf numFmtId="0" fontId="62" fillId="2" borderId="22" xfId="11" applyFont="1" applyFill="1" applyBorder="1" applyAlignment="1">
      <alignment horizontal="center" vertical="center" shrinkToFit="1"/>
    </xf>
    <xf numFmtId="0" fontId="31" fillId="0" borderId="27" xfId="11" applyFont="1" applyBorder="1" applyAlignment="1">
      <alignment horizontal="left" vertical="center"/>
    </xf>
    <xf numFmtId="0" fontId="79" fillId="0" borderId="22" xfId="11" applyFont="1" applyBorder="1" applyAlignment="1">
      <alignment horizontal="center" shrinkToFit="1"/>
    </xf>
    <xf numFmtId="1" fontId="26" fillId="0" borderId="22" xfId="11" applyNumberFormat="1" applyFont="1" applyBorder="1" applyAlignment="1">
      <alignment horizontal="center" shrinkToFit="1"/>
    </xf>
    <xf numFmtId="0" fontId="0" fillId="0" borderId="0" xfId="0" applyFont="1" applyAlignment="1">
      <alignment shrinkToFit="1"/>
    </xf>
    <xf numFmtId="0" fontId="26" fillId="0" borderId="22" xfId="11" applyFont="1" applyFill="1" applyBorder="1" applyAlignment="1">
      <alignment horizontal="center" vertical="center" shrinkToFit="1"/>
    </xf>
    <xf numFmtId="0" fontId="26" fillId="2" borderId="4" xfId="0" applyFont="1" applyFill="1" applyBorder="1" applyAlignment="1">
      <alignment horizontal="center" vertical="center" shrinkToFit="1"/>
    </xf>
    <xf numFmtId="0" fontId="26" fillId="2" borderId="2" xfId="0" applyFont="1" applyFill="1" applyBorder="1" applyAlignment="1">
      <alignment horizontal="center" vertical="center" shrinkToFit="1"/>
    </xf>
    <xf numFmtId="0" fontId="26" fillId="2" borderId="3" xfId="0" applyFont="1" applyFill="1" applyBorder="1" applyAlignment="1">
      <alignment horizontal="center" vertical="center" shrinkToFit="1"/>
    </xf>
    <xf numFmtId="0" fontId="31" fillId="0" borderId="22" xfId="0" applyFont="1" applyBorder="1" applyAlignment="1">
      <alignment horizontal="center" vertical="center"/>
    </xf>
    <xf numFmtId="1" fontId="0" fillId="0" borderId="22" xfId="0" applyNumberFormat="1" applyFont="1" applyFill="1" applyBorder="1" applyAlignment="1">
      <alignment horizontal="center" vertical="center"/>
    </xf>
    <xf numFmtId="0" fontId="44" fillId="2" borderId="22" xfId="0" applyFont="1" applyFill="1" applyBorder="1" applyAlignment="1">
      <alignment horizontal="center" shrinkToFit="1"/>
    </xf>
    <xf numFmtId="0" fontId="44" fillId="2" borderId="22" xfId="11" applyFont="1" applyFill="1" applyBorder="1" applyAlignment="1">
      <alignment horizontal="center" shrinkToFit="1"/>
    </xf>
    <xf numFmtId="0" fontId="44" fillId="2" borderId="22" xfId="0" applyFont="1" applyFill="1" applyBorder="1" applyAlignment="1">
      <alignment horizontal="center" vertical="center" shrinkToFit="1"/>
    </xf>
    <xf numFmtId="0" fontId="44" fillId="0" borderId="22" xfId="0" applyFont="1" applyBorder="1" applyAlignment="1">
      <alignment shrinkToFit="1"/>
    </xf>
    <xf numFmtId="0" fontId="26" fillId="0" borderId="22" xfId="11" applyFont="1" applyBorder="1" applyAlignment="1">
      <alignment shrinkToFit="1"/>
    </xf>
    <xf numFmtId="0" fontId="26" fillId="0" borderId="22" xfId="0" applyFont="1" applyBorder="1" applyAlignment="1">
      <alignment shrinkToFit="1"/>
    </xf>
    <xf numFmtId="0" fontId="45" fillId="0" borderId="46" xfId="11" applyFont="1" applyBorder="1" applyAlignment="1">
      <alignment shrinkToFit="1"/>
    </xf>
    <xf numFmtId="184" fontId="63" fillId="18" borderId="47" xfId="11" applyNumberFormat="1" applyFont="1" applyFill="1" applyBorder="1" applyAlignment="1">
      <alignment shrinkToFit="1"/>
    </xf>
    <xf numFmtId="0" fontId="24" fillId="0" borderId="47" xfId="11" applyFont="1" applyBorder="1" applyAlignment="1">
      <alignment shrinkToFit="1"/>
    </xf>
    <xf numFmtId="0" fontId="26" fillId="0" borderId="50" xfId="11" applyFont="1" applyFill="1" applyBorder="1" applyAlignment="1">
      <alignment horizontal="center" vertical="center" shrinkToFit="1"/>
    </xf>
    <xf numFmtId="0" fontId="44" fillId="0" borderId="51" xfId="11" applyFont="1" applyFill="1" applyBorder="1" applyAlignment="1">
      <alignment horizontal="center" shrinkToFit="1"/>
    </xf>
    <xf numFmtId="3" fontId="34" fillId="7" borderId="6" xfId="11" applyNumberFormat="1" applyFont="1" applyFill="1" applyBorder="1" applyAlignment="1">
      <alignment shrinkToFit="1"/>
    </xf>
    <xf numFmtId="3" fontId="26" fillId="7" borderId="22" xfId="11" applyNumberFormat="1" applyFont="1" applyFill="1" applyBorder="1" applyAlignment="1">
      <alignment shrinkToFit="1"/>
    </xf>
    <xf numFmtId="10" fontId="26" fillId="0" borderId="50" xfId="11" applyNumberFormat="1" applyFont="1" applyFill="1" applyBorder="1" applyAlignment="1">
      <alignment shrinkToFit="1"/>
    </xf>
    <xf numFmtId="0" fontId="44" fillId="0" borderId="52" xfId="11" applyFont="1" applyFill="1" applyBorder="1" applyAlignment="1">
      <alignment horizontal="center" shrinkToFit="1"/>
    </xf>
    <xf numFmtId="3" fontId="34" fillId="7" borderId="1" xfId="11" applyNumberFormat="1" applyFont="1" applyFill="1" applyBorder="1" applyAlignment="1">
      <alignment shrinkToFit="1"/>
    </xf>
    <xf numFmtId="0" fontId="24" fillId="0" borderId="53" xfId="11" applyFont="1" applyBorder="1" applyAlignment="1">
      <alignment shrinkToFit="1"/>
    </xf>
    <xf numFmtId="0" fontId="24" fillId="0" borderId="53" xfId="11" applyFont="1" applyFill="1" applyBorder="1" applyAlignment="1">
      <alignment shrinkToFit="1"/>
    </xf>
    <xf numFmtId="0" fontId="24" fillId="0" borderId="0" xfId="11" applyFont="1" applyFill="1" applyBorder="1" applyAlignment="1">
      <alignment shrinkToFit="1"/>
    </xf>
    <xf numFmtId="0" fontId="24" fillId="0" borderId="55" xfId="11" applyFont="1" applyFill="1" applyBorder="1" applyAlignment="1">
      <alignment shrinkToFit="1"/>
    </xf>
    <xf numFmtId="0" fontId="24" fillId="0" borderId="56" xfId="11" applyFont="1" applyFill="1" applyBorder="1" applyAlignment="1">
      <alignment shrinkToFit="1"/>
    </xf>
    <xf numFmtId="0" fontId="44" fillId="0" borderId="57" xfId="11" applyFont="1" applyFill="1" applyBorder="1" applyAlignment="1">
      <alignment horizontal="center" shrinkToFit="1"/>
    </xf>
    <xf numFmtId="3" fontId="26" fillId="7" borderId="42" xfId="11" applyNumberFormat="1" applyFont="1" applyFill="1" applyBorder="1" applyAlignment="1">
      <alignment shrinkToFit="1"/>
    </xf>
    <xf numFmtId="10" fontId="26" fillId="0" borderId="42" xfId="11" applyNumberFormat="1" applyFont="1" applyFill="1" applyBorder="1" applyAlignment="1">
      <alignment shrinkToFit="1"/>
    </xf>
    <xf numFmtId="10" fontId="26" fillId="0" borderId="58" xfId="11" applyNumberFormat="1" applyFont="1" applyFill="1" applyBorder="1" applyAlignment="1">
      <alignment shrinkToFit="1"/>
    </xf>
    <xf numFmtId="0" fontId="65" fillId="0" borderId="22" xfId="11" applyFont="1" applyBorder="1" applyAlignment="1">
      <alignment horizontal="left" vertical="center"/>
    </xf>
    <xf numFmtId="0" fontId="87" fillId="0" borderId="22" xfId="11" applyFont="1" applyBorder="1" applyAlignment="1">
      <alignment horizontal="left" vertical="center"/>
    </xf>
    <xf numFmtId="197" fontId="34" fillId="0" borderId="22" xfId="11" applyNumberFormat="1" applyFont="1" applyBorder="1" applyAlignment="1">
      <alignment horizontal="right" vertical="center"/>
    </xf>
    <xf numFmtId="183" fontId="34" fillId="8" borderId="22" xfId="13" applyNumberFormat="1" applyFont="1" applyFill="1" applyBorder="1" applyAlignment="1">
      <alignment horizontal="center" vertical="center"/>
    </xf>
    <xf numFmtId="193" fontId="94" fillId="0" borderId="22" xfId="5" applyNumberFormat="1" applyFont="1" applyBorder="1" applyAlignment="1">
      <alignment horizontal="center" vertical="center"/>
    </xf>
    <xf numFmtId="194" fontId="94" fillId="0" borderId="23" xfId="15" applyNumberFormat="1" applyFont="1" applyBorder="1" applyAlignment="1">
      <alignment vertical="center"/>
    </xf>
    <xf numFmtId="193" fontId="96" fillId="0" borderId="22" xfId="5" applyNumberFormat="1" applyFont="1" applyBorder="1" applyAlignment="1">
      <alignment horizontal="center" vertical="center"/>
    </xf>
    <xf numFmtId="194" fontId="94" fillId="0" borderId="29" xfId="15" applyNumberFormat="1" applyFont="1" applyBorder="1" applyAlignment="1">
      <alignment vertical="center"/>
    </xf>
    <xf numFmtId="0" fontId="35" fillId="0" borderId="29" xfId="15" applyFont="1" applyBorder="1" applyAlignment="1">
      <alignment vertical="center"/>
    </xf>
    <xf numFmtId="0" fontId="35" fillId="0" borderId="30" xfId="15" applyFont="1" applyBorder="1" applyAlignment="1">
      <alignment vertical="center"/>
    </xf>
    <xf numFmtId="0" fontId="0" fillId="0" borderId="22" xfId="0" applyBorder="1" applyAlignment="1">
      <alignment horizontal="center" vertical="center"/>
    </xf>
    <xf numFmtId="1" fontId="0" fillId="0" borderId="22" xfId="0" applyNumberFormat="1" applyBorder="1" applyAlignment="1">
      <alignment horizontal="center" vertical="center"/>
    </xf>
    <xf numFmtId="183" fontId="0" fillId="0" borderId="22" xfId="0" applyNumberFormat="1" applyBorder="1" applyAlignment="1">
      <alignment horizontal="center" vertical="center"/>
    </xf>
    <xf numFmtId="0" fontId="0" fillId="10" borderId="22" xfId="0" applyFill="1" applyBorder="1" applyAlignment="1">
      <alignment horizontal="center" vertical="center"/>
    </xf>
    <xf numFmtId="0" fontId="0" fillId="5" borderId="22" xfId="0" applyFill="1" applyBorder="1" applyAlignment="1">
      <alignment horizontal="center" vertical="center"/>
    </xf>
    <xf numFmtId="183" fontId="0" fillId="0" borderId="22" xfId="0" applyNumberFormat="1" applyFont="1" applyFill="1" applyBorder="1" applyAlignment="1">
      <alignment horizontal="center" vertical="center"/>
    </xf>
    <xf numFmtId="0" fontId="31" fillId="0" borderId="22" xfId="0" applyFont="1" applyBorder="1" applyAlignment="1">
      <alignment horizontal="center" vertical="center"/>
    </xf>
    <xf numFmtId="0" fontId="0" fillId="8" borderId="22" xfId="0" applyFont="1" applyFill="1" applyBorder="1" applyAlignment="1">
      <alignment horizontal="center" vertical="center"/>
    </xf>
    <xf numFmtId="0" fontId="31" fillId="8" borderId="22" xfId="0" applyFont="1" applyFill="1" applyBorder="1" applyAlignment="1">
      <alignment horizontal="center" vertical="center"/>
    </xf>
    <xf numFmtId="0" fontId="0" fillId="6" borderId="22" xfId="0" applyFont="1" applyFill="1" applyBorder="1" applyAlignment="1">
      <alignment horizontal="center" vertical="center"/>
    </xf>
    <xf numFmtId="0" fontId="31" fillId="6" borderId="22" xfId="0" applyFont="1" applyFill="1" applyBorder="1" applyAlignment="1">
      <alignment horizontal="center" vertical="center"/>
    </xf>
    <xf numFmtId="0" fontId="0" fillId="21" borderId="22" xfId="0" applyFont="1" applyFill="1" applyBorder="1" applyAlignment="1">
      <alignment horizontal="center" vertical="center"/>
    </xf>
    <xf numFmtId="0" fontId="31" fillId="21" borderId="22" xfId="0" applyFont="1" applyFill="1" applyBorder="1" applyAlignment="1">
      <alignment horizontal="center" vertical="center"/>
    </xf>
    <xf numFmtId="0" fontId="31" fillId="20" borderId="22" xfId="0" applyFont="1" applyFill="1" applyBorder="1" applyAlignment="1">
      <alignment horizontal="center" vertical="center"/>
    </xf>
    <xf numFmtId="0" fontId="6" fillId="0" borderId="4" xfId="0" applyFont="1" applyBorder="1" applyAlignment="1">
      <alignment shrinkToFit="1"/>
    </xf>
    <xf numFmtId="0" fontId="7" fillId="0" borderId="2" xfId="0" applyFont="1" applyBorder="1" applyAlignment="1">
      <alignment shrinkToFit="1"/>
    </xf>
    <xf numFmtId="0" fontId="7" fillId="0" borderId="3" xfId="0" applyFont="1" applyBorder="1" applyAlignment="1">
      <alignment shrinkToFit="1"/>
    </xf>
    <xf numFmtId="0" fontId="6" fillId="2" borderId="4" xfId="0" applyFont="1" applyFill="1" applyBorder="1" applyAlignment="1">
      <alignment shrinkToFit="1"/>
    </xf>
    <xf numFmtId="0" fontId="9" fillId="0" borderId="4" xfId="0" applyFont="1" applyBorder="1" applyAlignment="1">
      <alignment shrinkToFit="1"/>
    </xf>
    <xf numFmtId="0" fontId="5" fillId="0" borderId="4" xfId="0" applyFont="1" applyBorder="1" applyAlignment="1">
      <alignment shrinkToFit="1"/>
    </xf>
    <xf numFmtId="0" fontId="5" fillId="0" borderId="9" xfId="0" applyFont="1" applyBorder="1" applyAlignment="1">
      <alignment shrinkToFit="1"/>
    </xf>
    <xf numFmtId="0" fontId="7" fillId="0" borderId="8" xfId="0" applyFont="1" applyBorder="1" applyAlignment="1">
      <alignment shrinkToFit="1"/>
    </xf>
    <xf numFmtId="0" fontId="9" fillId="0" borderId="12" xfId="0" applyFont="1" applyBorder="1" applyAlignment="1">
      <alignment shrinkToFit="1"/>
    </xf>
    <xf numFmtId="0" fontId="7" fillId="0" borderId="11" xfId="0" applyFont="1" applyBorder="1" applyAlignment="1">
      <alignment shrinkToFit="1"/>
    </xf>
    <xf numFmtId="0" fontId="7" fillId="0" borderId="10" xfId="0" applyFont="1" applyBorder="1" applyAlignment="1">
      <alignment shrinkToFit="1"/>
    </xf>
    <xf numFmtId="0" fontId="5" fillId="2" borderId="4" xfId="0" applyFont="1" applyFill="1" applyBorder="1" applyAlignment="1">
      <alignment shrinkToFit="1"/>
    </xf>
    <xf numFmtId="0" fontId="5" fillId="2" borderId="2" xfId="0" applyFont="1" applyFill="1" applyBorder="1" applyAlignment="1">
      <alignment shrinkToFit="1"/>
    </xf>
    <xf numFmtId="0" fontId="5" fillId="2" borderId="3" xfId="0" applyFont="1" applyFill="1" applyBorder="1" applyAlignment="1">
      <alignment shrinkToFit="1"/>
    </xf>
    <xf numFmtId="0" fontId="6" fillId="0" borderId="9" xfId="0" applyFont="1" applyBorder="1" applyAlignment="1">
      <alignment shrinkToFit="1"/>
    </xf>
    <xf numFmtId="0" fontId="7" fillId="0" borderId="13" xfId="0" applyFont="1" applyBorder="1" applyAlignment="1">
      <alignment shrinkToFit="1"/>
    </xf>
    <xf numFmtId="0" fontId="10" fillId="2" borderId="4" xfId="0" applyFont="1" applyFill="1" applyBorder="1" applyAlignment="1">
      <alignment shrinkToFit="1"/>
    </xf>
    <xf numFmtId="0" fontId="9" fillId="2" borderId="4" xfId="0" applyFont="1" applyFill="1" applyBorder="1" applyAlignment="1">
      <alignment shrinkToFit="1"/>
    </xf>
    <xf numFmtId="0" fontId="9" fillId="2" borderId="2" xfId="0" applyFont="1" applyFill="1" applyBorder="1" applyAlignment="1">
      <alignment shrinkToFit="1"/>
    </xf>
    <xf numFmtId="0" fontId="9" fillId="2" borderId="3" xfId="0" applyFont="1" applyFill="1" applyBorder="1" applyAlignment="1">
      <alignment shrinkToFit="1"/>
    </xf>
    <xf numFmtId="0" fontId="9" fillId="0" borderId="19" xfId="0" applyFont="1" applyBorder="1" applyAlignment="1">
      <alignment shrinkToFit="1"/>
    </xf>
    <xf numFmtId="0" fontId="7" fillId="0" borderId="20" xfId="0" applyFont="1" applyBorder="1" applyAlignment="1">
      <alignment shrinkToFit="1"/>
    </xf>
    <xf numFmtId="0" fontId="7" fillId="0" borderId="21" xfId="0" applyFont="1" applyBorder="1" applyAlignment="1">
      <alignment shrinkToFit="1"/>
    </xf>
    <xf numFmtId="0" fontId="5" fillId="0" borderId="0" xfId="0" applyFont="1" applyAlignment="1">
      <alignment shrinkToFit="1"/>
    </xf>
    <xf numFmtId="0" fontId="0" fillId="0" borderId="0" xfId="0" applyFont="1" applyAlignment="1">
      <alignment shrinkToFit="1"/>
    </xf>
    <xf numFmtId="0" fontId="5" fillId="0" borderId="19" xfId="0" applyFont="1" applyBorder="1" applyAlignment="1">
      <alignment shrinkToFit="1"/>
    </xf>
    <xf numFmtId="0" fontId="10" fillId="2" borderId="3" xfId="0" applyFont="1" applyFill="1" applyBorder="1" applyAlignment="1">
      <alignment shrinkToFit="1"/>
    </xf>
    <xf numFmtId="0" fontId="41" fillId="0" borderId="0" xfId="0" applyFont="1" applyBorder="1" applyAlignment="1">
      <alignment horizontal="center" vertical="center" shrinkToFit="1"/>
    </xf>
    <xf numFmtId="0" fontId="51" fillId="8" borderId="22" xfId="0" applyFont="1" applyFill="1" applyBorder="1" applyAlignment="1">
      <alignment horizontal="center" vertical="center" shrinkToFit="1"/>
    </xf>
    <xf numFmtId="10" fontId="25" fillId="0" borderId="0" xfId="0" applyNumberFormat="1" applyFont="1" applyFill="1" applyAlignment="1">
      <alignment horizontal="center" vertical="center"/>
    </xf>
    <xf numFmtId="0" fontId="17" fillId="0" borderId="0" xfId="0" applyFont="1" applyFill="1" applyAlignment="1">
      <alignment horizontal="center" vertical="center"/>
    </xf>
    <xf numFmtId="177" fontId="25" fillId="7" borderId="0" xfId="0" applyNumberFormat="1" applyFont="1" applyFill="1" applyAlignment="1">
      <alignment horizontal="center" vertical="center"/>
    </xf>
    <xf numFmtId="178" fontId="25" fillId="6" borderId="0" xfId="0" applyNumberFormat="1" applyFont="1" applyFill="1" applyAlignment="1">
      <alignment horizontal="center" vertical="center"/>
    </xf>
    <xf numFmtId="176" fontId="25" fillId="5" borderId="0" xfId="0" applyNumberFormat="1" applyFont="1" applyFill="1" applyAlignment="1">
      <alignment horizontal="center" vertical="center"/>
    </xf>
    <xf numFmtId="0" fontId="25" fillId="0" borderId="0" xfId="0" applyFont="1" applyFill="1" applyAlignment="1">
      <alignment horizontal="center" vertical="center"/>
    </xf>
    <xf numFmtId="0" fontId="26" fillId="0" borderId="0" xfId="0" applyFont="1" applyFill="1" applyBorder="1" applyAlignment="1">
      <alignment horizontal="center" vertical="center" shrinkToFit="1"/>
    </xf>
    <xf numFmtId="178" fontId="25" fillId="0" borderId="0" xfId="0" applyNumberFormat="1" applyFont="1" applyFill="1" applyAlignment="1">
      <alignment horizontal="center" vertical="center"/>
    </xf>
    <xf numFmtId="0" fontId="23" fillId="0" borderId="0" xfId="0" applyFont="1" applyFill="1" applyAlignment="1">
      <alignment horizontal="center" vertical="center"/>
    </xf>
    <xf numFmtId="181" fontId="13" fillId="0" borderId="0" xfId="0" applyNumberFormat="1" applyFont="1" applyFill="1" applyAlignment="1">
      <alignment horizontal="center" vertical="center"/>
    </xf>
    <xf numFmtId="10" fontId="13" fillId="5" borderId="0" xfId="0" applyNumberFormat="1" applyFont="1" applyFill="1" applyAlignment="1">
      <alignment horizontal="center" vertical="center"/>
    </xf>
    <xf numFmtId="10" fontId="13" fillId="0" borderId="0" xfId="0" applyNumberFormat="1" applyFont="1" applyFill="1" applyAlignment="1">
      <alignment horizontal="center" vertical="center"/>
    </xf>
    <xf numFmtId="0" fontId="28" fillId="0" borderId="22" xfId="0" applyFont="1" applyFill="1" applyBorder="1" applyAlignment="1">
      <alignment horizontal="center" vertical="center"/>
    </xf>
    <xf numFmtId="0" fontId="17" fillId="0" borderId="0" xfId="0" applyFont="1" applyFill="1" applyBorder="1" applyAlignment="1">
      <alignment horizontal="center" vertical="center"/>
    </xf>
    <xf numFmtId="0" fontId="27" fillId="0" borderId="22" xfId="0" applyFont="1" applyFill="1" applyBorder="1" applyAlignment="1">
      <alignment horizontal="center" vertical="center"/>
    </xf>
    <xf numFmtId="0" fontId="26" fillId="0" borderId="22" xfId="0" applyFont="1" applyFill="1" applyBorder="1" applyAlignment="1">
      <alignment horizontal="center" vertical="center" shrinkToFit="1"/>
    </xf>
    <xf numFmtId="182" fontId="26" fillId="0" borderId="22" xfId="0" applyNumberFormat="1" applyFont="1" applyFill="1" applyBorder="1" applyAlignment="1">
      <alignment horizontal="center" vertical="center" shrinkToFit="1"/>
    </xf>
    <xf numFmtId="0" fontId="16" fillId="0" borderId="22" xfId="0" applyFont="1" applyFill="1" applyBorder="1" applyAlignment="1">
      <alignment horizontal="center" vertical="center"/>
    </xf>
    <xf numFmtId="0" fontId="21" fillId="0" borderId="22" xfId="0" applyFont="1" applyFill="1" applyBorder="1" applyAlignment="1">
      <alignment horizontal="center" vertical="center"/>
    </xf>
    <xf numFmtId="182" fontId="25" fillId="0" borderId="22" xfId="0" applyNumberFormat="1" applyFont="1" applyFill="1" applyBorder="1" applyAlignment="1">
      <alignment horizontal="center" vertical="center"/>
    </xf>
    <xf numFmtId="177" fontId="25" fillId="0" borderId="22" xfId="0" applyNumberFormat="1" applyFont="1" applyFill="1" applyBorder="1" applyAlignment="1">
      <alignment horizontal="center" vertical="center"/>
    </xf>
    <xf numFmtId="177" fontId="16" fillId="0" borderId="22" xfId="0" applyNumberFormat="1" applyFont="1" applyFill="1" applyBorder="1" applyAlignment="1">
      <alignment horizontal="center" vertical="center"/>
    </xf>
    <xf numFmtId="177" fontId="28" fillId="0" borderId="22" xfId="0" applyNumberFormat="1" applyFont="1" applyFill="1" applyBorder="1" applyAlignment="1">
      <alignment horizontal="center" vertical="center"/>
    </xf>
    <xf numFmtId="177" fontId="20" fillId="0" borderId="22" xfId="0" applyNumberFormat="1" applyFont="1" applyFill="1" applyBorder="1" applyAlignment="1">
      <alignment horizontal="center" vertical="center" shrinkToFit="1"/>
    </xf>
    <xf numFmtId="177" fontId="26" fillId="0" borderId="22" xfId="0" applyNumberFormat="1" applyFont="1" applyFill="1" applyBorder="1" applyAlignment="1">
      <alignment horizontal="center" vertical="center" shrinkToFit="1"/>
    </xf>
    <xf numFmtId="177" fontId="21" fillId="0" borderId="22" xfId="0" applyNumberFormat="1" applyFont="1" applyFill="1" applyBorder="1" applyAlignment="1">
      <alignment horizontal="center" vertical="center"/>
    </xf>
    <xf numFmtId="0" fontId="22" fillId="0" borderId="22" xfId="0" applyFont="1" applyBorder="1" applyAlignment="1">
      <alignment horizontal="center" vertical="center" wrapText="1"/>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183" fontId="0" fillId="0" borderId="22" xfId="0" applyNumberFormat="1" applyFont="1" applyFill="1" applyBorder="1" applyAlignment="1">
      <alignment horizontal="center" vertical="center"/>
    </xf>
    <xf numFmtId="183" fontId="0" fillId="0" borderId="22" xfId="0" applyNumberFormat="1" applyBorder="1" applyAlignment="1">
      <alignment horizontal="center" vertical="center"/>
    </xf>
    <xf numFmtId="183" fontId="0" fillId="0" borderId="23" xfId="0" applyNumberFormat="1" applyFont="1" applyBorder="1" applyAlignment="1">
      <alignment horizontal="center" vertical="center"/>
    </xf>
    <xf numFmtId="183" fontId="0" fillId="0" borderId="29" xfId="0" applyNumberFormat="1" applyFont="1" applyBorder="1" applyAlignment="1">
      <alignment horizontal="center" vertical="center"/>
    </xf>
    <xf numFmtId="183" fontId="0" fillId="0" borderId="30" xfId="0" applyNumberFormat="1" applyFont="1" applyBorder="1" applyAlignment="1">
      <alignment horizontal="center" vertical="center"/>
    </xf>
    <xf numFmtId="0" fontId="32" fillId="13" borderId="0" xfId="0" applyFont="1" applyFill="1" applyAlignment="1">
      <alignment horizontal="left" vertical="center"/>
    </xf>
    <xf numFmtId="0" fontId="33" fillId="13" borderId="0" xfId="0" applyFont="1" applyFill="1" applyAlignment="1">
      <alignment horizontal="left" vertical="center"/>
    </xf>
    <xf numFmtId="0" fontId="33" fillId="13" borderId="0" xfId="0" applyFont="1" applyFill="1" applyBorder="1" applyAlignment="1">
      <alignment horizontal="left" vertical="center"/>
    </xf>
    <xf numFmtId="0" fontId="33" fillId="13" borderId="26" xfId="0" applyFont="1" applyFill="1" applyBorder="1" applyAlignment="1">
      <alignment horizontal="left" vertical="center"/>
    </xf>
    <xf numFmtId="0" fontId="31" fillId="0" borderId="22" xfId="0" applyFont="1" applyBorder="1" applyAlignment="1">
      <alignment horizontal="center" vertical="center"/>
    </xf>
    <xf numFmtId="1" fontId="31" fillId="0" borderId="22" xfId="0" applyNumberFormat="1" applyFont="1" applyFill="1" applyBorder="1" applyAlignment="1">
      <alignment horizontal="center" vertical="center"/>
    </xf>
    <xf numFmtId="183" fontId="0" fillId="0" borderId="31" xfId="0" applyNumberFormat="1" applyBorder="1" applyAlignment="1">
      <alignment horizontal="center" vertical="center"/>
    </xf>
    <xf numFmtId="183" fontId="0" fillId="0" borderId="33" xfId="0" applyNumberFormat="1" applyBorder="1" applyAlignment="1">
      <alignment horizontal="center" vertical="center"/>
    </xf>
    <xf numFmtId="0" fontId="31" fillId="0" borderId="27" xfId="0" applyFont="1" applyBorder="1" applyAlignment="1">
      <alignment horizontal="center" vertical="center"/>
    </xf>
    <xf numFmtId="0" fontId="31" fillId="0" borderId="28" xfId="0" applyFont="1" applyBorder="1" applyAlignment="1">
      <alignment horizontal="center" vertical="center"/>
    </xf>
    <xf numFmtId="0" fontId="31" fillId="0" borderId="25" xfId="0" applyFont="1" applyBorder="1" applyAlignment="1">
      <alignment horizontal="center" vertical="center"/>
    </xf>
    <xf numFmtId="179" fontId="31" fillId="0" borderId="27" xfId="0" applyNumberFormat="1" applyFont="1" applyBorder="1" applyAlignment="1">
      <alignment horizontal="center" vertical="center"/>
    </xf>
    <xf numFmtId="179" fontId="31" fillId="0" borderId="28" xfId="0" applyNumberFormat="1" applyFont="1" applyBorder="1" applyAlignment="1">
      <alignment horizontal="center" vertical="center"/>
    </xf>
    <xf numFmtId="179" fontId="31" fillId="0" borderId="25" xfId="0" applyNumberFormat="1" applyFont="1" applyBorder="1" applyAlignment="1">
      <alignment horizontal="center" vertical="center"/>
    </xf>
    <xf numFmtId="179" fontId="31" fillId="0" borderId="22" xfId="0" applyNumberFormat="1" applyFont="1" applyBorder="1" applyAlignment="1">
      <alignment horizontal="center" vertical="center"/>
    </xf>
    <xf numFmtId="0" fontId="32" fillId="0" borderId="0" xfId="0" applyFont="1" applyAlignment="1">
      <alignment horizontal="left" vertical="center"/>
    </xf>
    <xf numFmtId="0" fontId="33" fillId="0" borderId="0" xfId="0" applyFont="1" applyAlignment="1">
      <alignment horizontal="left" vertical="center"/>
    </xf>
    <xf numFmtId="0" fontId="33" fillId="0" borderId="0" xfId="0" applyFont="1" applyBorder="1" applyAlignment="1">
      <alignment horizontal="left" vertical="center"/>
    </xf>
    <xf numFmtId="0" fontId="33" fillId="0" borderId="26" xfId="0" applyFont="1" applyBorder="1" applyAlignment="1">
      <alignment horizontal="left" vertical="center"/>
    </xf>
    <xf numFmtId="0" fontId="31" fillId="0" borderId="23" xfId="0" applyFont="1" applyBorder="1" applyAlignment="1">
      <alignment horizontal="center" vertical="center"/>
    </xf>
    <xf numFmtId="0" fontId="31" fillId="0" borderId="30" xfId="0" applyFont="1" applyBorder="1" applyAlignment="1">
      <alignment horizontal="center" vertical="center"/>
    </xf>
    <xf numFmtId="0" fontId="31" fillId="0" borderId="31" xfId="0" applyFont="1" applyBorder="1" applyAlignment="1">
      <alignment horizontal="center" vertical="center"/>
    </xf>
    <xf numFmtId="0" fontId="31" fillId="0" borderId="33" xfId="0" applyFont="1" applyBorder="1" applyAlignment="1">
      <alignment horizontal="center" vertical="center"/>
    </xf>
    <xf numFmtId="0" fontId="31" fillId="0" borderId="35" xfId="0" applyFont="1" applyBorder="1" applyAlignment="1">
      <alignment horizontal="center" vertical="center"/>
    </xf>
    <xf numFmtId="0" fontId="31" fillId="0" borderId="29" xfId="0" applyFont="1" applyBorder="1" applyAlignment="1">
      <alignment horizontal="center" vertical="center"/>
    </xf>
    <xf numFmtId="0" fontId="0" fillId="0" borderId="22" xfId="0" applyBorder="1" applyAlignment="1">
      <alignment horizontal="center" vertical="center"/>
    </xf>
    <xf numFmtId="0" fontId="32" fillId="0" borderId="26" xfId="0" applyFont="1" applyBorder="1" applyAlignment="1">
      <alignment horizontal="left" vertical="center"/>
    </xf>
    <xf numFmtId="0" fontId="31" fillId="0" borderId="23" xfId="0" applyFont="1" applyFill="1" applyBorder="1" applyAlignment="1">
      <alignment horizontal="center" vertical="center"/>
    </xf>
    <xf numFmtId="0" fontId="31" fillId="0" borderId="29" xfId="0" applyFont="1" applyFill="1" applyBorder="1" applyAlignment="1">
      <alignment horizontal="center" vertical="center"/>
    </xf>
    <xf numFmtId="0" fontId="31" fillId="0" borderId="30" xfId="0" applyFont="1" applyFill="1" applyBorder="1" applyAlignment="1">
      <alignment horizontal="center" vertical="center"/>
    </xf>
    <xf numFmtId="179" fontId="72" fillId="0" borderId="22" xfId="0" applyNumberFormat="1" applyFont="1" applyFill="1" applyBorder="1" applyAlignment="1">
      <alignment horizontal="center" vertical="center"/>
    </xf>
    <xf numFmtId="0" fontId="72" fillId="0" borderId="22" xfId="0" applyFont="1" applyFill="1" applyBorder="1" applyAlignment="1">
      <alignment horizontal="center" vertical="center"/>
    </xf>
    <xf numFmtId="179" fontId="72" fillId="5" borderId="27" xfId="0" applyNumberFormat="1" applyFont="1" applyFill="1" applyBorder="1" applyAlignment="1">
      <alignment horizontal="center" vertical="center"/>
    </xf>
    <xf numFmtId="179" fontId="72" fillId="5" borderId="28" xfId="0" applyNumberFormat="1" applyFont="1" applyFill="1" applyBorder="1" applyAlignment="1">
      <alignment horizontal="center" vertical="center"/>
    </xf>
    <xf numFmtId="179" fontId="72" fillId="5" borderId="25" xfId="0" applyNumberFormat="1" applyFont="1" applyFill="1" applyBorder="1" applyAlignment="1">
      <alignment horizontal="center" vertical="center"/>
    </xf>
    <xf numFmtId="0" fontId="32" fillId="0" borderId="37" xfId="0" applyFont="1" applyBorder="1" applyAlignment="1">
      <alignment horizontal="left" vertical="center"/>
    </xf>
    <xf numFmtId="0" fontId="33" fillId="0" borderId="37" xfId="0" applyFont="1" applyBorder="1" applyAlignment="1">
      <alignment horizontal="left" vertical="center"/>
    </xf>
    <xf numFmtId="0" fontId="0" fillId="0" borderId="23" xfId="0" applyFont="1" applyBorder="1" applyAlignment="1">
      <alignment horizontal="center"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0" fontId="31" fillId="0" borderId="32" xfId="0" applyFont="1" applyBorder="1" applyAlignment="1">
      <alignment horizontal="center" vertical="center"/>
    </xf>
    <xf numFmtId="0" fontId="31" fillId="0" borderId="34" xfId="0" applyFont="1" applyBorder="1" applyAlignment="1">
      <alignment horizontal="center" vertical="center"/>
    </xf>
    <xf numFmtId="0" fontId="31" fillId="0" borderId="36" xfId="0" applyFont="1" applyBorder="1" applyAlignment="1">
      <alignment horizontal="center" vertical="center"/>
    </xf>
    <xf numFmtId="0" fontId="31" fillId="0" borderId="22" xfId="0" applyFont="1" applyFill="1" applyBorder="1" applyAlignment="1">
      <alignment horizontal="center" vertical="center"/>
    </xf>
    <xf numFmtId="0" fontId="31" fillId="0" borderId="31" xfId="0" applyFont="1" applyFill="1" applyBorder="1" applyAlignment="1">
      <alignment horizontal="center" vertical="center"/>
    </xf>
    <xf numFmtId="0" fontId="31" fillId="0" borderId="33" xfId="0" applyFont="1" applyFill="1" applyBorder="1" applyAlignment="1">
      <alignment horizontal="center" vertical="center"/>
    </xf>
    <xf numFmtId="0" fontId="31" fillId="0" borderId="35" xfId="0" applyFont="1" applyFill="1" applyBorder="1" applyAlignment="1">
      <alignment horizontal="center" vertical="center"/>
    </xf>
    <xf numFmtId="183" fontId="0" fillId="0" borderId="31" xfId="0" applyNumberFormat="1" applyFont="1" applyFill="1" applyBorder="1" applyAlignment="1">
      <alignment horizontal="center" vertical="center"/>
    </xf>
    <xf numFmtId="183" fontId="0" fillId="0" borderId="33" xfId="0" applyNumberFormat="1" applyFont="1" applyFill="1" applyBorder="1" applyAlignment="1">
      <alignment horizontal="center" vertical="center"/>
    </xf>
    <xf numFmtId="183" fontId="0" fillId="0" borderId="35" xfId="0" applyNumberFormat="1" applyFont="1" applyFill="1" applyBorder="1" applyAlignment="1">
      <alignment horizontal="center" vertical="center"/>
    </xf>
    <xf numFmtId="0" fontId="31" fillId="0" borderId="27" xfId="0" applyFont="1" applyFill="1" applyBorder="1" applyAlignment="1">
      <alignment horizontal="center" vertical="center"/>
    </xf>
    <xf numFmtId="0" fontId="31" fillId="0" borderId="28" xfId="0" applyFont="1" applyFill="1" applyBorder="1" applyAlignment="1">
      <alignment horizontal="center" vertical="center"/>
    </xf>
    <xf numFmtId="0" fontId="31" fillId="0" borderId="25" xfId="0" applyFont="1" applyFill="1" applyBorder="1" applyAlignment="1">
      <alignment horizontal="center" vertical="center"/>
    </xf>
    <xf numFmtId="183" fontId="0" fillId="0" borderId="23" xfId="0" applyNumberFormat="1" applyFont="1" applyFill="1" applyBorder="1" applyAlignment="1">
      <alignment horizontal="center" vertical="center"/>
    </xf>
    <xf numFmtId="183" fontId="0" fillId="0" borderId="29" xfId="0" applyNumberFormat="1" applyFont="1" applyFill="1" applyBorder="1" applyAlignment="1">
      <alignment horizontal="center" vertical="center"/>
    </xf>
    <xf numFmtId="183" fontId="0" fillId="0" borderId="30" xfId="0" applyNumberFormat="1" applyFont="1" applyFill="1" applyBorder="1" applyAlignment="1">
      <alignment horizontal="center" vertical="center"/>
    </xf>
    <xf numFmtId="0" fontId="22" fillId="0" borderId="22" xfId="0" applyFont="1" applyBorder="1" applyAlignment="1">
      <alignment horizontal="center" vertical="center"/>
    </xf>
    <xf numFmtId="183" fontId="0" fillId="0" borderId="31" xfId="0" applyNumberFormat="1" applyFont="1" applyBorder="1" applyAlignment="1">
      <alignment horizontal="center" vertical="center"/>
    </xf>
    <xf numFmtId="183" fontId="0" fillId="0" borderId="33" xfId="0" applyNumberFormat="1" applyFont="1" applyBorder="1" applyAlignment="1">
      <alignment horizontal="center" vertical="center"/>
    </xf>
    <xf numFmtId="183" fontId="0" fillId="0" borderId="35" xfId="0" applyNumberFormat="1" applyFont="1" applyBorder="1" applyAlignment="1">
      <alignment horizontal="center" vertical="center"/>
    </xf>
    <xf numFmtId="1" fontId="31" fillId="0" borderId="31" xfId="0" applyNumberFormat="1" applyFont="1" applyFill="1" applyBorder="1" applyAlignment="1">
      <alignment horizontal="center" vertical="center"/>
    </xf>
    <xf numFmtId="1" fontId="31" fillId="0" borderId="33" xfId="0" applyNumberFormat="1" applyFont="1" applyFill="1" applyBorder="1" applyAlignment="1">
      <alignment horizontal="center" vertical="center"/>
    </xf>
    <xf numFmtId="1" fontId="31" fillId="0" borderId="35" xfId="0" applyNumberFormat="1" applyFont="1" applyFill="1" applyBorder="1" applyAlignment="1">
      <alignment horizontal="center" vertical="center"/>
    </xf>
    <xf numFmtId="1" fontId="31" fillId="0" borderId="23" xfId="0" applyNumberFormat="1" applyFont="1" applyFill="1" applyBorder="1" applyAlignment="1">
      <alignment horizontal="center" vertical="center"/>
    </xf>
    <xf numFmtId="1" fontId="31" fillId="0" borderId="29" xfId="0" applyNumberFormat="1" applyFont="1" applyFill="1" applyBorder="1" applyAlignment="1">
      <alignment horizontal="center" vertical="center"/>
    </xf>
    <xf numFmtId="1" fontId="31" fillId="0" borderId="30" xfId="0" applyNumberFormat="1" applyFont="1" applyFill="1" applyBorder="1" applyAlignment="1">
      <alignment horizontal="center" vertical="center"/>
    </xf>
    <xf numFmtId="183" fontId="0" fillId="0" borderId="35" xfId="0" applyNumberFormat="1" applyBorder="1" applyAlignment="1">
      <alignment horizontal="center" vertical="center"/>
    </xf>
    <xf numFmtId="179" fontId="31" fillId="14" borderId="27" xfId="0" applyNumberFormat="1" applyFont="1" applyFill="1" applyBorder="1" applyAlignment="1">
      <alignment horizontal="center" vertical="center"/>
    </xf>
    <xf numFmtId="179" fontId="31" fillId="14" borderId="28" xfId="0" applyNumberFormat="1" applyFont="1" applyFill="1" applyBorder="1" applyAlignment="1">
      <alignment horizontal="center" vertical="center"/>
    </xf>
    <xf numFmtId="179" fontId="31" fillId="14" borderId="25" xfId="0" applyNumberFormat="1" applyFont="1" applyFill="1" applyBorder="1" applyAlignment="1">
      <alignment horizontal="center" vertical="center"/>
    </xf>
    <xf numFmtId="179" fontId="72" fillId="5" borderId="22" xfId="0" applyNumberFormat="1" applyFont="1" applyFill="1" applyBorder="1" applyAlignment="1">
      <alignment horizontal="center" vertical="center"/>
    </xf>
    <xf numFmtId="0" fontId="72" fillId="5" borderId="22" xfId="0" applyFont="1" applyFill="1" applyBorder="1" applyAlignment="1">
      <alignment horizontal="center" vertical="center"/>
    </xf>
    <xf numFmtId="1" fontId="0" fillId="0" borderId="31" xfId="0" applyNumberFormat="1" applyFont="1" applyFill="1" applyBorder="1" applyAlignment="1">
      <alignment horizontal="center" vertical="center"/>
    </xf>
    <xf numFmtId="1" fontId="0" fillId="0" borderId="33" xfId="0" applyNumberFormat="1" applyFont="1" applyFill="1" applyBorder="1" applyAlignment="1">
      <alignment horizontal="center" vertical="center"/>
    </xf>
    <xf numFmtId="1" fontId="0" fillId="0" borderId="35" xfId="0" applyNumberFormat="1" applyFont="1" applyFill="1" applyBorder="1" applyAlignment="1">
      <alignment horizontal="center" vertical="center"/>
    </xf>
    <xf numFmtId="1" fontId="0" fillId="0" borderId="22" xfId="0" applyNumberFormat="1" applyBorder="1" applyAlignment="1">
      <alignment horizontal="center" vertical="center"/>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24" fillId="0" borderId="23" xfId="0" applyFont="1" applyBorder="1" applyAlignment="1">
      <alignment horizontal="center" vertical="center" shrinkToFit="1"/>
    </xf>
    <xf numFmtId="0" fontId="24" fillId="0" borderId="29" xfId="0" applyFont="1" applyBorder="1" applyAlignment="1">
      <alignment horizontal="center" vertical="center" shrinkToFit="1"/>
    </xf>
    <xf numFmtId="0" fontId="24" fillId="0" borderId="30" xfId="0" applyFont="1" applyBorder="1" applyAlignment="1">
      <alignment horizontal="center" vertical="center" shrinkToFit="1"/>
    </xf>
    <xf numFmtId="0" fontId="44" fillId="2" borderId="23" xfId="0" applyFont="1" applyFill="1" applyBorder="1" applyAlignment="1">
      <alignment horizontal="center" vertical="center" shrinkToFit="1"/>
    </xf>
    <xf numFmtId="0" fontId="44" fillId="2" borderId="29" xfId="0" applyFont="1" applyFill="1" applyBorder="1" applyAlignment="1">
      <alignment horizontal="center" vertical="center" shrinkToFit="1"/>
    </xf>
    <xf numFmtId="0" fontId="44" fillId="2" borderId="30" xfId="0" applyFont="1" applyFill="1" applyBorder="1" applyAlignment="1">
      <alignment horizontal="center" vertical="center" shrinkToFit="1"/>
    </xf>
    <xf numFmtId="0" fontId="84" fillId="0" borderId="27" xfId="11" applyFont="1" applyBorder="1" applyAlignment="1">
      <alignment horizontal="left" vertical="center" shrinkToFit="1"/>
    </xf>
    <xf numFmtId="0" fontId="84" fillId="0" borderId="25" xfId="11" applyFont="1" applyBorder="1" applyAlignment="1">
      <alignment horizontal="left" vertical="center" shrinkToFit="1"/>
    </xf>
    <xf numFmtId="0" fontId="84" fillId="0" borderId="31" xfId="11" applyFont="1" applyBorder="1" applyAlignment="1">
      <alignment horizontal="left" vertical="center" shrinkToFit="1"/>
    </xf>
    <xf numFmtId="0" fontId="84" fillId="0" borderId="32" xfId="11" applyFont="1" applyBorder="1" applyAlignment="1">
      <alignment horizontal="left" vertical="center" shrinkToFit="1"/>
    </xf>
    <xf numFmtId="0" fontId="84" fillId="0" borderId="35" xfId="11" applyFont="1" applyBorder="1" applyAlignment="1">
      <alignment horizontal="left" vertical="center" shrinkToFit="1"/>
    </xf>
    <xf numFmtId="0" fontId="84" fillId="0" borderId="36" xfId="11" applyFont="1" applyBorder="1" applyAlignment="1">
      <alignment horizontal="left" vertical="center" shrinkToFit="1"/>
    </xf>
    <xf numFmtId="0" fontId="24" fillId="0" borderId="22" xfId="0" applyFont="1" applyBorder="1" applyAlignment="1">
      <alignment horizontal="center" vertical="center" shrinkToFit="1"/>
    </xf>
    <xf numFmtId="0" fontId="44" fillId="2" borderId="27" xfId="0" applyFont="1" applyFill="1" applyBorder="1" applyAlignment="1">
      <alignment horizontal="center" vertical="center" shrinkToFit="1"/>
    </xf>
    <xf numFmtId="0" fontId="44" fillId="2" borderId="25" xfId="0" applyFont="1" applyFill="1" applyBorder="1" applyAlignment="1">
      <alignment horizontal="center" vertical="center" shrinkToFit="1"/>
    </xf>
    <xf numFmtId="0" fontId="44" fillId="2" borderId="28" xfId="0" applyFont="1" applyFill="1" applyBorder="1" applyAlignment="1">
      <alignment horizontal="center" vertical="center" shrinkToFit="1"/>
    </xf>
    <xf numFmtId="0" fontId="53" fillId="0" borderId="0" xfId="0" applyFont="1" applyBorder="1" applyAlignment="1">
      <alignment horizontal="left" vertical="center" shrinkToFit="1"/>
    </xf>
    <xf numFmtId="0" fontId="54" fillId="0" borderId="0" xfId="0" applyFont="1" applyBorder="1" applyAlignment="1">
      <alignment horizontal="left" vertical="center" shrinkToFit="1"/>
    </xf>
    <xf numFmtId="0" fontId="44" fillId="2" borderId="27" xfId="0" applyFont="1" applyFill="1" applyBorder="1" applyAlignment="1">
      <alignment horizontal="center" shrinkToFit="1"/>
    </xf>
    <xf numFmtId="0" fontId="44" fillId="2" borderId="25" xfId="0" applyFont="1" applyFill="1" applyBorder="1" applyAlignment="1">
      <alignment horizontal="center" shrinkToFit="1"/>
    </xf>
    <xf numFmtId="0" fontId="44" fillId="2" borderId="27" xfId="11" applyFont="1" applyFill="1" applyBorder="1" applyAlignment="1">
      <alignment horizontal="center" shrinkToFit="1"/>
    </xf>
    <xf numFmtId="0" fontId="44" fillId="2" borderId="28" xfId="11" applyFont="1" applyFill="1" applyBorder="1" applyAlignment="1">
      <alignment horizontal="center" shrinkToFit="1"/>
    </xf>
    <xf numFmtId="0" fontId="44" fillId="2" borderId="25" xfId="11" applyFont="1" applyFill="1" applyBorder="1" applyAlignment="1">
      <alignment horizontal="center" shrinkToFit="1"/>
    </xf>
    <xf numFmtId="0" fontId="44" fillId="0" borderId="27" xfId="11" applyFont="1" applyBorder="1" applyAlignment="1">
      <alignment shrinkToFit="1"/>
    </xf>
    <xf numFmtId="0" fontId="44" fillId="0" borderId="25" xfId="11" applyFont="1" applyBorder="1" applyAlignment="1">
      <alignment shrinkToFit="1"/>
    </xf>
    <xf numFmtId="0" fontId="84" fillId="0" borderId="27" xfId="11" applyFont="1" applyBorder="1" applyAlignment="1">
      <alignment horizontal="left" vertical="center" wrapText="1" shrinkToFit="1"/>
    </xf>
    <xf numFmtId="0" fontId="84" fillId="0" borderId="25" xfId="11" applyFont="1" applyBorder="1" applyAlignment="1">
      <alignment horizontal="left" vertical="center" wrapText="1" shrinkToFit="1"/>
    </xf>
    <xf numFmtId="0" fontId="52" fillId="0" borderId="27" xfId="11" applyFont="1" applyBorder="1" applyAlignment="1">
      <alignment shrinkToFit="1"/>
    </xf>
    <xf numFmtId="0" fontId="52" fillId="0" borderId="25" xfId="11" applyFont="1" applyBorder="1" applyAlignment="1">
      <alignment shrinkToFit="1"/>
    </xf>
    <xf numFmtId="0" fontId="110" fillId="0" borderId="27" xfId="11" applyFont="1" applyBorder="1" applyAlignment="1">
      <alignment horizontal="left" vertical="center" wrapText="1" shrinkToFit="1"/>
    </xf>
    <xf numFmtId="0" fontId="110" fillId="0" borderId="25" xfId="11" applyFont="1" applyBorder="1" applyAlignment="1">
      <alignment horizontal="left" vertical="center" wrapText="1" shrinkToFit="1"/>
    </xf>
    <xf numFmtId="0" fontId="52" fillId="0" borderId="27" xfId="11" applyFont="1" applyBorder="1" applyAlignment="1">
      <alignment horizontal="center" vertical="center" wrapText="1" shrinkToFit="1"/>
    </xf>
    <xf numFmtId="0" fontId="52" fillId="0" borderId="25" xfId="11" applyFont="1" applyBorder="1" applyAlignment="1">
      <alignment horizontal="center" vertical="center" wrapText="1" shrinkToFit="1"/>
    </xf>
    <xf numFmtId="0" fontId="44" fillId="0" borderId="22" xfId="0" applyFont="1" applyBorder="1" applyAlignment="1">
      <alignment shrinkToFit="1"/>
    </xf>
    <xf numFmtId="0" fontId="55" fillId="0" borderId="22" xfId="0" applyFont="1" applyBorder="1" applyAlignment="1">
      <alignment shrinkToFit="1"/>
    </xf>
    <xf numFmtId="0" fontId="68" fillId="0" borderId="22" xfId="0" applyFont="1" applyBorder="1" applyAlignment="1">
      <alignment shrinkToFit="1"/>
    </xf>
    <xf numFmtId="0" fontId="111" fillId="0" borderId="22" xfId="0" applyFont="1" applyBorder="1" applyAlignment="1">
      <alignment shrinkToFit="1"/>
    </xf>
    <xf numFmtId="0" fontId="26" fillId="0" borderId="27" xfId="0" applyFont="1" applyBorder="1" applyAlignment="1">
      <alignment shrinkToFit="1"/>
    </xf>
    <xf numFmtId="0" fontId="26" fillId="0" borderId="28" xfId="0" applyFont="1" applyBorder="1" applyAlignment="1">
      <alignment shrinkToFit="1"/>
    </xf>
    <xf numFmtId="0" fontId="26" fillId="0" borderId="25" xfId="0" applyFont="1" applyBorder="1" applyAlignment="1">
      <alignment shrinkToFit="1"/>
    </xf>
    <xf numFmtId="0" fontId="20" fillId="0" borderId="22" xfId="0" applyFont="1" applyBorder="1" applyAlignment="1">
      <alignment shrinkToFit="1"/>
    </xf>
    <xf numFmtId="0" fontId="52" fillId="0" borderId="22" xfId="11" applyFont="1" applyBorder="1" applyAlignment="1">
      <alignment shrinkToFit="1"/>
    </xf>
    <xf numFmtId="0" fontId="55" fillId="0" borderId="22" xfId="11" applyFont="1" applyBorder="1" applyAlignment="1">
      <alignment shrinkToFit="1"/>
    </xf>
    <xf numFmtId="0" fontId="44" fillId="2" borderId="22" xfId="0" applyFont="1" applyFill="1" applyBorder="1" applyAlignment="1">
      <alignment horizontal="center" vertical="center" shrinkToFit="1"/>
    </xf>
    <xf numFmtId="0" fontId="55" fillId="0" borderId="22" xfId="0" applyFont="1" applyBorder="1" applyAlignment="1">
      <alignment horizontal="center" vertical="center" shrinkToFit="1"/>
    </xf>
    <xf numFmtId="0" fontId="26" fillId="0" borderId="22" xfId="11" applyFont="1" applyBorder="1" applyAlignment="1">
      <alignment shrinkToFit="1"/>
    </xf>
    <xf numFmtId="0" fontId="52" fillId="0" borderId="27" xfId="11" applyFont="1" applyBorder="1" applyAlignment="1">
      <alignment vertical="center" shrinkToFit="1"/>
    </xf>
    <xf numFmtId="0" fontId="55" fillId="0" borderId="25" xfId="11" applyFont="1" applyBorder="1" applyAlignment="1">
      <alignment vertical="center" shrinkToFit="1"/>
    </xf>
    <xf numFmtId="0" fontId="44" fillId="2" borderId="22" xfId="0" applyFont="1" applyFill="1" applyBorder="1" applyAlignment="1">
      <alignment horizontal="center" shrinkToFit="1"/>
    </xf>
    <xf numFmtId="0" fontId="44" fillId="2" borderId="22" xfId="11" applyFont="1" applyFill="1" applyBorder="1" applyAlignment="1">
      <alignment horizontal="center" shrinkToFit="1"/>
    </xf>
    <xf numFmtId="0" fontId="55" fillId="0" borderId="22" xfId="11" applyFont="1" applyBorder="1" applyAlignment="1">
      <alignment horizontal="center" shrinkToFit="1"/>
    </xf>
    <xf numFmtId="0" fontId="20" fillId="0" borderId="22" xfId="11" applyFont="1" applyBorder="1" applyAlignment="1">
      <alignment shrinkToFit="1"/>
    </xf>
    <xf numFmtId="0" fontId="44" fillId="0" borderId="22" xfId="11" applyFont="1" applyBorder="1" applyAlignment="1">
      <alignment shrinkToFit="1"/>
    </xf>
    <xf numFmtId="0" fontId="112" fillId="0" borderId="27" xfId="11" applyFont="1" applyBorder="1" applyAlignment="1">
      <alignment horizontal="left" vertical="top" wrapText="1"/>
    </xf>
    <xf numFmtId="0" fontId="112" fillId="0" borderId="25" xfId="11" applyFont="1" applyBorder="1" applyAlignment="1">
      <alignment horizontal="left" vertical="top" wrapText="1"/>
    </xf>
    <xf numFmtId="0" fontId="24" fillId="0" borderId="22" xfId="11" applyFont="1" applyBorder="1" applyAlignment="1">
      <alignment horizontal="center" shrinkToFit="1"/>
    </xf>
    <xf numFmtId="0" fontId="44" fillId="0" borderId="31" xfId="11" applyFont="1" applyBorder="1" applyAlignment="1">
      <alignment horizontal="left" wrapText="1" shrinkToFit="1"/>
    </xf>
    <xf numFmtId="0" fontId="44" fillId="0" borderId="32" xfId="11" applyFont="1" applyBorder="1" applyAlignment="1">
      <alignment horizontal="left" wrapText="1" shrinkToFit="1"/>
    </xf>
    <xf numFmtId="0" fontId="44" fillId="0" borderId="35" xfId="11" applyFont="1" applyBorder="1" applyAlignment="1">
      <alignment horizontal="left" wrapText="1" shrinkToFit="1"/>
    </xf>
    <xf numFmtId="0" fontId="44" fillId="0" borderId="36" xfId="11" applyFont="1" applyBorder="1" applyAlignment="1">
      <alignment horizontal="left" wrapText="1" shrinkToFit="1"/>
    </xf>
    <xf numFmtId="0" fontId="52" fillId="0" borderId="27" xfId="11" applyFont="1" applyBorder="1" applyAlignment="1">
      <alignment horizontal="left" vertical="center" shrinkToFit="1"/>
    </xf>
    <xf numFmtId="0" fontId="55" fillId="0" borderId="25" xfId="11" applyFont="1" applyBorder="1" applyAlignment="1">
      <alignment horizontal="left" vertical="center" shrinkToFit="1"/>
    </xf>
    <xf numFmtId="0" fontId="20" fillId="0" borderId="27" xfId="11" applyFont="1" applyBorder="1" applyAlignment="1">
      <alignment shrinkToFit="1"/>
    </xf>
    <xf numFmtId="0" fontId="26" fillId="0" borderId="25" xfId="11" applyFont="1" applyBorder="1" applyAlignment="1">
      <alignment shrinkToFit="1"/>
    </xf>
    <xf numFmtId="0" fontId="52" fillId="0" borderId="31" xfId="11" applyFont="1" applyBorder="1" applyAlignment="1">
      <alignment horizontal="center" vertical="center" shrinkToFit="1"/>
    </xf>
    <xf numFmtId="0" fontId="52" fillId="0" borderId="32" xfId="11" applyFont="1" applyBorder="1" applyAlignment="1">
      <alignment horizontal="center" vertical="center" shrinkToFit="1"/>
    </xf>
    <xf numFmtId="0" fontId="52" fillId="0" borderId="35" xfId="11" applyFont="1" applyBorder="1" applyAlignment="1">
      <alignment horizontal="center" vertical="center" shrinkToFit="1"/>
    </xf>
    <xf numFmtId="0" fontId="52" fillId="0" borderId="36" xfId="11" applyFont="1" applyBorder="1" applyAlignment="1">
      <alignment horizontal="center" vertical="center" shrinkToFit="1"/>
    </xf>
    <xf numFmtId="0" fontId="44" fillId="0" borderId="27" xfId="0" applyFont="1" applyBorder="1" applyAlignment="1">
      <alignment shrinkToFit="1"/>
    </xf>
    <xf numFmtId="0" fontId="44" fillId="0" borderId="25" xfId="0" applyFont="1" applyBorder="1" applyAlignment="1">
      <alignment shrinkToFit="1"/>
    </xf>
    <xf numFmtId="0" fontId="52" fillId="0" borderId="25" xfId="11" applyFont="1" applyBorder="1" applyAlignment="1">
      <alignment horizontal="left" vertical="center" shrinkToFit="1"/>
    </xf>
    <xf numFmtId="0" fontId="20" fillId="0" borderId="31" xfId="11" applyFont="1" applyBorder="1" applyAlignment="1">
      <alignment horizontal="center" vertical="center" shrinkToFit="1"/>
    </xf>
    <xf numFmtId="0" fontId="20" fillId="0" borderId="32" xfId="11" applyFont="1" applyBorder="1" applyAlignment="1">
      <alignment horizontal="center" vertical="center" shrinkToFit="1"/>
    </xf>
    <xf numFmtId="0" fontId="20" fillId="0" borderId="33" xfId="11" applyFont="1" applyBorder="1" applyAlignment="1">
      <alignment horizontal="center" vertical="center" shrinkToFit="1"/>
    </xf>
    <xf numFmtId="0" fontId="20" fillId="0" borderId="34" xfId="11" applyFont="1" applyBorder="1" applyAlignment="1">
      <alignment horizontal="center" vertical="center" shrinkToFit="1"/>
    </xf>
    <xf numFmtId="0" fontId="20" fillId="0" borderId="35" xfId="11" applyFont="1" applyBorder="1" applyAlignment="1">
      <alignment horizontal="center" vertical="center" shrinkToFit="1"/>
    </xf>
    <xf numFmtId="0" fontId="20" fillId="0" borderId="36" xfId="11" applyFont="1" applyBorder="1" applyAlignment="1">
      <alignment horizontal="center" vertical="center" shrinkToFit="1"/>
    </xf>
    <xf numFmtId="0" fontId="44" fillId="0" borderId="28" xfId="0" applyFont="1" applyBorder="1" applyAlignment="1">
      <alignment shrinkToFit="1"/>
    </xf>
    <xf numFmtId="0" fontId="44" fillId="2" borderId="28" xfId="0" applyFont="1" applyFill="1" applyBorder="1" applyAlignment="1">
      <alignment horizontal="center" shrinkToFit="1"/>
    </xf>
    <xf numFmtId="0" fontId="20" fillId="0" borderId="31" xfId="0" applyFont="1" applyBorder="1" applyAlignment="1">
      <alignment horizontal="left" vertical="top" wrapText="1" shrinkToFit="1"/>
    </xf>
    <xf numFmtId="0" fontId="20" fillId="0" borderId="32" xfId="0" applyFont="1" applyBorder="1" applyAlignment="1">
      <alignment horizontal="left" vertical="top" wrapText="1" shrinkToFit="1"/>
    </xf>
    <xf numFmtId="0" fontId="20" fillId="0" borderId="33" xfId="0" applyFont="1" applyBorder="1" applyAlignment="1">
      <alignment horizontal="left" vertical="top" wrapText="1" shrinkToFit="1"/>
    </xf>
    <xf numFmtId="0" fontId="20" fillId="0" borderId="34" xfId="0" applyFont="1" applyBorder="1" applyAlignment="1">
      <alignment horizontal="left" vertical="top" wrapText="1" shrinkToFit="1"/>
    </xf>
    <xf numFmtId="0" fontId="20" fillId="0" borderId="35" xfId="0" applyFont="1" applyBorder="1" applyAlignment="1">
      <alignment horizontal="left" vertical="top" wrapText="1" shrinkToFit="1"/>
    </xf>
    <xf numFmtId="0" fontId="20" fillId="0" borderId="36" xfId="0" applyFont="1" applyBorder="1" applyAlignment="1">
      <alignment horizontal="left" vertical="top" wrapText="1" shrinkToFit="1"/>
    </xf>
    <xf numFmtId="0" fontId="20" fillId="0" borderId="27" xfId="0" applyFont="1" applyBorder="1" applyAlignment="1">
      <alignment shrinkToFit="1"/>
    </xf>
    <xf numFmtId="0" fontId="25" fillId="0" borderId="27" xfId="0" applyFont="1" applyBorder="1" applyAlignment="1">
      <alignment horizontal="left" vertical="center" shrinkToFit="1"/>
    </xf>
    <xf numFmtId="0" fontId="25" fillId="0" borderId="25" xfId="0" applyFont="1" applyBorder="1" applyAlignment="1">
      <alignment horizontal="left" vertical="center" shrinkToFit="1"/>
    </xf>
    <xf numFmtId="0" fontId="15" fillId="0" borderId="27" xfId="0" applyFont="1" applyBorder="1" applyAlignment="1">
      <alignment horizontal="left" vertical="center" shrinkToFit="1"/>
    </xf>
    <xf numFmtId="0" fontId="41" fillId="0" borderId="0" xfId="11" applyFont="1" applyBorder="1" applyAlignment="1">
      <alignment horizontal="center" vertical="center" shrinkToFit="1"/>
    </xf>
    <xf numFmtId="0" fontId="53" fillId="0" borderId="0" xfId="11" applyFont="1" applyBorder="1" applyAlignment="1">
      <alignment horizontal="left" vertical="center" shrinkToFit="1"/>
    </xf>
    <xf numFmtId="0" fontId="45" fillId="0" borderId="22" xfId="11" applyFont="1" applyFill="1" applyBorder="1" applyAlignment="1">
      <alignment horizontal="center" vertical="center"/>
    </xf>
    <xf numFmtId="0" fontId="26" fillId="0" borderId="22" xfId="11" applyFont="1" applyFill="1" applyBorder="1" applyAlignment="1">
      <alignment horizontal="center" vertical="center" shrinkToFit="1"/>
    </xf>
    <xf numFmtId="0" fontId="26" fillId="0" borderId="37" xfId="11" applyFont="1" applyFill="1" applyBorder="1" applyAlignment="1">
      <alignment horizontal="center" vertical="center" shrinkToFit="1"/>
    </xf>
    <xf numFmtId="0" fontId="26" fillId="0" borderId="0" xfId="11" applyFont="1" applyFill="1" applyBorder="1" applyAlignment="1">
      <alignment horizontal="center" vertical="center" shrinkToFit="1"/>
    </xf>
    <xf numFmtId="0" fontId="24" fillId="0" borderId="22" xfId="11" applyFont="1" applyFill="1" applyBorder="1" applyAlignment="1">
      <alignment horizontal="center" vertical="center" shrinkToFit="1"/>
    </xf>
    <xf numFmtId="0" fontId="60" fillId="0" borderId="22" xfId="11" applyFont="1" applyFill="1" applyBorder="1" applyAlignment="1">
      <alignment horizontal="center" vertical="center" shrinkToFit="1"/>
    </xf>
    <xf numFmtId="0" fontId="28" fillId="0" borderId="22" xfId="11" applyFont="1" applyBorder="1" applyAlignment="1">
      <alignment horizontal="center" vertical="center" shrinkToFit="1"/>
    </xf>
    <xf numFmtId="0" fontId="12" fillId="19" borderId="47" xfId="11" applyFont="1" applyFill="1" applyBorder="1" applyAlignment="1">
      <alignment horizontal="center" vertical="center" shrinkToFit="1"/>
    </xf>
    <xf numFmtId="0" fontId="12" fillId="19" borderId="48" xfId="11" applyFont="1" applyFill="1" applyBorder="1" applyAlignment="1">
      <alignment horizontal="center" vertical="center" shrinkToFit="1"/>
    </xf>
    <xf numFmtId="0" fontId="60" fillId="0" borderId="50" xfId="11" applyFont="1" applyFill="1" applyBorder="1" applyAlignment="1">
      <alignment horizontal="center" vertical="center" shrinkToFit="1"/>
    </xf>
    <xf numFmtId="0" fontId="24" fillId="0" borderId="50" xfId="11" applyFont="1" applyFill="1" applyBorder="1" applyAlignment="1">
      <alignment horizontal="center" vertical="center" shrinkToFit="1"/>
    </xf>
    <xf numFmtId="0" fontId="24" fillId="0" borderId="27" xfId="11" applyFont="1" applyFill="1" applyBorder="1" applyAlignment="1">
      <alignment horizontal="center" vertical="center" shrinkToFit="1"/>
    </xf>
    <xf numFmtId="0" fontId="24" fillId="0" borderId="25" xfId="11" applyFont="1" applyFill="1" applyBorder="1" applyAlignment="1">
      <alignment horizontal="center" vertical="center" shrinkToFit="1"/>
    </xf>
    <xf numFmtId="0" fontId="24" fillId="0" borderId="27" xfId="11" applyFont="1" applyBorder="1" applyAlignment="1">
      <alignment horizontal="center" shrinkToFit="1"/>
    </xf>
    <xf numFmtId="0" fontId="24" fillId="0" borderId="54" xfId="11" applyFont="1" applyBorder="1" applyAlignment="1">
      <alignment horizontal="center" shrinkToFit="1"/>
    </xf>
    <xf numFmtId="0" fontId="60" fillId="0" borderId="27" xfId="11" applyFont="1" applyFill="1" applyBorder="1" applyAlignment="1">
      <alignment horizontal="center" vertical="center" shrinkToFit="1"/>
    </xf>
    <xf numFmtId="0" fontId="60" fillId="0" borderId="25" xfId="11" applyFont="1" applyFill="1" applyBorder="1" applyAlignment="1">
      <alignment horizontal="center" vertical="center" shrinkToFit="1"/>
    </xf>
    <xf numFmtId="0" fontId="28" fillId="0" borderId="27" xfId="11" applyFont="1" applyBorder="1" applyAlignment="1">
      <alignment horizontal="center" vertical="center" shrinkToFit="1"/>
    </xf>
    <xf numFmtId="0" fontId="28" fillId="0" borderId="54" xfId="11" applyFont="1" applyBorder="1" applyAlignment="1">
      <alignment horizontal="center" vertical="center" shrinkToFit="1"/>
    </xf>
    <xf numFmtId="0" fontId="45" fillId="0" borderId="49" xfId="11" applyFont="1" applyFill="1" applyBorder="1" applyAlignment="1">
      <alignment horizontal="center" vertical="center"/>
    </xf>
    <xf numFmtId="0" fontId="26" fillId="0" borderId="56" xfId="11" applyFont="1" applyFill="1" applyBorder="1" applyAlignment="1">
      <alignment horizontal="center" vertical="center" shrinkToFit="1"/>
    </xf>
    <xf numFmtId="0" fontId="9" fillId="0" borderId="4" xfId="0" applyFont="1" applyBorder="1" applyAlignment="1">
      <alignment horizontal="center" shrinkToFit="1"/>
    </xf>
    <xf numFmtId="0" fontId="9" fillId="0" borderId="3" xfId="0" applyFont="1" applyBorder="1" applyAlignment="1">
      <alignment horizontal="center" shrinkToFit="1"/>
    </xf>
    <xf numFmtId="0" fontId="9" fillId="0" borderId="43" xfId="0" applyFont="1" applyBorder="1" applyAlignment="1">
      <alignment horizontal="center" shrinkToFit="1"/>
    </xf>
    <xf numFmtId="0" fontId="9" fillId="0" borderId="44" xfId="0" applyFont="1" applyBorder="1" applyAlignment="1">
      <alignment horizontal="center" shrinkToFit="1"/>
    </xf>
    <xf numFmtId="0" fontId="24" fillId="0" borderId="22" xfId="0" applyFont="1" applyFill="1" applyBorder="1" applyAlignment="1">
      <alignment horizontal="center" vertical="center" shrinkToFit="1"/>
    </xf>
    <xf numFmtId="0" fontId="62" fillId="0" borderId="22" xfId="0" applyFont="1" applyFill="1" applyBorder="1" applyAlignment="1">
      <alignment horizontal="center" vertical="center" shrinkToFit="1"/>
    </xf>
    <xf numFmtId="0" fontId="24" fillId="8" borderId="22" xfId="0" applyFont="1" applyFill="1" applyBorder="1" applyAlignment="1">
      <alignment horizontal="center" vertical="center" shrinkToFit="1"/>
    </xf>
    <xf numFmtId="0" fontId="26" fillId="8" borderId="22" xfId="0" applyFont="1" applyFill="1" applyBorder="1" applyAlignment="1">
      <alignment horizontal="center" vertical="center" shrinkToFit="1"/>
    </xf>
    <xf numFmtId="0" fontId="26" fillId="2" borderId="27" xfId="0" applyFont="1" applyFill="1" applyBorder="1" applyAlignment="1">
      <alignment horizontal="center" shrinkToFit="1"/>
    </xf>
    <xf numFmtId="0" fontId="26" fillId="2" borderId="28" xfId="0" applyFont="1" applyFill="1" applyBorder="1" applyAlignment="1">
      <alignment horizontal="center" shrinkToFit="1"/>
    </xf>
    <xf numFmtId="0" fontId="26" fillId="2" borderId="25" xfId="0" applyFont="1" applyFill="1" applyBorder="1" applyAlignment="1">
      <alignment horizontal="center" shrinkToFit="1"/>
    </xf>
    <xf numFmtId="0" fontId="5" fillId="0" borderId="43" xfId="0" applyFont="1" applyBorder="1" applyAlignment="1">
      <alignment shrinkToFit="1"/>
    </xf>
    <xf numFmtId="0" fontId="5" fillId="0" borderId="45" xfId="0" applyFont="1" applyBorder="1" applyAlignment="1">
      <alignment shrinkToFit="1"/>
    </xf>
    <xf numFmtId="0" fontId="5" fillId="0" borderId="44" xfId="0" applyFont="1" applyBorder="1" applyAlignment="1">
      <alignment shrinkToFit="1"/>
    </xf>
    <xf numFmtId="0" fontId="5" fillId="0" borderId="2" xfId="0" applyFont="1" applyBorder="1" applyAlignment="1">
      <alignment shrinkToFit="1"/>
    </xf>
    <xf numFmtId="0" fontId="5" fillId="0" borderId="3" xfId="0" applyFont="1" applyBorder="1" applyAlignment="1">
      <alignment shrinkToFit="1"/>
    </xf>
    <xf numFmtId="0" fontId="44" fillId="2" borderId="4" xfId="0" applyFont="1" applyFill="1" applyBorder="1" applyAlignment="1">
      <alignment horizontal="center" vertical="center" shrinkToFit="1"/>
    </xf>
    <xf numFmtId="0" fontId="44" fillId="2" borderId="3" xfId="0" applyFont="1" applyFill="1" applyBorder="1" applyAlignment="1">
      <alignment horizontal="center" vertical="center" shrinkToFit="1"/>
    </xf>
    <xf numFmtId="0" fontId="24" fillId="0" borderId="27" xfId="0" applyFont="1" applyBorder="1" applyAlignment="1">
      <alignment horizontal="center" vertical="center" shrinkToFit="1"/>
    </xf>
    <xf numFmtId="0" fontId="24" fillId="0" borderId="25" xfId="0" applyFont="1" applyBorder="1" applyAlignment="1">
      <alignment horizontal="center" vertical="center" shrinkToFit="1"/>
    </xf>
    <xf numFmtId="0" fontId="24" fillId="0" borderId="23" xfId="0" applyFont="1" applyBorder="1" applyAlignment="1">
      <alignment horizontal="center" vertical="center" wrapText="1" shrinkToFit="1"/>
    </xf>
    <xf numFmtId="0" fontId="24" fillId="0" borderId="29" xfId="0" applyFont="1" applyBorder="1" applyAlignment="1">
      <alignment horizontal="center" vertical="center" wrapText="1" shrinkToFit="1"/>
    </xf>
    <xf numFmtId="0" fontId="24" fillId="0" borderId="30" xfId="0" applyFont="1" applyBorder="1" applyAlignment="1">
      <alignment horizontal="center" vertical="center" wrapText="1" shrinkToFit="1"/>
    </xf>
    <xf numFmtId="0" fontId="26" fillId="2" borderId="4" xfId="0" applyFont="1" applyFill="1" applyBorder="1" applyAlignment="1">
      <alignment horizontal="center" vertical="center" shrinkToFit="1"/>
    </xf>
    <xf numFmtId="0" fontId="26" fillId="2" borderId="2" xfId="0" applyFont="1" applyFill="1" applyBorder="1" applyAlignment="1">
      <alignment horizontal="center" vertical="center" shrinkToFit="1"/>
    </xf>
    <xf numFmtId="0" fontId="26" fillId="2" borderId="3" xfId="0" applyFont="1" applyFill="1" applyBorder="1" applyAlignment="1">
      <alignment horizontal="center" vertical="center" shrinkToFit="1"/>
    </xf>
    <xf numFmtId="0" fontId="26" fillId="2" borderId="27" xfId="0" applyFont="1" applyFill="1" applyBorder="1" applyAlignment="1">
      <alignment horizontal="center" vertical="center" shrinkToFit="1"/>
    </xf>
    <xf numFmtId="0" fontId="26" fillId="2" borderId="28" xfId="0" applyFont="1" applyFill="1" applyBorder="1" applyAlignment="1">
      <alignment horizontal="center" vertical="center" shrinkToFit="1"/>
    </xf>
    <xf numFmtId="0" fontId="26" fillId="2" borderId="25" xfId="0" applyFont="1" applyFill="1" applyBorder="1" applyAlignment="1">
      <alignment horizontal="center" vertical="center" shrinkToFit="1"/>
    </xf>
    <xf numFmtId="0" fontId="26" fillId="2" borderId="35" xfId="0" applyFont="1" applyFill="1" applyBorder="1" applyAlignment="1">
      <alignment horizontal="center" vertical="center" shrinkToFit="1"/>
    </xf>
    <xf numFmtId="0" fontId="26" fillId="2" borderId="26" xfId="0" applyFont="1" applyFill="1" applyBorder="1" applyAlignment="1">
      <alignment horizontal="center" vertical="center" shrinkToFit="1"/>
    </xf>
    <xf numFmtId="0" fontId="26" fillId="2" borderId="36" xfId="0" applyFont="1" applyFill="1" applyBorder="1" applyAlignment="1">
      <alignment horizontal="center" vertical="center" shrinkToFit="1"/>
    </xf>
    <xf numFmtId="0" fontId="5" fillId="0" borderId="3" xfId="0" applyFont="1" applyBorder="1" applyAlignment="1">
      <alignment horizontal="center" shrinkToFit="1"/>
    </xf>
    <xf numFmtId="0" fontId="31" fillId="0" borderId="22" xfId="0" applyFont="1" applyBorder="1" applyAlignment="1">
      <alignment horizontal="center" vertical="center" shrinkToFit="1"/>
    </xf>
    <xf numFmtId="0" fontId="0" fillId="0" borderId="22" xfId="0" applyFont="1" applyBorder="1" applyAlignment="1">
      <alignment horizontal="center" vertical="center" shrinkToFit="1"/>
    </xf>
    <xf numFmtId="0" fontId="5" fillId="2" borderId="4" xfId="0" applyFont="1" applyFill="1" applyBorder="1" applyAlignment="1">
      <alignment horizontal="center" vertical="center" shrinkToFit="1"/>
    </xf>
    <xf numFmtId="0" fontId="5" fillId="2" borderId="2" xfId="0" applyFont="1" applyFill="1" applyBorder="1" applyAlignment="1">
      <alignment horizontal="center" vertical="center" shrinkToFit="1"/>
    </xf>
    <xf numFmtId="0" fontId="5" fillId="2" borderId="3" xfId="0" applyFont="1" applyFill="1" applyBorder="1" applyAlignment="1">
      <alignment horizontal="center" vertical="center" shrinkToFit="1"/>
    </xf>
    <xf numFmtId="0" fontId="10" fillId="2" borderId="4" xfId="0" applyFont="1" applyFill="1" applyBorder="1" applyAlignment="1">
      <alignment horizontal="center" vertical="center" shrinkToFit="1"/>
    </xf>
    <xf numFmtId="0" fontId="10" fillId="2" borderId="3" xfId="0" applyFont="1" applyFill="1" applyBorder="1" applyAlignment="1">
      <alignment horizontal="center" vertical="center" shrinkToFit="1"/>
    </xf>
    <xf numFmtId="0" fontId="0" fillId="0" borderId="22" xfId="0" applyFont="1" applyBorder="1" applyAlignment="1">
      <alignment horizontal="center" vertical="center" wrapText="1" shrinkToFit="1"/>
    </xf>
    <xf numFmtId="0" fontId="5" fillId="2" borderId="22" xfId="0" applyFont="1" applyFill="1" applyBorder="1" applyAlignment="1">
      <alignment horizontal="center" shrinkToFit="1"/>
    </xf>
    <xf numFmtId="0" fontId="5" fillId="2" borderId="22" xfId="0" applyFont="1" applyFill="1" applyBorder="1" applyAlignment="1">
      <alignment horizontal="center" vertical="center" shrinkToFit="1"/>
    </xf>
    <xf numFmtId="0" fontId="31" fillId="0" borderId="22" xfId="0" applyFont="1" applyBorder="1" applyAlignment="1">
      <alignment horizontal="center" vertical="center" wrapText="1" shrinkToFit="1"/>
    </xf>
    <xf numFmtId="0" fontId="5" fillId="2" borderId="39" xfId="0" applyFont="1" applyFill="1" applyBorder="1" applyAlignment="1">
      <alignment horizontal="center" shrinkToFit="1"/>
    </xf>
    <xf numFmtId="0" fontId="5" fillId="2" borderId="2" xfId="0" applyFont="1" applyFill="1" applyBorder="1" applyAlignment="1">
      <alignment horizontal="center" shrinkToFit="1"/>
    </xf>
    <xf numFmtId="0" fontId="5" fillId="2" borderId="3" xfId="0" applyFont="1" applyFill="1" applyBorder="1" applyAlignment="1">
      <alignment horizontal="center" shrinkToFit="1"/>
    </xf>
    <xf numFmtId="0" fontId="5" fillId="2" borderId="0" xfId="0" applyFont="1" applyFill="1" applyBorder="1" applyAlignment="1">
      <alignment horizontal="center" vertical="center" shrinkToFit="1"/>
    </xf>
    <xf numFmtId="0" fontId="5" fillId="2" borderId="40" xfId="0" applyFont="1" applyFill="1" applyBorder="1" applyAlignment="1">
      <alignment horizontal="center" vertical="center" shrinkToFit="1"/>
    </xf>
    <xf numFmtId="0" fontId="24" fillId="8" borderId="22" xfId="11" applyFont="1" applyFill="1" applyBorder="1" applyAlignment="1">
      <alignment horizontal="center" vertical="center" shrinkToFit="1"/>
    </xf>
    <xf numFmtId="0" fontId="26" fillId="8" borderId="22" xfId="11" applyFont="1" applyFill="1" applyBorder="1" applyAlignment="1">
      <alignment horizontal="center" vertical="center" shrinkToFit="1"/>
    </xf>
    <xf numFmtId="0" fontId="62" fillId="0" borderId="22" xfId="11" applyFont="1" applyFill="1" applyBorder="1" applyAlignment="1">
      <alignment horizontal="center" vertical="center" shrinkToFit="1"/>
    </xf>
    <xf numFmtId="0" fontId="62" fillId="8" borderId="22" xfId="11" applyFont="1" applyFill="1" applyBorder="1" applyAlignment="1">
      <alignment horizontal="center" vertical="center" shrinkToFit="1"/>
    </xf>
    <xf numFmtId="0" fontId="26" fillId="2" borderId="22" xfId="0" applyFont="1" applyFill="1" applyBorder="1" applyAlignment="1">
      <alignment horizontal="center" vertical="center" shrinkToFit="1"/>
    </xf>
    <xf numFmtId="0" fontId="53" fillId="0" borderId="26" xfId="0" applyFont="1" applyBorder="1" applyAlignment="1">
      <alignment horizontal="left" vertical="center" shrinkToFit="1"/>
    </xf>
    <xf numFmtId="0" fontId="26" fillId="2" borderId="23" xfId="0" applyFont="1" applyFill="1" applyBorder="1" applyAlignment="1">
      <alignment horizontal="center" vertical="center" shrinkToFit="1"/>
    </xf>
    <xf numFmtId="0" fontId="26" fillId="0" borderId="22" xfId="0" applyFont="1" applyBorder="1" applyAlignment="1">
      <alignment shrinkToFit="1"/>
    </xf>
    <xf numFmtId="0" fontId="26" fillId="2" borderId="33" xfId="0" applyFont="1" applyFill="1" applyBorder="1" applyAlignment="1">
      <alignment horizontal="center" vertical="center" shrinkToFit="1"/>
    </xf>
    <xf numFmtId="0" fontId="26" fillId="2" borderId="0" xfId="0" applyFont="1" applyFill="1" applyBorder="1" applyAlignment="1">
      <alignment horizontal="center" vertical="center" shrinkToFit="1"/>
    </xf>
    <xf numFmtId="0" fontId="26" fillId="0" borderId="0" xfId="0" applyFont="1" applyFill="1" applyBorder="1" applyAlignment="1">
      <alignment horizontal="center" shrinkToFit="1"/>
    </xf>
    <xf numFmtId="0" fontId="26" fillId="0" borderId="38" xfId="0" applyFont="1" applyFill="1" applyBorder="1" applyAlignment="1">
      <alignment horizontal="center" shrinkToFit="1"/>
    </xf>
    <xf numFmtId="0" fontId="26" fillId="2" borderId="29" xfId="0" applyFont="1" applyFill="1" applyBorder="1" applyAlignment="1">
      <alignment horizontal="center" vertical="center" shrinkToFit="1"/>
    </xf>
    <xf numFmtId="0" fontId="38" fillId="0" borderId="26" xfId="11" applyFont="1" applyBorder="1" applyAlignment="1">
      <alignment horizontal="center" vertical="center"/>
    </xf>
    <xf numFmtId="0" fontId="30" fillId="0" borderId="26" xfId="11" applyFont="1" applyBorder="1" applyAlignment="1">
      <alignment horizontal="center" vertical="center"/>
    </xf>
    <xf numFmtId="0" fontId="71" fillId="5" borderId="31" xfId="11" applyFont="1" applyFill="1" applyBorder="1" applyAlignment="1">
      <alignment horizontal="center" vertical="center"/>
    </xf>
    <xf numFmtId="0" fontId="27" fillId="5" borderId="32" xfId="11" applyFont="1" applyFill="1" applyBorder="1" applyAlignment="1">
      <alignment horizontal="center" vertical="center"/>
    </xf>
    <xf numFmtId="0" fontId="27" fillId="5" borderId="33" xfId="11" applyFont="1" applyFill="1" applyBorder="1" applyAlignment="1">
      <alignment horizontal="center" vertical="center"/>
    </xf>
    <xf numFmtId="0" fontId="27" fillId="5" borderId="34" xfId="11" applyFont="1" applyFill="1" applyBorder="1" applyAlignment="1">
      <alignment horizontal="center" vertical="center"/>
    </xf>
    <xf numFmtId="0" fontId="27" fillId="5" borderId="35" xfId="11" applyFont="1" applyFill="1" applyBorder="1" applyAlignment="1">
      <alignment horizontal="center" vertical="center"/>
    </xf>
    <xf numFmtId="0" fontId="27" fillId="5" borderId="36" xfId="11" applyFont="1" applyFill="1" applyBorder="1" applyAlignment="1">
      <alignment horizontal="center" vertical="center"/>
    </xf>
    <xf numFmtId="0" fontId="34" fillId="5" borderId="22" xfId="5" applyFont="1" applyFill="1" applyBorder="1" applyAlignment="1">
      <alignment horizontal="center" vertical="center"/>
    </xf>
    <xf numFmtId="0" fontId="34" fillId="5" borderId="31" xfId="5" applyFont="1" applyFill="1" applyBorder="1" applyAlignment="1">
      <alignment horizontal="center" vertical="center"/>
    </xf>
    <xf numFmtId="0" fontId="34" fillId="5" borderId="33" xfId="5" applyFont="1" applyFill="1" applyBorder="1" applyAlignment="1">
      <alignment horizontal="center" vertical="center"/>
    </xf>
    <xf numFmtId="0" fontId="34" fillId="5" borderId="35" xfId="5" applyFont="1" applyFill="1" applyBorder="1" applyAlignment="1">
      <alignment horizontal="center" vertical="center"/>
    </xf>
    <xf numFmtId="0" fontId="85" fillId="5" borderId="23" xfId="5" applyFont="1" applyFill="1" applyBorder="1" applyAlignment="1">
      <alignment horizontal="center" vertical="center"/>
    </xf>
    <xf numFmtId="0" fontId="85" fillId="5" borderId="29" xfId="5" applyFont="1" applyFill="1" applyBorder="1" applyAlignment="1">
      <alignment horizontal="center" vertical="center"/>
    </xf>
    <xf numFmtId="0" fontId="85" fillId="5" borderId="30" xfId="5" applyFont="1" applyFill="1" applyBorder="1" applyAlignment="1">
      <alignment horizontal="center" vertical="center"/>
    </xf>
    <xf numFmtId="0" fontId="34" fillId="5" borderId="23" xfId="5" applyFont="1" applyFill="1" applyBorder="1" applyAlignment="1">
      <alignment horizontal="center" vertical="center"/>
    </xf>
    <xf numFmtId="0" fontId="34" fillId="5" borderId="29" xfId="5" applyFont="1" applyFill="1" applyBorder="1" applyAlignment="1">
      <alignment horizontal="center" vertical="center"/>
    </xf>
    <xf numFmtId="0" fontId="34" fillId="5" borderId="30" xfId="5" applyFont="1" applyFill="1" applyBorder="1" applyAlignment="1">
      <alignment horizontal="center" vertical="center"/>
    </xf>
    <xf numFmtId="0" fontId="34" fillId="5" borderId="22" xfId="15" applyFont="1" applyFill="1" applyBorder="1" applyAlignment="1">
      <alignment horizontal="center" vertical="center" wrapText="1"/>
    </xf>
    <xf numFmtId="0" fontId="86" fillId="0" borderId="31" xfId="11" applyFont="1" applyBorder="1" applyAlignment="1">
      <alignment horizontal="center" vertical="center"/>
    </xf>
    <xf numFmtId="0" fontId="86" fillId="0" borderId="32" xfId="11" applyFont="1" applyBorder="1" applyAlignment="1">
      <alignment horizontal="center" vertical="center"/>
    </xf>
    <xf numFmtId="0" fontId="86" fillId="0" borderId="33" xfId="11" applyFont="1" applyBorder="1" applyAlignment="1">
      <alignment horizontal="center" vertical="center"/>
    </xf>
    <xf numFmtId="0" fontId="86" fillId="0" borderId="34" xfId="11" applyFont="1" applyBorder="1" applyAlignment="1">
      <alignment horizontal="center" vertical="center"/>
    </xf>
    <xf numFmtId="0" fontId="86" fillId="0" borderId="35" xfId="11" applyFont="1" applyBorder="1" applyAlignment="1">
      <alignment horizontal="center" vertical="center"/>
    </xf>
    <xf numFmtId="0" fontId="86" fillId="0" borderId="36" xfId="11" applyFont="1" applyBorder="1" applyAlignment="1">
      <alignment horizontal="center" vertical="center"/>
    </xf>
    <xf numFmtId="0" fontId="27" fillId="0" borderId="0" xfId="11" applyFont="1" applyAlignment="1">
      <alignment horizontal="center" vertical="center"/>
    </xf>
    <xf numFmtId="0" fontId="34" fillId="5" borderId="22" xfId="15" applyFont="1" applyFill="1" applyBorder="1" applyAlignment="1">
      <alignment horizontal="center" vertical="center"/>
    </xf>
    <xf numFmtId="0" fontId="36" fillId="5" borderId="22" xfId="15" applyFont="1" applyFill="1" applyBorder="1" applyAlignment="1">
      <alignment horizontal="center"/>
    </xf>
    <xf numFmtId="0" fontId="65" fillId="5" borderId="23" xfId="5" applyFont="1" applyFill="1" applyBorder="1" applyAlignment="1">
      <alignment horizontal="center" vertical="center"/>
    </xf>
    <xf numFmtId="0" fontId="65" fillId="5" borderId="29" xfId="5" applyFont="1" applyFill="1" applyBorder="1" applyAlignment="1">
      <alignment horizontal="center" vertical="center"/>
    </xf>
    <xf numFmtId="0" fontId="65" fillId="5" borderId="30" xfId="5" applyFont="1" applyFill="1" applyBorder="1" applyAlignment="1">
      <alignment horizontal="center" vertical="center"/>
    </xf>
    <xf numFmtId="194" fontId="94" fillId="0" borderId="29" xfId="15" applyNumberFormat="1" applyFont="1" applyBorder="1" applyAlignment="1">
      <alignment vertical="center"/>
    </xf>
    <xf numFmtId="0" fontId="89" fillId="5" borderId="22" xfId="15" applyFont="1" applyFill="1" applyBorder="1" applyAlignment="1">
      <alignment horizontal="center" vertical="center"/>
    </xf>
    <xf numFmtId="0" fontId="90" fillId="15" borderId="22" xfId="15" applyFont="1" applyFill="1" applyBorder="1" applyAlignment="1">
      <alignment horizontal="center" vertical="center" wrapText="1"/>
    </xf>
    <xf numFmtId="0" fontId="93" fillId="15" borderId="22" xfId="15" applyFont="1" applyFill="1" applyBorder="1" applyAlignment="1">
      <alignment horizontal="center" vertical="center"/>
    </xf>
    <xf numFmtId="0" fontId="35" fillId="5" borderId="22" xfId="5" applyFont="1" applyFill="1" applyBorder="1" applyAlignment="1">
      <alignment horizontal="center"/>
    </xf>
  </cellXfs>
  <cellStyles count="577">
    <cellStyle name="??_x000c_鞜_x0007__x000d_槉U_x0001_??_x0007__x0001__x0001_" xfId="25"/>
    <cellStyle name="_98-春節暫停營業明細-ToDC" xfId="26"/>
    <cellStyle name="_98-春節暫停營業明細-ToDC_1-晉欣鮮食廠-2012年春節作業體制" xfId="27"/>
    <cellStyle name="_excel報告書" xfId="28"/>
    <cellStyle name="_excel報告書_1-晉欣鮮食廠-2012年春節作業體制" xfId="29"/>
    <cellStyle name="_excel報告書_96年月餅預購競賽獎勵案" xfId="30"/>
    <cellStyle name="_excel報告書_96年月餅預購競賽獎勵案_1-晉欣鮮食廠-2012年春節作業體制" xfId="31"/>
    <cellStyle name="_excel報告書_96年月餅預購競賽獎勵案_97年春節保全回收報告書" xfId="32"/>
    <cellStyle name="_excel報告書_96年月餅預購競賽獎勵案_97年春節保全回收報告書_1-晉欣鮮食廠-2012年春節作業體制" xfId="33"/>
    <cellStyle name="_excel報告書_96年月餅預購競賽獎勵案_97年春節保全回收報告書_Book1" xfId="34"/>
    <cellStyle name="_excel報告書_96年月餅預購競賽獎勵案_97年春節保全回收報告書_Book1_1-晉欣鮮食廠-2012年春節作業體制" xfId="35"/>
    <cellStyle name="_excel報告書_96年月餅預購競賽獎勵案_97年春節保全回收報告書_春節作業手冊-981217" xfId="36"/>
    <cellStyle name="_excel報告書_96年月餅預購競賽獎勵案_97年春節保全回收報告書_春節作業手冊-981217_1-晉欣鮮食廠-2012年春節作業體制" xfId="37"/>
    <cellStyle name="_excel報告書_96年月餅預購競賽獎勵案_97年營業競賽提案報告書" xfId="38"/>
    <cellStyle name="_excel報告書_96年月餅預購競賽獎勵案_97年營業競賽提案報告書_1-晉欣鮮食廠-2012年春節作業體制" xfId="39"/>
    <cellStyle name="_excel報告書_96年月餅預購競賽獎勵案_97年營業競賽提案報告書_97年春節保全回收報告書" xfId="40"/>
    <cellStyle name="_excel報告書_96年月餅預購競賽獎勵案_97年營業競賽提案報告書_97年春節保全回收報告書_1-晉欣鮮食廠-2012年春節作業體制" xfId="41"/>
    <cellStyle name="_excel報告書_96年月餅預購競賽獎勵案_97年營業競賽提案報告書_97年春節保全回收報告書_Book1" xfId="42"/>
    <cellStyle name="_excel報告書_96年月餅預購競賽獎勵案_97年營業競賽提案報告書_97年春節保全回收報告書_Book1_1-晉欣鮮食廠-2012年春節作業體制" xfId="43"/>
    <cellStyle name="_excel報告書_96年月餅預購競賽獎勵案_97年營業競賽提案報告書_97年春節保全回收報告書_春節作業手冊-981217" xfId="44"/>
    <cellStyle name="_excel報告書_96年月餅預購競賽獎勵案_97年營業競賽提案報告書_97年春節保全回收報告書_春節作業手冊-981217_1-晉欣鮮食廠-2012年春節作業體制" xfId="45"/>
    <cellStyle name="_excel報告書_96年月餅預購競賽獎勵案_97年營業競賽提案報告書_97年營業競賽提案報告書" xfId="46"/>
    <cellStyle name="_excel報告書_96年月餅預購競賽獎勵案_97年營業競賽提案報告書_97年營業競賽提案報告書_1-晉欣鮮食廠-2012年春節作業體制" xfId="47"/>
    <cellStyle name="_excel報告書_96年月餅預購競賽獎勵案_97年營業競賽提案報告書_97年營業競賽提案報告書_97年春節保全回收報告書" xfId="48"/>
    <cellStyle name="_excel報告書_96年月餅預購競賽獎勵案_97年營業競賽提案報告書_97年營業競賽提案報告書_97年春節保全回收報告書_1-晉欣鮮食廠-2012年春節作業體制" xfId="49"/>
    <cellStyle name="_excel報告書_96年月餅預購競賽獎勵案_97年營業競賽提案報告書_97年營業競賽提案報告書_97年春節保全回收報告書_Book1" xfId="50"/>
    <cellStyle name="_excel報告書_96年月餅預購競賽獎勵案_97年營業競賽提案報告書_97年營業競賽提案報告書_97年春節保全回收報告書_Book1_1-晉欣鮮食廠-2012年春節作業體制" xfId="51"/>
    <cellStyle name="_excel報告書_96年月餅預購競賽獎勵案_97年營業競賽提案報告書_97年營業競賽提案報告書_97年春節保全回收報告書_春節作業手冊-981217" xfId="52"/>
    <cellStyle name="_excel報告書_96年月餅預購競賽獎勵案_97年營業競賽提案報告書_97年營業競賽提案報告書_97年春節保全回收報告書_春節作業手冊-981217_1-晉欣鮮食廠-2012年春節作業體制" xfId="53"/>
    <cellStyle name="_excel報告書_96年月餅預購競賽獎勵案_97年營業競賽提案報告書_97年營業競賽提案報告書_97年營業競賽提案報告書" xfId="54"/>
    <cellStyle name="_excel報告書_96年月餅預購競賽獎勵案_97年營業競賽提案報告書_97年營業競賽提案報告書_97年營業競賽提案報告書_1-晉欣鮮食廠-2012年春節作業體制" xfId="55"/>
    <cellStyle name="_excel報告書_96年月餅預購競賽獎勵案_97年營業競賽提案報告書_97年營業競賽提案報告書_97年營業競賽提案報告書_97年春節保全回收報告書" xfId="56"/>
    <cellStyle name="_excel報告書_96年月餅預購競賽獎勵案_97年營業競賽提案報告書_97年營業競賽提案報告書_97年營業競賽提案報告書_97年春節保全回收報告書_1-晉欣鮮食廠-2012年春節作業體制" xfId="57"/>
    <cellStyle name="_excel報告書_96年月餅預購競賽獎勵案_97年營業競賽提案報告書_97年營業競賽提案報告書_97年營業競賽提案報告書_97年春節保全回收報告書_Book1" xfId="58"/>
    <cellStyle name="_excel報告書_96年月餅預購競賽獎勵案_97年營業競賽提案報告書_97年營業競賽提案報告書_97年營業競賽提案報告書_97年春節保全回收報告書_Book1_1-晉欣鮮食廠-2012年春節作業體制" xfId="59"/>
    <cellStyle name="_excel報告書_96年月餅預購競賽獎勵案_97年營業競賽提案報告書_97年營業競賽提案報告書_97年營業競賽提案報告書_97年春節保全回收報告書_春節作業手冊-981217" xfId="60"/>
    <cellStyle name="_excel報告書_96年月餅預購競賽獎勵案_97年營業競賽提案報告書_97年營業競賽提案報告書_97年營業競賽提案報告書_97年春節保全回收報告書_春節作業手冊-981217_1-晉欣鮮食廠-2012年春節作業體制" xfId="61"/>
    <cellStyle name="_excel報告書_96年月餅預購競賽獎勵案_97年營業競賽提案報告書_97年營業競賽提案報告書_97年營業競賽提案報告書_Book1" xfId="62"/>
    <cellStyle name="_excel報告書_96年月餅預購競賽獎勵案_97年營業競賽提案報告書_97年營業競賽提案報告書_97年營業競賽提案報告書_Book1_1-晉欣鮮食廠-2012年春節作業體制" xfId="63"/>
    <cellStyle name="_excel報告書_96年月餅預購競賽獎勵案_97年營業競賽提案報告書_97年營業競賽提案報告書_97年營業競賽提案報告書_春節作業手冊-981217" xfId="64"/>
    <cellStyle name="_excel報告書_96年月餅預購競賽獎勵案_97年營業競賽提案報告書_97年營業競賽提案報告書_97年營業競賽提案報告書_春節作業手冊-981217_1-晉欣鮮食廠-2012年春節作業體制" xfId="65"/>
    <cellStyle name="_excel報告書_96年月餅預購競賽獎勵案_97年營業競賽提案報告書_97年營業競賽提案報告書_Book1" xfId="66"/>
    <cellStyle name="_excel報告書_96年月餅預購競賽獎勵案_97年營業競賽提案報告書_97年營業競賽提案報告書_Book1_1-晉欣鮮食廠-2012年春節作業體制" xfId="67"/>
    <cellStyle name="_excel報告書_96年月餅預購競賽獎勵案_97年營業競賽提案報告書_97年營業競賽提案報告書_春節作業手冊-981217" xfId="68"/>
    <cellStyle name="_excel報告書_96年月餅預購競賽獎勵案_97年營業競賽提案報告書_97年營業競賽提案報告書_春節作業手冊-981217_1-晉欣鮮食廠-2012年春節作業體制" xfId="69"/>
    <cellStyle name="_excel報告書_96年月餅預購競賽獎勵案_97年營業競賽提案報告書_Book1" xfId="70"/>
    <cellStyle name="_excel報告書_96年月餅預購競賽獎勵案_97年營業競賽提案報告書_Book1_1-晉欣鮮食廠-2012年春節作業體制" xfId="71"/>
    <cellStyle name="_excel報告書_96年月餅預購競賽獎勵案_97年營業競賽提案報告書_春節作業手冊-981217" xfId="72"/>
    <cellStyle name="_excel報告書_96年月餅預購競賽獎勵案_97年營業競賽提案報告書_春節作業手冊-981217_1-晉欣鮮食廠-2012年春節作業體制" xfId="73"/>
    <cellStyle name="_excel報告書_96年月餅預購競賽獎勵案_Book1" xfId="74"/>
    <cellStyle name="_excel報告書_96年月餅預購競賽獎勵案_Book1_1-晉欣鮮食廠-2012年春節作業體制" xfId="75"/>
    <cellStyle name="_excel報告書_96年月餅預購競賽獎勵案_春節作業手冊-981217" xfId="76"/>
    <cellStyle name="_excel報告書_96年月餅預購競賽獎勵案_春節作業手冊-981217_1-晉欣鮮食廠-2012年春節作業體制" xfId="77"/>
    <cellStyle name="_excel報告書_97年春節保全回收報告書" xfId="78"/>
    <cellStyle name="_excel報告書_97年春節保全回收報告書_1-晉欣鮮食廠-2012年春節作業體制" xfId="79"/>
    <cellStyle name="_excel報告書_97年春節保全回收報告書_Book1" xfId="80"/>
    <cellStyle name="_excel報告書_97年春節保全回收報告書_Book1_1-晉欣鮮食廠-2012年春節作業體制" xfId="81"/>
    <cellStyle name="_excel報告書_97年春節保全回收報告書_春節作業手冊-981217" xfId="82"/>
    <cellStyle name="_excel報告書_97年春節保全回收報告書_春節作業手冊-981217_1-晉欣鮮食廠-2012年春節作業體制" xfId="83"/>
    <cellStyle name="_excel報告書_97年營業競賽提案報告書" xfId="84"/>
    <cellStyle name="_excel報告書_97年營業競賽提案報告書_1-晉欣鮮食廠-2012年春節作業體制" xfId="85"/>
    <cellStyle name="_excel報告書_97年營業競賽提案報告書_97年春節保全回收報告書" xfId="86"/>
    <cellStyle name="_excel報告書_97年營業競賽提案報告書_97年春節保全回收報告書_1-晉欣鮮食廠-2012年春節作業體制" xfId="87"/>
    <cellStyle name="_excel報告書_97年營業競賽提案報告書_97年春節保全回收報告書_Book1" xfId="88"/>
    <cellStyle name="_excel報告書_97年營業競賽提案報告書_97年春節保全回收報告書_Book1_1-晉欣鮮食廠-2012年春節作業體制" xfId="89"/>
    <cellStyle name="_excel報告書_97年營業競賽提案報告書_97年春節保全回收報告書_春節作業手冊-981217" xfId="90"/>
    <cellStyle name="_excel報告書_97年營業競賽提案報告書_97年春節保全回收報告書_春節作業手冊-981217_1-晉欣鮮食廠-2012年春節作業體制" xfId="91"/>
    <cellStyle name="_excel報告書_97年營業競賽提案報告書_97年營業競賽提案報告書" xfId="92"/>
    <cellStyle name="_excel報告書_97年營業競賽提案報告書_97年營業競賽提案報告書_1-晉欣鮮食廠-2012年春節作業體制" xfId="93"/>
    <cellStyle name="_excel報告書_97年營業競賽提案報告書_97年營業競賽提案報告書_97年春節保全回收報告書" xfId="94"/>
    <cellStyle name="_excel報告書_97年營業競賽提案報告書_97年營業競賽提案報告書_97年春節保全回收報告書_1-晉欣鮮食廠-2012年春節作業體制" xfId="95"/>
    <cellStyle name="_excel報告書_97年營業競賽提案報告書_97年營業競賽提案報告書_97年春節保全回收報告書_Book1" xfId="96"/>
    <cellStyle name="_excel報告書_97年營業競賽提案報告書_97年營業競賽提案報告書_97年春節保全回收報告書_Book1_1-晉欣鮮食廠-2012年春節作業體制" xfId="97"/>
    <cellStyle name="_excel報告書_97年營業競賽提案報告書_97年營業競賽提案報告書_97年春節保全回收報告書_春節作業手冊-981217" xfId="98"/>
    <cellStyle name="_excel報告書_97年營業競賽提案報告書_97年營業競賽提案報告書_97年春節保全回收報告書_春節作業手冊-981217_1-晉欣鮮食廠-2012年春節作業體制" xfId="99"/>
    <cellStyle name="_excel報告書_97年營業競賽提案報告書_97年營業競賽提案報告書_97年營業競賽提案報告書" xfId="100"/>
    <cellStyle name="_excel報告書_97年營業競賽提案報告書_97年營業競賽提案報告書_97年營業競賽提案報告書_1-晉欣鮮食廠-2012年春節作業體制" xfId="101"/>
    <cellStyle name="_excel報告書_97年營業競賽提案報告書_97年營業競賽提案報告書_97年營業競賽提案報告書_97年春節保全回收報告書" xfId="102"/>
    <cellStyle name="_excel報告書_97年營業競賽提案報告書_97年營業競賽提案報告書_97年營業競賽提案報告書_97年春節保全回收報告書_1-晉欣鮮食廠-2012年春節作業體制" xfId="103"/>
    <cellStyle name="_excel報告書_97年營業競賽提案報告書_97年營業競賽提案報告書_97年營業競賽提案報告書_97年春節保全回收報告書_Book1" xfId="104"/>
    <cellStyle name="_excel報告書_97年營業競賽提案報告書_97年營業競賽提案報告書_97年營業競賽提案報告書_97年春節保全回收報告書_Book1_1-晉欣鮮食廠-2012年春節作業體制" xfId="105"/>
    <cellStyle name="_excel報告書_97年營業競賽提案報告書_97年營業競賽提案報告書_97年營業競賽提案報告書_97年春節保全回收報告書_春節作業手冊-981217" xfId="106"/>
    <cellStyle name="_excel報告書_97年營業競賽提案報告書_97年營業競賽提案報告書_97年營業競賽提案報告書_97年春節保全回收報告書_春節作業手冊-981217_1-晉欣鮮食廠-2012年春節作業體制" xfId="107"/>
    <cellStyle name="_excel報告書_97年營業競賽提案報告書_97年營業競賽提案報告書_97年營業競賽提案報告書_Book1" xfId="108"/>
    <cellStyle name="_excel報告書_97年營業競賽提案報告書_97年營業競賽提案報告書_97年營業競賽提案報告書_Book1_1-晉欣鮮食廠-2012年春節作業體制" xfId="109"/>
    <cellStyle name="_excel報告書_97年營業競賽提案報告書_97年營業競賽提案報告書_97年營業競賽提案報告書_春節作業手冊-981217" xfId="110"/>
    <cellStyle name="_excel報告書_97年營業競賽提案報告書_97年營業競賽提案報告書_97年營業競賽提案報告書_春節作業手冊-981217_1-晉欣鮮食廠-2012年春節作業體制" xfId="111"/>
    <cellStyle name="_excel報告書_97年營業競賽提案報告書_97年營業競賽提案報告書_Book1" xfId="112"/>
    <cellStyle name="_excel報告書_97年營業競賽提案報告書_97年營業競賽提案報告書_Book1_1-晉欣鮮食廠-2012年春節作業體制" xfId="113"/>
    <cellStyle name="_excel報告書_97年營業競賽提案報告書_97年營業競賽提案報告書_春節作業手冊-981217" xfId="114"/>
    <cellStyle name="_excel報告書_97年營業競賽提案報告書_97年營業競賽提案報告書_春節作業手冊-981217_1-晉欣鮮食廠-2012年春節作業體制" xfId="115"/>
    <cellStyle name="_excel報告書_97年營業競賽提案報告書_Book1" xfId="116"/>
    <cellStyle name="_excel報告書_97年營業競賽提案報告書_Book1_1-晉欣鮮食廠-2012年春節作業體制" xfId="117"/>
    <cellStyle name="_excel報告書_97年營業競賽提案報告書_春節作業手冊-981217" xfId="118"/>
    <cellStyle name="_excel報告書_97年營業競賽提案報告書_春節作業手冊-981217_1-晉欣鮮食廠-2012年春節作業體制" xfId="119"/>
    <cellStyle name="_excel報告書_Book1" xfId="120"/>
    <cellStyle name="_excel報告書_Book1_1-晉欣鮮食廠-2012年春節作業體制" xfId="121"/>
    <cellStyle name="_excel報告書_春節作業手冊-981217" xfId="122"/>
    <cellStyle name="_excel報告書_春節作業手冊-981217_1-晉欣鮮食廠-2012年春節作業體制" xfId="123"/>
    <cellStyle name="_日翊98年春節作業-To毓琦" xfId="124"/>
    <cellStyle name="_封閉型商圈日商" xfId="125"/>
    <cellStyle name="_封閉型商圈日商_1-晉欣鮮食廠-2012年春節作業體制" xfId="126"/>
    <cellStyle name="_封閉型商圈日商_97年春節保全回收報告書" xfId="127"/>
    <cellStyle name="_封閉型商圈日商_97年春節保全回收報告書_1-晉欣鮮食廠-2012年春節作業體制" xfId="128"/>
    <cellStyle name="_封閉型商圈日商_97年春節保全回收報告書_Book1" xfId="129"/>
    <cellStyle name="_封閉型商圈日商_97年春節保全回收報告書_Book1_1-晉欣鮮食廠-2012年春節作業體制" xfId="130"/>
    <cellStyle name="_封閉型商圈日商_97年春節保全回收報告書_春節作業手冊-981217" xfId="131"/>
    <cellStyle name="_封閉型商圈日商_97年春節保全回收報告書_春節作業手冊-981217_1-晉欣鮮食廠-2012年春節作業體制" xfId="132"/>
    <cellStyle name="_封閉型商圈日商_97年營業競賽提案報告書" xfId="133"/>
    <cellStyle name="_封閉型商圈日商_97年營業競賽提案報告書_1-晉欣鮮食廠-2012年春節作業體制" xfId="134"/>
    <cellStyle name="_封閉型商圈日商_97年營業競賽提案報告書_97年春節保全回收報告書" xfId="135"/>
    <cellStyle name="_封閉型商圈日商_97年營業競賽提案報告書_97年春節保全回收報告書_1-晉欣鮮食廠-2012年春節作業體制" xfId="136"/>
    <cellStyle name="_封閉型商圈日商_97年營業競賽提案報告書_97年春節保全回收報告書_Book1" xfId="137"/>
    <cellStyle name="_封閉型商圈日商_97年營業競賽提案報告書_97年春節保全回收報告書_Book1_1-晉欣鮮食廠-2012年春節作業體制" xfId="138"/>
    <cellStyle name="_封閉型商圈日商_97年營業競賽提案報告書_97年春節保全回收報告書_春節作業手冊-981217" xfId="139"/>
    <cellStyle name="_封閉型商圈日商_97年營業競賽提案報告書_97年春節保全回收報告書_春節作業手冊-981217_1-晉欣鮮食廠-2012年春節作業體制" xfId="140"/>
    <cellStyle name="_封閉型商圈日商_97年營業競賽提案報告書_97年營業競賽提案報告書" xfId="141"/>
    <cellStyle name="_封閉型商圈日商_97年營業競賽提案報告書_97年營業競賽提案報告書_1-晉欣鮮食廠-2012年春節作業體制" xfId="142"/>
    <cellStyle name="_封閉型商圈日商_97年營業競賽提案報告書_97年營業競賽提案報告書_97年春節保全回收報告書" xfId="143"/>
    <cellStyle name="_封閉型商圈日商_97年營業競賽提案報告書_97年營業競賽提案報告書_97年春節保全回收報告書_1-晉欣鮮食廠-2012年春節作業體制" xfId="144"/>
    <cellStyle name="_封閉型商圈日商_97年營業競賽提案報告書_97年營業競賽提案報告書_97年春節保全回收報告書_Book1" xfId="145"/>
    <cellStyle name="_封閉型商圈日商_97年營業競賽提案報告書_97年營業競賽提案報告書_97年春節保全回收報告書_Book1_1-晉欣鮮食廠-2012年春節作業體制" xfId="146"/>
    <cellStyle name="_封閉型商圈日商_97年營業競賽提案報告書_97年營業競賽提案報告書_97年春節保全回收報告書_春節作業手冊-981217" xfId="147"/>
    <cellStyle name="_封閉型商圈日商_97年營業競賽提案報告書_97年營業競賽提案報告書_97年春節保全回收報告書_春節作業手冊-981217_1-晉欣鮮食廠-2012年春節作業體制" xfId="148"/>
    <cellStyle name="_封閉型商圈日商_97年營業競賽提案報告書_97年營業競賽提案報告書_97年營業競賽提案報告書" xfId="149"/>
    <cellStyle name="_封閉型商圈日商_97年營業競賽提案報告書_97年營業競賽提案報告書_97年營業競賽提案報告書_1-晉欣鮮食廠-2012年春節作業體制" xfId="150"/>
    <cellStyle name="_封閉型商圈日商_97年營業競賽提案報告書_97年營業競賽提案報告書_97年營業競賽提案報告書_97年春節保全回收報告書" xfId="151"/>
    <cellStyle name="_封閉型商圈日商_97年營業競賽提案報告書_97年營業競賽提案報告書_97年營業競賽提案報告書_97年春節保全回收報告書_1-晉欣鮮食廠-2012年春節作業體制" xfId="152"/>
    <cellStyle name="_封閉型商圈日商_97年營業競賽提案報告書_97年營業競賽提案報告書_97年營業競賽提案報告書_97年春節保全回收報告書_Book1" xfId="153"/>
    <cellStyle name="_封閉型商圈日商_97年營業競賽提案報告書_97年營業競賽提案報告書_97年營業競賽提案報告書_97年春節保全回收報告書_Book1_1-晉欣鮮食廠-2012年春節作業體制" xfId="154"/>
    <cellStyle name="_封閉型商圈日商_97年營業競賽提案報告書_97年營業競賽提案報告書_97年營業競賽提案報告書_97年春節保全回收報告書_春節作業手冊-981217" xfId="155"/>
    <cellStyle name="_封閉型商圈日商_97年營業競賽提案報告書_97年營業競賽提案報告書_97年營業競賽提案報告書_97年春節保全回收報告書_春節作業手冊-981217_1-晉欣鮮食廠-2012年春節作業體制" xfId="156"/>
    <cellStyle name="_封閉型商圈日商_97年營業競賽提案報告書_97年營業競賽提案報告書_97年營業競賽提案報告書_Book1" xfId="157"/>
    <cellStyle name="_封閉型商圈日商_97年營業競賽提案報告書_97年營業競賽提案報告書_97年營業競賽提案報告書_Book1_1-晉欣鮮食廠-2012年春節作業體制" xfId="158"/>
    <cellStyle name="_封閉型商圈日商_97年營業競賽提案報告書_97年營業競賽提案報告書_97年營業競賽提案報告書_春節作業手冊-981217" xfId="159"/>
    <cellStyle name="_封閉型商圈日商_97年營業競賽提案報告書_97年營業競賽提案報告書_97年營業競賽提案報告書_春節作業手冊-981217_1-晉欣鮮食廠-2012年春節作業體制" xfId="160"/>
    <cellStyle name="_封閉型商圈日商_97年營業競賽提案報告書_97年營業競賽提案報告書_Book1" xfId="161"/>
    <cellStyle name="_封閉型商圈日商_97年營業競賽提案報告書_97年營業競賽提案報告書_Book1_1-晉欣鮮食廠-2012年春節作業體制" xfId="162"/>
    <cellStyle name="_封閉型商圈日商_97年營業競賽提案報告書_97年營業競賽提案報告書_春節作業手冊-981217" xfId="163"/>
    <cellStyle name="_封閉型商圈日商_97年營業競賽提案報告書_97年營業競賽提案報告書_春節作業手冊-981217_1-晉欣鮮食廠-2012年春節作業體制" xfId="164"/>
    <cellStyle name="_封閉型商圈日商_97年營業競賽提案報告書_Book1" xfId="165"/>
    <cellStyle name="_封閉型商圈日商_97年營業競賽提案報告書_Book1_1-晉欣鮮食廠-2012年春節作業體制" xfId="166"/>
    <cellStyle name="_封閉型商圈日商_97年營業競賽提案報告書_春節作業手冊-981217" xfId="167"/>
    <cellStyle name="_封閉型商圈日商_97年營業競賽提案報告書_春節作業手冊-981217_1-晉欣鮮食廠-2012年春節作業體制" xfId="168"/>
    <cellStyle name="_封閉型商圈日商_Book1" xfId="169"/>
    <cellStyle name="_封閉型商圈日商_Book1_1-晉欣鮮食廠-2012年春節作業體制" xfId="170"/>
    <cellStyle name="_封閉型商圈日商_春節作業手冊-981217" xfId="171"/>
    <cellStyle name="_封閉型商圈日商_春節作業手冊-981217_1-晉欣鮮食廠-2012年春節作業體制" xfId="172"/>
    <cellStyle name="_封閉型商圈日商-1" xfId="173"/>
    <cellStyle name="_封閉型商圈日商-1_1-晉欣鮮食廠-2012年春節作業體制" xfId="174"/>
    <cellStyle name="_封閉型商圈日商-1_97年春節保全回收報告書" xfId="175"/>
    <cellStyle name="_封閉型商圈日商-1_97年春節保全回收報告書_1-晉欣鮮食廠-2012年春節作業體制" xfId="176"/>
    <cellStyle name="_封閉型商圈日商-1_97年春節保全回收報告書_Book1" xfId="177"/>
    <cellStyle name="_封閉型商圈日商-1_97年春節保全回收報告書_Book1_1-晉欣鮮食廠-2012年春節作業體制" xfId="178"/>
    <cellStyle name="_封閉型商圈日商-1_97年春節保全回收報告書_春節作業手冊-981217" xfId="179"/>
    <cellStyle name="_封閉型商圈日商-1_97年春節保全回收報告書_春節作業手冊-981217_1-晉欣鮮食廠-2012年春節作業體制" xfId="180"/>
    <cellStyle name="_封閉型商圈日商-1_97年營業競賽提案報告書" xfId="181"/>
    <cellStyle name="_封閉型商圈日商-1_97年營業競賽提案報告書_1-晉欣鮮食廠-2012年春節作業體制" xfId="182"/>
    <cellStyle name="_封閉型商圈日商-1_97年營業競賽提案報告書_97年春節保全回收報告書" xfId="183"/>
    <cellStyle name="_封閉型商圈日商-1_97年營業競賽提案報告書_97年春節保全回收報告書_1-晉欣鮮食廠-2012年春節作業體制" xfId="184"/>
    <cellStyle name="_封閉型商圈日商-1_97年營業競賽提案報告書_97年春節保全回收報告書_Book1" xfId="185"/>
    <cellStyle name="_封閉型商圈日商-1_97年營業競賽提案報告書_97年春節保全回收報告書_Book1_1-晉欣鮮食廠-2012年春節作業體制" xfId="186"/>
    <cellStyle name="_封閉型商圈日商-1_97年營業競賽提案報告書_97年春節保全回收報告書_春節作業手冊-981217" xfId="187"/>
    <cellStyle name="_封閉型商圈日商-1_97年營業競賽提案報告書_97年春節保全回收報告書_春節作業手冊-981217_1-晉欣鮮食廠-2012年春節作業體制" xfId="188"/>
    <cellStyle name="_封閉型商圈日商-1_97年營業競賽提案報告書_97年營業競賽提案報告書" xfId="189"/>
    <cellStyle name="_封閉型商圈日商-1_97年營業競賽提案報告書_97年營業競賽提案報告書_1-晉欣鮮食廠-2012年春節作業體制" xfId="190"/>
    <cellStyle name="_封閉型商圈日商-1_97年營業競賽提案報告書_97年營業競賽提案報告書_97年春節保全回收報告書" xfId="191"/>
    <cellStyle name="_封閉型商圈日商-1_97年營業競賽提案報告書_97年營業競賽提案報告書_97年春節保全回收報告書_1-晉欣鮮食廠-2012年春節作業體制" xfId="192"/>
    <cellStyle name="_封閉型商圈日商-1_97年營業競賽提案報告書_97年營業競賽提案報告書_97年春節保全回收報告書_Book1" xfId="193"/>
    <cellStyle name="_封閉型商圈日商-1_97年營業競賽提案報告書_97年營業競賽提案報告書_97年春節保全回收報告書_Book1_1-晉欣鮮食廠-2012年春節作業體制" xfId="194"/>
    <cellStyle name="_封閉型商圈日商-1_97年營業競賽提案報告書_97年營業競賽提案報告書_97年春節保全回收報告書_春節作業手冊-981217" xfId="195"/>
    <cellStyle name="_封閉型商圈日商-1_97年營業競賽提案報告書_97年營業競賽提案報告書_97年春節保全回收報告書_春節作業手冊-981217_1-晉欣鮮食廠-2012年春節作業體制" xfId="196"/>
    <cellStyle name="_封閉型商圈日商-1_97年營業競賽提案報告書_97年營業競賽提案報告書_97年營業競賽提案報告書" xfId="197"/>
    <cellStyle name="_封閉型商圈日商-1_97年營業競賽提案報告書_97年營業競賽提案報告書_97年營業競賽提案報告書_1-晉欣鮮食廠-2012年春節作業體制" xfId="198"/>
    <cellStyle name="_封閉型商圈日商-1_97年營業競賽提案報告書_97年營業競賽提案報告書_97年營業競賽提案報告書_97年春節保全回收報告書" xfId="199"/>
    <cellStyle name="_封閉型商圈日商-1_97年營業競賽提案報告書_97年營業競賽提案報告書_97年營業競賽提案報告書_97年春節保全回收報告書_1-晉欣鮮食廠-2012年春節作業體制" xfId="200"/>
    <cellStyle name="_封閉型商圈日商-1_97年營業競賽提案報告書_97年營業競賽提案報告書_97年營業競賽提案報告書_97年春節保全回收報告書_Book1" xfId="201"/>
    <cellStyle name="_封閉型商圈日商-1_97年營業競賽提案報告書_97年營業競賽提案報告書_97年營業競賽提案報告書_97年春節保全回收報告書_Book1_1-晉欣鮮食廠-2012年春節作業體制" xfId="202"/>
    <cellStyle name="_封閉型商圈日商-1_97年營業競賽提案報告書_97年營業競賽提案報告書_97年營業競賽提案報告書_97年春節保全回收報告書_春節作業手冊-981217" xfId="203"/>
    <cellStyle name="_封閉型商圈日商-1_97年營業競賽提案報告書_97年營業競賽提案報告書_97年營業競賽提案報告書_97年春節保全回收報告書_春節作業手冊-981217_1-晉欣鮮食廠-2012年春節作業體制" xfId="204"/>
    <cellStyle name="_封閉型商圈日商-1_97年營業競賽提案報告書_97年營業競賽提案報告書_97年營業競賽提案報告書_Book1" xfId="205"/>
    <cellStyle name="_封閉型商圈日商-1_97年營業競賽提案報告書_97年營業競賽提案報告書_97年營業競賽提案報告書_Book1_1-晉欣鮮食廠-2012年春節作業體制" xfId="206"/>
    <cellStyle name="_封閉型商圈日商-1_97年營業競賽提案報告書_97年營業競賽提案報告書_97年營業競賽提案報告書_春節作業手冊-981217" xfId="207"/>
    <cellStyle name="_封閉型商圈日商-1_97年營業競賽提案報告書_97年營業競賽提案報告書_97年營業競賽提案報告書_春節作業手冊-981217_1-晉欣鮮食廠-2012年春節作業體制" xfId="208"/>
    <cellStyle name="_封閉型商圈日商-1_97年營業競賽提案報告書_97年營業競賽提案報告書_Book1" xfId="209"/>
    <cellStyle name="_封閉型商圈日商-1_97年營業競賽提案報告書_97年營業競賽提案報告書_Book1_1-晉欣鮮食廠-2012年春節作業體制" xfId="210"/>
    <cellStyle name="_封閉型商圈日商-1_97年營業競賽提案報告書_97年營業競賽提案報告書_春節作業手冊-981217" xfId="211"/>
    <cellStyle name="_封閉型商圈日商-1_97年營業競賽提案報告書_97年營業競賽提案報告書_春節作業手冊-981217_1-晉欣鮮食廠-2012年春節作業體制" xfId="212"/>
    <cellStyle name="_封閉型商圈日商-1_97年營業競賽提案報告書_Book1" xfId="213"/>
    <cellStyle name="_封閉型商圈日商-1_97年營業競賽提案報告書_Book1_1-晉欣鮮食廠-2012年春節作業體制" xfId="214"/>
    <cellStyle name="_封閉型商圈日商-1_97年營業競賽提案報告書_春節作業手冊-981217" xfId="215"/>
    <cellStyle name="_封閉型商圈日商-1_97年營業競賽提案報告書_春節作業手冊-981217_1-晉欣鮮食廠-2012年春節作業體制" xfId="216"/>
    <cellStyle name="_封閉型商圈日商-1_Book1" xfId="217"/>
    <cellStyle name="_封閉型商圈日商-1_Book1_1-晉欣鮮食廠-2012年春節作業體制" xfId="218"/>
    <cellStyle name="_封閉型商圈日商-1_春節作業手冊-981217" xfId="219"/>
    <cellStyle name="_封閉型商圈日商-1_春節作業手冊-981217_1-晉欣鮮食廠-2012年春節作業體制" xfId="220"/>
    <cellStyle name="_封閉型商圈店舖明細" xfId="221"/>
    <cellStyle name="_封閉型商圈店舖明細_1-晉欣鮮食廠-2012年春節作業體制" xfId="222"/>
    <cellStyle name="_封閉型商圈店舖明細_97年春節保全回收報告書" xfId="223"/>
    <cellStyle name="_封閉型商圈店舖明細_97年春節保全回收報告書_1-晉欣鮮食廠-2012年春節作業體制" xfId="224"/>
    <cellStyle name="_封閉型商圈店舖明細_97年春節保全回收報告書_Book1" xfId="225"/>
    <cellStyle name="_封閉型商圈店舖明細_97年春節保全回收報告書_Book1_1-晉欣鮮食廠-2012年春節作業體制" xfId="226"/>
    <cellStyle name="_封閉型商圈店舖明細_97年春節保全回收報告書_春節作業手冊-981217" xfId="227"/>
    <cellStyle name="_封閉型商圈店舖明細_97年春節保全回收報告書_春節作業手冊-981217_1-晉欣鮮食廠-2012年春節作業體制" xfId="228"/>
    <cellStyle name="_封閉型商圈店舖明細_97年營業競賽提案報告書" xfId="229"/>
    <cellStyle name="_封閉型商圈店舖明細_97年營業競賽提案報告書_1-晉欣鮮食廠-2012年春節作業體制" xfId="230"/>
    <cellStyle name="_封閉型商圈店舖明細_97年營業競賽提案報告書_97年春節保全回收報告書" xfId="231"/>
    <cellStyle name="_封閉型商圈店舖明細_97年營業競賽提案報告書_97年春節保全回收報告書_1-晉欣鮮食廠-2012年春節作業體制" xfId="232"/>
    <cellStyle name="_封閉型商圈店舖明細_97年營業競賽提案報告書_97年春節保全回收報告書_Book1" xfId="233"/>
    <cellStyle name="_封閉型商圈店舖明細_97年營業競賽提案報告書_97年春節保全回收報告書_Book1_1-晉欣鮮食廠-2012年春節作業體制" xfId="234"/>
    <cellStyle name="_封閉型商圈店舖明細_97年營業競賽提案報告書_97年春節保全回收報告書_春節作業手冊-981217" xfId="235"/>
    <cellStyle name="_封閉型商圈店舖明細_97年營業競賽提案報告書_97年春節保全回收報告書_春節作業手冊-981217_1-晉欣鮮食廠-2012年春節作業體制" xfId="236"/>
    <cellStyle name="_封閉型商圈店舖明細_97年營業競賽提案報告書_97年營業競賽提案報告書" xfId="237"/>
    <cellStyle name="_封閉型商圈店舖明細_97年營業競賽提案報告書_97年營業競賽提案報告書_1-晉欣鮮食廠-2012年春節作業體制" xfId="238"/>
    <cellStyle name="_封閉型商圈店舖明細_97年營業競賽提案報告書_97年營業競賽提案報告書_97年春節保全回收報告書" xfId="239"/>
    <cellStyle name="_封閉型商圈店舖明細_97年營業競賽提案報告書_97年營業競賽提案報告書_97年春節保全回收報告書_1-晉欣鮮食廠-2012年春節作業體制" xfId="240"/>
    <cellStyle name="_封閉型商圈店舖明細_97年營業競賽提案報告書_97年營業競賽提案報告書_97年春節保全回收報告書_Book1" xfId="241"/>
    <cellStyle name="_封閉型商圈店舖明細_97年營業競賽提案報告書_97年營業競賽提案報告書_97年春節保全回收報告書_Book1_1-晉欣鮮食廠-2012年春節作業體制" xfId="242"/>
    <cellStyle name="_封閉型商圈店舖明細_97年營業競賽提案報告書_97年營業競賽提案報告書_97年春節保全回收報告書_春節作業手冊-981217" xfId="243"/>
    <cellStyle name="_封閉型商圈店舖明細_97年營業競賽提案報告書_97年營業競賽提案報告書_97年春節保全回收報告書_春節作業手冊-981217_1-晉欣鮮食廠-2012年春節作業體制" xfId="244"/>
    <cellStyle name="_封閉型商圈店舖明細_97年營業競賽提案報告書_97年營業競賽提案報告書_97年營業競賽提案報告書" xfId="245"/>
    <cellStyle name="_封閉型商圈店舖明細_97年營業競賽提案報告書_97年營業競賽提案報告書_97年營業競賽提案報告書_1-晉欣鮮食廠-2012年春節作業體制" xfId="246"/>
    <cellStyle name="_封閉型商圈店舖明細_97年營業競賽提案報告書_97年營業競賽提案報告書_97年營業競賽提案報告書_97年春節保全回收報告書" xfId="247"/>
    <cellStyle name="_封閉型商圈店舖明細_97年營業競賽提案報告書_97年營業競賽提案報告書_97年營業競賽提案報告書_97年春節保全回收報告書_1-晉欣鮮食廠-2012年春節作業體制" xfId="248"/>
    <cellStyle name="_封閉型商圈店舖明細_97年營業競賽提案報告書_97年營業競賽提案報告書_97年營業競賽提案報告書_97年春節保全回收報告書_Book1" xfId="249"/>
    <cellStyle name="_封閉型商圈店舖明細_97年營業競賽提案報告書_97年營業競賽提案報告書_97年營業競賽提案報告書_97年春節保全回收報告書_Book1_1-晉欣鮮食廠-2012年春節作業體制" xfId="250"/>
    <cellStyle name="_封閉型商圈店舖明細_97年營業競賽提案報告書_97年營業競賽提案報告書_97年營業競賽提案報告書_97年春節保全回收報告書_春節作業手冊-981217" xfId="251"/>
    <cellStyle name="_封閉型商圈店舖明細_97年營業競賽提案報告書_97年營業競賽提案報告書_97年營業競賽提案報告書_97年春節保全回收報告書_春節作業手冊-981217_1-晉欣鮮食廠-2012年春節作業體制" xfId="252"/>
    <cellStyle name="_封閉型商圈店舖明細_97年營業競賽提案報告書_97年營業競賽提案報告書_97年營業競賽提案報告書_Book1" xfId="253"/>
    <cellStyle name="_封閉型商圈店舖明細_97年營業競賽提案報告書_97年營業競賽提案報告書_97年營業競賽提案報告書_Book1_1-晉欣鮮食廠-2012年春節作業體制" xfId="254"/>
    <cellStyle name="_封閉型商圈店舖明細_97年營業競賽提案報告書_97年營業競賽提案報告書_97年營業競賽提案報告書_春節作業手冊-981217" xfId="255"/>
    <cellStyle name="_封閉型商圈店舖明細_97年營業競賽提案報告書_97年營業競賽提案報告書_97年營業競賽提案報告書_春節作業手冊-981217_1-晉欣鮮食廠-2012年春節作業體制" xfId="256"/>
    <cellStyle name="_封閉型商圈店舖明細_97年營業競賽提案報告書_97年營業競賽提案報告書_Book1" xfId="257"/>
    <cellStyle name="_封閉型商圈店舖明細_97年營業競賽提案報告書_97年營業競賽提案報告書_Book1_1-晉欣鮮食廠-2012年春節作業體制" xfId="258"/>
    <cellStyle name="_封閉型商圈店舖明細_97年營業競賽提案報告書_97年營業競賽提案報告書_春節作業手冊-981217" xfId="259"/>
    <cellStyle name="_封閉型商圈店舖明細_97年營業競賽提案報告書_97年營業競賽提案報告書_春節作業手冊-981217_1-晉欣鮮食廠-2012年春節作業體制" xfId="260"/>
    <cellStyle name="_封閉型商圈店舖明細_97年營業競賽提案報告書_Book1" xfId="261"/>
    <cellStyle name="_封閉型商圈店舖明細_97年營業競賽提案報告書_Book1_1-晉欣鮮食廠-2012年春節作業體制" xfId="262"/>
    <cellStyle name="_封閉型商圈店舖明細_97年營業競賽提案報告書_春節作業手冊-981217" xfId="263"/>
    <cellStyle name="_封閉型商圈店舖明細_97年營業競賽提案報告書_春節作業手冊-981217_1-晉欣鮮食廠-2012年春節作業體制" xfId="264"/>
    <cellStyle name="_封閉型商圈店舖明細_Book1" xfId="265"/>
    <cellStyle name="_封閉型商圈店舖明細_Book1_1-晉欣鮮食廠-2012年春節作業體制" xfId="266"/>
    <cellStyle name="_封閉型商圈店舖明細_春節作業手冊-981217" xfId="267"/>
    <cellStyle name="_封閉型商圈店舖明細_春節作業手冊-981217_1-晉欣鮮食廠-2012年春節作業體制" xfId="268"/>
    <cellStyle name="_封閉型商圈建議台整品項" xfId="269"/>
    <cellStyle name="_封閉型商圈建議台整品項_1-晉欣鮮食廠-2012年春節作業體制" xfId="270"/>
    <cellStyle name="_封閉型商圈建議台整品項_97年春節保全回收報告書" xfId="271"/>
    <cellStyle name="_封閉型商圈建議台整品項_97年春節保全回收報告書_1-晉欣鮮食廠-2012年春節作業體制" xfId="272"/>
    <cellStyle name="_封閉型商圈建議台整品項_97年春節保全回收報告書_Book1" xfId="273"/>
    <cellStyle name="_封閉型商圈建議台整品項_97年春節保全回收報告書_Book1_1-晉欣鮮食廠-2012年春節作業體制" xfId="274"/>
    <cellStyle name="_封閉型商圈建議台整品項_97年春節保全回收報告書_春節作業手冊-981217" xfId="275"/>
    <cellStyle name="_封閉型商圈建議台整品項_97年春節保全回收報告書_春節作業手冊-981217_1-晉欣鮮食廠-2012年春節作業體制" xfId="276"/>
    <cellStyle name="_封閉型商圈建議台整品項_97年營業競賽提案報告書" xfId="277"/>
    <cellStyle name="_封閉型商圈建議台整品項_97年營業競賽提案報告書_1-晉欣鮮食廠-2012年春節作業體制" xfId="278"/>
    <cellStyle name="_封閉型商圈建議台整品項_97年營業競賽提案報告書_97年春節保全回收報告書" xfId="279"/>
    <cellStyle name="_封閉型商圈建議台整品項_97年營業競賽提案報告書_97年春節保全回收報告書_1-晉欣鮮食廠-2012年春節作業體制" xfId="280"/>
    <cellStyle name="_封閉型商圈建議台整品項_97年營業競賽提案報告書_97年春節保全回收報告書_Book1" xfId="281"/>
    <cellStyle name="_封閉型商圈建議台整品項_97年營業競賽提案報告書_97年春節保全回收報告書_Book1_1-晉欣鮮食廠-2012年春節作業體制" xfId="282"/>
    <cellStyle name="_封閉型商圈建議台整品項_97年營業競賽提案報告書_97年春節保全回收報告書_春節作業手冊-981217" xfId="283"/>
    <cellStyle name="_封閉型商圈建議台整品項_97年營業競賽提案報告書_97年春節保全回收報告書_春節作業手冊-981217_1-晉欣鮮食廠-2012年春節作業體制" xfId="284"/>
    <cellStyle name="_封閉型商圈建議台整品項_97年營業競賽提案報告書_97年營業競賽提案報告書" xfId="285"/>
    <cellStyle name="_封閉型商圈建議台整品項_97年營業競賽提案報告書_97年營業競賽提案報告書_1-晉欣鮮食廠-2012年春節作業體制" xfId="286"/>
    <cellStyle name="_封閉型商圈建議台整品項_97年營業競賽提案報告書_97年營業競賽提案報告書_97年春節保全回收報告書" xfId="287"/>
    <cellStyle name="_封閉型商圈建議台整品項_97年營業競賽提案報告書_97年營業競賽提案報告書_97年春節保全回收報告書_1-晉欣鮮食廠-2012年春節作業體制" xfId="288"/>
    <cellStyle name="_封閉型商圈建議台整品項_97年營業競賽提案報告書_97年營業競賽提案報告書_97年春節保全回收報告書_Book1" xfId="289"/>
    <cellStyle name="_封閉型商圈建議台整品項_97年營業競賽提案報告書_97年營業競賽提案報告書_97年春節保全回收報告書_Book1_1-晉欣鮮食廠-2012年春節作業體制" xfId="290"/>
    <cellStyle name="_封閉型商圈建議台整品項_97年營業競賽提案報告書_97年營業競賽提案報告書_97年春節保全回收報告書_春節作業手冊-981217" xfId="291"/>
    <cellStyle name="_封閉型商圈建議台整品項_97年營業競賽提案報告書_97年營業競賽提案報告書_97年春節保全回收報告書_春節作業手冊-981217_1-晉欣鮮食廠-2012年春節作業體制" xfId="292"/>
    <cellStyle name="_封閉型商圈建議台整品項_97年營業競賽提案報告書_97年營業競賽提案報告書_97年營業競賽提案報告書" xfId="293"/>
    <cellStyle name="_封閉型商圈建議台整品項_97年營業競賽提案報告書_97年營業競賽提案報告書_97年營業競賽提案報告書_1-晉欣鮮食廠-2012年春節作業體制" xfId="294"/>
    <cellStyle name="_封閉型商圈建議台整品項_97年營業競賽提案報告書_97年營業競賽提案報告書_97年營業競賽提案報告書_97年春節保全回收報告書" xfId="295"/>
    <cellStyle name="_封閉型商圈建議台整品項_97年營業競賽提案報告書_97年營業競賽提案報告書_97年營業競賽提案報告書_97年春節保全回收報告書_1-晉欣鮮食廠-2012年春節作業體制" xfId="296"/>
    <cellStyle name="_封閉型商圈建議台整品項_97年營業競賽提案報告書_97年營業競賽提案報告書_97年營業競賽提案報告書_97年春節保全回收報告書_Book1" xfId="297"/>
    <cellStyle name="_封閉型商圈建議台整品項_97年營業競賽提案報告書_97年營業競賽提案報告書_97年營業競賽提案報告書_97年春節保全回收報告書_Book1_1-晉欣鮮食廠-2012年春節作業體制" xfId="298"/>
    <cellStyle name="_封閉型商圈建議台整品項_97年營業競賽提案報告書_97年營業競賽提案報告書_97年營業競賽提案報告書_97年春節保全回收報告書_春節作業手冊-981217" xfId="299"/>
    <cellStyle name="_封閉型商圈建議台整品項_97年營業競賽提案報告書_97年營業競賽提案報告書_97年營業競賽提案報告書_97年春節保全回收報告書_春節作業手冊-981217_1-晉欣鮮食廠-2012年春節作業體制" xfId="300"/>
    <cellStyle name="_封閉型商圈建議台整品項_97年營業競賽提案報告書_97年營業競賽提案報告書_97年營業競賽提案報告書_Book1" xfId="301"/>
    <cellStyle name="_封閉型商圈建議台整品項_97年營業競賽提案報告書_97年營業競賽提案報告書_97年營業競賽提案報告書_Book1_1-晉欣鮮食廠-2012年春節作業體制" xfId="302"/>
    <cellStyle name="_封閉型商圈建議台整品項_97年營業競賽提案報告書_97年營業競賽提案報告書_97年營業競賽提案報告書_春節作業手冊-981217" xfId="303"/>
    <cellStyle name="_封閉型商圈建議台整品項_97年營業競賽提案報告書_97年營業競賽提案報告書_97年營業競賽提案報告書_春節作業手冊-981217_1-晉欣鮮食廠-2012年春節作業體制" xfId="304"/>
    <cellStyle name="_封閉型商圈建議台整品項_97年營業競賽提案報告書_97年營業競賽提案報告書_Book1" xfId="305"/>
    <cellStyle name="_封閉型商圈建議台整品項_97年營業競賽提案報告書_97年營業競賽提案報告書_Book1_1-晉欣鮮食廠-2012年春節作業體制" xfId="306"/>
    <cellStyle name="_封閉型商圈建議台整品項_97年營業競賽提案報告書_97年營業競賽提案報告書_春節作業手冊-981217" xfId="307"/>
    <cellStyle name="_封閉型商圈建議台整品項_97年營業競賽提案報告書_97年營業競賽提案報告書_春節作業手冊-981217_1-晉欣鮮食廠-2012年春節作業體制" xfId="308"/>
    <cellStyle name="_封閉型商圈建議台整品項_97年營業競賽提案報告書_Book1" xfId="309"/>
    <cellStyle name="_封閉型商圈建議台整品項_97年營業競賽提案報告書_Book1_1-晉欣鮮食廠-2012年春節作業體制" xfId="310"/>
    <cellStyle name="_封閉型商圈建議台整品項_97年營業競賽提案報告書_春節作業手冊-981217" xfId="311"/>
    <cellStyle name="_封閉型商圈建議台整品項_97年營業競賽提案報告書_春節作業手冊-981217_1-晉欣鮮食廠-2012年春節作業體制" xfId="312"/>
    <cellStyle name="_封閉型商圈建議台整品項_Book1" xfId="313"/>
    <cellStyle name="_封閉型商圈建議台整品項_Book1_1-晉欣鮮食廠-2012年春節作業體制" xfId="314"/>
    <cellStyle name="_封閉型商圈建議台整品項_春節作業手冊-981217" xfId="315"/>
    <cellStyle name="_封閉型商圈建議台整品項_春節作業手冊-981217_1-晉欣鮮食廠-2012年春節作業體制" xfId="316"/>
    <cellStyle name="_樂清9507租賃用品申請" xfId="317"/>
    <cellStyle name="_樂清9507租賃用品申請_1-晉欣鮮食廠-2012年春節作業體制" xfId="318"/>
    <cellStyle name="_樂清9507租賃用品申請_96年月餅預購競賽獎勵案" xfId="319"/>
    <cellStyle name="_樂清9507租賃用品申請_96年月餅預購競賽獎勵案_1-晉欣鮮食廠-2012年春節作業體制" xfId="320"/>
    <cellStyle name="_樂清9507租賃用品申請_96年月餅預購競賽獎勵案_96年月餅預購競賽獎勵案" xfId="321"/>
    <cellStyle name="_樂清9507租賃用品申請_96年月餅預購競賽獎勵案_96年月餅預購競賽獎勵案_1-晉欣鮮食廠-2012年春節作業體制" xfId="322"/>
    <cellStyle name="_樂清9507租賃用品申請_96年月餅預購競賽獎勵案_96年月餅預購競賽獎勵案_97年春節保全回收報告書" xfId="323"/>
    <cellStyle name="_樂清9507租賃用品申請_96年月餅預購競賽獎勵案_96年月餅預購競賽獎勵案_97年春節保全回收報告書_1-晉欣鮮食廠-2012年春節作業體制" xfId="324"/>
    <cellStyle name="_樂清9507租賃用品申請_96年月餅預購競賽獎勵案_96年月餅預購競賽獎勵案_97年春節保全回收報告書_Book1" xfId="325"/>
    <cellStyle name="_樂清9507租賃用品申請_96年月餅預購競賽獎勵案_96年月餅預購競賽獎勵案_97年春節保全回收報告書_Book1_1-晉欣鮮食廠-2012年春節作業體制" xfId="326"/>
    <cellStyle name="_樂清9507租賃用品申請_96年月餅預購競賽獎勵案_96年月餅預購競賽獎勵案_97年春節保全回收報告書_春節作業手冊-981217" xfId="327"/>
    <cellStyle name="_樂清9507租賃用品申請_96年月餅預購競賽獎勵案_96年月餅預購競賽獎勵案_97年春節保全回收報告書_春節作業手冊-981217_1-晉欣鮮食廠-2012年春節作業體制" xfId="328"/>
    <cellStyle name="_樂清9507租賃用品申請_96年月餅預購競賽獎勵案_96年月餅預購競賽獎勵案_97年營業競賽提案報告書" xfId="329"/>
    <cellStyle name="_樂清9507租賃用品申請_96年月餅預購競賽獎勵案_96年月餅預購競賽獎勵案_97年營業競賽提案報告書_1-晉欣鮮食廠-2012年春節作業體制" xfId="330"/>
    <cellStyle name="_樂清9507租賃用品申請_96年月餅預購競賽獎勵案_96年月餅預購競賽獎勵案_97年營業競賽提案報告書_97年春節保全回收報告書" xfId="331"/>
    <cellStyle name="_樂清9507租賃用品申請_96年月餅預購競賽獎勵案_96年月餅預購競賽獎勵案_97年營業競賽提案報告書_97年春節保全回收報告書_1-晉欣鮮食廠-2012年春節作業體制" xfId="332"/>
    <cellStyle name="_樂清9507租賃用品申請_96年月餅預購競賽獎勵案_96年月餅預購競賽獎勵案_97年營業競賽提案報告書_97年春節保全回收報告書_Book1" xfId="333"/>
    <cellStyle name="_樂清9507租賃用品申請_96年月餅預購競賽獎勵案_96年月餅預購競賽獎勵案_97年營業競賽提案報告書_97年春節保全回收報告書_Book1_1-晉欣鮮食廠-2012年春節作業體制" xfId="334"/>
    <cellStyle name="_樂清9507租賃用品申請_96年月餅預購競賽獎勵案_96年月餅預購競賽獎勵案_97年營業競賽提案報告書_97年春節保全回收報告書_春節作業手冊-981217" xfId="335"/>
    <cellStyle name="_樂清9507租賃用品申請_96年月餅預購競賽獎勵案_96年月餅預購競賽獎勵案_97年營業競賽提案報告書_97年春節保全回收報告書_春節作業手冊-981217_1-晉欣鮮食廠-2012年春節作業體制" xfId="336"/>
    <cellStyle name="_樂清9507租賃用品申請_96年月餅預購競賽獎勵案_96年月餅預購競賽獎勵案_97年營業競賽提案報告書_97年營業競賽提案報告書" xfId="337"/>
    <cellStyle name="_樂清9507租賃用品申請_96年月餅預購競賽獎勵案_96年月餅預購競賽獎勵案_97年營業競賽提案報告書_97年營業競賽提案報告書_1-晉欣鮮食廠-2012年春節作業體制" xfId="338"/>
    <cellStyle name="_樂清9507租賃用品申請_96年月餅預購競賽獎勵案_96年月餅預購競賽獎勵案_97年營業競賽提案報告書_97年營業競賽提案報告書_97年春節保全回收報告書" xfId="339"/>
    <cellStyle name="_樂清9507租賃用品申請_96年月餅預購競賽獎勵案_96年月餅預購競賽獎勵案_97年營業競賽提案報告書_97年營業競賽提案報告書_97年春節保全回收報告書_1-晉欣鮮食廠-2012年春節作業體制" xfId="340"/>
    <cellStyle name="_樂清9507租賃用品申請_96年月餅預購競賽獎勵案_96年月餅預購競賽獎勵案_97年營業競賽提案報告書_97年營業競賽提案報告書_97年春節保全回收報告書_Book1" xfId="341"/>
    <cellStyle name="_樂清9507租賃用品申請_96年月餅預購競賽獎勵案_96年月餅預購競賽獎勵案_97年營業競賽提案報告書_97年營業競賽提案報告書_97年春節保全回收報告書_Book1_1-晉欣鮮食廠-2012年春節作業體制" xfId="342"/>
    <cellStyle name="_樂清9507租賃用品申請_96年月餅預購競賽獎勵案_96年月餅預購競賽獎勵案_97年營業競賽提案報告書_97年營業競賽提案報告書_97年春節保全回收報告書_春節作業手冊-981217" xfId="343"/>
    <cellStyle name="_樂清9507租賃用品申請_96年月餅預購競賽獎勵案_96年月餅預購競賽獎勵案_97年營業競賽提案報告書_97年營業競賽提案報告書_97年春節保全回收報告書_春節作業手冊-981217_1-晉欣鮮食廠-2012年春節作業體制" xfId="344"/>
    <cellStyle name="_樂清9507租賃用品申請_96年月餅預購競賽獎勵案_96年月餅預購競賽獎勵案_97年營業競賽提案報告書_97年營業競賽提案報告書_97年營業競賽提案報告書" xfId="345"/>
    <cellStyle name="_樂清9507租賃用品申請_96年月餅預購競賽獎勵案_96年月餅預購競賽獎勵案_97年營業競賽提案報告書_97年營業競賽提案報告書_97年營業競賽提案報告書_1-晉欣鮮食廠-2012年春節作業體制" xfId="346"/>
    <cellStyle name="_樂清9507租賃用品申請_96年月餅預購競賽獎勵案_96年月餅預購競賽獎勵案_97年營業競賽提案報告書_97年營業競賽提案報告書_97年營業競賽提案報告書_97年春節保全回收報告書" xfId="347"/>
    <cellStyle name="_樂清9507租賃用品申請_96年月餅預購競賽獎勵案_96年月餅預購競賽獎勵案_97年營業競賽提案報告書_97年營業競賽提案報告書_97年營業競賽提案報告書_97年春節保全回收報告書_1-晉欣鮮食廠-2012年春節作業體制" xfId="348"/>
    <cellStyle name="_樂清9507租賃用品申請_96年月餅預購競賽獎勵案_96年月餅預購競賽獎勵案_97年營業競賽提案報告書_97年營業競賽提案報告書_97年營業競賽提案報告書_97年春節保全回收報告書_Book1" xfId="349"/>
    <cellStyle name="_樂清9507租賃用品申請_96年月餅預購競賽獎勵案_96年月餅預購競賽獎勵案_97年營業競賽提案報告書_97年營業競賽提案報告書_97年營業競賽提案報告書_97年春節保全回收報告書_Book1_1-晉欣鮮食廠-2012年春節作業體制" xfId="350"/>
    <cellStyle name="_樂清9507租賃用品申請_96年月餅預購競賽獎勵案_96年月餅預購競賽獎勵案_97年營業競賽提案報告書_97年營業競賽提案報告書_97年營業競賽提案報告書_97年春節保全回收報告書_春節作業手冊-981217" xfId="351"/>
    <cellStyle name="_樂清9507租賃用品申請_96年月餅預購競賽獎勵案_96年月餅預購競賽獎勵案_97年營業競賽提案報告書_97年營業競賽提案報告書_97年營業競賽提案報告書_97年春節保全回收報告書_春節作業手冊-981217_1-晉欣鮮食廠-2012年春節作業體制" xfId="352"/>
    <cellStyle name="_樂清9507租賃用品申請_96年月餅預購競賽獎勵案_96年月餅預購競賽獎勵案_97年營業競賽提案報告書_97年營業競賽提案報告書_97年營業競賽提案報告書_Book1" xfId="353"/>
    <cellStyle name="_樂清9507租賃用品申請_96年月餅預購競賽獎勵案_96年月餅預購競賽獎勵案_97年營業競賽提案報告書_97年營業競賽提案報告書_97年營業競賽提案報告書_Book1_1-晉欣鮮食廠-2012年春節作業體制" xfId="354"/>
    <cellStyle name="_樂清9507租賃用品申請_96年月餅預購競賽獎勵案_96年月餅預購競賽獎勵案_97年營業競賽提案報告書_97年營業競賽提案報告書_97年營業競賽提案報告書_春節作業手冊-981217" xfId="355"/>
    <cellStyle name="_樂清9507租賃用品申請_96年月餅預購競賽獎勵案_96年月餅預購競賽獎勵案_97年營業競賽提案報告書_97年營業競賽提案報告書_97年營業競賽提案報告書_春節作業手冊-981217_1-晉欣鮮食廠-2012年春節作業體制" xfId="356"/>
    <cellStyle name="_樂清9507租賃用品申請_96年月餅預購競賽獎勵案_96年月餅預購競賽獎勵案_97年營業競賽提案報告書_97年營業競賽提案報告書_Book1" xfId="357"/>
    <cellStyle name="_樂清9507租賃用品申請_96年月餅預購競賽獎勵案_96年月餅預購競賽獎勵案_97年營業競賽提案報告書_97年營業競賽提案報告書_Book1_1-晉欣鮮食廠-2012年春節作業體制" xfId="358"/>
    <cellStyle name="_樂清9507租賃用品申請_96年月餅預購競賽獎勵案_96年月餅預購競賽獎勵案_97年營業競賽提案報告書_97年營業競賽提案報告書_春節作業手冊-981217" xfId="359"/>
    <cellStyle name="_樂清9507租賃用品申請_96年月餅預購競賽獎勵案_96年月餅預購競賽獎勵案_97年營業競賽提案報告書_97年營業競賽提案報告書_春節作業手冊-981217_1-晉欣鮮食廠-2012年春節作業體制" xfId="360"/>
    <cellStyle name="_樂清9507租賃用品申請_96年月餅預購競賽獎勵案_96年月餅預購競賽獎勵案_97年營業競賽提案報告書_Book1" xfId="361"/>
    <cellStyle name="_樂清9507租賃用品申請_96年月餅預購競賽獎勵案_96年月餅預購競賽獎勵案_97年營業競賽提案報告書_Book1_1-晉欣鮮食廠-2012年春節作業體制" xfId="362"/>
    <cellStyle name="_樂清9507租賃用品申請_96年月餅預購競賽獎勵案_96年月餅預購競賽獎勵案_97年營業競賽提案報告書_春節作業手冊-981217" xfId="363"/>
    <cellStyle name="_樂清9507租賃用品申請_96年月餅預購競賽獎勵案_96年月餅預購競賽獎勵案_97年營業競賽提案報告書_春節作業手冊-981217_1-晉欣鮮食廠-2012年春節作業體制" xfId="364"/>
    <cellStyle name="_樂清9507租賃用品申請_96年月餅預購競賽獎勵案_96年月餅預購競賽獎勵案_Book1" xfId="365"/>
    <cellStyle name="_樂清9507租賃用品申請_96年月餅預購競賽獎勵案_96年月餅預購競賽獎勵案_Book1_1-晉欣鮮食廠-2012年春節作業體制" xfId="366"/>
    <cellStyle name="_樂清9507租賃用品申請_96年月餅預購競賽獎勵案_96年月餅預購競賽獎勵案_春節作業手冊-981217" xfId="367"/>
    <cellStyle name="_樂清9507租賃用品申請_96年月餅預購競賽獎勵案_96年月餅預購競賽獎勵案_春節作業手冊-981217_1-晉欣鮮食廠-2012年春節作業體制" xfId="368"/>
    <cellStyle name="_樂清9507租賃用品申請_96年月餅預購競賽獎勵案_97年春節保全回收報告書" xfId="369"/>
    <cellStyle name="_樂清9507租賃用品申請_96年月餅預購競賽獎勵案_97年春節保全回收報告書_1-晉欣鮮食廠-2012年春節作業體制" xfId="370"/>
    <cellStyle name="_樂清9507租賃用品申請_96年月餅預購競賽獎勵案_97年春節保全回收報告書_Book1" xfId="371"/>
    <cellStyle name="_樂清9507租賃用品申請_96年月餅預購競賽獎勵案_97年春節保全回收報告書_Book1_1-晉欣鮮食廠-2012年春節作業體制" xfId="372"/>
    <cellStyle name="_樂清9507租賃用品申請_96年月餅預購競賽獎勵案_97年春節保全回收報告書_春節作業手冊-981217" xfId="373"/>
    <cellStyle name="_樂清9507租賃用品申請_96年月餅預購競賽獎勵案_97年春節保全回收報告書_春節作業手冊-981217_1-晉欣鮮食廠-2012年春節作業體制" xfId="374"/>
    <cellStyle name="_樂清9507租賃用品申請_96年月餅預購競賽獎勵案_97年營業競賽提案報告書" xfId="375"/>
    <cellStyle name="_樂清9507租賃用品申請_96年月餅預購競賽獎勵案_97年營業競賽提案報告書_1-晉欣鮮食廠-2012年春節作業體制" xfId="376"/>
    <cellStyle name="_樂清9507租賃用品申請_96年月餅預購競賽獎勵案_97年營業競賽提案報告書_97年春節保全回收報告書" xfId="377"/>
    <cellStyle name="_樂清9507租賃用品申請_96年月餅預購競賽獎勵案_97年營業競賽提案報告書_97年春節保全回收報告書_1-晉欣鮮食廠-2012年春節作業體制" xfId="378"/>
    <cellStyle name="_樂清9507租賃用品申請_96年月餅預購競賽獎勵案_97年營業競賽提案報告書_97年春節保全回收報告書_Book1" xfId="379"/>
    <cellStyle name="_樂清9507租賃用品申請_96年月餅預購競賽獎勵案_97年營業競賽提案報告書_97年春節保全回收報告書_Book1_1-晉欣鮮食廠-2012年春節作業體制" xfId="380"/>
    <cellStyle name="_樂清9507租賃用品申請_96年月餅預購競賽獎勵案_97年營業競賽提案報告書_97年春節保全回收報告書_春節作業手冊-981217" xfId="381"/>
    <cellStyle name="_樂清9507租賃用品申請_96年月餅預購競賽獎勵案_97年營業競賽提案報告書_97年春節保全回收報告書_春節作業手冊-981217_1-晉欣鮮食廠-2012年春節作業體制" xfId="382"/>
    <cellStyle name="_樂清9507租賃用品申請_96年月餅預購競賽獎勵案_97年營業競賽提案報告書_97年營業競賽提案報告書" xfId="383"/>
    <cellStyle name="_樂清9507租賃用品申請_96年月餅預購競賽獎勵案_97年營業競賽提案報告書_97年營業競賽提案報告書_1-晉欣鮮食廠-2012年春節作業體制" xfId="384"/>
    <cellStyle name="_樂清9507租賃用品申請_96年月餅預購競賽獎勵案_97年營業競賽提案報告書_97年營業競賽提案報告書_97年春節保全回收報告書" xfId="385"/>
    <cellStyle name="_樂清9507租賃用品申請_96年月餅預購競賽獎勵案_97年營業競賽提案報告書_97年營業競賽提案報告書_97年春節保全回收報告書_1-晉欣鮮食廠-2012年春節作業體制" xfId="386"/>
    <cellStyle name="_樂清9507租賃用品申請_96年月餅預購競賽獎勵案_97年營業競賽提案報告書_97年營業競賽提案報告書_97年春節保全回收報告書_Book1" xfId="387"/>
    <cellStyle name="_樂清9507租賃用品申請_96年月餅預購競賽獎勵案_97年營業競賽提案報告書_97年營業競賽提案報告書_97年春節保全回收報告書_Book1_1-晉欣鮮食廠-2012年春節作業體制" xfId="388"/>
    <cellStyle name="_樂清9507租賃用品申請_96年月餅預購競賽獎勵案_97年營業競賽提案報告書_97年營業競賽提案報告書_97年春節保全回收報告書_春節作業手冊-981217" xfId="389"/>
    <cellStyle name="_樂清9507租賃用品申請_96年月餅預購競賽獎勵案_97年營業競賽提案報告書_97年營業競賽提案報告書_97年春節保全回收報告書_春節作業手冊-981217_1-晉欣鮮食廠-2012年春節作業體制" xfId="390"/>
    <cellStyle name="_樂清9507租賃用品申請_96年月餅預購競賽獎勵案_97年營業競賽提案報告書_97年營業競賽提案報告書_97年營業競賽提案報告書" xfId="391"/>
    <cellStyle name="_樂清9507租賃用品申請_96年月餅預購競賽獎勵案_97年營業競賽提案報告書_97年營業競賽提案報告書_97年營業競賽提案報告書_1-晉欣鮮食廠-2012年春節作業體制" xfId="392"/>
    <cellStyle name="_樂清9507租賃用品申請_96年月餅預購競賽獎勵案_97年營業競賽提案報告書_97年營業競賽提案報告書_97年營業競賽提案報告書_97年春節保全回收報告書" xfId="393"/>
    <cellStyle name="_樂清9507租賃用品申請_96年月餅預購競賽獎勵案_97年營業競賽提案報告書_97年營業競賽提案報告書_97年營業競賽提案報告書_97年春節保全回收報告書_1-晉欣鮮食廠-2012年春節作業體制" xfId="394"/>
    <cellStyle name="_樂清9507租賃用品申請_96年月餅預購競賽獎勵案_97年營業競賽提案報告書_97年營業競賽提案報告書_97年營業競賽提案報告書_97年春節保全回收報告書_Book1" xfId="395"/>
    <cellStyle name="_樂清9507租賃用品申請_96年月餅預購競賽獎勵案_97年營業競賽提案報告書_97年營業競賽提案報告書_97年營業競賽提案報告書_97年春節保全回收報告書_Book1_1-晉欣鮮食廠-2012年春節作業體制" xfId="396"/>
    <cellStyle name="_樂清9507租賃用品申請_96年月餅預購競賽獎勵案_97年營業競賽提案報告書_97年營業競賽提案報告書_97年營業競賽提案報告書_97年春節保全回收報告書_春節作業手冊-981217" xfId="397"/>
    <cellStyle name="_樂清9507租賃用品申請_96年月餅預購競賽獎勵案_97年營業競賽提案報告書_97年營業競賽提案報告書_97年營業競賽提案報告書_97年春節保全回收報告書_春節作業手冊-981217_1-晉欣鮮食廠-2012年春節作業體制" xfId="398"/>
    <cellStyle name="_樂清9507租賃用品申請_96年月餅預購競賽獎勵案_97年營業競賽提案報告書_97年營業競賽提案報告書_97年營業競賽提案報告書_Book1" xfId="399"/>
    <cellStyle name="_樂清9507租賃用品申請_96年月餅預購競賽獎勵案_97年營業競賽提案報告書_97年營業競賽提案報告書_97年營業競賽提案報告書_Book1_1-晉欣鮮食廠-2012年春節作業體制" xfId="400"/>
    <cellStyle name="_樂清9507租賃用品申請_96年月餅預購競賽獎勵案_97年營業競賽提案報告書_97年營業競賽提案報告書_97年營業競賽提案報告書_春節作業手冊-981217" xfId="401"/>
    <cellStyle name="_樂清9507租賃用品申請_96年月餅預購競賽獎勵案_97年營業競賽提案報告書_97年營業競賽提案報告書_97年營業競賽提案報告書_春節作業手冊-981217_1-晉欣鮮食廠-2012年春節作業體制" xfId="402"/>
    <cellStyle name="_樂清9507租賃用品申請_96年月餅預購競賽獎勵案_97年營業競賽提案報告書_97年營業競賽提案報告書_Book1" xfId="403"/>
    <cellStyle name="_樂清9507租賃用品申請_96年月餅預購競賽獎勵案_97年營業競賽提案報告書_97年營業競賽提案報告書_Book1_1-晉欣鮮食廠-2012年春節作業體制" xfId="404"/>
    <cellStyle name="_樂清9507租賃用品申請_96年月餅預購競賽獎勵案_97年營業競賽提案報告書_97年營業競賽提案報告書_春節作業手冊-981217" xfId="405"/>
    <cellStyle name="_樂清9507租賃用品申請_96年月餅預購競賽獎勵案_97年營業競賽提案報告書_97年營業競賽提案報告書_春節作業手冊-981217_1-晉欣鮮食廠-2012年春節作業體制" xfId="406"/>
    <cellStyle name="_樂清9507租賃用品申請_96年月餅預購競賽獎勵案_97年營業競賽提案報告書_Book1" xfId="407"/>
    <cellStyle name="_樂清9507租賃用品申請_96年月餅預購競賽獎勵案_97年營業競賽提案報告書_Book1_1-晉欣鮮食廠-2012年春節作業體制" xfId="408"/>
    <cellStyle name="_樂清9507租賃用品申請_96年月餅預購競賽獎勵案_97年營業競賽提案報告書_春節作業手冊-981217" xfId="409"/>
    <cellStyle name="_樂清9507租賃用品申請_96年月餅預購競賽獎勵案_97年營業競賽提案報告書_春節作業手冊-981217_1-晉欣鮮食廠-2012年春節作業體制" xfId="410"/>
    <cellStyle name="_樂清9507租賃用品申請_96年月餅預購競賽獎勵案_Book1" xfId="411"/>
    <cellStyle name="_樂清9507租賃用品申請_96年月餅預購競賽獎勵案_Book1_1-晉欣鮮食廠-2012年春節作業體制" xfId="412"/>
    <cellStyle name="_樂清9507租賃用品申請_96年月餅預購競賽獎勵案_春節作業手冊-981217" xfId="413"/>
    <cellStyle name="_樂清9507租賃用品申請_96年月餅預購競賽獎勵案_春節作業手冊-981217_1-晉欣鮮食廠-2012年春節作業體制" xfId="414"/>
    <cellStyle name="_樂清9507租賃用品申請_97年春節保全回收報告書" xfId="415"/>
    <cellStyle name="_樂清9507租賃用品申請_97年春節保全回收報告書_1-晉欣鮮食廠-2012年春節作業體制" xfId="416"/>
    <cellStyle name="_樂清9507租賃用品申請_97年春節保全回收報告書_Book1" xfId="417"/>
    <cellStyle name="_樂清9507租賃用品申請_97年春節保全回收報告書_Book1_1-晉欣鮮食廠-2012年春節作業體制" xfId="418"/>
    <cellStyle name="_樂清9507租賃用品申請_97年春節保全回收報告書_春節作業手冊-981217" xfId="419"/>
    <cellStyle name="_樂清9507租賃用品申請_97年春節保全回收報告書_春節作業手冊-981217_1-晉欣鮮食廠-2012年春節作業體制" xfId="420"/>
    <cellStyle name="_樂清9507租賃用品申請_97年營業競賽提案報告書" xfId="421"/>
    <cellStyle name="_樂清9507租賃用品申請_97年營業競賽提案報告書_1-晉欣鮮食廠-2012年春節作業體制" xfId="422"/>
    <cellStyle name="_樂清9507租賃用品申請_97年營業競賽提案報告書_97年春節保全回收報告書" xfId="423"/>
    <cellStyle name="_樂清9507租賃用品申請_97年營業競賽提案報告書_97年春節保全回收報告書_1-晉欣鮮食廠-2012年春節作業體制" xfId="424"/>
    <cellStyle name="_樂清9507租賃用品申請_97年營業競賽提案報告書_97年春節保全回收報告書_Book1" xfId="425"/>
    <cellStyle name="_樂清9507租賃用品申請_97年營業競賽提案報告書_97年春節保全回收報告書_Book1_1-晉欣鮮食廠-2012年春節作業體制" xfId="426"/>
    <cellStyle name="_樂清9507租賃用品申請_97年營業競賽提案報告書_97年春節保全回收報告書_春節作業手冊-981217" xfId="427"/>
    <cellStyle name="_樂清9507租賃用品申請_97年營業競賽提案報告書_97年春節保全回收報告書_春節作業手冊-981217_1-晉欣鮮食廠-2012年春節作業體制" xfId="428"/>
    <cellStyle name="_樂清9507租賃用品申請_97年營業競賽提案報告書_97年營業競賽提案報告書" xfId="429"/>
    <cellStyle name="_樂清9507租賃用品申請_97年營業競賽提案報告書_97年營業競賽提案報告書_1-晉欣鮮食廠-2012年春節作業體制" xfId="430"/>
    <cellStyle name="_樂清9507租賃用品申請_97年營業競賽提案報告書_97年營業競賽提案報告書_97年春節保全回收報告書" xfId="431"/>
    <cellStyle name="_樂清9507租賃用品申請_97年營業競賽提案報告書_97年營業競賽提案報告書_97年春節保全回收報告書_1-晉欣鮮食廠-2012年春節作業體制" xfId="432"/>
    <cellStyle name="_樂清9507租賃用品申請_97年營業競賽提案報告書_97年營業競賽提案報告書_97年春節保全回收報告書_Book1" xfId="433"/>
    <cellStyle name="_樂清9507租賃用品申請_97年營業競賽提案報告書_97年營業競賽提案報告書_97年春節保全回收報告書_Book1_1-晉欣鮮食廠-2012年春節作業體制" xfId="434"/>
    <cellStyle name="_樂清9507租賃用品申請_97年營業競賽提案報告書_97年營業競賽提案報告書_97年春節保全回收報告書_春節作業手冊-981217" xfId="435"/>
    <cellStyle name="_樂清9507租賃用品申請_97年營業競賽提案報告書_97年營業競賽提案報告書_97年春節保全回收報告書_春節作業手冊-981217_1-晉欣鮮食廠-2012年春節作業體制" xfId="436"/>
    <cellStyle name="_樂清9507租賃用品申請_97年營業競賽提案報告書_97年營業競賽提案報告書_97年營業競賽提案報告書" xfId="437"/>
    <cellStyle name="_樂清9507租賃用品申請_97年營業競賽提案報告書_97年營業競賽提案報告書_97年營業競賽提案報告書_1-晉欣鮮食廠-2012年春節作業體制" xfId="438"/>
    <cellStyle name="_樂清9507租賃用品申請_97年營業競賽提案報告書_97年營業競賽提案報告書_97年營業競賽提案報告書_97年春節保全回收報告書" xfId="439"/>
    <cellStyle name="_樂清9507租賃用品申請_97年營業競賽提案報告書_97年營業競賽提案報告書_97年營業競賽提案報告書_97年春節保全回收報告書_1-晉欣鮮食廠-2012年春節作業體制" xfId="440"/>
    <cellStyle name="_樂清9507租賃用品申請_97年營業競賽提案報告書_97年營業競賽提案報告書_97年營業競賽提案報告書_97年春節保全回收報告書_Book1" xfId="441"/>
    <cellStyle name="_樂清9507租賃用品申請_97年營業競賽提案報告書_97年營業競賽提案報告書_97年營業競賽提案報告書_97年春節保全回收報告書_Book1_1-晉欣鮮食廠-2012年春節作業體制" xfId="442"/>
    <cellStyle name="_樂清9507租賃用品申請_97年營業競賽提案報告書_97年營業競賽提案報告書_97年營業競賽提案報告書_97年春節保全回收報告書_春節作業手冊-981217" xfId="443"/>
    <cellStyle name="_樂清9507租賃用品申請_97年營業競賽提案報告書_97年營業競賽提案報告書_97年營業競賽提案報告書_97年春節保全回收報告書_春節作業手冊-981217_1-晉欣鮮食廠-2012年春節作業體制" xfId="444"/>
    <cellStyle name="_樂清9507租賃用品申請_97年營業競賽提案報告書_97年營業競賽提案報告書_97年營業競賽提案報告書_Book1" xfId="445"/>
    <cellStyle name="_樂清9507租賃用品申請_97年營業競賽提案報告書_97年營業競賽提案報告書_97年營業競賽提案報告書_Book1_1-晉欣鮮食廠-2012年春節作業體制" xfId="446"/>
    <cellStyle name="_樂清9507租賃用品申請_97年營業競賽提案報告書_97年營業競賽提案報告書_97年營業競賽提案報告書_春節作業手冊-981217" xfId="447"/>
    <cellStyle name="_樂清9507租賃用品申請_97年營業競賽提案報告書_97年營業競賽提案報告書_97年營業競賽提案報告書_春節作業手冊-981217_1-晉欣鮮食廠-2012年春節作業體制" xfId="448"/>
    <cellStyle name="_樂清9507租賃用品申請_97年營業競賽提案報告書_97年營業競賽提案報告書_Book1" xfId="449"/>
    <cellStyle name="_樂清9507租賃用品申請_97年營業競賽提案報告書_97年營業競賽提案報告書_Book1_1-晉欣鮮食廠-2012年春節作業體制" xfId="450"/>
    <cellStyle name="_樂清9507租賃用品申請_97年營業競賽提案報告書_97年營業競賽提案報告書_春節作業手冊-981217" xfId="451"/>
    <cellStyle name="_樂清9507租賃用品申請_97年營業競賽提案報告書_97年營業競賽提案報告書_春節作業手冊-981217_1-晉欣鮮食廠-2012年春節作業體制" xfId="452"/>
    <cellStyle name="_樂清9507租賃用品申請_97年營業競賽提案報告書_Book1" xfId="453"/>
    <cellStyle name="_樂清9507租賃用品申請_97年營業競賽提案報告書_Book1_1-晉欣鮮食廠-2012年春節作業體制" xfId="454"/>
    <cellStyle name="_樂清9507租賃用品申請_97年營業競賽提案報告書_春節作業手冊-981217" xfId="455"/>
    <cellStyle name="_樂清9507租賃用品申請_97年營業競賽提案報告書_春節作業手冊-981217_1-晉欣鮮食廠-2012年春節作業體制" xfId="456"/>
    <cellStyle name="_樂清9507租賃用品申請_Book1" xfId="457"/>
    <cellStyle name="_樂清9507租賃用品申請_Book1_1-晉欣鮮食廠-2012年春節作業體制" xfId="458"/>
    <cellStyle name="_樂清9507租賃用品申請_春節作業手冊-981217" xfId="459"/>
    <cellStyle name="_樂清9507租賃用品申請_春節作業手冊-981217_1-晉欣鮮食廠-2012年春節作業體制" xfId="460"/>
    <cellStyle name="Normal - Style1" xfId="461"/>
    <cellStyle name="Normal_Co-wide Monthly" xfId="462"/>
    <cellStyle name="一般" xfId="0" builtinId="0"/>
    <cellStyle name="一般 10" xfId="469"/>
    <cellStyle name="一般 10 2" xfId="470"/>
    <cellStyle name="一般 11" xfId="471"/>
    <cellStyle name="一般 12" xfId="472"/>
    <cellStyle name="一般 13" xfId="473"/>
    <cellStyle name="一般 14" xfId="474"/>
    <cellStyle name="一般 15" xfId="475"/>
    <cellStyle name="一般 15 2" xfId="476"/>
    <cellStyle name="一般 16" xfId="477"/>
    <cellStyle name="一般 17" xfId="478"/>
    <cellStyle name="一般 18" xfId="479"/>
    <cellStyle name="一般 19" xfId="480"/>
    <cellStyle name="一般 2" xfId="1"/>
    <cellStyle name="一般 2 2" xfId="481"/>
    <cellStyle name="一般 2 2 2" xfId="9"/>
    <cellStyle name="一般 2 2 2 2" xfId="482"/>
    <cellStyle name="一般 2 2 3" xfId="483"/>
    <cellStyle name="一般 2 2 30 2 2 30 2" xfId="4"/>
    <cellStyle name="一般 2 2 30 2 2 30 2 2" xfId="12"/>
    <cellStyle name="一般 2 2 30 2 2 30 2 2 2" xfId="15"/>
    <cellStyle name="一般 2 2 30 2 2 30 2 2 3" xfId="16"/>
    <cellStyle name="一般 2 2 30 2 2 30 2 2 4" xfId="17"/>
    <cellStyle name="一般 2 2 30 2 3 2" xfId="6"/>
    <cellStyle name="一般 2 2 30 2 3 2 2 2" xfId="18"/>
    <cellStyle name="一般 2 2 30 3 30" xfId="7"/>
    <cellStyle name="一般 2 3" xfId="484"/>
    <cellStyle name="一般 2 4" xfId="485"/>
    <cellStyle name="一般 2 5" xfId="486"/>
    <cellStyle name="一般 2 6" xfId="487"/>
    <cellStyle name="一般 2 7" xfId="488"/>
    <cellStyle name="一般 2 8" xfId="489"/>
    <cellStyle name="一般 2 9" xfId="23"/>
    <cellStyle name="一般 20" xfId="490"/>
    <cellStyle name="一般 21" xfId="491"/>
    <cellStyle name="一般 22" xfId="492"/>
    <cellStyle name="一般 23" xfId="493"/>
    <cellStyle name="一般 24" xfId="21"/>
    <cellStyle name="一般 3" xfId="11"/>
    <cellStyle name="一般 3 2" xfId="494"/>
    <cellStyle name="一般 3 2 2" xfId="495"/>
    <cellStyle name="一般 3 3" xfId="496"/>
    <cellStyle name="一般 3 4" xfId="497"/>
    <cellStyle name="一般 3 5" xfId="498"/>
    <cellStyle name="一般 3 5 2" xfId="499"/>
    <cellStyle name="一般 3 6" xfId="500"/>
    <cellStyle name="一般 3 7" xfId="501"/>
    <cellStyle name="一般 3 8" xfId="463"/>
    <cellStyle name="一般 4" xfId="5"/>
    <cellStyle name="一般 4 2" xfId="502"/>
    <cellStyle name="一般 4 3" xfId="503"/>
    <cellStyle name="一般 4 4" xfId="464"/>
    <cellStyle name="一般 5" xfId="504"/>
    <cellStyle name="一般 5 2" xfId="505"/>
    <cellStyle name="一般 6" xfId="506"/>
    <cellStyle name="一般 6 2" xfId="507"/>
    <cellStyle name="一般 7" xfId="508"/>
    <cellStyle name="一般 8" xfId="509"/>
    <cellStyle name="一般 8 2" xfId="510"/>
    <cellStyle name="一般 9" xfId="511"/>
    <cellStyle name="一般 9 2" xfId="512"/>
    <cellStyle name="千分位" xfId="14" builtinId="3"/>
    <cellStyle name="千分位 2" xfId="2"/>
    <cellStyle name="千分位 2 2" xfId="514"/>
    <cellStyle name="千分位 2 3" xfId="515"/>
    <cellStyle name="千分位 2 4" xfId="516"/>
    <cellStyle name="千分位 2 5" xfId="517"/>
    <cellStyle name="千分位 2 6" xfId="518"/>
    <cellStyle name="千分位 2 7" xfId="519"/>
    <cellStyle name="千分位 2 8" xfId="513"/>
    <cellStyle name="千分位 3" xfId="19"/>
    <cellStyle name="千分位 3 2" xfId="520"/>
    <cellStyle name="千分位 4" xfId="521"/>
    <cellStyle name="千分位 5" xfId="522"/>
    <cellStyle name="千分位 5 2" xfId="523"/>
    <cellStyle name="千分位 6" xfId="524"/>
    <cellStyle name="千分位 7" xfId="525"/>
    <cellStyle name="千分位 8" xfId="526"/>
    <cellStyle name="千分位 9" xfId="576"/>
    <cellStyle name="好_1001024-晉欣重要管制流程 (3)" xfId="527"/>
    <cellStyle name="好_Sheet1" xfId="528"/>
    <cellStyle name="好_工作日報表---" xfId="529"/>
    <cellStyle name="好_晉欣重要管制流程-油炸作業" xfId="530"/>
    <cellStyle name="好_晉欣重要管制流程-原物料驗收" xfId="531"/>
    <cellStyle name="好_晉欣重要管制流程-烤箱作業" xfId="532"/>
    <cellStyle name="好_晉欣重要管制流程-理貨作業" xfId="533"/>
    <cellStyle name="好_晉欣重要管制流程-煮麵作業" xfId="534"/>
    <cellStyle name="好_晉欣重要管制流程-飯糰機操作&amp;丼飯作業&amp;三明治&amp;標籤&amp;炊飯&amp;美生菜" xfId="535"/>
    <cellStyle name="好_晉欣重要管制流程-準備室作業" xfId="536"/>
    <cellStyle name="好_晉欣重要管制流程-補料作業" xfId="537"/>
    <cellStyle name="好_配料相關一、二--------" xfId="538"/>
    <cellStyle name="百分比 2" xfId="8"/>
    <cellStyle name="百分比 2 2" xfId="10"/>
    <cellStyle name="百分比 2 2 2" xfId="20"/>
    <cellStyle name="百分比 2 2 2 2" xfId="540"/>
    <cellStyle name="百分比 2 2 3" xfId="539"/>
    <cellStyle name="百分比 2 3" xfId="541"/>
    <cellStyle name="百分比 2 4" xfId="542"/>
    <cellStyle name="百分比 2 5" xfId="24"/>
    <cellStyle name="百分比 3" xfId="3"/>
    <cellStyle name="百分比 3 2" xfId="544"/>
    <cellStyle name="百分比 3 3" xfId="545"/>
    <cellStyle name="百分比 3 4" xfId="543"/>
    <cellStyle name="百分比 4" xfId="13"/>
    <cellStyle name="百分比 4 2" xfId="547"/>
    <cellStyle name="百分比 4 2 2" xfId="548"/>
    <cellStyle name="百分比 4 2 2 2" xfId="549"/>
    <cellStyle name="百分比 4 2 3" xfId="550"/>
    <cellStyle name="百分比 4 3" xfId="551"/>
    <cellStyle name="百分比 4 3 2" xfId="552"/>
    <cellStyle name="百分比 4 3 2 2" xfId="553"/>
    <cellStyle name="百分比 4 3 2 2 2" xfId="554"/>
    <cellStyle name="百分比 4 3 2 2 2 2" xfId="555"/>
    <cellStyle name="百分比 4 3 2 2 2 2 2" xfId="556"/>
    <cellStyle name="百分比 4 4" xfId="557"/>
    <cellStyle name="百分比 4 5" xfId="546"/>
    <cellStyle name="百分比 5" xfId="558"/>
    <cellStyle name="百分比 5 2" xfId="559"/>
    <cellStyle name="百分比 5 3" xfId="560"/>
    <cellStyle name="百分比 6" xfId="561"/>
    <cellStyle name="百分比 7" xfId="22"/>
    <cellStyle name="貨幣 2" xfId="562"/>
    <cellStyle name="貨幣[0]_ AUDIT" xfId="465"/>
    <cellStyle name="超連結 2" xfId="466"/>
    <cellStyle name="標準 2_關所SOP" xfId="563"/>
    <cellStyle name="樣式 1" xfId="467"/>
    <cellStyle name="樣式 2" xfId="468"/>
    <cellStyle name="壞_1001024-晉欣重要管制流程 (3)" xfId="564"/>
    <cellStyle name="壞_Sheet1" xfId="565"/>
    <cellStyle name="壞_工作日報表---" xfId="566"/>
    <cellStyle name="壞_晉欣重要管制流程-油炸作業" xfId="567"/>
    <cellStyle name="壞_晉欣重要管制流程-原物料驗收" xfId="568"/>
    <cellStyle name="壞_晉欣重要管制流程-烤箱作業" xfId="569"/>
    <cellStyle name="壞_晉欣重要管制流程-理貨作業" xfId="570"/>
    <cellStyle name="壞_晉欣重要管制流程-煮麵作業" xfId="571"/>
    <cellStyle name="壞_晉欣重要管制流程-飯糰機操作&amp;丼飯作業&amp;三明治&amp;標籤&amp;炊飯&amp;美生菜" xfId="572"/>
    <cellStyle name="壞_晉欣重要管制流程-準備室作業" xfId="573"/>
    <cellStyle name="壞_晉欣重要管制流程-補料作業" xfId="574"/>
    <cellStyle name="壞_配料相關一、二--------" xfId="575"/>
  </cellStyles>
  <dxfs count="39">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66259</xdr:colOff>
      <xdr:row>15</xdr:row>
      <xdr:rowOff>74543</xdr:rowOff>
    </xdr:from>
    <xdr:to>
      <xdr:col>12</xdr:col>
      <xdr:colOff>627283</xdr:colOff>
      <xdr:row>29</xdr:row>
      <xdr:rowOff>132521</xdr:rowOff>
    </xdr:to>
    <xdr:pic>
      <xdr:nvPicPr>
        <xdr:cNvPr id="2" name="圖片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66259" y="3602934"/>
          <a:ext cx="8934741" cy="284093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Server\&amp;&amp;&#20419;&#37559;&#30456;&#38364;&#36039;&#26009;&amp;&amp;\&#9733;&#27599;&#36913;&#29983;&#29986;&#25490;&#31243;\&#32102;JAPAN&#30340;&#24037;&#20316;&#26085;&#22577;&#34920;\&#12304;&#29983;&#29986;&#22238;&#32102;&#39135;&#30740;&#25152;&#12305;&#26185;&#27427;&#26085;&#22577;&#34920;&#25976;&#20540;&#20998;&#26512;\115&#24180;01&#26376;\18&#24230;\&#26185;&#27427;18&#24230;&#24037;&#20316;&#26085;&#22577;&#34920;115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2304;&#20117;&#19978;&#20808;&#29983;&#12305;&#26185;&#27427;&#24288;&#29983;&#29986;&#31649;&#29702;&#22577;&#34920;/&#29983;&#29986;/&#12304;&#20117;&#19978;&#20808;&#29983;&#12305;&#26185;&#27427;&#24288;&#29983;&#29986;&#31649;&#29702;&#22577;&#34920;1202-1208(&#23436;&#2510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Server\&amp;&amp;&#20419;&#37559;&#30456;&#38364;&#36039;&#26009;&amp;&amp;\&#9733;&#27599;&#36913;&#29983;&#29986;&#25490;&#31243;\&#32102;JAPAN&#30340;&#24037;&#20316;&#26085;&#22577;&#34920;\&#12304;&#29983;&#29986;&#22238;&#32102;&#39135;&#30740;&#25152;&#12305;&#26185;&#27427;&#26085;&#22577;&#34920;&#25976;&#20540;&#20998;&#26512;\115&#24180;01&#26376;\4&#24230;\&#26185;&#27427;&#22235;&#24230;&#24037;&#20316;&#26085;&#22577;&#34920;115%2001&#2637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商品廠價總表"/>
      <sheetName val="ST總表"/>
      <sheetName val="晉欣18度C1230"/>
      <sheetName val="晉欣18度C1231"/>
      <sheetName val="晉欣18度C0101"/>
      <sheetName val="晉欣18度C0102"/>
      <sheetName val="晉欣18度C0103"/>
      <sheetName val="晉欣18度C0104"/>
      <sheetName val="晉欣18度C0105"/>
      <sheetName val="工作表1"/>
    </sheetNames>
    <sheetDataSet>
      <sheetData sheetId="0" refreshError="1"/>
      <sheetData sheetId="1" refreshError="1">
        <row r="2">
          <cell r="A2" t="str">
            <v>經典肉鬆飯糰</v>
          </cell>
          <cell r="B2">
            <v>4</v>
          </cell>
          <cell r="C2">
            <v>2200</v>
          </cell>
          <cell r="D2">
            <v>550</v>
          </cell>
        </row>
        <row r="3">
          <cell r="A3" t="str">
            <v>蔬食鮪魚飯糰</v>
          </cell>
          <cell r="B3">
            <v>3</v>
          </cell>
          <cell r="C3">
            <v>2700</v>
          </cell>
          <cell r="D3">
            <v>900</v>
          </cell>
        </row>
        <row r="4">
          <cell r="A4" t="str">
            <v>北海道秋鮭親子飯糰</v>
          </cell>
          <cell r="B4">
            <v>4</v>
          </cell>
          <cell r="C4">
            <v>3600</v>
          </cell>
          <cell r="D4">
            <v>900</v>
          </cell>
        </row>
        <row r="5">
          <cell r="A5" t="str">
            <v>熟成紅鮭飯糰</v>
          </cell>
          <cell r="B5">
            <v>4</v>
          </cell>
          <cell r="C5">
            <v>3600</v>
          </cell>
          <cell r="D5">
            <v>900</v>
          </cell>
        </row>
        <row r="6">
          <cell r="A6" t="str">
            <v>鮪魚飯糰</v>
          </cell>
          <cell r="B6">
            <v>3</v>
          </cell>
          <cell r="C6">
            <v>3600</v>
          </cell>
          <cell r="D6">
            <v>1200</v>
          </cell>
        </row>
        <row r="7">
          <cell r="A7" t="str">
            <v>贅沢鮭魚肚飯糰</v>
          </cell>
          <cell r="B7">
            <v>3</v>
          </cell>
          <cell r="C7">
            <v>3600</v>
          </cell>
          <cell r="D7">
            <v>1200</v>
          </cell>
        </row>
        <row r="8">
          <cell r="A8" t="str">
            <v>海老天婦羅飯糰</v>
          </cell>
          <cell r="B8">
            <v>4</v>
          </cell>
          <cell r="C8">
            <v>3600</v>
          </cell>
          <cell r="D8">
            <v>900</v>
          </cell>
        </row>
        <row r="9">
          <cell r="A9" t="str">
            <v>鮪魚飯糰</v>
          </cell>
          <cell r="B9">
            <v>3</v>
          </cell>
          <cell r="C9">
            <v>3600</v>
          </cell>
          <cell r="D9">
            <v>1200</v>
          </cell>
        </row>
        <row r="10">
          <cell r="A10" t="str">
            <v>贅沢鮭魚肚飯糰</v>
          </cell>
          <cell r="B10">
            <v>3</v>
          </cell>
          <cell r="C10">
            <v>3600</v>
          </cell>
          <cell r="D10">
            <v>1200</v>
          </cell>
        </row>
        <row r="11">
          <cell r="A11" t="str">
            <v>海老天婦羅飯糰</v>
          </cell>
          <cell r="B11">
            <v>4</v>
          </cell>
          <cell r="C11">
            <v>3600</v>
          </cell>
          <cell r="D11">
            <v>900</v>
          </cell>
        </row>
        <row r="12">
          <cell r="A12" t="str">
            <v>壹號醬炙烤牛飯糰</v>
          </cell>
          <cell r="B12">
            <v>4</v>
          </cell>
          <cell r="C12">
            <v>3300</v>
          </cell>
          <cell r="D12">
            <v>825</v>
          </cell>
        </row>
        <row r="13">
          <cell r="A13" t="str">
            <v>明太子龍蝦風味沙拉飯糰</v>
          </cell>
          <cell r="B13">
            <v>3</v>
          </cell>
          <cell r="C13">
            <v>3300</v>
          </cell>
          <cell r="D13">
            <v>1100</v>
          </cell>
        </row>
        <row r="14">
          <cell r="A14" t="str">
            <v>鹽蔥燒肉飯糰</v>
          </cell>
          <cell r="B14">
            <v>3</v>
          </cell>
          <cell r="C14">
            <v>3300</v>
          </cell>
          <cell r="D14">
            <v>1100</v>
          </cell>
        </row>
        <row r="15">
          <cell r="A15" t="str">
            <v>泰式酸辣雞絲飯糰(區)</v>
          </cell>
          <cell r="B15">
            <v>4</v>
          </cell>
          <cell r="C15">
            <v>3300</v>
          </cell>
          <cell r="D15">
            <v>825</v>
          </cell>
        </row>
        <row r="16">
          <cell r="A16" t="str">
            <v>香辣鹹水雞飯糰(區)</v>
          </cell>
          <cell r="B16">
            <v>4</v>
          </cell>
          <cell r="C16">
            <v>3300</v>
          </cell>
          <cell r="D16">
            <v>825</v>
          </cell>
        </row>
        <row r="17">
          <cell r="A17" t="str">
            <v>三杯辣海瓜子飯糰</v>
          </cell>
          <cell r="B17">
            <v>3</v>
          </cell>
          <cell r="C17">
            <v>3300</v>
          </cell>
          <cell r="D17">
            <v>1100</v>
          </cell>
        </row>
        <row r="18">
          <cell r="A18" t="str">
            <v>雞肉飯飯糰</v>
          </cell>
          <cell r="B18">
            <v>4</v>
          </cell>
          <cell r="C18">
            <v>3300</v>
          </cell>
          <cell r="D18">
            <v>825</v>
          </cell>
        </row>
        <row r="19">
          <cell r="A19" t="str">
            <v>碳烤燒肉飯飯糰(區)</v>
          </cell>
          <cell r="B19">
            <v>4</v>
          </cell>
          <cell r="C19">
            <v>3300</v>
          </cell>
          <cell r="D19">
            <v>825</v>
          </cell>
        </row>
        <row r="20">
          <cell r="A20" t="str">
            <v>二配芝麻香鬆飯糰</v>
          </cell>
          <cell r="B20">
            <v>4</v>
          </cell>
          <cell r="C20">
            <v>3600</v>
          </cell>
          <cell r="D20">
            <v>900</v>
          </cell>
        </row>
        <row r="21">
          <cell r="A21" t="str">
            <v>二配大飯糰韓式炸雞</v>
          </cell>
          <cell r="B21">
            <v>4</v>
          </cell>
          <cell r="C21">
            <v>3000</v>
          </cell>
          <cell r="D21">
            <v>750</v>
          </cell>
        </row>
        <row r="22">
          <cell r="A22" t="str">
            <v>二配大飯糰春川風味辣炒雞</v>
          </cell>
          <cell r="B22">
            <v>4</v>
          </cell>
          <cell r="C22">
            <v>3000</v>
          </cell>
          <cell r="D22">
            <v>750</v>
          </cell>
        </row>
        <row r="23">
          <cell r="A23" t="str">
            <v>二配大飯糰椒香鮪魚</v>
          </cell>
          <cell r="B23">
            <v>4</v>
          </cell>
          <cell r="C23">
            <v>3000</v>
          </cell>
          <cell r="D23">
            <v>750</v>
          </cell>
        </row>
        <row r="24">
          <cell r="A24" t="str">
            <v>二配油蔥G絲飯糰</v>
          </cell>
          <cell r="B24">
            <v>4</v>
          </cell>
          <cell r="C24">
            <v>3600</v>
          </cell>
          <cell r="D24">
            <v>900</v>
          </cell>
        </row>
        <row r="25">
          <cell r="A25" t="str">
            <v>胡麻鮮蔬雞絲飯糰(區)</v>
          </cell>
          <cell r="B25">
            <v>4</v>
          </cell>
          <cell r="C25">
            <v>2500</v>
          </cell>
          <cell r="D25">
            <v>625</v>
          </cell>
        </row>
        <row r="26">
          <cell r="A26" t="str">
            <v>哇沙米魚卵沙拉飯糰</v>
          </cell>
          <cell r="B26">
            <v>3</v>
          </cell>
          <cell r="C26">
            <v>2700</v>
          </cell>
          <cell r="D26">
            <v>900</v>
          </cell>
        </row>
        <row r="27">
          <cell r="A27" t="str">
            <v>照燒鰤魚大根飯糰</v>
          </cell>
          <cell r="B27">
            <v>4</v>
          </cell>
          <cell r="C27">
            <v>3000</v>
          </cell>
          <cell r="D27">
            <v>750</v>
          </cell>
        </row>
        <row r="28">
          <cell r="A28" t="str">
            <v>日式厚蛋脆卷</v>
          </cell>
          <cell r="B28">
            <v>15</v>
          </cell>
          <cell r="C28">
            <v>1200</v>
          </cell>
          <cell r="D28">
            <v>80</v>
          </cell>
        </row>
        <row r="29">
          <cell r="A29" t="str">
            <v>長野稻荷壽司</v>
          </cell>
          <cell r="B29">
            <v>10</v>
          </cell>
          <cell r="C29">
            <v>1500</v>
          </cell>
          <cell r="D29">
            <v>150</v>
          </cell>
        </row>
        <row r="30">
          <cell r="A30" t="str">
            <v>雙饗雙手卷</v>
          </cell>
          <cell r="B30">
            <v>15</v>
          </cell>
          <cell r="C30">
            <v>1800</v>
          </cell>
          <cell r="D30">
            <v>120</v>
          </cell>
        </row>
        <row r="31">
          <cell r="A31" t="str">
            <v>海饌雙手卷</v>
          </cell>
          <cell r="B31">
            <v>15</v>
          </cell>
          <cell r="C31">
            <v>1800</v>
          </cell>
          <cell r="D31">
            <v>120</v>
          </cell>
        </row>
        <row r="32">
          <cell r="A32" t="str">
            <v>芝麻海苔香鬆細卷</v>
          </cell>
          <cell r="B32">
            <v>6</v>
          </cell>
          <cell r="C32">
            <v>1500</v>
          </cell>
          <cell r="D32">
            <v>250</v>
          </cell>
        </row>
        <row r="33">
          <cell r="A33" t="str">
            <v>鮪魚沙拉細卷</v>
          </cell>
          <cell r="B33">
            <v>5</v>
          </cell>
          <cell r="C33">
            <v>1500</v>
          </cell>
          <cell r="D33">
            <v>300</v>
          </cell>
        </row>
        <row r="34">
          <cell r="A34" t="str">
            <v>炙烤焦糖鮭魚細卷</v>
          </cell>
          <cell r="B34">
            <v>5</v>
          </cell>
          <cell r="C34">
            <v>1500</v>
          </cell>
          <cell r="D34">
            <v>300</v>
          </cell>
        </row>
        <row r="35">
          <cell r="A35" t="str">
            <v>新之助の豆皮壽司喔</v>
          </cell>
          <cell r="B35">
            <v>10</v>
          </cell>
          <cell r="C35">
            <v>1500</v>
          </cell>
          <cell r="D35">
            <v>150</v>
          </cell>
        </row>
        <row r="36">
          <cell r="A36" t="str">
            <v>筋子銀鮭飯糰</v>
          </cell>
          <cell r="B36">
            <v>4</v>
          </cell>
          <cell r="C36">
            <v>3600</v>
          </cell>
          <cell r="D36">
            <v>900</v>
          </cell>
        </row>
        <row r="37">
          <cell r="A37" t="str">
            <v>博多明太子奶油飯糰</v>
          </cell>
          <cell r="B37">
            <v>4</v>
          </cell>
          <cell r="C37">
            <v>3600</v>
          </cell>
          <cell r="D37">
            <v>900</v>
          </cell>
        </row>
        <row r="38">
          <cell r="A38" t="str">
            <v>照燒雞肉飯糰</v>
          </cell>
          <cell r="B38">
            <v>4</v>
          </cell>
          <cell r="C38">
            <v>3300</v>
          </cell>
          <cell r="D38">
            <v>825</v>
          </cell>
        </row>
        <row r="39">
          <cell r="A39" t="str">
            <v>香濃起司蟹風味棒細卷</v>
          </cell>
          <cell r="B39">
            <v>5</v>
          </cell>
          <cell r="C39">
            <v>1500</v>
          </cell>
          <cell r="D39">
            <v>300</v>
          </cell>
        </row>
        <row r="40">
          <cell r="A40" t="str">
            <v>經典鮪魚沙拉細卷</v>
          </cell>
          <cell r="B40">
            <v>5</v>
          </cell>
          <cell r="C40">
            <v>1500</v>
          </cell>
          <cell r="D40">
            <v>300</v>
          </cell>
        </row>
        <row r="41">
          <cell r="A41" t="str">
            <v>雙鬆細卷</v>
          </cell>
          <cell r="B41">
            <v>5</v>
          </cell>
          <cell r="C41">
            <v>1500</v>
          </cell>
          <cell r="D41">
            <v>300</v>
          </cell>
        </row>
        <row r="42">
          <cell r="A42" t="str">
            <v>滿滿海鮮沙拉脆卷</v>
          </cell>
          <cell r="B42">
            <v>15</v>
          </cell>
          <cell r="C42">
            <v>1200</v>
          </cell>
          <cell r="D42">
            <v>80</v>
          </cell>
        </row>
        <row r="43">
          <cell r="A43" t="str">
            <v>椒鹽檸檬鯖魚飯糰</v>
          </cell>
          <cell r="B43">
            <v>3</v>
          </cell>
          <cell r="C43">
            <v>2800</v>
          </cell>
          <cell r="D43">
            <v>933.33333333333337</v>
          </cell>
        </row>
        <row r="44">
          <cell r="A44" t="str">
            <v>油蔥雞汁飯糰(區)</v>
          </cell>
          <cell r="B44">
            <v>4</v>
          </cell>
          <cell r="C44">
            <v>2800</v>
          </cell>
          <cell r="D44">
            <v>700</v>
          </cell>
        </row>
        <row r="45">
          <cell r="A45" t="str">
            <v>二配三杯醬爆菇菇飯糰</v>
          </cell>
          <cell r="B45">
            <v>3</v>
          </cell>
          <cell r="C45">
            <v>2800</v>
          </cell>
          <cell r="D45">
            <v>933.33333333333337</v>
          </cell>
        </row>
        <row r="46">
          <cell r="A46" t="str">
            <v>明太子玉子脆卷</v>
          </cell>
          <cell r="B46">
            <v>15</v>
          </cell>
          <cell r="C46">
            <v>1200</v>
          </cell>
          <cell r="D46">
            <v>80</v>
          </cell>
        </row>
        <row r="47">
          <cell r="A47" t="str">
            <v>二配大飯糰鮪魚昆布</v>
          </cell>
          <cell r="B47">
            <v>4</v>
          </cell>
          <cell r="C47">
            <v>3000</v>
          </cell>
          <cell r="D47">
            <v>750</v>
          </cell>
        </row>
        <row r="48">
          <cell r="A48" t="str">
            <v>二配大飯糰韓式蒜烤豬五花</v>
          </cell>
          <cell r="B48">
            <v>4</v>
          </cell>
          <cell r="C48">
            <v>3000</v>
          </cell>
          <cell r="D48">
            <v>750</v>
          </cell>
        </row>
        <row r="49">
          <cell r="A49" t="str">
            <v>二配大飯糰滷肉飯加蛋</v>
          </cell>
          <cell r="B49">
            <v>4</v>
          </cell>
          <cell r="C49">
            <v>3000</v>
          </cell>
          <cell r="D49">
            <v>750</v>
          </cell>
        </row>
        <row r="50">
          <cell r="A50" t="str">
            <v>鮭魚奶油醬油飯糰</v>
          </cell>
          <cell r="B50">
            <v>3</v>
          </cell>
          <cell r="C50">
            <v>2800</v>
          </cell>
          <cell r="D50">
            <v>933.33333333333337</v>
          </cell>
        </row>
        <row r="53">
          <cell r="A53" t="str">
            <v>香料咖哩烤雞飯卷</v>
          </cell>
          <cell r="B53">
            <v>13</v>
          </cell>
          <cell r="C53">
            <v>1500</v>
          </cell>
          <cell r="D53">
            <v>115.38461538461539</v>
          </cell>
        </row>
        <row r="54">
          <cell r="A54" t="str">
            <v>麻油鹽炙烤豬肉飯卷</v>
          </cell>
          <cell r="B54">
            <v>13</v>
          </cell>
          <cell r="C54">
            <v>1500</v>
          </cell>
          <cell r="D54">
            <v>115.38461538461539</v>
          </cell>
        </row>
        <row r="55">
          <cell r="A55" t="str">
            <v>兩粒飯糰(鮪魚.焦糖鮭魚)</v>
          </cell>
          <cell r="B55">
            <v>12</v>
          </cell>
          <cell r="C55">
            <v>1500</v>
          </cell>
          <cell r="D55">
            <v>125</v>
          </cell>
        </row>
        <row r="56">
          <cell r="A56" t="str">
            <v>麻油雞飯糰</v>
          </cell>
          <cell r="B56">
            <v>18</v>
          </cell>
          <cell r="C56">
            <v>1250</v>
          </cell>
          <cell r="D56">
            <v>69.444444444444443</v>
          </cell>
        </row>
        <row r="57">
          <cell r="A57" t="str">
            <v>德式酸菜燻腸飯卷</v>
          </cell>
          <cell r="B57">
            <v>13</v>
          </cell>
          <cell r="C57">
            <v>1500</v>
          </cell>
          <cell r="D57">
            <v>115.38461538461539</v>
          </cell>
        </row>
        <row r="58">
          <cell r="A58" t="str">
            <v>日式明太子炙烤牛飯卷</v>
          </cell>
          <cell r="B58">
            <v>13</v>
          </cell>
          <cell r="C58">
            <v>1500</v>
          </cell>
          <cell r="D58">
            <v>115.38461538461539</v>
          </cell>
        </row>
        <row r="59">
          <cell r="A59" t="str">
            <v>核桃腰果稻荷壽司組</v>
          </cell>
          <cell r="B59">
            <v>13</v>
          </cell>
          <cell r="C59">
            <v>1300</v>
          </cell>
          <cell r="D59">
            <v>100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生產管理報表(月)"/>
      <sheetName val="生產管理報表(週) "/>
      <sheetName val="（２）ＫＰＩ達成進度"/>
      <sheetName val="（５-1）品群別人時生產性（18℃-飯糰）"/>
      <sheetName val="（５-2）品群別人時生產性（18℃-壽司手卷)"/>
      <sheetName val="（５-3）品群別人時生產性（4℃-飯糰)"/>
      <sheetName val="（５-4）品群別人時生產性（4℃-壽司手卷)"/>
      <sheetName val="（５-5）品群別人時生產性(主食) "/>
      <sheetName val="（５-6）品群別人時生產性(便當)"/>
      <sheetName val="（５-7）品群別人時生產性(熱食義麵) "/>
      <sheetName val="（５-8）品群別人時生產性(季節調理麵) "/>
      <sheetName val="（５-9）品群別人時生產性(微波小吃) "/>
      <sheetName val="生產管理報表 6-1"/>
      <sheetName val="生產管理報表 6-2"/>
      <sheetName val="生產管理報表 6-3"/>
      <sheetName val="生產管理報表 6-4"/>
      <sheetName val="生產管理報表 6-5"/>
      <sheetName val="生產管理報表 6-1 (月)"/>
      <sheetName val="生產管理報表 6-2 (月)"/>
      <sheetName val="生產管理報表 6-3 (月)"/>
      <sheetName val="生產管理報表 6-4 (月)"/>
      <sheetName val="生產管理報表 6-5(月)"/>
      <sheetName val="工作表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08">
          <cell r="P208" t="str">
            <v/>
          </cell>
          <cell r="Q208" t="str">
            <v/>
          </cell>
          <cell r="R208" t="str">
            <v/>
          </cell>
          <cell r="U208" t="str">
            <v/>
          </cell>
          <cell r="V208" t="str">
            <v/>
          </cell>
          <cell r="W208" t="str">
            <v/>
          </cell>
          <cell r="Z208" t="str">
            <v/>
          </cell>
          <cell r="AA208" t="str">
            <v/>
          </cell>
          <cell r="AB208" t="str">
            <v/>
          </cell>
          <cell r="AE208" t="str">
            <v/>
          </cell>
          <cell r="AF208" t="str">
            <v/>
          </cell>
          <cell r="AG208" t="str">
            <v/>
          </cell>
          <cell r="AJ208" t="str">
            <v/>
          </cell>
          <cell r="AK208" t="str">
            <v/>
          </cell>
          <cell r="AL208" t="str">
            <v/>
          </cell>
          <cell r="AO208" t="str">
            <v/>
          </cell>
          <cell r="AP208" t="str">
            <v/>
          </cell>
          <cell r="AQ208" t="str">
            <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ST總表"/>
      <sheetName val="商品廠價總表"/>
      <sheetName val="全家類別表"/>
      <sheetName val="晉欣4度C1230"/>
      <sheetName val="晉欣4度C1231"/>
      <sheetName val="晉欣4度C0101"/>
      <sheetName val="晉欣4度C0102"/>
      <sheetName val="晉欣4度C0103"/>
      <sheetName val="晉欣4度C0104"/>
      <sheetName val="工作表1"/>
      <sheetName val="工作表4"/>
    </sheetNames>
    <sheetDataSet>
      <sheetData sheetId="0" refreshError="1"/>
      <sheetData sheetId="1" refreshError="1">
        <row r="3">
          <cell r="B3" t="str">
            <v>椒麻香蔥雞涼拌麵</v>
          </cell>
          <cell r="C3">
            <v>20</v>
          </cell>
          <cell r="D3">
            <v>2400</v>
          </cell>
          <cell r="E3">
            <v>120</v>
          </cell>
          <cell r="F3">
            <v>0.91</v>
          </cell>
        </row>
        <row r="4">
          <cell r="B4" t="str">
            <v>大滿足香辣涼麵</v>
          </cell>
          <cell r="C4">
            <v>18</v>
          </cell>
          <cell r="D4">
            <v>3000</v>
          </cell>
          <cell r="E4">
            <v>166.7</v>
          </cell>
          <cell r="F4">
            <v>0.99</v>
          </cell>
        </row>
        <row r="5">
          <cell r="B5" t="str">
            <v>大滿足麻醬涼麵</v>
          </cell>
          <cell r="C5">
            <v>19</v>
          </cell>
          <cell r="D5">
            <v>3000</v>
          </cell>
          <cell r="E5">
            <v>157.9</v>
          </cell>
          <cell r="F5">
            <v>0.99</v>
          </cell>
        </row>
        <row r="6">
          <cell r="B6" t="str">
            <v>台式麻醬涼麵</v>
          </cell>
          <cell r="C6">
            <v>18</v>
          </cell>
          <cell r="D6">
            <v>3000</v>
          </cell>
          <cell r="E6">
            <v>166.7</v>
          </cell>
          <cell r="F6">
            <v>0.99</v>
          </cell>
        </row>
        <row r="7">
          <cell r="B7" t="str">
            <v>日式蕎麥沾麵</v>
          </cell>
          <cell r="C7">
            <v>20</v>
          </cell>
          <cell r="D7">
            <v>2250</v>
          </cell>
          <cell r="E7">
            <v>112.5</v>
          </cell>
          <cell r="F7">
            <v>0.92</v>
          </cell>
        </row>
        <row r="8">
          <cell r="B8" t="str">
            <v>東京豚骨風味拉麵</v>
          </cell>
          <cell r="C8">
            <v>21</v>
          </cell>
          <cell r="D8">
            <v>1385</v>
          </cell>
          <cell r="E8">
            <v>65.900000000000006</v>
          </cell>
          <cell r="F8">
            <v>0.71</v>
          </cell>
        </row>
        <row r="9">
          <cell r="B9" t="str">
            <v>醬油叉燒拉麵</v>
          </cell>
          <cell r="C9">
            <v>21</v>
          </cell>
          <cell r="D9">
            <v>1385</v>
          </cell>
          <cell r="E9">
            <v>65.900000000000006</v>
          </cell>
          <cell r="F9">
            <v>0.71</v>
          </cell>
        </row>
        <row r="10">
          <cell r="B10" t="str">
            <v>濃厚豚骨拉麵</v>
          </cell>
          <cell r="C10">
            <v>21</v>
          </cell>
          <cell r="D10">
            <v>1385</v>
          </cell>
          <cell r="E10">
            <v>65.900000000000006</v>
          </cell>
          <cell r="F10">
            <v>0.71</v>
          </cell>
        </row>
        <row r="11">
          <cell r="B11" t="str">
            <v>柚子雞白湯拉麵</v>
          </cell>
          <cell r="C11">
            <v>21</v>
          </cell>
          <cell r="D11">
            <v>1385</v>
          </cell>
          <cell r="E11">
            <v>65.900000000000006</v>
          </cell>
          <cell r="F11">
            <v>0.71</v>
          </cell>
        </row>
        <row r="16">
          <cell r="B16" t="str">
            <v>熱食義麵</v>
          </cell>
          <cell r="C16" t="str">
            <v>人數</v>
          </cell>
          <cell r="D16" t="str">
            <v>產能</v>
          </cell>
          <cell r="E16" t="str">
            <v>人時性</v>
          </cell>
          <cell r="F16" t="str">
            <v>編成率</v>
          </cell>
        </row>
        <row r="17">
          <cell r="B17" t="str">
            <v>沙茶豬肉炒麵</v>
          </cell>
          <cell r="C17">
            <v>19</v>
          </cell>
          <cell r="D17">
            <v>1636</v>
          </cell>
          <cell r="E17">
            <v>86.1</v>
          </cell>
          <cell r="F17">
            <v>0.84</v>
          </cell>
        </row>
        <row r="18">
          <cell r="B18" t="str">
            <v>府城鹽水意麵</v>
          </cell>
          <cell r="C18">
            <v>18</v>
          </cell>
          <cell r="D18">
            <v>1636</v>
          </cell>
          <cell r="E18">
            <v>90.9</v>
          </cell>
          <cell r="F18">
            <v>0.82</v>
          </cell>
        </row>
        <row r="19">
          <cell r="B19" t="str">
            <v>蔥蔥玉子拌麵</v>
          </cell>
          <cell r="C19">
            <v>18</v>
          </cell>
          <cell r="D19">
            <v>1500</v>
          </cell>
          <cell r="E19">
            <v>83.3</v>
          </cell>
          <cell r="F19">
            <v>0.82</v>
          </cell>
        </row>
        <row r="20">
          <cell r="B20" t="str">
            <v>雙醬雞排鐵板麵</v>
          </cell>
          <cell r="C20">
            <v>18</v>
          </cell>
          <cell r="D20">
            <v>1636</v>
          </cell>
          <cell r="E20">
            <v>90.9</v>
          </cell>
          <cell r="F20">
            <v>0.85</v>
          </cell>
        </row>
        <row r="21">
          <cell r="B21" t="str">
            <v>蛤蜊五目中華燴麵</v>
          </cell>
          <cell r="C21">
            <v>18</v>
          </cell>
          <cell r="D21">
            <v>1385</v>
          </cell>
          <cell r="E21">
            <v>76.900000000000006</v>
          </cell>
          <cell r="F21">
            <v>0.78</v>
          </cell>
        </row>
        <row r="22">
          <cell r="B22" t="str">
            <v>蕃茄起司手工千層麵(區2)</v>
          </cell>
          <cell r="C22">
            <v>14</v>
          </cell>
          <cell r="D22">
            <v>1500</v>
          </cell>
          <cell r="E22">
            <v>107.1</v>
          </cell>
          <cell r="F22">
            <v>0.82</v>
          </cell>
        </row>
        <row r="23">
          <cell r="B23" t="str">
            <v>麻婆豆腐波浪麵</v>
          </cell>
          <cell r="C23">
            <v>18</v>
          </cell>
          <cell r="D23">
            <v>1500</v>
          </cell>
          <cell r="E23">
            <v>83.3</v>
          </cell>
          <cell r="F23">
            <v>0.79</v>
          </cell>
        </row>
        <row r="24">
          <cell r="B24" t="str">
            <v>明太子雞叉燒拌麵</v>
          </cell>
          <cell r="C24">
            <v>19</v>
          </cell>
          <cell r="D24">
            <v>1385</v>
          </cell>
          <cell r="E24">
            <v>72.900000000000006</v>
          </cell>
          <cell r="F24">
            <v>0.78</v>
          </cell>
        </row>
        <row r="25">
          <cell r="B25" t="str">
            <v>愛恨椒芝麵</v>
          </cell>
          <cell r="C25">
            <v>17</v>
          </cell>
          <cell r="D25">
            <v>1636</v>
          </cell>
          <cell r="E25">
            <v>96.3</v>
          </cell>
        </row>
        <row r="28">
          <cell r="B28" t="str">
            <v>小吃</v>
          </cell>
          <cell r="C28" t="str">
            <v>人數</v>
          </cell>
          <cell r="D28" t="str">
            <v>產能</v>
          </cell>
          <cell r="E28" t="str">
            <v>人時性</v>
          </cell>
          <cell r="F28" t="str">
            <v>編成率</v>
          </cell>
        </row>
        <row r="29">
          <cell r="B29" t="str">
            <v>古早味炒炊粉</v>
          </cell>
          <cell r="C29">
            <v>17</v>
          </cell>
          <cell r="D29">
            <v>1440</v>
          </cell>
          <cell r="E29">
            <v>84.7</v>
          </cell>
          <cell r="F29">
            <v>0.84</v>
          </cell>
        </row>
        <row r="30">
          <cell r="B30" t="str">
            <v>香辣醬粉絲煲</v>
          </cell>
          <cell r="C30">
            <v>19</v>
          </cell>
          <cell r="D30">
            <v>1500</v>
          </cell>
          <cell r="E30">
            <v>78.900000000000006</v>
          </cell>
          <cell r="F30">
            <v>0.84</v>
          </cell>
        </row>
        <row r="31">
          <cell r="B31" t="str">
            <v>蒜泥狠台味三拼</v>
          </cell>
          <cell r="C31">
            <v>19</v>
          </cell>
          <cell r="D31">
            <v>1440</v>
          </cell>
          <cell r="E31">
            <v>75.8</v>
          </cell>
          <cell r="F31">
            <v>0.85</v>
          </cell>
        </row>
        <row r="32">
          <cell r="B32" t="str">
            <v>韓式蒜味炸雞</v>
          </cell>
          <cell r="C32">
            <v>6</v>
          </cell>
          <cell r="D32">
            <v>1500</v>
          </cell>
          <cell r="E32">
            <v>250</v>
          </cell>
          <cell r="F32">
            <v>0.89</v>
          </cell>
        </row>
        <row r="33">
          <cell r="B33" t="str">
            <v>韓式部隊鍋</v>
          </cell>
          <cell r="C33">
            <v>21</v>
          </cell>
          <cell r="D33">
            <v>1385</v>
          </cell>
          <cell r="E33">
            <v>65.900000000000006</v>
          </cell>
          <cell r="F33">
            <v>0.71</v>
          </cell>
        </row>
        <row r="34">
          <cell r="B34" t="str">
            <v>日式壽喜燒</v>
          </cell>
          <cell r="C34">
            <v>21</v>
          </cell>
          <cell r="D34">
            <v>1385</v>
          </cell>
          <cell r="E34">
            <v>65.900000000000006</v>
          </cell>
          <cell r="F34">
            <v>0.71</v>
          </cell>
        </row>
        <row r="35">
          <cell r="B35" t="str">
            <v>燻之味-糖燻豬耳絲</v>
          </cell>
          <cell r="C35">
            <v>6</v>
          </cell>
          <cell r="D35">
            <v>1500</v>
          </cell>
          <cell r="E35">
            <v>250</v>
          </cell>
          <cell r="F35">
            <v>0.89</v>
          </cell>
        </row>
        <row r="36">
          <cell r="B36" t="str">
            <v>燻之味-糖燻雞胗</v>
          </cell>
          <cell r="C36">
            <v>6</v>
          </cell>
          <cell r="D36">
            <v>1500</v>
          </cell>
          <cell r="E36">
            <v>250</v>
          </cell>
          <cell r="F36">
            <v>0.89</v>
          </cell>
        </row>
        <row r="37">
          <cell r="B37" t="str">
            <v>糖燻豬耳絲</v>
          </cell>
          <cell r="C37">
            <v>6</v>
          </cell>
          <cell r="D37">
            <v>1500</v>
          </cell>
          <cell r="E37">
            <v>250</v>
          </cell>
          <cell r="F37">
            <v>0.89</v>
          </cell>
        </row>
        <row r="38">
          <cell r="B38" t="str">
            <v>虱目魚粥</v>
          </cell>
          <cell r="C38">
            <v>21</v>
          </cell>
          <cell r="D38">
            <v>1385</v>
          </cell>
          <cell r="E38">
            <v>65.900000000000006</v>
          </cell>
          <cell r="F38">
            <v>0.71</v>
          </cell>
        </row>
        <row r="41">
          <cell r="B41" t="str">
            <v>主食</v>
          </cell>
          <cell r="C41" t="str">
            <v>人數</v>
          </cell>
          <cell r="D41" t="str">
            <v>產能</v>
          </cell>
          <cell r="E41" t="str">
            <v>人時性</v>
          </cell>
          <cell r="F41" t="str">
            <v>編成率</v>
          </cell>
        </row>
        <row r="42">
          <cell r="B42" t="str">
            <v>鐵板滑蛋炸豬排丼</v>
          </cell>
          <cell r="C42">
            <v>16</v>
          </cell>
          <cell r="D42">
            <v>1565</v>
          </cell>
          <cell r="E42">
            <v>97.8</v>
          </cell>
          <cell r="F42">
            <v>0.84</v>
          </cell>
        </row>
        <row r="43">
          <cell r="B43" t="str">
            <v>極上炙烤親子丼</v>
          </cell>
          <cell r="C43">
            <v>16</v>
          </cell>
          <cell r="D43">
            <v>1500</v>
          </cell>
          <cell r="E43">
            <v>93.8</v>
          </cell>
          <cell r="F43">
            <v>0.83</v>
          </cell>
        </row>
        <row r="44">
          <cell r="B44" t="str">
            <v>蒜蒜燒豚飯</v>
          </cell>
          <cell r="C44">
            <v>21</v>
          </cell>
          <cell r="D44">
            <v>1500</v>
          </cell>
          <cell r="E44">
            <v>71.400000000000006</v>
          </cell>
          <cell r="F44">
            <v>0.84</v>
          </cell>
        </row>
        <row r="45">
          <cell r="B45" t="str">
            <v>壽喜燒牛丼</v>
          </cell>
          <cell r="C45">
            <v>17</v>
          </cell>
          <cell r="D45">
            <v>1500</v>
          </cell>
          <cell r="E45">
            <v>88.2</v>
          </cell>
          <cell r="F45">
            <v>0.86</v>
          </cell>
        </row>
        <row r="46">
          <cell r="B46" t="str">
            <v>壹號醬雞豚雙拼</v>
          </cell>
          <cell r="C46">
            <v>19</v>
          </cell>
          <cell r="D46">
            <v>1500</v>
          </cell>
          <cell r="E46">
            <v>78.900000000000006</v>
          </cell>
          <cell r="F46">
            <v>0.85</v>
          </cell>
        </row>
        <row r="47">
          <cell r="B47" t="str">
            <v>妮妮家漢堡排</v>
          </cell>
          <cell r="C47">
            <v>18</v>
          </cell>
          <cell r="D47">
            <v>1500</v>
          </cell>
          <cell r="E47">
            <v>83.3</v>
          </cell>
          <cell r="F47">
            <v>0.81</v>
          </cell>
        </row>
        <row r="48">
          <cell r="B48" t="str">
            <v>優質池上飯-機台</v>
          </cell>
          <cell r="C48">
            <v>6</v>
          </cell>
          <cell r="D48">
            <v>1500</v>
          </cell>
          <cell r="E48">
            <v>250</v>
          </cell>
          <cell r="F48">
            <v>0.88</v>
          </cell>
        </row>
        <row r="49">
          <cell r="B49" t="str">
            <v>日式野菜烘蛋燴飯</v>
          </cell>
          <cell r="C49">
            <v>16</v>
          </cell>
          <cell r="D49">
            <v>1500</v>
          </cell>
          <cell r="E49">
            <v>93.8</v>
          </cell>
          <cell r="F49">
            <v>0.86</v>
          </cell>
        </row>
        <row r="50">
          <cell r="B50" t="str">
            <v>多穀紫米飯</v>
          </cell>
          <cell r="C50">
            <v>6</v>
          </cell>
          <cell r="D50">
            <v>1500</v>
          </cell>
          <cell r="E50">
            <v>250</v>
          </cell>
          <cell r="F50">
            <v>0.93</v>
          </cell>
        </row>
        <row r="57">
          <cell r="B57" t="str">
            <v>主食(二配)</v>
          </cell>
          <cell r="C57" t="str">
            <v>人數</v>
          </cell>
          <cell r="D57" t="str">
            <v>產能</v>
          </cell>
          <cell r="E57" t="str">
            <v>人時性</v>
          </cell>
          <cell r="F57" t="str">
            <v>編成率</v>
          </cell>
        </row>
        <row r="58">
          <cell r="B58" t="str">
            <v>二配香辣醬蒜味香腸蛋炒飯</v>
          </cell>
          <cell r="C58">
            <v>16</v>
          </cell>
          <cell r="D58">
            <v>1440</v>
          </cell>
          <cell r="E58">
            <v>90</v>
          </cell>
          <cell r="F58">
            <v>0.91</v>
          </cell>
        </row>
        <row r="59">
          <cell r="B59" t="str">
            <v>二配香拌海鮮醬肉絲蛋炒飯</v>
          </cell>
          <cell r="C59">
            <v>14</v>
          </cell>
          <cell r="D59">
            <v>1440</v>
          </cell>
          <cell r="E59">
            <v>102.9</v>
          </cell>
          <cell r="F59">
            <v>0.89</v>
          </cell>
        </row>
        <row r="60">
          <cell r="B60" t="str">
            <v>二配金咖哩果香甘口咖哩飯</v>
          </cell>
          <cell r="C60">
            <v>17</v>
          </cell>
          <cell r="D60">
            <v>1440</v>
          </cell>
          <cell r="E60">
            <v>84.7</v>
          </cell>
          <cell r="F60">
            <v>0.84</v>
          </cell>
        </row>
        <row r="61">
          <cell r="B61" t="str">
            <v>二配金咖哩濃厚辛口咖哩飯</v>
          </cell>
          <cell r="C61">
            <v>18</v>
          </cell>
          <cell r="D61">
            <v>1440</v>
          </cell>
          <cell r="E61">
            <v>80</v>
          </cell>
          <cell r="F61">
            <v>0.83</v>
          </cell>
        </row>
        <row r="62">
          <cell r="B62" t="str">
            <v>二配川味麻婆燒豆腐燴飯</v>
          </cell>
          <cell r="C62">
            <v>15</v>
          </cell>
          <cell r="D62">
            <v>1440</v>
          </cell>
          <cell r="E62">
            <v>96</v>
          </cell>
          <cell r="F62">
            <v>0.83</v>
          </cell>
        </row>
        <row r="63">
          <cell r="B63" t="str">
            <v>二配里肌豬排可可咖哩歐姆蛋飯</v>
          </cell>
          <cell r="C63">
            <v>18</v>
          </cell>
          <cell r="D63">
            <v>1636</v>
          </cell>
          <cell r="E63">
            <v>90.9</v>
          </cell>
          <cell r="F63">
            <v>0.87</v>
          </cell>
        </row>
        <row r="64">
          <cell r="B64" t="str">
            <v>二配黃金雞排蘑菇白醬歐姆蛋飯</v>
          </cell>
          <cell r="C64">
            <v>18</v>
          </cell>
          <cell r="D64">
            <v>1636</v>
          </cell>
          <cell r="E64">
            <v>90.9</v>
          </cell>
          <cell r="F64">
            <v>0.88</v>
          </cell>
        </row>
        <row r="65">
          <cell r="B65" t="str">
            <v>二配煸椒烘蛋飯</v>
          </cell>
          <cell r="C65">
            <v>16</v>
          </cell>
          <cell r="D65">
            <v>1500</v>
          </cell>
          <cell r="E65">
            <v>93.8</v>
          </cell>
          <cell r="F65">
            <v>0.87</v>
          </cell>
        </row>
        <row r="66">
          <cell r="B66" t="str">
            <v>二配哞哞培根奶香海陸焗飯</v>
          </cell>
          <cell r="C66">
            <v>18</v>
          </cell>
          <cell r="D66">
            <v>1440</v>
          </cell>
          <cell r="E66">
            <v>80</v>
          </cell>
          <cell r="F66">
            <v>0.83</v>
          </cell>
        </row>
        <row r="67">
          <cell r="B67" t="str">
            <v>二配鐵板蘑菇肉醬起司焗飯</v>
          </cell>
          <cell r="C67">
            <v>17</v>
          </cell>
          <cell r="D67">
            <v>1636</v>
          </cell>
          <cell r="E67">
            <v>96.3</v>
          </cell>
          <cell r="F67">
            <v>0.83</v>
          </cell>
        </row>
        <row r="68">
          <cell r="B68" t="str">
            <v>二配港式香滑嫩蛋牛肉燴飯</v>
          </cell>
          <cell r="C68">
            <v>17</v>
          </cell>
          <cell r="D68">
            <v>1500</v>
          </cell>
          <cell r="E68">
            <v>88.2</v>
          </cell>
          <cell r="F68">
            <v>0.83</v>
          </cell>
        </row>
        <row r="69">
          <cell r="B69" t="str">
            <v>二配美味蟹煲</v>
          </cell>
          <cell r="C69">
            <v>18</v>
          </cell>
          <cell r="D69">
            <v>1500</v>
          </cell>
          <cell r="E69">
            <v>83.3</v>
          </cell>
          <cell r="F69">
            <v>0.85</v>
          </cell>
        </row>
        <row r="70">
          <cell r="B70" t="str">
            <v>二配乳酪燻腸紅醬焗飯</v>
          </cell>
          <cell r="C70">
            <v>17</v>
          </cell>
          <cell r="D70">
            <v>1440</v>
          </cell>
          <cell r="E70">
            <v>84.7</v>
          </cell>
          <cell r="F70">
            <v>0.81</v>
          </cell>
        </row>
        <row r="71">
          <cell r="B71" t="str">
            <v>二配西班牙風味海鮮燉飯</v>
          </cell>
          <cell r="C71">
            <v>18</v>
          </cell>
          <cell r="D71">
            <v>1385</v>
          </cell>
          <cell r="E71">
            <v>76.900000000000006</v>
          </cell>
          <cell r="F71">
            <v>0.81</v>
          </cell>
        </row>
        <row r="72">
          <cell r="B72" t="str">
            <v>二配粗飽系雞排炒飯</v>
          </cell>
          <cell r="C72">
            <v>18</v>
          </cell>
          <cell r="D72">
            <v>1440</v>
          </cell>
          <cell r="E72">
            <v>80</v>
          </cell>
          <cell r="F72">
            <v>0.8</v>
          </cell>
        </row>
        <row r="73">
          <cell r="B73" t="str">
            <v>二配泰式綠咖哩雞</v>
          </cell>
          <cell r="C73">
            <v>18</v>
          </cell>
          <cell r="D73">
            <v>1440</v>
          </cell>
          <cell r="E73">
            <v>80</v>
          </cell>
          <cell r="F73">
            <v>0.83</v>
          </cell>
        </row>
        <row r="74">
          <cell r="B74" t="str">
            <v>二配厚香料咖哩雞排飯</v>
          </cell>
          <cell r="C74">
            <v>15</v>
          </cell>
          <cell r="D74">
            <v>1500</v>
          </cell>
          <cell r="E74">
            <v>100</v>
          </cell>
          <cell r="F74">
            <v>0.82</v>
          </cell>
        </row>
        <row r="75">
          <cell r="B75" t="str">
            <v>二配起司控培根白醬焗烤飯</v>
          </cell>
          <cell r="C75">
            <v>20</v>
          </cell>
          <cell r="D75">
            <v>1500</v>
          </cell>
          <cell r="E75">
            <v>75</v>
          </cell>
          <cell r="F75">
            <v>0.87</v>
          </cell>
        </row>
        <row r="76">
          <cell r="B76" t="str">
            <v>二配失控起司薯餅焗飯</v>
          </cell>
          <cell r="C76">
            <v>17</v>
          </cell>
          <cell r="D76">
            <v>1440</v>
          </cell>
          <cell r="E76">
            <v>84.7</v>
          </cell>
        </row>
        <row r="77">
          <cell r="B77" t="str">
            <v>二配麻油雞燴飯</v>
          </cell>
          <cell r="C77">
            <v>18</v>
          </cell>
          <cell r="D77">
            <v>1440</v>
          </cell>
          <cell r="E77">
            <v>80</v>
          </cell>
          <cell r="F77">
            <v>0.81</v>
          </cell>
        </row>
        <row r="78">
          <cell r="B78" t="str">
            <v>二配蒙古風味烤肉飯</v>
          </cell>
          <cell r="C78">
            <v>18</v>
          </cell>
          <cell r="D78">
            <v>1385</v>
          </cell>
          <cell r="E78">
            <v>76.900000000000006</v>
          </cell>
          <cell r="F78">
            <v>0.82</v>
          </cell>
        </row>
        <row r="79">
          <cell r="B79" t="str">
            <v>二配鮭魚蛋炒飯</v>
          </cell>
          <cell r="C79">
            <v>17</v>
          </cell>
          <cell r="D79">
            <v>1440</v>
          </cell>
          <cell r="E79">
            <v>84.7</v>
          </cell>
        </row>
        <row r="80">
          <cell r="B80" t="str">
            <v>便當</v>
          </cell>
          <cell r="C80" t="str">
            <v>人數</v>
          </cell>
          <cell r="D80" t="str">
            <v>產能</v>
          </cell>
          <cell r="E80" t="str">
            <v>人時性</v>
          </cell>
          <cell r="F80" t="str">
            <v>編成率</v>
          </cell>
        </row>
        <row r="81">
          <cell r="B81" t="str">
            <v>新招牌腿排便當</v>
          </cell>
          <cell r="C81">
            <v>17</v>
          </cell>
          <cell r="D81">
            <v>1440</v>
          </cell>
          <cell r="E81">
            <v>84.7</v>
          </cell>
          <cell r="F81">
            <v>0.85</v>
          </cell>
        </row>
        <row r="82">
          <cell r="B82" t="str">
            <v>經典滷肉飯</v>
          </cell>
          <cell r="C82">
            <v>17</v>
          </cell>
          <cell r="D82">
            <v>1636</v>
          </cell>
          <cell r="E82">
            <v>96.3</v>
          </cell>
          <cell r="F82">
            <v>0.85</v>
          </cell>
        </row>
        <row r="83">
          <cell r="B83" t="str">
            <v>健身G肉餐盒</v>
          </cell>
          <cell r="C83">
            <v>19</v>
          </cell>
          <cell r="D83">
            <v>1385</v>
          </cell>
          <cell r="E83">
            <v>72.900000000000006</v>
          </cell>
          <cell r="F83">
            <v>0.79</v>
          </cell>
        </row>
        <row r="84">
          <cell r="B84" t="str">
            <v>烤蛋白餐盒</v>
          </cell>
          <cell r="C84">
            <v>19</v>
          </cell>
          <cell r="D84">
            <v>1440</v>
          </cell>
          <cell r="E84">
            <v>75.8</v>
          </cell>
          <cell r="F84">
            <v>0.83</v>
          </cell>
        </row>
        <row r="85">
          <cell r="B85" t="str">
            <v>美式雞丁餐盒</v>
          </cell>
          <cell r="C85">
            <v>17</v>
          </cell>
          <cell r="D85">
            <v>1440</v>
          </cell>
          <cell r="E85">
            <v>84.7</v>
          </cell>
          <cell r="F85">
            <v>0.84</v>
          </cell>
        </row>
        <row r="86">
          <cell r="B86" t="str">
            <v>嘉義劉里長雞肉飯</v>
          </cell>
          <cell r="C86">
            <v>18</v>
          </cell>
          <cell r="D86">
            <v>1440</v>
          </cell>
          <cell r="E86">
            <v>80</v>
          </cell>
          <cell r="F86">
            <v>0.81</v>
          </cell>
        </row>
        <row r="87">
          <cell r="B87" t="str">
            <v>嫩烤香料雞胸排蔬滿盒</v>
          </cell>
          <cell r="C87">
            <v>19</v>
          </cell>
          <cell r="D87">
            <v>1440</v>
          </cell>
          <cell r="E87">
            <v>75.8</v>
          </cell>
          <cell r="F87">
            <v>0.85</v>
          </cell>
        </row>
        <row r="88">
          <cell r="B88" t="str">
            <v>海陸雙拼肉肉餐盒</v>
          </cell>
          <cell r="C88">
            <v>17</v>
          </cell>
          <cell r="D88">
            <v>1385</v>
          </cell>
          <cell r="E88">
            <v>81.400000000000006</v>
          </cell>
          <cell r="F88">
            <v>0.79</v>
          </cell>
        </row>
        <row r="89">
          <cell r="B89" t="str">
            <v>蔬活腿排補力餐盒</v>
          </cell>
          <cell r="C89">
            <v>19</v>
          </cell>
          <cell r="D89">
            <v>1385</v>
          </cell>
          <cell r="E89">
            <v>72.900000000000006</v>
          </cell>
          <cell r="F89">
            <v>0.84</v>
          </cell>
        </row>
        <row r="90">
          <cell r="B90" t="str">
            <v>照燒豬排纖食餐盒</v>
          </cell>
          <cell r="C90">
            <v>15</v>
          </cell>
          <cell r="D90">
            <v>1565</v>
          </cell>
          <cell r="E90">
            <v>104.3</v>
          </cell>
          <cell r="F90">
            <v>0.88</v>
          </cell>
        </row>
        <row r="91">
          <cell r="B91" t="str">
            <v>香腸腿排雙拼便當</v>
          </cell>
          <cell r="C91">
            <v>16</v>
          </cell>
          <cell r="D91">
            <v>1440</v>
          </cell>
          <cell r="E91">
            <v>90</v>
          </cell>
          <cell r="F91">
            <v>0.82</v>
          </cell>
        </row>
        <row r="92">
          <cell r="B92" t="str">
            <v>香烤藍尾鱈魚五行餐盒</v>
          </cell>
          <cell r="C92">
            <v>16</v>
          </cell>
          <cell r="D92">
            <v>1440</v>
          </cell>
          <cell r="E92">
            <v>90</v>
          </cell>
          <cell r="F92">
            <v>0.83</v>
          </cell>
        </row>
        <row r="94">
          <cell r="B94" t="str">
            <v>大口</v>
          </cell>
          <cell r="C94" t="str">
            <v>人數</v>
          </cell>
          <cell r="D94" t="str">
            <v>產能</v>
          </cell>
          <cell r="E94" t="str">
            <v>人時性</v>
          </cell>
          <cell r="F94" t="str">
            <v>編成率</v>
          </cell>
        </row>
        <row r="95">
          <cell r="B95" t="str">
            <v>大口蒜味香腸燒肉雙拼飯糰</v>
          </cell>
          <cell r="C95">
            <v>12</v>
          </cell>
          <cell r="D95">
            <v>2250</v>
          </cell>
          <cell r="E95">
            <v>187.5</v>
          </cell>
          <cell r="F95">
            <v>0.89</v>
          </cell>
        </row>
        <row r="96">
          <cell r="B96" t="str">
            <v>大口義式香草雞腿排飯糰</v>
          </cell>
          <cell r="C96">
            <v>11</v>
          </cell>
          <cell r="D96">
            <v>2118</v>
          </cell>
          <cell r="E96">
            <v>192.5</v>
          </cell>
          <cell r="F96">
            <v>0.91</v>
          </cell>
        </row>
        <row r="97">
          <cell r="B97" t="str">
            <v>大口金黃薯牛堡飯糰</v>
          </cell>
          <cell r="C97">
            <v>14</v>
          </cell>
          <cell r="D97">
            <v>2118</v>
          </cell>
          <cell r="E97">
            <v>151.30000000000001</v>
          </cell>
          <cell r="F97">
            <v>0.85</v>
          </cell>
        </row>
        <row r="98">
          <cell r="B98" t="str">
            <v>大口日式塔塔醬蝦排飯糰</v>
          </cell>
          <cell r="C98">
            <v>13</v>
          </cell>
          <cell r="D98">
            <v>2118</v>
          </cell>
          <cell r="E98">
            <v>162.9</v>
          </cell>
          <cell r="F98">
            <v>0.81</v>
          </cell>
        </row>
        <row r="99">
          <cell r="B99" t="str">
            <v>大口歐風焙煎咖哩漢堡排飯糰</v>
          </cell>
          <cell r="C99">
            <v>11</v>
          </cell>
          <cell r="D99">
            <v>2250</v>
          </cell>
          <cell r="E99">
            <v>204.5</v>
          </cell>
          <cell r="F99">
            <v>0.83</v>
          </cell>
        </row>
        <row r="100">
          <cell r="B100" t="str">
            <v>香料咖哩炸雞烤飯糰</v>
          </cell>
          <cell r="C100">
            <v>6</v>
          </cell>
          <cell r="D100">
            <v>2000</v>
          </cell>
          <cell r="E100">
            <v>333.33333333333331</v>
          </cell>
        </row>
        <row r="101">
          <cell r="B101" t="str">
            <v>鮭魚炙燒明太子烤飯糰</v>
          </cell>
          <cell r="C101">
            <v>4</v>
          </cell>
          <cell r="D101">
            <v>2000</v>
          </cell>
          <cell r="E101">
            <v>500</v>
          </cell>
        </row>
        <row r="102">
          <cell r="B102" t="str">
            <v>淡麗清酒蒸蛤蜊烤飯糰</v>
          </cell>
          <cell r="C102">
            <v>4</v>
          </cell>
          <cell r="D102">
            <v>2000</v>
          </cell>
          <cell r="E102">
            <v>500</v>
          </cell>
        </row>
        <row r="103">
          <cell r="B103" t="str">
            <v>糖燻野郎起司炙燒牛烤飯糰</v>
          </cell>
          <cell r="C103">
            <v>4</v>
          </cell>
          <cell r="D103">
            <v>2000</v>
          </cell>
          <cell r="E103">
            <v>500</v>
          </cell>
        </row>
        <row r="104">
          <cell r="B104" t="str">
            <v>和風牛肉咖哩炸飯糰</v>
          </cell>
          <cell r="C104">
            <v>4</v>
          </cell>
          <cell r="D104">
            <v>2000</v>
          </cell>
          <cell r="E104">
            <v>500</v>
          </cell>
        </row>
        <row r="105">
          <cell r="B105" t="str">
            <v>長野稻荷壽司</v>
          </cell>
          <cell r="C105">
            <v>10</v>
          </cell>
          <cell r="D105">
            <v>1500</v>
          </cell>
          <cell r="E105">
            <v>150</v>
          </cell>
        </row>
        <row r="106">
          <cell r="B106" t="str">
            <v>二配兩粒飯糰(鮪魚.焦糖鮭魚)</v>
          </cell>
          <cell r="C106">
            <v>12</v>
          </cell>
          <cell r="D106">
            <v>1500</v>
          </cell>
          <cell r="E106">
            <v>125</v>
          </cell>
        </row>
        <row r="107">
          <cell r="B107" t="str">
            <v>二配兔兔昆布飯糰</v>
          </cell>
          <cell r="C107">
            <v>8</v>
          </cell>
          <cell r="D107">
            <v>1800</v>
          </cell>
          <cell r="E107">
            <v>225</v>
          </cell>
        </row>
        <row r="108">
          <cell r="B108" t="str">
            <v>優質池上飯</v>
          </cell>
          <cell r="C108">
            <v>6</v>
          </cell>
          <cell r="D108">
            <v>1500</v>
          </cell>
          <cell r="E108">
            <v>250</v>
          </cell>
        </row>
        <row r="109">
          <cell r="B109" t="str">
            <v>(隨)優質池上飯</v>
          </cell>
          <cell r="C109">
            <v>6</v>
          </cell>
          <cell r="D109">
            <v>1500</v>
          </cell>
          <cell r="E109">
            <v>250</v>
          </cell>
        </row>
        <row r="110">
          <cell r="B110" t="str">
            <v>大口起司熔岩白醬炸魚飯糰</v>
          </cell>
          <cell r="C110">
            <v>11</v>
          </cell>
          <cell r="D110">
            <v>2250</v>
          </cell>
          <cell r="E110">
            <v>192.5</v>
          </cell>
        </row>
        <row r="111">
          <cell r="B111" t="str">
            <v>大口法式蕈菇起司雞排飯糰</v>
          </cell>
          <cell r="C111">
            <v>10</v>
          </cell>
          <cell r="D111">
            <v>2250</v>
          </cell>
          <cell r="E111">
            <v>225</v>
          </cell>
        </row>
        <row r="112">
          <cell r="B112" t="str">
            <v>大口義式香草雞腿排飯糰</v>
          </cell>
          <cell r="C112">
            <v>9</v>
          </cell>
          <cell r="D112">
            <v>2796</v>
          </cell>
          <cell r="E112">
            <v>307.7</v>
          </cell>
        </row>
        <row r="124">
          <cell r="B124" t="str">
            <v>霜降和牛飯糰</v>
          </cell>
          <cell r="C124">
            <v>11</v>
          </cell>
          <cell r="D124">
            <v>1800</v>
          </cell>
          <cell r="E124">
            <v>163.63636363636363</v>
          </cell>
        </row>
        <row r="125">
          <cell r="B125" t="str">
            <v>二配兔兔昆布飯糰</v>
          </cell>
          <cell r="C125">
            <v>8</v>
          </cell>
          <cell r="D125">
            <v>1800</v>
          </cell>
          <cell r="E125">
            <v>225</v>
          </cell>
        </row>
        <row r="126">
          <cell r="B126" t="str">
            <v>肉燥烤飯糰</v>
          </cell>
          <cell r="C126">
            <v>4</v>
          </cell>
          <cell r="D126">
            <v>2000</v>
          </cell>
          <cell r="E126">
            <v>500</v>
          </cell>
        </row>
        <row r="127">
          <cell r="B127" t="str">
            <v>蒜泥狠台味三拼</v>
          </cell>
          <cell r="C127">
            <v>20</v>
          </cell>
          <cell r="D127">
            <v>1440</v>
          </cell>
          <cell r="E127">
            <v>72</v>
          </cell>
        </row>
        <row r="128">
          <cell r="B128" t="str">
            <v>德式酸菜燻腸飯卷</v>
          </cell>
          <cell r="C128">
            <v>13</v>
          </cell>
          <cell r="D128">
            <v>1500</v>
          </cell>
          <cell r="E128">
            <v>115.38461538461539</v>
          </cell>
        </row>
        <row r="129">
          <cell r="B129" t="str">
            <v>德腸烤飯糰雙拼餐盒</v>
          </cell>
          <cell r="C129">
            <v>15</v>
          </cell>
          <cell r="D129">
            <v>1500</v>
          </cell>
          <cell r="E129">
            <v>100</v>
          </cell>
        </row>
        <row r="130">
          <cell r="B130" t="str">
            <v>韓式部隊鍋</v>
          </cell>
          <cell r="C130">
            <v>22</v>
          </cell>
          <cell r="D130">
            <v>1200</v>
          </cell>
          <cell r="E130">
            <v>54.545454545454547</v>
          </cell>
        </row>
        <row r="131">
          <cell r="B131" t="str">
            <v>長野稻荷壽司</v>
          </cell>
          <cell r="C131">
            <v>10</v>
          </cell>
          <cell r="D131">
            <v>1500</v>
          </cell>
          <cell r="E131">
            <v>150</v>
          </cell>
        </row>
        <row r="132">
          <cell r="B132" t="str">
            <v>二配兩粒飯糰(鮪魚.焦糖鮭魚)</v>
          </cell>
          <cell r="C132">
            <v>12</v>
          </cell>
          <cell r="D132">
            <v>1500</v>
          </cell>
          <cell r="E132">
            <v>125</v>
          </cell>
        </row>
        <row r="133">
          <cell r="B133" t="str">
            <v>香料咖哩炸雞烤飯糰</v>
          </cell>
          <cell r="C133">
            <v>6</v>
          </cell>
          <cell r="D133">
            <v>2000</v>
          </cell>
          <cell r="E133">
            <v>333.33333333333331</v>
          </cell>
        </row>
        <row r="146">
          <cell r="B146" t="str">
            <v>兩粒飯糰(鮪魚.焦糖鮭魚)</v>
          </cell>
          <cell r="C146">
            <v>12</v>
          </cell>
          <cell r="D146">
            <v>1500</v>
          </cell>
          <cell r="E146">
            <v>125</v>
          </cell>
        </row>
        <row r="147">
          <cell r="B147" t="str">
            <v>預估產能</v>
          </cell>
          <cell r="D147" t="str">
            <v>顆</v>
          </cell>
          <cell r="E147" t="str">
            <v>產能</v>
          </cell>
        </row>
        <row r="148">
          <cell r="B148">
            <v>1300</v>
          </cell>
          <cell r="D148">
            <v>20</v>
          </cell>
          <cell r="E148">
            <v>1200</v>
          </cell>
        </row>
        <row r="149">
          <cell r="B149" t="str">
            <v>麵1400-1500</v>
          </cell>
          <cell r="D149">
            <v>22</v>
          </cell>
          <cell r="E149">
            <v>1320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fitToPage="1"/>
  </sheetPr>
  <dimension ref="A1:AA55"/>
  <sheetViews>
    <sheetView zoomScaleNormal="100" workbookViewId="0">
      <selection activeCell="E17" sqref="E17"/>
    </sheetView>
  </sheetViews>
  <sheetFormatPr defaultColWidth="12.54296875" defaultRowHeight="15.75" customHeight="1"/>
  <cols>
    <col min="1" max="2" width="12.54296875" style="2" customWidth="1"/>
    <col min="3" max="16384" width="12.54296875" style="2"/>
  </cols>
  <sheetData>
    <row r="1" spans="1:23" ht="15.75" customHeight="1">
      <c r="A1" s="1"/>
      <c r="G1" s="1"/>
      <c r="M1" s="1"/>
      <c r="S1" s="1"/>
    </row>
    <row r="2" spans="1:23" ht="15.75" customHeight="1">
      <c r="A2" s="3">
        <v>7</v>
      </c>
      <c r="B2" s="49" t="s">
        <v>73</v>
      </c>
      <c r="C2" s="48" t="s">
        <v>74</v>
      </c>
      <c r="D2" s="5" t="s">
        <v>0</v>
      </c>
      <c r="E2" s="6"/>
      <c r="G2" s="1"/>
      <c r="M2" s="1"/>
      <c r="S2" s="1"/>
    </row>
    <row r="3" spans="1:23" ht="15.75" customHeight="1">
      <c r="A3" s="1"/>
      <c r="G3" s="1"/>
      <c r="M3" s="1"/>
      <c r="S3" s="1"/>
    </row>
    <row r="4" spans="1:23" ht="15.75" customHeight="1">
      <c r="A4" s="61" t="s">
        <v>21</v>
      </c>
      <c r="B4" s="68"/>
      <c r="C4" s="68"/>
      <c r="D4" s="68"/>
      <c r="E4" s="62" t="s">
        <v>23</v>
      </c>
      <c r="G4" s="61" t="s">
        <v>71</v>
      </c>
      <c r="H4" s="68"/>
      <c r="I4" s="68"/>
      <c r="J4" s="68"/>
      <c r="K4" s="68"/>
      <c r="M4" s="61" t="s">
        <v>32</v>
      </c>
      <c r="N4" s="68"/>
      <c r="O4" s="68"/>
      <c r="P4" s="68"/>
      <c r="Q4" s="68"/>
      <c r="R4" s="68"/>
      <c r="S4" s="61" t="s">
        <v>33</v>
      </c>
      <c r="T4" s="68"/>
      <c r="U4" s="68"/>
      <c r="V4" s="68"/>
      <c r="W4" s="68"/>
    </row>
    <row r="5" spans="1:23" ht="15.75" customHeight="1">
      <c r="A5" s="7"/>
      <c r="B5" s="50" t="s">
        <v>22</v>
      </c>
      <c r="C5" s="7" t="s">
        <v>1</v>
      </c>
      <c r="D5" s="7" t="s">
        <v>2</v>
      </c>
      <c r="E5" s="7" t="s">
        <v>3</v>
      </c>
      <c r="G5" s="7"/>
      <c r="H5" s="50" t="s">
        <v>69</v>
      </c>
      <c r="I5" s="50" t="s">
        <v>70</v>
      </c>
      <c r="J5" s="50" t="s">
        <v>67</v>
      </c>
      <c r="K5" s="7" t="s">
        <v>3</v>
      </c>
      <c r="L5" s="63" t="s">
        <v>60</v>
      </c>
      <c r="M5" s="7"/>
      <c r="N5" s="50" t="s">
        <v>22</v>
      </c>
      <c r="O5" s="50" t="s">
        <v>66</v>
      </c>
      <c r="P5" s="50" t="s">
        <v>67</v>
      </c>
      <c r="Q5" s="50" t="s">
        <v>68</v>
      </c>
      <c r="R5" s="68"/>
      <c r="S5" s="7"/>
      <c r="T5" s="50" t="s">
        <v>22</v>
      </c>
      <c r="U5" s="50" t="s">
        <v>66</v>
      </c>
      <c r="V5" s="50" t="s">
        <v>67</v>
      </c>
      <c r="W5" s="50" t="s">
        <v>68</v>
      </c>
    </row>
    <row r="6" spans="1:23" ht="15.75" customHeight="1">
      <c r="A6" s="50" t="s">
        <v>24</v>
      </c>
      <c r="B6" s="9">
        <v>500000</v>
      </c>
      <c r="C6" s="9">
        <v>510000</v>
      </c>
      <c r="D6" s="10">
        <f t="shared" ref="D6:D11" si="0">B6-C6</f>
        <v>-10000</v>
      </c>
      <c r="E6" s="9">
        <f>B6+C6</f>
        <v>1010000</v>
      </c>
      <c r="G6" s="50" t="s">
        <v>30</v>
      </c>
      <c r="H6" s="11">
        <v>110</v>
      </c>
      <c r="I6" s="11">
        <v>100</v>
      </c>
      <c r="J6" s="11">
        <v>90</v>
      </c>
      <c r="K6" s="12"/>
      <c r="L6" s="63" t="s">
        <v>61</v>
      </c>
      <c r="M6" s="50" t="s">
        <v>34</v>
      </c>
      <c r="N6" s="9">
        <v>150000</v>
      </c>
      <c r="O6" s="13">
        <f t="shared" ref="O6:O13" si="1">IFERROR(N6/$B$6,"")</f>
        <v>0.3</v>
      </c>
      <c r="P6" s="14">
        <v>0.4</v>
      </c>
      <c r="Q6" s="13">
        <f t="shared" ref="Q6:Q13" si="2">IFERROR(O6-P6,"")</f>
        <v>-0.10000000000000003</v>
      </c>
      <c r="S6" s="50" t="s">
        <v>34</v>
      </c>
      <c r="T6" s="9">
        <v>35000</v>
      </c>
      <c r="U6" s="13">
        <f t="shared" ref="U6:U13" si="3">IFERROR(T6/$B$7,"")</f>
        <v>0.35</v>
      </c>
      <c r="V6" s="14">
        <v>0.3</v>
      </c>
      <c r="W6" s="13">
        <f t="shared" ref="W6:W13" si="4">IFERROR(U6-V6,"")</f>
        <v>4.9999999999999989E-2</v>
      </c>
    </row>
    <row r="7" spans="1:23" ht="15.75" customHeight="1">
      <c r="A7" s="50" t="s">
        <v>25</v>
      </c>
      <c r="B7" s="9">
        <v>100000</v>
      </c>
      <c r="C7" s="9">
        <v>110000</v>
      </c>
      <c r="D7" s="10">
        <f t="shared" si="0"/>
        <v>-10000</v>
      </c>
      <c r="E7" s="9">
        <f>B7+C7</f>
        <v>210000</v>
      </c>
      <c r="G7" s="54" t="s">
        <v>31</v>
      </c>
      <c r="H7" s="14">
        <v>0.8</v>
      </c>
      <c r="I7" s="14">
        <v>0.85</v>
      </c>
      <c r="J7" s="14">
        <v>0.81</v>
      </c>
      <c r="K7" s="14">
        <v>0.84</v>
      </c>
      <c r="L7" s="67" t="s">
        <v>4</v>
      </c>
      <c r="M7" s="50" t="s">
        <v>35</v>
      </c>
      <c r="N7" s="9">
        <v>100000</v>
      </c>
      <c r="O7" s="13">
        <f t="shared" si="1"/>
        <v>0.2</v>
      </c>
      <c r="P7" s="14">
        <v>0.15</v>
      </c>
      <c r="Q7" s="13">
        <f t="shared" si="2"/>
        <v>5.0000000000000017E-2</v>
      </c>
      <c r="S7" s="50" t="s">
        <v>35</v>
      </c>
      <c r="T7" s="9">
        <v>30000</v>
      </c>
      <c r="U7" s="13">
        <f t="shared" si="3"/>
        <v>0.3</v>
      </c>
      <c r="V7" s="14">
        <v>0.15</v>
      </c>
      <c r="W7" s="13">
        <f t="shared" si="4"/>
        <v>0.15</v>
      </c>
    </row>
    <row r="8" spans="1:23" ht="15.75" customHeight="1">
      <c r="A8" s="7" t="s">
        <v>5</v>
      </c>
      <c r="B8" s="9">
        <v>250000</v>
      </c>
      <c r="C8" s="9">
        <v>260000</v>
      </c>
      <c r="D8" s="10">
        <f t="shared" si="0"/>
        <v>-10000</v>
      </c>
      <c r="E8" s="9">
        <f>B8+C8</f>
        <v>510000</v>
      </c>
      <c r="G8" s="50" t="s">
        <v>26</v>
      </c>
      <c r="H8" s="14">
        <v>2.5000000000000001E-3</v>
      </c>
      <c r="I8" s="14">
        <v>2.3999999999999998E-3</v>
      </c>
      <c r="J8" s="14">
        <v>2.3E-3</v>
      </c>
      <c r="K8" s="14">
        <v>2.3500000000000001E-3</v>
      </c>
      <c r="L8" s="63" t="s">
        <v>55</v>
      </c>
      <c r="M8" s="50" t="s">
        <v>36</v>
      </c>
      <c r="N8" s="9">
        <v>160000</v>
      </c>
      <c r="O8" s="13">
        <f t="shared" si="1"/>
        <v>0.32</v>
      </c>
      <c r="P8" s="14">
        <v>0.28000000000000003</v>
      </c>
      <c r="Q8" s="13">
        <f t="shared" si="2"/>
        <v>3.999999999999998E-2</v>
      </c>
      <c r="S8" s="50" t="s">
        <v>36</v>
      </c>
      <c r="T8" s="9">
        <v>20000</v>
      </c>
      <c r="U8" s="13">
        <f t="shared" si="3"/>
        <v>0.2</v>
      </c>
      <c r="V8" s="14">
        <v>0.28000000000000003</v>
      </c>
      <c r="W8" s="13">
        <f t="shared" si="4"/>
        <v>-8.0000000000000016E-2</v>
      </c>
    </row>
    <row r="9" spans="1:23" ht="15.75" customHeight="1">
      <c r="A9" s="7" t="s">
        <v>6</v>
      </c>
      <c r="B9" s="14">
        <f>B8/B6</f>
        <v>0.5</v>
      </c>
      <c r="C9" s="14">
        <f>C8/C6</f>
        <v>0.50980392156862742</v>
      </c>
      <c r="D9" s="13">
        <f t="shared" si="0"/>
        <v>-9.8039215686274161E-3</v>
      </c>
      <c r="E9" s="14">
        <f>(B9+C9)/2</f>
        <v>0.50490196078431371</v>
      </c>
      <c r="G9" s="50" t="s">
        <v>27</v>
      </c>
      <c r="H9" s="14">
        <v>6.0000000000000001E-3</v>
      </c>
      <c r="I9" s="14">
        <v>8.9999999999999993E-3</v>
      </c>
      <c r="J9" s="14">
        <v>9.4999999999999998E-3</v>
      </c>
      <c r="K9" s="14">
        <v>9.1999999999999998E-3</v>
      </c>
      <c r="L9" s="63" t="s">
        <v>104</v>
      </c>
      <c r="M9" s="50" t="s">
        <v>44</v>
      </c>
      <c r="N9" s="9">
        <v>90000</v>
      </c>
      <c r="O9" s="13">
        <f t="shared" si="1"/>
        <v>0.18</v>
      </c>
      <c r="P9" s="14">
        <v>0.17</v>
      </c>
      <c r="Q9" s="13">
        <f t="shared" si="2"/>
        <v>9.9999999999999811E-3</v>
      </c>
      <c r="S9" s="50" t="s">
        <v>44</v>
      </c>
      <c r="T9" s="9">
        <v>15000</v>
      </c>
      <c r="U9" s="13">
        <f t="shared" si="3"/>
        <v>0.15</v>
      </c>
      <c r="V9" s="14">
        <v>0.27</v>
      </c>
      <c r="W9" s="13">
        <f t="shared" si="4"/>
        <v>-0.12000000000000002</v>
      </c>
    </row>
    <row r="10" spans="1:23" ht="15.75" customHeight="1">
      <c r="A10" s="50" t="s">
        <v>64</v>
      </c>
      <c r="B10" s="9">
        <v>100000</v>
      </c>
      <c r="C10" s="9">
        <v>105000</v>
      </c>
      <c r="D10" s="10">
        <f t="shared" si="0"/>
        <v>-5000</v>
      </c>
      <c r="E10" s="9">
        <f>B10+C10</f>
        <v>205000</v>
      </c>
      <c r="G10" s="50" t="s">
        <v>28</v>
      </c>
      <c r="H10" s="14">
        <v>0.95</v>
      </c>
      <c r="I10" s="14">
        <v>0.9</v>
      </c>
      <c r="J10" s="14">
        <v>0.92</v>
      </c>
      <c r="K10" s="14">
        <v>0.91</v>
      </c>
      <c r="L10" s="67" t="s">
        <v>7</v>
      </c>
      <c r="M10" s="50" t="s">
        <v>37</v>
      </c>
      <c r="N10" s="9" t="s">
        <v>8</v>
      </c>
      <c r="O10" s="13" t="str">
        <f t="shared" si="1"/>
        <v/>
      </c>
      <c r="P10" s="4" t="s">
        <v>9</v>
      </c>
      <c r="Q10" s="13" t="str">
        <f t="shared" si="2"/>
        <v/>
      </c>
      <c r="S10" s="50" t="s">
        <v>37</v>
      </c>
      <c r="T10" s="9" t="s">
        <v>8</v>
      </c>
      <c r="U10" s="13" t="str">
        <f t="shared" si="3"/>
        <v/>
      </c>
      <c r="V10" s="4" t="s">
        <v>9</v>
      </c>
      <c r="W10" s="13" t="str">
        <f t="shared" si="4"/>
        <v/>
      </c>
    </row>
    <row r="11" spans="1:23" ht="15.75" customHeight="1">
      <c r="A11" s="50" t="s">
        <v>65</v>
      </c>
      <c r="B11" s="14">
        <f>B10/B6</f>
        <v>0.2</v>
      </c>
      <c r="C11" s="14">
        <f>C10/C6</f>
        <v>0.20588235294117646</v>
      </c>
      <c r="D11" s="13">
        <f t="shared" si="0"/>
        <v>-5.8823529411764497E-3</v>
      </c>
      <c r="E11" s="14">
        <f>(B11+C11)/2</f>
        <v>0.20294117647058824</v>
      </c>
      <c r="G11" s="50" t="s">
        <v>29</v>
      </c>
      <c r="H11" s="14">
        <v>0.8</v>
      </c>
      <c r="I11" s="14">
        <v>0.85</v>
      </c>
      <c r="J11" s="14">
        <v>1</v>
      </c>
      <c r="K11" s="14">
        <v>0.92</v>
      </c>
      <c r="L11" s="63" t="s">
        <v>62</v>
      </c>
      <c r="M11" s="50" t="s">
        <v>38</v>
      </c>
      <c r="N11" s="9" t="s">
        <v>8</v>
      </c>
      <c r="O11" s="13" t="str">
        <f t="shared" si="1"/>
        <v/>
      </c>
      <c r="P11" s="4" t="s">
        <v>9</v>
      </c>
      <c r="Q11" s="13" t="str">
        <f t="shared" si="2"/>
        <v/>
      </c>
      <c r="S11" s="50" t="s">
        <v>38</v>
      </c>
      <c r="T11" s="9" t="s">
        <v>8</v>
      </c>
      <c r="U11" s="13" t="str">
        <f t="shared" si="3"/>
        <v/>
      </c>
      <c r="V11" s="4" t="s">
        <v>9</v>
      </c>
      <c r="W11" s="13" t="str">
        <f t="shared" si="4"/>
        <v/>
      </c>
    </row>
    <row r="12" spans="1:23" ht="15.75" customHeight="1">
      <c r="M12" s="50" t="s">
        <v>39</v>
      </c>
      <c r="N12" s="9" t="s">
        <v>8</v>
      </c>
      <c r="O12" s="13" t="str">
        <f t="shared" si="1"/>
        <v/>
      </c>
      <c r="P12" s="4" t="s">
        <v>9</v>
      </c>
      <c r="Q12" s="13" t="str">
        <f t="shared" si="2"/>
        <v/>
      </c>
      <c r="S12" s="50" t="s">
        <v>39</v>
      </c>
      <c r="T12" s="9" t="s">
        <v>8</v>
      </c>
      <c r="U12" s="13" t="str">
        <f t="shared" si="3"/>
        <v/>
      </c>
      <c r="V12" s="4" t="s">
        <v>9</v>
      </c>
      <c r="W12" s="13" t="str">
        <f t="shared" si="4"/>
        <v/>
      </c>
    </row>
    <row r="13" spans="1:23" ht="15.75" customHeight="1">
      <c r="A13" s="61" t="s">
        <v>63</v>
      </c>
      <c r="B13" s="68"/>
      <c r="C13" s="68"/>
      <c r="D13" s="68"/>
      <c r="E13" s="68"/>
      <c r="F13" s="68"/>
      <c r="G13" s="47"/>
      <c r="H13" s="47"/>
      <c r="I13" s="47"/>
      <c r="J13" s="47"/>
      <c r="K13" s="47"/>
      <c r="M13" s="50" t="s">
        <v>40</v>
      </c>
      <c r="N13" s="9" t="s">
        <v>8</v>
      </c>
      <c r="O13" s="13" t="str">
        <f t="shared" si="1"/>
        <v/>
      </c>
      <c r="P13" s="4" t="s">
        <v>9</v>
      </c>
      <c r="Q13" s="13" t="str">
        <f t="shared" si="2"/>
        <v/>
      </c>
      <c r="S13" s="50" t="s">
        <v>40</v>
      </c>
      <c r="T13" s="9" t="s">
        <v>8</v>
      </c>
      <c r="U13" s="13" t="str">
        <f t="shared" si="3"/>
        <v/>
      </c>
      <c r="V13" s="4" t="s">
        <v>9</v>
      </c>
      <c r="W13" s="13" t="str">
        <f t="shared" si="4"/>
        <v/>
      </c>
    </row>
    <row r="14" spans="1:23" ht="12.5">
      <c r="A14" s="7"/>
      <c r="B14" s="50" t="s">
        <v>22</v>
      </c>
      <c r="C14" s="7" t="s">
        <v>1</v>
      </c>
      <c r="D14" s="7" t="s">
        <v>2</v>
      </c>
      <c r="E14" s="7" t="s">
        <v>3</v>
      </c>
      <c r="F14" s="68"/>
      <c r="G14" s="7"/>
      <c r="H14" s="50" t="s">
        <v>22</v>
      </c>
      <c r="I14" s="7" t="s">
        <v>1</v>
      </c>
      <c r="J14" s="7" t="s">
        <v>2</v>
      </c>
      <c r="K14" s="7" t="s">
        <v>3</v>
      </c>
      <c r="O14" s="15">
        <f>SUM(O6:O13)</f>
        <v>1</v>
      </c>
      <c r="P14" s="15">
        <f>SUM(P6:P13)</f>
        <v>1</v>
      </c>
      <c r="U14" s="15">
        <f>SUM(U6:U13)</f>
        <v>0.99999999999999989</v>
      </c>
      <c r="V14" s="15">
        <f>SUM(V6:V13)</f>
        <v>1</v>
      </c>
    </row>
    <row r="15" spans="1:23" ht="15.75" customHeight="1">
      <c r="A15" s="50" t="s">
        <v>34</v>
      </c>
      <c r="B15" s="4">
        <v>600</v>
      </c>
      <c r="C15" s="4">
        <v>660</v>
      </c>
      <c r="D15" s="16">
        <f>B15-C15</f>
        <v>-60</v>
      </c>
      <c r="E15" s="17">
        <f>(B15+C15)/2</f>
        <v>630</v>
      </c>
      <c r="G15" s="50" t="s">
        <v>37</v>
      </c>
      <c r="H15" s="4"/>
      <c r="I15" s="4"/>
      <c r="J15" s="16">
        <f>H15-I15</f>
        <v>0</v>
      </c>
      <c r="K15" s="17"/>
      <c r="M15" s="61" t="s">
        <v>72</v>
      </c>
      <c r="N15" s="68"/>
      <c r="O15" s="68"/>
      <c r="P15" s="68"/>
      <c r="Q15" s="68"/>
      <c r="R15" s="68"/>
      <c r="S15" s="68"/>
    </row>
    <row r="16" spans="1:23" ht="15.75" customHeight="1">
      <c r="A16" s="50" t="s">
        <v>35</v>
      </c>
      <c r="B16" s="4">
        <v>800</v>
      </c>
      <c r="C16" s="4">
        <v>780</v>
      </c>
      <c r="D16" s="16">
        <f>B16-C16</f>
        <v>20</v>
      </c>
      <c r="E16" s="17">
        <f>(B16+C16)/2</f>
        <v>790</v>
      </c>
      <c r="G16" s="50" t="s">
        <v>38</v>
      </c>
      <c r="H16" s="4"/>
      <c r="I16" s="4"/>
      <c r="J16" s="16">
        <f>H16-I16</f>
        <v>0</v>
      </c>
      <c r="K16" s="17"/>
      <c r="M16" s="18"/>
      <c r="N16" s="46" t="s">
        <v>10</v>
      </c>
      <c r="O16" s="19"/>
      <c r="P16" s="59" t="s">
        <v>42</v>
      </c>
      <c r="Q16" s="19"/>
      <c r="R16" s="52" t="s">
        <v>43</v>
      </c>
      <c r="S16" s="19"/>
    </row>
    <row r="17" spans="1:27" ht="15.75" customHeight="1">
      <c r="A17" s="50" t="s">
        <v>36</v>
      </c>
      <c r="B17" s="4">
        <v>130</v>
      </c>
      <c r="C17" s="4">
        <v>111</v>
      </c>
      <c r="D17" s="16">
        <f>B17-C17</f>
        <v>19</v>
      </c>
      <c r="E17" s="17">
        <f>(B17+C17)/2</f>
        <v>120.5</v>
      </c>
      <c r="G17" s="50" t="s">
        <v>39</v>
      </c>
      <c r="H17" s="4"/>
      <c r="I17" s="4"/>
      <c r="J17" s="16">
        <f>H17-I17</f>
        <v>0</v>
      </c>
      <c r="K17" s="17"/>
      <c r="M17" s="20"/>
      <c r="N17" s="21" t="s">
        <v>11</v>
      </c>
      <c r="O17" s="51" t="s">
        <v>41</v>
      </c>
      <c r="P17" s="8" t="s">
        <v>11</v>
      </c>
      <c r="Q17" s="51" t="s">
        <v>41</v>
      </c>
      <c r="R17" s="8" t="s">
        <v>11</v>
      </c>
      <c r="S17" s="51" t="s">
        <v>41</v>
      </c>
    </row>
    <row r="18" spans="1:27" ht="15.75" customHeight="1">
      <c r="A18" s="50" t="s">
        <v>44</v>
      </c>
      <c r="B18" s="4">
        <v>140</v>
      </c>
      <c r="C18" s="4">
        <v>165</v>
      </c>
      <c r="D18" s="16">
        <f>B18-C18</f>
        <v>-25</v>
      </c>
      <c r="E18" s="17">
        <f>(B18+C18)/2</f>
        <v>152.5</v>
      </c>
      <c r="G18" s="50" t="s">
        <v>40</v>
      </c>
      <c r="H18" s="4"/>
      <c r="I18" s="4"/>
      <c r="J18" s="16">
        <f>H18-I18</f>
        <v>0</v>
      </c>
      <c r="K18" s="17"/>
      <c r="M18" s="50" t="s">
        <v>26</v>
      </c>
      <c r="N18" s="9">
        <v>1200</v>
      </c>
      <c r="O18" s="13">
        <f>N18/$B$6</f>
        <v>2.3999999999999998E-3</v>
      </c>
      <c r="P18" s="9">
        <v>900</v>
      </c>
      <c r="Q18" s="13">
        <f>IFERROR(P18/$B$6,"")</f>
        <v>1.8E-3</v>
      </c>
      <c r="R18" s="9">
        <v>300</v>
      </c>
      <c r="S18" s="13">
        <f>IFERROR(R18/$B$6,"")</f>
        <v>5.9999999999999995E-4</v>
      </c>
    </row>
    <row r="19" spans="1:27" ht="15.75" customHeight="1">
      <c r="M19" s="50" t="s">
        <v>27</v>
      </c>
      <c r="N19" s="9">
        <v>4500</v>
      </c>
      <c r="O19" s="13">
        <f>N19/$B$6</f>
        <v>8.9999999999999993E-3</v>
      </c>
      <c r="P19" s="9">
        <v>3500</v>
      </c>
      <c r="Q19" s="13">
        <f>IFERROR(P19/$B$6,"")</f>
        <v>7.0000000000000001E-3</v>
      </c>
      <c r="R19" s="9">
        <v>1000</v>
      </c>
      <c r="S19" s="13">
        <f>IFERROR(R19/$B$6,"")</f>
        <v>2E-3</v>
      </c>
    </row>
    <row r="20" spans="1:27" ht="15.75" customHeight="1">
      <c r="A20" s="61" t="s">
        <v>45</v>
      </c>
      <c r="B20" s="68"/>
      <c r="C20" s="64"/>
      <c r="D20" s="68"/>
      <c r="E20" s="68"/>
      <c r="F20" s="64"/>
      <c r="G20" s="64"/>
      <c r="H20" s="64"/>
      <c r="I20" s="64"/>
      <c r="J20" s="68"/>
      <c r="K20" s="68"/>
    </row>
    <row r="21" spans="1:27" ht="15.75" customHeight="1">
      <c r="A21" s="18"/>
      <c r="B21" s="50" t="s">
        <v>47</v>
      </c>
      <c r="C21" s="480" t="s">
        <v>12</v>
      </c>
      <c r="D21" s="478"/>
      <c r="E21" s="479"/>
      <c r="F21" s="50" t="s">
        <v>46</v>
      </c>
      <c r="G21" s="50" t="s">
        <v>48</v>
      </c>
      <c r="H21" s="50" t="s">
        <v>49</v>
      </c>
      <c r="I21" s="8" t="s">
        <v>13</v>
      </c>
      <c r="J21" s="493" t="s">
        <v>51</v>
      </c>
      <c r="K21" s="479"/>
      <c r="M21" s="61" t="s">
        <v>52</v>
      </c>
      <c r="N21" s="68"/>
      <c r="O21" s="64"/>
      <c r="P21" s="68"/>
      <c r="Q21" s="68"/>
      <c r="R21" s="64"/>
      <c r="S21" s="64"/>
      <c r="T21" s="64"/>
      <c r="U21" s="64"/>
      <c r="V21" s="64"/>
      <c r="W21" s="64"/>
      <c r="X21" s="64"/>
      <c r="Y21" s="64"/>
      <c r="Z21" s="68"/>
      <c r="AA21" s="68"/>
    </row>
    <row r="22" spans="1:27" ht="15.75" customHeight="1">
      <c r="A22" s="53" t="s">
        <v>34</v>
      </c>
      <c r="B22" s="6">
        <v>1</v>
      </c>
      <c r="C22" s="482" t="s">
        <v>14</v>
      </c>
      <c r="D22" s="478"/>
      <c r="E22" s="479"/>
      <c r="F22" s="4">
        <v>3</v>
      </c>
      <c r="G22" s="4">
        <v>3000</v>
      </c>
      <c r="H22" s="4">
        <v>1000</v>
      </c>
      <c r="I22" s="4">
        <v>10</v>
      </c>
      <c r="J22" s="481" t="s">
        <v>76</v>
      </c>
      <c r="K22" s="479"/>
      <c r="M22" s="53" t="s">
        <v>26</v>
      </c>
      <c r="N22" s="58" t="s">
        <v>47</v>
      </c>
      <c r="O22" s="488" t="s">
        <v>12</v>
      </c>
      <c r="P22" s="478"/>
      <c r="Q22" s="479"/>
      <c r="R22" s="494" t="s">
        <v>53</v>
      </c>
      <c r="S22" s="478"/>
      <c r="T22" s="479"/>
      <c r="U22" s="58" t="s">
        <v>54</v>
      </c>
      <c r="V22" s="58" t="s">
        <v>55</v>
      </c>
      <c r="W22" s="58" t="s">
        <v>56</v>
      </c>
      <c r="X22" s="8" t="s">
        <v>11</v>
      </c>
      <c r="Y22" s="8" t="s">
        <v>13</v>
      </c>
      <c r="Z22" s="493" t="s">
        <v>51</v>
      </c>
      <c r="AA22" s="479"/>
    </row>
    <row r="23" spans="1:27" ht="15.75" customHeight="1">
      <c r="A23" s="23"/>
      <c r="B23" s="6">
        <v>2</v>
      </c>
      <c r="C23" s="477"/>
      <c r="D23" s="478"/>
      <c r="E23" s="479"/>
      <c r="F23" s="4"/>
      <c r="G23" s="4"/>
      <c r="H23" s="4"/>
      <c r="I23" s="4"/>
      <c r="J23" s="477"/>
      <c r="K23" s="479"/>
      <c r="M23" s="57" t="s">
        <v>42</v>
      </c>
      <c r="N23" s="24">
        <v>1</v>
      </c>
      <c r="O23" s="481" t="s">
        <v>82</v>
      </c>
      <c r="P23" s="478"/>
      <c r="Q23" s="479"/>
      <c r="R23" s="481" t="s">
        <v>85</v>
      </c>
      <c r="S23" s="478"/>
      <c r="T23" s="479"/>
      <c r="U23" s="4">
        <v>10</v>
      </c>
      <c r="V23" s="14">
        <v>0.15</v>
      </c>
      <c r="W23" s="4">
        <v>10</v>
      </c>
      <c r="X23" s="16">
        <f>W23*U23</f>
        <v>100</v>
      </c>
      <c r="Y23" s="4">
        <v>80</v>
      </c>
      <c r="Z23" s="481" t="s">
        <v>86</v>
      </c>
      <c r="AA23" s="479"/>
    </row>
    <row r="24" spans="1:27" ht="15.75" customHeight="1">
      <c r="A24" s="23"/>
      <c r="B24" s="6">
        <v>3</v>
      </c>
      <c r="C24" s="477"/>
      <c r="D24" s="478"/>
      <c r="E24" s="479"/>
      <c r="F24" s="4"/>
      <c r="G24" s="4"/>
      <c r="H24" s="4"/>
      <c r="I24" s="4"/>
      <c r="J24" s="477"/>
      <c r="K24" s="479"/>
      <c r="M24" s="25"/>
      <c r="N24" s="24">
        <v>2</v>
      </c>
      <c r="O24" s="482"/>
      <c r="P24" s="478"/>
      <c r="Q24" s="479"/>
      <c r="R24" s="482"/>
      <c r="S24" s="478"/>
      <c r="T24" s="479"/>
      <c r="U24" s="4"/>
      <c r="V24" s="14"/>
      <c r="W24" s="4"/>
      <c r="X24" s="16">
        <f>W24*U24</f>
        <v>0</v>
      </c>
      <c r="Y24" s="4"/>
      <c r="Z24" s="482"/>
      <c r="AA24" s="479"/>
    </row>
    <row r="25" spans="1:27" ht="15.75" customHeight="1">
      <c r="A25" s="23"/>
      <c r="B25" s="6">
        <v>4</v>
      </c>
      <c r="C25" s="477"/>
      <c r="D25" s="478"/>
      <c r="E25" s="479"/>
      <c r="F25" s="4"/>
      <c r="G25" s="4"/>
      <c r="H25" s="4"/>
      <c r="I25" s="4"/>
      <c r="J25" s="477"/>
      <c r="K25" s="479"/>
      <c r="M25" s="25"/>
      <c r="N25" s="24">
        <v>3</v>
      </c>
      <c r="O25" s="482"/>
      <c r="P25" s="478"/>
      <c r="Q25" s="479"/>
      <c r="R25" s="482"/>
      <c r="S25" s="478"/>
      <c r="T25" s="479"/>
      <c r="U25" s="4"/>
      <c r="V25" s="14"/>
      <c r="W25" s="4"/>
      <c r="X25" s="16">
        <f>W25*U25</f>
        <v>0</v>
      </c>
      <c r="Y25" s="4"/>
      <c r="Z25" s="482"/>
      <c r="AA25" s="479"/>
    </row>
    <row r="26" spans="1:27" ht="15.75" customHeight="1">
      <c r="A26" s="23"/>
      <c r="B26" s="26">
        <v>5</v>
      </c>
      <c r="C26" s="491"/>
      <c r="D26" s="487"/>
      <c r="E26" s="484"/>
      <c r="F26" s="27"/>
      <c r="G26" s="27"/>
      <c r="H26" s="27"/>
      <c r="I26" s="27"/>
      <c r="J26" s="491"/>
      <c r="K26" s="484"/>
      <c r="M26" s="25"/>
      <c r="N26" s="24">
        <v>4</v>
      </c>
      <c r="O26" s="482"/>
      <c r="P26" s="478"/>
      <c r="Q26" s="479"/>
      <c r="R26" s="482"/>
      <c r="S26" s="478"/>
      <c r="T26" s="479"/>
      <c r="U26" s="4"/>
      <c r="V26" s="14"/>
      <c r="W26" s="4"/>
      <c r="X26" s="16">
        <f>W26*U26</f>
        <v>0</v>
      </c>
      <c r="Y26" s="4"/>
      <c r="Z26" s="482"/>
      <c r="AA26" s="479"/>
    </row>
    <row r="27" spans="1:27" ht="15.75" customHeight="1">
      <c r="A27" s="23"/>
      <c r="B27" s="70" t="s">
        <v>101</v>
      </c>
      <c r="C27" s="485" t="s">
        <v>75</v>
      </c>
      <c r="D27" s="492"/>
      <c r="E27" s="486"/>
      <c r="F27" s="28">
        <v>4</v>
      </c>
      <c r="G27" s="28">
        <v>2800</v>
      </c>
      <c r="H27" s="28">
        <v>700</v>
      </c>
      <c r="I27" s="28" t="s">
        <v>15</v>
      </c>
      <c r="J27" s="485" t="s">
        <v>77</v>
      </c>
      <c r="K27" s="486"/>
      <c r="M27" s="25"/>
      <c r="N27" s="29">
        <v>5</v>
      </c>
      <c r="O27" s="483"/>
      <c r="P27" s="487"/>
      <c r="Q27" s="484"/>
      <c r="R27" s="483"/>
      <c r="S27" s="487"/>
      <c r="T27" s="484"/>
      <c r="U27" s="27"/>
      <c r="V27" s="30"/>
      <c r="W27" s="27"/>
      <c r="X27" s="31">
        <f>W27*U27</f>
        <v>0</v>
      </c>
      <c r="Y27" s="4"/>
      <c r="Z27" s="483"/>
      <c r="AA27" s="484"/>
    </row>
    <row r="28" spans="1:27" ht="15.75" customHeight="1">
      <c r="A28" s="23"/>
      <c r="B28" s="71" t="s">
        <v>102</v>
      </c>
      <c r="C28" s="477"/>
      <c r="D28" s="478"/>
      <c r="E28" s="479"/>
      <c r="F28" s="4"/>
      <c r="G28" s="4"/>
      <c r="H28" s="4"/>
      <c r="I28" s="4"/>
      <c r="J28" s="477"/>
      <c r="K28" s="479"/>
      <c r="M28" s="32"/>
      <c r="N28" s="56"/>
      <c r="O28" s="489"/>
      <c r="P28" s="478"/>
      <c r="Q28" s="478"/>
      <c r="R28" s="489"/>
      <c r="S28" s="478"/>
      <c r="T28" s="478"/>
      <c r="U28" s="60" t="s">
        <v>58</v>
      </c>
      <c r="V28" s="33">
        <f>X28/N18</f>
        <v>8.3333333333333329E-2</v>
      </c>
      <c r="W28" s="60" t="s">
        <v>59</v>
      </c>
      <c r="X28" s="34">
        <f>SUM(X23:X27)</f>
        <v>100</v>
      </c>
      <c r="Y28" s="45"/>
      <c r="Z28" s="489"/>
      <c r="AA28" s="479"/>
    </row>
    <row r="29" spans="1:27" ht="15.75" customHeight="1">
      <c r="A29" s="23"/>
      <c r="B29" s="71" t="s">
        <v>100</v>
      </c>
      <c r="C29" s="477"/>
      <c r="D29" s="478"/>
      <c r="E29" s="479"/>
      <c r="F29" s="4"/>
      <c r="G29" s="4"/>
      <c r="H29" s="4"/>
      <c r="I29" s="4"/>
      <c r="J29" s="477"/>
      <c r="K29" s="479"/>
      <c r="M29" s="57" t="s">
        <v>43</v>
      </c>
      <c r="N29" s="24">
        <v>1</v>
      </c>
      <c r="O29" s="502" t="s">
        <v>16</v>
      </c>
      <c r="P29" s="498"/>
      <c r="Q29" s="499"/>
      <c r="R29" s="497" t="s">
        <v>87</v>
      </c>
      <c r="S29" s="498"/>
      <c r="T29" s="499"/>
      <c r="U29" s="35">
        <v>5.55</v>
      </c>
      <c r="V29" s="36">
        <v>0.21</v>
      </c>
      <c r="W29" s="35">
        <v>50</v>
      </c>
      <c r="X29" s="37">
        <f>W29*U29</f>
        <v>277.5</v>
      </c>
      <c r="Y29" s="4">
        <v>35</v>
      </c>
      <c r="Z29" s="497" t="s">
        <v>88</v>
      </c>
      <c r="AA29" s="499"/>
    </row>
    <row r="30" spans="1:27" ht="15.75" customHeight="1">
      <c r="A30" s="23"/>
      <c r="B30" s="71" t="s">
        <v>99</v>
      </c>
      <c r="C30" s="477"/>
      <c r="D30" s="478"/>
      <c r="E30" s="479"/>
      <c r="F30" s="4"/>
      <c r="G30" s="4"/>
      <c r="H30" s="4"/>
      <c r="I30" s="4"/>
      <c r="J30" s="477"/>
      <c r="K30" s="479"/>
      <c r="M30" s="25"/>
      <c r="N30" s="24">
        <v>2</v>
      </c>
      <c r="O30" s="482"/>
      <c r="P30" s="478"/>
      <c r="Q30" s="479"/>
      <c r="R30" s="482"/>
      <c r="S30" s="478"/>
      <c r="T30" s="479"/>
      <c r="U30" s="4"/>
      <c r="V30" s="14"/>
      <c r="W30" s="4"/>
      <c r="X30" s="16">
        <f>W30*U30</f>
        <v>0</v>
      </c>
      <c r="Y30" s="4"/>
      <c r="Z30" s="482"/>
      <c r="AA30" s="479"/>
    </row>
    <row r="31" spans="1:27" ht="15.75" customHeight="1">
      <c r="A31" s="20"/>
      <c r="B31" s="71" t="s">
        <v>103</v>
      </c>
      <c r="C31" s="477"/>
      <c r="D31" s="478"/>
      <c r="E31" s="479"/>
      <c r="F31" s="4"/>
      <c r="G31" s="4"/>
      <c r="H31" s="4"/>
      <c r="I31" s="4"/>
      <c r="J31" s="477"/>
      <c r="K31" s="479"/>
      <c r="M31" s="25"/>
      <c r="N31" s="24">
        <v>3</v>
      </c>
      <c r="O31" s="482"/>
      <c r="P31" s="478"/>
      <c r="Q31" s="479"/>
      <c r="R31" s="482"/>
      <c r="S31" s="478"/>
      <c r="T31" s="479"/>
      <c r="U31" s="4"/>
      <c r="V31" s="14"/>
      <c r="W31" s="4"/>
      <c r="X31" s="16">
        <f>W31*U31</f>
        <v>0</v>
      </c>
      <c r="Y31" s="4"/>
      <c r="Z31" s="482"/>
      <c r="AA31" s="479"/>
    </row>
    <row r="32" spans="1:27" ht="15.75" customHeight="1">
      <c r="A32" s="68"/>
      <c r="M32" s="25"/>
      <c r="N32" s="24">
        <v>4</v>
      </c>
      <c r="O32" s="482"/>
      <c r="P32" s="478"/>
      <c r="Q32" s="479"/>
      <c r="R32" s="482"/>
      <c r="S32" s="478"/>
      <c r="T32" s="479"/>
      <c r="U32" s="4"/>
      <c r="V32" s="14"/>
      <c r="W32" s="4"/>
      <c r="X32" s="16">
        <f>W32*U32</f>
        <v>0</v>
      </c>
      <c r="Y32" s="4"/>
      <c r="Z32" s="482"/>
      <c r="AA32" s="479"/>
    </row>
    <row r="33" spans="1:27" ht="15.75" customHeight="1">
      <c r="A33" s="18"/>
      <c r="B33" s="50" t="s">
        <v>47</v>
      </c>
      <c r="C33" s="480" t="s">
        <v>12</v>
      </c>
      <c r="D33" s="478"/>
      <c r="E33" s="479"/>
      <c r="F33" s="50" t="s">
        <v>46</v>
      </c>
      <c r="G33" s="50" t="s">
        <v>48</v>
      </c>
      <c r="H33" s="50" t="s">
        <v>49</v>
      </c>
      <c r="I33" s="8" t="s">
        <v>13</v>
      </c>
      <c r="J33" s="493" t="s">
        <v>51</v>
      </c>
      <c r="K33" s="479"/>
      <c r="M33" s="25"/>
      <c r="N33" s="29">
        <v>5</v>
      </c>
      <c r="O33" s="482"/>
      <c r="P33" s="478"/>
      <c r="Q33" s="479"/>
      <c r="R33" s="482"/>
      <c r="S33" s="478"/>
      <c r="T33" s="479"/>
      <c r="U33" s="27"/>
      <c r="V33" s="30"/>
      <c r="W33" s="27"/>
      <c r="X33" s="31">
        <f>W33*U33</f>
        <v>0</v>
      </c>
      <c r="Y33" s="4"/>
      <c r="Z33" s="482"/>
      <c r="AA33" s="479"/>
    </row>
    <row r="34" spans="1:27" ht="15.75" customHeight="1">
      <c r="A34" s="53" t="s">
        <v>35</v>
      </c>
      <c r="B34" s="6">
        <v>1</v>
      </c>
      <c r="C34" s="481" t="s">
        <v>79</v>
      </c>
      <c r="D34" s="478"/>
      <c r="E34" s="479"/>
      <c r="F34" s="4">
        <v>3</v>
      </c>
      <c r="G34" s="4">
        <v>2500</v>
      </c>
      <c r="H34" s="4">
        <v>833.33</v>
      </c>
      <c r="I34" s="4">
        <v>20</v>
      </c>
      <c r="J34" s="481" t="s">
        <v>78</v>
      </c>
      <c r="K34" s="479"/>
      <c r="M34" s="69"/>
      <c r="N34" s="45"/>
      <c r="O34" s="489"/>
      <c r="P34" s="478"/>
      <c r="Q34" s="478"/>
      <c r="R34" s="489"/>
      <c r="S34" s="478"/>
      <c r="T34" s="478"/>
      <c r="U34" s="60" t="s">
        <v>58</v>
      </c>
      <c r="V34" s="33">
        <f>X34/N18</f>
        <v>0.23125000000000001</v>
      </c>
      <c r="W34" s="60" t="s">
        <v>59</v>
      </c>
      <c r="X34" s="34">
        <f>SUM(X29:X33)</f>
        <v>277.5</v>
      </c>
      <c r="Y34" s="45"/>
      <c r="Z34" s="489"/>
      <c r="AA34" s="479"/>
    </row>
    <row r="35" spans="1:27" ht="15.75" customHeight="1">
      <c r="A35" s="23"/>
      <c r="B35" s="6">
        <v>2</v>
      </c>
      <c r="C35" s="482"/>
      <c r="D35" s="478"/>
      <c r="E35" s="479"/>
      <c r="F35" s="4"/>
      <c r="G35" s="4"/>
      <c r="H35" s="4"/>
      <c r="I35" s="4"/>
      <c r="J35" s="482"/>
      <c r="K35" s="479"/>
      <c r="M35" s="1"/>
      <c r="N35" s="1"/>
      <c r="O35" s="500"/>
      <c r="P35" s="501"/>
      <c r="Q35" s="501"/>
      <c r="R35" s="500"/>
      <c r="S35" s="501"/>
      <c r="T35" s="501"/>
      <c r="U35" s="1"/>
      <c r="V35" s="38"/>
      <c r="W35" s="1"/>
      <c r="X35" s="1"/>
      <c r="Y35" s="500"/>
      <c r="Z35" s="501"/>
      <c r="AA35" s="501"/>
    </row>
    <row r="36" spans="1:27" ht="15.75" customHeight="1">
      <c r="A36" s="23"/>
      <c r="B36" s="6">
        <v>3</v>
      </c>
      <c r="C36" s="482"/>
      <c r="D36" s="478"/>
      <c r="E36" s="479"/>
      <c r="F36" s="4"/>
      <c r="G36" s="4"/>
      <c r="H36" s="4"/>
      <c r="I36" s="4"/>
      <c r="J36" s="482"/>
      <c r="K36" s="479"/>
      <c r="M36" s="53" t="s">
        <v>27</v>
      </c>
      <c r="N36" s="58" t="s">
        <v>47</v>
      </c>
      <c r="O36" s="488" t="s">
        <v>12</v>
      </c>
      <c r="P36" s="489"/>
      <c r="Q36" s="490"/>
      <c r="R36" s="494" t="s">
        <v>53</v>
      </c>
      <c r="S36" s="495"/>
      <c r="T36" s="496"/>
      <c r="U36" s="58" t="s">
        <v>54</v>
      </c>
      <c r="V36" s="58" t="s">
        <v>55</v>
      </c>
      <c r="W36" s="58" t="s">
        <v>56</v>
      </c>
      <c r="X36" s="8" t="s">
        <v>11</v>
      </c>
      <c r="Y36" s="8" t="s">
        <v>13</v>
      </c>
      <c r="Z36" s="493" t="s">
        <v>51</v>
      </c>
      <c r="AA36" s="503"/>
    </row>
    <row r="37" spans="1:27" ht="15.75" customHeight="1">
      <c r="A37" s="23"/>
      <c r="B37" s="6">
        <v>4</v>
      </c>
      <c r="C37" s="482"/>
      <c r="D37" s="478"/>
      <c r="E37" s="479"/>
      <c r="F37" s="4"/>
      <c r="G37" s="4"/>
      <c r="H37" s="4"/>
      <c r="I37" s="4"/>
      <c r="J37" s="482"/>
      <c r="K37" s="479"/>
      <c r="M37" s="57" t="s">
        <v>42</v>
      </c>
      <c r="N37" s="24">
        <v>1</v>
      </c>
      <c r="O37" s="481" t="s">
        <v>89</v>
      </c>
      <c r="P37" s="478"/>
      <c r="Q37" s="479"/>
      <c r="R37" s="481" t="s">
        <v>90</v>
      </c>
      <c r="S37" s="478"/>
      <c r="T37" s="479"/>
      <c r="U37" s="4">
        <v>25</v>
      </c>
      <c r="V37" s="14">
        <v>0.25</v>
      </c>
      <c r="W37" s="4">
        <v>10</v>
      </c>
      <c r="X37" s="16">
        <f>W37*U37</f>
        <v>250</v>
      </c>
      <c r="Y37" s="4">
        <v>150</v>
      </c>
      <c r="Z37" s="481" t="s">
        <v>91</v>
      </c>
      <c r="AA37" s="479"/>
    </row>
    <row r="38" spans="1:27" ht="15.75" customHeight="1">
      <c r="A38" s="23"/>
      <c r="B38" s="26">
        <v>5</v>
      </c>
      <c r="C38" s="483"/>
      <c r="D38" s="487"/>
      <c r="E38" s="484"/>
      <c r="F38" s="27"/>
      <c r="G38" s="27"/>
      <c r="H38" s="27"/>
      <c r="I38" s="27"/>
      <c r="J38" s="483"/>
      <c r="K38" s="484"/>
      <c r="M38" s="25"/>
      <c r="N38" s="24">
        <v>2</v>
      </c>
      <c r="O38" s="482"/>
      <c r="P38" s="478"/>
      <c r="Q38" s="479"/>
      <c r="R38" s="482"/>
      <c r="S38" s="478"/>
      <c r="T38" s="479"/>
      <c r="U38" s="4"/>
      <c r="V38" s="14"/>
      <c r="W38" s="4"/>
      <c r="X38" s="16">
        <f>W38*U38</f>
        <v>0</v>
      </c>
      <c r="Y38" s="4"/>
      <c r="Z38" s="482"/>
      <c r="AA38" s="479"/>
    </row>
    <row r="39" spans="1:27" ht="14">
      <c r="A39" s="23"/>
      <c r="B39" s="70" t="s">
        <v>101</v>
      </c>
      <c r="C39" s="485" t="s">
        <v>80</v>
      </c>
      <c r="D39" s="492"/>
      <c r="E39" s="486"/>
      <c r="F39" s="28">
        <v>7</v>
      </c>
      <c r="G39" s="28">
        <v>2200</v>
      </c>
      <c r="H39" s="28">
        <v>314.29000000000002</v>
      </c>
      <c r="I39" s="28">
        <v>-15</v>
      </c>
      <c r="J39" s="485" t="s">
        <v>81</v>
      </c>
      <c r="K39" s="486"/>
      <c r="M39" s="25"/>
      <c r="N39" s="24">
        <v>3</v>
      </c>
      <c r="O39" s="482"/>
      <c r="P39" s="478"/>
      <c r="Q39" s="479"/>
      <c r="R39" s="482"/>
      <c r="S39" s="478"/>
      <c r="T39" s="479"/>
      <c r="U39" s="4"/>
      <c r="V39" s="14"/>
      <c r="W39" s="4"/>
      <c r="X39" s="16">
        <f>W39*U39</f>
        <v>0</v>
      </c>
      <c r="Y39" s="4"/>
      <c r="Z39" s="482"/>
      <c r="AA39" s="479"/>
    </row>
    <row r="40" spans="1:27" ht="14">
      <c r="A40" s="23"/>
      <c r="B40" s="71" t="s">
        <v>102</v>
      </c>
      <c r="C40" s="482"/>
      <c r="D40" s="478"/>
      <c r="E40" s="479"/>
      <c r="F40" s="4"/>
      <c r="G40" s="4"/>
      <c r="H40" s="4"/>
      <c r="I40" s="4"/>
      <c r="J40" s="482"/>
      <c r="K40" s="479"/>
      <c r="M40" s="25"/>
      <c r="N40" s="24">
        <v>4</v>
      </c>
      <c r="O40" s="482"/>
      <c r="P40" s="478"/>
      <c r="Q40" s="479"/>
      <c r="R40" s="482"/>
      <c r="S40" s="478"/>
      <c r="T40" s="479"/>
      <c r="U40" s="4"/>
      <c r="V40" s="14"/>
      <c r="W40" s="4"/>
      <c r="X40" s="16">
        <f>W40*U40</f>
        <v>0</v>
      </c>
      <c r="Y40" s="4"/>
      <c r="Z40" s="482"/>
      <c r="AA40" s="479"/>
    </row>
    <row r="41" spans="1:27" ht="14">
      <c r="A41" s="23"/>
      <c r="B41" s="71" t="s">
        <v>100</v>
      </c>
      <c r="C41" s="482"/>
      <c r="D41" s="478"/>
      <c r="E41" s="479"/>
      <c r="F41" s="4"/>
      <c r="G41" s="4"/>
      <c r="H41" s="4"/>
      <c r="I41" s="4"/>
      <c r="J41" s="482"/>
      <c r="K41" s="479"/>
      <c r="M41" s="25"/>
      <c r="N41" s="29">
        <v>5</v>
      </c>
      <c r="O41" s="483"/>
      <c r="P41" s="487"/>
      <c r="Q41" s="484"/>
      <c r="R41" s="483"/>
      <c r="S41" s="487"/>
      <c r="T41" s="484"/>
      <c r="U41" s="27"/>
      <c r="V41" s="30"/>
      <c r="W41" s="27"/>
      <c r="X41" s="31">
        <f>W41*U41</f>
        <v>0</v>
      </c>
      <c r="Y41" s="4"/>
      <c r="Z41" s="482"/>
      <c r="AA41" s="479"/>
    </row>
    <row r="42" spans="1:27" ht="14">
      <c r="A42" s="23"/>
      <c r="B42" s="71" t="s">
        <v>99</v>
      </c>
      <c r="C42" s="482"/>
      <c r="D42" s="478"/>
      <c r="E42" s="479"/>
      <c r="F42" s="4"/>
      <c r="G42" s="4"/>
      <c r="H42" s="4"/>
      <c r="I42" s="4"/>
      <c r="J42" s="482"/>
      <c r="K42" s="479"/>
      <c r="M42" s="32"/>
      <c r="N42" s="55"/>
      <c r="O42" s="489"/>
      <c r="P42" s="478"/>
      <c r="Q42" s="478"/>
      <c r="R42" s="489"/>
      <c r="S42" s="478"/>
      <c r="T42" s="478"/>
      <c r="U42" s="60" t="s">
        <v>58</v>
      </c>
      <c r="V42" s="33">
        <f>X42/N19</f>
        <v>5.5555555555555552E-2</v>
      </c>
      <c r="W42" s="60" t="s">
        <v>59</v>
      </c>
      <c r="X42" s="34">
        <f>SUM(X37:X41)</f>
        <v>250</v>
      </c>
      <c r="Y42" s="45"/>
      <c r="Z42" s="489"/>
      <c r="AA42" s="479"/>
    </row>
    <row r="43" spans="1:27" ht="14">
      <c r="A43" s="20"/>
      <c r="B43" s="71" t="s">
        <v>103</v>
      </c>
      <c r="C43" s="482"/>
      <c r="D43" s="478"/>
      <c r="E43" s="479"/>
      <c r="F43" s="4"/>
      <c r="G43" s="4"/>
      <c r="H43" s="4"/>
      <c r="I43" s="4"/>
      <c r="J43" s="482"/>
      <c r="K43" s="479"/>
      <c r="M43" s="57" t="s">
        <v>43</v>
      </c>
      <c r="N43" s="24">
        <v>1</v>
      </c>
      <c r="O43" s="481" t="s">
        <v>89</v>
      </c>
      <c r="P43" s="478"/>
      <c r="Q43" s="479"/>
      <c r="R43" s="497" t="s">
        <v>93</v>
      </c>
      <c r="S43" s="498"/>
      <c r="T43" s="499"/>
      <c r="U43" s="35">
        <v>30</v>
      </c>
      <c r="V43" s="36">
        <v>0.1</v>
      </c>
      <c r="W43" s="35">
        <v>20</v>
      </c>
      <c r="X43" s="37">
        <f>W43*U43</f>
        <v>600</v>
      </c>
      <c r="Y43" s="4">
        <v>400</v>
      </c>
      <c r="Z43" s="481" t="s">
        <v>92</v>
      </c>
      <c r="AA43" s="479"/>
    </row>
    <row r="44" spans="1:27" ht="14">
      <c r="A44" s="68"/>
      <c r="M44" s="25"/>
      <c r="N44" s="24">
        <v>2</v>
      </c>
      <c r="O44" s="482"/>
      <c r="P44" s="478"/>
      <c r="Q44" s="479"/>
      <c r="R44" s="482"/>
      <c r="S44" s="478"/>
      <c r="T44" s="479"/>
      <c r="U44" s="4"/>
      <c r="V44" s="14"/>
      <c r="W44" s="4"/>
      <c r="X44" s="37">
        <f>W44*U44</f>
        <v>0</v>
      </c>
      <c r="Y44" s="4"/>
      <c r="Z44" s="482"/>
      <c r="AA44" s="479"/>
    </row>
    <row r="45" spans="1:27" ht="14">
      <c r="A45" s="18"/>
      <c r="B45" s="50" t="s">
        <v>47</v>
      </c>
      <c r="C45" s="480" t="s">
        <v>12</v>
      </c>
      <c r="D45" s="478"/>
      <c r="E45" s="479"/>
      <c r="F45" s="50" t="s">
        <v>46</v>
      </c>
      <c r="G45" s="50" t="s">
        <v>48</v>
      </c>
      <c r="H45" s="50" t="s">
        <v>49</v>
      </c>
      <c r="I45" s="8" t="s">
        <v>13</v>
      </c>
      <c r="J45" s="493" t="s">
        <v>51</v>
      </c>
      <c r="K45" s="479"/>
      <c r="M45" s="25"/>
      <c r="N45" s="24">
        <v>3</v>
      </c>
      <c r="O45" s="482"/>
      <c r="P45" s="478"/>
      <c r="Q45" s="479"/>
      <c r="R45" s="482"/>
      <c r="S45" s="478"/>
      <c r="T45" s="479"/>
      <c r="U45" s="4"/>
      <c r="V45" s="14"/>
      <c r="W45" s="4"/>
      <c r="X45" s="37">
        <f>W45*U45</f>
        <v>0</v>
      </c>
      <c r="Y45" s="4"/>
      <c r="Z45" s="482"/>
      <c r="AA45" s="479"/>
    </row>
    <row r="46" spans="1:27" ht="14">
      <c r="A46" s="53" t="s">
        <v>36</v>
      </c>
      <c r="B46" s="6">
        <v>1</v>
      </c>
      <c r="C46" s="481" t="s">
        <v>82</v>
      </c>
      <c r="D46" s="478"/>
      <c r="E46" s="479"/>
      <c r="F46" s="4">
        <v>15</v>
      </c>
      <c r="G46" s="4">
        <v>1200</v>
      </c>
      <c r="H46" s="4">
        <v>80</v>
      </c>
      <c r="I46" s="4">
        <v>5</v>
      </c>
      <c r="J46" s="481" t="s">
        <v>83</v>
      </c>
      <c r="K46" s="479"/>
      <c r="M46" s="25"/>
      <c r="N46" s="24">
        <v>4</v>
      </c>
      <c r="O46" s="482"/>
      <c r="P46" s="478"/>
      <c r="Q46" s="479"/>
      <c r="R46" s="482"/>
      <c r="S46" s="478"/>
      <c r="T46" s="479"/>
      <c r="U46" s="4"/>
      <c r="V46" s="14"/>
      <c r="W46" s="4"/>
      <c r="X46" s="37">
        <f>W46*U46</f>
        <v>0</v>
      </c>
      <c r="Y46" s="4"/>
      <c r="Z46" s="482"/>
      <c r="AA46" s="479"/>
    </row>
    <row r="47" spans="1:27" ht="14">
      <c r="A47" s="23"/>
      <c r="B47" s="6">
        <v>2</v>
      </c>
      <c r="C47" s="482"/>
      <c r="D47" s="478"/>
      <c r="E47" s="479"/>
      <c r="F47" s="4"/>
      <c r="G47" s="4"/>
      <c r="H47" s="4"/>
      <c r="I47" s="4"/>
      <c r="J47" s="482"/>
      <c r="K47" s="479"/>
      <c r="M47" s="25"/>
      <c r="N47" s="29">
        <v>5</v>
      </c>
      <c r="O47" s="482"/>
      <c r="P47" s="478"/>
      <c r="Q47" s="479"/>
      <c r="R47" s="482"/>
      <c r="S47" s="478"/>
      <c r="T47" s="479"/>
      <c r="U47" s="27"/>
      <c r="V47" s="30"/>
      <c r="W47" s="27"/>
      <c r="X47" s="40">
        <f>W47*U47</f>
        <v>0</v>
      </c>
      <c r="Y47" s="4"/>
      <c r="Z47" s="482"/>
      <c r="AA47" s="479"/>
    </row>
    <row r="48" spans="1:27" ht="14">
      <c r="A48" s="23"/>
      <c r="B48" s="6">
        <v>3</v>
      </c>
      <c r="C48" s="482"/>
      <c r="D48" s="478"/>
      <c r="E48" s="479"/>
      <c r="F48" s="4"/>
      <c r="G48" s="4"/>
      <c r="H48" s="4"/>
      <c r="I48" s="4"/>
      <c r="J48" s="482"/>
      <c r="K48" s="479"/>
      <c r="M48" s="69"/>
      <c r="N48" s="45"/>
      <c r="O48" s="489"/>
      <c r="P48" s="478"/>
      <c r="Q48" s="478"/>
      <c r="R48" s="489"/>
      <c r="S48" s="478"/>
      <c r="T48" s="478"/>
      <c r="U48" s="60" t="s">
        <v>58</v>
      </c>
      <c r="V48" s="33">
        <f>X48/N19</f>
        <v>0.13333333333333333</v>
      </c>
      <c r="W48" s="60" t="s">
        <v>59</v>
      </c>
      <c r="X48" s="34">
        <f>SUM(X43:X47)</f>
        <v>600</v>
      </c>
      <c r="Y48" s="45"/>
      <c r="Z48" s="489"/>
      <c r="AA48" s="479"/>
    </row>
    <row r="49" spans="1:27" ht="14">
      <c r="A49" s="23"/>
      <c r="B49" s="6">
        <v>4</v>
      </c>
      <c r="C49" s="482"/>
      <c r="D49" s="478"/>
      <c r="E49" s="479"/>
      <c r="F49" s="4"/>
      <c r="G49" s="4"/>
      <c r="H49" s="4"/>
      <c r="I49" s="4"/>
      <c r="J49" s="482"/>
      <c r="K49" s="479"/>
      <c r="M49" s="1"/>
      <c r="N49" s="1"/>
      <c r="O49" s="1"/>
      <c r="P49" s="1"/>
      <c r="Q49" s="1"/>
      <c r="R49" s="1"/>
      <c r="S49" s="1"/>
      <c r="T49" s="1"/>
      <c r="U49" s="1"/>
      <c r="V49" s="38"/>
      <c r="W49" s="1"/>
      <c r="X49" s="1"/>
      <c r="Y49" s="1"/>
      <c r="Z49" s="1"/>
      <c r="AA49" s="1"/>
    </row>
    <row r="50" spans="1:27" ht="14">
      <c r="A50" s="23"/>
      <c r="B50" s="26">
        <v>5</v>
      </c>
      <c r="C50" s="483"/>
      <c r="D50" s="487"/>
      <c r="E50" s="484"/>
      <c r="F50" s="27"/>
      <c r="G50" s="27"/>
      <c r="H50" s="27"/>
      <c r="I50" s="27"/>
      <c r="J50" s="483"/>
      <c r="K50" s="484"/>
      <c r="M50" s="65" t="s">
        <v>17</v>
      </c>
      <c r="N50" s="67"/>
      <c r="O50" s="67"/>
      <c r="P50" s="67"/>
      <c r="Q50" s="67"/>
      <c r="R50" s="67"/>
      <c r="S50" s="67"/>
      <c r="T50" s="67"/>
      <c r="U50" s="67"/>
      <c r="V50" s="66"/>
      <c r="W50" s="67"/>
      <c r="X50" s="67"/>
      <c r="Y50" s="67"/>
      <c r="Z50" s="67"/>
      <c r="AA50" s="67"/>
    </row>
    <row r="51" spans="1:27" ht="14">
      <c r="A51" s="23"/>
      <c r="B51" s="70" t="s">
        <v>101</v>
      </c>
      <c r="C51" s="485" t="s">
        <v>89</v>
      </c>
      <c r="D51" s="492"/>
      <c r="E51" s="486"/>
      <c r="F51" s="28">
        <v>18</v>
      </c>
      <c r="G51" s="28">
        <v>800</v>
      </c>
      <c r="H51" s="28">
        <v>44.44</v>
      </c>
      <c r="I51" s="28">
        <v>-15</v>
      </c>
      <c r="J51" s="485" t="s">
        <v>84</v>
      </c>
      <c r="K51" s="486"/>
      <c r="M51" s="8"/>
      <c r="N51" s="8" t="s">
        <v>18</v>
      </c>
      <c r="O51" s="488" t="s">
        <v>12</v>
      </c>
      <c r="P51" s="489"/>
      <c r="Q51" s="490"/>
      <c r="R51" s="494" t="s">
        <v>53</v>
      </c>
      <c r="S51" s="495"/>
      <c r="T51" s="496"/>
      <c r="U51" s="58" t="s">
        <v>54</v>
      </c>
      <c r="V51" s="39" t="s">
        <v>19</v>
      </c>
      <c r="W51" s="58" t="s">
        <v>57</v>
      </c>
      <c r="X51" s="8" t="s">
        <v>2</v>
      </c>
      <c r="Y51" s="488" t="s">
        <v>50</v>
      </c>
      <c r="Z51" s="489"/>
      <c r="AA51" s="490"/>
    </row>
    <row r="52" spans="1:27" ht="14">
      <c r="A52" s="23"/>
      <c r="B52" s="71" t="s">
        <v>102</v>
      </c>
      <c r="C52" s="482"/>
      <c r="D52" s="478"/>
      <c r="E52" s="479"/>
      <c r="F52" s="4"/>
      <c r="G52" s="4"/>
      <c r="H52" s="4"/>
      <c r="I52" s="4"/>
      <c r="J52" s="482"/>
      <c r="K52" s="479"/>
      <c r="M52" s="57" t="s">
        <v>42</v>
      </c>
      <c r="N52" s="24">
        <v>1</v>
      </c>
      <c r="O52" s="481" t="s">
        <v>89</v>
      </c>
      <c r="P52" s="478"/>
      <c r="Q52" s="479"/>
      <c r="R52" s="497" t="s">
        <v>93</v>
      </c>
      <c r="S52" s="498"/>
      <c r="T52" s="499"/>
      <c r="U52" s="4">
        <v>30</v>
      </c>
      <c r="V52" s="14">
        <v>0.62</v>
      </c>
      <c r="W52" s="14">
        <v>0.57999999999999996</v>
      </c>
      <c r="X52" s="13">
        <f>W52-V52</f>
        <v>-4.0000000000000036E-2</v>
      </c>
      <c r="Y52" s="481" t="s">
        <v>97</v>
      </c>
      <c r="Z52" s="478"/>
      <c r="AA52" s="479"/>
    </row>
    <row r="53" spans="1:27" ht="14">
      <c r="A53" s="23"/>
      <c r="B53" s="71" t="s">
        <v>100</v>
      </c>
      <c r="C53" s="482"/>
      <c r="D53" s="478"/>
      <c r="E53" s="479"/>
      <c r="F53" s="4"/>
      <c r="G53" s="4"/>
      <c r="H53" s="4"/>
      <c r="I53" s="4"/>
      <c r="J53" s="482"/>
      <c r="K53" s="479"/>
      <c r="M53" s="25"/>
      <c r="N53" s="29">
        <v>2</v>
      </c>
      <c r="O53" s="483"/>
      <c r="P53" s="487"/>
      <c r="Q53" s="484"/>
      <c r="R53" s="483"/>
      <c r="S53" s="487"/>
      <c r="T53" s="484"/>
      <c r="U53" s="27"/>
      <c r="V53" s="30"/>
      <c r="W53" s="30"/>
      <c r="X53" s="41">
        <f>W53-V53</f>
        <v>0</v>
      </c>
      <c r="Y53" s="483"/>
      <c r="Z53" s="487"/>
      <c r="AA53" s="484"/>
    </row>
    <row r="54" spans="1:27" ht="14">
      <c r="A54" s="23"/>
      <c r="B54" s="71" t="s">
        <v>99</v>
      </c>
      <c r="C54" s="482"/>
      <c r="D54" s="478"/>
      <c r="E54" s="479"/>
      <c r="F54" s="4"/>
      <c r="G54" s="4"/>
      <c r="H54" s="4"/>
      <c r="I54" s="4"/>
      <c r="J54" s="482"/>
      <c r="K54" s="479"/>
      <c r="M54" s="57" t="s">
        <v>43</v>
      </c>
      <c r="N54" s="42">
        <v>1</v>
      </c>
      <c r="O54" s="485" t="s">
        <v>94</v>
      </c>
      <c r="P54" s="492"/>
      <c r="Q54" s="486"/>
      <c r="R54" s="485" t="s">
        <v>95</v>
      </c>
      <c r="S54" s="492"/>
      <c r="T54" s="486"/>
      <c r="U54" s="28">
        <v>20</v>
      </c>
      <c r="V54" s="43">
        <v>0.9</v>
      </c>
      <c r="W54" s="43">
        <v>0.82</v>
      </c>
      <c r="X54" s="44">
        <f>W54-V54</f>
        <v>-8.0000000000000071E-2</v>
      </c>
      <c r="Y54" s="485" t="s">
        <v>96</v>
      </c>
      <c r="Z54" s="492"/>
      <c r="AA54" s="486"/>
    </row>
    <row r="55" spans="1:27" ht="14">
      <c r="A55" s="20"/>
      <c r="B55" s="71" t="s">
        <v>103</v>
      </c>
      <c r="C55" s="482"/>
      <c r="D55" s="478"/>
      <c r="E55" s="479"/>
      <c r="F55" s="4"/>
      <c r="G55" s="4"/>
      <c r="H55" s="4"/>
      <c r="I55" s="4"/>
      <c r="J55" s="482"/>
      <c r="K55" s="479"/>
      <c r="M55" s="22"/>
      <c r="N55" s="24">
        <v>2</v>
      </c>
      <c r="O55" s="482"/>
      <c r="P55" s="478"/>
      <c r="Q55" s="479"/>
      <c r="R55" s="482"/>
      <c r="S55" s="478"/>
      <c r="T55" s="479"/>
      <c r="U55" s="4"/>
      <c r="V55" s="14"/>
      <c r="W55" s="14"/>
      <c r="X55" s="13">
        <f>W55-V55</f>
        <v>0</v>
      </c>
      <c r="Y55" s="482"/>
      <c r="Z55" s="478"/>
      <c r="AA55" s="479"/>
    </row>
  </sheetData>
  <mergeCells count="162">
    <mergeCell ref="Z26:AA26"/>
    <mergeCell ref="Z27:AA27"/>
    <mergeCell ref="Z28:AA28"/>
    <mergeCell ref="Z29:AA29"/>
    <mergeCell ref="Z30:AA30"/>
    <mergeCell ref="Z31:AA31"/>
    <mergeCell ref="Z32:AA32"/>
    <mergeCell ref="Y52:AA52"/>
    <mergeCell ref="Y53:AA53"/>
    <mergeCell ref="Y54:AA54"/>
    <mergeCell ref="Y55:AA55"/>
    <mergeCell ref="Z33:AA33"/>
    <mergeCell ref="Z34:AA34"/>
    <mergeCell ref="Z45:AA45"/>
    <mergeCell ref="Z46:AA46"/>
    <mergeCell ref="Z47:AA47"/>
    <mergeCell ref="Z48:AA48"/>
    <mergeCell ref="Y51:AA51"/>
    <mergeCell ref="Y35:AA35"/>
    <mergeCell ref="Z36:AA36"/>
    <mergeCell ref="Z42:AA42"/>
    <mergeCell ref="Z43:AA43"/>
    <mergeCell ref="Z44:AA44"/>
    <mergeCell ref="O35:Q35"/>
    <mergeCell ref="R35:T35"/>
    <mergeCell ref="R36:T36"/>
    <mergeCell ref="J35:K35"/>
    <mergeCell ref="J36:K36"/>
    <mergeCell ref="J27:K27"/>
    <mergeCell ref="J28:K28"/>
    <mergeCell ref="J29:K29"/>
    <mergeCell ref="J30:K30"/>
    <mergeCell ref="J31:K31"/>
    <mergeCell ref="J33:K33"/>
    <mergeCell ref="J34:K34"/>
    <mergeCell ref="O32:Q32"/>
    <mergeCell ref="O33:Q33"/>
    <mergeCell ref="O29:Q29"/>
    <mergeCell ref="R29:T29"/>
    <mergeCell ref="O30:Q30"/>
    <mergeCell ref="R30:T30"/>
    <mergeCell ref="O31:Q31"/>
    <mergeCell ref="R31:T31"/>
    <mergeCell ref="R32:T32"/>
    <mergeCell ref="R33:T33"/>
    <mergeCell ref="C52:E52"/>
    <mergeCell ref="C53:E53"/>
    <mergeCell ref="C54:E54"/>
    <mergeCell ref="C34:E34"/>
    <mergeCell ref="C35:E35"/>
    <mergeCell ref="C36:E36"/>
    <mergeCell ref="C37:E37"/>
    <mergeCell ref="J37:K37"/>
    <mergeCell ref="C38:E38"/>
    <mergeCell ref="C39:E39"/>
    <mergeCell ref="C40:E40"/>
    <mergeCell ref="J40:K40"/>
    <mergeCell ref="J49:K49"/>
    <mergeCell ref="J50:K50"/>
    <mergeCell ref="J51:K51"/>
    <mergeCell ref="C41:E41"/>
    <mergeCell ref="J41:K41"/>
    <mergeCell ref="C42:E42"/>
    <mergeCell ref="J42:K42"/>
    <mergeCell ref="J43:K43"/>
    <mergeCell ref="C51:E51"/>
    <mergeCell ref="O42:Q42"/>
    <mergeCell ref="R42:T42"/>
    <mergeCell ref="O43:Q43"/>
    <mergeCell ref="R43:T43"/>
    <mergeCell ref="O44:Q44"/>
    <mergeCell ref="R44:T44"/>
    <mergeCell ref="O45:Q45"/>
    <mergeCell ref="R45:T45"/>
    <mergeCell ref="C55:E55"/>
    <mergeCell ref="C43:E43"/>
    <mergeCell ref="C45:E45"/>
    <mergeCell ref="C46:E46"/>
    <mergeCell ref="C47:E47"/>
    <mergeCell ref="C48:E48"/>
    <mergeCell ref="C49:E49"/>
    <mergeCell ref="C50:E50"/>
    <mergeCell ref="J52:K52"/>
    <mergeCell ref="J53:K53"/>
    <mergeCell ref="J54:K54"/>
    <mergeCell ref="J55:K55"/>
    <mergeCell ref="J45:K45"/>
    <mergeCell ref="J46:K46"/>
    <mergeCell ref="J47:K47"/>
    <mergeCell ref="J48:K48"/>
    <mergeCell ref="O46:Q46"/>
    <mergeCell ref="R46:T46"/>
    <mergeCell ref="O47:Q47"/>
    <mergeCell ref="R47:T47"/>
    <mergeCell ref="R48:T48"/>
    <mergeCell ref="O54:Q54"/>
    <mergeCell ref="R54:T54"/>
    <mergeCell ref="O55:Q55"/>
    <mergeCell ref="R55:T55"/>
    <mergeCell ref="O48:Q48"/>
    <mergeCell ref="O51:Q51"/>
    <mergeCell ref="R51:T51"/>
    <mergeCell ref="O52:Q52"/>
    <mergeCell ref="R52:T52"/>
    <mergeCell ref="O53:Q53"/>
    <mergeCell ref="R53:T53"/>
    <mergeCell ref="C21:E21"/>
    <mergeCell ref="J21:K21"/>
    <mergeCell ref="C22:E22"/>
    <mergeCell ref="O22:Q22"/>
    <mergeCell ref="R22:T22"/>
    <mergeCell ref="Z22:AA22"/>
    <mergeCell ref="C23:E23"/>
    <mergeCell ref="Z23:AA23"/>
    <mergeCell ref="O23:Q23"/>
    <mergeCell ref="R23:T23"/>
    <mergeCell ref="O24:Q24"/>
    <mergeCell ref="R24:T24"/>
    <mergeCell ref="Z24:AA24"/>
    <mergeCell ref="R25:T25"/>
    <mergeCell ref="Z25:AA25"/>
    <mergeCell ref="J22:K22"/>
    <mergeCell ref="J23:K23"/>
    <mergeCell ref="C24:E24"/>
    <mergeCell ref="J24:K24"/>
    <mergeCell ref="C25:E25"/>
    <mergeCell ref="J25:K25"/>
    <mergeCell ref="J26:K26"/>
    <mergeCell ref="O25:Q25"/>
    <mergeCell ref="O26:Q26"/>
    <mergeCell ref="R26:T26"/>
    <mergeCell ref="O27:Q27"/>
    <mergeCell ref="R27:T27"/>
    <mergeCell ref="O28:Q28"/>
    <mergeCell ref="R28:T28"/>
    <mergeCell ref="C26:E26"/>
    <mergeCell ref="C27:E27"/>
    <mergeCell ref="C28:E28"/>
    <mergeCell ref="C29:E29"/>
    <mergeCell ref="C30:E30"/>
    <mergeCell ref="C31:E31"/>
    <mergeCell ref="C33:E33"/>
    <mergeCell ref="Z37:AA37"/>
    <mergeCell ref="Z38:AA38"/>
    <mergeCell ref="Z39:AA39"/>
    <mergeCell ref="Z40:AA40"/>
    <mergeCell ref="Z41:AA41"/>
    <mergeCell ref="J38:K38"/>
    <mergeCell ref="J39:K39"/>
    <mergeCell ref="O39:Q39"/>
    <mergeCell ref="R39:T39"/>
    <mergeCell ref="O40:Q40"/>
    <mergeCell ref="R40:T40"/>
    <mergeCell ref="R41:T41"/>
    <mergeCell ref="O41:Q41"/>
    <mergeCell ref="O36:Q36"/>
    <mergeCell ref="O37:Q37"/>
    <mergeCell ref="R37:T37"/>
    <mergeCell ref="O38:Q38"/>
    <mergeCell ref="R38:T38"/>
    <mergeCell ref="O34:Q34"/>
    <mergeCell ref="R34:T34"/>
  </mergeCells>
  <phoneticPr fontId="8"/>
  <printOptions horizontalCentered="1" gridLines="1"/>
  <pageMargins left="0.7" right="0.7" top="0.75" bottom="0.75" header="0" footer="0"/>
  <pageSetup paperSize="9" fitToHeight="0" pageOrder="overThenDown" orientation="landscape" cellComments="atEnd"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R38"/>
  <sheetViews>
    <sheetView topLeftCell="A16" zoomScale="90" zoomScaleNormal="90" zoomScaleSheetLayoutView="115" workbookViewId="0">
      <selection activeCell="G32" sqref="G32"/>
    </sheetView>
  </sheetViews>
  <sheetFormatPr defaultColWidth="12.54296875" defaultRowHeight="15.75" customHeight="1"/>
  <cols>
    <col min="1" max="1" width="27.453125" style="120" bestFit="1" customWidth="1"/>
    <col min="2" max="2" width="12.54296875" style="120" customWidth="1"/>
    <col min="3" max="4" width="12.54296875" style="120"/>
    <col min="5" max="5" width="16.453125" style="120" customWidth="1"/>
    <col min="6" max="6" width="2.453125" style="120" customWidth="1"/>
    <col min="7" max="7" width="24.81640625" style="120" bestFit="1" customWidth="1"/>
    <col min="8" max="10" width="12.54296875" style="120"/>
    <col min="11" max="11" width="16.453125" style="120" customWidth="1"/>
    <col min="12" max="12" width="12.54296875" style="121"/>
    <col min="13" max="16384" width="12.54296875" style="120"/>
  </cols>
  <sheetData>
    <row r="1" spans="1:12" ht="15.75" customHeight="1">
      <c r="A1" s="504" t="s">
        <v>410</v>
      </c>
      <c r="B1" s="504"/>
      <c r="C1" s="504"/>
      <c r="D1" s="504"/>
      <c r="E1" s="504"/>
      <c r="F1" s="504"/>
      <c r="G1" s="504"/>
      <c r="H1" s="504"/>
      <c r="I1" s="504"/>
      <c r="J1" s="504"/>
      <c r="K1" s="504"/>
      <c r="L1" s="120"/>
    </row>
    <row r="2" spans="1:12" s="121" customFormat="1" ht="15.75" customHeight="1">
      <c r="A2" s="504"/>
      <c r="B2" s="504"/>
      <c r="C2" s="504"/>
      <c r="D2" s="504"/>
      <c r="E2" s="504"/>
      <c r="F2" s="504"/>
      <c r="G2" s="504"/>
      <c r="H2" s="504"/>
      <c r="I2" s="504"/>
      <c r="J2" s="504"/>
      <c r="K2" s="504"/>
    </row>
    <row r="3" spans="1:12" ht="21.65" customHeight="1">
      <c r="A3" s="140" t="s">
        <v>323</v>
      </c>
      <c r="B3" s="141">
        <v>12</v>
      </c>
      <c r="C3" s="140" t="s">
        <v>20</v>
      </c>
      <c r="D3" s="505" t="s">
        <v>409</v>
      </c>
      <c r="E3" s="505"/>
      <c r="F3" s="131"/>
      <c r="G3" s="132"/>
      <c r="H3" s="131"/>
      <c r="I3" s="131"/>
      <c r="J3" s="131"/>
      <c r="K3" s="131"/>
    </row>
    <row r="4" spans="1:12" s="122" customFormat="1" ht="15.75" customHeight="1">
      <c r="A4" s="133" t="s">
        <v>195</v>
      </c>
      <c r="B4" s="134"/>
      <c r="C4" s="134"/>
      <c r="D4" s="134"/>
      <c r="E4" s="124" t="s">
        <v>23</v>
      </c>
      <c r="F4" s="134"/>
      <c r="G4" s="135" t="s">
        <v>125</v>
      </c>
      <c r="H4" s="134"/>
      <c r="I4" s="134"/>
      <c r="J4" s="134"/>
      <c r="K4" s="134"/>
    </row>
    <row r="5" spans="1:12" s="126" customFormat="1" ht="15.75" customHeight="1">
      <c r="A5" s="147" t="s">
        <v>197</v>
      </c>
      <c r="B5" s="142" t="s">
        <v>22</v>
      </c>
      <c r="C5" s="142" t="s">
        <v>1</v>
      </c>
      <c r="D5" s="142" t="s">
        <v>2</v>
      </c>
      <c r="E5" s="142" t="s">
        <v>3</v>
      </c>
      <c r="F5" s="136"/>
      <c r="G5" s="147" t="s">
        <v>197</v>
      </c>
      <c r="H5" s="142" t="s">
        <v>69</v>
      </c>
      <c r="I5" s="142" t="s">
        <v>22</v>
      </c>
      <c r="J5" s="142" t="s">
        <v>67</v>
      </c>
      <c r="K5" s="142" t="s">
        <v>3</v>
      </c>
      <c r="L5" s="127" t="s">
        <v>60</v>
      </c>
    </row>
    <row r="6" spans="1:12" s="122" customFormat="1" ht="18" customHeight="1">
      <c r="A6" s="129" t="s">
        <v>24</v>
      </c>
      <c r="B6" s="143">
        <f>'（１）收支狀況'!H9/1000</f>
        <v>219461.71599999999</v>
      </c>
      <c r="C6" s="277">
        <v>213755.72</v>
      </c>
      <c r="D6" s="143">
        <f t="shared" ref="D6:D11" si="0">B6-C6</f>
        <v>5705.9959999999846</v>
      </c>
      <c r="E6" s="143">
        <f t="shared" ref="E6:E11" si="1">B6</f>
        <v>219461.71599999999</v>
      </c>
      <c r="F6" s="134"/>
      <c r="G6" s="129" t="s">
        <v>198</v>
      </c>
      <c r="H6" s="280">
        <v>266</v>
      </c>
      <c r="I6" s="145">
        <f>'（２）ＫＰＩ達成進度'!H9</f>
        <v>328.81665999046396</v>
      </c>
      <c r="J6" s="290">
        <v>337.28291759813658</v>
      </c>
      <c r="K6" s="145">
        <f t="shared" ref="K6:K11" si="2">I6</f>
        <v>328.81665999046396</v>
      </c>
      <c r="L6" s="123" t="s">
        <v>194</v>
      </c>
    </row>
    <row r="7" spans="1:12" s="122" customFormat="1" ht="18" customHeight="1">
      <c r="A7" s="129" t="s">
        <v>25</v>
      </c>
      <c r="B7" s="143">
        <f>'（１）收支狀況'!K9</f>
        <v>6618327</v>
      </c>
      <c r="C7" s="277">
        <v>6494709</v>
      </c>
      <c r="D7" s="143">
        <f t="shared" si="0"/>
        <v>123618</v>
      </c>
      <c r="E7" s="143">
        <f t="shared" si="1"/>
        <v>6618327</v>
      </c>
      <c r="F7" s="134"/>
      <c r="G7" s="129" t="s">
        <v>199</v>
      </c>
      <c r="H7" s="255">
        <v>0.8</v>
      </c>
      <c r="I7" s="144">
        <f>'（２）ＫＰＩ達成進度'!K9</f>
        <v>0.89819019563886016</v>
      </c>
      <c r="J7" s="278">
        <v>0.92153802622441683</v>
      </c>
      <c r="K7" s="144">
        <f t="shared" si="2"/>
        <v>0.89819019563886016</v>
      </c>
      <c r="L7" s="123" t="s">
        <v>4</v>
      </c>
    </row>
    <row r="8" spans="1:12" s="122" customFormat="1" ht="18" customHeight="1">
      <c r="A8" s="129" t="s">
        <v>5</v>
      </c>
      <c r="B8" s="143">
        <f>'（１）收支狀況'!N9/1000</f>
        <v>148488.87100000001</v>
      </c>
      <c r="C8" s="277">
        <v>141787.02499999999</v>
      </c>
      <c r="D8" s="143">
        <f>B8-C8</f>
        <v>6701.8460000000196</v>
      </c>
      <c r="E8" s="143">
        <f t="shared" si="1"/>
        <v>148488.87100000001</v>
      </c>
      <c r="F8" s="134"/>
      <c r="G8" s="129" t="s">
        <v>200</v>
      </c>
      <c r="H8" s="250">
        <v>2.5000000000000001E-3</v>
      </c>
      <c r="I8" s="250">
        <f>'（２）ＫＰＩ達成進度'!N9</f>
        <v>2.4556525658943427E-3</v>
      </c>
      <c r="J8" s="291">
        <v>2.4542488063364698E-3</v>
      </c>
      <c r="K8" s="250">
        <f t="shared" si="2"/>
        <v>2.4556525658943427E-3</v>
      </c>
      <c r="L8" s="123" t="s">
        <v>55</v>
      </c>
    </row>
    <row r="9" spans="1:12" s="122" customFormat="1" ht="18" customHeight="1">
      <c r="A9" s="129" t="s">
        <v>6</v>
      </c>
      <c r="B9" s="144">
        <f>'（１）收支狀況'!Q9</f>
        <v>0.67660489358426412</v>
      </c>
      <c r="C9" s="278">
        <v>0.66331336069041802</v>
      </c>
      <c r="D9" s="144">
        <f t="shared" si="0"/>
        <v>1.3291532893846103E-2</v>
      </c>
      <c r="E9" s="144">
        <f t="shared" si="1"/>
        <v>0.67660489358426412</v>
      </c>
      <c r="F9" s="134"/>
      <c r="G9" s="129" t="s">
        <v>201</v>
      </c>
      <c r="H9" s="250">
        <v>2.5999999999999999E-3</v>
      </c>
      <c r="I9" s="250">
        <f>'（２）ＫＰＩ達成進度'!Q9</f>
        <v>2.097843269628437E-3</v>
      </c>
      <c r="J9" s="291">
        <v>2.2478089783090553E-3</v>
      </c>
      <c r="K9" s="250">
        <f t="shared" si="2"/>
        <v>2.097843269628437E-3</v>
      </c>
      <c r="L9" s="123" t="s">
        <v>98</v>
      </c>
    </row>
    <row r="10" spans="1:12" s="122" customFormat="1" ht="18" customHeight="1">
      <c r="A10" s="129" t="s">
        <v>64</v>
      </c>
      <c r="B10" s="143">
        <f>'（１）收支狀況'!T9/1000</f>
        <v>31527.948209333346</v>
      </c>
      <c r="C10" s="277">
        <v>30287.668046666666</v>
      </c>
      <c r="D10" s="143">
        <f t="shared" si="0"/>
        <v>1240.2801626666806</v>
      </c>
      <c r="E10" s="143">
        <f t="shared" si="1"/>
        <v>31527.948209333346</v>
      </c>
      <c r="F10" s="134"/>
      <c r="G10" s="129" t="s">
        <v>202</v>
      </c>
      <c r="H10" s="252">
        <v>0.8</v>
      </c>
      <c r="I10" s="252">
        <f>'（２）ＫＰＩ達成進度'!T9</f>
        <v>0.91666666666666707</v>
      </c>
      <c r="J10" s="292">
        <v>0.91666666666666707</v>
      </c>
      <c r="K10" s="252">
        <f t="shared" si="2"/>
        <v>0.91666666666666707</v>
      </c>
      <c r="L10" s="123" t="s">
        <v>7</v>
      </c>
    </row>
    <row r="11" spans="1:12" s="122" customFormat="1" ht="18" customHeight="1">
      <c r="A11" s="129" t="s">
        <v>65</v>
      </c>
      <c r="B11" s="144">
        <f>'（１）收支狀況'!W9</f>
        <v>0.14366035581956968</v>
      </c>
      <c r="C11" s="278">
        <v>0.14169290088081229</v>
      </c>
      <c r="D11" s="144">
        <f t="shared" si="0"/>
        <v>1.9674549387573848E-3</v>
      </c>
      <c r="E11" s="144">
        <f t="shared" si="1"/>
        <v>0.14366035581956968</v>
      </c>
      <c r="F11" s="134"/>
      <c r="G11" s="129" t="s">
        <v>203</v>
      </c>
      <c r="H11" s="252">
        <v>1</v>
      </c>
      <c r="I11" s="144">
        <f>'（２）ＫＰＩ達成進度'!W9</f>
        <v>0.94496774193548394</v>
      </c>
      <c r="J11" s="278">
        <v>0.89513333333333345</v>
      </c>
      <c r="K11" s="144">
        <f t="shared" si="2"/>
        <v>0.94496774193548394</v>
      </c>
      <c r="L11" s="123" t="s">
        <v>62</v>
      </c>
    </row>
    <row r="12" spans="1:12" s="122" customFormat="1" ht="9.65" customHeight="1">
      <c r="A12" s="134"/>
      <c r="B12" s="134"/>
      <c r="C12" s="134"/>
      <c r="D12" s="134"/>
      <c r="E12" s="134"/>
      <c r="F12" s="134"/>
      <c r="G12" s="134"/>
      <c r="H12" s="134"/>
      <c r="I12" s="134"/>
      <c r="J12" s="134"/>
      <c r="K12" s="134"/>
    </row>
    <row r="13" spans="1:12" s="122" customFormat="1" ht="15.75" customHeight="1">
      <c r="A13" s="133" t="s">
        <v>32</v>
      </c>
      <c r="B13" s="134"/>
      <c r="C13" s="134"/>
      <c r="D13" s="134"/>
      <c r="E13" s="134"/>
      <c r="F13" s="134"/>
      <c r="G13" s="133" t="s">
        <v>147</v>
      </c>
      <c r="H13" s="134"/>
      <c r="I13" s="134"/>
      <c r="J13" s="134"/>
      <c r="K13" s="134"/>
    </row>
    <row r="14" spans="1:12" s="128" customFormat="1" ht="12">
      <c r="A14" s="146"/>
      <c r="B14" s="146" t="s">
        <v>22</v>
      </c>
      <c r="C14" s="146" t="s">
        <v>66</v>
      </c>
      <c r="D14" s="146" t="s">
        <v>67</v>
      </c>
      <c r="E14" s="146" t="s">
        <v>68</v>
      </c>
      <c r="F14" s="137"/>
      <c r="G14" s="146"/>
      <c r="H14" s="146" t="s">
        <v>22</v>
      </c>
      <c r="I14" s="146" t="s">
        <v>66</v>
      </c>
      <c r="J14" s="146" t="s">
        <v>67</v>
      </c>
      <c r="K14" s="146" t="s">
        <v>68</v>
      </c>
    </row>
    <row r="15" spans="1:12" s="122" customFormat="1" ht="18" customHeight="1">
      <c r="A15" s="129" t="s">
        <v>648</v>
      </c>
      <c r="B15" s="143">
        <f>'（３）業績構成比'!M46/1000</f>
        <v>38925.266779849255</v>
      </c>
      <c r="C15" s="144">
        <f>IFERROR(B15/$B$6,"")</f>
        <v>0.17736700272520087</v>
      </c>
      <c r="D15" s="278">
        <v>0.18995232563774608</v>
      </c>
      <c r="E15" s="144">
        <f>IFERROR(C15-D15,"")</f>
        <v>-1.2585322912545216E-2</v>
      </c>
      <c r="F15" s="134"/>
      <c r="G15" s="129" t="s">
        <v>647</v>
      </c>
      <c r="H15" s="143">
        <f>'（４）訂單數量構成比'!M46</f>
        <v>2062765</v>
      </c>
      <c r="I15" s="144">
        <f t="shared" ref="I15:I23" si="3">IFERROR(H15/$B$7,"")</f>
        <v>0.3116746875758783</v>
      </c>
      <c r="J15" s="278">
        <v>0.3280037642949053</v>
      </c>
      <c r="K15" s="144">
        <f t="shared" ref="K15:K23" si="4">IFERROR(I15-J15,"")</f>
        <v>-1.6329076719027003E-2</v>
      </c>
    </row>
    <row r="16" spans="1:12" s="122" customFormat="1" ht="18" customHeight="1">
      <c r="A16" s="129" t="s">
        <v>222</v>
      </c>
      <c r="B16" s="143">
        <f>'（３）業績構成比'!S46/1000</f>
        <v>7132.1212551500494</v>
      </c>
      <c r="C16" s="144">
        <f t="shared" ref="C16:C23" si="5">IFERROR(B16/$B$6,"")</f>
        <v>3.2498247918329635E-2</v>
      </c>
      <c r="D16" s="278">
        <v>3.6852285561562982E-2</v>
      </c>
      <c r="E16" s="144">
        <f t="shared" ref="E16:E23" si="6">IFERROR(C16-D16,"")</f>
        <v>-4.3540376432333466E-3</v>
      </c>
      <c r="F16" s="134"/>
      <c r="G16" s="129" t="s">
        <v>249</v>
      </c>
      <c r="H16" s="143">
        <f>'（４）訂單數量構成比'!S47</f>
        <v>275940</v>
      </c>
      <c r="I16" s="144">
        <f t="shared" si="3"/>
        <v>4.1693316150743231E-2</v>
      </c>
      <c r="J16" s="278">
        <v>4.9997005254584927E-2</v>
      </c>
      <c r="K16" s="144">
        <f t="shared" si="4"/>
        <v>-8.3036891038416952E-3</v>
      </c>
    </row>
    <row r="17" spans="1:18" s="122" customFormat="1" ht="18" customHeight="1">
      <c r="A17" s="129" t="s">
        <v>218</v>
      </c>
      <c r="B17" s="143">
        <f>'（３）業績構成比'!U46/1000</f>
        <v>28599.979028320009</v>
      </c>
      <c r="C17" s="144">
        <f t="shared" si="5"/>
        <v>0.13031876151155225</v>
      </c>
      <c r="D17" s="278">
        <v>8.3446864358345793E-2</v>
      </c>
      <c r="E17" s="144">
        <f t="shared" si="6"/>
        <v>4.6871897153206457E-2</v>
      </c>
      <c r="F17" s="134"/>
      <c r="G17" s="129" t="s">
        <v>231</v>
      </c>
      <c r="H17" s="143">
        <f>'（４）訂單數量構成比'!U46</f>
        <v>878351</v>
      </c>
      <c r="I17" s="144">
        <f t="shared" si="3"/>
        <v>0.13271495953584644</v>
      </c>
      <c r="J17" s="278">
        <v>8.4772389340307619E-2</v>
      </c>
      <c r="K17" s="144">
        <f t="shared" si="4"/>
        <v>4.7942570195538825E-2</v>
      </c>
    </row>
    <row r="18" spans="1:18" s="122" customFormat="1" ht="18" customHeight="1">
      <c r="A18" s="129" t="s">
        <v>220</v>
      </c>
      <c r="B18" s="143">
        <f>'（３）業績構成比'!W46/1000</f>
        <v>258.70291137914762</v>
      </c>
      <c r="C18" s="144">
        <f t="shared" si="5"/>
        <v>1.1788065640530563E-3</v>
      </c>
      <c r="D18" s="278">
        <v>1.92673160478684E-2</v>
      </c>
      <c r="E18" s="144">
        <f t="shared" si="6"/>
        <v>-1.8088509483815345E-2</v>
      </c>
      <c r="F18" s="134"/>
      <c r="G18" s="129" t="s">
        <v>219</v>
      </c>
      <c r="H18" s="143">
        <f>'（４）訂單數量構成比'!W46</f>
        <v>9911</v>
      </c>
      <c r="I18" s="144">
        <f t="shared" si="3"/>
        <v>1.4975083582301086E-3</v>
      </c>
      <c r="J18" s="278">
        <v>1.8873670860388048E-2</v>
      </c>
      <c r="K18" s="144">
        <f t="shared" si="4"/>
        <v>-1.7376162502157941E-2</v>
      </c>
    </row>
    <row r="19" spans="1:18" s="122" customFormat="1" ht="18" customHeight="1">
      <c r="A19" s="129" t="s">
        <v>224</v>
      </c>
      <c r="B19" s="143">
        <f>'（３）業績構成比'!AC46/1000</f>
        <v>55461.297239887863</v>
      </c>
      <c r="C19" s="144">
        <f t="shared" si="5"/>
        <v>0.25271513524430778</v>
      </c>
      <c r="D19" s="278">
        <v>0.26250719753116181</v>
      </c>
      <c r="E19" s="144">
        <f t="shared" si="6"/>
        <v>-9.7920622868540308E-3</v>
      </c>
      <c r="F19" s="134"/>
      <c r="G19" s="129" t="s">
        <v>223</v>
      </c>
      <c r="H19" s="143">
        <f>'（４）訂單數量構成比'!AC46</f>
        <v>1388679</v>
      </c>
      <c r="I19" s="144">
        <f t="shared" si="3"/>
        <v>0.20982326802528797</v>
      </c>
      <c r="J19" s="278">
        <v>0.2157736397427506</v>
      </c>
      <c r="K19" s="144">
        <f t="shared" si="4"/>
        <v>-5.9503717174626269E-3</v>
      </c>
    </row>
    <row r="20" spans="1:18" s="122" customFormat="1" ht="18" customHeight="1">
      <c r="A20" s="129" t="s">
        <v>226</v>
      </c>
      <c r="B20" s="143">
        <f>'（３）業績構成比'!AE46/1000</f>
        <v>28333.08014415155</v>
      </c>
      <c r="C20" s="144">
        <f t="shared" si="5"/>
        <v>0.12910260915006949</v>
      </c>
      <c r="D20" s="278">
        <v>0.14545991447314277</v>
      </c>
      <c r="E20" s="144">
        <f t="shared" si="6"/>
        <v>-1.6357305323073279E-2</v>
      </c>
      <c r="F20" s="134"/>
      <c r="G20" s="129" t="s">
        <v>225</v>
      </c>
      <c r="H20" s="143">
        <f>'（４）訂單數量構成比'!AE46</f>
        <v>507543</v>
      </c>
      <c r="I20" s="144">
        <f t="shared" si="3"/>
        <v>7.6687507280918582E-2</v>
      </c>
      <c r="J20" s="278">
        <v>8.5368720908049922E-2</v>
      </c>
      <c r="K20" s="144">
        <f t="shared" si="4"/>
        <v>-8.68121362713134E-3</v>
      </c>
    </row>
    <row r="21" spans="1:18" s="122" customFormat="1" ht="18" customHeight="1">
      <c r="A21" s="129" t="s">
        <v>227</v>
      </c>
      <c r="B21" s="143">
        <f>'（３）業績構成比'!AG46/1000</f>
        <v>28486.570214934542</v>
      </c>
      <c r="C21" s="144">
        <f>IFERROR(B21/$B$6,"")</f>
        <v>0.1298020025275595</v>
      </c>
      <c r="D21" s="278">
        <v>0.12772825780473887</v>
      </c>
      <c r="E21" s="144">
        <f>IFERROR(C21-D21,"")</f>
        <v>2.0737447228206252E-3</v>
      </c>
      <c r="F21" s="134"/>
      <c r="G21" s="129" t="s">
        <v>232</v>
      </c>
      <c r="H21" s="143">
        <f>'（４）訂單數量構成比'!AG46</f>
        <v>546496</v>
      </c>
      <c r="I21" s="144">
        <f>IFERROR(H21/$B$7,"")</f>
        <v>8.2573133663537635E-2</v>
      </c>
      <c r="J21" s="278">
        <v>8.2842510726808552E-2</v>
      </c>
      <c r="K21" s="144">
        <f>IFERROR(I21-J21,"")</f>
        <v>-2.6937706327091748E-4</v>
      </c>
    </row>
    <row r="22" spans="1:18" s="122" customFormat="1" ht="18" customHeight="1">
      <c r="A22" s="129" t="s">
        <v>228</v>
      </c>
      <c r="B22" s="143">
        <f>'（３）業績構成比'!AI46/1000</f>
        <v>14518.968436311823</v>
      </c>
      <c r="C22" s="144">
        <f t="shared" si="5"/>
        <v>6.6157180855688849E-2</v>
      </c>
      <c r="D22" s="278">
        <v>5.2762179412425995E-2</v>
      </c>
      <c r="E22" s="144">
        <f t="shared" si="6"/>
        <v>1.3395001443262854E-2</v>
      </c>
      <c r="F22" s="134"/>
      <c r="G22" s="129" t="s">
        <v>233</v>
      </c>
      <c r="H22" s="143">
        <f>'（４）訂單數量構成比'!AI46</f>
        <v>394302</v>
      </c>
      <c r="I22" s="144">
        <f t="shared" si="3"/>
        <v>5.9577291965174882E-2</v>
      </c>
      <c r="J22" s="278">
        <v>4.7042446397521427E-2</v>
      </c>
      <c r="K22" s="144">
        <f t="shared" si="4"/>
        <v>1.2534845567653455E-2</v>
      </c>
    </row>
    <row r="23" spans="1:18" s="122" customFormat="1" ht="18" customHeight="1">
      <c r="A23" s="129" t="s">
        <v>230</v>
      </c>
      <c r="B23" s="143">
        <f>'（３）業績構成比'!AK46/1000</f>
        <v>17745.729990015752</v>
      </c>
      <c r="C23" s="144">
        <f t="shared" si="5"/>
        <v>8.0860253503238597E-2</v>
      </c>
      <c r="D23" s="278">
        <v>8.2023659173007302E-2</v>
      </c>
      <c r="E23" s="144">
        <f t="shared" si="6"/>
        <v>-1.1634056697687051E-3</v>
      </c>
      <c r="F23" s="134"/>
      <c r="G23" s="129" t="s">
        <v>229</v>
      </c>
      <c r="H23" s="143">
        <f>'（４）訂單數量構成比'!AK46</f>
        <v>554340</v>
      </c>
      <c r="I23" s="144">
        <f t="shared" si="3"/>
        <v>8.3758327444382843E-2</v>
      </c>
      <c r="J23" s="278">
        <v>8.7325852474683621E-2</v>
      </c>
      <c r="K23" s="144">
        <f t="shared" si="4"/>
        <v>-3.5675250303007777E-3</v>
      </c>
    </row>
    <row r="24" spans="1:18" s="122" customFormat="1" ht="15.75" customHeight="1">
      <c r="A24" s="134"/>
      <c r="B24" s="134"/>
      <c r="C24" s="138">
        <f>SUM(C15:C23)</f>
        <v>1</v>
      </c>
      <c r="D24" s="138">
        <f>SUM(D15:D23)</f>
        <v>1</v>
      </c>
      <c r="E24" s="134"/>
      <c r="F24" s="134"/>
      <c r="G24" s="134"/>
      <c r="H24" s="134"/>
      <c r="I24" s="138">
        <f>SUM(I15:I23)</f>
        <v>0.99999999999999989</v>
      </c>
      <c r="J24" s="138">
        <f>SUM(J15:J23)</f>
        <v>1</v>
      </c>
      <c r="K24" s="134"/>
    </row>
    <row r="25" spans="1:18" s="122" customFormat="1" ht="9.65" customHeight="1">
      <c r="A25" s="139"/>
      <c r="B25" s="134"/>
      <c r="C25" s="134"/>
      <c r="D25" s="134"/>
      <c r="E25" s="134"/>
      <c r="F25" s="134"/>
      <c r="G25" s="134"/>
      <c r="H25" s="134"/>
      <c r="I25" s="134"/>
      <c r="J25" s="134"/>
      <c r="K25" s="134"/>
    </row>
    <row r="26" spans="1:18" s="122" customFormat="1" ht="15.75" customHeight="1">
      <c r="A26" s="133" t="s">
        <v>196</v>
      </c>
      <c r="B26" s="134"/>
      <c r="C26" s="134"/>
      <c r="D26" s="134"/>
      <c r="E26" s="134"/>
      <c r="F26" s="134"/>
      <c r="G26" s="134"/>
      <c r="H26" s="134"/>
      <c r="I26" s="134"/>
      <c r="J26" s="134"/>
      <c r="K26" s="134"/>
      <c r="L26" s="134"/>
      <c r="M26" s="134"/>
      <c r="N26" s="134"/>
      <c r="O26" s="134"/>
      <c r="P26" s="134"/>
      <c r="Q26" s="134"/>
      <c r="R26" s="134"/>
    </row>
    <row r="27" spans="1:18" s="122" customFormat="1" ht="15.75" customHeight="1">
      <c r="A27" s="129" t="s">
        <v>186</v>
      </c>
      <c r="B27" s="129" t="s">
        <v>22</v>
      </c>
      <c r="C27" s="129" t="s">
        <v>1</v>
      </c>
      <c r="D27" s="129" t="s">
        <v>2</v>
      </c>
      <c r="E27" s="129" t="s">
        <v>3</v>
      </c>
      <c r="F27" s="134"/>
      <c r="G27" s="134"/>
      <c r="H27" s="134"/>
      <c r="I27" s="134"/>
    </row>
    <row r="28" spans="1:18" s="122" customFormat="1" ht="18" customHeight="1">
      <c r="A28" s="129" t="s">
        <v>647</v>
      </c>
      <c r="B28" s="279">
        <f>'（５-1）品群別人時生產性（18℃-飯糰）'!$C$1</f>
        <v>785.96646199231202</v>
      </c>
      <c r="C28" s="303">
        <v>760.86067130293975</v>
      </c>
      <c r="D28" s="245">
        <f t="shared" ref="D28:D36" si="7">B28-C28</f>
        <v>25.10579068937227</v>
      </c>
      <c r="E28" s="279">
        <f>R28</f>
        <v>0</v>
      </c>
      <c r="F28" s="134"/>
      <c r="G28" s="148"/>
      <c r="H28" s="148"/>
      <c r="I28" s="148"/>
    </row>
    <row r="29" spans="1:18" s="122" customFormat="1" ht="18" customHeight="1">
      <c r="A29" s="129" t="s">
        <v>221</v>
      </c>
      <c r="B29" s="279">
        <f>'（５-2）品群別人時生產性（18-壽司手卷)'!$C$1</f>
        <v>184.98535195239651</v>
      </c>
      <c r="C29" s="303">
        <v>181.47824031686287</v>
      </c>
      <c r="D29" s="245">
        <f t="shared" si="7"/>
        <v>3.5071116355336471</v>
      </c>
      <c r="E29" s="279">
        <f t="shared" ref="E29:E36" si="8">R29</f>
        <v>0</v>
      </c>
      <c r="F29" s="134"/>
      <c r="G29" s="149"/>
      <c r="H29" s="149"/>
      <c r="I29" s="149"/>
    </row>
    <row r="30" spans="1:18" s="122" customFormat="1" ht="18" customHeight="1">
      <c r="A30" s="129" t="s">
        <v>231</v>
      </c>
      <c r="B30" s="279">
        <f>'（５-3）品群別人時生產性（4℃-飯糰)'!$C$1</f>
        <v>269.01436619965523</v>
      </c>
      <c r="C30" s="303">
        <v>278.36245799577375</v>
      </c>
      <c r="D30" s="245">
        <f t="shared" si="7"/>
        <v>-9.3480917961185241</v>
      </c>
      <c r="E30" s="279">
        <f t="shared" si="8"/>
        <v>0</v>
      </c>
      <c r="F30" s="134"/>
      <c r="G30" s="134"/>
      <c r="H30" s="134"/>
      <c r="I30" s="134"/>
    </row>
    <row r="31" spans="1:18" s="122" customFormat="1" ht="18" customHeight="1">
      <c r="A31" s="129" t="s">
        <v>219</v>
      </c>
      <c r="B31" s="279">
        <f>'（５-4）品群別人時生產性（4℃-壽司手卷)'!$C$1</f>
        <v>114.26642916085584</v>
      </c>
      <c r="C31" s="303">
        <v>115.55878144079566</v>
      </c>
      <c r="D31" s="245">
        <f t="shared" si="7"/>
        <v>-1.2923522799398199</v>
      </c>
      <c r="E31" s="279">
        <f t="shared" si="8"/>
        <v>0</v>
      </c>
      <c r="F31" s="134"/>
      <c r="G31" s="134"/>
      <c r="H31" s="134"/>
      <c r="I31" s="134"/>
    </row>
    <row r="32" spans="1:18" s="122" customFormat="1" ht="18" customHeight="1">
      <c r="A32" s="129" t="s">
        <v>223</v>
      </c>
      <c r="B32" s="279">
        <f>'（５-5）品群別人時生產性(主食) '!$C$1</f>
        <v>85.722401734426455</v>
      </c>
      <c r="C32" s="303">
        <v>86.850172380247415</v>
      </c>
      <c r="D32" s="245">
        <f t="shared" si="7"/>
        <v>-1.1277706458209593</v>
      </c>
      <c r="E32" s="279">
        <f t="shared" si="8"/>
        <v>0</v>
      </c>
      <c r="F32" s="134"/>
      <c r="G32" s="134"/>
      <c r="H32" s="134"/>
      <c r="I32" s="134"/>
    </row>
    <row r="33" spans="1:9" s="122" customFormat="1" ht="18" customHeight="1">
      <c r="A33" s="129" t="s">
        <v>225</v>
      </c>
      <c r="B33" s="279">
        <f>'（５-6）品群別人時生產性(便當)'!$C$1</f>
        <v>70.412868253133169</v>
      </c>
      <c r="C33" s="303">
        <v>69.876515233145781</v>
      </c>
      <c r="D33" s="245">
        <f t="shared" si="7"/>
        <v>0.53635301998738782</v>
      </c>
      <c r="E33" s="279">
        <f t="shared" si="8"/>
        <v>0</v>
      </c>
      <c r="F33" s="134"/>
      <c r="G33" s="134"/>
      <c r="H33" s="134"/>
      <c r="I33" s="134"/>
    </row>
    <row r="34" spans="1:9" s="122" customFormat="1" ht="18" customHeight="1">
      <c r="A34" s="129" t="s">
        <v>232</v>
      </c>
      <c r="B34" s="279">
        <f>'（５-7）品群別人時生產性(熱食義麵) '!$C$1</f>
        <v>70.92811787954497</v>
      </c>
      <c r="C34" s="303">
        <v>77.759992314606578</v>
      </c>
      <c r="D34" s="245">
        <f t="shared" si="7"/>
        <v>-6.8318744350616072</v>
      </c>
      <c r="E34" s="279">
        <f t="shared" si="8"/>
        <v>0</v>
      </c>
      <c r="F34" s="134"/>
      <c r="G34" s="134"/>
      <c r="H34" s="134"/>
      <c r="I34" s="134"/>
    </row>
    <row r="35" spans="1:9" s="122" customFormat="1" ht="18" customHeight="1">
      <c r="A35" s="129" t="s">
        <v>233</v>
      </c>
      <c r="B35" s="279">
        <f>'（５-8）品群別人時生產性(季節調理麵) '!$C$1</f>
        <v>120.54740919621163</v>
      </c>
      <c r="C35" s="303">
        <v>119.84367219418827</v>
      </c>
      <c r="D35" s="245">
        <f t="shared" si="7"/>
        <v>0.70373700202335954</v>
      </c>
      <c r="E35" s="279">
        <f t="shared" si="8"/>
        <v>0</v>
      </c>
      <c r="F35" s="134"/>
      <c r="G35" s="134"/>
      <c r="H35" s="134"/>
      <c r="I35" s="134"/>
    </row>
    <row r="36" spans="1:9" s="122" customFormat="1" ht="18" customHeight="1">
      <c r="A36" s="125" t="s">
        <v>229</v>
      </c>
      <c r="B36" s="279">
        <f>'（５-9）品群別人時生產性(微波小吃)'!$C$1</f>
        <v>119.11370110269712</v>
      </c>
      <c r="C36" s="303">
        <v>111.38791463699506</v>
      </c>
      <c r="D36" s="245">
        <f t="shared" si="7"/>
        <v>7.7257864657020576</v>
      </c>
      <c r="E36" s="279">
        <f t="shared" si="8"/>
        <v>0</v>
      </c>
      <c r="F36" s="134"/>
      <c r="G36" s="134"/>
      <c r="H36" s="134"/>
      <c r="I36" s="134"/>
    </row>
    <row r="37" spans="1:9" s="122" customFormat="1" ht="15.75" customHeight="1"/>
    <row r="38" spans="1:9" s="122" customFormat="1" ht="15.75" customHeight="1"/>
  </sheetData>
  <mergeCells count="2">
    <mergeCell ref="A1:K2"/>
    <mergeCell ref="D3:E3"/>
  </mergeCells>
  <phoneticPr fontId="11" type="noConversion"/>
  <printOptions horizontalCentered="1" gridLines="1"/>
  <pageMargins left="0.39370078740157483" right="0.39370078740157483" top="0.39370078740157483" bottom="0.19685039370078741" header="0" footer="0"/>
  <pageSetup paperSize="9" scale="86" fitToWidth="0" fitToHeight="0" pageOrder="overThenDown" orientation="landscape" cellComments="atEnd"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R38"/>
  <sheetViews>
    <sheetView zoomScale="90" zoomScaleNormal="90" zoomScaleSheetLayoutView="100" workbookViewId="0">
      <selection activeCell="B10" sqref="B10"/>
    </sheetView>
  </sheetViews>
  <sheetFormatPr defaultColWidth="12.54296875" defaultRowHeight="15.75" customHeight="1"/>
  <cols>
    <col min="1" max="1" width="27.453125" style="120" bestFit="1" customWidth="1"/>
    <col min="2" max="2" width="12.54296875" style="120" customWidth="1"/>
    <col min="3" max="4" width="12.54296875" style="120"/>
    <col min="5" max="5" width="16.453125" style="120" customWidth="1"/>
    <col min="6" max="6" width="2.453125" style="120" customWidth="1"/>
    <col min="7" max="7" width="24.81640625" style="120" bestFit="1" customWidth="1"/>
    <col min="8" max="10" width="12.54296875" style="120"/>
    <col min="11" max="11" width="16.453125" style="120" customWidth="1"/>
    <col min="12" max="12" width="12.54296875" style="121"/>
    <col min="13" max="16384" width="12.54296875" style="120"/>
  </cols>
  <sheetData>
    <row r="1" spans="1:18" ht="15.75" customHeight="1">
      <c r="A1" s="504" t="s">
        <v>410</v>
      </c>
      <c r="B1" s="504"/>
      <c r="C1" s="504"/>
      <c r="D1" s="504"/>
      <c r="E1" s="504"/>
      <c r="F1" s="504"/>
      <c r="G1" s="504"/>
      <c r="H1" s="504"/>
      <c r="I1" s="504"/>
      <c r="J1" s="504"/>
      <c r="K1" s="504"/>
      <c r="L1" s="120"/>
    </row>
    <row r="2" spans="1:18" s="121" customFormat="1" ht="15.75" customHeight="1">
      <c r="A2" s="504"/>
      <c r="B2" s="504"/>
      <c r="C2" s="504"/>
      <c r="D2" s="504"/>
      <c r="E2" s="504"/>
      <c r="F2" s="504"/>
      <c r="G2" s="504"/>
      <c r="H2" s="504"/>
      <c r="I2" s="504"/>
      <c r="J2" s="504"/>
      <c r="K2" s="504"/>
    </row>
    <row r="3" spans="1:18" ht="21.65" customHeight="1">
      <c r="A3" s="140" t="s">
        <v>323</v>
      </c>
      <c r="B3" s="215">
        <v>11</v>
      </c>
      <c r="C3" s="217" t="s">
        <v>324</v>
      </c>
      <c r="D3" s="215" t="s">
        <v>629</v>
      </c>
      <c r="E3" s="140" t="s">
        <v>20</v>
      </c>
      <c r="F3" s="505" t="s">
        <v>409</v>
      </c>
      <c r="G3" s="505"/>
      <c r="H3" s="131"/>
      <c r="I3" s="132"/>
      <c r="J3" s="131"/>
      <c r="K3" s="131"/>
      <c r="L3" s="131"/>
      <c r="M3" s="131"/>
      <c r="N3" s="121"/>
    </row>
    <row r="4" spans="1:18" s="122" customFormat="1" ht="15.75" customHeight="1">
      <c r="A4" s="133" t="s">
        <v>195</v>
      </c>
      <c r="B4" s="134"/>
      <c r="C4" s="134"/>
      <c r="D4" s="134"/>
      <c r="E4" s="124" t="s">
        <v>23</v>
      </c>
      <c r="F4" s="134"/>
      <c r="G4" s="135" t="s">
        <v>125</v>
      </c>
      <c r="H4" s="134"/>
      <c r="I4" s="134"/>
      <c r="J4" s="134"/>
      <c r="K4" s="134"/>
    </row>
    <row r="5" spans="1:18" s="126" customFormat="1" ht="15.75" customHeight="1">
      <c r="A5" s="147" t="s">
        <v>197</v>
      </c>
      <c r="B5" s="147" t="s">
        <v>326</v>
      </c>
      <c r="C5" s="147" t="s">
        <v>328</v>
      </c>
      <c r="D5" s="142" t="s">
        <v>2</v>
      </c>
      <c r="E5" s="142" t="s">
        <v>3</v>
      </c>
      <c r="F5" s="136"/>
      <c r="G5" s="147" t="s">
        <v>197</v>
      </c>
      <c r="H5" s="142" t="s">
        <v>69</v>
      </c>
      <c r="I5" s="142" t="s">
        <v>325</v>
      </c>
      <c r="J5" s="142" t="s">
        <v>327</v>
      </c>
      <c r="K5" s="142" t="s">
        <v>3</v>
      </c>
      <c r="L5" s="127" t="s">
        <v>60</v>
      </c>
    </row>
    <row r="6" spans="1:18" s="122" customFormat="1" ht="18" customHeight="1">
      <c r="A6" s="129" t="s">
        <v>24</v>
      </c>
      <c r="B6" s="224">
        <f>'（１）收支狀況'!G33/1000</f>
        <v>48124.067000000003</v>
      </c>
      <c r="C6" s="256">
        <v>48568.542999999998</v>
      </c>
      <c r="D6" s="143">
        <f t="shared" ref="D6:D11" si="0">B6-C6</f>
        <v>-444.47599999999511</v>
      </c>
      <c r="E6" s="236">
        <f>'（１）收支狀況'!H9/1000</f>
        <v>219461.71599999999</v>
      </c>
      <c r="F6" s="134"/>
      <c r="G6" s="129" t="s">
        <v>198</v>
      </c>
      <c r="H6" s="238">
        <v>366</v>
      </c>
      <c r="I6" s="261">
        <f>'（２）ＫＰＩ達成進度'!G33</f>
        <v>330.07002526078759</v>
      </c>
      <c r="J6" s="262">
        <v>342.32011489371604</v>
      </c>
      <c r="K6" s="263">
        <f>'（２）ＫＰＩ達成進度'!H9</f>
        <v>328.81665999046396</v>
      </c>
      <c r="L6" s="123" t="s">
        <v>194</v>
      </c>
    </row>
    <row r="7" spans="1:18" s="122" customFormat="1" ht="18" customHeight="1">
      <c r="A7" s="129" t="s">
        <v>25</v>
      </c>
      <c r="B7" s="224">
        <f>'（１）收支狀況'!J33</f>
        <v>1466437</v>
      </c>
      <c r="C7" s="256">
        <v>1467152</v>
      </c>
      <c r="D7" s="143">
        <f t="shared" si="0"/>
        <v>-715</v>
      </c>
      <c r="E7" s="236">
        <f>'（１）收支狀況'!K9</f>
        <v>6618327</v>
      </c>
      <c r="F7" s="134"/>
      <c r="G7" s="129" t="s">
        <v>199</v>
      </c>
      <c r="H7" s="254">
        <v>0.8</v>
      </c>
      <c r="I7" s="252">
        <f>'（２）ＫＰＩ達成進度'!J33</f>
        <v>0.90132152333142457</v>
      </c>
      <c r="J7" s="259">
        <v>0.93530086036534432</v>
      </c>
      <c r="K7" s="255">
        <f>'（２）ＫＰＩ達成進度'!K9</f>
        <v>0.89819019563886016</v>
      </c>
      <c r="L7" s="123" t="s">
        <v>4</v>
      </c>
    </row>
    <row r="8" spans="1:18" s="122" customFormat="1" ht="18" customHeight="1">
      <c r="A8" s="129" t="s">
        <v>5</v>
      </c>
      <c r="B8" s="224">
        <f>'（１）收支狀況'!M33/1000</f>
        <v>32691.593000000001</v>
      </c>
      <c r="C8" s="256">
        <v>32511.102999999999</v>
      </c>
      <c r="D8" s="143">
        <f>B8-C8</f>
        <v>180.4900000000016</v>
      </c>
      <c r="E8" s="236">
        <f>'（１）收支狀況'!N9/1000</f>
        <v>148488.87100000001</v>
      </c>
      <c r="F8" s="134"/>
      <c r="G8" s="129" t="s">
        <v>200</v>
      </c>
      <c r="H8" s="237">
        <v>2.5000000000000001E-3</v>
      </c>
      <c r="I8" s="250">
        <f>'（２）ＫＰＩ達成進度'!M33</f>
        <v>2.4573200210133662E-3</v>
      </c>
      <c r="J8" s="258">
        <v>2.44992700831204E-3</v>
      </c>
      <c r="K8" s="250">
        <f>'（２）ＫＰＩ達成進度'!N9</f>
        <v>2.4556525658943427E-3</v>
      </c>
      <c r="L8" s="123" t="s">
        <v>55</v>
      </c>
    </row>
    <row r="9" spans="1:18" s="122" customFormat="1" ht="18" customHeight="1">
      <c r="A9" s="129" t="s">
        <v>6</v>
      </c>
      <c r="B9" s="225">
        <f>'（１）收支狀況'!P33</f>
        <v>0.67931899853767552</v>
      </c>
      <c r="C9" s="257">
        <v>0.66938600567037809</v>
      </c>
      <c r="D9" s="144">
        <f t="shared" si="0"/>
        <v>9.9329928672974299E-3</v>
      </c>
      <c r="E9" s="144">
        <f>'（１）收支狀況'!Q9</f>
        <v>0.67660489358426412</v>
      </c>
      <c r="F9" s="134"/>
      <c r="G9" s="129" t="s">
        <v>201</v>
      </c>
      <c r="H9" s="237">
        <v>2.5999999999999999E-3</v>
      </c>
      <c r="I9" s="250">
        <f>'（２）ＫＰＩ達成進度'!P33</f>
        <v>2.2237034877519899E-3</v>
      </c>
      <c r="J9" s="258">
        <v>2.2296455419316499E-3</v>
      </c>
      <c r="K9" s="250">
        <f>'（２）ＫＰＩ達成進度'!Q9</f>
        <v>2.097843269628437E-3</v>
      </c>
      <c r="L9" s="123" t="s">
        <v>98</v>
      </c>
    </row>
    <row r="10" spans="1:18" s="122" customFormat="1" ht="18" customHeight="1">
      <c r="A10" s="129" t="s">
        <v>64</v>
      </c>
      <c r="B10" s="224">
        <f>'（１）收支狀況'!S33/1000</f>
        <v>6957.2860893333336</v>
      </c>
      <c r="C10" s="256">
        <f>7059638.28/1000</f>
        <v>7059.6382800000001</v>
      </c>
      <c r="D10" s="143">
        <f t="shared" si="0"/>
        <v>-102.3521906666665</v>
      </c>
      <c r="E10" s="236">
        <f>'（１）收支狀況'!T9/1000</f>
        <v>31527.948209333346</v>
      </c>
      <c r="F10" s="134"/>
      <c r="G10" s="129" t="s">
        <v>202</v>
      </c>
      <c r="H10" s="251">
        <v>0.8</v>
      </c>
      <c r="I10" s="252">
        <v>0.91700000000000004</v>
      </c>
      <c r="J10" s="259">
        <v>0.91700000000000004</v>
      </c>
      <c r="K10" s="252">
        <v>0.91700000000000004</v>
      </c>
      <c r="L10" s="123" t="s">
        <v>7</v>
      </c>
    </row>
    <row r="11" spans="1:18" s="122" customFormat="1" ht="18" customHeight="1">
      <c r="A11" s="129" t="s">
        <v>65</v>
      </c>
      <c r="B11" s="225">
        <f>'（１）收支狀況'!V33</f>
        <v>0.14456978645078633</v>
      </c>
      <c r="C11" s="257">
        <v>0.14535412931781796</v>
      </c>
      <c r="D11" s="144">
        <f t="shared" si="0"/>
        <v>-7.8434286703163436E-4</v>
      </c>
      <c r="E11" s="144">
        <f>'（１）收支狀況'!W9</f>
        <v>0.14366035581956968</v>
      </c>
      <c r="F11" s="134"/>
      <c r="G11" s="129" t="s">
        <v>203</v>
      </c>
      <c r="H11" s="251">
        <v>1</v>
      </c>
      <c r="I11" s="252">
        <f>'（２）ＫＰＩ達成進度'!V33</f>
        <v>0.97485714285714287</v>
      </c>
      <c r="J11" s="259">
        <v>0.90285714285714291</v>
      </c>
      <c r="K11" s="252">
        <f>'（２）ＫＰＩ達成進度'!W9</f>
        <v>0.94496774193548394</v>
      </c>
      <c r="L11" s="123" t="s">
        <v>62</v>
      </c>
    </row>
    <row r="12" spans="1:18" s="122" customFormat="1" ht="9.65" customHeight="1">
      <c r="A12" s="134"/>
      <c r="B12" s="134"/>
      <c r="C12" s="134"/>
      <c r="D12" s="134"/>
      <c r="E12" s="134"/>
      <c r="F12" s="134"/>
      <c r="G12" s="134"/>
      <c r="H12" s="134"/>
      <c r="I12" s="134"/>
      <c r="J12" s="134"/>
      <c r="K12" s="134"/>
    </row>
    <row r="13" spans="1:18" s="122" customFormat="1" ht="15.75" customHeight="1">
      <c r="A13" s="133" t="s">
        <v>32</v>
      </c>
      <c r="B13" s="134"/>
      <c r="C13" s="134"/>
      <c r="D13" s="134"/>
      <c r="E13" s="134"/>
      <c r="F13" s="134"/>
      <c r="G13" s="133" t="s">
        <v>147</v>
      </c>
      <c r="H13" s="134"/>
      <c r="I13" s="134"/>
      <c r="J13" s="134"/>
      <c r="K13" s="134"/>
    </row>
    <row r="14" spans="1:18" s="128" customFormat="1" ht="13.5">
      <c r="A14" s="146"/>
      <c r="B14" s="218" t="s">
        <v>326</v>
      </c>
      <c r="C14" s="146" t="s">
        <v>66</v>
      </c>
      <c r="D14" s="218" t="s">
        <v>329</v>
      </c>
      <c r="E14" s="146" t="s">
        <v>68</v>
      </c>
      <c r="F14" s="137"/>
      <c r="G14" s="146"/>
      <c r="H14" s="218" t="s">
        <v>326</v>
      </c>
      <c r="I14" s="146" t="s">
        <v>66</v>
      </c>
      <c r="J14" s="218" t="s">
        <v>329</v>
      </c>
      <c r="K14" s="146" t="s">
        <v>68</v>
      </c>
      <c r="M14" s="122"/>
      <c r="N14" s="122"/>
      <c r="O14" s="122"/>
      <c r="P14" s="122"/>
      <c r="Q14" s="122"/>
      <c r="R14" s="122"/>
    </row>
    <row r="15" spans="1:18" s="122" customFormat="1" ht="18" customHeight="1">
      <c r="A15" s="129" t="s">
        <v>333</v>
      </c>
      <c r="B15" s="239">
        <f>SUM('（３）業績構成比'!I35:I41,'（３）業績構成比'!K35:K41)/1000</f>
        <v>8480.443920286727</v>
      </c>
      <c r="C15" s="144">
        <f>IFERROR(B15/$B$6,"")</f>
        <v>0.17622043291325995</v>
      </c>
      <c r="D15" s="257">
        <v>0.18934667782754822</v>
      </c>
      <c r="E15" s="144">
        <f>IFERROR(C15-D15,"")</f>
        <v>-1.3126244914288265E-2</v>
      </c>
      <c r="F15" s="134"/>
      <c r="G15" s="129" t="s">
        <v>333</v>
      </c>
      <c r="H15" s="239">
        <f>SUM(,'（４）訂單數量構成比'!I35:I41,'（４）訂單數量構成比'!K35:K41)</f>
        <v>447953</v>
      </c>
      <c r="I15" s="144">
        <f t="shared" ref="I15:I23" si="1">IFERROR(H15/$B$7,"")</f>
        <v>0.30547033387728217</v>
      </c>
      <c r="J15" s="257">
        <v>0.32807711811727758</v>
      </c>
      <c r="K15" s="144">
        <f t="shared" ref="K15:K23" si="2">IFERROR(I15-J15,"")</f>
        <v>-2.2606784239995403E-2</v>
      </c>
    </row>
    <row r="16" spans="1:18" s="122" customFormat="1" ht="18" customHeight="1">
      <c r="A16" s="129" t="s">
        <v>222</v>
      </c>
      <c r="B16" s="239">
        <f>SUM('（３）業績構成比'!O35:O41,'（３）業績構成比'!Q35:Q41)/1000</f>
        <v>1714.2048569910105</v>
      </c>
      <c r="C16" s="144">
        <f t="shared" ref="C16:C23" si="3">IFERROR(B16/$B$6,"")</f>
        <v>3.5620531759940621E-2</v>
      </c>
      <c r="D16" s="257">
        <v>3.5232688102032263E-2</v>
      </c>
      <c r="E16" s="144">
        <f t="shared" ref="E16:E23" si="4">IFERROR(C16-D16,"")</f>
        <v>3.8784365790835856E-4</v>
      </c>
      <c r="F16" s="134"/>
      <c r="G16" s="129" t="s">
        <v>249</v>
      </c>
      <c r="H16" s="239">
        <f>SUM('（４）訂單數量構成比'!O35:O41,'（４）訂單數量構成比'!Q35:Q41)</f>
        <v>63820</v>
      </c>
      <c r="I16" s="144">
        <f t="shared" si="1"/>
        <v>4.3520451270664881E-2</v>
      </c>
      <c r="J16" s="257">
        <v>4.6813145468226874E-2</v>
      </c>
      <c r="K16" s="144">
        <f t="shared" si="2"/>
        <v>-3.2926941975619933E-3</v>
      </c>
    </row>
    <row r="17" spans="1:11" s="122" customFormat="1" ht="18" customHeight="1">
      <c r="A17" s="129" t="s">
        <v>218</v>
      </c>
      <c r="B17" s="239">
        <f>SUM('（３）業績構成比'!U35:U41)/1000</f>
        <v>7631.8403164851688</v>
      </c>
      <c r="C17" s="144">
        <f t="shared" si="3"/>
        <v>0.15858676941176164</v>
      </c>
      <c r="D17" s="257">
        <v>9.0034971565151903E-2</v>
      </c>
      <c r="E17" s="144">
        <f t="shared" si="4"/>
        <v>6.8551797846609738E-2</v>
      </c>
      <c r="F17" s="134"/>
      <c r="G17" s="129" t="s">
        <v>231</v>
      </c>
      <c r="H17" s="239">
        <f>SUM('（４）訂單數量構成比'!U35:U41)</f>
        <v>233087</v>
      </c>
      <c r="I17" s="144">
        <f t="shared" si="1"/>
        <v>0.15894784433289669</v>
      </c>
      <c r="J17" s="257">
        <v>8.4512034199592134E-2</v>
      </c>
      <c r="K17" s="144">
        <f t="shared" si="2"/>
        <v>7.4435810133304553E-2</v>
      </c>
    </row>
    <row r="18" spans="1:11" s="122" customFormat="1" ht="18" customHeight="1">
      <c r="A18" s="129" t="s">
        <v>220</v>
      </c>
      <c r="B18" s="239">
        <f>SUM('（３）業績構成比'!W35:W41)/1000</f>
        <v>0</v>
      </c>
      <c r="C18" s="144">
        <f t="shared" si="3"/>
        <v>0</v>
      </c>
      <c r="D18" s="257">
        <v>1.1775084230339142E-2</v>
      </c>
      <c r="E18" s="144">
        <f t="shared" si="4"/>
        <v>-1.1775084230339142E-2</v>
      </c>
      <c r="F18" s="134"/>
      <c r="G18" s="129" t="s">
        <v>219</v>
      </c>
      <c r="H18" s="239">
        <f>SUM('（４）訂單數量構成比'!W35:W41)</f>
        <v>0</v>
      </c>
      <c r="I18" s="144">
        <f t="shared" si="1"/>
        <v>0</v>
      </c>
      <c r="J18" s="257">
        <v>1.917865360916933E-2</v>
      </c>
      <c r="K18" s="144">
        <f t="shared" si="2"/>
        <v>-1.917865360916933E-2</v>
      </c>
    </row>
    <row r="19" spans="1:11" s="122" customFormat="1" ht="18" customHeight="1">
      <c r="A19" s="129" t="s">
        <v>224</v>
      </c>
      <c r="B19" s="239">
        <f>SUM('（３）業績構成比'!Y35:Y41,'（３）業績構成比'!AA35:AA41)/1000</f>
        <v>12684.445618560872</v>
      </c>
      <c r="C19" s="144">
        <f t="shared" si="3"/>
        <v>0.26357800596032066</v>
      </c>
      <c r="D19" s="257">
        <v>0.28328980102486256</v>
      </c>
      <c r="E19" s="144">
        <f t="shared" si="4"/>
        <v>-1.9711795064541904E-2</v>
      </c>
      <c r="F19" s="134"/>
      <c r="G19" s="129" t="s">
        <v>223</v>
      </c>
      <c r="H19" s="239">
        <f>SUM('（４）訂單數量構成比'!Y35:Y41,'（４）訂單數量構成比'!AA35:AA41)</f>
        <v>316397</v>
      </c>
      <c r="I19" s="144">
        <f t="shared" si="1"/>
        <v>0.21575901317274454</v>
      </c>
      <c r="J19" s="257">
        <v>0.22873430973750505</v>
      </c>
      <c r="K19" s="144">
        <f t="shared" si="2"/>
        <v>-1.2975296564760513E-2</v>
      </c>
    </row>
    <row r="20" spans="1:11" s="122" customFormat="1" ht="18" customHeight="1">
      <c r="A20" s="129" t="s">
        <v>226</v>
      </c>
      <c r="B20" s="239">
        <f>SUM('（３）業績構成比'!AE35:AE41)/1000</f>
        <v>5941.3447968942874</v>
      </c>
      <c r="C20" s="144">
        <f t="shared" si="3"/>
        <v>0.12345890875960851</v>
      </c>
      <c r="D20" s="257">
        <v>0.1504046846615002</v>
      </c>
      <c r="E20" s="144">
        <f t="shared" si="4"/>
        <v>-2.6945775901891691E-2</v>
      </c>
      <c r="F20" s="134"/>
      <c r="G20" s="129" t="s">
        <v>225</v>
      </c>
      <c r="H20" s="239">
        <f>SUM('（４）訂單數量構成比'!AE35:AE41)</f>
        <v>107058</v>
      </c>
      <c r="I20" s="144">
        <f t="shared" si="1"/>
        <v>7.3005522910292095E-2</v>
      </c>
      <c r="J20" s="257">
        <v>8.9526511227193906E-2</v>
      </c>
      <c r="K20" s="144">
        <f t="shared" si="2"/>
        <v>-1.6520988316901811E-2</v>
      </c>
    </row>
    <row r="21" spans="1:11" s="122" customFormat="1" ht="18" customHeight="1">
      <c r="A21" s="129" t="s">
        <v>227</v>
      </c>
      <c r="B21" s="239">
        <f>SUM('（３）業績構成比'!AG35:AG41)/1000</f>
        <v>4226.2169720759821</v>
      </c>
      <c r="C21" s="144">
        <f t="shared" si="3"/>
        <v>8.7819198075590368E-2</v>
      </c>
      <c r="D21" s="257">
        <v>0.11116644166551118</v>
      </c>
      <c r="E21" s="144">
        <f t="shared" si="4"/>
        <v>-2.334724358992081E-2</v>
      </c>
      <c r="F21" s="134"/>
      <c r="G21" s="129" t="s">
        <v>232</v>
      </c>
      <c r="H21" s="239">
        <f>SUM('（４）訂單數量構成比'!AG35:AG41)</f>
        <v>84362</v>
      </c>
      <c r="I21" s="144">
        <f t="shared" si="1"/>
        <v>5.7528553903099827E-2</v>
      </c>
      <c r="J21" s="257">
        <v>7.3652218720350715E-2</v>
      </c>
      <c r="K21" s="144">
        <f t="shared" si="2"/>
        <v>-1.6123664817250888E-2</v>
      </c>
    </row>
    <row r="22" spans="1:11" s="122" customFormat="1" ht="18" customHeight="1">
      <c r="A22" s="129" t="s">
        <v>228</v>
      </c>
      <c r="B22" s="239">
        <f>SUM('（３）業績構成比'!AI35:AI41)/1000</f>
        <v>3322.5540336513168</v>
      </c>
      <c r="C22" s="144">
        <f t="shared" si="3"/>
        <v>6.9041422323082469E-2</v>
      </c>
      <c r="D22" s="257">
        <v>4.6912393901251959E-2</v>
      </c>
      <c r="E22" s="144">
        <f t="shared" si="4"/>
        <v>2.212902842183051E-2</v>
      </c>
      <c r="F22" s="134"/>
      <c r="G22" s="129" t="s">
        <v>233</v>
      </c>
      <c r="H22" s="239">
        <f>SUM('（４）訂單數量構成比'!AI35:AI41)</f>
        <v>89922</v>
      </c>
      <c r="I22" s="144">
        <f t="shared" si="1"/>
        <v>6.1320056708880098E-2</v>
      </c>
      <c r="J22" s="257">
        <v>4.1703245471498521E-2</v>
      </c>
      <c r="K22" s="144">
        <f t="shared" si="2"/>
        <v>1.9616811237381578E-2</v>
      </c>
    </row>
    <row r="23" spans="1:11" s="122" customFormat="1" ht="18" customHeight="1">
      <c r="A23" s="129" t="s">
        <v>230</v>
      </c>
      <c r="B23" s="239">
        <f>SUM('（３）業績構成比'!AK35:AK41)/1000</f>
        <v>4123.0164850546316</v>
      </c>
      <c r="C23" s="144">
        <f t="shared" si="3"/>
        <v>8.567473079643563E-2</v>
      </c>
      <c r="D23" s="257">
        <v>8.1837257021802626E-2</v>
      </c>
      <c r="E23" s="144">
        <f t="shared" si="4"/>
        <v>3.8374737746330045E-3</v>
      </c>
      <c r="F23" s="134"/>
      <c r="G23" s="129" t="s">
        <v>229</v>
      </c>
      <c r="H23" s="239">
        <f>SUM('（４）訂單數量構成比'!AK35:AK41)</f>
        <v>123838</v>
      </c>
      <c r="I23" s="144">
        <f t="shared" si="1"/>
        <v>8.4448223824139731E-2</v>
      </c>
      <c r="J23" s="257">
        <v>8.7802763449185903E-2</v>
      </c>
      <c r="K23" s="144">
        <f t="shared" si="2"/>
        <v>-3.3545396250461712E-3</v>
      </c>
    </row>
    <row r="24" spans="1:11" s="122" customFormat="1" ht="15.75" customHeight="1">
      <c r="A24" s="134"/>
      <c r="B24" s="134"/>
      <c r="C24" s="138">
        <f>SUM(C15:C23)</f>
        <v>0.99999999999999978</v>
      </c>
      <c r="D24" s="138">
        <f>SUM(D15:D23)</f>
        <v>1</v>
      </c>
      <c r="E24" s="134"/>
      <c r="F24" s="134"/>
      <c r="G24" s="134"/>
      <c r="H24" s="134"/>
      <c r="I24" s="138">
        <f>SUM(I15:I23)</f>
        <v>1</v>
      </c>
      <c r="J24" s="138">
        <f>SUM(J15:J23)</f>
        <v>1</v>
      </c>
      <c r="K24" s="134"/>
    </row>
    <row r="25" spans="1:11" s="122" customFormat="1" ht="9.65" customHeight="1">
      <c r="A25" s="139"/>
      <c r="B25" s="134"/>
      <c r="C25" s="134"/>
      <c r="D25" s="134"/>
      <c r="E25" s="134"/>
      <c r="F25" s="134"/>
      <c r="G25" s="134"/>
      <c r="H25" s="134"/>
      <c r="I25" s="134"/>
      <c r="J25" s="134"/>
      <c r="K25" s="134"/>
    </row>
    <row r="26" spans="1:11" s="122" customFormat="1" ht="15.75" customHeight="1">
      <c r="A26" s="133" t="s">
        <v>470</v>
      </c>
      <c r="B26" s="134"/>
      <c r="C26" s="134"/>
      <c r="D26" s="134"/>
      <c r="E26" s="134"/>
      <c r="F26" s="134"/>
      <c r="G26" s="134"/>
      <c r="H26" s="134"/>
      <c r="I26" s="134"/>
      <c r="J26" s="134"/>
      <c r="K26" s="134"/>
    </row>
    <row r="27" spans="1:11" s="122" customFormat="1" ht="15.75" customHeight="1">
      <c r="A27" s="129" t="s">
        <v>186</v>
      </c>
      <c r="B27" s="219" t="s">
        <v>326</v>
      </c>
      <c r="C27" s="219" t="s">
        <v>328</v>
      </c>
      <c r="D27" s="129" t="s">
        <v>2</v>
      </c>
      <c r="E27" s="129" t="s">
        <v>413</v>
      </c>
      <c r="F27" s="134"/>
      <c r="G27" s="134"/>
      <c r="H27" s="134"/>
      <c r="I27" s="134"/>
      <c r="J27" s="134"/>
      <c r="K27" s="134"/>
    </row>
    <row r="28" spans="1:11" s="122" customFormat="1" ht="18" customHeight="1">
      <c r="A28" s="129" t="s">
        <v>333</v>
      </c>
      <c r="B28" s="244">
        <f>'（５-1）品群別人時生產性（18℃-飯糰）'!L147</f>
        <v>793.8136580050284</v>
      </c>
      <c r="C28" s="260">
        <v>773.28751168276119</v>
      </c>
      <c r="D28" s="245">
        <f t="shared" ref="D28:D36" si="5">B28-C28</f>
        <v>20.526146322267209</v>
      </c>
      <c r="E28" s="130">
        <f>'（５-1）品群別人時生產性（18℃-飯糰）'!C1</f>
        <v>785.96646199231202</v>
      </c>
      <c r="F28" s="264">
        <v>147</v>
      </c>
      <c r="G28" s="148"/>
      <c r="H28" s="148"/>
      <c r="I28" s="148"/>
      <c r="J28" s="148"/>
      <c r="K28" s="134"/>
    </row>
    <row r="29" spans="1:11" s="122" customFormat="1" ht="18" customHeight="1">
      <c r="A29" s="129" t="s">
        <v>221</v>
      </c>
      <c r="B29" s="244">
        <f>'（５-2）品群別人時生產性（18-壽司手卷)'!L87</f>
        <v>168.27661046416284</v>
      </c>
      <c r="C29" s="260">
        <v>182.60763657644188</v>
      </c>
      <c r="D29" s="245">
        <f t="shared" si="5"/>
        <v>-14.331026112279034</v>
      </c>
      <c r="E29" s="130">
        <f>'（５-2）品群別人時生產性（18-壽司手卷)'!C1</f>
        <v>184.98535195239651</v>
      </c>
      <c r="F29" s="134">
        <v>87</v>
      </c>
      <c r="G29" s="149"/>
      <c r="H29" s="149"/>
      <c r="I29" s="150"/>
      <c r="J29" s="151"/>
      <c r="K29" s="134"/>
    </row>
    <row r="30" spans="1:11" s="122" customFormat="1" ht="18" customHeight="1">
      <c r="A30" s="129" t="s">
        <v>231</v>
      </c>
      <c r="B30" s="244">
        <f>'（５-3）品群別人時生產性（4℃-飯糰)'!L87</f>
        <v>258.16865876965784</v>
      </c>
      <c r="C30" s="260">
        <v>272.74108911147209</v>
      </c>
      <c r="D30" s="245">
        <f t="shared" si="5"/>
        <v>-14.572430341814254</v>
      </c>
      <c r="E30" s="130">
        <f>'（５-3）品群別人時生產性（4℃-飯糰)'!C1</f>
        <v>269.01436619965523</v>
      </c>
      <c r="F30" s="134"/>
      <c r="G30" s="134"/>
      <c r="H30" s="134"/>
      <c r="I30" s="134"/>
      <c r="J30" s="134"/>
      <c r="K30" s="134"/>
    </row>
    <row r="31" spans="1:11" s="122" customFormat="1" ht="18" customHeight="1">
      <c r="A31" s="129" t="s">
        <v>219</v>
      </c>
      <c r="B31" s="244">
        <f>'（５-4）品群別人時生產性（4℃-壽司手卷)'!L87</f>
        <v>113.11020299145298</v>
      </c>
      <c r="C31" s="260">
        <v>113.81516387747592</v>
      </c>
      <c r="D31" s="245">
        <f t="shared" si="5"/>
        <v>-0.70496088602294549</v>
      </c>
      <c r="E31" s="130">
        <f>'（５-4）品群別人時生產性（4℃-壽司手卷)'!C1</f>
        <v>114.26642916085584</v>
      </c>
      <c r="F31" s="134"/>
      <c r="G31" s="134"/>
      <c r="H31" s="134"/>
      <c r="I31" s="134"/>
      <c r="J31" s="134"/>
      <c r="K31" s="134"/>
    </row>
    <row r="32" spans="1:11" s="122" customFormat="1" ht="18" customHeight="1">
      <c r="A32" s="129" t="s">
        <v>223</v>
      </c>
      <c r="B32" s="244">
        <f>'（５-5）品群別人時生產性(主食) '!L147</f>
        <v>84.04829343302049</v>
      </c>
      <c r="C32" s="260">
        <v>86.027649035293493</v>
      </c>
      <c r="D32" s="245">
        <f t="shared" si="5"/>
        <v>-1.979355602273003</v>
      </c>
      <c r="E32" s="130">
        <f>'（５-5）品群別人時生產性(主食) '!C1</f>
        <v>85.722401734426455</v>
      </c>
      <c r="F32" s="264"/>
      <c r="G32" s="134"/>
      <c r="H32" s="134"/>
      <c r="I32" s="134"/>
      <c r="J32" s="134"/>
      <c r="K32" s="134"/>
    </row>
    <row r="33" spans="1:11" s="122" customFormat="1" ht="18" customHeight="1">
      <c r="A33" s="129" t="s">
        <v>225</v>
      </c>
      <c r="B33" s="244">
        <f>'（５-6）品群別人時生產性(便當)'!L87</f>
        <v>69.900452105226762</v>
      </c>
      <c r="C33" s="260">
        <v>67.317862575497216</v>
      </c>
      <c r="D33" s="245">
        <f t="shared" si="5"/>
        <v>2.582589529729546</v>
      </c>
      <c r="E33" s="130">
        <f>'（５-6）品群別人時生產性(便當)'!C1</f>
        <v>70.412868253133169</v>
      </c>
      <c r="F33" s="134"/>
      <c r="G33" s="134"/>
      <c r="H33" s="134"/>
      <c r="I33" s="134"/>
      <c r="J33" s="134"/>
      <c r="K33" s="134"/>
    </row>
    <row r="34" spans="1:11" s="122" customFormat="1" ht="18" customHeight="1">
      <c r="A34" s="129" t="s">
        <v>232</v>
      </c>
      <c r="B34" s="244">
        <f>'（５-7）品群別人時生產性(熱食義麵) '!L87</f>
        <v>69.481918822043326</v>
      </c>
      <c r="C34" s="260">
        <v>77.436510262417258</v>
      </c>
      <c r="D34" s="245">
        <f t="shared" si="5"/>
        <v>-7.9545914403739317</v>
      </c>
      <c r="E34" s="130">
        <f>'（５-7）品群別人時生產性(熱食義麵) '!C1</f>
        <v>70.92811787954497</v>
      </c>
      <c r="F34" s="134"/>
      <c r="G34" s="134"/>
      <c r="H34" s="134"/>
      <c r="I34" s="134"/>
      <c r="J34" s="134"/>
      <c r="K34" s="134"/>
    </row>
    <row r="35" spans="1:11" s="122" customFormat="1" ht="18" customHeight="1">
      <c r="A35" s="129" t="s">
        <v>233</v>
      </c>
      <c r="B35" s="244">
        <f>'（５-8）品群別人時生產性(季節調理麵) '!L87</f>
        <v>121.3804689582707</v>
      </c>
      <c r="C35" s="260">
        <v>121.87280560095473</v>
      </c>
      <c r="D35" s="245">
        <f t="shared" si="5"/>
        <v>-0.49233664268403743</v>
      </c>
      <c r="E35" s="130">
        <f>'（５-8）品群別人時生產性(季節調理麵) '!C1</f>
        <v>120.54740919621163</v>
      </c>
      <c r="F35" s="134"/>
      <c r="G35" s="134"/>
      <c r="H35" s="134"/>
      <c r="I35" s="134"/>
      <c r="J35" s="134"/>
      <c r="K35" s="134"/>
    </row>
    <row r="36" spans="1:11" s="122" customFormat="1" ht="18" customHeight="1">
      <c r="A36" s="125" t="s">
        <v>229</v>
      </c>
      <c r="B36" s="244">
        <f>'（５-9）品群別人時生產性(微波小吃)'!L87</f>
        <v>115.12118281649725</v>
      </c>
      <c r="C36" s="260">
        <v>115.15834330868617</v>
      </c>
      <c r="D36" s="245">
        <f t="shared" si="5"/>
        <v>-3.716049218891726E-2</v>
      </c>
      <c r="E36" s="130">
        <f>'（５-9）品群別人時生產性(微波小吃)'!C1</f>
        <v>119.11370110269712</v>
      </c>
      <c r="F36" s="134"/>
      <c r="G36" s="134"/>
      <c r="H36" s="134"/>
      <c r="I36" s="134"/>
      <c r="J36" s="134"/>
      <c r="K36" s="134"/>
    </row>
    <row r="37" spans="1:11" s="122" customFormat="1" ht="15.75" customHeight="1">
      <c r="D37" s="295">
        <f>SUM(D28:D36)</f>
        <v>-16.963125665639367</v>
      </c>
    </row>
    <row r="38" spans="1:11" s="122" customFormat="1" ht="15.75" customHeight="1"/>
  </sheetData>
  <mergeCells count="2">
    <mergeCell ref="A1:K2"/>
    <mergeCell ref="F3:G3"/>
  </mergeCells>
  <phoneticPr fontId="11" type="noConversion"/>
  <printOptions horizontalCentered="1" gridLines="1"/>
  <pageMargins left="0.39370078740157483" right="0.39370078740157483" top="0.39370078740157483" bottom="0.19685039370078741" header="0" footer="0"/>
  <pageSetup paperSize="9" scale="86" fitToWidth="0" fitToHeight="0" pageOrder="overThenDown" orientation="landscape" cellComments="atEnd"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B2:W57"/>
  <sheetViews>
    <sheetView zoomScale="65" zoomScaleNormal="65" workbookViewId="0">
      <pane xSplit="5" ySplit="4" topLeftCell="F5" activePane="bottomRight" state="frozen"/>
      <selection pane="topRight" activeCell="F1" sqref="F1"/>
      <selection pane="bottomLeft" activeCell="A5" sqref="A5"/>
      <selection pane="bottomRight" activeCell="O53" sqref="O53"/>
    </sheetView>
  </sheetViews>
  <sheetFormatPr defaultColWidth="8.81640625" defaultRowHeight="12"/>
  <cols>
    <col min="1" max="1" width="8.81640625" style="83"/>
    <col min="2" max="2" width="12.54296875" style="82" customWidth="1"/>
    <col min="3" max="3" width="8.81640625" style="83"/>
    <col min="4" max="4" width="17.453125" style="84" customWidth="1"/>
    <col min="5" max="5" width="4.453125" style="84" customWidth="1"/>
    <col min="6" max="8" width="19.54296875" style="87" customWidth="1"/>
    <col min="9" max="13" width="19.54296875" style="88" customWidth="1"/>
    <col min="14" max="14" width="19.54296875" style="89" customWidth="1"/>
    <col min="15" max="17" width="19.54296875" style="90" customWidth="1"/>
    <col min="18" max="20" width="19.54296875" style="89" customWidth="1"/>
    <col min="21" max="21" width="19.54296875" style="90" customWidth="1"/>
    <col min="22" max="23" width="19.54296875" style="83" customWidth="1"/>
    <col min="24" max="16384" width="8.81640625" style="83"/>
  </cols>
  <sheetData>
    <row r="2" spans="2:23" ht="38.15" customHeight="1">
      <c r="B2" s="507" t="s">
        <v>121</v>
      </c>
      <c r="C2" s="507"/>
      <c r="D2" s="507"/>
      <c r="E2" s="507"/>
      <c r="F2" s="507"/>
      <c r="G2" s="507"/>
      <c r="H2" s="507"/>
      <c r="I2" s="507"/>
      <c r="J2" s="507"/>
      <c r="K2" s="507"/>
      <c r="L2" s="507"/>
      <c r="M2" s="507"/>
      <c r="N2" s="507"/>
      <c r="O2" s="507"/>
      <c r="P2" s="507"/>
      <c r="Q2" s="507"/>
      <c r="R2" s="507"/>
      <c r="S2" s="507"/>
      <c r="T2" s="507"/>
      <c r="U2" s="507"/>
      <c r="V2" s="507"/>
      <c r="W2" s="507"/>
    </row>
    <row r="3" spans="2:23" s="84" customFormat="1" ht="23.5" customHeight="1">
      <c r="B3" s="98"/>
      <c r="C3" s="511" t="s">
        <v>116</v>
      </c>
      <c r="D3" s="512" t="s">
        <v>105</v>
      </c>
      <c r="E3" s="512"/>
      <c r="F3" s="510" t="s">
        <v>357</v>
      </c>
      <c r="G3" s="510"/>
      <c r="H3" s="510"/>
      <c r="I3" s="508" t="s">
        <v>119</v>
      </c>
      <c r="J3" s="508"/>
      <c r="K3" s="508"/>
      <c r="L3" s="509" t="s">
        <v>120</v>
      </c>
      <c r="M3" s="509"/>
      <c r="N3" s="509"/>
      <c r="O3" s="506" t="s">
        <v>122</v>
      </c>
      <c r="P3" s="506"/>
      <c r="Q3" s="506"/>
      <c r="R3" s="513" t="s">
        <v>123</v>
      </c>
      <c r="S3" s="513"/>
      <c r="T3" s="513"/>
      <c r="U3" s="506" t="s">
        <v>124</v>
      </c>
      <c r="V3" s="506"/>
      <c r="W3" s="506"/>
    </row>
    <row r="4" spans="2:23" s="84" customFormat="1" ht="23.5" customHeight="1">
      <c r="B4" s="98"/>
      <c r="C4" s="511"/>
      <c r="D4" s="512"/>
      <c r="E4" s="512"/>
      <c r="F4" s="78" t="s">
        <v>115</v>
      </c>
      <c r="G4" s="78" t="s">
        <v>117</v>
      </c>
      <c r="H4" s="78" t="s">
        <v>118</v>
      </c>
      <c r="I4" s="92" t="s">
        <v>115</v>
      </c>
      <c r="J4" s="92" t="s">
        <v>117</v>
      </c>
      <c r="K4" s="92" t="s">
        <v>118</v>
      </c>
      <c r="L4" s="91" t="s">
        <v>115</v>
      </c>
      <c r="M4" s="91" t="s">
        <v>117</v>
      </c>
      <c r="N4" s="91" t="s">
        <v>118</v>
      </c>
      <c r="O4" s="85" t="s">
        <v>115</v>
      </c>
      <c r="P4" s="85" t="s">
        <v>117</v>
      </c>
      <c r="Q4" s="299" t="s">
        <v>478</v>
      </c>
      <c r="R4" s="85" t="s">
        <v>115</v>
      </c>
      <c r="S4" s="85" t="s">
        <v>117</v>
      </c>
      <c r="T4" s="85" t="s">
        <v>118</v>
      </c>
      <c r="U4" s="85" t="s">
        <v>115</v>
      </c>
      <c r="V4" s="85" t="s">
        <v>117</v>
      </c>
      <c r="W4" s="299" t="s">
        <v>478</v>
      </c>
    </row>
    <row r="5" spans="2:23">
      <c r="B5" s="98"/>
      <c r="C5" s="98"/>
      <c r="D5" s="86"/>
      <c r="E5" s="86"/>
      <c r="F5" s="230"/>
      <c r="G5" s="296"/>
      <c r="H5" s="326"/>
      <c r="I5" s="231"/>
      <c r="K5" s="327"/>
      <c r="L5" s="230"/>
      <c r="M5" s="296"/>
      <c r="N5" s="326"/>
      <c r="Q5" s="325"/>
      <c r="R5" s="232"/>
      <c r="S5" s="296"/>
      <c r="T5" s="326"/>
      <c r="V5" s="90"/>
      <c r="W5" s="325"/>
    </row>
    <row r="6" spans="2:23" ht="16.5" customHeight="1">
      <c r="B6" s="98"/>
      <c r="C6" s="98"/>
      <c r="D6" s="86"/>
      <c r="E6" s="86"/>
      <c r="F6" s="230"/>
      <c r="G6" s="296"/>
      <c r="I6" s="231"/>
      <c r="L6" s="230"/>
      <c r="M6" s="296"/>
      <c r="R6" s="232"/>
      <c r="S6" s="296"/>
      <c r="V6" s="90"/>
    </row>
    <row r="7" spans="2:23" ht="16.5" customHeight="1">
      <c r="B7" s="98"/>
      <c r="C7" s="98"/>
      <c r="D7" s="86"/>
      <c r="E7" s="86"/>
      <c r="F7" s="230"/>
      <c r="G7" s="296"/>
      <c r="H7" s="326"/>
      <c r="I7" s="231"/>
      <c r="K7" s="327"/>
      <c r="L7" s="230"/>
      <c r="M7" s="296"/>
      <c r="N7" s="326"/>
      <c r="Q7" s="325"/>
      <c r="R7" s="232"/>
      <c r="S7" s="296"/>
      <c r="T7" s="326"/>
      <c r="V7" s="90"/>
      <c r="W7" s="325"/>
    </row>
    <row r="8" spans="2:23" ht="16.5" customHeight="1">
      <c r="B8" s="98"/>
      <c r="C8" s="98"/>
      <c r="D8" s="86"/>
      <c r="E8" s="86"/>
      <c r="F8" s="230"/>
      <c r="G8" s="296"/>
      <c r="H8" s="326"/>
      <c r="I8" s="231"/>
      <c r="K8" s="327"/>
      <c r="L8" s="230"/>
      <c r="M8" s="296"/>
      <c r="N8" s="326"/>
      <c r="Q8" s="325"/>
      <c r="R8" s="232"/>
      <c r="S8" s="296"/>
      <c r="T8" s="326"/>
      <c r="V8" s="90"/>
      <c r="W8" s="325"/>
    </row>
    <row r="9" spans="2:23" ht="16.5" customHeight="1">
      <c r="B9" s="98"/>
      <c r="C9" s="98"/>
      <c r="D9" s="298">
        <v>45992</v>
      </c>
      <c r="E9" s="298" t="s">
        <v>471</v>
      </c>
      <c r="F9" s="230">
        <v>7261499</v>
      </c>
      <c r="G9" s="296"/>
      <c r="H9" s="326">
        <f>SUM(F9:F39)</f>
        <v>219461716</v>
      </c>
      <c r="I9" s="231">
        <v>216425</v>
      </c>
      <c r="K9" s="327">
        <f>SUM(I9:I39)</f>
        <v>6618327</v>
      </c>
      <c r="L9" s="230">
        <v>4833061</v>
      </c>
      <c r="M9" s="296"/>
      <c r="N9" s="326">
        <f>SUM(L9:L39)</f>
        <v>148488871</v>
      </c>
      <c r="O9" s="90">
        <f t="shared" ref="O9:O39" si="0">L9/F9</f>
        <v>0.66557345804220314</v>
      </c>
      <c r="Q9" s="325">
        <f>N9/H9</f>
        <v>0.67660489358426412</v>
      </c>
      <c r="R9" s="232">
        <v>1052455.0286666672</v>
      </c>
      <c r="S9" s="296"/>
      <c r="T9" s="326">
        <f>SUM(R9:R39)</f>
        <v>31527948.209333345</v>
      </c>
      <c r="U9" s="90">
        <f t="shared" ref="U9:U40" si="1">R9/F9</f>
        <v>0.14493633183267907</v>
      </c>
      <c r="V9" s="90"/>
      <c r="W9" s="325">
        <f>T9/H9</f>
        <v>0.14366035581956968</v>
      </c>
    </row>
    <row r="10" spans="2:23" ht="16.5" customHeight="1">
      <c r="B10" s="98"/>
      <c r="C10" s="98"/>
      <c r="D10" s="86">
        <v>45993</v>
      </c>
      <c r="E10" s="86" t="s">
        <v>472</v>
      </c>
      <c r="F10" s="230">
        <v>7236654</v>
      </c>
      <c r="G10" s="296"/>
      <c r="H10" s="326"/>
      <c r="I10" s="231">
        <v>213834</v>
      </c>
      <c r="K10" s="327"/>
      <c r="L10" s="230">
        <v>4864280</v>
      </c>
      <c r="M10" s="296"/>
      <c r="N10" s="326"/>
      <c r="O10" s="90">
        <f t="shared" si="0"/>
        <v>0.67217252614260681</v>
      </c>
      <c r="Q10" s="325"/>
      <c r="R10" s="232">
        <v>1026546.2180000005</v>
      </c>
      <c r="S10" s="296"/>
      <c r="T10" s="326"/>
      <c r="U10" s="90">
        <f t="shared" si="1"/>
        <v>0.14185371001570621</v>
      </c>
      <c r="V10" s="90"/>
      <c r="W10" s="325"/>
    </row>
    <row r="11" spans="2:23" ht="16.5" customHeight="1">
      <c r="B11" s="98"/>
      <c r="C11" s="98"/>
      <c r="D11" s="86">
        <f>D10+1</f>
        <v>45994</v>
      </c>
      <c r="E11" s="86" t="s">
        <v>473</v>
      </c>
      <c r="F11" s="230">
        <v>6888543</v>
      </c>
      <c r="G11" s="296"/>
      <c r="H11" s="326"/>
      <c r="I11" s="231">
        <v>206960</v>
      </c>
      <c r="K11" s="327"/>
      <c r="L11" s="230">
        <v>4792019</v>
      </c>
      <c r="M11" s="296"/>
      <c r="N11" s="326"/>
      <c r="O11" s="90">
        <f t="shared" si="0"/>
        <v>0.69565058968202709</v>
      </c>
      <c r="Q11" s="325"/>
      <c r="R11" s="232">
        <v>986195.95933333389</v>
      </c>
      <c r="S11" s="296"/>
      <c r="T11" s="326"/>
      <c r="U11" s="90">
        <f t="shared" si="1"/>
        <v>0.14316466621945073</v>
      </c>
      <c r="V11" s="90"/>
      <c r="W11" s="325"/>
    </row>
    <row r="12" spans="2:23" ht="16.5" customHeight="1">
      <c r="B12" s="98"/>
      <c r="C12" s="98"/>
      <c r="D12" s="86">
        <f t="shared" ref="D12:D39" si="2">D11+1</f>
        <v>45995</v>
      </c>
      <c r="E12" s="86" t="s">
        <v>474</v>
      </c>
      <c r="F12" s="230">
        <v>6535954</v>
      </c>
      <c r="G12" s="296">
        <f>SUM(F12:F18)</f>
        <v>48757489</v>
      </c>
      <c r="H12" s="326"/>
      <c r="I12" s="231">
        <v>197911</v>
      </c>
      <c r="J12" s="88">
        <f>SUM(I12:I18)</f>
        <v>1459376</v>
      </c>
      <c r="K12" s="327"/>
      <c r="L12" s="230">
        <v>4400231</v>
      </c>
      <c r="M12" s="296">
        <f>SUM(L12:L18)</f>
        <v>32877245</v>
      </c>
      <c r="N12" s="326"/>
      <c r="O12" s="90">
        <f t="shared" si="0"/>
        <v>0.67323469534822311</v>
      </c>
      <c r="P12" s="90">
        <f>M12/G12</f>
        <v>0.67430143910815421</v>
      </c>
      <c r="Q12" s="325"/>
      <c r="R12" s="230">
        <v>933271.81066666695</v>
      </c>
      <c r="S12" s="296">
        <f>SUM(R12:R18)</f>
        <v>7057859.6953333393</v>
      </c>
      <c r="T12" s="326"/>
      <c r="U12" s="90">
        <f t="shared" si="1"/>
        <v>0.14279044966758747</v>
      </c>
      <c r="V12" s="90">
        <f>S12/G12</f>
        <v>0.14475437189419946</v>
      </c>
      <c r="W12" s="325"/>
    </row>
    <row r="13" spans="2:23" ht="16.5" customHeight="1">
      <c r="B13" s="98"/>
      <c r="C13" s="98"/>
      <c r="D13" s="86">
        <f t="shared" si="2"/>
        <v>45996</v>
      </c>
      <c r="E13" s="86" t="s">
        <v>475</v>
      </c>
      <c r="F13" s="230">
        <v>6075465</v>
      </c>
      <c r="G13" s="296"/>
      <c r="H13" s="326"/>
      <c r="I13" s="231">
        <v>183552</v>
      </c>
      <c r="K13" s="327"/>
      <c r="L13" s="230">
        <v>4051247</v>
      </c>
      <c r="M13" s="296"/>
      <c r="N13" s="326"/>
      <c r="O13" s="90">
        <f t="shared" si="0"/>
        <v>0.66682089354477392</v>
      </c>
      <c r="Q13" s="325"/>
      <c r="R13" s="230">
        <v>998290.49266666779</v>
      </c>
      <c r="S13" s="296"/>
      <c r="T13" s="326"/>
      <c r="U13" s="90">
        <f t="shared" si="1"/>
        <v>0.16431507591051348</v>
      </c>
      <c r="V13" s="90"/>
      <c r="W13" s="325"/>
    </row>
    <row r="14" spans="2:23" ht="16.5" customHeight="1">
      <c r="B14" s="98"/>
      <c r="C14" s="98"/>
      <c r="D14" s="86">
        <f t="shared" si="2"/>
        <v>45997</v>
      </c>
      <c r="E14" s="86" t="s">
        <v>476</v>
      </c>
      <c r="F14" s="230">
        <v>6262543</v>
      </c>
      <c r="G14" s="296"/>
      <c r="H14" s="326"/>
      <c r="I14" s="231">
        <v>185894</v>
      </c>
      <c r="K14" s="327"/>
      <c r="L14" s="230">
        <v>4336503</v>
      </c>
      <c r="M14" s="296"/>
      <c r="N14" s="326"/>
      <c r="O14" s="90">
        <f t="shared" si="0"/>
        <v>0.69245081430977795</v>
      </c>
      <c r="Q14" s="325"/>
      <c r="R14" s="230">
        <v>974243.98933333368</v>
      </c>
      <c r="S14" s="296"/>
      <c r="T14" s="326"/>
      <c r="U14" s="90">
        <f t="shared" si="1"/>
        <v>0.15556683432486351</v>
      </c>
      <c r="V14" s="90"/>
      <c r="W14" s="325"/>
    </row>
    <row r="15" spans="2:23" ht="16.5" customHeight="1">
      <c r="B15" s="98"/>
      <c r="C15" s="98"/>
      <c r="D15" s="86">
        <f t="shared" si="2"/>
        <v>45998</v>
      </c>
      <c r="E15" s="86" t="s">
        <v>477</v>
      </c>
      <c r="F15" s="230">
        <v>7283314</v>
      </c>
      <c r="G15" s="296"/>
      <c r="H15" s="326"/>
      <c r="I15" s="231">
        <v>216841</v>
      </c>
      <c r="K15" s="327"/>
      <c r="L15" s="230">
        <v>4748585</v>
      </c>
      <c r="M15" s="296"/>
      <c r="N15" s="326"/>
      <c r="O15" s="90">
        <f t="shared" si="0"/>
        <v>0.65198136452719191</v>
      </c>
      <c r="Q15" s="325"/>
      <c r="R15" s="230">
        <v>1018136.9473333344</v>
      </c>
      <c r="S15" s="296"/>
      <c r="T15" s="326"/>
      <c r="U15" s="90">
        <f t="shared" si="1"/>
        <v>0.13979034095376561</v>
      </c>
      <c r="V15" s="90"/>
      <c r="W15" s="325"/>
    </row>
    <row r="16" spans="2:23" ht="16.5" customHeight="1">
      <c r="B16" s="98"/>
      <c r="C16" s="98"/>
      <c r="D16" s="86">
        <f t="shared" si="2"/>
        <v>45999</v>
      </c>
      <c r="E16" s="86" t="s">
        <v>471</v>
      </c>
      <c r="F16" s="230">
        <v>7299829</v>
      </c>
      <c r="G16" s="296"/>
      <c r="H16" s="326"/>
      <c r="I16" s="231">
        <v>216945</v>
      </c>
      <c r="K16" s="327"/>
      <c r="L16" s="230">
        <v>4900933</v>
      </c>
      <c r="M16" s="296"/>
      <c r="N16" s="326"/>
      <c r="O16" s="90">
        <f t="shared" si="0"/>
        <v>0.6713764116940274</v>
      </c>
      <c r="Q16" s="325"/>
      <c r="R16" s="230">
        <v>1040410.2140000007</v>
      </c>
      <c r="S16" s="296"/>
      <c r="T16" s="326"/>
      <c r="U16" s="90">
        <f t="shared" si="1"/>
        <v>0.14252528572929596</v>
      </c>
      <c r="V16" s="90"/>
      <c r="W16" s="325"/>
    </row>
    <row r="17" spans="2:23" ht="16.5" customHeight="1">
      <c r="B17" s="98"/>
      <c r="C17" s="98"/>
      <c r="D17" s="298">
        <f t="shared" si="2"/>
        <v>46000</v>
      </c>
      <c r="E17" s="298" t="s">
        <v>472</v>
      </c>
      <c r="F17" s="230">
        <v>7768298</v>
      </c>
      <c r="G17" s="296"/>
      <c r="H17" s="326"/>
      <c r="I17" s="231">
        <v>231819</v>
      </c>
      <c r="K17" s="327"/>
      <c r="L17" s="230">
        <v>5246074</v>
      </c>
      <c r="M17" s="296"/>
      <c r="N17" s="326"/>
      <c r="O17" s="90">
        <f t="shared" si="0"/>
        <v>0.67531832584177387</v>
      </c>
      <c r="Q17" s="325"/>
      <c r="R17" s="230">
        <v>1050035.495333334</v>
      </c>
      <c r="S17" s="296"/>
      <c r="T17" s="326"/>
      <c r="U17" s="90">
        <f t="shared" si="1"/>
        <v>0.13516931190504458</v>
      </c>
      <c r="V17" s="90"/>
      <c r="W17" s="325"/>
    </row>
    <row r="18" spans="2:23" ht="16.5" customHeight="1">
      <c r="B18" s="98"/>
      <c r="C18" s="98"/>
      <c r="D18" s="298">
        <f t="shared" si="2"/>
        <v>46001</v>
      </c>
      <c r="E18" s="298" t="s">
        <v>473</v>
      </c>
      <c r="F18" s="230">
        <v>7532086</v>
      </c>
      <c r="G18" s="296"/>
      <c r="H18" s="326"/>
      <c r="I18" s="231">
        <v>226414</v>
      </c>
      <c r="K18" s="327"/>
      <c r="L18" s="230">
        <v>5193672</v>
      </c>
      <c r="M18" s="296"/>
      <c r="N18" s="326"/>
      <c r="O18" s="90">
        <f t="shared" si="0"/>
        <v>0.68953965740699186</v>
      </c>
      <c r="Q18" s="325"/>
      <c r="R18" s="230">
        <v>1043470.746000001</v>
      </c>
      <c r="S18" s="296"/>
      <c r="T18" s="326"/>
      <c r="U18" s="90">
        <f t="shared" si="1"/>
        <v>0.13853675409441701</v>
      </c>
      <c r="V18" s="90"/>
      <c r="W18" s="325"/>
    </row>
    <row r="19" spans="2:23" ht="16.5" customHeight="1">
      <c r="B19" s="98"/>
      <c r="C19" s="98"/>
      <c r="D19" s="298">
        <f t="shared" si="2"/>
        <v>46002</v>
      </c>
      <c r="E19" s="298" t="s">
        <v>474</v>
      </c>
      <c r="F19" s="230">
        <v>6664969</v>
      </c>
      <c r="G19" s="296">
        <f>SUM(F19:F25)</f>
        <v>50108332</v>
      </c>
      <c r="H19" s="326"/>
      <c r="I19" s="231">
        <v>203040</v>
      </c>
      <c r="J19" s="88">
        <f>SUM(I19:I25)</f>
        <v>1516815</v>
      </c>
      <c r="K19" s="327"/>
      <c r="L19" s="230">
        <v>4736555</v>
      </c>
      <c r="M19" s="296">
        <f>SUM(L19:L25)</f>
        <v>33917925</v>
      </c>
      <c r="N19" s="326"/>
      <c r="O19" s="90">
        <f t="shared" si="0"/>
        <v>0.71066422064378698</v>
      </c>
      <c r="P19" s="90">
        <f>M19/G19</f>
        <v>0.67689191889284994</v>
      </c>
      <c r="Q19" s="325"/>
      <c r="R19" s="230">
        <v>1010108.0033333341</v>
      </c>
      <c r="S19" s="296">
        <f>SUM(R19:R25)</f>
        <v>7244183.5626666676</v>
      </c>
      <c r="T19" s="326"/>
      <c r="U19" s="90">
        <f t="shared" si="1"/>
        <v>0.15155479392827395</v>
      </c>
      <c r="V19" s="90">
        <f>S19/G19</f>
        <v>0.14457043915703816</v>
      </c>
      <c r="W19" s="325"/>
    </row>
    <row r="20" spans="2:23" ht="16.5" customHeight="1">
      <c r="B20" s="98"/>
      <c r="C20" s="98"/>
      <c r="D20" s="298">
        <f t="shared" si="2"/>
        <v>46003</v>
      </c>
      <c r="E20" s="298" t="s">
        <v>475</v>
      </c>
      <c r="F20" s="230">
        <v>6216944</v>
      </c>
      <c r="G20" s="296"/>
      <c r="H20" s="326"/>
      <c r="I20" s="231">
        <v>188638</v>
      </c>
      <c r="K20" s="327"/>
      <c r="L20" s="230">
        <v>4038316</v>
      </c>
      <c r="M20" s="296"/>
      <c r="N20" s="326"/>
      <c r="O20" s="90">
        <f t="shared" si="0"/>
        <v>0.64956608906240754</v>
      </c>
      <c r="Q20" s="325"/>
      <c r="R20" s="230">
        <v>1003377.6313333332</v>
      </c>
      <c r="S20" s="296"/>
      <c r="T20" s="326"/>
      <c r="U20" s="90">
        <f t="shared" si="1"/>
        <v>0.1613940275693867</v>
      </c>
      <c r="V20" s="90"/>
      <c r="W20" s="325"/>
    </row>
    <row r="21" spans="2:23" ht="16.5" customHeight="1">
      <c r="B21" s="98"/>
      <c r="C21" s="98"/>
      <c r="D21" s="298">
        <f t="shared" si="2"/>
        <v>46004</v>
      </c>
      <c r="E21" s="298" t="s">
        <v>476</v>
      </c>
      <c r="F21" s="230">
        <v>6402844</v>
      </c>
      <c r="G21" s="296"/>
      <c r="H21" s="326"/>
      <c r="I21" s="231">
        <v>193826</v>
      </c>
      <c r="K21" s="327"/>
      <c r="L21" s="230">
        <v>4231154</v>
      </c>
      <c r="M21" s="296"/>
      <c r="N21" s="326"/>
      <c r="O21" s="90">
        <f t="shared" si="0"/>
        <v>0.660824158764449</v>
      </c>
      <c r="Q21" s="325"/>
      <c r="R21" s="230">
        <v>1008951.7846666666</v>
      </c>
      <c r="S21" s="296"/>
      <c r="T21" s="326"/>
      <c r="U21" s="90">
        <f t="shared" si="1"/>
        <v>0.15757869232276572</v>
      </c>
      <c r="V21" s="90"/>
      <c r="W21" s="325"/>
    </row>
    <row r="22" spans="2:23" ht="16.5" customHeight="1">
      <c r="B22" s="98"/>
      <c r="C22" s="98"/>
      <c r="D22" s="298">
        <f t="shared" si="2"/>
        <v>46005</v>
      </c>
      <c r="E22" s="298" t="s">
        <v>477</v>
      </c>
      <c r="F22" s="230">
        <v>7638376</v>
      </c>
      <c r="G22" s="296"/>
      <c r="H22" s="326"/>
      <c r="I22" s="231">
        <v>230374</v>
      </c>
      <c r="K22" s="327"/>
      <c r="L22" s="230">
        <v>5042261</v>
      </c>
      <c r="M22" s="296"/>
      <c r="N22" s="326"/>
      <c r="O22" s="90">
        <f t="shared" si="0"/>
        <v>0.6601221254360875</v>
      </c>
      <c r="Q22" s="325"/>
      <c r="R22" s="230">
        <v>1013182.858</v>
      </c>
      <c r="S22" s="296"/>
      <c r="T22" s="326"/>
      <c r="U22" s="90">
        <f t="shared" si="1"/>
        <v>0.13264375280818855</v>
      </c>
      <c r="V22" s="90"/>
      <c r="W22" s="325"/>
    </row>
    <row r="23" spans="2:23" ht="16.5" customHeight="1">
      <c r="B23" s="98"/>
      <c r="C23" s="98"/>
      <c r="D23" s="298">
        <f t="shared" si="2"/>
        <v>46006</v>
      </c>
      <c r="E23" s="298" t="s">
        <v>471</v>
      </c>
      <c r="F23" s="230">
        <v>7520294</v>
      </c>
      <c r="G23" s="296"/>
      <c r="H23" s="326"/>
      <c r="I23" s="231">
        <v>227619</v>
      </c>
      <c r="K23" s="327"/>
      <c r="L23" s="230">
        <v>5039882</v>
      </c>
      <c r="M23" s="296"/>
      <c r="N23" s="326"/>
      <c r="O23" s="90">
        <f t="shared" si="0"/>
        <v>0.67017087363871675</v>
      </c>
      <c r="Q23" s="325"/>
      <c r="R23" s="230">
        <v>1040615.3</v>
      </c>
      <c r="S23" s="296"/>
      <c r="T23" s="326"/>
      <c r="U23" s="90">
        <f t="shared" si="1"/>
        <v>0.13837428430324666</v>
      </c>
      <c r="V23" s="90"/>
      <c r="W23" s="325"/>
    </row>
    <row r="24" spans="2:23" ht="16.5" customHeight="1">
      <c r="B24" s="98"/>
      <c r="C24" s="98"/>
      <c r="D24" s="86">
        <f t="shared" si="2"/>
        <v>46007</v>
      </c>
      <c r="E24" s="86" t="s">
        <v>472</v>
      </c>
      <c r="F24" s="230">
        <v>8052028</v>
      </c>
      <c r="G24" s="296"/>
      <c r="H24" s="326"/>
      <c r="I24" s="231">
        <v>241960</v>
      </c>
      <c r="K24" s="327"/>
      <c r="L24" s="230">
        <v>5631985</v>
      </c>
      <c r="M24" s="296"/>
      <c r="N24" s="326"/>
      <c r="O24" s="90">
        <f t="shared" si="0"/>
        <v>0.69944925675866998</v>
      </c>
      <c r="Q24" s="325"/>
      <c r="R24" s="230">
        <v>1087475.4546666662</v>
      </c>
      <c r="S24" s="296"/>
      <c r="T24" s="326"/>
      <c r="U24" s="90">
        <f t="shared" si="1"/>
        <v>0.1350560945226055</v>
      </c>
      <c r="V24" s="90"/>
      <c r="W24" s="325"/>
    </row>
    <row r="25" spans="2:23" ht="16.5" customHeight="1">
      <c r="B25" s="98"/>
      <c r="C25" s="98"/>
      <c r="D25" s="86">
        <f t="shared" si="2"/>
        <v>46008</v>
      </c>
      <c r="E25" s="86" t="s">
        <v>473</v>
      </c>
      <c r="F25" s="230">
        <v>7612877</v>
      </c>
      <c r="G25" s="296"/>
      <c r="H25" s="326"/>
      <c r="I25" s="231">
        <v>231358</v>
      </c>
      <c r="K25" s="327"/>
      <c r="L25" s="230">
        <v>5197772</v>
      </c>
      <c r="M25" s="296"/>
      <c r="N25" s="326"/>
      <c r="O25" s="90">
        <f t="shared" si="0"/>
        <v>0.68276053849287199</v>
      </c>
      <c r="Q25" s="325"/>
      <c r="R25" s="230">
        <v>1080472.530666668</v>
      </c>
      <c r="S25" s="296"/>
      <c r="T25" s="326"/>
      <c r="U25" s="90">
        <f t="shared" si="1"/>
        <v>0.141926965412244</v>
      </c>
      <c r="V25" s="90"/>
      <c r="W25" s="325"/>
    </row>
    <row r="26" spans="2:23">
      <c r="B26" s="98"/>
      <c r="C26" s="98"/>
      <c r="D26" s="86">
        <f t="shared" si="2"/>
        <v>46009</v>
      </c>
      <c r="E26" s="86" t="s">
        <v>474</v>
      </c>
      <c r="F26" s="230">
        <v>7258886</v>
      </c>
      <c r="G26" s="296">
        <f>SUM(F26:F32)</f>
        <v>51085132</v>
      </c>
      <c r="H26" s="326"/>
      <c r="I26" s="231">
        <v>221397</v>
      </c>
      <c r="J26" s="88">
        <f>SUM(I26:I32)</f>
        <v>1538480</v>
      </c>
      <c r="K26" s="327"/>
      <c r="L26" s="230">
        <v>5068912</v>
      </c>
      <c r="M26" s="296">
        <f>SUM(L26:L32)</f>
        <v>34512748</v>
      </c>
      <c r="N26" s="326"/>
      <c r="O26" s="90">
        <f t="shared" si="0"/>
        <v>0.69830439546784451</v>
      </c>
      <c r="P26" s="90">
        <f>M26/G26</f>
        <v>0.67559281240577007</v>
      </c>
      <c r="Q26" s="325"/>
      <c r="R26" s="230">
        <v>1056766.8106666675</v>
      </c>
      <c r="S26" s="296">
        <f>SUM(R26:R32)</f>
        <v>7203421.6560000032</v>
      </c>
      <c r="T26" s="326"/>
      <c r="U26" s="90">
        <f t="shared" si="1"/>
        <v>0.14558250545147941</v>
      </c>
      <c r="V26" s="90">
        <f>S26/G26</f>
        <v>0.1410081832811943</v>
      </c>
      <c r="W26" s="325"/>
    </row>
    <row r="27" spans="2:23">
      <c r="B27" s="98"/>
      <c r="C27" s="98"/>
      <c r="D27" s="86">
        <f t="shared" si="2"/>
        <v>46010</v>
      </c>
      <c r="E27" s="86" t="s">
        <v>475</v>
      </c>
      <c r="F27" s="230">
        <v>6600497</v>
      </c>
      <c r="G27" s="296"/>
      <c r="H27" s="326"/>
      <c r="I27" s="231">
        <v>202213</v>
      </c>
      <c r="K27" s="327"/>
      <c r="L27" s="230">
        <v>4415391</v>
      </c>
      <c r="M27" s="296"/>
      <c r="N27" s="326"/>
      <c r="O27" s="90">
        <f t="shared" si="0"/>
        <v>0.66894826253235173</v>
      </c>
      <c r="Q27" s="325"/>
      <c r="R27" s="230">
        <v>1013312.6353333335</v>
      </c>
      <c r="S27" s="296"/>
      <c r="T27" s="326"/>
      <c r="U27" s="90">
        <f t="shared" si="1"/>
        <v>0.15352065690406852</v>
      </c>
      <c r="V27" s="90"/>
      <c r="W27" s="325"/>
    </row>
    <row r="28" spans="2:23">
      <c r="B28" s="98"/>
      <c r="C28" s="98"/>
      <c r="D28" s="86">
        <f t="shared" si="2"/>
        <v>46011</v>
      </c>
      <c r="E28" s="86" t="s">
        <v>476</v>
      </c>
      <c r="F28" s="230">
        <v>6936693</v>
      </c>
      <c r="G28" s="296"/>
      <c r="H28" s="326"/>
      <c r="I28" s="231">
        <v>207438</v>
      </c>
      <c r="K28" s="327"/>
      <c r="L28" s="230">
        <v>4851836</v>
      </c>
      <c r="M28" s="296"/>
      <c r="N28" s="326"/>
      <c r="O28" s="90">
        <f t="shared" si="0"/>
        <v>0.69944511022759692</v>
      </c>
      <c r="Q28" s="325"/>
      <c r="R28" s="230">
        <v>999924.15800000017</v>
      </c>
      <c r="S28" s="296"/>
      <c r="T28" s="326"/>
      <c r="U28" s="90">
        <f t="shared" si="1"/>
        <v>0.14414998011300201</v>
      </c>
      <c r="V28" s="90"/>
      <c r="W28" s="325"/>
    </row>
    <row r="29" spans="2:23">
      <c r="B29" s="98"/>
      <c r="C29" s="98"/>
      <c r="D29" s="86">
        <f t="shared" si="2"/>
        <v>46012</v>
      </c>
      <c r="E29" s="86" t="s">
        <v>477</v>
      </c>
      <c r="F29" s="230">
        <v>8044891</v>
      </c>
      <c r="G29" s="296"/>
      <c r="H29" s="326"/>
      <c r="I29" s="231">
        <v>241311</v>
      </c>
      <c r="K29" s="327"/>
      <c r="L29" s="230">
        <v>5073750</v>
      </c>
      <c r="M29" s="296"/>
      <c r="N29" s="326"/>
      <c r="O29" s="90">
        <f t="shared" si="0"/>
        <v>0.63067976930949099</v>
      </c>
      <c r="Q29" s="325"/>
      <c r="R29" s="230">
        <v>1032366.9473333334</v>
      </c>
      <c r="S29" s="296"/>
      <c r="T29" s="326"/>
      <c r="U29" s="90">
        <f t="shared" si="1"/>
        <v>0.12832578431868541</v>
      </c>
      <c r="V29" s="90"/>
      <c r="W29" s="325"/>
    </row>
    <row r="30" spans="2:23">
      <c r="B30" s="98"/>
      <c r="C30" s="98"/>
      <c r="D30" s="86">
        <f t="shared" si="2"/>
        <v>46013</v>
      </c>
      <c r="E30" s="86" t="s">
        <v>471</v>
      </c>
      <c r="F30" s="230">
        <v>8079828</v>
      </c>
      <c r="G30" s="296"/>
      <c r="H30" s="326"/>
      <c r="I30" s="231">
        <v>239757</v>
      </c>
      <c r="K30" s="327"/>
      <c r="L30" s="230">
        <v>5292630</v>
      </c>
      <c r="M30" s="296"/>
      <c r="N30" s="326"/>
      <c r="O30" s="90">
        <f t="shared" si="0"/>
        <v>0.65504240931861424</v>
      </c>
      <c r="Q30" s="325"/>
      <c r="R30" s="230">
        <v>1049819.3033333332</v>
      </c>
      <c r="S30" s="296"/>
      <c r="T30" s="326"/>
      <c r="U30" s="90">
        <f t="shared" si="1"/>
        <v>0.12993089745639799</v>
      </c>
      <c r="V30" s="90"/>
      <c r="W30" s="325"/>
    </row>
    <row r="31" spans="2:23">
      <c r="B31" s="98"/>
      <c r="C31" s="98"/>
      <c r="D31" s="298">
        <f t="shared" si="2"/>
        <v>46014</v>
      </c>
      <c r="E31" s="298" t="s">
        <v>472</v>
      </c>
      <c r="F31" s="230">
        <v>7688414</v>
      </c>
      <c r="G31" s="296"/>
      <c r="H31" s="326"/>
      <c r="I31" s="231">
        <v>229409</v>
      </c>
      <c r="K31" s="327"/>
      <c r="L31" s="230">
        <v>5135849</v>
      </c>
      <c r="M31" s="296"/>
      <c r="N31" s="326"/>
      <c r="O31" s="90">
        <f t="shared" si="0"/>
        <v>0.66799849747945417</v>
      </c>
      <c r="Q31" s="325"/>
      <c r="R31" s="230">
        <v>1056375.1866666675</v>
      </c>
      <c r="S31" s="296"/>
      <c r="T31" s="326"/>
      <c r="U31" s="90">
        <f t="shared" si="1"/>
        <v>0.1373983225495749</v>
      </c>
      <c r="V31" s="90"/>
      <c r="W31" s="325"/>
    </row>
    <row r="32" spans="2:23">
      <c r="B32" s="98"/>
      <c r="C32" s="98"/>
      <c r="D32" s="298">
        <f t="shared" si="2"/>
        <v>46015</v>
      </c>
      <c r="E32" s="298" t="s">
        <v>473</v>
      </c>
      <c r="F32" s="230">
        <v>6475923</v>
      </c>
      <c r="G32" s="296"/>
      <c r="H32" s="326"/>
      <c r="I32" s="231">
        <v>196955</v>
      </c>
      <c r="K32" s="327"/>
      <c r="L32" s="230">
        <v>4674380</v>
      </c>
      <c r="M32" s="296"/>
      <c r="N32" s="326"/>
      <c r="O32" s="90">
        <f t="shared" si="0"/>
        <v>0.72180907648222503</v>
      </c>
      <c r="Q32" s="325"/>
      <c r="R32" s="230">
        <v>994856.61466666742</v>
      </c>
      <c r="S32" s="296"/>
      <c r="T32" s="326"/>
      <c r="U32" s="90">
        <f t="shared" si="1"/>
        <v>0.15362391039341688</v>
      </c>
      <c r="V32" s="90"/>
      <c r="W32" s="325"/>
    </row>
    <row r="33" spans="2:23">
      <c r="B33" s="98"/>
      <c r="C33" s="98"/>
      <c r="D33" s="298">
        <f t="shared" si="2"/>
        <v>46016</v>
      </c>
      <c r="E33" s="298" t="s">
        <v>474</v>
      </c>
      <c r="F33" s="230">
        <v>6755981</v>
      </c>
      <c r="G33" s="296">
        <f>SUM(F33:F39)</f>
        <v>48124067</v>
      </c>
      <c r="H33" s="326"/>
      <c r="I33" s="231">
        <v>206860</v>
      </c>
      <c r="J33" s="88">
        <f>SUM(I33:I39)</f>
        <v>1466437</v>
      </c>
      <c r="K33" s="327"/>
      <c r="L33" s="230">
        <v>4604967</v>
      </c>
      <c r="M33" s="296">
        <f>SUM(L33:L39)</f>
        <v>32691593</v>
      </c>
      <c r="N33" s="326"/>
      <c r="O33" s="90">
        <f t="shared" si="0"/>
        <v>0.68161337339462613</v>
      </c>
      <c r="P33" s="90">
        <f>M33/G33</f>
        <v>0.67931899853767552</v>
      </c>
      <c r="Q33" s="325"/>
      <c r="R33" s="230">
        <v>1000164.6193333342</v>
      </c>
      <c r="S33" s="296">
        <f>SUM(R33:R39)</f>
        <v>6957286.089333334</v>
      </c>
      <c r="T33" s="326"/>
      <c r="U33" s="90">
        <f t="shared" si="1"/>
        <v>0.14804136058602504</v>
      </c>
      <c r="V33" s="90">
        <f>S33/G33</f>
        <v>0.14456978645078633</v>
      </c>
      <c r="W33" s="325"/>
    </row>
    <row r="34" spans="2:23">
      <c r="B34" s="98"/>
      <c r="C34" s="98"/>
      <c r="D34" s="298">
        <f t="shared" si="2"/>
        <v>46017</v>
      </c>
      <c r="E34" s="298" t="s">
        <v>475</v>
      </c>
      <c r="F34" s="230">
        <v>6278111</v>
      </c>
      <c r="G34" s="296"/>
      <c r="H34" s="326"/>
      <c r="I34" s="231">
        <v>193343</v>
      </c>
      <c r="K34" s="327"/>
      <c r="L34" s="230">
        <v>4361238</v>
      </c>
      <c r="M34" s="296"/>
      <c r="N34" s="326"/>
      <c r="O34" s="90">
        <f t="shared" si="0"/>
        <v>0.69467360484706309</v>
      </c>
      <c r="Q34" s="325"/>
      <c r="R34" s="230">
        <v>969046.9346666669</v>
      </c>
      <c r="S34" s="296"/>
      <c r="T34" s="326"/>
      <c r="U34" s="90">
        <f t="shared" si="1"/>
        <v>0.15435326560276919</v>
      </c>
      <c r="V34" s="90"/>
      <c r="W34" s="325"/>
    </row>
    <row r="35" spans="2:23">
      <c r="B35" s="98"/>
      <c r="C35" s="98"/>
      <c r="D35" s="298">
        <f t="shared" si="2"/>
        <v>46018</v>
      </c>
      <c r="E35" s="298" t="s">
        <v>476</v>
      </c>
      <c r="F35" s="230">
        <v>6552614</v>
      </c>
      <c r="G35" s="296"/>
      <c r="H35" s="326"/>
      <c r="I35" s="231">
        <v>199280</v>
      </c>
      <c r="K35" s="327"/>
      <c r="L35" s="230">
        <v>4499324</v>
      </c>
      <c r="M35" s="296"/>
      <c r="N35" s="326"/>
      <c r="O35" s="90">
        <f t="shared" si="0"/>
        <v>0.68664566537873284</v>
      </c>
      <c r="Q35" s="325"/>
      <c r="R35" s="230">
        <v>974680.71800000011</v>
      </c>
      <c r="S35" s="296"/>
      <c r="T35" s="326"/>
      <c r="U35" s="90">
        <f t="shared" si="1"/>
        <v>0.14874685400360835</v>
      </c>
      <c r="V35" s="90"/>
      <c r="W35" s="325"/>
    </row>
    <row r="36" spans="2:23">
      <c r="B36" s="98"/>
      <c r="D36" s="298">
        <f t="shared" si="2"/>
        <v>46019</v>
      </c>
      <c r="E36" s="298" t="s">
        <v>477</v>
      </c>
      <c r="F36" s="230">
        <v>7539331</v>
      </c>
      <c r="G36" s="296"/>
      <c r="I36" s="231">
        <v>229667</v>
      </c>
      <c r="L36" s="230">
        <v>4955566</v>
      </c>
      <c r="M36" s="296"/>
      <c r="N36" s="87"/>
      <c r="O36" s="90">
        <f t="shared" si="0"/>
        <v>0.65729518971908785</v>
      </c>
      <c r="Q36" s="87"/>
      <c r="R36" s="230">
        <v>1033559.9080000002</v>
      </c>
      <c r="S36" s="296"/>
      <c r="T36" s="87"/>
      <c r="U36" s="90">
        <f t="shared" si="1"/>
        <v>0.13708907434890447</v>
      </c>
      <c r="V36" s="90"/>
      <c r="W36" s="87"/>
    </row>
    <row r="37" spans="2:23">
      <c r="B37" s="98"/>
      <c r="D37" s="298">
        <f t="shared" si="2"/>
        <v>46020</v>
      </c>
      <c r="E37" s="298" t="s">
        <v>471</v>
      </c>
      <c r="F37" s="230">
        <v>7494235</v>
      </c>
      <c r="G37" s="296"/>
      <c r="I37" s="231">
        <v>225457</v>
      </c>
      <c r="L37" s="230">
        <v>5209617</v>
      </c>
      <c r="M37" s="296"/>
      <c r="N37" s="87"/>
      <c r="O37" s="90">
        <f t="shared" si="0"/>
        <v>0.6951499385861265</v>
      </c>
      <c r="Q37" s="87"/>
      <c r="R37" s="230">
        <v>1031562.0299999998</v>
      </c>
      <c r="S37" s="296"/>
      <c r="T37" s="87"/>
      <c r="U37" s="90">
        <f t="shared" si="1"/>
        <v>0.13764740897503211</v>
      </c>
      <c r="V37" s="90"/>
      <c r="W37" s="87"/>
    </row>
    <row r="38" spans="2:23">
      <c r="B38" s="98"/>
      <c r="D38" s="86">
        <f t="shared" si="2"/>
        <v>46021</v>
      </c>
      <c r="E38" s="86" t="s">
        <v>472</v>
      </c>
      <c r="F38" s="230">
        <v>7242022</v>
      </c>
      <c r="G38" s="296"/>
      <c r="I38" s="231">
        <v>219598</v>
      </c>
      <c r="L38" s="230">
        <v>4956549</v>
      </c>
      <c r="M38" s="296"/>
      <c r="N38" s="87"/>
      <c r="O38" s="90">
        <f t="shared" si="0"/>
        <v>0.68441507081861941</v>
      </c>
      <c r="Q38" s="87"/>
      <c r="R38" s="230">
        <v>999035.06600000011</v>
      </c>
      <c r="S38" s="296"/>
      <c r="T38" s="87"/>
      <c r="U38" s="90">
        <f t="shared" si="1"/>
        <v>0.13794974193671328</v>
      </c>
      <c r="V38" s="90"/>
      <c r="W38" s="87"/>
    </row>
    <row r="39" spans="2:23">
      <c r="B39" s="98"/>
      <c r="D39" s="86">
        <f t="shared" si="2"/>
        <v>46022</v>
      </c>
      <c r="E39" s="86" t="s">
        <v>473</v>
      </c>
      <c r="F39" s="230">
        <v>6261773</v>
      </c>
      <c r="G39" s="296"/>
      <c r="I39" s="231">
        <v>192232</v>
      </c>
      <c r="L39" s="230">
        <v>4104332</v>
      </c>
      <c r="M39" s="296"/>
      <c r="N39" s="87"/>
      <c r="O39" s="90">
        <f t="shared" si="0"/>
        <v>0.65545844603437398</v>
      </c>
      <c r="Q39" s="87"/>
      <c r="R39" s="230">
        <v>949236.81333333335</v>
      </c>
      <c r="S39" s="296"/>
      <c r="T39" s="87"/>
      <c r="U39" s="90">
        <f t="shared" si="1"/>
        <v>0.1515923386768146</v>
      </c>
      <c r="V39" s="90"/>
      <c r="W39" s="87"/>
    </row>
    <row r="40" spans="2:23">
      <c r="B40" s="98"/>
      <c r="D40" s="86"/>
      <c r="E40" s="86"/>
      <c r="F40" s="230"/>
      <c r="G40" s="296"/>
      <c r="I40" s="231"/>
      <c r="L40" s="230"/>
      <c r="M40" s="296"/>
      <c r="N40" s="87"/>
      <c r="O40" s="90" t="e">
        <f>L40/F40</f>
        <v>#DIV/0!</v>
      </c>
      <c r="Q40" s="87"/>
      <c r="R40" s="232"/>
      <c r="S40" s="296"/>
      <c r="T40" s="87"/>
      <c r="U40" s="90" t="e">
        <f t="shared" si="1"/>
        <v>#DIV/0!</v>
      </c>
      <c r="V40" s="90"/>
      <c r="W40" s="87"/>
    </row>
    <row r="41" spans="2:23">
      <c r="B41" s="98"/>
      <c r="D41" s="86"/>
      <c r="E41" s="86"/>
      <c r="G41" s="296"/>
      <c r="M41" s="296"/>
      <c r="N41" s="87"/>
      <c r="Q41" s="87"/>
      <c r="S41" s="296"/>
      <c r="T41" s="87"/>
      <c r="V41" s="90"/>
      <c r="W41" s="87"/>
    </row>
    <row r="42" spans="2:23">
      <c r="B42" s="98"/>
      <c r="D42" s="86"/>
      <c r="E42" s="86"/>
      <c r="G42" s="296"/>
      <c r="M42" s="296"/>
      <c r="N42" s="87"/>
      <c r="Q42" s="87"/>
      <c r="S42" s="296"/>
      <c r="T42" s="87"/>
      <c r="V42" s="90"/>
      <c r="W42" s="87"/>
    </row>
    <row r="43" spans="2:23">
      <c r="B43" s="98"/>
      <c r="D43" s="86"/>
      <c r="E43" s="86"/>
      <c r="G43" s="296"/>
      <c r="M43" s="296"/>
      <c r="N43" s="87"/>
      <c r="Q43" s="87"/>
      <c r="S43" s="296"/>
      <c r="T43" s="87"/>
      <c r="V43" s="90"/>
      <c r="W43" s="87"/>
    </row>
    <row r="44" spans="2:23">
      <c r="B44" s="98"/>
      <c r="M44" s="87"/>
      <c r="S44" s="87"/>
    </row>
    <row r="45" spans="2:23">
      <c r="B45" s="98"/>
      <c r="M45" s="87"/>
    </row>
    <row r="46" spans="2:23">
      <c r="B46" s="98"/>
      <c r="M46" s="87"/>
    </row>
    <row r="47" spans="2:23">
      <c r="B47" s="98"/>
      <c r="M47" s="87"/>
    </row>
    <row r="48" spans="2:23">
      <c r="B48" s="98"/>
      <c r="M48" s="87"/>
    </row>
    <row r="49" spans="2:13">
      <c r="B49" s="98"/>
      <c r="M49" s="87"/>
    </row>
    <row r="50" spans="2:13">
      <c r="M50" s="87"/>
    </row>
    <row r="51" spans="2:13">
      <c r="M51" s="87"/>
    </row>
    <row r="52" spans="2:13">
      <c r="M52" s="87"/>
    </row>
    <row r="53" spans="2:13">
      <c r="M53" s="87"/>
    </row>
    <row r="54" spans="2:13">
      <c r="M54" s="87"/>
    </row>
    <row r="55" spans="2:13">
      <c r="M55" s="87"/>
    </row>
    <row r="56" spans="2:13">
      <c r="M56" s="87"/>
    </row>
    <row r="57" spans="2:13">
      <c r="M57" s="87"/>
    </row>
  </sheetData>
  <mergeCells count="9">
    <mergeCell ref="O3:Q3"/>
    <mergeCell ref="B2:W2"/>
    <mergeCell ref="I3:K3"/>
    <mergeCell ref="L3:N3"/>
    <mergeCell ref="F3:H3"/>
    <mergeCell ref="C3:C4"/>
    <mergeCell ref="D3:E4"/>
    <mergeCell ref="R3:T3"/>
    <mergeCell ref="U3:W3"/>
  </mergeCells>
  <phoneticPr fontId="11" type="noConversion"/>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B1:W49"/>
  <sheetViews>
    <sheetView zoomScale="75" zoomScaleNormal="75" workbookViewId="0">
      <pane xSplit="5" ySplit="4" topLeftCell="F17" activePane="bottomRight" state="frozen"/>
      <selection pane="topRight" activeCell="F1" sqref="F1"/>
      <selection pane="bottomLeft" activeCell="A5" sqref="A5"/>
      <selection pane="bottomRight" activeCell="T46" sqref="T46"/>
    </sheetView>
  </sheetViews>
  <sheetFormatPr defaultColWidth="8.81640625" defaultRowHeight="12"/>
  <cols>
    <col min="1" max="1" width="4.453125" style="74" customWidth="1"/>
    <col min="2" max="2" width="12.54296875" style="82" customWidth="1"/>
    <col min="3" max="3" width="8.81640625" style="83"/>
    <col min="4" max="4" width="17.453125" style="84" customWidth="1"/>
    <col min="5" max="5" width="4.453125" style="84" customWidth="1"/>
    <col min="6" max="8" width="25.54296875" style="94" customWidth="1"/>
    <col min="9" max="11" width="15" style="73" customWidth="1"/>
    <col min="12" max="17" width="14.54296875" style="73" customWidth="1"/>
    <col min="18" max="21" width="14.1796875" style="73" customWidth="1"/>
    <col min="22" max="23" width="14.1796875" style="74" customWidth="1"/>
    <col min="24" max="16384" width="8.81640625" style="74"/>
  </cols>
  <sheetData>
    <row r="1" spans="2:23">
      <c r="B1" s="82" t="s">
        <v>332</v>
      </c>
      <c r="C1" s="83">
        <v>366</v>
      </c>
    </row>
    <row r="2" spans="2:23" ht="38.15" customHeight="1">
      <c r="B2" s="507" t="s">
        <v>126</v>
      </c>
      <c r="C2" s="514"/>
      <c r="D2" s="514"/>
      <c r="E2" s="514"/>
      <c r="F2" s="514"/>
      <c r="G2" s="514"/>
      <c r="H2" s="514"/>
      <c r="I2" s="514"/>
      <c r="J2" s="514"/>
      <c r="K2" s="514"/>
      <c r="L2" s="514"/>
      <c r="M2" s="514"/>
      <c r="N2" s="514"/>
      <c r="O2" s="514"/>
      <c r="P2" s="514"/>
      <c r="Q2" s="514"/>
      <c r="R2" s="514"/>
      <c r="S2" s="514"/>
      <c r="T2" s="514"/>
      <c r="U2" s="514"/>
    </row>
    <row r="3" spans="2:23" s="72" customFormat="1" ht="23.5" customHeight="1">
      <c r="B3" s="98"/>
      <c r="C3" s="511" t="s">
        <v>116</v>
      </c>
      <c r="D3" s="512" t="s">
        <v>105</v>
      </c>
      <c r="E3" s="512"/>
      <c r="F3" s="515" t="s">
        <v>107</v>
      </c>
      <c r="G3" s="515"/>
      <c r="H3" s="515"/>
      <c r="I3" s="517" t="s">
        <v>108</v>
      </c>
      <c r="J3" s="517"/>
      <c r="K3" s="517"/>
      <c r="L3" s="516" t="s">
        <v>322</v>
      </c>
      <c r="M3" s="516"/>
      <c r="N3" s="516"/>
      <c r="O3" s="516" t="s">
        <v>106</v>
      </c>
      <c r="P3" s="516"/>
      <c r="Q3" s="516"/>
      <c r="R3" s="516" t="s">
        <v>109</v>
      </c>
      <c r="S3" s="516"/>
      <c r="T3" s="516"/>
      <c r="U3" s="516" t="s">
        <v>110</v>
      </c>
      <c r="V3" s="516"/>
      <c r="W3" s="516"/>
    </row>
    <row r="4" spans="2:23" ht="14.5">
      <c r="B4" s="98"/>
      <c r="C4" s="511"/>
      <c r="D4" s="512"/>
      <c r="E4" s="512"/>
      <c r="F4" s="85" t="s">
        <v>115</v>
      </c>
      <c r="G4" s="96" t="s">
        <v>127</v>
      </c>
      <c r="H4" s="96" t="s">
        <v>128</v>
      </c>
      <c r="I4" s="85" t="s">
        <v>115</v>
      </c>
      <c r="J4" s="95" t="s">
        <v>127</v>
      </c>
      <c r="K4" s="95" t="s">
        <v>128</v>
      </c>
      <c r="L4" s="85" t="s">
        <v>115</v>
      </c>
      <c r="M4" s="95" t="s">
        <v>127</v>
      </c>
      <c r="N4" s="95" t="s">
        <v>128</v>
      </c>
      <c r="O4" s="85" t="s">
        <v>115</v>
      </c>
      <c r="P4" s="95" t="s">
        <v>127</v>
      </c>
      <c r="Q4" s="95" t="s">
        <v>128</v>
      </c>
      <c r="R4" s="85" t="s">
        <v>115</v>
      </c>
      <c r="S4" s="95" t="s">
        <v>127</v>
      </c>
      <c r="T4" s="95" t="s">
        <v>128</v>
      </c>
      <c r="U4" s="85" t="s">
        <v>115</v>
      </c>
      <c r="V4" s="95" t="s">
        <v>127</v>
      </c>
      <c r="W4" s="95" t="s">
        <v>128</v>
      </c>
    </row>
    <row r="5" spans="2:23" ht="14.5" customHeight="1">
      <c r="B5" s="98"/>
      <c r="C5" s="98"/>
      <c r="D5" s="86"/>
      <c r="E5" s="86"/>
      <c r="F5" s="229"/>
      <c r="G5" s="93"/>
      <c r="H5" s="93"/>
      <c r="I5" s="90"/>
      <c r="J5" s="214"/>
      <c r="K5" s="214"/>
      <c r="L5" s="249"/>
      <c r="M5" s="297"/>
      <c r="N5" s="297"/>
      <c r="O5" s="249"/>
      <c r="P5" s="297"/>
      <c r="Q5" s="297"/>
      <c r="R5" s="249"/>
      <c r="S5" s="297"/>
      <c r="T5" s="297"/>
      <c r="U5" s="249"/>
      <c r="V5" s="297"/>
      <c r="W5" s="297"/>
    </row>
    <row r="6" spans="2:23" ht="14.5" customHeight="1">
      <c r="B6" s="98"/>
      <c r="C6" s="98"/>
      <c r="D6" s="86"/>
      <c r="E6" s="86"/>
      <c r="F6" s="229"/>
      <c r="G6" s="93"/>
      <c r="I6" s="90"/>
      <c r="J6" s="214"/>
      <c r="L6" s="249"/>
      <c r="M6" s="297"/>
      <c r="O6" s="249"/>
      <c r="P6" s="297"/>
      <c r="R6" s="249"/>
      <c r="S6" s="297"/>
      <c r="U6" s="249"/>
      <c r="V6" s="297"/>
    </row>
    <row r="7" spans="2:23" ht="14.5" customHeight="1">
      <c r="B7" s="98"/>
      <c r="C7" s="98"/>
      <c r="D7" s="86"/>
      <c r="E7" s="86"/>
      <c r="F7" s="229"/>
      <c r="G7" s="93"/>
      <c r="H7" s="93"/>
      <c r="I7" s="90"/>
      <c r="J7" s="214"/>
      <c r="K7" s="214"/>
      <c r="L7" s="249"/>
      <c r="M7" s="297"/>
      <c r="N7" s="297"/>
      <c r="O7" s="249"/>
      <c r="P7" s="297"/>
      <c r="Q7" s="297"/>
      <c r="R7" s="249"/>
      <c r="S7" s="297"/>
      <c r="T7" s="297"/>
      <c r="U7" s="249"/>
      <c r="V7" s="297"/>
      <c r="W7" s="297"/>
    </row>
    <row r="8" spans="2:23" ht="14.5" customHeight="1">
      <c r="B8" s="98"/>
      <c r="C8" s="98"/>
      <c r="D8" s="86"/>
      <c r="E8" s="86"/>
      <c r="F8" s="229"/>
      <c r="G8" s="93"/>
      <c r="H8" s="93"/>
      <c r="I8" s="90"/>
      <c r="J8" s="214"/>
      <c r="K8" s="214"/>
      <c r="L8" s="249"/>
      <c r="M8" s="297"/>
      <c r="N8" s="297"/>
      <c r="O8" s="249"/>
      <c r="P8" s="297"/>
      <c r="Q8" s="297"/>
      <c r="R8" s="249"/>
      <c r="S8" s="297"/>
      <c r="T8" s="297"/>
      <c r="U8" s="249"/>
      <c r="V8" s="297"/>
      <c r="W8" s="297"/>
    </row>
    <row r="9" spans="2:23" ht="14.5" customHeight="1">
      <c r="B9" s="98"/>
      <c r="C9" s="98"/>
      <c r="D9" s="298">
        <v>45992</v>
      </c>
      <c r="E9" s="298" t="s">
        <v>471</v>
      </c>
      <c r="F9" s="229">
        <v>318.47175009739664</v>
      </c>
      <c r="G9" s="93"/>
      <c r="H9" s="93">
        <f>AVERAGE(F9:F39)</f>
        <v>328.81665999046396</v>
      </c>
      <c r="I9" s="90">
        <f t="shared" ref="I9:I38" si="0">F9/$C$1</f>
        <v>0.870141393708734</v>
      </c>
      <c r="J9" s="214"/>
      <c r="K9" s="214">
        <f>AVERAGE(I9:I39)</f>
        <v>0.89819019563886016</v>
      </c>
      <c r="L9" s="249">
        <v>2.4398666199178009E-3</v>
      </c>
      <c r="M9" s="297"/>
      <c r="N9" s="297">
        <f>AVERAGE(L9:L39)</f>
        <v>2.4556525658943427E-3</v>
      </c>
      <c r="O9" s="249">
        <v>2.0268145951910302E-3</v>
      </c>
      <c r="P9" s="297"/>
      <c r="Q9" s="297">
        <f>AVERAGE(O9:O39)</f>
        <v>2.097843269628437E-3</v>
      </c>
      <c r="R9" s="233">
        <v>0.91666666666666663</v>
      </c>
      <c r="S9" s="297"/>
      <c r="T9" s="214">
        <f>AVERAGE(R9:R39)</f>
        <v>0.91666666666666707</v>
      </c>
      <c r="U9" s="233">
        <v>0.92</v>
      </c>
      <c r="V9" s="297"/>
      <c r="W9" s="214">
        <f>AVERAGE(U9:U39)</f>
        <v>0.94496774193548394</v>
      </c>
    </row>
    <row r="10" spans="2:23" ht="14.5" customHeight="1">
      <c r="B10" s="98"/>
      <c r="C10" s="98"/>
      <c r="D10" s="86">
        <v>45993</v>
      </c>
      <c r="E10" s="86" t="s">
        <v>472</v>
      </c>
      <c r="F10" s="229">
        <v>314.46698421891574</v>
      </c>
      <c r="G10" s="93"/>
      <c r="H10" s="93"/>
      <c r="I10" s="90">
        <f t="shared" si="0"/>
        <v>0.85919941043419601</v>
      </c>
      <c r="J10" s="214"/>
      <c r="K10" s="214"/>
      <c r="L10" s="249">
        <v>2.4403543405557321E-3</v>
      </c>
      <c r="M10" s="297"/>
      <c r="N10" s="297"/>
      <c r="O10" s="249">
        <v>2.1237594082119289E-3</v>
      </c>
      <c r="P10" s="297"/>
      <c r="Q10" s="297"/>
      <c r="R10" s="233">
        <v>0.91666666666666663</v>
      </c>
      <c r="S10" s="297"/>
      <c r="T10" s="297"/>
      <c r="U10" s="233">
        <v>0.92200000000000004</v>
      </c>
      <c r="V10" s="297"/>
      <c r="W10" s="297"/>
    </row>
    <row r="11" spans="2:23" ht="14.5" customHeight="1">
      <c r="B11" s="98"/>
      <c r="C11" s="98"/>
      <c r="D11" s="86">
        <f>D10+1</f>
        <v>45994</v>
      </c>
      <c r="E11" s="86" t="s">
        <v>473</v>
      </c>
      <c r="F11" s="229">
        <v>320.98264935794282</v>
      </c>
      <c r="G11" s="93"/>
      <c r="H11" s="93"/>
      <c r="I11" s="90">
        <f t="shared" si="0"/>
        <v>0.87700177420202952</v>
      </c>
      <c r="J11" s="214"/>
      <c r="K11" s="214"/>
      <c r="L11" s="249">
        <v>2.4397273850217675E-3</v>
      </c>
      <c r="M11" s="297"/>
      <c r="N11" s="297"/>
      <c r="O11" s="249">
        <v>2.2254509743929985E-3</v>
      </c>
      <c r="P11" s="297"/>
      <c r="Q11" s="297"/>
      <c r="R11" s="233">
        <v>0.91666666666666663</v>
      </c>
      <c r="S11" s="297"/>
      <c r="T11" s="297"/>
      <c r="U11" s="233">
        <v>0.92200000000000004</v>
      </c>
      <c r="V11" s="297"/>
      <c r="W11" s="297"/>
    </row>
    <row r="12" spans="2:23" ht="14.5" customHeight="1">
      <c r="B12" s="98"/>
      <c r="C12" s="98"/>
      <c r="D12" s="86">
        <f t="shared" ref="D12:D39" si="1">D11+1</f>
        <v>45995</v>
      </c>
      <c r="E12" s="86" t="s">
        <v>474</v>
      </c>
      <c r="F12" s="229">
        <v>310.76985296190236</v>
      </c>
      <c r="G12" s="93">
        <f>AVERAGE(F12:F18)</f>
        <v>326.75101166157344</v>
      </c>
      <c r="H12" s="93"/>
      <c r="I12" s="90">
        <f t="shared" si="0"/>
        <v>0.84909795891230155</v>
      </c>
      <c r="J12" s="214">
        <f>AVERAGE(I12:I18)</f>
        <v>0.89276232694418955</v>
      </c>
      <c r="K12" s="214"/>
      <c r="L12" s="249">
        <v>2.4718908670409876E-3</v>
      </c>
      <c r="M12" s="297">
        <f>AVERAGE(L12:L18)</f>
        <v>2.4593631188136763E-3</v>
      </c>
      <c r="N12" s="297"/>
      <c r="O12" s="249">
        <v>2.3965896298343394E-3</v>
      </c>
      <c r="P12" s="297">
        <f>AVERAGE(O12:O18)</f>
        <v>2.1259809237764208E-3</v>
      </c>
      <c r="Q12" s="297"/>
      <c r="R12" s="233">
        <v>0.91666666666666663</v>
      </c>
      <c r="S12" s="297">
        <f>AVERAGE(R12:R18)</f>
        <v>0.91666666666666674</v>
      </c>
      <c r="T12" s="297"/>
      <c r="U12" s="233">
        <v>0.92400000000000004</v>
      </c>
      <c r="V12" s="297">
        <f>AVERAGE(U12:U18)</f>
        <v>0.92685714285714282</v>
      </c>
      <c r="W12" s="297"/>
    </row>
    <row r="13" spans="2:23" ht="14.5" customHeight="1">
      <c r="B13" s="98"/>
      <c r="C13" s="98"/>
      <c r="D13" s="86">
        <f t="shared" si="1"/>
        <v>45996</v>
      </c>
      <c r="E13" s="86" t="s">
        <v>475</v>
      </c>
      <c r="F13" s="229">
        <v>331.48548039597426</v>
      </c>
      <c r="G13" s="93"/>
      <c r="H13" s="93"/>
      <c r="I13" s="90">
        <f t="shared" si="0"/>
        <v>0.90569803386878212</v>
      </c>
      <c r="J13" s="214"/>
      <c r="K13" s="214"/>
      <c r="L13" s="249">
        <v>2.4590710340689974E-3</v>
      </c>
      <c r="M13" s="297"/>
      <c r="N13" s="297"/>
      <c r="O13" s="249">
        <v>2.5356559140363747E-3</v>
      </c>
      <c r="P13" s="297"/>
      <c r="Q13" s="297"/>
      <c r="R13" s="233">
        <v>0.91666666666666663</v>
      </c>
      <c r="S13" s="297"/>
      <c r="T13" s="297"/>
      <c r="U13" s="233">
        <v>0.92400000000000004</v>
      </c>
      <c r="V13" s="297"/>
      <c r="W13" s="297"/>
    </row>
    <row r="14" spans="2:23" ht="14.5" customHeight="1">
      <c r="B14" s="98"/>
      <c r="C14" s="98"/>
      <c r="D14" s="86">
        <f t="shared" si="1"/>
        <v>45997</v>
      </c>
      <c r="E14" s="86" t="s">
        <v>476</v>
      </c>
      <c r="F14" s="229">
        <v>322.27938276725507</v>
      </c>
      <c r="G14" s="93"/>
      <c r="H14" s="93"/>
      <c r="I14" s="90">
        <f t="shared" si="0"/>
        <v>0.88054476165916684</v>
      </c>
      <c r="J14" s="214"/>
      <c r="K14" s="214"/>
      <c r="L14" s="249">
        <v>2.4710409174036811E-3</v>
      </c>
      <c r="M14" s="297"/>
      <c r="N14" s="297"/>
      <c r="O14" s="249">
        <v>2.1645747728569146E-3</v>
      </c>
      <c r="P14" s="297"/>
      <c r="Q14" s="297"/>
      <c r="R14" s="233">
        <v>0.91666666666666663</v>
      </c>
      <c r="S14" s="297"/>
      <c r="T14" s="297"/>
      <c r="U14" s="233">
        <v>0.92600000000000005</v>
      </c>
      <c r="V14" s="297"/>
      <c r="W14" s="297"/>
    </row>
    <row r="15" spans="2:23" ht="14.5" customHeight="1">
      <c r="B15" s="98"/>
      <c r="C15" s="98"/>
      <c r="D15" s="86">
        <f t="shared" si="1"/>
        <v>45998</v>
      </c>
      <c r="E15" s="86" t="s">
        <v>477</v>
      </c>
      <c r="F15" s="229">
        <v>332.97304309506058</v>
      </c>
      <c r="G15" s="93"/>
      <c r="H15" s="93"/>
      <c r="I15" s="90">
        <f t="shared" si="0"/>
        <v>0.90976241282803438</v>
      </c>
      <c r="J15" s="214"/>
      <c r="K15" s="214"/>
      <c r="L15" s="249">
        <v>2.4495717196869448E-3</v>
      </c>
      <c r="M15" s="297"/>
      <c r="N15" s="297"/>
      <c r="O15" s="249">
        <v>2.0712141899269418E-3</v>
      </c>
      <c r="P15" s="297"/>
      <c r="Q15" s="297"/>
      <c r="R15" s="233">
        <v>0.91666666666666663</v>
      </c>
      <c r="S15" s="297"/>
      <c r="T15" s="297"/>
      <c r="U15" s="233">
        <v>0.92600000000000005</v>
      </c>
      <c r="V15" s="297"/>
      <c r="W15" s="297"/>
    </row>
    <row r="16" spans="2:23" ht="14.5" customHeight="1">
      <c r="B16" s="98"/>
      <c r="C16" s="98"/>
      <c r="D16" s="86">
        <f t="shared" si="1"/>
        <v>45999</v>
      </c>
      <c r="E16" s="86" t="s">
        <v>471</v>
      </c>
      <c r="F16" s="229">
        <v>326.6662308247312</v>
      </c>
      <c r="G16" s="93"/>
      <c r="H16" s="93"/>
      <c r="I16" s="90">
        <f t="shared" si="0"/>
        <v>0.89253068531347324</v>
      </c>
      <c r="J16" s="214"/>
      <c r="K16" s="214"/>
      <c r="L16" s="249">
        <v>2.4423859791784163E-3</v>
      </c>
      <c r="M16" s="297"/>
      <c r="N16" s="297"/>
      <c r="O16" s="249">
        <v>1.9214146606443775E-3</v>
      </c>
      <c r="P16" s="297"/>
      <c r="Q16" s="297"/>
      <c r="R16" s="233">
        <v>0.91666666666666663</v>
      </c>
      <c r="S16" s="297"/>
      <c r="T16" s="297"/>
      <c r="U16" s="233">
        <v>0.92800000000000005</v>
      </c>
      <c r="V16" s="297"/>
      <c r="W16" s="297"/>
    </row>
    <row r="17" spans="2:23" ht="14.5" customHeight="1">
      <c r="B17" s="98"/>
      <c r="C17" s="98"/>
      <c r="D17" s="298">
        <f t="shared" si="1"/>
        <v>46000</v>
      </c>
      <c r="E17" s="298" t="s">
        <v>472</v>
      </c>
      <c r="F17" s="229">
        <v>333.35800628156107</v>
      </c>
      <c r="G17" s="93"/>
      <c r="H17" s="93"/>
      <c r="I17" s="90">
        <f t="shared" si="0"/>
        <v>0.91081422481300844</v>
      </c>
      <c r="J17" s="214"/>
      <c r="K17" s="214"/>
      <c r="L17" s="249">
        <v>2.4521458883271473E-3</v>
      </c>
      <c r="M17" s="297"/>
      <c r="N17" s="297"/>
      <c r="O17" s="249">
        <v>1.8604212400498621E-3</v>
      </c>
      <c r="P17" s="297"/>
      <c r="Q17" s="297"/>
      <c r="R17" s="233">
        <v>0.91666666666666663</v>
      </c>
      <c r="S17" s="297"/>
      <c r="T17" s="297"/>
      <c r="U17" s="233">
        <v>0.93</v>
      </c>
      <c r="V17" s="297"/>
      <c r="W17" s="297"/>
    </row>
    <row r="18" spans="2:23" ht="14.5" customHeight="1">
      <c r="B18" s="98"/>
      <c r="C18" s="98"/>
      <c r="D18" s="298">
        <f t="shared" si="1"/>
        <v>46001</v>
      </c>
      <c r="E18" s="298" t="s">
        <v>473</v>
      </c>
      <c r="F18" s="229">
        <v>329.72508530452933</v>
      </c>
      <c r="G18" s="93"/>
      <c r="H18" s="93"/>
      <c r="I18" s="90">
        <f t="shared" si="0"/>
        <v>0.90088821121456097</v>
      </c>
      <c r="J18" s="214"/>
      <c r="K18" s="214"/>
      <c r="L18" s="249">
        <v>2.4694354259895599E-3</v>
      </c>
      <c r="M18" s="297"/>
      <c r="N18" s="297"/>
      <c r="O18" s="249">
        <v>1.9319960590861377E-3</v>
      </c>
      <c r="P18" s="297"/>
      <c r="Q18" s="297"/>
      <c r="R18" s="233">
        <v>0.91666666666666663</v>
      </c>
      <c r="S18" s="297"/>
      <c r="T18" s="297"/>
      <c r="U18" s="233">
        <v>0.93</v>
      </c>
      <c r="V18" s="297"/>
      <c r="W18" s="297"/>
    </row>
    <row r="19" spans="2:23" ht="14.5" customHeight="1">
      <c r="B19" s="98"/>
      <c r="C19" s="98"/>
      <c r="D19" s="298">
        <f t="shared" si="1"/>
        <v>46002</v>
      </c>
      <c r="E19" s="298" t="s">
        <v>474</v>
      </c>
      <c r="F19" s="229">
        <v>335.51581309410369</v>
      </c>
      <c r="G19" s="93">
        <f>AVERAGE(F19:F25)</f>
        <v>332.80450952199601</v>
      </c>
      <c r="H19" s="93"/>
      <c r="I19" s="90">
        <f t="shared" si="0"/>
        <v>0.91670987184181341</v>
      </c>
      <c r="J19" s="214">
        <f>AVERAGE(I19:I25)</f>
        <v>0.90930193858468855</v>
      </c>
      <c r="K19" s="214"/>
      <c r="L19" s="249">
        <v>2.4711292730693873E-3</v>
      </c>
      <c r="M19" s="297">
        <f>AVERAGE(L19:L25)</f>
        <v>2.4643092447421298E-3</v>
      </c>
      <c r="N19" s="297"/>
      <c r="O19" s="249">
        <v>2.2613435112817238E-3</v>
      </c>
      <c r="P19" s="297">
        <f>AVERAGE(O19:O25)</f>
        <v>2.0482691082000606E-3</v>
      </c>
      <c r="Q19" s="297"/>
      <c r="R19" s="233">
        <v>0.91666666666666663</v>
      </c>
      <c r="S19" s="297">
        <f>AVERAGE(R19:R25)</f>
        <v>0.91666666666666674</v>
      </c>
      <c r="T19" s="297"/>
      <c r="U19" s="233">
        <v>0.93</v>
      </c>
      <c r="V19" s="297">
        <f>AVERAGE(U19:U25)</f>
        <v>0.93714285714285717</v>
      </c>
      <c r="W19" s="297"/>
    </row>
    <row r="20" spans="2:23" ht="14.5" customHeight="1">
      <c r="B20" s="98"/>
      <c r="C20" s="98"/>
      <c r="D20" s="298">
        <f t="shared" si="1"/>
        <v>46003</v>
      </c>
      <c r="E20" s="298" t="s">
        <v>475</v>
      </c>
      <c r="F20" s="229">
        <v>328.69076228815931</v>
      </c>
      <c r="G20" s="93"/>
      <c r="H20" s="93"/>
      <c r="I20" s="90">
        <f t="shared" si="0"/>
        <v>0.89806219204415105</v>
      </c>
      <c r="J20" s="214"/>
      <c r="K20" s="214"/>
      <c r="L20" s="249">
        <v>2.4587643060642013E-3</v>
      </c>
      <c r="M20" s="297"/>
      <c r="N20" s="297"/>
      <c r="O20" s="249">
        <v>2.2849685496318388E-3</v>
      </c>
      <c r="P20" s="297"/>
      <c r="Q20" s="297"/>
      <c r="R20" s="233">
        <v>0.91666666666666663</v>
      </c>
      <c r="S20" s="297"/>
      <c r="T20" s="297"/>
      <c r="U20" s="233">
        <v>0.93200000000000005</v>
      </c>
      <c r="V20" s="297"/>
      <c r="W20" s="297"/>
    </row>
    <row r="21" spans="2:23" ht="14.5" customHeight="1">
      <c r="B21" s="98"/>
      <c r="C21" s="98"/>
      <c r="D21" s="298">
        <f t="shared" si="1"/>
        <v>46004</v>
      </c>
      <c r="E21" s="298" t="s">
        <v>476</v>
      </c>
      <c r="F21" s="229">
        <v>335.80165707341303</v>
      </c>
      <c r="G21" s="93"/>
      <c r="H21" s="93"/>
      <c r="I21" s="90">
        <f t="shared" si="0"/>
        <v>0.91749086632080057</v>
      </c>
      <c r="J21" s="214"/>
      <c r="K21" s="214"/>
      <c r="L21" s="249">
        <v>2.4798355230894269E-3</v>
      </c>
      <c r="M21" s="297"/>
      <c r="N21" s="297"/>
      <c r="O21" s="249">
        <v>2.1706001890301717E-3</v>
      </c>
      <c r="P21" s="297"/>
      <c r="Q21" s="297"/>
      <c r="R21" s="233">
        <v>0.91666666666666663</v>
      </c>
      <c r="S21" s="297"/>
      <c r="T21" s="297"/>
      <c r="U21" s="233">
        <v>0.93400000000000005</v>
      </c>
      <c r="V21" s="297"/>
      <c r="W21" s="297"/>
    </row>
    <row r="22" spans="2:23" ht="14.5" customHeight="1">
      <c r="B22" s="98"/>
      <c r="C22" s="98"/>
      <c r="D22" s="298">
        <f t="shared" si="1"/>
        <v>46005</v>
      </c>
      <c r="E22" s="298" t="s">
        <v>477</v>
      </c>
      <c r="F22" s="229">
        <v>322.8726097488306</v>
      </c>
      <c r="G22" s="93"/>
      <c r="H22" s="93"/>
      <c r="I22" s="90">
        <f t="shared" si="0"/>
        <v>0.88216560040664094</v>
      </c>
      <c r="J22" s="214"/>
      <c r="K22" s="214"/>
      <c r="L22" s="249">
        <v>2.4590305583281052E-3</v>
      </c>
      <c r="M22" s="297"/>
      <c r="N22" s="297"/>
      <c r="O22" s="249">
        <v>1.8270738019191513E-3</v>
      </c>
      <c r="P22" s="297"/>
      <c r="Q22" s="297"/>
      <c r="R22" s="233">
        <v>0.91666666666666663</v>
      </c>
      <c r="S22" s="297"/>
      <c r="T22" s="297"/>
      <c r="U22" s="233">
        <v>0.94</v>
      </c>
      <c r="V22" s="297"/>
      <c r="W22" s="297"/>
    </row>
    <row r="23" spans="2:23" ht="14.5" customHeight="1">
      <c r="B23" s="98"/>
      <c r="C23" s="98"/>
      <c r="D23" s="298">
        <f t="shared" si="1"/>
        <v>46006</v>
      </c>
      <c r="E23" s="298" t="s">
        <v>471</v>
      </c>
      <c r="F23" s="229">
        <v>337.80333988381034</v>
      </c>
      <c r="G23" s="93"/>
      <c r="H23" s="93"/>
      <c r="I23" s="90">
        <f t="shared" si="0"/>
        <v>0.92295994503773315</v>
      </c>
      <c r="J23" s="214"/>
      <c r="K23" s="214"/>
      <c r="L23" s="249">
        <v>2.4609410217206933E-3</v>
      </c>
      <c r="M23" s="297"/>
      <c r="N23" s="297"/>
      <c r="O23" s="249">
        <v>2.0052803670513302E-3</v>
      </c>
      <c r="P23" s="297"/>
      <c r="Q23" s="297"/>
      <c r="R23" s="233">
        <v>0.91666666666666663</v>
      </c>
      <c r="S23" s="297"/>
      <c r="T23" s="297"/>
      <c r="U23" s="233">
        <v>0.94</v>
      </c>
      <c r="V23" s="297"/>
      <c r="W23" s="297"/>
    </row>
    <row r="24" spans="2:23" ht="14.5" customHeight="1">
      <c r="B24" s="98"/>
      <c r="C24" s="98"/>
      <c r="D24" s="86">
        <f t="shared" si="1"/>
        <v>46007</v>
      </c>
      <c r="E24" s="86" t="s">
        <v>472</v>
      </c>
      <c r="F24" s="229">
        <v>338.58195811468659</v>
      </c>
      <c r="G24" s="93"/>
      <c r="H24" s="93"/>
      <c r="I24" s="90">
        <f t="shared" si="0"/>
        <v>0.925087317253242</v>
      </c>
      <c r="J24" s="214"/>
      <c r="K24" s="214"/>
      <c r="L24" s="249">
        <v>2.4504385727421715E-3</v>
      </c>
      <c r="M24" s="297"/>
      <c r="N24" s="297"/>
      <c r="O24" s="249">
        <v>1.8102020543128397E-3</v>
      </c>
      <c r="P24" s="297"/>
      <c r="Q24" s="297"/>
      <c r="R24" s="233">
        <v>0.91666666666666663</v>
      </c>
      <c r="S24" s="297"/>
      <c r="T24" s="297"/>
      <c r="U24" s="233">
        <v>0.94199999999999995</v>
      </c>
      <c r="V24" s="297"/>
      <c r="W24" s="297"/>
    </row>
    <row r="25" spans="2:23" ht="14.5" customHeight="1">
      <c r="B25" s="98"/>
      <c r="C25" s="98"/>
      <c r="D25" s="86">
        <f t="shared" si="1"/>
        <v>46008</v>
      </c>
      <c r="E25" s="86" t="s">
        <v>473</v>
      </c>
      <c r="F25" s="229">
        <v>330.36542645096847</v>
      </c>
      <c r="G25" s="93"/>
      <c r="H25" s="93"/>
      <c r="I25" s="90">
        <f t="shared" si="0"/>
        <v>0.90263777718843841</v>
      </c>
      <c r="J25" s="214"/>
      <c r="K25" s="214"/>
      <c r="L25" s="249">
        <v>2.4700254581809214E-3</v>
      </c>
      <c r="M25" s="297"/>
      <c r="N25" s="297"/>
      <c r="O25" s="249">
        <v>1.9784152841733692E-3</v>
      </c>
      <c r="P25" s="297"/>
      <c r="Q25" s="297"/>
      <c r="R25" s="233">
        <v>0.91666666666666663</v>
      </c>
      <c r="S25" s="297"/>
      <c r="T25" s="297"/>
      <c r="U25" s="233">
        <v>0.94199999999999995</v>
      </c>
      <c r="V25" s="297"/>
      <c r="W25" s="297"/>
    </row>
    <row r="26" spans="2:23" ht="14.5" customHeight="1">
      <c r="B26" s="98"/>
      <c r="C26" s="98"/>
      <c r="D26" s="86">
        <f t="shared" si="1"/>
        <v>46009</v>
      </c>
      <c r="E26" s="86" t="s">
        <v>474</v>
      </c>
      <c r="F26" s="229">
        <v>335.13853341904479</v>
      </c>
      <c r="G26" s="93">
        <f>AVERAGE(F26:F32)</f>
        <v>330.28803584566197</v>
      </c>
      <c r="H26" s="93"/>
      <c r="I26" s="90">
        <f t="shared" si="0"/>
        <v>0.91567905305749941</v>
      </c>
      <c r="J26" s="214">
        <f>AVERAGE(I26:I32)</f>
        <v>0.902426327447164</v>
      </c>
      <c r="K26" s="214"/>
      <c r="L26" s="249">
        <v>2.4419725010146184E-3</v>
      </c>
      <c r="M26" s="297">
        <f>AVERAGE(L26:L32)</f>
        <v>2.4483335007493006E-3</v>
      </c>
      <c r="N26" s="297"/>
      <c r="O26" s="249">
        <v>1.8300101343316556E-3</v>
      </c>
      <c r="P26" s="297">
        <f>AVERAGE(O26:O32)</f>
        <v>1.981634534655182E-3</v>
      </c>
      <c r="Q26" s="297"/>
      <c r="R26" s="233">
        <v>0.91666666666666663</v>
      </c>
      <c r="S26" s="297">
        <f>AVERAGE(R26:R32)</f>
        <v>0.91666666666666674</v>
      </c>
      <c r="T26" s="297"/>
      <c r="U26" s="233">
        <v>0.94599999999999995</v>
      </c>
      <c r="V26" s="297">
        <f>AVERAGE(U26:U32)</f>
        <v>0.95114285714285707</v>
      </c>
      <c r="W26" s="297"/>
    </row>
    <row r="27" spans="2:23" ht="14.5" customHeight="1">
      <c r="B27" s="98"/>
      <c r="C27" s="98"/>
      <c r="D27" s="86">
        <f t="shared" si="1"/>
        <v>46010</v>
      </c>
      <c r="E27" s="86" t="s">
        <v>475</v>
      </c>
      <c r="F27" s="229">
        <v>332.81778017253691</v>
      </c>
      <c r="G27" s="93"/>
      <c r="H27" s="93"/>
      <c r="I27" s="90">
        <f t="shared" si="0"/>
        <v>0.9093381971927238</v>
      </c>
      <c r="J27" s="214"/>
      <c r="K27" s="214"/>
      <c r="L27" s="249">
        <v>2.4689049930634011E-3</v>
      </c>
      <c r="M27" s="297"/>
      <c r="N27" s="297"/>
      <c r="O27" s="249">
        <v>2.0894610624425988E-3</v>
      </c>
      <c r="P27" s="297"/>
      <c r="Q27" s="297"/>
      <c r="R27" s="233">
        <v>0.91666666666666663</v>
      </c>
      <c r="S27" s="297"/>
      <c r="T27" s="297"/>
      <c r="U27" s="233">
        <v>0.94599999999999995</v>
      </c>
      <c r="V27" s="297"/>
      <c r="W27" s="297"/>
    </row>
    <row r="28" spans="2:23" ht="14.5" customHeight="1">
      <c r="B28" s="98"/>
      <c r="C28" s="98"/>
      <c r="D28" s="86">
        <f t="shared" si="1"/>
        <v>46011</v>
      </c>
      <c r="E28" s="86" t="s">
        <v>476</v>
      </c>
      <c r="F28" s="229">
        <v>326.73067388994792</v>
      </c>
      <c r="G28" s="93"/>
      <c r="H28" s="93"/>
      <c r="I28" s="90">
        <f t="shared" si="0"/>
        <v>0.89270675926215282</v>
      </c>
      <c r="J28" s="214"/>
      <c r="K28" s="214"/>
      <c r="L28" s="249">
        <v>2.471062219417812E-3</v>
      </c>
      <c r="M28" s="297"/>
      <c r="N28" s="297"/>
      <c r="O28" s="249">
        <v>1.8849780480166267E-3</v>
      </c>
      <c r="P28" s="297"/>
      <c r="Q28" s="297"/>
      <c r="R28" s="233">
        <v>0.91666666666666663</v>
      </c>
      <c r="S28" s="297"/>
      <c r="T28" s="297"/>
      <c r="U28" s="233">
        <v>0.95</v>
      </c>
      <c r="V28" s="297"/>
      <c r="W28" s="297"/>
    </row>
    <row r="29" spans="2:23" ht="14.5" customHeight="1">
      <c r="B29" s="98"/>
      <c r="C29" s="98"/>
      <c r="D29" s="86">
        <f t="shared" si="1"/>
        <v>46012</v>
      </c>
      <c r="E29" s="86" t="s">
        <v>477</v>
      </c>
      <c r="F29" s="229">
        <v>329.30818276411395</v>
      </c>
      <c r="G29" s="93"/>
      <c r="H29" s="93"/>
      <c r="I29" s="90">
        <f t="shared" si="0"/>
        <v>0.89974913323528405</v>
      </c>
      <c r="J29" s="214"/>
      <c r="K29" s="214"/>
      <c r="L29" s="249">
        <v>2.4303623256051576E-3</v>
      </c>
      <c r="M29" s="297"/>
      <c r="N29" s="297"/>
      <c r="O29" s="249">
        <v>1.818741418299981E-3</v>
      </c>
      <c r="P29" s="297"/>
      <c r="Q29" s="297"/>
      <c r="R29" s="233">
        <v>0.91666666666666663</v>
      </c>
      <c r="S29" s="297"/>
      <c r="T29" s="297"/>
      <c r="U29" s="233">
        <v>0.95</v>
      </c>
      <c r="V29" s="297"/>
      <c r="W29" s="297"/>
    </row>
    <row r="30" spans="2:23" ht="14.5" customHeight="1">
      <c r="B30" s="98"/>
      <c r="C30" s="98"/>
      <c r="D30" s="86">
        <f t="shared" si="1"/>
        <v>46013</v>
      </c>
      <c r="E30" s="86" t="s">
        <v>471</v>
      </c>
      <c r="F30" s="229">
        <v>330.54215297271122</v>
      </c>
      <c r="G30" s="93"/>
      <c r="H30" s="93"/>
      <c r="I30" s="90">
        <f t="shared" si="0"/>
        <v>0.90312063653746233</v>
      </c>
      <c r="J30" s="214"/>
      <c r="K30" s="214"/>
      <c r="L30" s="249">
        <v>2.456961831365716E-3</v>
      </c>
      <c r="M30" s="297"/>
      <c r="N30" s="297"/>
      <c r="O30" s="249">
        <v>1.9842851004130747E-3</v>
      </c>
      <c r="P30" s="297"/>
      <c r="Q30" s="297"/>
      <c r="R30" s="233">
        <v>0.91666666666666663</v>
      </c>
      <c r="S30" s="297"/>
      <c r="T30" s="297"/>
      <c r="U30" s="233">
        <v>0.95199999999999996</v>
      </c>
      <c r="V30" s="297"/>
      <c r="W30" s="297"/>
    </row>
    <row r="31" spans="2:23" ht="14.5" customHeight="1">
      <c r="B31" s="98"/>
      <c r="C31" s="98"/>
      <c r="D31" s="298">
        <f t="shared" si="1"/>
        <v>46014</v>
      </c>
      <c r="E31" s="298" t="s">
        <v>472</v>
      </c>
      <c r="F31" s="229">
        <v>328.86993939197015</v>
      </c>
      <c r="G31" s="93"/>
      <c r="H31" s="93"/>
      <c r="I31" s="90">
        <f t="shared" si="0"/>
        <v>0.89855174697259599</v>
      </c>
      <c r="J31" s="214"/>
      <c r="K31" s="214"/>
      <c r="L31" s="249">
        <v>2.4291095666804621E-3</v>
      </c>
      <c r="M31" s="297"/>
      <c r="N31" s="297"/>
      <c r="O31" s="249">
        <v>1.9521134399256607E-3</v>
      </c>
      <c r="P31" s="297"/>
      <c r="Q31" s="297"/>
      <c r="R31" s="233">
        <v>0.91666666666666663</v>
      </c>
      <c r="S31" s="297"/>
      <c r="T31" s="297"/>
      <c r="U31" s="233">
        <v>0.95599999999999996</v>
      </c>
      <c r="V31" s="297"/>
      <c r="W31" s="297"/>
    </row>
    <row r="32" spans="2:23" ht="14.5" customHeight="1">
      <c r="B32" s="98"/>
      <c r="C32" s="98"/>
      <c r="D32" s="298">
        <f t="shared" si="1"/>
        <v>46015</v>
      </c>
      <c r="E32" s="298" t="s">
        <v>473</v>
      </c>
      <c r="F32" s="229">
        <v>328.60898830930915</v>
      </c>
      <c r="G32" s="93"/>
      <c r="H32" s="93"/>
      <c r="I32" s="90">
        <f t="shared" si="0"/>
        <v>0.89783876587242939</v>
      </c>
      <c r="J32" s="214"/>
      <c r="K32" s="214"/>
      <c r="L32" s="249">
        <v>2.4399610680979375E-3</v>
      </c>
      <c r="M32" s="297"/>
      <c r="N32" s="297"/>
      <c r="O32" s="249">
        <v>2.3118525391566769E-3</v>
      </c>
      <c r="P32" s="297"/>
      <c r="Q32" s="297"/>
      <c r="R32" s="233">
        <v>0.91666666666666663</v>
      </c>
      <c r="S32" s="297"/>
      <c r="T32" s="297"/>
      <c r="U32" s="233">
        <v>0.95799999999999996</v>
      </c>
      <c r="V32" s="297"/>
      <c r="W32" s="297"/>
    </row>
    <row r="33" spans="2:23" ht="14.5" customHeight="1">
      <c r="B33" s="98"/>
      <c r="C33" s="98"/>
      <c r="D33" s="298">
        <f t="shared" si="1"/>
        <v>46016</v>
      </c>
      <c r="E33" s="298" t="s">
        <v>474</v>
      </c>
      <c r="F33" s="229">
        <v>338.86366825104989</v>
      </c>
      <c r="G33" s="93">
        <f>AVERAGE(F33:F39)</f>
        <v>330.07002526078759</v>
      </c>
      <c r="H33" s="93"/>
      <c r="I33" s="90">
        <f t="shared" si="0"/>
        <v>0.92585701707937129</v>
      </c>
      <c r="J33" s="214">
        <f>AVERAGE(I33:I39)</f>
        <v>0.90132152333142457</v>
      </c>
      <c r="K33" s="214"/>
      <c r="L33" s="249">
        <v>2.4621146803106759E-3</v>
      </c>
      <c r="M33" s="297">
        <f>AVERAGE(L33:L39)</f>
        <v>2.4573200210133662E-3</v>
      </c>
      <c r="N33" s="297"/>
      <c r="O33" s="249">
        <v>2.3510090040063819E-3</v>
      </c>
      <c r="P33" s="297">
        <f>AVERAGE(O33:O39)</f>
        <v>2.2237034877519899E-3</v>
      </c>
      <c r="Q33" s="297"/>
      <c r="R33" s="233">
        <v>0.91666666666666663</v>
      </c>
      <c r="S33" s="297">
        <f>AVERAGE(R33:R39)</f>
        <v>0.91666666666666674</v>
      </c>
      <c r="T33" s="297"/>
      <c r="U33" s="233">
        <v>0.96</v>
      </c>
      <c r="V33" s="297">
        <f>AVERAGE(U33:U39)</f>
        <v>0.97485714285714287</v>
      </c>
      <c r="W33" s="297"/>
    </row>
    <row r="34" spans="2:23" ht="14.5" customHeight="1">
      <c r="B34" s="98"/>
      <c r="C34" s="98"/>
      <c r="D34" s="298">
        <f t="shared" si="1"/>
        <v>46017</v>
      </c>
      <c r="E34" s="298" t="s">
        <v>475</v>
      </c>
      <c r="F34" s="229">
        <v>322.91104210313171</v>
      </c>
      <c r="G34" s="93"/>
      <c r="H34" s="93"/>
      <c r="I34" s="90">
        <f t="shared" si="0"/>
        <v>0.8822706068391577</v>
      </c>
      <c r="J34" s="214"/>
      <c r="K34" s="214"/>
      <c r="L34" s="249">
        <v>2.4695326348960697E-3</v>
      </c>
      <c r="M34" s="297"/>
      <c r="N34" s="297"/>
      <c r="O34" s="249">
        <v>2.5255201346236224E-3</v>
      </c>
      <c r="P34" s="297"/>
      <c r="Q34" s="297"/>
      <c r="R34" s="233">
        <v>0.91666666666666663</v>
      </c>
      <c r="S34" s="297"/>
      <c r="T34" s="297"/>
      <c r="U34" s="233">
        <v>0.96599999999999997</v>
      </c>
      <c r="V34" s="297"/>
      <c r="W34" s="297"/>
    </row>
    <row r="35" spans="2:23">
      <c r="B35" s="98"/>
      <c r="C35" s="98"/>
      <c r="D35" s="298">
        <f t="shared" si="1"/>
        <v>46018</v>
      </c>
      <c r="E35" s="298" t="s">
        <v>476</v>
      </c>
      <c r="F35" s="229">
        <v>332.59640046891826</v>
      </c>
      <c r="G35" s="93"/>
      <c r="H35" s="93"/>
      <c r="I35" s="90">
        <f t="shared" si="0"/>
        <v>0.90873333461453076</v>
      </c>
      <c r="J35" s="214"/>
      <c r="K35" s="214"/>
      <c r="L35" s="249">
        <v>2.4719905674285103E-3</v>
      </c>
      <c r="M35" s="90"/>
      <c r="N35" s="297"/>
      <c r="O35" s="249">
        <v>2.3272601974465004E-3</v>
      </c>
      <c r="P35" s="90"/>
      <c r="Q35" s="297"/>
      <c r="R35" s="233">
        <v>0.91666666666666663</v>
      </c>
      <c r="S35" s="214"/>
      <c r="T35" s="214"/>
      <c r="U35" s="233">
        <v>0.96799999999999997</v>
      </c>
      <c r="V35" s="214"/>
      <c r="W35" s="214"/>
    </row>
    <row r="36" spans="2:23">
      <c r="B36" s="98"/>
      <c r="D36" s="298">
        <f t="shared" si="1"/>
        <v>46019</v>
      </c>
      <c r="E36" s="298" t="s">
        <v>477</v>
      </c>
      <c r="F36" s="229">
        <v>333.66067009100578</v>
      </c>
      <c r="G36" s="93"/>
      <c r="H36" s="93"/>
      <c r="I36" s="90">
        <f t="shared" si="0"/>
        <v>0.91164117511203768</v>
      </c>
      <c r="J36" s="214"/>
      <c r="K36" s="87"/>
      <c r="L36" s="249">
        <v>2.4486257467671866E-3</v>
      </c>
      <c r="M36" s="90"/>
      <c r="N36" s="90"/>
      <c r="O36" s="249">
        <v>2.0129143359243701E-3</v>
      </c>
      <c r="P36" s="90"/>
      <c r="Q36" s="90"/>
      <c r="R36" s="233">
        <v>0.91666666666666663</v>
      </c>
      <c r="S36" s="214"/>
      <c r="T36" s="214"/>
      <c r="U36" s="233">
        <v>0.97199999999999998</v>
      </c>
      <c r="V36" s="214"/>
      <c r="W36" s="214"/>
    </row>
    <row r="37" spans="2:23">
      <c r="B37" s="98"/>
      <c r="D37" s="298">
        <f t="shared" si="1"/>
        <v>46020</v>
      </c>
      <c r="E37" s="298" t="s">
        <v>471</v>
      </c>
      <c r="F37" s="229">
        <v>322.03057232429518</v>
      </c>
      <c r="G37" s="93"/>
      <c r="H37" s="93"/>
      <c r="I37" s="90">
        <f t="shared" si="0"/>
        <v>0.87986495170572454</v>
      </c>
      <c r="J37" s="214"/>
      <c r="K37" s="87"/>
      <c r="L37" s="249">
        <v>2.4418769894458876E-3</v>
      </c>
      <c r="M37" s="90"/>
      <c r="N37" s="90"/>
      <c r="O37" s="249">
        <v>2.0306849594953075E-3</v>
      </c>
      <c r="P37" s="90"/>
      <c r="Q37" s="90"/>
      <c r="R37" s="233">
        <v>0.91666666666666663</v>
      </c>
      <c r="S37" s="214"/>
      <c r="T37" s="214"/>
      <c r="U37" s="233">
        <v>0.97799999999999998</v>
      </c>
      <c r="V37" s="214"/>
      <c r="W37" s="214"/>
    </row>
    <row r="38" spans="2:23">
      <c r="B38" s="98"/>
      <c r="D38" s="86">
        <f t="shared" si="1"/>
        <v>46021</v>
      </c>
      <c r="E38" s="86" t="s">
        <v>472</v>
      </c>
      <c r="F38" s="229">
        <v>329.23971199740743</v>
      </c>
      <c r="G38" s="93"/>
      <c r="H38" s="93"/>
      <c r="I38" s="90">
        <f t="shared" si="0"/>
        <v>0.89956205463772521</v>
      </c>
      <c r="J38" s="214"/>
      <c r="K38" s="87"/>
      <c r="L38" s="249">
        <v>2.4482112868477891E-3</v>
      </c>
      <c r="M38" s="90"/>
      <c r="N38" s="90"/>
      <c r="O38" s="249">
        <v>1.9139385319953931E-3</v>
      </c>
      <c r="P38" s="90"/>
      <c r="Q38" s="90"/>
      <c r="R38" s="233">
        <v>0.91666666666666663</v>
      </c>
      <c r="S38" s="214"/>
      <c r="T38" s="214"/>
      <c r="U38" s="233">
        <v>0.98</v>
      </c>
      <c r="V38" s="214"/>
      <c r="W38" s="214"/>
    </row>
    <row r="39" spans="2:23">
      <c r="B39" s="98"/>
      <c r="D39" s="86">
        <f t="shared" si="1"/>
        <v>46022</v>
      </c>
      <c r="E39" s="86" t="s">
        <v>473</v>
      </c>
      <c r="F39" s="229">
        <v>331.18811158970493</v>
      </c>
      <c r="G39" s="93"/>
      <c r="H39" s="93"/>
      <c r="I39" s="90"/>
      <c r="J39" s="214"/>
      <c r="K39" s="87"/>
      <c r="L39" s="249">
        <v>2.4588882413974444E-3</v>
      </c>
      <c r="M39" s="90"/>
      <c r="N39" s="90"/>
      <c r="O39" s="249">
        <v>2.4045972507723548E-3</v>
      </c>
      <c r="P39" s="90"/>
      <c r="Q39" s="90"/>
      <c r="R39" s="233">
        <v>0.91666666666666663</v>
      </c>
      <c r="S39" s="214"/>
      <c r="T39" s="214"/>
      <c r="U39" s="233">
        <v>1</v>
      </c>
      <c r="V39" s="214"/>
      <c r="W39" s="214"/>
    </row>
    <row r="40" spans="2:23">
      <c r="B40" s="98"/>
    </row>
    <row r="41" spans="2:23">
      <c r="B41" s="98"/>
      <c r="D41" s="86"/>
      <c r="E41" s="86"/>
      <c r="F41" s="289"/>
      <c r="G41" s="93"/>
      <c r="H41" s="93"/>
      <c r="I41" s="90"/>
      <c r="J41" s="214"/>
      <c r="K41" s="87"/>
      <c r="L41" s="294"/>
      <c r="M41" s="90"/>
      <c r="N41" s="90"/>
      <c r="O41" s="294"/>
      <c r="P41" s="90"/>
      <c r="Q41" s="90"/>
      <c r="R41" s="293"/>
      <c r="S41" s="214"/>
      <c r="T41" s="214"/>
      <c r="U41" s="293"/>
      <c r="V41" s="214"/>
      <c r="W41" s="214"/>
    </row>
    <row r="42" spans="2:23">
      <c r="B42" s="98"/>
      <c r="D42" s="86"/>
      <c r="E42" s="86"/>
      <c r="F42" s="289"/>
      <c r="G42" s="93"/>
      <c r="H42" s="93"/>
      <c r="I42" s="90"/>
      <c r="J42" s="214"/>
      <c r="K42" s="87"/>
      <c r="L42" s="294"/>
      <c r="M42" s="90"/>
      <c r="N42" s="90"/>
      <c r="O42" s="294"/>
      <c r="P42" s="90"/>
      <c r="Q42" s="90"/>
      <c r="R42" s="293"/>
      <c r="S42" s="214"/>
      <c r="T42" s="214"/>
      <c r="U42" s="293"/>
      <c r="V42" s="214"/>
      <c r="W42" s="214"/>
    </row>
    <row r="43" spans="2:23">
      <c r="B43" s="98"/>
      <c r="D43" s="86"/>
      <c r="E43" s="86"/>
      <c r="F43" s="289"/>
      <c r="G43" s="93"/>
      <c r="H43" s="93"/>
      <c r="I43" s="90"/>
      <c r="J43" s="214"/>
      <c r="K43" s="87"/>
      <c r="L43" s="294"/>
      <c r="M43" s="90"/>
      <c r="N43" s="90"/>
      <c r="O43" s="294"/>
      <c r="P43" s="90"/>
      <c r="Q43" s="90"/>
      <c r="R43" s="293"/>
      <c r="S43" s="214"/>
      <c r="T43" s="214"/>
      <c r="U43" s="293"/>
      <c r="V43" s="214"/>
      <c r="W43" s="214"/>
    </row>
    <row r="44" spans="2:23">
      <c r="B44" s="98"/>
    </row>
    <row r="45" spans="2:23">
      <c r="B45" s="98"/>
    </row>
    <row r="46" spans="2:23">
      <c r="B46" s="98"/>
    </row>
    <row r="47" spans="2:23">
      <c r="B47" s="98"/>
    </row>
    <row r="48" spans="2:23">
      <c r="B48" s="98"/>
    </row>
    <row r="49" spans="2:2">
      <c r="B49" s="98"/>
    </row>
  </sheetData>
  <mergeCells count="9">
    <mergeCell ref="B2:U2"/>
    <mergeCell ref="F3:H3"/>
    <mergeCell ref="L3:N3"/>
    <mergeCell ref="R3:T3"/>
    <mergeCell ref="C3:C4"/>
    <mergeCell ref="D3:E4"/>
    <mergeCell ref="I3:K3"/>
    <mergeCell ref="O3:Q3"/>
    <mergeCell ref="U3:W3"/>
  </mergeCells>
  <phoneticPr fontId="1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2:AT102"/>
  <sheetViews>
    <sheetView zoomScale="75" zoomScaleNormal="75" workbookViewId="0">
      <pane xSplit="5" ySplit="6" topLeftCell="F7" activePane="bottomRight" state="frozen"/>
      <selection pane="topRight" activeCell="F1" sqref="F1"/>
      <selection pane="bottomLeft" activeCell="A7" sqref="A7"/>
      <selection pane="bottomRight" activeCell="O41" sqref="O41"/>
    </sheetView>
  </sheetViews>
  <sheetFormatPr defaultColWidth="8.81640625" defaultRowHeight="14"/>
  <cols>
    <col min="1" max="1" width="0" style="77" hidden="1" customWidth="1"/>
    <col min="2" max="2" width="13.1796875" style="77" hidden="1" customWidth="1"/>
    <col min="3" max="3" width="0" style="103" hidden="1" customWidth="1"/>
    <col min="4" max="4" width="11" style="103" bestFit="1" customWidth="1"/>
    <col min="5" max="5" width="8.54296875" style="84" customWidth="1"/>
    <col min="6" max="8" width="17.453125" style="102" customWidth="1"/>
    <col min="9" max="9" width="10.54296875" style="97" customWidth="1"/>
    <col min="10" max="10" width="10.54296875" style="90" customWidth="1"/>
    <col min="11" max="11" width="10.54296875" style="97" customWidth="1"/>
    <col min="12" max="14" width="10.54296875" style="90" customWidth="1"/>
    <col min="15" max="15" width="10.54296875" style="97" customWidth="1"/>
    <col min="16" max="16" width="10.54296875" style="90" customWidth="1"/>
    <col min="17" max="17" width="10.54296875" style="97" customWidth="1"/>
    <col min="18" max="18" width="10.54296875" style="90" customWidth="1"/>
    <col min="19" max="19" width="10.54296875" style="97" customWidth="1"/>
    <col min="20" max="20" width="10.54296875" style="90" customWidth="1"/>
    <col min="21" max="21" width="10.54296875" style="97" customWidth="1"/>
    <col min="22" max="22" width="10.54296875" style="90" customWidth="1"/>
    <col min="23" max="23" width="10.54296875" style="97" customWidth="1"/>
    <col min="24" max="24" width="10.54296875" style="90" customWidth="1"/>
    <col min="25" max="25" width="10.54296875" style="97" customWidth="1"/>
    <col min="26" max="26" width="10.54296875" style="90" customWidth="1"/>
    <col min="27" max="27" width="10.54296875" style="97" customWidth="1"/>
    <col min="28" max="28" width="10.54296875" style="90" customWidth="1"/>
    <col min="29" max="29" width="10.54296875" style="97" customWidth="1"/>
    <col min="30" max="30" width="10.54296875" style="90" customWidth="1"/>
    <col min="31" max="31" width="10.54296875" style="97" customWidth="1"/>
    <col min="32" max="32" width="10.54296875" style="90" customWidth="1"/>
    <col min="33" max="33" width="10.453125" style="97" customWidth="1"/>
    <col min="34" max="34" width="10.453125" style="90" customWidth="1"/>
    <col min="35" max="35" width="10.453125" style="97" customWidth="1"/>
    <col min="36" max="36" width="10.453125" style="90" customWidth="1"/>
    <col min="37" max="37" width="10.453125" style="97" customWidth="1"/>
    <col min="38" max="38" width="10.453125" style="90" customWidth="1"/>
    <col min="39" max="16384" width="8.81640625" style="77"/>
  </cols>
  <sheetData>
    <row r="2" spans="1:38" ht="38.15" customHeight="1">
      <c r="A2" s="75"/>
      <c r="B2" s="519" t="s">
        <v>317</v>
      </c>
      <c r="C2" s="519"/>
      <c r="D2" s="519"/>
      <c r="E2" s="519"/>
      <c r="F2" s="519"/>
      <c r="G2" s="519"/>
      <c r="H2" s="519"/>
      <c r="I2" s="519"/>
      <c r="J2" s="519"/>
      <c r="K2" s="519"/>
      <c r="L2" s="519"/>
      <c r="M2" s="519"/>
      <c r="N2" s="519"/>
      <c r="O2" s="519"/>
      <c r="P2" s="519"/>
      <c r="Q2" s="519"/>
      <c r="R2" s="519"/>
      <c r="S2" s="519"/>
      <c r="T2" s="519"/>
      <c r="U2" s="519"/>
      <c r="V2" s="519"/>
      <c r="W2" s="519"/>
      <c r="X2" s="519"/>
      <c r="Y2" s="519"/>
      <c r="Z2" s="519"/>
      <c r="AA2" s="519"/>
      <c r="AB2" s="519"/>
      <c r="AC2" s="519"/>
      <c r="AD2" s="519"/>
      <c r="AE2" s="519"/>
      <c r="AF2" s="519"/>
      <c r="AG2" s="519"/>
      <c r="AH2" s="519"/>
      <c r="AI2" s="519"/>
      <c r="AJ2" s="519"/>
      <c r="AK2" s="519"/>
      <c r="AL2" s="519"/>
    </row>
    <row r="3" spans="1:38" ht="25.4" customHeight="1">
      <c r="B3" s="98"/>
      <c r="C3" s="520" t="s">
        <v>139</v>
      </c>
      <c r="D3" s="521" t="s">
        <v>105</v>
      </c>
      <c r="E3" s="521"/>
      <c r="F3" s="522" t="s">
        <v>358</v>
      </c>
      <c r="G3" s="522"/>
      <c r="H3" s="522"/>
      <c r="I3" s="523" t="s">
        <v>111</v>
      </c>
      <c r="J3" s="523"/>
      <c r="K3" s="523"/>
      <c r="L3" s="523"/>
      <c r="M3" s="523"/>
      <c r="N3" s="523"/>
      <c r="O3" s="523"/>
      <c r="P3" s="523"/>
      <c r="Q3" s="523"/>
      <c r="R3" s="523"/>
      <c r="S3" s="523"/>
      <c r="T3" s="523"/>
      <c r="U3" s="523"/>
      <c r="V3" s="523"/>
      <c r="W3" s="523"/>
      <c r="X3" s="523"/>
      <c r="Y3" s="523"/>
      <c r="Z3" s="523"/>
      <c r="AA3" s="523"/>
      <c r="AB3" s="523"/>
      <c r="AC3" s="523"/>
      <c r="AD3" s="523"/>
      <c r="AE3" s="523"/>
      <c r="AF3" s="523"/>
      <c r="AG3" s="523"/>
      <c r="AH3" s="523"/>
      <c r="AI3" s="523"/>
      <c r="AJ3" s="523"/>
      <c r="AK3" s="523"/>
      <c r="AL3" s="523"/>
    </row>
    <row r="4" spans="1:38" ht="25.4" customHeight="1">
      <c r="B4" s="98"/>
      <c r="C4" s="520"/>
      <c r="D4" s="521"/>
      <c r="E4" s="521"/>
      <c r="F4" s="522"/>
      <c r="G4" s="522"/>
      <c r="H4" s="522"/>
      <c r="I4" s="518" t="s">
        <v>140</v>
      </c>
      <c r="J4" s="518"/>
      <c r="K4" s="518"/>
      <c r="L4" s="518"/>
      <c r="M4" s="518"/>
      <c r="N4" s="518"/>
      <c r="O4" s="518" t="s">
        <v>141</v>
      </c>
      <c r="P4" s="518"/>
      <c r="Q4" s="518"/>
      <c r="R4" s="518"/>
      <c r="S4" s="518"/>
      <c r="T4" s="518"/>
      <c r="U4" s="518" t="s">
        <v>341</v>
      </c>
      <c r="V4" s="518"/>
      <c r="W4" s="518" t="s">
        <v>143</v>
      </c>
      <c r="X4" s="518"/>
      <c r="Y4" s="518" t="s">
        <v>134</v>
      </c>
      <c r="Z4" s="518"/>
      <c r="AA4" s="518"/>
      <c r="AB4" s="518"/>
      <c r="AC4" s="518"/>
      <c r="AD4" s="518"/>
      <c r="AE4" s="518" t="s">
        <v>132</v>
      </c>
      <c r="AF4" s="518"/>
      <c r="AG4" s="518" t="s">
        <v>144</v>
      </c>
      <c r="AH4" s="518"/>
      <c r="AI4" s="518" t="s">
        <v>145</v>
      </c>
      <c r="AJ4" s="518"/>
      <c r="AK4" s="518" t="s">
        <v>138</v>
      </c>
      <c r="AL4" s="518"/>
    </row>
    <row r="5" spans="1:38" ht="25.4" customHeight="1">
      <c r="B5" s="98"/>
      <c r="C5" s="520"/>
      <c r="D5" s="521"/>
      <c r="E5" s="521"/>
      <c r="F5" s="525" t="s">
        <v>115</v>
      </c>
      <c r="G5" s="525" t="s">
        <v>117</v>
      </c>
      <c r="H5" s="525" t="s">
        <v>118</v>
      </c>
      <c r="I5" s="518" t="s">
        <v>129</v>
      </c>
      <c r="J5" s="518"/>
      <c r="K5" s="518" t="s">
        <v>130</v>
      </c>
      <c r="L5" s="518"/>
      <c r="M5" s="524" t="s">
        <v>146</v>
      </c>
      <c r="N5" s="518"/>
      <c r="O5" s="518" t="s">
        <v>129</v>
      </c>
      <c r="P5" s="518"/>
      <c r="Q5" s="518" t="s">
        <v>130</v>
      </c>
      <c r="R5" s="518"/>
      <c r="S5" s="524" t="s">
        <v>146</v>
      </c>
      <c r="T5" s="518"/>
      <c r="U5" s="518" t="s">
        <v>129</v>
      </c>
      <c r="V5" s="518"/>
      <c r="W5" s="518" t="s">
        <v>129</v>
      </c>
      <c r="X5" s="518"/>
      <c r="Y5" s="518" t="s">
        <v>129</v>
      </c>
      <c r="Z5" s="518"/>
      <c r="AA5" s="518" t="s">
        <v>130</v>
      </c>
      <c r="AB5" s="518"/>
      <c r="AC5" s="524" t="s">
        <v>146</v>
      </c>
      <c r="AD5" s="518"/>
      <c r="AE5" s="518" t="s">
        <v>129</v>
      </c>
      <c r="AF5" s="518"/>
      <c r="AG5" s="518" t="s">
        <v>129</v>
      </c>
      <c r="AH5" s="518"/>
      <c r="AI5" s="518" t="s">
        <v>129</v>
      </c>
      <c r="AJ5" s="518"/>
      <c r="AK5" s="518" t="s">
        <v>129</v>
      </c>
      <c r="AL5" s="518"/>
    </row>
    <row r="6" spans="1:38" s="80" customFormat="1" ht="23.5" customHeight="1">
      <c r="B6" s="98"/>
      <c r="C6" s="520"/>
      <c r="D6" s="521"/>
      <c r="E6" s="521"/>
      <c r="F6" s="525"/>
      <c r="G6" s="525"/>
      <c r="H6" s="525"/>
      <c r="I6" s="99" t="s">
        <v>112</v>
      </c>
      <c r="J6" s="100" t="s">
        <v>113</v>
      </c>
      <c r="K6" s="99" t="s">
        <v>112</v>
      </c>
      <c r="L6" s="100" t="s">
        <v>113</v>
      </c>
      <c r="M6" s="99" t="s">
        <v>112</v>
      </c>
      <c r="N6" s="100" t="s">
        <v>113</v>
      </c>
      <c r="O6" s="99" t="s">
        <v>112</v>
      </c>
      <c r="P6" s="100" t="s">
        <v>113</v>
      </c>
      <c r="Q6" s="99" t="s">
        <v>112</v>
      </c>
      <c r="R6" s="100" t="s">
        <v>113</v>
      </c>
      <c r="S6" s="99" t="s">
        <v>112</v>
      </c>
      <c r="T6" s="100" t="s">
        <v>113</v>
      </c>
      <c r="U6" s="99" t="s">
        <v>112</v>
      </c>
      <c r="V6" s="100" t="s">
        <v>113</v>
      </c>
      <c r="W6" s="99" t="s">
        <v>112</v>
      </c>
      <c r="X6" s="100" t="s">
        <v>113</v>
      </c>
      <c r="Y6" s="99" t="s">
        <v>112</v>
      </c>
      <c r="Z6" s="100" t="s">
        <v>113</v>
      </c>
      <c r="AA6" s="99" t="s">
        <v>112</v>
      </c>
      <c r="AB6" s="100" t="s">
        <v>113</v>
      </c>
      <c r="AC6" s="99" t="s">
        <v>112</v>
      </c>
      <c r="AD6" s="100" t="s">
        <v>113</v>
      </c>
      <c r="AE6" s="99" t="s">
        <v>112</v>
      </c>
      <c r="AF6" s="100" t="s">
        <v>113</v>
      </c>
      <c r="AG6" s="99" t="s">
        <v>112</v>
      </c>
      <c r="AH6" s="100" t="s">
        <v>113</v>
      </c>
      <c r="AI6" s="99" t="s">
        <v>112</v>
      </c>
      <c r="AJ6" s="100" t="s">
        <v>113</v>
      </c>
      <c r="AK6" s="99" t="s">
        <v>112</v>
      </c>
      <c r="AL6" s="100" t="s">
        <v>113</v>
      </c>
    </row>
    <row r="7" spans="1:38" ht="12">
      <c r="B7" s="98"/>
      <c r="C7" s="394"/>
      <c r="D7" s="86"/>
      <c r="E7" s="86"/>
      <c r="F7" s="228"/>
      <c r="G7" s="296"/>
      <c r="H7" s="323"/>
      <c r="I7" s="234"/>
      <c r="J7" s="101"/>
      <c r="K7" s="234"/>
      <c r="L7" s="101"/>
      <c r="M7" s="227"/>
      <c r="N7" s="101"/>
      <c r="O7" s="234"/>
      <c r="P7" s="101"/>
      <c r="Q7" s="234"/>
      <c r="R7" s="101"/>
      <c r="S7" s="227"/>
      <c r="T7" s="101"/>
      <c r="U7" s="234"/>
      <c r="V7" s="101"/>
      <c r="W7" s="234"/>
      <c r="X7" s="101"/>
      <c r="Y7" s="234"/>
      <c r="Z7" s="101"/>
      <c r="AA7" s="234"/>
      <c r="AB7" s="101"/>
      <c r="AC7" s="227"/>
      <c r="AD7" s="101"/>
      <c r="AE7" s="234"/>
      <c r="AF7" s="101"/>
      <c r="AG7" s="234"/>
      <c r="AH7" s="101"/>
      <c r="AI7" s="234"/>
      <c r="AJ7" s="101"/>
      <c r="AK7" s="234"/>
      <c r="AL7" s="101"/>
    </row>
    <row r="8" spans="1:38" ht="12">
      <c r="B8" s="98"/>
      <c r="C8" s="98"/>
      <c r="D8" s="86"/>
      <c r="E8" s="86"/>
      <c r="F8" s="228"/>
      <c r="G8" s="296"/>
      <c r="I8" s="234"/>
      <c r="J8" s="101"/>
      <c r="K8" s="234"/>
      <c r="L8" s="101"/>
      <c r="M8" s="227"/>
      <c r="N8" s="101"/>
      <c r="O8" s="234"/>
      <c r="P8" s="101"/>
      <c r="Q8" s="234"/>
      <c r="R8" s="101"/>
      <c r="S8" s="227"/>
      <c r="T8" s="101"/>
      <c r="U8" s="234"/>
      <c r="V8" s="101"/>
      <c r="W8" s="234"/>
      <c r="X8" s="101"/>
      <c r="Y8" s="234"/>
      <c r="Z8" s="101"/>
      <c r="AA8" s="234"/>
      <c r="AB8" s="101"/>
      <c r="AC8" s="227"/>
      <c r="AD8" s="101"/>
      <c r="AE8" s="234"/>
      <c r="AF8" s="101"/>
      <c r="AG8" s="234"/>
      <c r="AH8" s="101"/>
      <c r="AI8" s="234"/>
      <c r="AJ8" s="101"/>
      <c r="AK8" s="234"/>
      <c r="AL8" s="101"/>
    </row>
    <row r="9" spans="1:38" ht="12">
      <c r="B9" s="98"/>
      <c r="C9" s="98"/>
      <c r="D9" s="86"/>
      <c r="E9" s="86"/>
      <c r="F9" s="228"/>
      <c r="G9" s="296"/>
      <c r="H9" s="324"/>
      <c r="I9" s="234"/>
      <c r="J9" s="101"/>
      <c r="K9" s="234"/>
      <c r="L9" s="101"/>
      <c r="M9" s="227"/>
      <c r="N9" s="101"/>
      <c r="O9" s="234"/>
      <c r="P9" s="101"/>
      <c r="Q9" s="234"/>
      <c r="R9" s="101"/>
      <c r="S9" s="227"/>
      <c r="T9" s="101"/>
      <c r="U9" s="234"/>
      <c r="V9" s="101"/>
      <c r="W9" s="234"/>
      <c r="X9" s="101"/>
      <c r="Y9" s="234"/>
      <c r="Z9" s="101"/>
      <c r="AA9" s="234"/>
      <c r="AB9" s="101"/>
      <c r="AC9" s="227"/>
      <c r="AD9" s="101"/>
      <c r="AE9" s="234"/>
      <c r="AF9" s="101"/>
      <c r="AG9" s="234"/>
      <c r="AH9" s="101"/>
      <c r="AI9" s="234"/>
      <c r="AJ9" s="101"/>
      <c r="AK9" s="234"/>
      <c r="AL9" s="101"/>
    </row>
    <row r="10" spans="1:38" ht="12">
      <c r="B10" s="98"/>
      <c r="C10" s="98"/>
      <c r="D10" s="86"/>
      <c r="E10" s="86"/>
      <c r="F10" s="228"/>
      <c r="G10" s="296"/>
      <c r="H10" s="324"/>
      <c r="I10" s="234"/>
      <c r="J10" s="101"/>
      <c r="K10" s="234"/>
      <c r="L10" s="101"/>
      <c r="M10" s="227"/>
      <c r="N10" s="101"/>
      <c r="O10" s="234"/>
      <c r="P10" s="101"/>
      <c r="Q10" s="234"/>
      <c r="R10" s="101"/>
      <c r="S10" s="227"/>
      <c r="T10" s="101"/>
      <c r="U10" s="234"/>
      <c r="V10" s="101"/>
      <c r="W10" s="234"/>
      <c r="X10" s="101"/>
      <c r="Y10" s="234"/>
      <c r="Z10" s="101"/>
      <c r="AA10" s="234"/>
      <c r="AB10" s="101"/>
      <c r="AC10" s="227"/>
      <c r="AD10" s="101"/>
      <c r="AE10" s="234"/>
      <c r="AF10" s="101"/>
      <c r="AG10" s="234"/>
      <c r="AH10" s="101"/>
      <c r="AI10" s="234"/>
      <c r="AJ10" s="101"/>
      <c r="AK10" s="234"/>
      <c r="AL10" s="101"/>
    </row>
    <row r="11" spans="1:38" ht="12">
      <c r="B11" s="98"/>
      <c r="C11" s="98"/>
      <c r="D11" s="298">
        <v>45992</v>
      </c>
      <c r="E11" s="298" t="s">
        <v>471</v>
      </c>
      <c r="F11" s="228">
        <f t="shared" ref="F11:F45" si="0">SUM(M11,S11,U11,W11,AC11,AE11,AG11,AI11,AK11)</f>
        <v>7261499.0000000009</v>
      </c>
      <c r="G11" s="296"/>
      <c r="H11" s="324">
        <f>SUM(F11:F41)</f>
        <v>219461716</v>
      </c>
      <c r="I11" s="234">
        <v>547116.00907815632</v>
      </c>
      <c r="J11" s="101">
        <f t="shared" ref="J11:J12" si="1">I11/F11</f>
        <v>7.5344775104720971E-2</v>
      </c>
      <c r="K11" s="234">
        <v>802330.41837701725</v>
      </c>
      <c r="L11" s="101">
        <f t="shared" ref="L11:L12" si="2">K11/F11</f>
        <v>0.11049101822874549</v>
      </c>
      <c r="M11" s="227">
        <f t="shared" ref="M11:M12" si="3">SUM(I11+K11)</f>
        <v>1349446.4274551736</v>
      </c>
      <c r="N11" s="101">
        <f t="shared" ref="N11:N12" si="4">M11/F11</f>
        <v>0.18583579333346648</v>
      </c>
      <c r="O11" s="234">
        <v>143482.93250858356</v>
      </c>
      <c r="P11" s="101">
        <f t="shared" ref="P11:P12" si="5">O11/F11</f>
        <v>1.9759409525303733E-2</v>
      </c>
      <c r="Q11" s="234">
        <v>95300.188879149529</v>
      </c>
      <c r="R11" s="101">
        <f t="shared" ref="R11:R13" si="6">Q11/$F11</f>
        <v>1.3124038009114856E-2</v>
      </c>
      <c r="S11" s="227">
        <f t="shared" ref="S11:S13" si="7">SUM(O11+Q11)</f>
        <v>238783.12138773309</v>
      </c>
      <c r="T11" s="101">
        <f t="shared" ref="T11:T12" si="8">S11/F11</f>
        <v>3.2883447534418589E-2</v>
      </c>
      <c r="U11" s="234">
        <v>600702.96553281671</v>
      </c>
      <c r="V11" s="101">
        <f t="shared" ref="V11:V12" si="9">U11/F11</f>
        <v>8.2724374889098881E-2</v>
      </c>
      <c r="W11" s="234">
        <v>28417.830078729297</v>
      </c>
      <c r="X11" s="101">
        <f t="shared" ref="X11:X12" si="10">W11/F11</f>
        <v>3.913493629721535E-3</v>
      </c>
      <c r="Y11" s="234">
        <v>601911.83933456882</v>
      </c>
      <c r="Z11" s="101">
        <f t="shared" ref="Z11:Z12" si="11">Y11/F11</f>
        <v>8.2890852058861222E-2</v>
      </c>
      <c r="AA11" s="234">
        <v>1272400.8499421033</v>
      </c>
      <c r="AB11" s="101">
        <f t="shared" ref="AB11:AB13" si="12">AA11/$F11</f>
        <v>0.17522564555088463</v>
      </c>
      <c r="AC11" s="227">
        <f t="shared" ref="AC11:AC12" si="13">SUM(Y11+AA11)</f>
        <v>1874312.689276672</v>
      </c>
      <c r="AD11" s="101">
        <f t="shared" ref="AD11:AD12" si="14">AC11/F11</f>
        <v>0.25811649760974581</v>
      </c>
      <c r="AE11" s="234">
        <v>1046304.1450225618</v>
      </c>
      <c r="AF11" s="101">
        <f t="shared" ref="AF11:AF12" si="15">AE11/F11</f>
        <v>0.14408927757513451</v>
      </c>
      <c r="AG11" s="234">
        <v>1206791.5727008637</v>
      </c>
      <c r="AH11" s="101">
        <f t="shared" ref="AH11:AH12" si="16">AG11/F11</f>
        <v>0.16619042055928998</v>
      </c>
      <c r="AI11" s="234">
        <v>378278.1500662312</v>
      </c>
      <c r="AJ11" s="101">
        <f t="shared" ref="AJ11:AJ12" si="17">AI11/F11</f>
        <v>5.2093672403760047E-2</v>
      </c>
      <c r="AK11" s="234">
        <v>538462.0984792189</v>
      </c>
      <c r="AL11" s="101">
        <f t="shared" ref="AL11:AL12" si="18">AK11/F11</f>
        <v>7.415302246536408E-2</v>
      </c>
    </row>
    <row r="12" spans="1:38" ht="12">
      <c r="B12" s="98"/>
      <c r="C12" s="98"/>
      <c r="D12" s="86">
        <v>45993</v>
      </c>
      <c r="E12" s="86" t="s">
        <v>472</v>
      </c>
      <c r="F12" s="228">
        <f t="shared" si="0"/>
        <v>7236654.0000000009</v>
      </c>
      <c r="G12" s="296"/>
      <c r="H12" s="324"/>
      <c r="I12" s="234">
        <v>530333.21209850197</v>
      </c>
      <c r="J12" s="101">
        <f t="shared" si="1"/>
        <v>7.3284312349119071E-2</v>
      </c>
      <c r="K12" s="234">
        <v>779594.2189545501</v>
      </c>
      <c r="L12" s="101">
        <f t="shared" si="2"/>
        <v>0.10772854677791006</v>
      </c>
      <c r="M12" s="227">
        <f t="shared" si="3"/>
        <v>1309927.4310530522</v>
      </c>
      <c r="N12" s="101">
        <f t="shared" si="4"/>
        <v>0.18101285912702916</v>
      </c>
      <c r="O12" s="234">
        <v>137168.96655466984</v>
      </c>
      <c r="P12" s="101">
        <f t="shared" si="5"/>
        <v>1.8954749882289498E-2</v>
      </c>
      <c r="Q12" s="234">
        <v>93054.27524535745</v>
      </c>
      <c r="R12" s="101">
        <f t="shared" si="6"/>
        <v>1.285874317679931E-2</v>
      </c>
      <c r="S12" s="227">
        <f t="shared" si="7"/>
        <v>230223.24180002729</v>
      </c>
      <c r="T12" s="101">
        <f t="shared" si="8"/>
        <v>3.1813493059088808E-2</v>
      </c>
      <c r="U12" s="234">
        <v>588511.00151653506</v>
      </c>
      <c r="V12" s="101">
        <f t="shared" si="9"/>
        <v>8.1323634032597805E-2</v>
      </c>
      <c r="W12" s="234">
        <v>28051.695529857479</v>
      </c>
      <c r="X12" s="101">
        <f t="shared" si="10"/>
        <v>3.8763350479182057E-3</v>
      </c>
      <c r="Y12" s="234">
        <v>592360.75725605816</v>
      </c>
      <c r="Z12" s="101">
        <f t="shared" si="11"/>
        <v>8.1855614107853997E-2</v>
      </c>
      <c r="AA12" s="234">
        <v>1231812.7604492963</v>
      </c>
      <c r="AB12" s="101">
        <f t="shared" si="12"/>
        <v>0.17021855134283001</v>
      </c>
      <c r="AC12" s="227">
        <f t="shared" si="13"/>
        <v>1824173.5177053544</v>
      </c>
      <c r="AD12" s="101">
        <f t="shared" si="14"/>
        <v>0.25207416545068401</v>
      </c>
      <c r="AE12" s="234">
        <v>996597.13671918213</v>
      </c>
      <c r="AF12" s="101">
        <f t="shared" si="15"/>
        <v>0.13771518393986806</v>
      </c>
      <c r="AG12" s="234">
        <v>1383070.1718081811</v>
      </c>
      <c r="AH12" s="101">
        <f t="shared" si="16"/>
        <v>0.191120118746617</v>
      </c>
      <c r="AI12" s="234">
        <v>349181.95736787003</v>
      </c>
      <c r="AJ12" s="101">
        <f t="shared" si="17"/>
        <v>4.8251851942606346E-2</v>
      </c>
      <c r="AK12" s="234">
        <v>526917.84649994038</v>
      </c>
      <c r="AL12" s="101">
        <f t="shared" si="18"/>
        <v>7.2812358653590495E-2</v>
      </c>
    </row>
    <row r="13" spans="1:38" ht="12">
      <c r="B13" s="98"/>
      <c r="C13" s="98"/>
      <c r="D13" s="86">
        <f>D12+1</f>
        <v>45994</v>
      </c>
      <c r="E13" s="86" t="s">
        <v>473</v>
      </c>
      <c r="F13" s="228">
        <f t="shared" si="0"/>
        <v>6888543</v>
      </c>
      <c r="G13" s="296"/>
      <c r="H13" s="324"/>
      <c r="I13" s="234">
        <v>526762.35896821809</v>
      </c>
      <c r="J13" s="101">
        <f>I13/F13</f>
        <v>7.6469343222248604E-2</v>
      </c>
      <c r="K13" s="234">
        <v>758147.51519697625</v>
      </c>
      <c r="L13" s="101">
        <f>K13/F13</f>
        <v>0.11005919759765981</v>
      </c>
      <c r="M13" s="227">
        <f>SUM(I13+K13)</f>
        <v>1284909.8741651943</v>
      </c>
      <c r="N13" s="101">
        <f>M13/F13</f>
        <v>0.18652854081990841</v>
      </c>
      <c r="O13" s="234">
        <v>142282.63136647581</v>
      </c>
      <c r="P13" s="101">
        <f>O13/F13</f>
        <v>2.0654967438901928E-2</v>
      </c>
      <c r="Q13" s="234">
        <v>97009.818032284355</v>
      </c>
      <c r="R13" s="101">
        <f t="shared" si="6"/>
        <v>1.4082777451238144E-2</v>
      </c>
      <c r="S13" s="227">
        <f t="shared" si="7"/>
        <v>239292.44939876016</v>
      </c>
      <c r="T13" s="101">
        <f>S13/F13</f>
        <v>3.4737744890140074E-2</v>
      </c>
      <c r="U13" s="234">
        <v>560035.02097879583</v>
      </c>
      <c r="V13" s="101">
        <f>U13/F13</f>
        <v>8.1299488292197034E-2</v>
      </c>
      <c r="W13" s="234">
        <v>29194.40508463158</v>
      </c>
      <c r="X13" s="101">
        <f>W13/F13</f>
        <v>4.2381103064365834E-3</v>
      </c>
      <c r="Y13" s="234">
        <v>565620.79317642562</v>
      </c>
      <c r="Z13" s="101">
        <f>Y13/F13</f>
        <v>8.2110366905806587E-2</v>
      </c>
      <c r="AA13" s="234">
        <v>1154648.9394908363</v>
      </c>
      <c r="AB13" s="101">
        <f t="shared" si="12"/>
        <v>0.16761874600925572</v>
      </c>
      <c r="AC13" s="227">
        <f>SUM(Y13+AA13)</f>
        <v>1720269.732667262</v>
      </c>
      <c r="AD13" s="101">
        <f>AC13/F13</f>
        <v>0.24972911291506231</v>
      </c>
      <c r="AE13" s="234">
        <v>971865.12478706404</v>
      </c>
      <c r="AF13" s="101">
        <f>AE13/F13</f>
        <v>0.14108427932976017</v>
      </c>
      <c r="AG13" s="234">
        <v>1184600.8544347121</v>
      </c>
      <c r="AH13" s="101">
        <f>AG13/F13</f>
        <v>0.17196682294568127</v>
      </c>
      <c r="AI13" s="234">
        <v>369726.55607012898</v>
      </c>
      <c r="AJ13" s="101">
        <f>AI13/F13</f>
        <v>5.3672678833554352E-2</v>
      </c>
      <c r="AK13" s="234">
        <v>528648.98241345061</v>
      </c>
      <c r="AL13" s="101">
        <f>AK13/F13</f>
        <v>7.6743221667259762E-2</v>
      </c>
    </row>
    <row r="14" spans="1:38" ht="12">
      <c r="B14" s="98"/>
      <c r="C14" s="98"/>
      <c r="D14" s="86">
        <f t="shared" ref="D14:D41" si="19">D13+1</f>
        <v>45995</v>
      </c>
      <c r="E14" s="86" t="s">
        <v>474</v>
      </c>
      <c r="F14" s="228">
        <f t="shared" si="0"/>
        <v>6535953.9999999991</v>
      </c>
      <c r="G14" s="296">
        <f>SUM(F14:F20)</f>
        <v>48757489</v>
      </c>
      <c r="H14" s="324"/>
      <c r="I14" s="234">
        <v>506363.5964399575</v>
      </c>
      <c r="J14" s="101">
        <f t="shared" ref="J14" si="20">I14/F14</f>
        <v>7.7473555725752902E-2</v>
      </c>
      <c r="K14" s="234">
        <v>727397.56001078547</v>
      </c>
      <c r="L14" s="101">
        <f t="shared" ref="L14" si="21">K14/F14</f>
        <v>0.11129171961901592</v>
      </c>
      <c r="M14" s="227">
        <f t="shared" ref="M14" si="22">SUM(I14+K14)</f>
        <v>1233761.1564507429</v>
      </c>
      <c r="N14" s="101">
        <f t="shared" ref="N14" si="23">M14/F14</f>
        <v>0.18876527534476881</v>
      </c>
      <c r="O14" s="234">
        <v>141972.2190204497</v>
      </c>
      <c r="P14" s="101">
        <f t="shared" ref="P14" si="24">O14/F14</f>
        <v>2.1721728613825882E-2</v>
      </c>
      <c r="Q14" s="234">
        <v>98299.235684252286</v>
      </c>
      <c r="R14" s="101">
        <f t="shared" ref="R14" si="25">Q14/$F14</f>
        <v>1.5039768591433217E-2</v>
      </c>
      <c r="S14" s="227">
        <f t="shared" ref="S14" si="26">SUM(O14+Q14)</f>
        <v>240271.45470470199</v>
      </c>
      <c r="T14" s="101">
        <f t="shared" ref="T14" si="27">S14/F14</f>
        <v>3.6761497205259099E-2</v>
      </c>
      <c r="U14" s="234">
        <v>551591.23754891311</v>
      </c>
      <c r="V14" s="101">
        <f t="shared" ref="V14" si="28">U14/F14</f>
        <v>8.4393378158553925E-2</v>
      </c>
      <c r="W14" s="234">
        <v>28616.676027852896</v>
      </c>
      <c r="X14" s="101">
        <f t="shared" ref="X14" si="29">W14/F14</f>
        <v>4.3783472202914677E-3</v>
      </c>
      <c r="Y14" s="234">
        <v>548905.90415186412</v>
      </c>
      <c r="Z14" s="101">
        <f t="shared" ref="Z14" si="30">Y14/F14</f>
        <v>8.3982522544048532E-2</v>
      </c>
      <c r="AA14" s="234">
        <v>1039376.5155857997</v>
      </c>
      <c r="AB14" s="101">
        <f t="shared" ref="AB14" si="31">AA14/$F14</f>
        <v>0.15902445390310271</v>
      </c>
      <c r="AC14" s="227">
        <f t="shared" ref="AC14" si="32">SUM(Y14+AA14)</f>
        <v>1588282.4197376638</v>
      </c>
      <c r="AD14" s="101">
        <f t="shared" ref="AD14" si="33">AC14/F14</f>
        <v>0.24300697644715125</v>
      </c>
      <c r="AE14" s="234">
        <v>915362.80129302025</v>
      </c>
      <c r="AF14" s="101">
        <f t="shared" ref="AF14" si="34">AE14/F14</f>
        <v>0.14005037386937247</v>
      </c>
      <c r="AG14" s="234">
        <v>1115453.6359693005</v>
      </c>
      <c r="AH14" s="101">
        <f t="shared" ref="AH14" si="35">AG14/F14</f>
        <v>0.17066424212430209</v>
      </c>
      <c r="AI14" s="234">
        <v>356002.01485681831</v>
      </c>
      <c r="AJ14" s="101">
        <f t="shared" ref="AJ14" si="36">AI14/F14</f>
        <v>5.4468255874631055E-2</v>
      </c>
      <c r="AK14" s="234">
        <v>506612.60341098491</v>
      </c>
      <c r="AL14" s="101">
        <f t="shared" ref="AL14" si="37">AK14/F14</f>
        <v>7.751165375566979E-2</v>
      </c>
    </row>
    <row r="15" spans="1:38" ht="12">
      <c r="B15" s="98"/>
      <c r="C15" s="98"/>
      <c r="D15" s="86">
        <f t="shared" si="19"/>
        <v>45996</v>
      </c>
      <c r="E15" s="86" t="s">
        <v>475</v>
      </c>
      <c r="F15" s="228">
        <f t="shared" si="0"/>
        <v>6075464.9999999991</v>
      </c>
      <c r="G15" s="296"/>
      <c r="H15" s="324"/>
      <c r="I15" s="234">
        <v>446133.98649682221</v>
      </c>
      <c r="J15" s="101">
        <f t="shared" ref="J15:J41" si="38">I15/F15</f>
        <v>7.3432072523966857E-2</v>
      </c>
      <c r="K15" s="234">
        <v>734858.95374034008</v>
      </c>
      <c r="L15" s="101">
        <f t="shared" ref="L15:L41" si="39">K15/F15</f>
        <v>0.12095517853206959</v>
      </c>
      <c r="M15" s="227">
        <f t="shared" ref="M15:M41" si="40">SUM(I15+K15)</f>
        <v>1180992.9402371622</v>
      </c>
      <c r="N15" s="101">
        <f t="shared" ref="N15:N41" si="41">M15/F15</f>
        <v>0.19438725105603644</v>
      </c>
      <c r="O15" s="234">
        <v>114585.37255391308</v>
      </c>
      <c r="P15" s="101">
        <f t="shared" ref="P15:P41" si="42">O15/F15</f>
        <v>1.8860346089379677E-2</v>
      </c>
      <c r="Q15" s="234">
        <v>84528.438639308821</v>
      </c>
      <c r="R15" s="101">
        <f t="shared" ref="R15:R45" si="43">Q15/$F15</f>
        <v>1.3913081326171549E-2</v>
      </c>
      <c r="S15" s="227">
        <f t="shared" ref="S15:S45" si="44">SUM(O15+Q15)</f>
        <v>199113.81119322189</v>
      </c>
      <c r="T15" s="101">
        <f t="shared" ref="T15:T41" si="45">S15/F15</f>
        <v>3.2773427415551226E-2</v>
      </c>
      <c r="U15" s="234">
        <v>513096.95682547847</v>
      </c>
      <c r="V15" s="101">
        <f t="shared" ref="V15:V41" si="46">U15/F15</f>
        <v>8.4453940040059253E-2</v>
      </c>
      <c r="W15" s="234">
        <v>23899.483799201094</v>
      </c>
      <c r="X15" s="101">
        <f t="shared" ref="X15:X41" si="47">W15/F15</f>
        <v>3.9337703038699254E-3</v>
      </c>
      <c r="Y15" s="234">
        <v>489843.75903871219</v>
      </c>
      <c r="Z15" s="101">
        <f t="shared" ref="Z15:Z41" si="48">Y15/F15</f>
        <v>8.0626546122595108E-2</v>
      </c>
      <c r="AA15" s="234">
        <v>1095829.4837502458</v>
      </c>
      <c r="AB15" s="101">
        <f t="shared" ref="AB15:AB45" si="49">AA15/$F15</f>
        <v>0.18036964804344127</v>
      </c>
      <c r="AC15" s="227">
        <f t="shared" ref="AC15:AC41" si="50">SUM(Y15+AA15)</f>
        <v>1585673.2427889579</v>
      </c>
      <c r="AD15" s="101">
        <f t="shared" ref="AD15:AD41" si="51">AC15/F15</f>
        <v>0.26099619416603637</v>
      </c>
      <c r="AE15" s="234">
        <v>791931.45676080231</v>
      </c>
      <c r="AF15" s="101">
        <f t="shared" ref="AF15:AF41" si="52">AE15/F15</f>
        <v>0.13034911019334364</v>
      </c>
      <c r="AG15" s="234">
        <v>1025287.2525533056</v>
      </c>
      <c r="AH15" s="101">
        <f t="shared" ref="AH15:AH41" si="53">AG15/F15</f>
        <v>0.16875864687777903</v>
      </c>
      <c r="AI15" s="234">
        <v>320908.29567709792</v>
      </c>
      <c r="AJ15" s="101">
        <f t="shared" ref="AJ15:AJ41" si="54">AI15/F15</f>
        <v>5.2820367770548916E-2</v>
      </c>
      <c r="AK15" s="234">
        <v>434561.56016477215</v>
      </c>
      <c r="AL15" s="101">
        <f t="shared" ref="AL15:AL41" si="55">AK15/F15</f>
        <v>7.1527292176775309E-2</v>
      </c>
    </row>
    <row r="16" spans="1:38" ht="12">
      <c r="B16" s="98"/>
      <c r="C16" s="98"/>
      <c r="D16" s="86">
        <f t="shared" si="19"/>
        <v>45997</v>
      </c>
      <c r="E16" s="86" t="s">
        <v>476</v>
      </c>
      <c r="F16" s="228">
        <f t="shared" si="0"/>
        <v>6262543.0000000019</v>
      </c>
      <c r="G16" s="296"/>
      <c r="H16" s="324"/>
      <c r="I16" s="234">
        <v>430934.59133729187</v>
      </c>
      <c r="J16" s="101">
        <f t="shared" si="38"/>
        <v>6.8811438314641787E-2</v>
      </c>
      <c r="K16" s="234">
        <v>745486.40229217429</v>
      </c>
      <c r="L16" s="101">
        <f t="shared" si="39"/>
        <v>0.11903892752387873</v>
      </c>
      <c r="M16" s="227">
        <f t="shared" si="40"/>
        <v>1176420.9936294663</v>
      </c>
      <c r="N16" s="101">
        <f t="shared" si="41"/>
        <v>0.18785036583852055</v>
      </c>
      <c r="O16" s="234">
        <v>106928.61731471178</v>
      </c>
      <c r="P16" s="101">
        <f t="shared" si="42"/>
        <v>1.7074312673735215E-2</v>
      </c>
      <c r="Q16" s="234">
        <v>80073.031966334747</v>
      </c>
      <c r="R16" s="101">
        <f t="shared" si="43"/>
        <v>1.2786025096567755E-2</v>
      </c>
      <c r="S16" s="227">
        <f t="shared" si="44"/>
        <v>187001.64928104653</v>
      </c>
      <c r="T16" s="101">
        <f t="shared" si="45"/>
        <v>2.9860337770302971E-2</v>
      </c>
      <c r="U16" s="234">
        <v>538009.68432433822</v>
      </c>
      <c r="V16" s="101">
        <f t="shared" si="46"/>
        <v>8.5909140156696415E-2</v>
      </c>
      <c r="W16" s="234">
        <v>23574.093019290784</v>
      </c>
      <c r="X16" s="101">
        <f t="shared" si="47"/>
        <v>3.7643003839320189E-3</v>
      </c>
      <c r="Y16" s="234">
        <v>487585.7838838498</v>
      </c>
      <c r="Z16" s="101">
        <f t="shared" si="48"/>
        <v>7.7857474812364505E-2</v>
      </c>
      <c r="AA16" s="234">
        <v>1123632.7542128817</v>
      </c>
      <c r="AB16" s="101">
        <f t="shared" si="49"/>
        <v>0.179421163928596</v>
      </c>
      <c r="AC16" s="227">
        <f t="shared" si="50"/>
        <v>1611218.5380967315</v>
      </c>
      <c r="AD16" s="101">
        <f t="shared" si="51"/>
        <v>0.25727863874096052</v>
      </c>
      <c r="AE16" s="234">
        <v>860063.64008411625</v>
      </c>
      <c r="AF16" s="101">
        <f t="shared" si="52"/>
        <v>0.13733456841479827</v>
      </c>
      <c r="AG16" s="234">
        <v>1031917.4257503381</v>
      </c>
      <c r="AH16" s="101">
        <f t="shared" si="53"/>
        <v>0.16477610225595862</v>
      </c>
      <c r="AI16" s="234">
        <v>375019.90179469722</v>
      </c>
      <c r="AJ16" s="101">
        <f t="shared" si="54"/>
        <v>5.9883006279509314E-2</v>
      </c>
      <c r="AK16" s="234">
        <v>459317.0740199759</v>
      </c>
      <c r="AL16" s="101">
        <f t="shared" si="55"/>
        <v>7.334354015932118E-2</v>
      </c>
    </row>
    <row r="17" spans="2:38" ht="12">
      <c r="B17" s="98"/>
      <c r="C17" s="98"/>
      <c r="D17" s="86">
        <f t="shared" si="19"/>
        <v>45998</v>
      </c>
      <c r="E17" s="86" t="s">
        <v>477</v>
      </c>
      <c r="F17" s="228">
        <f t="shared" si="0"/>
        <v>7283313.9999999991</v>
      </c>
      <c r="G17" s="296"/>
      <c r="H17" s="324"/>
      <c r="I17" s="234">
        <v>554780.54237530124</v>
      </c>
      <c r="J17" s="101">
        <f t="shared" si="38"/>
        <v>7.6171443710280964E-2</v>
      </c>
      <c r="K17" s="234">
        <v>796646.25180049252</v>
      </c>
      <c r="L17" s="101">
        <f t="shared" si="39"/>
        <v>0.10937963841741447</v>
      </c>
      <c r="M17" s="227">
        <f t="shared" si="40"/>
        <v>1351426.7941757939</v>
      </c>
      <c r="N17" s="101">
        <f t="shared" si="41"/>
        <v>0.18555108212769544</v>
      </c>
      <c r="O17" s="234">
        <v>146621.80117931322</v>
      </c>
      <c r="P17" s="101">
        <f t="shared" si="42"/>
        <v>2.0131193187512338E-2</v>
      </c>
      <c r="Q17" s="234">
        <v>93931.288307811716</v>
      </c>
      <c r="R17" s="101">
        <f t="shared" si="43"/>
        <v>1.2896778624100476E-2</v>
      </c>
      <c r="S17" s="227">
        <f t="shared" si="44"/>
        <v>240553.08948712493</v>
      </c>
      <c r="T17" s="101">
        <f t="shared" si="45"/>
        <v>3.3027971811612815E-2</v>
      </c>
      <c r="U17" s="234">
        <v>633337.47405640257</v>
      </c>
      <c r="V17" s="101">
        <f t="shared" si="46"/>
        <v>8.695732108438585E-2</v>
      </c>
      <c r="W17" s="234">
        <v>26193.367326898209</v>
      </c>
      <c r="X17" s="101">
        <f t="shared" si="47"/>
        <v>3.5963528864605058E-3</v>
      </c>
      <c r="Y17" s="234">
        <v>577616.2341589015</v>
      </c>
      <c r="Z17" s="101">
        <f t="shared" si="48"/>
        <v>7.9306787289261674E-2</v>
      </c>
      <c r="AA17" s="234">
        <v>1247520.2603978568</v>
      </c>
      <c r="AB17" s="101">
        <f t="shared" si="49"/>
        <v>0.17128470094765336</v>
      </c>
      <c r="AC17" s="227">
        <f t="shared" si="50"/>
        <v>1825136.4945567583</v>
      </c>
      <c r="AD17" s="101">
        <f t="shared" si="51"/>
        <v>0.25059148823691502</v>
      </c>
      <c r="AE17" s="234">
        <v>1038293.6860818333</v>
      </c>
      <c r="AF17" s="101">
        <f t="shared" si="52"/>
        <v>0.14255786391769371</v>
      </c>
      <c r="AG17" s="234">
        <v>1259763.7812965147</v>
      </c>
      <c r="AH17" s="101">
        <f t="shared" si="53"/>
        <v>0.17296573802756751</v>
      </c>
      <c r="AI17" s="234">
        <v>390546.89810555842</v>
      </c>
      <c r="AJ17" s="101">
        <f t="shared" si="54"/>
        <v>5.3622142077845124E-2</v>
      </c>
      <c r="AK17" s="234">
        <v>518062.41491311521</v>
      </c>
      <c r="AL17" s="101">
        <f t="shared" si="55"/>
        <v>7.1130039829824077E-2</v>
      </c>
    </row>
    <row r="18" spans="2:38" ht="12">
      <c r="B18" s="98"/>
      <c r="C18" s="98"/>
      <c r="D18" s="86">
        <f t="shared" si="19"/>
        <v>45999</v>
      </c>
      <c r="E18" s="86" t="s">
        <v>471</v>
      </c>
      <c r="F18" s="228">
        <f t="shared" si="0"/>
        <v>7299829</v>
      </c>
      <c r="G18" s="296"/>
      <c r="H18" s="324"/>
      <c r="I18" s="234">
        <v>547022.10658009618</v>
      </c>
      <c r="J18" s="101">
        <f t="shared" si="38"/>
        <v>7.4936290504900346E-2</v>
      </c>
      <c r="K18" s="234">
        <v>789491.49081561528</v>
      </c>
      <c r="L18" s="101">
        <f t="shared" si="39"/>
        <v>0.10815205271460678</v>
      </c>
      <c r="M18" s="227">
        <f t="shared" si="40"/>
        <v>1336513.5973957116</v>
      </c>
      <c r="N18" s="101">
        <f t="shared" si="41"/>
        <v>0.18308834321950715</v>
      </c>
      <c r="O18" s="234">
        <v>138327.10526825942</v>
      </c>
      <c r="P18" s="101">
        <f t="shared" si="42"/>
        <v>1.8949362412223548E-2</v>
      </c>
      <c r="Q18" s="234">
        <v>96716.872630143815</v>
      </c>
      <c r="R18" s="101">
        <f t="shared" si="43"/>
        <v>1.3249197019566323E-2</v>
      </c>
      <c r="S18" s="227">
        <f t="shared" si="44"/>
        <v>235043.97789840325</v>
      </c>
      <c r="T18" s="101">
        <f t="shared" si="45"/>
        <v>3.2198559431789876E-2</v>
      </c>
      <c r="U18" s="234">
        <v>618096.68343446928</v>
      </c>
      <c r="V18" s="101">
        <f t="shared" si="46"/>
        <v>8.467276198311896E-2</v>
      </c>
      <c r="W18" s="234">
        <v>26168.330961107284</v>
      </c>
      <c r="X18" s="101">
        <f t="shared" si="47"/>
        <v>3.5847868437887086E-3</v>
      </c>
      <c r="Y18" s="234">
        <v>569642.9462499303</v>
      </c>
      <c r="Z18" s="101">
        <f t="shared" si="48"/>
        <v>7.8035108253896132E-2</v>
      </c>
      <c r="AA18" s="234">
        <v>1426509.4006740008</v>
      </c>
      <c r="AB18" s="101">
        <f t="shared" si="49"/>
        <v>0.1954168242398556</v>
      </c>
      <c r="AC18" s="227">
        <f t="shared" si="50"/>
        <v>1996152.346923931</v>
      </c>
      <c r="AD18" s="101">
        <f t="shared" si="51"/>
        <v>0.27345193249375171</v>
      </c>
      <c r="AE18" s="234">
        <v>1002582.9626970413</v>
      </c>
      <c r="AF18" s="101">
        <f t="shared" si="52"/>
        <v>0.13734334909722423</v>
      </c>
      <c r="AG18" s="234">
        <v>1152517.1974730261</v>
      </c>
      <c r="AH18" s="101">
        <f t="shared" si="53"/>
        <v>0.15788276649672561</v>
      </c>
      <c r="AI18" s="234">
        <v>404682.11070759437</v>
      </c>
      <c r="AJ18" s="101">
        <f t="shared" si="54"/>
        <v>5.543720417390522E-2</v>
      </c>
      <c r="AK18" s="234">
        <v>528071.79250871541</v>
      </c>
      <c r="AL18" s="101">
        <f t="shared" si="55"/>
        <v>7.234029626018848E-2</v>
      </c>
    </row>
    <row r="19" spans="2:38" ht="12">
      <c r="B19" s="98"/>
      <c r="C19" s="98"/>
      <c r="D19" s="298">
        <f t="shared" si="19"/>
        <v>46000</v>
      </c>
      <c r="E19" s="298" t="s">
        <v>472</v>
      </c>
      <c r="F19" s="228">
        <f t="shared" si="0"/>
        <v>7768298</v>
      </c>
      <c r="G19" s="296"/>
      <c r="H19" s="324"/>
      <c r="I19" s="234">
        <v>536497.28498448303</v>
      </c>
      <c r="J19" s="101">
        <f t="shared" si="38"/>
        <v>6.906239757852789E-2</v>
      </c>
      <c r="K19" s="234">
        <v>785848.36496261996</v>
      </c>
      <c r="L19" s="101">
        <f t="shared" si="39"/>
        <v>0.10116094477356816</v>
      </c>
      <c r="M19" s="227">
        <f t="shared" si="40"/>
        <v>1322345.6499471031</v>
      </c>
      <c r="N19" s="101">
        <f t="shared" si="41"/>
        <v>0.17022334235209605</v>
      </c>
      <c r="O19" s="234">
        <v>138497.8394345885</v>
      </c>
      <c r="P19" s="101">
        <f t="shared" si="42"/>
        <v>1.7828595071222617E-2</v>
      </c>
      <c r="Q19" s="234">
        <v>101594.57124976192</v>
      </c>
      <c r="R19" s="101">
        <f t="shared" si="43"/>
        <v>1.3078099121553E-2</v>
      </c>
      <c r="S19" s="227">
        <f t="shared" si="44"/>
        <v>240092.41068435041</v>
      </c>
      <c r="T19" s="101">
        <f t="shared" si="45"/>
        <v>3.0906694192775613E-2</v>
      </c>
      <c r="U19" s="234">
        <v>912506.56451154163</v>
      </c>
      <c r="V19" s="101">
        <f t="shared" si="46"/>
        <v>0.11746544281791733</v>
      </c>
      <c r="W19" s="234">
        <v>23723.469376056593</v>
      </c>
      <c r="X19" s="101">
        <f t="shared" si="47"/>
        <v>3.0538825076041874E-3</v>
      </c>
      <c r="Y19" s="234">
        <v>567646.44961332181</v>
      </c>
      <c r="Z19" s="101">
        <f t="shared" si="48"/>
        <v>7.3072177407885464E-2</v>
      </c>
      <c r="AA19" s="234">
        <v>1434884.4899131593</v>
      </c>
      <c r="AB19" s="101">
        <f t="shared" si="49"/>
        <v>0.18471027886844188</v>
      </c>
      <c r="AC19" s="227">
        <f t="shared" si="50"/>
        <v>2002530.9395264811</v>
      </c>
      <c r="AD19" s="101">
        <f t="shared" si="51"/>
        <v>0.25778245627632734</v>
      </c>
      <c r="AE19" s="234">
        <v>970384.70118372561</v>
      </c>
      <c r="AF19" s="101">
        <f t="shared" si="52"/>
        <v>0.12491599848303007</v>
      </c>
      <c r="AG19" s="234">
        <v>1393797.773505375</v>
      </c>
      <c r="AH19" s="101">
        <f t="shared" si="53"/>
        <v>0.179421254630728</v>
      </c>
      <c r="AI19" s="234">
        <v>395930.2011832826</v>
      </c>
      <c r="AJ19" s="101">
        <f t="shared" si="54"/>
        <v>5.0967432143216258E-2</v>
      </c>
      <c r="AK19" s="234">
        <v>506986.29008208471</v>
      </c>
      <c r="AL19" s="101">
        <f t="shared" si="55"/>
        <v>6.5263496596305232E-2</v>
      </c>
    </row>
    <row r="20" spans="2:38" ht="12">
      <c r="B20" s="98"/>
      <c r="C20" s="98"/>
      <c r="D20" s="298">
        <f t="shared" si="19"/>
        <v>46001</v>
      </c>
      <c r="E20" s="298" t="s">
        <v>473</v>
      </c>
      <c r="F20" s="228">
        <f t="shared" si="0"/>
        <v>7532086</v>
      </c>
      <c r="G20" s="296"/>
      <c r="H20" s="324"/>
      <c r="I20" s="234">
        <v>536138.29917965969</v>
      </c>
      <c r="J20" s="101">
        <f t="shared" si="38"/>
        <v>7.1180586517421554E-2</v>
      </c>
      <c r="K20" s="234">
        <v>766120.91381487949</v>
      </c>
      <c r="L20" s="101">
        <f t="shared" si="39"/>
        <v>0.10171430780462139</v>
      </c>
      <c r="M20" s="227">
        <f t="shared" si="40"/>
        <v>1302259.2129945392</v>
      </c>
      <c r="N20" s="101">
        <f t="shared" si="41"/>
        <v>0.17289489432204294</v>
      </c>
      <c r="O20" s="234">
        <v>146173.12352244684</v>
      </c>
      <c r="P20" s="101">
        <f t="shared" si="42"/>
        <v>1.9406725244832154E-2</v>
      </c>
      <c r="Q20" s="234">
        <v>105746.10332712183</v>
      </c>
      <c r="R20" s="101">
        <f t="shared" si="43"/>
        <v>1.4039417941739093E-2</v>
      </c>
      <c r="S20" s="227">
        <f t="shared" si="44"/>
        <v>251919.22684956866</v>
      </c>
      <c r="T20" s="101">
        <f t="shared" si="45"/>
        <v>3.3446143186571242E-2</v>
      </c>
      <c r="U20" s="234">
        <v>862223.38038348011</v>
      </c>
      <c r="V20" s="101">
        <f t="shared" si="46"/>
        <v>0.11447338498039987</v>
      </c>
      <c r="W20" s="234">
        <v>20863.560175522416</v>
      </c>
      <c r="X20" s="101">
        <f t="shared" si="47"/>
        <v>2.7699577747150547E-3</v>
      </c>
      <c r="Y20" s="234">
        <v>551793.85354733979</v>
      </c>
      <c r="Z20" s="101">
        <f t="shared" si="48"/>
        <v>7.3259101601779342E-2</v>
      </c>
      <c r="AA20" s="234">
        <v>1300651.7375135331</v>
      </c>
      <c r="AB20" s="101">
        <f t="shared" si="49"/>
        <v>0.17268147728445121</v>
      </c>
      <c r="AC20" s="227">
        <f t="shared" si="50"/>
        <v>1852445.5910608729</v>
      </c>
      <c r="AD20" s="101">
        <f t="shared" si="51"/>
        <v>0.24594057888623058</v>
      </c>
      <c r="AE20" s="234">
        <v>959595.77798456175</v>
      </c>
      <c r="AF20" s="101">
        <f t="shared" si="52"/>
        <v>0.12740106498844567</v>
      </c>
      <c r="AG20" s="234">
        <v>1360502.214092948</v>
      </c>
      <c r="AH20" s="101">
        <f t="shared" si="53"/>
        <v>0.18062754648485799</v>
      </c>
      <c r="AI20" s="234">
        <v>410674.4026136591</v>
      </c>
      <c r="AJ20" s="101">
        <f t="shared" si="54"/>
        <v>5.4523328944154265E-2</v>
      </c>
      <c r="AK20" s="234">
        <v>511602.63384484779</v>
      </c>
      <c r="AL20" s="101">
        <f t="shared" si="55"/>
        <v>6.7923100432582387E-2</v>
      </c>
    </row>
    <row r="21" spans="2:38" ht="12">
      <c r="B21" s="98"/>
      <c r="C21" s="98"/>
      <c r="D21" s="298">
        <f t="shared" si="19"/>
        <v>46002</v>
      </c>
      <c r="E21" s="298" t="s">
        <v>474</v>
      </c>
      <c r="F21" s="228">
        <f t="shared" si="0"/>
        <v>6664969</v>
      </c>
      <c r="G21" s="296">
        <f>SUM(F21:F27)</f>
        <v>50108332</v>
      </c>
      <c r="H21" s="324"/>
      <c r="I21" s="234">
        <v>514732.93145775172</v>
      </c>
      <c r="J21" s="101">
        <f t="shared" si="38"/>
        <v>7.7229606237891241E-2</v>
      </c>
      <c r="K21" s="234">
        <v>727368.03764332132</v>
      </c>
      <c r="L21" s="101">
        <f t="shared" si="39"/>
        <v>0.10913299636402229</v>
      </c>
      <c r="M21" s="227">
        <f t="shared" si="40"/>
        <v>1242100.969101073</v>
      </c>
      <c r="N21" s="101">
        <f t="shared" si="41"/>
        <v>0.18636260260191354</v>
      </c>
      <c r="O21" s="234">
        <v>141947.32052559464</v>
      </c>
      <c r="P21" s="101">
        <f t="shared" si="42"/>
        <v>2.1297521492687307E-2</v>
      </c>
      <c r="Q21" s="234">
        <v>104200.75796944562</v>
      </c>
      <c r="R21" s="101">
        <f t="shared" si="43"/>
        <v>1.5634094917687632E-2</v>
      </c>
      <c r="S21" s="227">
        <f t="shared" si="44"/>
        <v>246148.07849504024</v>
      </c>
      <c r="T21" s="101">
        <f t="shared" si="45"/>
        <v>3.6931616410374936E-2</v>
      </c>
      <c r="U21" s="234">
        <v>725958.68330640241</v>
      </c>
      <c r="V21" s="101">
        <f t="shared" si="46"/>
        <v>0.1089215393659599</v>
      </c>
      <c r="W21" s="234">
        <v>0</v>
      </c>
      <c r="X21" s="101">
        <f t="shared" si="47"/>
        <v>0</v>
      </c>
      <c r="Y21" s="234">
        <v>512285.6505303515</v>
      </c>
      <c r="Z21" s="101">
        <f t="shared" si="48"/>
        <v>7.6862420594957237E-2</v>
      </c>
      <c r="AA21" s="234">
        <v>1099126.2309548864</v>
      </c>
      <c r="AB21" s="101">
        <f t="shared" si="49"/>
        <v>0.16491092921135664</v>
      </c>
      <c r="AC21" s="227">
        <f t="shared" si="50"/>
        <v>1611411.881485238</v>
      </c>
      <c r="AD21" s="101">
        <f t="shared" si="51"/>
        <v>0.24177334980631388</v>
      </c>
      <c r="AE21" s="234">
        <v>884609.08899602888</v>
      </c>
      <c r="AF21" s="101">
        <f t="shared" si="52"/>
        <v>0.13272516181185973</v>
      </c>
      <c r="AG21" s="234">
        <v>1109856.197507492</v>
      </c>
      <c r="AH21" s="101">
        <f t="shared" si="53"/>
        <v>0.16652083415654176</v>
      </c>
      <c r="AI21" s="234">
        <v>364711.04239806737</v>
      </c>
      <c r="AJ21" s="101">
        <f t="shared" si="54"/>
        <v>5.4720590958197611E-2</v>
      </c>
      <c r="AK21" s="234">
        <v>480173.05871065805</v>
      </c>
      <c r="AL21" s="101">
        <f t="shared" si="55"/>
        <v>7.2044304888838645E-2</v>
      </c>
    </row>
    <row r="22" spans="2:38" ht="12">
      <c r="B22" s="98"/>
      <c r="C22" s="98"/>
      <c r="D22" s="298">
        <f t="shared" si="19"/>
        <v>46003</v>
      </c>
      <c r="E22" s="298" t="s">
        <v>475</v>
      </c>
      <c r="F22" s="228">
        <f t="shared" si="0"/>
        <v>6216944.0000000019</v>
      </c>
      <c r="G22" s="296"/>
      <c r="H22" s="324"/>
      <c r="I22" s="234">
        <v>446424.73231526179</v>
      </c>
      <c r="J22" s="101">
        <f t="shared" si="38"/>
        <v>7.1807745463890557E-2</v>
      </c>
      <c r="K22" s="234">
        <v>699227.18063664855</v>
      </c>
      <c r="L22" s="101">
        <f t="shared" si="39"/>
        <v>0.11247120460416699</v>
      </c>
      <c r="M22" s="227">
        <f t="shared" si="40"/>
        <v>1145651.9129519104</v>
      </c>
      <c r="N22" s="101">
        <f t="shared" si="41"/>
        <v>0.18427895006805756</v>
      </c>
      <c r="O22" s="234">
        <v>111539.58296576214</v>
      </c>
      <c r="P22" s="101">
        <f t="shared" si="42"/>
        <v>1.794122368896392E-2</v>
      </c>
      <c r="Q22" s="234">
        <v>85058.614180899327</v>
      </c>
      <c r="R22" s="101">
        <f t="shared" si="43"/>
        <v>1.3681740446897914E-2</v>
      </c>
      <c r="S22" s="227">
        <f t="shared" si="44"/>
        <v>196598.19714666146</v>
      </c>
      <c r="T22" s="101">
        <f t="shared" si="45"/>
        <v>3.1622964135861832E-2</v>
      </c>
      <c r="U22" s="234">
        <v>600760.93650571932</v>
      </c>
      <c r="V22" s="101">
        <f t="shared" si="46"/>
        <v>9.663283705076306E-2</v>
      </c>
      <c r="W22" s="234">
        <v>0</v>
      </c>
      <c r="X22" s="101">
        <f t="shared" si="47"/>
        <v>0</v>
      </c>
      <c r="Y22" s="234">
        <v>477086.99807036563</v>
      </c>
      <c r="Z22" s="101">
        <f t="shared" si="48"/>
        <v>7.6739793388900635E-2</v>
      </c>
      <c r="AA22" s="234">
        <v>1109474.5414693039</v>
      </c>
      <c r="AB22" s="101">
        <f t="shared" si="49"/>
        <v>0.17845979334369161</v>
      </c>
      <c r="AC22" s="227">
        <f t="shared" si="50"/>
        <v>1586561.5395396696</v>
      </c>
      <c r="AD22" s="101">
        <f t="shared" si="51"/>
        <v>0.2551995867325923</v>
      </c>
      <c r="AE22" s="234">
        <v>817812.44072580594</v>
      </c>
      <c r="AF22" s="101">
        <f t="shared" si="52"/>
        <v>0.13154573062356772</v>
      </c>
      <c r="AG22" s="234">
        <v>965735.84934594168</v>
      </c>
      <c r="AH22" s="101">
        <f t="shared" si="53"/>
        <v>0.1553393193417765</v>
      </c>
      <c r="AI22" s="234">
        <v>503462.25271226547</v>
      </c>
      <c r="AJ22" s="101">
        <f t="shared" si="54"/>
        <v>8.0982272433572713E-2</v>
      </c>
      <c r="AK22" s="234">
        <v>400360.87107202702</v>
      </c>
      <c r="AL22" s="101">
        <f t="shared" si="55"/>
        <v>6.4398339613808156E-2</v>
      </c>
    </row>
    <row r="23" spans="2:38" ht="12">
      <c r="B23" s="98"/>
      <c r="C23" s="98"/>
      <c r="D23" s="298">
        <f t="shared" si="19"/>
        <v>46004</v>
      </c>
      <c r="E23" s="298" t="s">
        <v>476</v>
      </c>
      <c r="F23" s="228">
        <f t="shared" si="0"/>
        <v>6402844.0000000009</v>
      </c>
      <c r="G23" s="296"/>
      <c r="H23" s="324"/>
      <c r="I23" s="234">
        <v>433804.87837724597</v>
      </c>
      <c r="J23" s="101">
        <f t="shared" si="38"/>
        <v>6.7751904993663112E-2</v>
      </c>
      <c r="K23" s="234">
        <v>744226.57521425735</v>
      </c>
      <c r="L23" s="101">
        <f t="shared" si="39"/>
        <v>0.11623375100412524</v>
      </c>
      <c r="M23" s="227">
        <f t="shared" si="40"/>
        <v>1178031.4535915032</v>
      </c>
      <c r="N23" s="101">
        <f t="shared" si="41"/>
        <v>0.18398565599778832</v>
      </c>
      <c r="O23" s="234">
        <v>101835.65491899976</v>
      </c>
      <c r="P23" s="101">
        <f t="shared" si="42"/>
        <v>1.5904753406298787E-2</v>
      </c>
      <c r="Q23" s="234">
        <v>79352.261349777793</v>
      </c>
      <c r="R23" s="101">
        <f t="shared" si="43"/>
        <v>1.2393283570516131E-2</v>
      </c>
      <c r="S23" s="227">
        <f t="shared" si="44"/>
        <v>181187.91626877757</v>
      </c>
      <c r="T23" s="101">
        <f t="shared" si="45"/>
        <v>2.8298036976814919E-2</v>
      </c>
      <c r="U23" s="234">
        <v>665423.59376261395</v>
      </c>
      <c r="V23" s="101">
        <f t="shared" si="46"/>
        <v>0.10392625429615555</v>
      </c>
      <c r="W23" s="234">
        <v>0</v>
      </c>
      <c r="X23" s="101">
        <f t="shared" si="47"/>
        <v>0</v>
      </c>
      <c r="Y23" s="234">
        <v>507445.3428176688</v>
      </c>
      <c r="Z23" s="101">
        <f t="shared" si="48"/>
        <v>7.9253116711522062E-2</v>
      </c>
      <c r="AA23" s="234">
        <v>1163164.9845497343</v>
      </c>
      <c r="AB23" s="101">
        <f t="shared" si="49"/>
        <v>0.18166380198388937</v>
      </c>
      <c r="AC23" s="227">
        <f t="shared" si="50"/>
        <v>1670610.3273674031</v>
      </c>
      <c r="AD23" s="101">
        <f t="shared" si="51"/>
        <v>0.26091691869541139</v>
      </c>
      <c r="AE23" s="234">
        <v>889034.08914255537</v>
      </c>
      <c r="AF23" s="101">
        <f t="shared" si="52"/>
        <v>0.13884987501531432</v>
      </c>
      <c r="AG23" s="234">
        <v>948183.88406879734</v>
      </c>
      <c r="AH23" s="101">
        <f t="shared" si="53"/>
        <v>0.14808792531393819</v>
      </c>
      <c r="AI23" s="234">
        <v>435958.2861670914</v>
      </c>
      <c r="AJ23" s="101">
        <f t="shared" si="54"/>
        <v>6.8088225508397729E-2</v>
      </c>
      <c r="AK23" s="234">
        <v>434414.44963125844</v>
      </c>
      <c r="AL23" s="101">
        <f t="shared" si="55"/>
        <v>6.7847108196179437E-2</v>
      </c>
    </row>
    <row r="24" spans="2:38" ht="12">
      <c r="B24" s="98"/>
      <c r="C24" s="98"/>
      <c r="D24" s="298">
        <f t="shared" si="19"/>
        <v>46005</v>
      </c>
      <c r="E24" s="298" t="s">
        <v>477</v>
      </c>
      <c r="F24" s="228">
        <f t="shared" si="0"/>
        <v>7638376</v>
      </c>
      <c r="G24" s="296"/>
      <c r="H24" s="324"/>
      <c r="I24" s="234">
        <v>557263.31718696025</v>
      </c>
      <c r="J24" s="101">
        <f t="shared" si="38"/>
        <v>7.295573263046494E-2</v>
      </c>
      <c r="K24" s="234">
        <v>783007.61384036113</v>
      </c>
      <c r="L24" s="101">
        <f t="shared" si="39"/>
        <v>0.10250969759021566</v>
      </c>
      <c r="M24" s="227">
        <f t="shared" si="40"/>
        <v>1340270.9310273214</v>
      </c>
      <c r="N24" s="101">
        <f t="shared" si="41"/>
        <v>0.17546543022068059</v>
      </c>
      <c r="O24" s="234">
        <v>137204.89612369705</v>
      </c>
      <c r="P24" s="101">
        <f t="shared" si="42"/>
        <v>1.7962574259724456E-2</v>
      </c>
      <c r="Q24" s="234">
        <v>94281.232182743508</v>
      </c>
      <c r="R24" s="101">
        <f t="shared" si="43"/>
        <v>1.2343099132949661E-2</v>
      </c>
      <c r="S24" s="227">
        <f t="shared" si="44"/>
        <v>231486.12830644054</v>
      </c>
      <c r="T24" s="101">
        <f t="shared" si="45"/>
        <v>3.0305673392674117E-2</v>
      </c>
      <c r="U24" s="234">
        <v>878229.20654211252</v>
      </c>
      <c r="V24" s="101">
        <f t="shared" si="46"/>
        <v>0.11497590672966512</v>
      </c>
      <c r="W24" s="234">
        <v>0</v>
      </c>
      <c r="X24" s="101">
        <f t="shared" si="47"/>
        <v>0</v>
      </c>
      <c r="Y24" s="234">
        <v>566410.88956928567</v>
      </c>
      <c r="Z24" s="101">
        <f t="shared" si="48"/>
        <v>7.4153313422812089E-2</v>
      </c>
      <c r="AA24" s="234">
        <v>1300557.5841616185</v>
      </c>
      <c r="AB24" s="101">
        <f t="shared" si="49"/>
        <v>0.17026624300265114</v>
      </c>
      <c r="AC24" s="227">
        <f t="shared" si="50"/>
        <v>1866968.4737309041</v>
      </c>
      <c r="AD24" s="101">
        <f t="shared" si="51"/>
        <v>0.24441955642546323</v>
      </c>
      <c r="AE24" s="234">
        <v>1065731.9519105612</v>
      </c>
      <c r="AF24" s="101">
        <f t="shared" si="52"/>
        <v>0.13952336883004465</v>
      </c>
      <c r="AG24" s="234">
        <v>1197865.6460598661</v>
      </c>
      <c r="AH24" s="101">
        <f t="shared" si="53"/>
        <v>0.15682203207329229</v>
      </c>
      <c r="AI24" s="234">
        <v>567724.17416317051</v>
      </c>
      <c r="AJ24" s="101">
        <f t="shared" si="54"/>
        <v>7.4325245858958833E-2</v>
      </c>
      <c r="AK24" s="234">
        <v>490099.4882596237</v>
      </c>
      <c r="AL24" s="101">
        <f t="shared" si="55"/>
        <v>6.4162786469221161E-2</v>
      </c>
    </row>
    <row r="25" spans="2:38" ht="12">
      <c r="B25" s="98"/>
      <c r="C25" s="98"/>
      <c r="D25" s="298">
        <f t="shared" si="19"/>
        <v>46006</v>
      </c>
      <c r="E25" s="298" t="s">
        <v>471</v>
      </c>
      <c r="F25" s="228">
        <f t="shared" si="0"/>
        <v>7520294</v>
      </c>
      <c r="G25" s="296"/>
      <c r="H25" s="324"/>
      <c r="I25" s="234">
        <v>546271.885914949</v>
      </c>
      <c r="J25" s="101">
        <f t="shared" si="38"/>
        <v>7.2639698117513626E-2</v>
      </c>
      <c r="K25" s="234">
        <v>771360.38642115728</v>
      </c>
      <c r="L25" s="101">
        <f t="shared" si="39"/>
        <v>0.10257050940045127</v>
      </c>
      <c r="M25" s="227">
        <f t="shared" si="40"/>
        <v>1317632.2723361063</v>
      </c>
      <c r="N25" s="101">
        <f t="shared" si="41"/>
        <v>0.1752102075179649</v>
      </c>
      <c r="O25" s="234">
        <v>130926.20916542762</v>
      </c>
      <c r="P25" s="101">
        <f t="shared" si="42"/>
        <v>1.7409719509028185E-2</v>
      </c>
      <c r="Q25" s="234">
        <v>96616.122838918032</v>
      </c>
      <c r="R25" s="101">
        <f t="shared" si="43"/>
        <v>1.2847386397249633E-2</v>
      </c>
      <c r="S25" s="227">
        <f t="shared" si="44"/>
        <v>227542.33200434566</v>
      </c>
      <c r="T25" s="101">
        <f t="shared" si="45"/>
        <v>3.0257105906277823E-2</v>
      </c>
      <c r="U25" s="234">
        <v>787779.97558289976</v>
      </c>
      <c r="V25" s="101">
        <f t="shared" si="46"/>
        <v>0.10475388004550085</v>
      </c>
      <c r="W25" s="234">
        <v>0</v>
      </c>
      <c r="X25" s="101">
        <f t="shared" si="47"/>
        <v>0</v>
      </c>
      <c r="Y25" s="234">
        <v>578974.5465978526</v>
      </c>
      <c r="Z25" s="101">
        <f t="shared" si="48"/>
        <v>7.6988286175760229E-2</v>
      </c>
      <c r="AA25" s="234">
        <v>1308936.9529677709</v>
      </c>
      <c r="AB25" s="101">
        <f t="shared" si="49"/>
        <v>0.1740539602531192</v>
      </c>
      <c r="AC25" s="227">
        <f t="shared" si="50"/>
        <v>1887911.4995656235</v>
      </c>
      <c r="AD25" s="101">
        <f t="shared" si="51"/>
        <v>0.25104224642887946</v>
      </c>
      <c r="AE25" s="234">
        <v>1031720.9358070514</v>
      </c>
      <c r="AF25" s="101">
        <f t="shared" si="52"/>
        <v>0.13719156934649782</v>
      </c>
      <c r="AG25" s="234">
        <v>1124027.7055416896</v>
      </c>
      <c r="AH25" s="101">
        <f t="shared" si="53"/>
        <v>0.1494659258722717</v>
      </c>
      <c r="AI25" s="234">
        <v>633550.95395744406</v>
      </c>
      <c r="AJ25" s="101">
        <f t="shared" si="54"/>
        <v>8.4245503428116514E-2</v>
      </c>
      <c r="AK25" s="234">
        <v>510128.32520484022</v>
      </c>
      <c r="AL25" s="101">
        <f t="shared" si="55"/>
        <v>6.7833561454491043E-2</v>
      </c>
    </row>
    <row r="26" spans="2:38" ht="12">
      <c r="B26" s="98"/>
      <c r="C26" s="98"/>
      <c r="D26" s="86">
        <f t="shared" si="19"/>
        <v>46007</v>
      </c>
      <c r="E26" s="86" t="s">
        <v>472</v>
      </c>
      <c r="F26" s="228">
        <f t="shared" si="0"/>
        <v>8052028</v>
      </c>
      <c r="G26" s="296"/>
      <c r="H26" s="324"/>
      <c r="I26" s="234">
        <v>525147.40936061973</v>
      </c>
      <c r="J26" s="101">
        <f t="shared" si="38"/>
        <v>6.5219272630524849E-2</v>
      </c>
      <c r="K26" s="234">
        <v>820752.5838817131</v>
      </c>
      <c r="L26" s="101">
        <f t="shared" si="39"/>
        <v>0.10193116366233614</v>
      </c>
      <c r="M26" s="227">
        <f t="shared" si="40"/>
        <v>1345899.9932423327</v>
      </c>
      <c r="N26" s="101">
        <f t="shared" si="41"/>
        <v>0.16715043629286097</v>
      </c>
      <c r="O26" s="234">
        <v>123993.37947537562</v>
      </c>
      <c r="P26" s="101">
        <f t="shared" si="42"/>
        <v>1.5399024876139977E-2</v>
      </c>
      <c r="Q26" s="234">
        <v>93289.863242147039</v>
      </c>
      <c r="R26" s="101">
        <f t="shared" si="43"/>
        <v>1.1585884107972183E-2</v>
      </c>
      <c r="S26" s="227">
        <f t="shared" si="44"/>
        <v>217283.24271752266</v>
      </c>
      <c r="T26" s="101">
        <f t="shared" si="45"/>
        <v>2.6984908984112158E-2</v>
      </c>
      <c r="U26" s="234">
        <v>1325852.5934985154</v>
      </c>
      <c r="V26" s="101">
        <f t="shared" si="46"/>
        <v>0.1646607033033809</v>
      </c>
      <c r="W26" s="234">
        <v>0</v>
      </c>
      <c r="X26" s="101">
        <f t="shared" si="47"/>
        <v>0</v>
      </c>
      <c r="Y26" s="234">
        <v>551723.46906796878</v>
      </c>
      <c r="Z26" s="101">
        <f t="shared" si="48"/>
        <v>6.8519815016536048E-2</v>
      </c>
      <c r="AA26" s="234">
        <v>1288839.597622171</v>
      </c>
      <c r="AB26" s="101">
        <f t="shared" si="49"/>
        <v>0.16006397365013772</v>
      </c>
      <c r="AC26" s="227">
        <f t="shared" si="50"/>
        <v>1840563.0666901399</v>
      </c>
      <c r="AD26" s="101">
        <f t="shared" si="51"/>
        <v>0.22858378866667378</v>
      </c>
      <c r="AE26" s="234">
        <v>982638.66844080982</v>
      </c>
      <c r="AF26" s="101">
        <f t="shared" si="52"/>
        <v>0.12203617131495442</v>
      </c>
      <c r="AG26" s="234">
        <v>814453.7909030139</v>
      </c>
      <c r="AH26" s="101">
        <f t="shared" si="53"/>
        <v>0.10114890197885724</v>
      </c>
      <c r="AI26" s="234">
        <v>574360.63734233624</v>
      </c>
      <c r="AJ26" s="101">
        <f t="shared" si="54"/>
        <v>7.13311773558582E-2</v>
      </c>
      <c r="AK26" s="234">
        <v>950976.00716532988</v>
      </c>
      <c r="AL26" s="101">
        <f t="shared" si="55"/>
        <v>0.11810391210330241</v>
      </c>
    </row>
    <row r="27" spans="2:38" ht="12">
      <c r="B27" s="98"/>
      <c r="C27" s="98"/>
      <c r="D27" s="86">
        <f t="shared" si="19"/>
        <v>46008</v>
      </c>
      <c r="E27" s="86" t="s">
        <v>473</v>
      </c>
      <c r="F27" s="228">
        <f t="shared" si="0"/>
        <v>7612877</v>
      </c>
      <c r="G27" s="296"/>
      <c r="H27" s="324"/>
      <c r="I27" s="234">
        <v>521102.0495776881</v>
      </c>
      <c r="J27" s="101">
        <f t="shared" si="38"/>
        <v>6.8450081300103507E-2</v>
      </c>
      <c r="K27" s="234">
        <v>799328.78210984892</v>
      </c>
      <c r="L27" s="101">
        <f t="shared" si="39"/>
        <v>0.10499693901659635</v>
      </c>
      <c r="M27" s="227">
        <f t="shared" si="40"/>
        <v>1320430.831687537</v>
      </c>
      <c r="N27" s="101">
        <f t="shared" si="41"/>
        <v>0.17344702031669984</v>
      </c>
      <c r="O27" s="234">
        <v>129448.74746457438</v>
      </c>
      <c r="P27" s="101">
        <f t="shared" si="42"/>
        <v>1.7003919472831936E-2</v>
      </c>
      <c r="Q27" s="234">
        <v>94591.238959442839</v>
      </c>
      <c r="R27" s="101">
        <f t="shared" si="43"/>
        <v>1.242516317542538E-2</v>
      </c>
      <c r="S27" s="227">
        <f t="shared" si="44"/>
        <v>224039.98642401723</v>
      </c>
      <c r="T27" s="101">
        <f t="shared" si="45"/>
        <v>2.9429082648257318E-2</v>
      </c>
      <c r="U27" s="234">
        <v>1244521.4098896577</v>
      </c>
      <c r="V27" s="101">
        <f t="shared" si="46"/>
        <v>0.16347583310352418</v>
      </c>
      <c r="W27" s="234">
        <v>0</v>
      </c>
      <c r="X27" s="101">
        <f t="shared" si="47"/>
        <v>0</v>
      </c>
      <c r="Y27" s="234">
        <v>540832.0689300861</v>
      </c>
      <c r="Z27" s="101">
        <f t="shared" si="48"/>
        <v>7.1041745312591553E-2</v>
      </c>
      <c r="AA27" s="234">
        <v>1207800.714081431</v>
      </c>
      <c r="AB27" s="101">
        <f t="shared" si="49"/>
        <v>0.15865233525793612</v>
      </c>
      <c r="AC27" s="227">
        <f t="shared" si="50"/>
        <v>1748632.783011517</v>
      </c>
      <c r="AD27" s="101">
        <f t="shared" si="51"/>
        <v>0.22969408057052768</v>
      </c>
      <c r="AE27" s="234">
        <v>936303.12365080696</v>
      </c>
      <c r="AF27" s="101">
        <f t="shared" si="52"/>
        <v>0.12298939332013469</v>
      </c>
      <c r="AG27" s="234">
        <v>802956.36355993431</v>
      </c>
      <c r="AH27" s="101">
        <f t="shared" si="53"/>
        <v>0.10547344500113877</v>
      </c>
      <c r="AI27" s="234">
        <v>560274.54348394123</v>
      </c>
      <c r="AJ27" s="101">
        <f t="shared" si="54"/>
        <v>7.3595638479899417E-2</v>
      </c>
      <c r="AK27" s="234">
        <v>775717.95829258871</v>
      </c>
      <c r="AL27" s="101">
        <f t="shared" si="55"/>
        <v>0.10189550655981815</v>
      </c>
    </row>
    <row r="28" spans="2:38" ht="12">
      <c r="B28" s="98"/>
      <c r="C28" s="98"/>
      <c r="D28" s="86">
        <f t="shared" si="19"/>
        <v>46009</v>
      </c>
      <c r="E28" s="86" t="s">
        <v>474</v>
      </c>
      <c r="F28" s="228">
        <f t="shared" si="0"/>
        <v>7258886.0000000009</v>
      </c>
      <c r="G28" s="296">
        <f>SUM(F28:F34)</f>
        <v>51085132</v>
      </c>
      <c r="H28" s="324"/>
      <c r="I28" s="234">
        <v>495054.44459340314</v>
      </c>
      <c r="J28" s="101">
        <f t="shared" si="38"/>
        <v>6.8199782252180721E-2</v>
      </c>
      <c r="K28" s="234">
        <v>752543.8033261582</v>
      </c>
      <c r="L28" s="101">
        <f t="shared" si="39"/>
        <v>0.10367207906642398</v>
      </c>
      <c r="M28" s="227">
        <f t="shared" si="40"/>
        <v>1247598.2479195613</v>
      </c>
      <c r="N28" s="101">
        <f t="shared" si="41"/>
        <v>0.17187186131860469</v>
      </c>
      <c r="O28" s="234">
        <v>127724.62244678132</v>
      </c>
      <c r="P28" s="101">
        <f t="shared" si="42"/>
        <v>1.759562313649523E-2</v>
      </c>
      <c r="Q28" s="234">
        <v>95850.482959420333</v>
      </c>
      <c r="R28" s="101">
        <f t="shared" si="43"/>
        <v>1.3204572018271167E-2</v>
      </c>
      <c r="S28" s="227">
        <f t="shared" si="44"/>
        <v>223575.10540620165</v>
      </c>
      <c r="T28" s="101">
        <f t="shared" si="45"/>
        <v>3.0800195154766397E-2</v>
      </c>
      <c r="U28" s="234">
        <v>1182416.6917916879</v>
      </c>
      <c r="V28" s="101">
        <f t="shared" si="46"/>
        <v>0.16289230768904314</v>
      </c>
      <c r="W28" s="234">
        <v>0</v>
      </c>
      <c r="X28" s="101">
        <f t="shared" si="47"/>
        <v>0</v>
      </c>
      <c r="Y28" s="234">
        <v>522726.8697134527</v>
      </c>
      <c r="Z28" s="101">
        <f t="shared" si="48"/>
        <v>7.2011996016117713E-2</v>
      </c>
      <c r="AA28" s="234">
        <v>1082526.6853159172</v>
      </c>
      <c r="AB28" s="101">
        <f t="shared" si="49"/>
        <v>0.14913124208258913</v>
      </c>
      <c r="AC28" s="227">
        <f t="shared" si="50"/>
        <v>1605253.5550293699</v>
      </c>
      <c r="AD28" s="101">
        <f t="shared" si="51"/>
        <v>0.22114323809870684</v>
      </c>
      <c r="AE28" s="234">
        <v>863902.46534825978</v>
      </c>
      <c r="AF28" s="101">
        <f t="shared" si="52"/>
        <v>0.11901309172623177</v>
      </c>
      <c r="AG28" s="234">
        <v>850615.86426487449</v>
      </c>
      <c r="AH28" s="101">
        <f t="shared" si="53"/>
        <v>0.11718270052248711</v>
      </c>
      <c r="AI28" s="234">
        <v>544313.08201845619</v>
      </c>
      <c r="AJ28" s="101">
        <f t="shared" si="54"/>
        <v>7.4985759800946877E-2</v>
      </c>
      <c r="AK28" s="234">
        <v>741210.98822158948</v>
      </c>
      <c r="AL28" s="101">
        <f t="shared" si="55"/>
        <v>0.10211084568921311</v>
      </c>
    </row>
    <row r="29" spans="2:38" ht="12">
      <c r="B29" s="98"/>
      <c r="C29" s="98"/>
      <c r="D29" s="86">
        <f t="shared" si="19"/>
        <v>46010</v>
      </c>
      <c r="E29" s="86" t="s">
        <v>475</v>
      </c>
      <c r="F29" s="228">
        <f t="shared" si="0"/>
        <v>6600496.9999999991</v>
      </c>
      <c r="G29" s="296"/>
      <c r="H29" s="324"/>
      <c r="I29" s="234">
        <v>440324.24861022551</v>
      </c>
      <c r="J29" s="101">
        <f t="shared" si="38"/>
        <v>6.6710771720709147E-2</v>
      </c>
      <c r="K29" s="234">
        <v>728731.37511546561</v>
      </c>
      <c r="L29" s="101">
        <f t="shared" si="39"/>
        <v>0.11040553084342977</v>
      </c>
      <c r="M29" s="227">
        <f t="shared" si="40"/>
        <v>1169055.6237256911</v>
      </c>
      <c r="N29" s="101">
        <f t="shared" si="41"/>
        <v>0.17711630256413893</v>
      </c>
      <c r="O29" s="234">
        <v>101584.25721553115</v>
      </c>
      <c r="P29" s="101">
        <f t="shared" si="42"/>
        <v>1.5390395180170701E-2</v>
      </c>
      <c r="Q29" s="234">
        <v>82371.029180389669</v>
      </c>
      <c r="R29" s="101">
        <f t="shared" si="43"/>
        <v>1.2479519221111634E-2</v>
      </c>
      <c r="S29" s="227">
        <f t="shared" si="44"/>
        <v>183955.28639592082</v>
      </c>
      <c r="T29" s="101">
        <f t="shared" si="45"/>
        <v>2.7869914401282333E-2</v>
      </c>
      <c r="U29" s="234">
        <v>1108455.1359784328</v>
      </c>
      <c r="V29" s="101">
        <f t="shared" si="46"/>
        <v>0.16793510185345634</v>
      </c>
      <c r="W29" s="234">
        <v>0</v>
      </c>
      <c r="X29" s="101">
        <f t="shared" si="47"/>
        <v>0</v>
      </c>
      <c r="Y29" s="234">
        <v>478758.96235625655</v>
      </c>
      <c r="Z29" s="101">
        <f t="shared" si="48"/>
        <v>7.2533774707610146E-2</v>
      </c>
      <c r="AA29" s="234">
        <v>1132886.7232339298</v>
      </c>
      <c r="AB29" s="101">
        <f t="shared" si="49"/>
        <v>0.17163657876580052</v>
      </c>
      <c r="AC29" s="227">
        <f t="shared" si="50"/>
        <v>1611645.6855901864</v>
      </c>
      <c r="AD29" s="101">
        <f t="shared" si="51"/>
        <v>0.24417035347341065</v>
      </c>
      <c r="AE29" s="234">
        <v>766636.20317812474</v>
      </c>
      <c r="AF29" s="101">
        <f t="shared" si="52"/>
        <v>0.11614825416603096</v>
      </c>
      <c r="AG29" s="234">
        <v>699334.18521999917</v>
      </c>
      <c r="AH29" s="101">
        <f t="shared" si="53"/>
        <v>0.10595174654575243</v>
      </c>
      <c r="AI29" s="234">
        <v>514438.96286435134</v>
      </c>
      <c r="AJ29" s="101">
        <f t="shared" si="54"/>
        <v>7.7939428328556382E-2</v>
      </c>
      <c r="AK29" s="234">
        <v>546975.91704729293</v>
      </c>
      <c r="AL29" s="101">
        <f t="shared" si="55"/>
        <v>8.2868898667372015E-2</v>
      </c>
    </row>
    <row r="30" spans="2:38" ht="12">
      <c r="B30" s="98"/>
      <c r="C30" s="98"/>
      <c r="D30" s="86">
        <f t="shared" si="19"/>
        <v>46011</v>
      </c>
      <c r="E30" s="86" t="s">
        <v>476</v>
      </c>
      <c r="F30" s="228">
        <f t="shared" si="0"/>
        <v>6936693.0000000019</v>
      </c>
      <c r="G30" s="296"/>
      <c r="H30" s="324"/>
      <c r="I30" s="234">
        <v>423837.22210556595</v>
      </c>
      <c r="J30" s="101">
        <f t="shared" si="38"/>
        <v>6.1100761141593816E-2</v>
      </c>
      <c r="K30" s="234">
        <v>762852.99898180994</v>
      </c>
      <c r="L30" s="101">
        <f t="shared" si="39"/>
        <v>0.10997358524902424</v>
      </c>
      <c r="M30" s="227">
        <f t="shared" si="40"/>
        <v>1186690.2210873759</v>
      </c>
      <c r="N30" s="101">
        <f t="shared" si="41"/>
        <v>0.17107434639061805</v>
      </c>
      <c r="O30" s="234">
        <v>99414.909972333247</v>
      </c>
      <c r="P30" s="101">
        <f t="shared" si="42"/>
        <v>1.4331744243594638E-2</v>
      </c>
      <c r="Q30" s="234">
        <v>76977.586769148213</v>
      </c>
      <c r="R30" s="101">
        <f t="shared" si="43"/>
        <v>1.109715923267012E-2</v>
      </c>
      <c r="S30" s="227">
        <f t="shared" si="44"/>
        <v>176392.49674148147</v>
      </c>
      <c r="T30" s="101">
        <f t="shared" si="45"/>
        <v>2.5428903476264759E-2</v>
      </c>
      <c r="U30" s="234">
        <v>1161864.9671557408</v>
      </c>
      <c r="V30" s="101">
        <f t="shared" si="46"/>
        <v>0.16749551510435023</v>
      </c>
      <c r="W30" s="234">
        <v>0</v>
      </c>
      <c r="X30" s="101">
        <f t="shared" si="47"/>
        <v>0</v>
      </c>
      <c r="Y30" s="234">
        <v>478170.38117049413</v>
      </c>
      <c r="Z30" s="101">
        <f t="shared" si="48"/>
        <v>6.8933478989266786E-2</v>
      </c>
      <c r="AA30" s="234">
        <v>1174235.6348920125</v>
      </c>
      <c r="AB30" s="101">
        <f t="shared" si="49"/>
        <v>0.16927888186662032</v>
      </c>
      <c r="AC30" s="227">
        <f t="shared" si="50"/>
        <v>1652406.0160625065</v>
      </c>
      <c r="AD30" s="101">
        <f t="shared" si="51"/>
        <v>0.2382123608558871</v>
      </c>
      <c r="AE30" s="234">
        <v>863997.80184829223</v>
      </c>
      <c r="AF30" s="101">
        <f t="shared" si="52"/>
        <v>0.12455471243260903</v>
      </c>
      <c r="AG30" s="234">
        <v>727278.97252339381</v>
      </c>
      <c r="AH30" s="101">
        <f t="shared" si="53"/>
        <v>0.10484520109559319</v>
      </c>
      <c r="AI30" s="234">
        <v>585090.35982902441</v>
      </c>
      <c r="AJ30" s="101">
        <f t="shared" si="54"/>
        <v>8.4347160791031731E-2</v>
      </c>
      <c r="AK30" s="234">
        <v>582972.16475218581</v>
      </c>
      <c r="AL30" s="101">
        <f t="shared" si="55"/>
        <v>8.4041799853645766E-2</v>
      </c>
    </row>
    <row r="31" spans="2:38" ht="12">
      <c r="B31" s="98"/>
      <c r="C31" s="98"/>
      <c r="D31" s="86">
        <f t="shared" si="19"/>
        <v>46012</v>
      </c>
      <c r="E31" s="86" t="s">
        <v>477</v>
      </c>
      <c r="F31" s="228">
        <f t="shared" si="0"/>
        <v>8044891.0000000009</v>
      </c>
      <c r="G31" s="296"/>
      <c r="H31" s="324"/>
      <c r="I31" s="234">
        <v>539900.11265355023</v>
      </c>
      <c r="J31" s="101">
        <f t="shared" si="38"/>
        <v>6.7110929489728341E-2</v>
      </c>
      <c r="K31" s="234">
        <v>810076.60629836726</v>
      </c>
      <c r="L31" s="101">
        <f t="shared" si="39"/>
        <v>0.10069454095753033</v>
      </c>
      <c r="M31" s="227">
        <f t="shared" si="40"/>
        <v>1349976.7189519175</v>
      </c>
      <c r="N31" s="101">
        <f t="shared" si="41"/>
        <v>0.16780547044725869</v>
      </c>
      <c r="O31" s="234">
        <v>129234.62716061385</v>
      </c>
      <c r="P31" s="101">
        <f t="shared" si="42"/>
        <v>1.6064186222114609E-2</v>
      </c>
      <c r="Q31" s="234">
        <v>90333.202744908893</v>
      </c>
      <c r="R31" s="101">
        <f t="shared" si="43"/>
        <v>1.1228642220871467E-2</v>
      </c>
      <c r="S31" s="227">
        <f t="shared" si="44"/>
        <v>219567.82990552275</v>
      </c>
      <c r="T31" s="101">
        <f t="shared" si="45"/>
        <v>2.729282844298608E-2</v>
      </c>
      <c r="U31" s="234">
        <v>1399381.3698146262</v>
      </c>
      <c r="V31" s="101">
        <f t="shared" si="46"/>
        <v>0.17394659167099044</v>
      </c>
      <c r="W31" s="234">
        <v>0</v>
      </c>
      <c r="X31" s="101">
        <f t="shared" si="47"/>
        <v>0</v>
      </c>
      <c r="Y31" s="234">
        <v>542589.3331656009</v>
      </c>
      <c r="Z31" s="101">
        <f t="shared" si="48"/>
        <v>6.744520630119176E-2</v>
      </c>
      <c r="AA31" s="234">
        <v>1265397.5337824954</v>
      </c>
      <c r="AB31" s="101">
        <f t="shared" si="49"/>
        <v>0.15729206695062684</v>
      </c>
      <c r="AC31" s="227">
        <f t="shared" si="50"/>
        <v>1807986.8669480963</v>
      </c>
      <c r="AD31" s="101">
        <f t="shared" si="51"/>
        <v>0.22473727325181858</v>
      </c>
      <c r="AE31" s="234">
        <v>1034151.3397895247</v>
      </c>
      <c r="AF31" s="101">
        <f t="shared" si="52"/>
        <v>0.12854758874788044</v>
      </c>
      <c r="AG31" s="234">
        <v>813556.86625721271</v>
      </c>
      <c r="AH31" s="101">
        <f t="shared" si="53"/>
        <v>0.10112714594358241</v>
      </c>
      <c r="AI31" s="234">
        <v>626758.56534183433</v>
      </c>
      <c r="AJ31" s="101">
        <f t="shared" si="54"/>
        <v>7.790765161912501E-2</v>
      </c>
      <c r="AK31" s="234">
        <v>793511.44299126707</v>
      </c>
      <c r="AL31" s="101">
        <f t="shared" si="55"/>
        <v>9.8635449876358416E-2</v>
      </c>
    </row>
    <row r="32" spans="2:38" ht="12">
      <c r="B32" s="98"/>
      <c r="C32" s="98"/>
      <c r="D32" s="86">
        <f t="shared" si="19"/>
        <v>46013</v>
      </c>
      <c r="E32" s="86" t="s">
        <v>471</v>
      </c>
      <c r="F32" s="228">
        <f t="shared" si="0"/>
        <v>8079828</v>
      </c>
      <c r="G32" s="296"/>
      <c r="H32" s="324"/>
      <c r="I32" s="234">
        <v>524083.6731434422</v>
      </c>
      <c r="J32" s="101">
        <f t="shared" si="38"/>
        <v>6.4863221487319059E-2</v>
      </c>
      <c r="K32" s="234">
        <v>801157.36610656558</v>
      </c>
      <c r="L32" s="101">
        <f t="shared" si="39"/>
        <v>9.9155250100195894E-2</v>
      </c>
      <c r="M32" s="227">
        <f t="shared" si="40"/>
        <v>1325241.0392500078</v>
      </c>
      <c r="N32" s="101">
        <f t="shared" si="41"/>
        <v>0.16401847158751495</v>
      </c>
      <c r="O32" s="234">
        <v>121060.48268791458</v>
      </c>
      <c r="P32" s="101">
        <f t="shared" si="42"/>
        <v>1.4983051952085439E-2</v>
      </c>
      <c r="Q32" s="234">
        <v>90570.934952967844</v>
      </c>
      <c r="R32" s="101">
        <f t="shared" si="43"/>
        <v>1.1209512746183191E-2</v>
      </c>
      <c r="S32" s="227">
        <f t="shared" si="44"/>
        <v>211631.41764088243</v>
      </c>
      <c r="T32" s="101">
        <f t="shared" si="45"/>
        <v>2.6192564698268628E-2</v>
      </c>
      <c r="U32" s="234">
        <v>1315764.6843199851</v>
      </c>
      <c r="V32" s="101">
        <f t="shared" si="46"/>
        <v>0.16284563041688327</v>
      </c>
      <c r="W32" s="234">
        <v>0</v>
      </c>
      <c r="X32" s="101">
        <f t="shared" si="47"/>
        <v>0</v>
      </c>
      <c r="Y32" s="234">
        <v>529849.79307232134</v>
      </c>
      <c r="Z32" s="101">
        <f t="shared" si="48"/>
        <v>6.557686538281772E-2</v>
      </c>
      <c r="AA32" s="234">
        <v>1621243.4225376865</v>
      </c>
      <c r="AB32" s="101">
        <f t="shared" si="49"/>
        <v>0.20065320976358489</v>
      </c>
      <c r="AC32" s="227">
        <f t="shared" si="50"/>
        <v>2151093.2156100078</v>
      </c>
      <c r="AD32" s="101">
        <f t="shared" si="51"/>
        <v>0.26623007514640257</v>
      </c>
      <c r="AE32" s="234">
        <v>977986.20661753474</v>
      </c>
      <c r="AF32" s="101">
        <f t="shared" si="52"/>
        <v>0.12104047346274385</v>
      </c>
      <c r="AG32" s="234">
        <v>797520.64621967601</v>
      </c>
      <c r="AH32" s="101">
        <f t="shared" si="53"/>
        <v>9.870515142397536E-2</v>
      </c>
      <c r="AI32" s="234">
        <v>609490.56165482511</v>
      </c>
      <c r="AJ32" s="101">
        <f t="shared" si="54"/>
        <v>7.5433605969684639E-2</v>
      </c>
      <c r="AK32" s="234">
        <v>691100.22868708021</v>
      </c>
      <c r="AL32" s="101">
        <f t="shared" si="55"/>
        <v>8.5534027294526596E-2</v>
      </c>
    </row>
    <row r="33" spans="2:38" ht="12">
      <c r="B33" s="98"/>
      <c r="C33" s="98"/>
      <c r="D33" s="298">
        <f t="shared" si="19"/>
        <v>46014</v>
      </c>
      <c r="E33" s="298" t="s">
        <v>472</v>
      </c>
      <c r="F33" s="228">
        <f t="shared" si="0"/>
        <v>7688414.0000000009</v>
      </c>
      <c r="G33" s="296"/>
      <c r="H33" s="324"/>
      <c r="I33" s="234">
        <v>529938.45414041856</v>
      </c>
      <c r="J33" s="101">
        <f t="shared" si="38"/>
        <v>6.8926888450650356E-2</v>
      </c>
      <c r="K33" s="234">
        <v>732906.96492143266</v>
      </c>
      <c r="L33" s="101">
        <f t="shared" si="39"/>
        <v>9.5326157634257544E-2</v>
      </c>
      <c r="M33" s="227">
        <f t="shared" si="40"/>
        <v>1262845.4190618512</v>
      </c>
      <c r="N33" s="101">
        <f t="shared" si="41"/>
        <v>0.1642530460849079</v>
      </c>
      <c r="O33" s="234">
        <v>219102.65605633985</v>
      </c>
      <c r="P33" s="101">
        <f t="shared" si="42"/>
        <v>2.8497770288688905E-2</v>
      </c>
      <c r="Q33" s="234">
        <v>94220.515676549854</v>
      </c>
      <c r="R33" s="101">
        <f t="shared" si="43"/>
        <v>1.2254870208153443E-2</v>
      </c>
      <c r="S33" s="227">
        <f t="shared" si="44"/>
        <v>313323.17173288972</v>
      </c>
      <c r="T33" s="101">
        <f t="shared" si="45"/>
        <v>4.0752640496842352E-2</v>
      </c>
      <c r="U33" s="234">
        <v>1225827.3068252818</v>
      </c>
      <c r="V33" s="101">
        <f t="shared" si="46"/>
        <v>0.1594382543428699</v>
      </c>
      <c r="W33" s="234">
        <v>0</v>
      </c>
      <c r="X33" s="101">
        <f t="shared" si="47"/>
        <v>0</v>
      </c>
      <c r="Y33" s="234">
        <v>521443.78811106679</v>
      </c>
      <c r="Z33" s="101">
        <f t="shared" si="48"/>
        <v>6.7822022605841303E-2</v>
      </c>
      <c r="AA33" s="234">
        <v>1493282.4699266399</v>
      </c>
      <c r="AB33" s="101">
        <f t="shared" si="49"/>
        <v>0.19422503391813184</v>
      </c>
      <c r="AC33" s="227">
        <f t="shared" si="50"/>
        <v>2014726.2580377068</v>
      </c>
      <c r="AD33" s="101">
        <f t="shared" si="51"/>
        <v>0.26204705652397314</v>
      </c>
      <c r="AE33" s="234">
        <v>945977.58835301048</v>
      </c>
      <c r="AF33" s="101">
        <f t="shared" si="52"/>
        <v>0.12303936655245287</v>
      </c>
      <c r="AG33" s="234">
        <v>771397.64230190672</v>
      </c>
      <c r="AH33" s="101">
        <f t="shared" si="53"/>
        <v>0.10033247979386992</v>
      </c>
      <c r="AI33" s="234">
        <v>522528.09456198214</v>
      </c>
      <c r="AJ33" s="101">
        <f t="shared" si="54"/>
        <v>6.7963053831646178E-2</v>
      </c>
      <c r="AK33" s="234">
        <v>631788.51912537252</v>
      </c>
      <c r="AL33" s="101">
        <f t="shared" si="55"/>
        <v>8.2174102373437807E-2</v>
      </c>
    </row>
    <row r="34" spans="2:38" ht="12">
      <c r="B34" s="98"/>
      <c r="C34" s="98"/>
      <c r="D34" s="298">
        <f t="shared" si="19"/>
        <v>46015</v>
      </c>
      <c r="E34" s="298" t="s">
        <v>473</v>
      </c>
      <c r="F34" s="228">
        <f t="shared" si="0"/>
        <v>6475923.0000000009</v>
      </c>
      <c r="G34" s="296"/>
      <c r="H34" s="324"/>
      <c r="I34" s="234">
        <v>446245.79047888913</v>
      </c>
      <c r="J34" s="101">
        <f t="shared" si="38"/>
        <v>6.8908446020573291E-2</v>
      </c>
      <c r="K34" s="234">
        <v>719147.35764550685</v>
      </c>
      <c r="L34" s="101">
        <f t="shared" si="39"/>
        <v>0.111049399081105</v>
      </c>
      <c r="M34" s="227">
        <f t="shared" si="40"/>
        <v>1165393.1481243959</v>
      </c>
      <c r="N34" s="101">
        <f t="shared" si="41"/>
        <v>0.17995784510167828</v>
      </c>
      <c r="O34" s="234">
        <v>174928.49279877261</v>
      </c>
      <c r="P34" s="101">
        <f t="shared" si="42"/>
        <v>2.7012132911211666E-2</v>
      </c>
      <c r="Q34" s="234">
        <v>87962.283489625377</v>
      </c>
      <c r="R34" s="101">
        <f t="shared" si="43"/>
        <v>1.3582972417927972E-2</v>
      </c>
      <c r="S34" s="227">
        <f t="shared" si="44"/>
        <v>262890.77628839796</v>
      </c>
      <c r="T34" s="101">
        <f t="shared" si="45"/>
        <v>4.0595105329139632E-2</v>
      </c>
      <c r="U34" s="234">
        <v>967791.18774840038</v>
      </c>
      <c r="V34" s="101">
        <f t="shared" si="46"/>
        <v>0.14944451744537424</v>
      </c>
      <c r="W34" s="234">
        <v>0</v>
      </c>
      <c r="X34" s="101">
        <f t="shared" si="47"/>
        <v>0</v>
      </c>
      <c r="Y34" s="234">
        <v>502516.53911306901</v>
      </c>
      <c r="Z34" s="101">
        <f t="shared" si="48"/>
        <v>7.7597670496247245E-2</v>
      </c>
      <c r="AA34" s="234">
        <v>1338368.4012048687</v>
      </c>
      <c r="AB34" s="101">
        <f t="shared" si="49"/>
        <v>0.2066683623639238</v>
      </c>
      <c r="AC34" s="227">
        <f t="shared" si="50"/>
        <v>1840884.9403179376</v>
      </c>
      <c r="AD34" s="101">
        <f t="shared" si="51"/>
        <v>0.28426603286017105</v>
      </c>
      <c r="AE34" s="234">
        <v>778252.01083499077</v>
      </c>
      <c r="AF34" s="101">
        <f t="shared" si="52"/>
        <v>0.12017622983395428</v>
      </c>
      <c r="AG34" s="234">
        <v>523867.7495001973</v>
      </c>
      <c r="AH34" s="101">
        <f t="shared" si="53"/>
        <v>8.0894684742267201E-2</v>
      </c>
      <c r="AI34" s="234">
        <v>402802.39772277744</v>
      </c>
      <c r="AJ34" s="101">
        <f t="shared" si="54"/>
        <v>6.2199998011523205E-2</v>
      </c>
      <c r="AK34" s="234">
        <v>534040.7894629027</v>
      </c>
      <c r="AL34" s="101">
        <f t="shared" si="55"/>
        <v>8.2465586675892016E-2</v>
      </c>
    </row>
    <row r="35" spans="2:38" ht="12">
      <c r="B35" s="98"/>
      <c r="C35" s="98"/>
      <c r="D35" s="298">
        <f t="shared" si="19"/>
        <v>46016</v>
      </c>
      <c r="E35" s="298" t="s">
        <v>474</v>
      </c>
      <c r="F35" s="228">
        <f t="shared" si="0"/>
        <v>6755980.9999999991</v>
      </c>
      <c r="G35" s="296">
        <f>SUM(F35:F41)</f>
        <v>48124067</v>
      </c>
      <c r="H35" s="324"/>
      <c r="I35" s="234">
        <v>504615.86835467193</v>
      </c>
      <c r="J35" s="101">
        <f t="shared" si="38"/>
        <v>7.4691724022709946E-2</v>
      </c>
      <c r="K35" s="234">
        <v>729765.21010212402</v>
      </c>
      <c r="L35" s="101">
        <f t="shared" si="39"/>
        <v>0.10801765281786969</v>
      </c>
      <c r="M35" s="227">
        <f t="shared" si="40"/>
        <v>1234381.078456796</v>
      </c>
      <c r="N35" s="101">
        <f t="shared" si="41"/>
        <v>0.18270937684057967</v>
      </c>
      <c r="O35" s="234">
        <v>169565.30078577797</v>
      </c>
      <c r="P35" s="101">
        <f t="shared" si="42"/>
        <v>2.5098546130573485E-2</v>
      </c>
      <c r="Q35" s="234">
        <v>102004.69469072246</v>
      </c>
      <c r="R35" s="101">
        <f t="shared" si="43"/>
        <v>1.5098428294976329E-2</v>
      </c>
      <c r="S35" s="227">
        <f t="shared" si="44"/>
        <v>271569.99547650042</v>
      </c>
      <c r="T35" s="101">
        <f t="shared" si="45"/>
        <v>4.0196974425549814E-2</v>
      </c>
      <c r="U35" s="234">
        <v>1040831.4875172863</v>
      </c>
      <c r="V35" s="101">
        <f t="shared" si="46"/>
        <v>0.1540607481751779</v>
      </c>
      <c r="W35" s="234">
        <v>0</v>
      </c>
      <c r="X35" s="101">
        <f t="shared" si="47"/>
        <v>0</v>
      </c>
      <c r="Y35" s="234">
        <v>506056.24930075172</v>
      </c>
      <c r="Z35" s="101">
        <f t="shared" si="48"/>
        <v>7.4904924880746668E-2</v>
      </c>
      <c r="AA35" s="234">
        <v>1195413.4090438611</v>
      </c>
      <c r="AB35" s="101">
        <f t="shared" si="49"/>
        <v>0.17694149954593733</v>
      </c>
      <c r="AC35" s="227">
        <f t="shared" si="50"/>
        <v>1701469.6583446129</v>
      </c>
      <c r="AD35" s="101">
        <f t="shared" si="51"/>
        <v>0.25184642442668403</v>
      </c>
      <c r="AE35" s="234">
        <v>841421.43355289637</v>
      </c>
      <c r="AF35" s="101">
        <f t="shared" si="52"/>
        <v>0.12454467138864016</v>
      </c>
      <c r="AG35" s="234">
        <v>636153.52100673097</v>
      </c>
      <c r="AH35" s="101">
        <f t="shared" si="53"/>
        <v>9.4161531982806204E-2</v>
      </c>
      <c r="AI35" s="234">
        <v>420351.31233056437</v>
      </c>
      <c r="AJ35" s="101">
        <f t="shared" si="54"/>
        <v>6.2219137728564425E-2</v>
      </c>
      <c r="AK35" s="234">
        <v>609802.51331461151</v>
      </c>
      <c r="AL35" s="101">
        <f t="shared" si="55"/>
        <v>9.0261135031997813E-2</v>
      </c>
    </row>
    <row r="36" spans="2:38" ht="12">
      <c r="B36" s="98"/>
      <c r="C36" s="98"/>
      <c r="D36" s="298">
        <f t="shared" si="19"/>
        <v>46017</v>
      </c>
      <c r="E36" s="298" t="s">
        <v>475</v>
      </c>
      <c r="F36" s="228">
        <f t="shared" si="0"/>
        <v>6278111</v>
      </c>
      <c r="G36" s="296"/>
      <c r="H36" s="324"/>
      <c r="I36" s="234">
        <v>435543.96297480445</v>
      </c>
      <c r="J36" s="101">
        <f t="shared" si="38"/>
        <v>6.9375001967121069E-2</v>
      </c>
      <c r="K36" s="234">
        <v>770445.10700298916</v>
      </c>
      <c r="L36" s="101">
        <f t="shared" si="39"/>
        <v>0.12271925536247912</v>
      </c>
      <c r="M36" s="227">
        <f t="shared" si="40"/>
        <v>1205989.0699777936</v>
      </c>
      <c r="N36" s="101">
        <f t="shared" si="41"/>
        <v>0.1920942573296002</v>
      </c>
      <c r="O36" s="234">
        <v>143853.18781985089</v>
      </c>
      <c r="P36" s="101">
        <f t="shared" si="42"/>
        <v>2.2913450848487848E-2</v>
      </c>
      <c r="Q36" s="234">
        <v>80971.483246793592</v>
      </c>
      <c r="R36" s="101">
        <f t="shared" si="43"/>
        <v>1.2897427784694089E-2</v>
      </c>
      <c r="S36" s="227">
        <f t="shared" si="44"/>
        <v>224824.67106664449</v>
      </c>
      <c r="T36" s="101">
        <f t="shared" si="45"/>
        <v>3.5810878633181935E-2</v>
      </c>
      <c r="U36" s="234">
        <v>928360.25021859107</v>
      </c>
      <c r="V36" s="101">
        <f t="shared" si="46"/>
        <v>0.14787254481779488</v>
      </c>
      <c r="W36" s="234">
        <v>0</v>
      </c>
      <c r="X36" s="101">
        <f t="shared" si="47"/>
        <v>0</v>
      </c>
      <c r="Y36" s="234">
        <v>443715.88125422568</v>
      </c>
      <c r="Z36" s="101">
        <f t="shared" si="48"/>
        <v>7.0676654371709211E-2</v>
      </c>
      <c r="AA36" s="234">
        <v>1198766.7751568956</v>
      </c>
      <c r="AB36" s="101">
        <f t="shared" si="49"/>
        <v>0.19094386434978541</v>
      </c>
      <c r="AC36" s="227">
        <f t="shared" si="50"/>
        <v>1642482.6564111214</v>
      </c>
      <c r="AD36" s="101">
        <f t="shared" si="51"/>
        <v>0.26162051872149461</v>
      </c>
      <c r="AE36" s="234">
        <v>745558.49267468764</v>
      </c>
      <c r="AF36" s="101">
        <f t="shared" si="52"/>
        <v>0.11875522632121153</v>
      </c>
      <c r="AG36" s="234">
        <v>550674.08358532179</v>
      </c>
      <c r="AH36" s="101">
        <f t="shared" si="53"/>
        <v>8.771333982233219E-2</v>
      </c>
      <c r="AI36" s="234">
        <v>420047.82018938783</v>
      </c>
      <c r="AJ36" s="101">
        <f t="shared" si="54"/>
        <v>6.6906720857498034E-2</v>
      </c>
      <c r="AK36" s="234">
        <v>560173.9558764518</v>
      </c>
      <c r="AL36" s="101">
        <f t="shared" si="55"/>
        <v>8.9226513496886525E-2</v>
      </c>
    </row>
    <row r="37" spans="2:38" ht="12">
      <c r="B37" s="98"/>
      <c r="C37" s="98"/>
      <c r="D37" s="298">
        <f t="shared" si="19"/>
        <v>46018</v>
      </c>
      <c r="E37" s="298" t="s">
        <v>476</v>
      </c>
      <c r="F37" s="228">
        <f t="shared" si="0"/>
        <v>6552614</v>
      </c>
      <c r="G37" s="296"/>
      <c r="H37" s="324"/>
      <c r="I37" s="234">
        <v>411341.62749491137</v>
      </c>
      <c r="J37" s="101">
        <f t="shared" si="38"/>
        <v>6.2775195898142538E-2</v>
      </c>
      <c r="K37" s="234">
        <v>732055.99964070949</v>
      </c>
      <c r="L37" s="101">
        <f t="shared" si="39"/>
        <v>0.11171968921726649</v>
      </c>
      <c r="M37" s="227">
        <f t="shared" si="40"/>
        <v>1143397.6271356209</v>
      </c>
      <c r="N37" s="101">
        <f t="shared" si="41"/>
        <v>0.17449488511540903</v>
      </c>
      <c r="O37" s="234">
        <v>141294.42798560133</v>
      </c>
      <c r="P37" s="101">
        <f t="shared" si="42"/>
        <v>2.1563062922003544E-2</v>
      </c>
      <c r="Q37" s="234">
        <v>73642.004591804231</v>
      </c>
      <c r="R37" s="101">
        <f t="shared" si="43"/>
        <v>1.1238569003424317E-2</v>
      </c>
      <c r="S37" s="227">
        <f t="shared" si="44"/>
        <v>214936.43257740556</v>
      </c>
      <c r="T37" s="101">
        <f t="shared" si="45"/>
        <v>3.2801631925427864E-2</v>
      </c>
      <c r="U37" s="234">
        <v>1036374.9256397777</v>
      </c>
      <c r="V37" s="101">
        <f t="shared" si="46"/>
        <v>0.15816205954444709</v>
      </c>
      <c r="W37" s="234">
        <v>0</v>
      </c>
      <c r="X37" s="101">
        <f t="shared" si="47"/>
        <v>0</v>
      </c>
      <c r="Y37" s="234">
        <v>478777.51286969631</v>
      </c>
      <c r="Z37" s="101">
        <f t="shared" si="48"/>
        <v>7.3066643765327288E-2</v>
      </c>
      <c r="AA37" s="234">
        <v>1213088.6510103694</v>
      </c>
      <c r="AB37" s="101">
        <f t="shared" si="49"/>
        <v>0.18513049158860409</v>
      </c>
      <c r="AC37" s="227">
        <f t="shared" si="50"/>
        <v>1691866.1638800658</v>
      </c>
      <c r="AD37" s="101">
        <f t="shared" si="51"/>
        <v>0.25819713535393141</v>
      </c>
      <c r="AE37" s="234">
        <v>815570.19391898892</v>
      </c>
      <c r="AF37" s="101">
        <f t="shared" si="52"/>
        <v>0.12446486149176328</v>
      </c>
      <c r="AG37" s="234">
        <v>586415.00053515763</v>
      </c>
      <c r="AH37" s="101">
        <f t="shared" si="53"/>
        <v>8.9493292376928907E-2</v>
      </c>
      <c r="AI37" s="234">
        <v>497175.72985859436</v>
      </c>
      <c r="AJ37" s="101">
        <f t="shared" si="54"/>
        <v>7.5874411320214247E-2</v>
      </c>
      <c r="AK37" s="234">
        <v>566877.92645438947</v>
      </c>
      <c r="AL37" s="101">
        <f t="shared" si="55"/>
        <v>8.6511722871878222E-2</v>
      </c>
    </row>
    <row r="38" spans="2:38" ht="12">
      <c r="B38" s="98"/>
      <c r="C38" s="83"/>
      <c r="D38" s="298">
        <f t="shared" si="19"/>
        <v>46019</v>
      </c>
      <c r="E38" s="298" t="s">
        <v>477</v>
      </c>
      <c r="F38" s="228">
        <f t="shared" si="0"/>
        <v>7539330.9999999991</v>
      </c>
      <c r="G38" s="296"/>
      <c r="H38" s="97"/>
      <c r="I38" s="234">
        <v>516487.46149114164</v>
      </c>
      <c r="J38" s="101">
        <f t="shared" si="38"/>
        <v>6.8505741622319233E-2</v>
      </c>
      <c r="K38" s="234">
        <v>767610.34352896258</v>
      </c>
      <c r="L38" s="101">
        <f t="shared" si="39"/>
        <v>0.10181411898866924</v>
      </c>
      <c r="M38" s="227">
        <f t="shared" si="40"/>
        <v>1284097.8050201042</v>
      </c>
      <c r="N38" s="101">
        <f t="shared" si="41"/>
        <v>0.17031986061098847</v>
      </c>
      <c r="O38" s="234">
        <v>195018.18916390286</v>
      </c>
      <c r="P38" s="101">
        <f t="shared" si="42"/>
        <v>2.5866776397521597E-2</v>
      </c>
      <c r="Q38" s="234">
        <v>85910.098214254234</v>
      </c>
      <c r="R38" s="101">
        <f t="shared" si="43"/>
        <v>1.139492326497593E-2</v>
      </c>
      <c r="S38" s="227">
        <f t="shared" si="44"/>
        <v>280928.28737815708</v>
      </c>
      <c r="T38" s="101">
        <f t="shared" si="45"/>
        <v>3.7261699662497524E-2</v>
      </c>
      <c r="U38" s="234">
        <v>1281163.9454029906</v>
      </c>
      <c r="V38" s="101">
        <f t="shared" si="46"/>
        <v>0.16993072003377896</v>
      </c>
      <c r="W38" s="234">
        <v>0</v>
      </c>
      <c r="X38" s="101">
        <f t="shared" si="47"/>
        <v>0</v>
      </c>
      <c r="Y38" s="234">
        <v>532340.03456327179</v>
      </c>
      <c r="Z38" s="101">
        <f t="shared" si="48"/>
        <v>7.0608391455856206E-2</v>
      </c>
      <c r="AA38" s="234">
        <v>1323828.6346731759</v>
      </c>
      <c r="AB38" s="101">
        <f t="shared" si="49"/>
        <v>0.17558966898696662</v>
      </c>
      <c r="AC38" s="227">
        <f t="shared" si="50"/>
        <v>1856168.6692364477</v>
      </c>
      <c r="AD38" s="101">
        <f t="shared" si="51"/>
        <v>0.24619806044282283</v>
      </c>
      <c r="AE38" s="234">
        <v>974962.61768202845</v>
      </c>
      <c r="AF38" s="101">
        <f t="shared" si="52"/>
        <v>0.12931686083049393</v>
      </c>
      <c r="AG38" s="234">
        <v>684509.62493130076</v>
      </c>
      <c r="AH38" s="101">
        <f t="shared" si="53"/>
        <v>9.0791825552068328E-2</v>
      </c>
      <c r="AI38" s="234">
        <v>557578.32969337283</v>
      </c>
      <c r="AJ38" s="101">
        <f t="shared" si="54"/>
        <v>7.3955942469348127E-2</v>
      </c>
      <c r="AK38" s="234">
        <v>619921.72065559716</v>
      </c>
      <c r="AL38" s="101">
        <f t="shared" si="55"/>
        <v>8.2225030398001789E-2</v>
      </c>
    </row>
    <row r="39" spans="2:38" ht="12">
      <c r="B39" s="98"/>
      <c r="C39" s="83"/>
      <c r="D39" s="298">
        <f t="shared" si="19"/>
        <v>46020</v>
      </c>
      <c r="E39" s="298" t="s">
        <v>471</v>
      </c>
      <c r="F39" s="228">
        <f t="shared" si="0"/>
        <v>7494234.9999999981</v>
      </c>
      <c r="G39" s="296"/>
      <c r="H39" s="97"/>
      <c r="I39" s="234">
        <v>500845.24036652484</v>
      </c>
      <c r="J39" s="101">
        <f t="shared" si="38"/>
        <v>6.6830735941230152E-2</v>
      </c>
      <c r="K39" s="234">
        <v>753870.26471009373</v>
      </c>
      <c r="L39" s="101">
        <f t="shared" si="39"/>
        <v>0.10059335805590483</v>
      </c>
      <c r="M39" s="227">
        <f t="shared" si="40"/>
        <v>1254715.5050766186</v>
      </c>
      <c r="N39" s="101">
        <f t="shared" si="41"/>
        <v>0.16742409399713498</v>
      </c>
      <c r="O39" s="234">
        <v>155926.04910307529</v>
      </c>
      <c r="P39" s="101">
        <f t="shared" si="42"/>
        <v>2.0806132861202687E-2</v>
      </c>
      <c r="Q39" s="234">
        <v>86507.399979112772</v>
      </c>
      <c r="R39" s="101">
        <f t="shared" si="43"/>
        <v>1.1543192864797113E-2</v>
      </c>
      <c r="S39" s="227">
        <f t="shared" si="44"/>
        <v>242433.44908218808</v>
      </c>
      <c r="T39" s="101">
        <f t="shared" si="45"/>
        <v>3.23493257259998E-2</v>
      </c>
      <c r="U39" s="234">
        <v>1229692.8308046712</v>
      </c>
      <c r="V39" s="101">
        <f t="shared" si="46"/>
        <v>0.16408517090866132</v>
      </c>
      <c r="W39" s="234">
        <v>0</v>
      </c>
      <c r="X39" s="101">
        <f t="shared" si="47"/>
        <v>0</v>
      </c>
      <c r="Y39" s="234">
        <v>533575.28991917206</v>
      </c>
      <c r="Z39" s="101">
        <f t="shared" si="48"/>
        <v>7.1198099595111738E-2</v>
      </c>
      <c r="AA39" s="234">
        <v>1478437.5911259237</v>
      </c>
      <c r="AB39" s="101">
        <f t="shared" si="49"/>
        <v>0.19727665213673232</v>
      </c>
      <c r="AC39" s="227">
        <f t="shared" si="50"/>
        <v>2012012.8810450956</v>
      </c>
      <c r="AD39" s="101">
        <f t="shared" si="51"/>
        <v>0.26847475173184404</v>
      </c>
      <c r="AE39" s="234">
        <v>928612.58730381355</v>
      </c>
      <c r="AF39" s="101">
        <f t="shared" si="52"/>
        <v>0.12391025732497229</v>
      </c>
      <c r="AG39" s="234">
        <v>674261.51848829025</v>
      </c>
      <c r="AH39" s="101">
        <f t="shared" si="53"/>
        <v>8.9970693271333294E-2</v>
      </c>
      <c r="AI39" s="234">
        <v>532280.15917192644</v>
      </c>
      <c r="AJ39" s="101">
        <f t="shared" si="54"/>
        <v>7.1025282656859118E-2</v>
      </c>
      <c r="AK39" s="234">
        <v>620226.06902739499</v>
      </c>
      <c r="AL39" s="101">
        <f t="shared" si="55"/>
        <v>8.2760424383195239E-2</v>
      </c>
    </row>
    <row r="40" spans="2:38" ht="12">
      <c r="B40" s="98"/>
      <c r="C40" s="83"/>
      <c r="D40" s="86">
        <f t="shared" si="19"/>
        <v>46021</v>
      </c>
      <c r="E40" s="86" t="s">
        <v>472</v>
      </c>
      <c r="F40" s="228">
        <f t="shared" si="0"/>
        <v>7242022</v>
      </c>
      <c r="G40" s="296"/>
      <c r="H40" s="97"/>
      <c r="I40" s="234">
        <v>546978.06665245094</v>
      </c>
      <c r="J40" s="101">
        <f t="shared" si="38"/>
        <v>7.5528363025195305E-2</v>
      </c>
      <c r="K40" s="234">
        <v>699592.88863820513</v>
      </c>
      <c r="L40" s="101">
        <f t="shared" si="39"/>
        <v>9.6601872880005768E-2</v>
      </c>
      <c r="M40" s="227">
        <f t="shared" si="40"/>
        <v>1246570.9552906561</v>
      </c>
      <c r="N40" s="101">
        <f t="shared" si="41"/>
        <v>0.17213023590520107</v>
      </c>
      <c r="O40" s="234">
        <v>156788.27709321189</v>
      </c>
      <c r="P40" s="101">
        <f t="shared" si="42"/>
        <v>2.1649792985054712E-2</v>
      </c>
      <c r="Q40" s="234">
        <v>88902.037742554894</v>
      </c>
      <c r="R40" s="101">
        <f t="shared" si="43"/>
        <v>1.2275858557534746E-2</v>
      </c>
      <c r="S40" s="227">
        <f t="shared" si="44"/>
        <v>245690.3148357668</v>
      </c>
      <c r="T40" s="101">
        <f t="shared" si="45"/>
        <v>3.3925651542589461E-2</v>
      </c>
      <c r="U40" s="234">
        <v>1166492.3370342006</v>
      </c>
      <c r="V40" s="101">
        <f t="shared" si="46"/>
        <v>0.16107274142970024</v>
      </c>
      <c r="W40" s="234">
        <v>0</v>
      </c>
      <c r="X40" s="101">
        <f t="shared" si="47"/>
        <v>0</v>
      </c>
      <c r="Y40" s="234">
        <v>523058.88626591756</v>
      </c>
      <c r="Z40" s="101">
        <f t="shared" si="48"/>
        <v>7.2225531248858069E-2</v>
      </c>
      <c r="AA40" s="234">
        <v>1463347.3913753205</v>
      </c>
      <c r="AB40" s="101">
        <f t="shared" si="49"/>
        <v>0.20206337282257919</v>
      </c>
      <c r="AC40" s="227">
        <f t="shared" si="50"/>
        <v>1986406.2776412382</v>
      </c>
      <c r="AD40" s="101">
        <f t="shared" si="51"/>
        <v>0.27428890407143725</v>
      </c>
      <c r="AE40" s="234">
        <v>903715.8970745746</v>
      </c>
      <c r="AF40" s="101">
        <f t="shared" si="52"/>
        <v>0.124787786763776</v>
      </c>
      <c r="AG40" s="234">
        <v>612661.8411964908</v>
      </c>
      <c r="AH40" s="101">
        <f t="shared" si="53"/>
        <v>8.4598174542481475E-2</v>
      </c>
      <c r="AI40" s="234">
        <v>479158.72831453575</v>
      </c>
      <c r="AJ40" s="101">
        <f t="shared" si="54"/>
        <v>6.6163666489073875E-2</v>
      </c>
      <c r="AK40" s="234">
        <v>601325.64861253789</v>
      </c>
      <c r="AL40" s="101">
        <f t="shared" si="55"/>
        <v>8.3032839255740717E-2</v>
      </c>
    </row>
    <row r="41" spans="2:38" ht="12">
      <c r="B41" s="98"/>
      <c r="C41" s="83"/>
      <c r="D41" s="86">
        <f t="shared" si="19"/>
        <v>46022</v>
      </c>
      <c r="E41" s="86" t="s">
        <v>473</v>
      </c>
      <c r="F41" s="228">
        <f t="shared" si="0"/>
        <v>6261773</v>
      </c>
      <c r="G41" s="296"/>
      <c r="H41" s="97"/>
      <c r="I41" s="234">
        <v>438369.88810293801</v>
      </c>
      <c r="J41" s="101">
        <f t="shared" si="38"/>
        <v>7.0007310725402852E-2</v>
      </c>
      <c r="K41" s="234">
        <v>672921.99122619873</v>
      </c>
      <c r="L41" s="101">
        <f t="shared" si="39"/>
        <v>0.1074650887578005</v>
      </c>
      <c r="M41" s="227">
        <f t="shared" si="40"/>
        <v>1111291.8793291368</v>
      </c>
      <c r="N41" s="101">
        <f t="shared" si="41"/>
        <v>0.17747239948320337</v>
      </c>
      <c r="O41" s="234">
        <v>153906.66834432611</v>
      </c>
      <c r="P41" s="101">
        <f t="shared" si="42"/>
        <v>2.4578768400631276E-2</v>
      </c>
      <c r="Q41" s="234">
        <v>79915.038230022023</v>
      </c>
      <c r="R41" s="101">
        <f t="shared" si="43"/>
        <v>1.2762365903398609E-2</v>
      </c>
      <c r="S41" s="227">
        <f t="shared" si="44"/>
        <v>233821.70657434815</v>
      </c>
      <c r="T41" s="101">
        <f t="shared" si="45"/>
        <v>3.734113430402989E-2</v>
      </c>
      <c r="U41" s="234">
        <v>948924.53986765118</v>
      </c>
      <c r="V41" s="101">
        <f t="shared" si="46"/>
        <v>0.15154246886107994</v>
      </c>
      <c r="W41" s="234">
        <v>0</v>
      </c>
      <c r="X41" s="101">
        <f t="shared" si="47"/>
        <v>0</v>
      </c>
      <c r="Y41" s="234">
        <v>484480.79735323298</v>
      </c>
      <c r="Z41" s="101">
        <f t="shared" si="48"/>
        <v>7.7371185022713687E-2</v>
      </c>
      <c r="AA41" s="234">
        <v>1309558.5146490575</v>
      </c>
      <c r="AB41" s="101">
        <f t="shared" si="49"/>
        <v>0.20913541813940836</v>
      </c>
      <c r="AC41" s="227">
        <f t="shared" si="50"/>
        <v>1794039.3120022905</v>
      </c>
      <c r="AD41" s="101">
        <f t="shared" si="51"/>
        <v>0.28650660316212206</v>
      </c>
      <c r="AE41" s="234">
        <v>731503.57468729839</v>
      </c>
      <c r="AF41" s="101">
        <f t="shared" si="52"/>
        <v>0.11682051947384525</v>
      </c>
      <c r="AG41" s="234">
        <v>481541.38233269029</v>
      </c>
      <c r="AH41" s="101">
        <f t="shared" si="53"/>
        <v>7.6901762860565256E-2</v>
      </c>
      <c r="AI41" s="234">
        <v>415961.95409293566</v>
      </c>
      <c r="AJ41" s="101">
        <f t="shared" si="54"/>
        <v>6.6428782086628765E-2</v>
      </c>
      <c r="AK41" s="234">
        <v>544688.65111364843</v>
      </c>
      <c r="AL41" s="101">
        <f t="shared" si="55"/>
        <v>8.6986329768525369E-2</v>
      </c>
    </row>
    <row r="42" spans="2:38" ht="12">
      <c r="B42" s="98"/>
      <c r="C42" s="83"/>
      <c r="D42" s="86"/>
      <c r="E42" s="86"/>
      <c r="F42" s="228">
        <f t="shared" si="0"/>
        <v>0</v>
      </c>
      <c r="G42" s="296"/>
      <c r="H42" s="97"/>
      <c r="I42" s="234"/>
      <c r="J42" s="101" t="e">
        <f>I42/F42</f>
        <v>#DIV/0!</v>
      </c>
      <c r="K42" s="234"/>
      <c r="L42" s="101" t="e">
        <f>K42/F42</f>
        <v>#DIV/0!</v>
      </c>
      <c r="M42" s="227">
        <f>SUM(I42+K42)</f>
        <v>0</v>
      </c>
      <c r="N42" s="101" t="e">
        <f>M42/F42</f>
        <v>#DIV/0!</v>
      </c>
      <c r="O42" s="234"/>
      <c r="P42" s="101" t="e">
        <f>O42/F42</f>
        <v>#DIV/0!</v>
      </c>
      <c r="Q42" s="234"/>
      <c r="R42" s="101" t="e">
        <f t="shared" si="43"/>
        <v>#DIV/0!</v>
      </c>
      <c r="S42" s="227">
        <f t="shared" si="44"/>
        <v>0</v>
      </c>
      <c r="T42" s="101" t="e">
        <f>S42/F42</f>
        <v>#DIV/0!</v>
      </c>
      <c r="U42" s="234"/>
      <c r="V42" s="101" t="e">
        <f>U42/F42</f>
        <v>#DIV/0!</v>
      </c>
      <c r="W42" s="234"/>
      <c r="X42" s="101" t="e">
        <f>W42/F42</f>
        <v>#DIV/0!</v>
      </c>
      <c r="Y42" s="234"/>
      <c r="Z42" s="101" t="e">
        <f>Y42/F42</f>
        <v>#DIV/0!</v>
      </c>
      <c r="AA42" s="234"/>
      <c r="AB42" s="101" t="e">
        <f t="shared" si="49"/>
        <v>#DIV/0!</v>
      </c>
      <c r="AC42" s="227">
        <f>SUM(Y42+AA42)</f>
        <v>0</v>
      </c>
      <c r="AD42" s="101" t="e">
        <f>AC42/F42</f>
        <v>#DIV/0!</v>
      </c>
      <c r="AE42" s="234"/>
      <c r="AF42" s="101" t="e">
        <f>AE42/F42</f>
        <v>#DIV/0!</v>
      </c>
      <c r="AG42" s="234"/>
      <c r="AH42" s="101" t="e">
        <f>AG42/F42</f>
        <v>#DIV/0!</v>
      </c>
      <c r="AI42" s="234"/>
      <c r="AJ42" s="101" t="e">
        <f>AI42/F42</f>
        <v>#DIV/0!</v>
      </c>
      <c r="AK42" s="234"/>
      <c r="AL42" s="101" t="e">
        <f>AK42/F42</f>
        <v>#DIV/0!</v>
      </c>
    </row>
    <row r="43" spans="2:38" ht="12">
      <c r="B43" s="98"/>
      <c r="C43" s="83"/>
      <c r="D43" s="86"/>
      <c r="E43" s="86"/>
      <c r="F43" s="228">
        <f t="shared" si="0"/>
        <v>0</v>
      </c>
      <c r="G43" s="228"/>
      <c r="H43" s="97"/>
      <c r="I43" s="234"/>
      <c r="J43" s="101" t="e">
        <f>I43/F43</f>
        <v>#DIV/0!</v>
      </c>
      <c r="K43" s="234"/>
      <c r="L43" s="101" t="e">
        <f>K43/F43</f>
        <v>#DIV/0!</v>
      </c>
      <c r="M43" s="227">
        <f>SUM(I43+K43)</f>
        <v>0</v>
      </c>
      <c r="N43" s="101" t="e">
        <f>M43/F43</f>
        <v>#DIV/0!</v>
      </c>
      <c r="O43" s="234"/>
      <c r="P43" s="101" t="e">
        <f>O43/F43</f>
        <v>#DIV/0!</v>
      </c>
      <c r="Q43" s="234"/>
      <c r="R43" s="101" t="e">
        <f t="shared" si="43"/>
        <v>#DIV/0!</v>
      </c>
      <c r="S43" s="227">
        <f t="shared" si="44"/>
        <v>0</v>
      </c>
      <c r="T43" s="101" t="e">
        <f>S43/F43</f>
        <v>#DIV/0!</v>
      </c>
      <c r="U43" s="234"/>
      <c r="V43" s="101" t="e">
        <f>U43/F43</f>
        <v>#DIV/0!</v>
      </c>
      <c r="W43" s="234"/>
      <c r="X43" s="101" t="e">
        <f>W43/F43</f>
        <v>#DIV/0!</v>
      </c>
      <c r="Y43" s="234"/>
      <c r="Z43" s="101" t="e">
        <f>Y43/F43</f>
        <v>#DIV/0!</v>
      </c>
      <c r="AA43" s="234"/>
      <c r="AB43" s="101" t="e">
        <f t="shared" si="49"/>
        <v>#DIV/0!</v>
      </c>
      <c r="AC43" s="227">
        <f>SUM(Y43+AA43)</f>
        <v>0</v>
      </c>
      <c r="AD43" s="101" t="e">
        <f>AC43/F43</f>
        <v>#DIV/0!</v>
      </c>
      <c r="AE43" s="234"/>
      <c r="AF43" s="101" t="e">
        <f>AE43/F43</f>
        <v>#DIV/0!</v>
      </c>
      <c r="AG43" s="234"/>
      <c r="AH43" s="101" t="e">
        <f>AG43/F43</f>
        <v>#DIV/0!</v>
      </c>
      <c r="AI43" s="234"/>
      <c r="AJ43" s="101" t="e">
        <f>AI43/F43</f>
        <v>#DIV/0!</v>
      </c>
      <c r="AK43" s="234"/>
      <c r="AL43" s="101" t="e">
        <f>AK43/F43</f>
        <v>#DIV/0!</v>
      </c>
    </row>
    <row r="44" spans="2:38" ht="12">
      <c r="B44" s="98"/>
      <c r="C44" s="83"/>
      <c r="D44" s="86"/>
      <c r="E44" s="86"/>
      <c r="F44" s="228">
        <f t="shared" si="0"/>
        <v>0</v>
      </c>
      <c r="G44" s="228"/>
      <c r="H44" s="97"/>
      <c r="I44" s="234"/>
      <c r="J44" s="101" t="e">
        <f>I44/F44</f>
        <v>#DIV/0!</v>
      </c>
      <c r="K44" s="234"/>
      <c r="L44" s="101" t="e">
        <f>K44/F44</f>
        <v>#DIV/0!</v>
      </c>
      <c r="M44" s="227">
        <f>SUM(I44+K44)</f>
        <v>0</v>
      </c>
      <c r="N44" s="101" t="e">
        <f>M44/F44</f>
        <v>#DIV/0!</v>
      </c>
      <c r="O44" s="234"/>
      <c r="P44" s="101" t="e">
        <f>O44/F44</f>
        <v>#DIV/0!</v>
      </c>
      <c r="Q44" s="234"/>
      <c r="R44" s="101" t="e">
        <f t="shared" si="43"/>
        <v>#DIV/0!</v>
      </c>
      <c r="S44" s="227">
        <f t="shared" si="44"/>
        <v>0</v>
      </c>
      <c r="T44" s="101" t="e">
        <f>S44/F44</f>
        <v>#DIV/0!</v>
      </c>
      <c r="U44" s="234"/>
      <c r="V44" s="101" t="e">
        <f>U44/F44</f>
        <v>#DIV/0!</v>
      </c>
      <c r="W44" s="234"/>
      <c r="X44" s="101" t="e">
        <f>W44/F44</f>
        <v>#DIV/0!</v>
      </c>
      <c r="Y44" s="234"/>
      <c r="Z44" s="101" t="e">
        <f>Y44/F44</f>
        <v>#DIV/0!</v>
      </c>
      <c r="AA44" s="234"/>
      <c r="AB44" s="101" t="e">
        <f t="shared" si="49"/>
        <v>#DIV/0!</v>
      </c>
      <c r="AC44" s="227">
        <f>SUM(Y44+AA44)</f>
        <v>0</v>
      </c>
      <c r="AD44" s="101" t="e">
        <f>AC44/F44</f>
        <v>#DIV/0!</v>
      </c>
      <c r="AE44" s="234"/>
      <c r="AF44" s="101" t="e">
        <f>AE44/F44</f>
        <v>#DIV/0!</v>
      </c>
      <c r="AG44" s="234"/>
      <c r="AH44" s="101" t="e">
        <f>AG44/F44</f>
        <v>#DIV/0!</v>
      </c>
      <c r="AI44" s="234"/>
      <c r="AJ44" s="101" t="e">
        <f>AI44/F44</f>
        <v>#DIV/0!</v>
      </c>
      <c r="AK44" s="234"/>
      <c r="AL44" s="101" t="e">
        <f>AK44/F44</f>
        <v>#DIV/0!</v>
      </c>
    </row>
    <row r="45" spans="2:38" ht="12">
      <c r="B45" s="98"/>
      <c r="C45" s="83"/>
      <c r="D45" s="86"/>
      <c r="E45" s="86"/>
      <c r="F45" s="228">
        <f t="shared" si="0"/>
        <v>0</v>
      </c>
      <c r="G45" s="228"/>
      <c r="H45" s="97"/>
      <c r="I45" s="234"/>
      <c r="J45" s="101" t="e">
        <f>I45/F45</f>
        <v>#DIV/0!</v>
      </c>
      <c r="K45" s="234"/>
      <c r="L45" s="101" t="e">
        <f>K45/F45</f>
        <v>#DIV/0!</v>
      </c>
      <c r="M45" s="227">
        <f>SUM(I45+K45)</f>
        <v>0</v>
      </c>
      <c r="N45" s="101" t="e">
        <f>M45/F45</f>
        <v>#DIV/0!</v>
      </c>
      <c r="O45" s="234"/>
      <c r="P45" s="101" t="e">
        <f>O45/F45</f>
        <v>#DIV/0!</v>
      </c>
      <c r="Q45" s="234"/>
      <c r="R45" s="101" t="e">
        <f t="shared" si="43"/>
        <v>#DIV/0!</v>
      </c>
      <c r="S45" s="227">
        <f t="shared" si="44"/>
        <v>0</v>
      </c>
      <c r="T45" s="101" t="e">
        <f>S45/F45</f>
        <v>#DIV/0!</v>
      </c>
      <c r="U45" s="234"/>
      <c r="V45" s="101" t="e">
        <f>U45/F45</f>
        <v>#DIV/0!</v>
      </c>
      <c r="W45" s="234"/>
      <c r="X45" s="101" t="e">
        <f>W45/F45</f>
        <v>#DIV/0!</v>
      </c>
      <c r="Y45" s="234"/>
      <c r="Z45" s="101" t="e">
        <f>Y45/F45</f>
        <v>#DIV/0!</v>
      </c>
      <c r="AA45" s="234"/>
      <c r="AB45" s="101" t="e">
        <f t="shared" si="49"/>
        <v>#DIV/0!</v>
      </c>
      <c r="AC45" s="227">
        <f>SUM(Y45+AA45)</f>
        <v>0</v>
      </c>
      <c r="AD45" s="101" t="e">
        <f>AC45/F45</f>
        <v>#DIV/0!</v>
      </c>
      <c r="AE45" s="234"/>
      <c r="AF45" s="101" t="e">
        <f>AE45/F45</f>
        <v>#DIV/0!</v>
      </c>
      <c r="AG45" s="234"/>
      <c r="AH45" s="101" t="e">
        <f>AG45/F45</f>
        <v>#DIV/0!</v>
      </c>
      <c r="AI45" s="234"/>
      <c r="AJ45" s="101" t="e">
        <f>AI45/F45</f>
        <v>#DIV/0!</v>
      </c>
      <c r="AK45" s="234"/>
      <c r="AL45" s="101" t="e">
        <f>AK45/F45</f>
        <v>#DIV/0!</v>
      </c>
    </row>
    <row r="46" spans="2:38" ht="12">
      <c r="B46" s="98"/>
      <c r="C46" s="83"/>
      <c r="D46" s="84"/>
      <c r="F46" s="97"/>
      <c r="G46" s="97"/>
      <c r="H46" s="97"/>
      <c r="I46" s="276">
        <f>SUM(I7:I45)</f>
        <v>15460395.252891902</v>
      </c>
      <c r="J46" s="272" t="e">
        <f>I46/$H$7</f>
        <v>#DIV/0!</v>
      </c>
      <c r="K46" s="276">
        <f>SUM(K7:K45)</f>
        <v>23464871.526957348</v>
      </c>
      <c r="L46" s="272" t="e">
        <f>K46/$H$7</f>
        <v>#DIV/0!</v>
      </c>
      <c r="M46" s="276">
        <f>SUM(M7:M45)</f>
        <v>38925266.779849254</v>
      </c>
      <c r="N46" s="272" t="e">
        <f>M46/$H$7</f>
        <v>#DIV/0!</v>
      </c>
      <c r="O46" s="276">
        <f>SUM(O7:O45)</f>
        <v>4322338.5479968758</v>
      </c>
      <c r="P46" s="272" t="e">
        <f>O46/$H$7</f>
        <v>#DIV/0!</v>
      </c>
      <c r="Q46" s="276">
        <f>SUM(Q7:Q45)</f>
        <v>2809782.7071531746</v>
      </c>
      <c r="R46" s="272" t="e">
        <f>Q46/$H$7</f>
        <v>#DIV/0!</v>
      </c>
      <c r="S46" s="276">
        <f>SUM(S7:S45)</f>
        <v>7132121.255150049</v>
      </c>
      <c r="T46" s="272" t="e">
        <f>S46/$H$7</f>
        <v>#DIV/0!</v>
      </c>
      <c r="U46" s="276">
        <f>SUM(U7:U45)</f>
        <v>28599979.028320011</v>
      </c>
      <c r="V46" s="272" t="e">
        <f>U46/$H$7</f>
        <v>#DIV/0!</v>
      </c>
      <c r="W46" s="276">
        <f>SUM(W7:W45)</f>
        <v>258702.91137914764</v>
      </c>
      <c r="X46" s="272" t="e">
        <f>W46/$H$7</f>
        <v>#DIV/0!</v>
      </c>
      <c r="Y46" s="276">
        <f>SUM(Y7:Y45)</f>
        <v>16365747.604223078</v>
      </c>
      <c r="Z46" s="272" t="e">
        <f>Y46/$H$7</f>
        <v>#DIV/0!</v>
      </c>
      <c r="AA46" s="276">
        <f>SUM(AA7:AA45)</f>
        <v>39095549.635664783</v>
      </c>
      <c r="AB46" s="272" t="e">
        <f>AA46/$H$7</f>
        <v>#DIV/0!</v>
      </c>
      <c r="AC46" s="276">
        <f>SUM(AC7:AC45)</f>
        <v>55461297.239887863</v>
      </c>
      <c r="AD46" s="272" t="e">
        <f>AC46/$H$7</f>
        <v>#DIV/0!</v>
      </c>
      <c r="AE46" s="276">
        <f>SUM(AE7:AE45)</f>
        <v>28333080.14415155</v>
      </c>
      <c r="AF46" s="272" t="e">
        <f>AE46/$H$7</f>
        <v>#DIV/0!</v>
      </c>
      <c r="AG46" s="276">
        <f>SUM(AG7:AG45)</f>
        <v>28486570.214934543</v>
      </c>
      <c r="AH46" s="272" t="e">
        <f>AG46/$H$7</f>
        <v>#DIV/0!</v>
      </c>
      <c r="AI46" s="276">
        <f>SUM(AI7:AI45)</f>
        <v>14518968.436311822</v>
      </c>
      <c r="AJ46" s="272" t="e">
        <f>AI46/$H$7</f>
        <v>#DIV/0!</v>
      </c>
      <c r="AK46" s="276">
        <f>SUM(AK7:AK45)</f>
        <v>17745729.990015753</v>
      </c>
      <c r="AL46" s="272" t="e">
        <f>AK46/$H$7</f>
        <v>#DIV/0!</v>
      </c>
    </row>
    <row r="47" spans="2:38" ht="12">
      <c r="B47" s="98"/>
      <c r="C47" s="83"/>
      <c r="D47" s="84"/>
      <c r="F47" s="97"/>
      <c r="G47" s="97"/>
      <c r="H47" s="97"/>
      <c r="I47" s="273"/>
      <c r="J47" s="274"/>
      <c r="K47" s="273"/>
      <c r="L47" s="274"/>
      <c r="M47" s="275">
        <f>M46</f>
        <v>38925266.779849254</v>
      </c>
      <c r="N47" s="274"/>
      <c r="O47" s="273"/>
      <c r="P47" s="274"/>
      <c r="Q47" s="273"/>
      <c r="R47" s="274"/>
      <c r="S47" s="275">
        <f>S46</f>
        <v>7132121.255150049</v>
      </c>
      <c r="T47" s="274"/>
      <c r="U47" s="275">
        <f>U46</f>
        <v>28599979.028320011</v>
      </c>
      <c r="V47" s="274"/>
      <c r="W47" s="275">
        <f>W46</f>
        <v>258702.91137914764</v>
      </c>
      <c r="X47" s="274"/>
      <c r="Y47" s="273"/>
      <c r="Z47" s="274"/>
      <c r="AA47" s="273"/>
      <c r="AB47" s="274"/>
      <c r="AC47" s="275">
        <f>AC46</f>
        <v>55461297.239887863</v>
      </c>
      <c r="AD47" s="274"/>
      <c r="AE47" s="275">
        <f>AE46</f>
        <v>28333080.14415155</v>
      </c>
      <c r="AF47" s="274"/>
      <c r="AG47" s="275">
        <f>AG46</f>
        <v>28486570.214934543</v>
      </c>
      <c r="AH47" s="274"/>
      <c r="AI47" s="275">
        <f>AI46</f>
        <v>14518968.436311822</v>
      </c>
      <c r="AJ47" s="274"/>
      <c r="AK47" s="275">
        <f>AK46</f>
        <v>17745729.990015753</v>
      </c>
      <c r="AL47" s="274"/>
    </row>
    <row r="48" spans="2:38" ht="12">
      <c r="B48" s="98"/>
      <c r="C48" s="83"/>
      <c r="D48" s="84"/>
      <c r="F48" s="97"/>
      <c r="G48" s="97"/>
      <c r="H48" s="97"/>
    </row>
    <row r="49" spans="1:46" ht="12">
      <c r="B49" s="98"/>
      <c r="C49" s="83"/>
      <c r="D49" s="84"/>
      <c r="F49" s="97"/>
      <c r="G49" s="97"/>
      <c r="H49" s="97"/>
    </row>
    <row r="50" spans="1:46" s="84" customFormat="1" ht="12">
      <c r="A50" s="77"/>
      <c r="B50" s="98"/>
      <c r="C50" s="83"/>
      <c r="F50" s="102"/>
      <c r="G50" s="102"/>
      <c r="H50" s="102"/>
      <c r="I50" s="97"/>
      <c r="J50" s="90"/>
      <c r="K50" s="97"/>
      <c r="L50" s="90"/>
      <c r="M50" s="90"/>
      <c r="N50" s="90"/>
      <c r="O50" s="97"/>
      <c r="P50" s="90"/>
      <c r="Q50" s="97"/>
      <c r="R50" s="90"/>
      <c r="S50" s="97"/>
      <c r="T50" s="90"/>
      <c r="U50" s="97"/>
      <c r="V50" s="90"/>
      <c r="W50" s="97"/>
      <c r="X50" s="90"/>
      <c r="Y50" s="97"/>
      <c r="Z50" s="90"/>
      <c r="AA50" s="97"/>
      <c r="AB50" s="90"/>
      <c r="AC50" s="97"/>
      <c r="AD50" s="90"/>
      <c r="AE50" s="97"/>
      <c r="AF50" s="90"/>
      <c r="AG50" s="97"/>
      <c r="AH50" s="90"/>
      <c r="AI50" s="97"/>
      <c r="AJ50" s="90"/>
      <c r="AK50" s="97"/>
      <c r="AL50" s="90"/>
      <c r="AM50" s="77"/>
      <c r="AN50" s="77"/>
      <c r="AO50" s="77"/>
      <c r="AP50" s="77"/>
      <c r="AQ50" s="77"/>
      <c r="AR50" s="77"/>
      <c r="AS50" s="77"/>
      <c r="AT50" s="77"/>
    </row>
    <row r="51" spans="1:46" s="84" customFormat="1" ht="12">
      <c r="A51" s="77"/>
      <c r="B51" s="98"/>
      <c r="C51" s="83"/>
      <c r="F51" s="102"/>
      <c r="G51" s="102"/>
      <c r="H51" s="102"/>
      <c r="I51" s="97"/>
      <c r="J51" s="90"/>
      <c r="K51" s="97"/>
      <c r="L51" s="90"/>
      <c r="M51" s="90"/>
      <c r="N51" s="90"/>
      <c r="O51" s="97"/>
      <c r="P51" s="90"/>
      <c r="Q51" s="97"/>
      <c r="R51" s="90"/>
      <c r="S51" s="97"/>
      <c r="T51" s="90"/>
      <c r="U51" s="97"/>
      <c r="V51" s="90"/>
      <c r="W51" s="97"/>
      <c r="X51" s="90"/>
      <c r="Y51" s="97"/>
      <c r="Z51" s="90"/>
      <c r="AA51" s="97"/>
      <c r="AB51" s="90"/>
      <c r="AC51" s="97"/>
      <c r="AD51" s="90"/>
      <c r="AE51" s="97"/>
      <c r="AF51" s="90"/>
      <c r="AG51" s="97"/>
      <c r="AH51" s="90"/>
      <c r="AI51" s="97"/>
      <c r="AJ51" s="90"/>
      <c r="AK51" s="97"/>
      <c r="AL51" s="90"/>
      <c r="AM51" s="77"/>
      <c r="AN51" s="77"/>
      <c r="AO51" s="77"/>
      <c r="AP51" s="77"/>
      <c r="AQ51" s="77"/>
      <c r="AR51" s="77"/>
      <c r="AS51" s="77"/>
      <c r="AT51" s="77"/>
    </row>
    <row r="52" spans="1:46" s="84" customFormat="1" ht="12">
      <c r="A52" s="77"/>
      <c r="B52" s="98"/>
      <c r="C52" s="83"/>
      <c r="F52" s="102"/>
      <c r="G52" s="102"/>
      <c r="H52" s="102"/>
      <c r="I52" s="97"/>
      <c r="J52" s="90"/>
      <c r="K52" s="97"/>
      <c r="L52" s="90"/>
      <c r="M52" s="90"/>
      <c r="N52" s="90"/>
      <c r="O52" s="97"/>
      <c r="P52" s="90"/>
      <c r="Q52" s="97"/>
      <c r="R52" s="90"/>
      <c r="S52" s="97"/>
      <c r="T52" s="90"/>
      <c r="U52" s="97"/>
      <c r="V52" s="90"/>
      <c r="W52" s="97"/>
      <c r="X52" s="90"/>
      <c r="Y52" s="97"/>
      <c r="Z52" s="90"/>
      <c r="AA52" s="97"/>
      <c r="AB52" s="90"/>
      <c r="AC52" s="97"/>
      <c r="AD52" s="90"/>
      <c r="AE52" s="97"/>
      <c r="AF52" s="90"/>
      <c r="AG52" s="97"/>
      <c r="AH52" s="90"/>
      <c r="AI52" s="97"/>
      <c r="AJ52" s="90"/>
      <c r="AK52" s="97"/>
      <c r="AL52" s="90"/>
      <c r="AM52" s="77"/>
      <c r="AN52" s="77"/>
      <c r="AO52" s="77"/>
      <c r="AP52" s="77"/>
      <c r="AQ52" s="77"/>
      <c r="AR52" s="77"/>
      <c r="AS52" s="77"/>
      <c r="AT52" s="77"/>
    </row>
    <row r="53" spans="1:46" s="84" customFormat="1" ht="12">
      <c r="A53" s="77"/>
      <c r="B53" s="98"/>
      <c r="C53" s="83"/>
      <c r="F53" s="102"/>
      <c r="G53" s="102"/>
      <c r="H53" s="102"/>
      <c r="I53" s="97"/>
      <c r="J53" s="90"/>
      <c r="K53" s="97"/>
      <c r="L53" s="90"/>
      <c r="M53" s="90"/>
      <c r="N53" s="90"/>
      <c r="O53" s="97"/>
      <c r="P53" s="90"/>
      <c r="Q53" s="97"/>
      <c r="R53" s="90"/>
      <c r="S53" s="97"/>
      <c r="T53" s="90"/>
      <c r="U53" s="97"/>
      <c r="V53" s="90"/>
      <c r="W53" s="97"/>
      <c r="X53" s="90"/>
      <c r="Y53" s="97"/>
      <c r="Z53" s="90"/>
      <c r="AA53" s="97"/>
      <c r="AB53" s="90"/>
      <c r="AC53" s="97"/>
      <c r="AD53" s="90"/>
      <c r="AE53" s="97"/>
      <c r="AF53" s="90"/>
      <c r="AG53" s="97"/>
      <c r="AH53" s="90"/>
      <c r="AI53" s="97"/>
      <c r="AJ53" s="90"/>
      <c r="AK53" s="97"/>
      <c r="AL53" s="90"/>
      <c r="AM53" s="77"/>
      <c r="AN53" s="77"/>
      <c r="AO53" s="77"/>
      <c r="AP53" s="77"/>
      <c r="AQ53" s="77"/>
      <c r="AR53" s="77"/>
      <c r="AS53" s="77"/>
      <c r="AT53" s="77"/>
    </row>
    <row r="54" spans="1:46" s="84" customFormat="1" ht="12">
      <c r="A54" s="77"/>
      <c r="B54" s="98"/>
      <c r="C54" s="83"/>
      <c r="F54" s="102"/>
      <c r="G54" s="102"/>
      <c r="H54" s="102"/>
      <c r="I54" s="97"/>
      <c r="J54" s="90"/>
      <c r="K54" s="97"/>
      <c r="L54" s="90"/>
      <c r="M54" s="90"/>
      <c r="N54" s="90"/>
      <c r="O54" s="97"/>
      <c r="P54" s="90"/>
      <c r="Q54" s="97"/>
      <c r="R54" s="90"/>
      <c r="S54" s="97"/>
      <c r="T54" s="90"/>
      <c r="U54" s="97"/>
      <c r="V54" s="90"/>
      <c r="W54" s="97"/>
      <c r="X54" s="90"/>
      <c r="Y54" s="97"/>
      <c r="Z54" s="90"/>
      <c r="AA54" s="97"/>
      <c r="AB54" s="90"/>
      <c r="AC54" s="97"/>
      <c r="AD54" s="90"/>
      <c r="AE54" s="97"/>
      <c r="AF54" s="90"/>
      <c r="AG54" s="97"/>
      <c r="AH54" s="90"/>
      <c r="AI54" s="97"/>
      <c r="AJ54" s="90"/>
      <c r="AK54" s="97"/>
      <c r="AL54" s="90"/>
      <c r="AM54" s="77"/>
      <c r="AN54" s="77"/>
      <c r="AO54" s="77"/>
      <c r="AP54" s="77"/>
      <c r="AQ54" s="77"/>
      <c r="AR54" s="77"/>
      <c r="AS54" s="77"/>
      <c r="AT54" s="77"/>
    </row>
    <row r="55" spans="1:46" s="84" customFormat="1" ht="12">
      <c r="A55" s="77"/>
      <c r="B55" s="98"/>
      <c r="C55" s="83"/>
      <c r="F55" s="102"/>
      <c r="G55" s="102"/>
      <c r="H55" s="102"/>
      <c r="I55" s="97"/>
      <c r="J55" s="90"/>
      <c r="K55" s="97"/>
      <c r="L55" s="90"/>
      <c r="M55" s="90"/>
      <c r="N55" s="90"/>
      <c r="O55" s="97"/>
      <c r="P55" s="90"/>
      <c r="Q55" s="97"/>
      <c r="R55" s="90"/>
      <c r="S55" s="97"/>
      <c r="T55" s="90"/>
      <c r="U55" s="97"/>
      <c r="V55" s="90"/>
      <c r="W55" s="97"/>
      <c r="X55" s="90"/>
      <c r="Y55" s="97"/>
      <c r="Z55" s="90"/>
      <c r="AA55" s="97"/>
      <c r="AB55" s="90"/>
      <c r="AC55" s="97"/>
      <c r="AD55" s="90"/>
      <c r="AE55" s="97"/>
      <c r="AF55" s="90"/>
      <c r="AG55" s="97"/>
      <c r="AH55" s="90"/>
      <c r="AI55" s="97"/>
      <c r="AJ55" s="90"/>
      <c r="AK55" s="97"/>
      <c r="AL55" s="90"/>
      <c r="AM55" s="77"/>
      <c r="AN55" s="77"/>
      <c r="AO55" s="77"/>
      <c r="AP55" s="77"/>
      <c r="AQ55" s="77"/>
      <c r="AR55" s="77"/>
      <c r="AS55" s="77"/>
      <c r="AT55" s="77"/>
    </row>
    <row r="56" spans="1:46" s="84" customFormat="1" ht="12">
      <c r="A56" s="77"/>
      <c r="B56" s="98"/>
      <c r="C56" s="83"/>
      <c r="F56" s="102"/>
      <c r="G56" s="102"/>
      <c r="H56" s="102"/>
      <c r="I56" s="97"/>
      <c r="J56" s="90"/>
      <c r="K56" s="97"/>
      <c r="L56" s="90"/>
      <c r="M56" s="90"/>
      <c r="N56" s="90"/>
      <c r="O56" s="97"/>
      <c r="P56" s="90"/>
      <c r="Q56" s="97"/>
      <c r="R56" s="90"/>
      <c r="S56" s="97"/>
      <c r="T56" s="90"/>
      <c r="U56" s="97"/>
      <c r="V56" s="90"/>
      <c r="W56" s="97"/>
      <c r="X56" s="90"/>
      <c r="Y56" s="97"/>
      <c r="Z56" s="90"/>
      <c r="AA56" s="97"/>
      <c r="AB56" s="90"/>
      <c r="AC56" s="97"/>
      <c r="AD56" s="90"/>
      <c r="AE56" s="97"/>
      <c r="AF56" s="90"/>
      <c r="AG56" s="97"/>
      <c r="AH56" s="90"/>
      <c r="AI56" s="97"/>
      <c r="AJ56" s="90"/>
      <c r="AK56" s="97"/>
      <c r="AL56" s="90"/>
      <c r="AM56" s="77"/>
      <c r="AN56" s="77"/>
      <c r="AO56" s="77"/>
      <c r="AP56" s="77"/>
      <c r="AQ56" s="77"/>
      <c r="AR56" s="77"/>
      <c r="AS56" s="77"/>
      <c r="AT56" s="77"/>
    </row>
    <row r="57" spans="1:46" s="84" customFormat="1" ht="12">
      <c r="A57" s="77"/>
      <c r="B57" s="98"/>
      <c r="C57" s="83"/>
      <c r="F57" s="102"/>
      <c r="G57" s="102"/>
      <c r="H57" s="102"/>
      <c r="I57" s="97"/>
      <c r="J57" s="90"/>
      <c r="K57" s="97"/>
      <c r="L57" s="90"/>
      <c r="M57" s="90"/>
      <c r="N57" s="90"/>
      <c r="O57" s="97"/>
      <c r="P57" s="90"/>
      <c r="Q57" s="97"/>
      <c r="R57" s="90"/>
      <c r="S57" s="97"/>
      <c r="T57" s="90"/>
      <c r="U57" s="97"/>
      <c r="V57" s="90"/>
      <c r="W57" s="97"/>
      <c r="X57" s="90"/>
      <c r="Y57" s="97"/>
      <c r="Z57" s="90"/>
      <c r="AA57" s="97"/>
      <c r="AB57" s="90"/>
      <c r="AC57" s="97"/>
      <c r="AD57" s="90"/>
      <c r="AE57" s="97"/>
      <c r="AF57" s="90"/>
      <c r="AG57" s="97"/>
      <c r="AH57" s="90"/>
      <c r="AI57" s="97"/>
      <c r="AJ57" s="90"/>
      <c r="AK57" s="97"/>
      <c r="AL57" s="90"/>
      <c r="AM57" s="77"/>
      <c r="AN57" s="77"/>
      <c r="AO57" s="77"/>
      <c r="AP57" s="77"/>
      <c r="AQ57" s="77"/>
      <c r="AR57" s="77"/>
      <c r="AS57" s="77"/>
      <c r="AT57" s="77"/>
    </row>
    <row r="58" spans="1:46" s="84" customFormat="1" ht="12">
      <c r="A58" s="77"/>
      <c r="B58" s="98"/>
      <c r="C58" s="83"/>
      <c r="F58" s="102"/>
      <c r="G58" s="102"/>
      <c r="H58" s="102"/>
      <c r="I58" s="97"/>
      <c r="J58" s="90"/>
      <c r="K58" s="97"/>
      <c r="L58" s="90"/>
      <c r="M58" s="90"/>
      <c r="N58" s="90"/>
      <c r="O58" s="97"/>
      <c r="P58" s="90"/>
      <c r="Q58" s="97"/>
      <c r="R58" s="90"/>
      <c r="S58" s="97"/>
      <c r="T58" s="90"/>
      <c r="U58" s="97"/>
      <c r="V58" s="90"/>
      <c r="W58" s="97"/>
      <c r="X58" s="90"/>
      <c r="Y58" s="97"/>
      <c r="Z58" s="90"/>
      <c r="AA58" s="97"/>
      <c r="AB58" s="90"/>
      <c r="AC58" s="97"/>
      <c r="AD58" s="90"/>
      <c r="AE58" s="97"/>
      <c r="AF58" s="90"/>
      <c r="AG58" s="97"/>
      <c r="AH58" s="90"/>
      <c r="AI58" s="97"/>
      <c r="AJ58" s="90"/>
      <c r="AK58" s="97"/>
      <c r="AL58" s="90"/>
      <c r="AM58" s="77"/>
      <c r="AN58" s="77"/>
      <c r="AO58" s="77"/>
      <c r="AP58" s="77"/>
      <c r="AQ58" s="77"/>
      <c r="AR58" s="77"/>
      <c r="AS58" s="77"/>
      <c r="AT58" s="77"/>
    </row>
    <row r="59" spans="1:46" s="84" customFormat="1" ht="12">
      <c r="A59" s="77"/>
      <c r="B59" s="98"/>
      <c r="C59" s="83"/>
      <c r="F59" s="102"/>
      <c r="G59" s="102"/>
      <c r="H59" s="102"/>
      <c r="I59" s="97"/>
      <c r="J59" s="90"/>
      <c r="K59" s="97"/>
      <c r="L59" s="90"/>
      <c r="M59" s="90"/>
      <c r="N59" s="90"/>
      <c r="O59" s="97"/>
      <c r="P59" s="90"/>
      <c r="Q59" s="97"/>
      <c r="R59" s="90"/>
      <c r="S59" s="97"/>
      <c r="T59" s="90"/>
      <c r="U59" s="97"/>
      <c r="V59" s="90"/>
      <c r="W59" s="97"/>
      <c r="X59" s="90"/>
      <c r="Y59" s="97"/>
      <c r="Z59" s="90"/>
      <c r="AA59" s="97"/>
      <c r="AB59" s="90"/>
      <c r="AC59" s="97"/>
      <c r="AD59" s="90"/>
      <c r="AE59" s="97"/>
      <c r="AF59" s="90"/>
      <c r="AG59" s="97"/>
      <c r="AH59" s="90"/>
      <c r="AI59" s="97"/>
      <c r="AJ59" s="90"/>
      <c r="AK59" s="97"/>
      <c r="AL59" s="90"/>
      <c r="AM59" s="77"/>
      <c r="AN59" s="77"/>
      <c r="AO59" s="77"/>
      <c r="AP59" s="77"/>
      <c r="AQ59" s="77"/>
      <c r="AR59" s="77"/>
      <c r="AS59" s="77"/>
      <c r="AT59" s="77"/>
    </row>
    <row r="60" spans="1:46" s="84" customFormat="1" ht="12">
      <c r="A60" s="77"/>
      <c r="B60" s="98"/>
      <c r="C60" s="83"/>
      <c r="F60" s="102"/>
      <c r="G60" s="102"/>
      <c r="H60" s="102"/>
      <c r="I60" s="97"/>
      <c r="J60" s="90"/>
      <c r="K60" s="97"/>
      <c r="L60" s="90"/>
      <c r="M60" s="90"/>
      <c r="N60" s="90"/>
      <c r="O60" s="97"/>
      <c r="P60" s="90"/>
      <c r="Q60" s="97"/>
      <c r="R60" s="90"/>
      <c r="S60" s="97"/>
      <c r="T60" s="90"/>
      <c r="U60" s="97"/>
      <c r="V60" s="90"/>
      <c r="W60" s="97"/>
      <c r="X60" s="90"/>
      <c r="Y60" s="97"/>
      <c r="Z60" s="90"/>
      <c r="AA60" s="97"/>
      <c r="AB60" s="90"/>
      <c r="AC60" s="97"/>
      <c r="AD60" s="90"/>
      <c r="AE60" s="97"/>
      <c r="AF60" s="90"/>
      <c r="AG60" s="97"/>
      <c r="AH60" s="90"/>
      <c r="AI60" s="97"/>
      <c r="AJ60" s="90"/>
      <c r="AK60" s="97"/>
      <c r="AL60" s="90"/>
      <c r="AM60" s="77"/>
      <c r="AN60" s="77"/>
      <c r="AO60" s="77"/>
      <c r="AP60" s="77"/>
      <c r="AQ60" s="77"/>
      <c r="AR60" s="77"/>
      <c r="AS60" s="77"/>
      <c r="AT60" s="77"/>
    </row>
    <row r="61" spans="1:46" s="84" customFormat="1" ht="12">
      <c r="A61" s="77"/>
      <c r="B61" s="98"/>
      <c r="C61" s="83"/>
      <c r="F61" s="102"/>
      <c r="G61" s="102"/>
      <c r="H61" s="102"/>
      <c r="I61" s="97"/>
      <c r="J61" s="90"/>
      <c r="K61" s="97"/>
      <c r="L61" s="90"/>
      <c r="M61" s="90"/>
      <c r="N61" s="90"/>
      <c r="O61" s="97"/>
      <c r="P61" s="90"/>
      <c r="Q61" s="97"/>
      <c r="R61" s="90"/>
      <c r="S61" s="97"/>
      <c r="T61" s="90"/>
      <c r="U61" s="97"/>
      <c r="V61" s="90"/>
      <c r="W61" s="97"/>
      <c r="X61" s="90"/>
      <c r="Y61" s="97"/>
      <c r="Z61" s="90"/>
      <c r="AA61" s="97"/>
      <c r="AB61" s="90"/>
      <c r="AC61" s="97"/>
      <c r="AD61" s="90"/>
      <c r="AE61" s="97"/>
      <c r="AF61" s="90"/>
      <c r="AG61" s="97"/>
      <c r="AH61" s="90"/>
      <c r="AI61" s="97"/>
      <c r="AJ61" s="90"/>
      <c r="AK61" s="97"/>
      <c r="AL61" s="90"/>
      <c r="AM61" s="77"/>
      <c r="AN61" s="77"/>
      <c r="AO61" s="77"/>
      <c r="AP61" s="77"/>
      <c r="AQ61" s="77"/>
      <c r="AR61" s="77"/>
      <c r="AS61" s="77"/>
      <c r="AT61" s="77"/>
    </row>
    <row r="62" spans="1:46" s="84" customFormat="1" ht="12">
      <c r="A62" s="77"/>
      <c r="B62" s="98"/>
      <c r="C62" s="83"/>
      <c r="F62" s="102"/>
      <c r="G62" s="102"/>
      <c r="H62" s="102"/>
      <c r="I62" s="97"/>
      <c r="J62" s="90"/>
      <c r="K62" s="97"/>
      <c r="L62" s="90"/>
      <c r="M62" s="90"/>
      <c r="N62" s="90"/>
      <c r="O62" s="97"/>
      <c r="P62" s="90"/>
      <c r="Q62" s="97"/>
      <c r="R62" s="90"/>
      <c r="S62" s="97"/>
      <c r="T62" s="90"/>
      <c r="U62" s="97"/>
      <c r="V62" s="90"/>
      <c r="W62" s="97"/>
      <c r="X62" s="90"/>
      <c r="Y62" s="97"/>
      <c r="Z62" s="90"/>
      <c r="AA62" s="97"/>
      <c r="AB62" s="90"/>
      <c r="AC62" s="97"/>
      <c r="AD62" s="90"/>
      <c r="AE62" s="97"/>
      <c r="AF62" s="90"/>
      <c r="AG62" s="97"/>
      <c r="AH62" s="90"/>
      <c r="AI62" s="97"/>
      <c r="AJ62" s="90"/>
      <c r="AK62" s="97"/>
      <c r="AL62" s="90"/>
      <c r="AM62" s="77"/>
      <c r="AN62" s="77"/>
      <c r="AO62" s="77"/>
      <c r="AP62" s="77"/>
      <c r="AQ62" s="77"/>
      <c r="AR62" s="77"/>
      <c r="AS62" s="77"/>
      <c r="AT62" s="77"/>
    </row>
    <row r="63" spans="1:46" s="84" customFormat="1" ht="12">
      <c r="A63" s="77"/>
      <c r="B63" s="98"/>
      <c r="C63" s="83"/>
      <c r="F63" s="102"/>
      <c r="G63" s="102"/>
      <c r="H63" s="102"/>
      <c r="I63" s="97"/>
      <c r="J63" s="90"/>
      <c r="K63" s="97"/>
      <c r="L63" s="90"/>
      <c r="M63" s="90"/>
      <c r="N63" s="90"/>
      <c r="O63" s="97"/>
      <c r="P63" s="90"/>
      <c r="Q63" s="97"/>
      <c r="R63" s="90"/>
      <c r="S63" s="97"/>
      <c r="T63" s="90"/>
      <c r="U63" s="97"/>
      <c r="V63" s="90"/>
      <c r="W63" s="97"/>
      <c r="X63" s="90"/>
      <c r="Y63" s="97"/>
      <c r="Z63" s="90"/>
      <c r="AA63" s="97"/>
      <c r="AB63" s="90"/>
      <c r="AC63" s="97"/>
      <c r="AD63" s="90"/>
      <c r="AE63" s="97"/>
      <c r="AF63" s="90"/>
      <c r="AG63" s="97"/>
      <c r="AH63" s="90"/>
      <c r="AI63" s="97"/>
      <c r="AJ63" s="90"/>
      <c r="AK63" s="97"/>
      <c r="AL63" s="90"/>
      <c r="AM63" s="77"/>
      <c r="AN63" s="77"/>
      <c r="AO63" s="77"/>
      <c r="AP63" s="77"/>
      <c r="AQ63" s="77"/>
      <c r="AR63" s="77"/>
      <c r="AS63" s="77"/>
      <c r="AT63" s="77"/>
    </row>
    <row r="64" spans="1:46" s="84" customFormat="1" ht="12">
      <c r="A64" s="77"/>
      <c r="B64" s="98"/>
      <c r="C64" s="83"/>
      <c r="F64" s="102"/>
      <c r="G64" s="102"/>
      <c r="H64" s="102"/>
      <c r="I64" s="97"/>
      <c r="J64" s="90"/>
      <c r="K64" s="97"/>
      <c r="L64" s="90"/>
      <c r="M64" s="90"/>
      <c r="N64" s="90"/>
      <c r="O64" s="97"/>
      <c r="P64" s="90"/>
      <c r="Q64" s="97"/>
      <c r="R64" s="90"/>
      <c r="S64" s="97"/>
      <c r="T64" s="90"/>
      <c r="U64" s="97"/>
      <c r="V64" s="90"/>
      <c r="W64" s="97"/>
      <c r="X64" s="90"/>
      <c r="Y64" s="97"/>
      <c r="Z64" s="90"/>
      <c r="AA64" s="97"/>
      <c r="AB64" s="90"/>
      <c r="AC64" s="97"/>
      <c r="AD64" s="90"/>
      <c r="AE64" s="97"/>
      <c r="AF64" s="90"/>
      <c r="AG64" s="97"/>
      <c r="AH64" s="90"/>
      <c r="AI64" s="97"/>
      <c r="AJ64" s="90"/>
      <c r="AK64" s="97"/>
      <c r="AL64" s="90"/>
      <c r="AM64" s="77"/>
      <c r="AN64" s="77"/>
      <c r="AO64" s="77"/>
      <c r="AP64" s="77"/>
      <c r="AQ64" s="77"/>
      <c r="AR64" s="77"/>
      <c r="AS64" s="77"/>
      <c r="AT64" s="77"/>
    </row>
    <row r="65" spans="1:46" s="84" customFormat="1" ht="12">
      <c r="A65" s="77"/>
      <c r="B65" s="98"/>
      <c r="C65" s="83"/>
      <c r="F65" s="102"/>
      <c r="G65" s="102"/>
      <c r="H65" s="102"/>
      <c r="I65" s="97"/>
      <c r="J65" s="90"/>
      <c r="K65" s="97"/>
      <c r="L65" s="90"/>
      <c r="M65" s="90"/>
      <c r="N65" s="90"/>
      <c r="O65" s="97"/>
      <c r="P65" s="90"/>
      <c r="Q65" s="97"/>
      <c r="R65" s="90"/>
      <c r="S65" s="97"/>
      <c r="T65" s="90"/>
      <c r="U65" s="97"/>
      <c r="V65" s="90"/>
      <c r="W65" s="97"/>
      <c r="X65" s="90"/>
      <c r="Y65" s="97"/>
      <c r="Z65" s="90"/>
      <c r="AA65" s="97"/>
      <c r="AB65" s="90"/>
      <c r="AC65" s="97"/>
      <c r="AD65" s="90"/>
      <c r="AE65" s="97"/>
      <c r="AF65" s="90"/>
      <c r="AG65" s="97"/>
      <c r="AH65" s="90"/>
      <c r="AI65" s="97"/>
      <c r="AJ65" s="90"/>
      <c r="AK65" s="97"/>
      <c r="AL65" s="90"/>
      <c r="AM65" s="77"/>
      <c r="AN65" s="77"/>
      <c r="AO65" s="77"/>
      <c r="AP65" s="77"/>
      <c r="AQ65" s="77"/>
      <c r="AR65" s="77"/>
      <c r="AS65" s="77"/>
      <c r="AT65" s="77"/>
    </row>
    <row r="66" spans="1:46" s="84" customFormat="1" ht="12">
      <c r="A66" s="77"/>
      <c r="B66" s="98"/>
      <c r="C66" s="83"/>
      <c r="F66" s="102"/>
      <c r="G66" s="102"/>
      <c r="H66" s="102"/>
      <c r="I66" s="97"/>
      <c r="J66" s="90"/>
      <c r="K66" s="97"/>
      <c r="L66" s="90"/>
      <c r="M66" s="90"/>
      <c r="N66" s="90"/>
      <c r="O66" s="97"/>
      <c r="P66" s="90"/>
      <c r="Q66" s="97"/>
      <c r="R66" s="90"/>
      <c r="S66" s="97"/>
      <c r="T66" s="90"/>
      <c r="U66" s="97"/>
      <c r="V66" s="90"/>
      <c r="W66" s="97"/>
      <c r="X66" s="90"/>
      <c r="Y66" s="97"/>
      <c r="Z66" s="90"/>
      <c r="AA66" s="97"/>
      <c r="AB66" s="90"/>
      <c r="AC66" s="97"/>
      <c r="AD66" s="90"/>
      <c r="AE66" s="97"/>
      <c r="AF66" s="90"/>
      <c r="AG66" s="97"/>
      <c r="AH66" s="90"/>
      <c r="AI66" s="97"/>
      <c r="AJ66" s="90"/>
      <c r="AK66" s="97"/>
      <c r="AL66" s="90"/>
      <c r="AM66" s="77"/>
      <c r="AN66" s="77"/>
      <c r="AO66" s="77"/>
      <c r="AP66" s="77"/>
      <c r="AQ66" s="77"/>
      <c r="AR66" s="77"/>
      <c r="AS66" s="77"/>
      <c r="AT66" s="77"/>
    </row>
    <row r="67" spans="1:46" s="84" customFormat="1" ht="12">
      <c r="A67" s="77"/>
      <c r="B67" s="98"/>
      <c r="C67" s="83"/>
      <c r="F67" s="102"/>
      <c r="G67" s="102"/>
      <c r="H67" s="102"/>
      <c r="I67" s="97"/>
      <c r="J67" s="90"/>
      <c r="K67" s="97"/>
      <c r="L67" s="90"/>
      <c r="M67" s="90"/>
      <c r="N67" s="90"/>
      <c r="O67" s="97"/>
      <c r="P67" s="90"/>
      <c r="Q67" s="97"/>
      <c r="R67" s="90"/>
      <c r="S67" s="97"/>
      <c r="T67" s="90"/>
      <c r="U67" s="97"/>
      <c r="V67" s="90"/>
      <c r="W67" s="97"/>
      <c r="X67" s="90"/>
      <c r="Y67" s="97"/>
      <c r="Z67" s="90"/>
      <c r="AA67" s="97"/>
      <c r="AB67" s="90"/>
      <c r="AC67" s="97"/>
      <c r="AD67" s="90"/>
      <c r="AE67" s="97"/>
      <c r="AF67" s="90"/>
      <c r="AG67" s="97"/>
      <c r="AH67" s="90"/>
      <c r="AI67" s="97"/>
      <c r="AJ67" s="90"/>
      <c r="AK67" s="97"/>
      <c r="AL67" s="90"/>
      <c r="AM67" s="77"/>
      <c r="AN67" s="77"/>
      <c r="AO67" s="77"/>
      <c r="AP67" s="77"/>
      <c r="AQ67" s="77"/>
      <c r="AR67" s="77"/>
      <c r="AS67" s="77"/>
      <c r="AT67" s="77"/>
    </row>
    <row r="68" spans="1:46" s="84" customFormat="1" ht="12">
      <c r="A68" s="77"/>
      <c r="B68" s="98"/>
      <c r="C68" s="83"/>
      <c r="F68" s="102"/>
      <c r="G68" s="102"/>
      <c r="H68" s="102"/>
      <c r="I68" s="97"/>
      <c r="J68" s="90"/>
      <c r="K68" s="97"/>
      <c r="L68" s="90"/>
      <c r="M68" s="90"/>
      <c r="N68" s="90"/>
      <c r="O68" s="97"/>
      <c r="P68" s="90"/>
      <c r="Q68" s="97"/>
      <c r="R68" s="90"/>
      <c r="S68" s="97"/>
      <c r="T68" s="90"/>
      <c r="U68" s="97"/>
      <c r="V68" s="90"/>
      <c r="W68" s="97"/>
      <c r="X68" s="90"/>
      <c r="Y68" s="97"/>
      <c r="Z68" s="90"/>
      <c r="AA68" s="97"/>
      <c r="AB68" s="90"/>
      <c r="AC68" s="97"/>
      <c r="AD68" s="90"/>
      <c r="AE68" s="97"/>
      <c r="AF68" s="90"/>
      <c r="AG68" s="97"/>
      <c r="AH68" s="90"/>
      <c r="AI68" s="97"/>
      <c r="AJ68" s="90"/>
      <c r="AK68" s="97"/>
      <c r="AL68" s="90"/>
      <c r="AM68" s="77"/>
      <c r="AN68" s="77"/>
      <c r="AO68" s="77"/>
      <c r="AP68" s="77"/>
      <c r="AQ68" s="77"/>
      <c r="AR68" s="77"/>
      <c r="AS68" s="77"/>
      <c r="AT68" s="77"/>
    </row>
    <row r="69" spans="1:46" s="84" customFormat="1" ht="12">
      <c r="A69" s="77"/>
      <c r="B69" s="98"/>
      <c r="C69" s="83"/>
      <c r="F69" s="102"/>
      <c r="G69" s="102"/>
      <c r="H69" s="102"/>
      <c r="I69" s="97"/>
      <c r="J69" s="90"/>
      <c r="K69" s="97"/>
      <c r="L69" s="90"/>
      <c r="M69" s="90"/>
      <c r="N69" s="90"/>
      <c r="O69" s="97"/>
      <c r="P69" s="90"/>
      <c r="Q69" s="97"/>
      <c r="R69" s="90"/>
      <c r="S69" s="97"/>
      <c r="T69" s="90"/>
      <c r="U69" s="97"/>
      <c r="V69" s="90"/>
      <c r="W69" s="97"/>
      <c r="X69" s="90"/>
      <c r="Y69" s="97"/>
      <c r="Z69" s="90"/>
      <c r="AA69" s="97"/>
      <c r="AB69" s="90"/>
      <c r="AC69" s="97"/>
      <c r="AD69" s="90"/>
      <c r="AE69" s="97"/>
      <c r="AF69" s="90"/>
      <c r="AG69" s="97"/>
      <c r="AH69" s="90"/>
      <c r="AI69" s="97"/>
      <c r="AJ69" s="90"/>
      <c r="AK69" s="97"/>
      <c r="AL69" s="90"/>
      <c r="AM69" s="77"/>
      <c r="AN69" s="77"/>
      <c r="AO69" s="77"/>
      <c r="AP69" s="77"/>
      <c r="AQ69" s="77"/>
      <c r="AR69" s="77"/>
      <c r="AS69" s="77"/>
      <c r="AT69" s="77"/>
    </row>
    <row r="70" spans="1:46" s="84" customFormat="1" ht="12">
      <c r="A70" s="77"/>
      <c r="B70" s="98"/>
      <c r="C70" s="83"/>
      <c r="F70" s="102"/>
      <c r="G70" s="102"/>
      <c r="H70" s="102"/>
      <c r="I70" s="97"/>
      <c r="J70" s="90"/>
      <c r="K70" s="97"/>
      <c r="L70" s="90"/>
      <c r="M70" s="90"/>
      <c r="N70" s="90"/>
      <c r="O70" s="97"/>
      <c r="P70" s="90"/>
      <c r="Q70" s="97"/>
      <c r="R70" s="90"/>
      <c r="S70" s="97"/>
      <c r="T70" s="90"/>
      <c r="U70" s="97"/>
      <c r="V70" s="90"/>
      <c r="W70" s="97"/>
      <c r="X70" s="90"/>
      <c r="Y70" s="97"/>
      <c r="Z70" s="90"/>
      <c r="AA70" s="97"/>
      <c r="AB70" s="90"/>
      <c r="AC70" s="97"/>
      <c r="AD70" s="90"/>
      <c r="AE70" s="97"/>
      <c r="AF70" s="90"/>
      <c r="AG70" s="97"/>
      <c r="AH70" s="90"/>
      <c r="AI70" s="97"/>
      <c r="AJ70" s="90"/>
      <c r="AK70" s="97"/>
      <c r="AL70" s="90"/>
      <c r="AM70" s="77"/>
      <c r="AN70" s="77"/>
      <c r="AO70" s="77"/>
      <c r="AP70" s="77"/>
      <c r="AQ70" s="77"/>
      <c r="AR70" s="77"/>
      <c r="AS70" s="77"/>
      <c r="AT70" s="77"/>
    </row>
    <row r="71" spans="1:46" s="84" customFormat="1" ht="12">
      <c r="A71" s="77"/>
      <c r="B71" s="98"/>
      <c r="C71" s="83"/>
      <c r="F71" s="102"/>
      <c r="G71" s="102"/>
      <c r="H71" s="102"/>
      <c r="I71" s="97"/>
      <c r="J71" s="90"/>
      <c r="K71" s="97"/>
      <c r="L71" s="90"/>
      <c r="M71" s="90"/>
      <c r="N71" s="90"/>
      <c r="O71" s="97"/>
      <c r="P71" s="90"/>
      <c r="Q71" s="97"/>
      <c r="R71" s="90"/>
      <c r="S71" s="97"/>
      <c r="T71" s="90"/>
      <c r="U71" s="97"/>
      <c r="V71" s="90"/>
      <c r="W71" s="97"/>
      <c r="X71" s="90"/>
      <c r="Y71" s="97"/>
      <c r="Z71" s="90"/>
      <c r="AA71" s="97"/>
      <c r="AB71" s="90"/>
      <c r="AC71" s="97"/>
      <c r="AD71" s="90"/>
      <c r="AE71" s="97"/>
      <c r="AF71" s="90"/>
      <c r="AG71" s="97"/>
      <c r="AH71" s="90"/>
      <c r="AI71" s="97"/>
      <c r="AJ71" s="90"/>
      <c r="AK71" s="97"/>
      <c r="AL71" s="90"/>
      <c r="AM71" s="77"/>
      <c r="AN71" s="77"/>
      <c r="AO71" s="77"/>
      <c r="AP71" s="77"/>
      <c r="AQ71" s="77"/>
      <c r="AR71" s="77"/>
      <c r="AS71" s="77"/>
      <c r="AT71" s="77"/>
    </row>
    <row r="72" spans="1:46" s="84" customFormat="1" ht="12">
      <c r="A72" s="77"/>
      <c r="B72" s="98"/>
      <c r="C72" s="83"/>
      <c r="F72" s="102"/>
      <c r="G72" s="102"/>
      <c r="H72" s="102"/>
      <c r="I72" s="97"/>
      <c r="J72" s="90"/>
      <c r="K72" s="97"/>
      <c r="L72" s="90"/>
      <c r="M72" s="90"/>
      <c r="N72" s="90"/>
      <c r="O72" s="97"/>
      <c r="P72" s="90"/>
      <c r="Q72" s="97"/>
      <c r="R72" s="90"/>
      <c r="S72" s="97"/>
      <c r="T72" s="90"/>
      <c r="U72" s="97"/>
      <c r="V72" s="90"/>
      <c r="W72" s="97"/>
      <c r="X72" s="90"/>
      <c r="Y72" s="97"/>
      <c r="Z72" s="90"/>
      <c r="AA72" s="97"/>
      <c r="AB72" s="90"/>
      <c r="AC72" s="97"/>
      <c r="AD72" s="90"/>
      <c r="AE72" s="97"/>
      <c r="AF72" s="90"/>
      <c r="AG72" s="97"/>
      <c r="AH72" s="90"/>
      <c r="AI72" s="97"/>
      <c r="AJ72" s="90"/>
      <c r="AK72" s="97"/>
      <c r="AL72" s="90"/>
      <c r="AM72" s="77"/>
      <c r="AN72" s="77"/>
      <c r="AO72" s="77"/>
      <c r="AP72" s="77"/>
      <c r="AQ72" s="77"/>
      <c r="AR72" s="77"/>
      <c r="AS72" s="77"/>
      <c r="AT72" s="77"/>
    </row>
    <row r="73" spans="1:46" s="84" customFormat="1" ht="12">
      <c r="A73" s="77"/>
      <c r="B73" s="98"/>
      <c r="C73" s="83"/>
      <c r="F73" s="102"/>
      <c r="G73" s="102"/>
      <c r="H73" s="102"/>
      <c r="I73" s="97"/>
      <c r="J73" s="90"/>
      <c r="K73" s="97"/>
      <c r="L73" s="90"/>
      <c r="M73" s="90"/>
      <c r="N73" s="90"/>
      <c r="O73" s="97"/>
      <c r="P73" s="90"/>
      <c r="Q73" s="97"/>
      <c r="R73" s="90"/>
      <c r="S73" s="97"/>
      <c r="T73" s="90"/>
      <c r="U73" s="97"/>
      <c r="V73" s="90"/>
      <c r="W73" s="97"/>
      <c r="X73" s="90"/>
      <c r="Y73" s="97"/>
      <c r="Z73" s="90"/>
      <c r="AA73" s="97"/>
      <c r="AB73" s="90"/>
      <c r="AC73" s="97"/>
      <c r="AD73" s="90"/>
      <c r="AE73" s="97"/>
      <c r="AF73" s="90"/>
      <c r="AG73" s="97"/>
      <c r="AH73" s="90"/>
      <c r="AI73" s="97"/>
      <c r="AJ73" s="90"/>
      <c r="AK73" s="97"/>
      <c r="AL73" s="90"/>
      <c r="AM73" s="77"/>
      <c r="AN73" s="77"/>
      <c r="AO73" s="77"/>
      <c r="AP73" s="77"/>
      <c r="AQ73" s="77"/>
      <c r="AR73" s="77"/>
      <c r="AS73" s="77"/>
      <c r="AT73" s="77"/>
    </row>
    <row r="74" spans="1:46" s="84" customFormat="1" ht="12">
      <c r="A74" s="77"/>
      <c r="B74" s="98"/>
      <c r="C74" s="83"/>
      <c r="F74" s="102"/>
      <c r="G74" s="102"/>
      <c r="H74" s="102"/>
      <c r="I74" s="97"/>
      <c r="J74" s="90"/>
      <c r="K74" s="97"/>
      <c r="L74" s="90"/>
      <c r="M74" s="90"/>
      <c r="N74" s="90"/>
      <c r="O74" s="97"/>
      <c r="P74" s="90"/>
      <c r="Q74" s="97"/>
      <c r="R74" s="90"/>
      <c r="S74" s="97"/>
      <c r="T74" s="90"/>
      <c r="U74" s="97"/>
      <c r="V74" s="90"/>
      <c r="W74" s="97"/>
      <c r="X74" s="90"/>
      <c r="Y74" s="97"/>
      <c r="Z74" s="90"/>
      <c r="AA74" s="97"/>
      <c r="AB74" s="90"/>
      <c r="AC74" s="97"/>
      <c r="AD74" s="90"/>
      <c r="AE74" s="97"/>
      <c r="AF74" s="90"/>
      <c r="AG74" s="97"/>
      <c r="AH74" s="90"/>
      <c r="AI74" s="97"/>
      <c r="AJ74" s="90"/>
      <c r="AK74" s="97"/>
      <c r="AL74" s="90"/>
      <c r="AM74" s="77"/>
      <c r="AN74" s="77"/>
      <c r="AO74" s="77"/>
      <c r="AP74" s="77"/>
      <c r="AQ74" s="77"/>
      <c r="AR74" s="77"/>
      <c r="AS74" s="77"/>
      <c r="AT74" s="77"/>
    </row>
    <row r="75" spans="1:46" s="84" customFormat="1" ht="12">
      <c r="A75" s="77"/>
      <c r="B75" s="98"/>
      <c r="C75" s="83"/>
      <c r="F75" s="102"/>
      <c r="G75" s="102"/>
      <c r="H75" s="102"/>
      <c r="I75" s="97"/>
      <c r="J75" s="90"/>
      <c r="K75" s="97"/>
      <c r="L75" s="90"/>
      <c r="M75" s="90"/>
      <c r="N75" s="90"/>
      <c r="O75" s="97"/>
      <c r="P75" s="90"/>
      <c r="Q75" s="97"/>
      <c r="R75" s="90"/>
      <c r="S75" s="97"/>
      <c r="T75" s="90"/>
      <c r="U75" s="97"/>
      <c r="V75" s="90"/>
      <c r="W75" s="97"/>
      <c r="X75" s="90"/>
      <c r="Y75" s="97"/>
      <c r="Z75" s="90"/>
      <c r="AA75" s="97"/>
      <c r="AB75" s="90"/>
      <c r="AC75" s="97"/>
      <c r="AD75" s="90"/>
      <c r="AE75" s="97"/>
      <c r="AF75" s="90"/>
      <c r="AG75" s="97"/>
      <c r="AH75" s="90"/>
      <c r="AI75" s="97"/>
      <c r="AJ75" s="90"/>
      <c r="AK75" s="97"/>
      <c r="AL75" s="90"/>
      <c r="AM75" s="77"/>
      <c r="AN75" s="77"/>
      <c r="AO75" s="77"/>
      <c r="AP75" s="77"/>
      <c r="AQ75" s="77"/>
      <c r="AR75" s="77"/>
      <c r="AS75" s="77"/>
      <c r="AT75" s="77"/>
    </row>
    <row r="76" spans="1:46" s="84" customFormat="1" ht="12">
      <c r="A76" s="77"/>
      <c r="B76" s="98"/>
      <c r="C76" s="83"/>
      <c r="F76" s="102"/>
      <c r="G76" s="102"/>
      <c r="H76" s="102"/>
      <c r="I76" s="97"/>
      <c r="J76" s="90"/>
      <c r="K76" s="97"/>
      <c r="L76" s="90"/>
      <c r="M76" s="90"/>
      <c r="N76" s="90"/>
      <c r="O76" s="97"/>
      <c r="P76" s="90"/>
      <c r="Q76" s="97"/>
      <c r="R76" s="90"/>
      <c r="S76" s="97"/>
      <c r="T76" s="90"/>
      <c r="U76" s="97"/>
      <c r="V76" s="90"/>
      <c r="W76" s="97"/>
      <c r="X76" s="90"/>
      <c r="Y76" s="97"/>
      <c r="Z76" s="90"/>
      <c r="AA76" s="97"/>
      <c r="AB76" s="90"/>
      <c r="AC76" s="97"/>
      <c r="AD76" s="90"/>
      <c r="AE76" s="97"/>
      <c r="AF76" s="90"/>
      <c r="AG76" s="97"/>
      <c r="AH76" s="90"/>
      <c r="AI76" s="97"/>
      <c r="AJ76" s="90"/>
      <c r="AK76" s="97"/>
      <c r="AL76" s="90"/>
      <c r="AM76" s="77"/>
      <c r="AN76" s="77"/>
      <c r="AO76" s="77"/>
      <c r="AP76" s="77"/>
      <c r="AQ76" s="77"/>
      <c r="AR76" s="77"/>
      <c r="AS76" s="77"/>
      <c r="AT76" s="77"/>
    </row>
    <row r="77" spans="1:46" s="84" customFormat="1" ht="12">
      <c r="A77" s="77"/>
      <c r="B77" s="98"/>
      <c r="C77" s="83"/>
      <c r="F77" s="102"/>
      <c r="G77" s="102"/>
      <c r="H77" s="102"/>
      <c r="I77" s="97"/>
      <c r="J77" s="90"/>
      <c r="K77" s="97"/>
      <c r="L77" s="90"/>
      <c r="M77" s="90"/>
      <c r="N77" s="90"/>
      <c r="O77" s="97"/>
      <c r="P77" s="90"/>
      <c r="Q77" s="97"/>
      <c r="R77" s="90"/>
      <c r="S77" s="97"/>
      <c r="T77" s="90"/>
      <c r="U77" s="97"/>
      <c r="V77" s="90"/>
      <c r="W77" s="97"/>
      <c r="X77" s="90"/>
      <c r="Y77" s="97"/>
      <c r="Z77" s="90"/>
      <c r="AA77" s="97"/>
      <c r="AB77" s="90"/>
      <c r="AC77" s="97"/>
      <c r="AD77" s="90"/>
      <c r="AE77" s="97"/>
      <c r="AF77" s="90"/>
      <c r="AG77" s="97"/>
      <c r="AH77" s="90"/>
      <c r="AI77" s="97"/>
      <c r="AJ77" s="90"/>
      <c r="AK77" s="97"/>
      <c r="AL77" s="90"/>
      <c r="AM77" s="77"/>
      <c r="AN77" s="77"/>
      <c r="AO77" s="77"/>
      <c r="AP77" s="77"/>
      <c r="AQ77" s="77"/>
      <c r="AR77" s="77"/>
      <c r="AS77" s="77"/>
      <c r="AT77" s="77"/>
    </row>
    <row r="78" spans="1:46" s="84" customFormat="1" ht="12">
      <c r="A78" s="77"/>
      <c r="B78" s="98"/>
      <c r="C78" s="83"/>
      <c r="F78" s="102"/>
      <c r="G78" s="102"/>
      <c r="H78" s="102"/>
      <c r="I78" s="97"/>
      <c r="J78" s="90"/>
      <c r="K78" s="97"/>
      <c r="L78" s="90"/>
      <c r="M78" s="90"/>
      <c r="N78" s="90"/>
      <c r="O78" s="97"/>
      <c r="P78" s="90"/>
      <c r="Q78" s="97"/>
      <c r="R78" s="90"/>
      <c r="S78" s="97"/>
      <c r="T78" s="90"/>
      <c r="U78" s="97"/>
      <c r="V78" s="90"/>
      <c r="W78" s="97"/>
      <c r="X78" s="90"/>
      <c r="Y78" s="97"/>
      <c r="Z78" s="90"/>
      <c r="AA78" s="97"/>
      <c r="AB78" s="90"/>
      <c r="AC78" s="97"/>
      <c r="AD78" s="90"/>
      <c r="AE78" s="97"/>
      <c r="AF78" s="90"/>
      <c r="AG78" s="97"/>
      <c r="AH78" s="90"/>
      <c r="AI78" s="97"/>
      <c r="AJ78" s="90"/>
      <c r="AK78" s="97"/>
      <c r="AL78" s="90"/>
      <c r="AM78" s="77"/>
      <c r="AN78" s="77"/>
      <c r="AO78" s="77"/>
      <c r="AP78" s="77"/>
      <c r="AQ78" s="77"/>
      <c r="AR78" s="77"/>
      <c r="AS78" s="77"/>
      <c r="AT78" s="77"/>
    </row>
    <row r="79" spans="1:46" s="84" customFormat="1" ht="12">
      <c r="A79" s="77"/>
      <c r="B79" s="98"/>
      <c r="C79" s="83"/>
      <c r="F79" s="102"/>
      <c r="G79" s="102"/>
      <c r="H79" s="102"/>
      <c r="I79" s="97"/>
      <c r="J79" s="90"/>
      <c r="K79" s="97"/>
      <c r="L79" s="90"/>
      <c r="M79" s="90"/>
      <c r="N79" s="90"/>
      <c r="O79" s="97"/>
      <c r="P79" s="90"/>
      <c r="Q79" s="97"/>
      <c r="R79" s="90"/>
      <c r="S79" s="97"/>
      <c r="T79" s="90"/>
      <c r="U79" s="97"/>
      <c r="V79" s="90"/>
      <c r="W79" s="97"/>
      <c r="X79" s="90"/>
      <c r="Y79" s="97"/>
      <c r="Z79" s="90"/>
      <c r="AA79" s="97"/>
      <c r="AB79" s="90"/>
      <c r="AC79" s="97"/>
      <c r="AD79" s="90"/>
      <c r="AE79" s="97"/>
      <c r="AF79" s="90"/>
      <c r="AG79" s="97"/>
      <c r="AH79" s="90"/>
      <c r="AI79" s="97"/>
      <c r="AJ79" s="90"/>
      <c r="AK79" s="97"/>
      <c r="AL79" s="90"/>
      <c r="AM79" s="77"/>
      <c r="AN79" s="77"/>
      <c r="AO79" s="77"/>
      <c r="AP79" s="77"/>
      <c r="AQ79" s="77"/>
      <c r="AR79" s="77"/>
      <c r="AS79" s="77"/>
      <c r="AT79" s="77"/>
    </row>
    <row r="80" spans="1:46" s="84" customFormat="1" ht="12">
      <c r="A80" s="77"/>
      <c r="B80" s="98"/>
      <c r="C80" s="83"/>
      <c r="F80" s="102"/>
      <c r="G80" s="102"/>
      <c r="H80" s="102"/>
      <c r="I80" s="97"/>
      <c r="J80" s="90"/>
      <c r="K80" s="97"/>
      <c r="L80" s="90"/>
      <c r="M80" s="90"/>
      <c r="N80" s="90"/>
      <c r="O80" s="97"/>
      <c r="P80" s="90"/>
      <c r="Q80" s="97"/>
      <c r="R80" s="90"/>
      <c r="S80" s="97"/>
      <c r="T80" s="90"/>
      <c r="U80" s="97"/>
      <c r="V80" s="90"/>
      <c r="W80" s="97"/>
      <c r="X80" s="90"/>
      <c r="Y80" s="97"/>
      <c r="Z80" s="90"/>
      <c r="AA80" s="97"/>
      <c r="AB80" s="90"/>
      <c r="AC80" s="97"/>
      <c r="AD80" s="90"/>
      <c r="AE80" s="97"/>
      <c r="AF80" s="90"/>
      <c r="AG80" s="97"/>
      <c r="AH80" s="90"/>
      <c r="AI80" s="97"/>
      <c r="AJ80" s="90"/>
      <c r="AK80" s="97"/>
      <c r="AL80" s="90"/>
      <c r="AM80" s="77"/>
      <c r="AN80" s="77"/>
      <c r="AO80" s="77"/>
      <c r="AP80" s="77"/>
      <c r="AQ80" s="77"/>
      <c r="AR80" s="77"/>
      <c r="AS80" s="77"/>
      <c r="AT80" s="77"/>
    </row>
    <row r="81" spans="1:46" s="84" customFormat="1" ht="12">
      <c r="A81" s="77"/>
      <c r="B81" s="98"/>
      <c r="C81" s="83"/>
      <c r="F81" s="102"/>
      <c r="G81" s="102"/>
      <c r="H81" s="102"/>
      <c r="I81" s="97"/>
      <c r="J81" s="90"/>
      <c r="K81" s="97"/>
      <c r="L81" s="90"/>
      <c r="M81" s="90"/>
      <c r="N81" s="90"/>
      <c r="O81" s="97"/>
      <c r="P81" s="90"/>
      <c r="Q81" s="97"/>
      <c r="R81" s="90"/>
      <c r="S81" s="97"/>
      <c r="T81" s="90"/>
      <c r="U81" s="97"/>
      <c r="V81" s="90"/>
      <c r="W81" s="97"/>
      <c r="X81" s="90"/>
      <c r="Y81" s="97"/>
      <c r="Z81" s="90"/>
      <c r="AA81" s="97"/>
      <c r="AB81" s="90"/>
      <c r="AC81" s="97"/>
      <c r="AD81" s="90"/>
      <c r="AE81" s="97"/>
      <c r="AF81" s="90"/>
      <c r="AG81" s="97"/>
      <c r="AH81" s="90"/>
      <c r="AI81" s="97"/>
      <c r="AJ81" s="90"/>
      <c r="AK81" s="97"/>
      <c r="AL81" s="90"/>
      <c r="AM81" s="77"/>
      <c r="AN81" s="77"/>
      <c r="AO81" s="77"/>
      <c r="AP81" s="77"/>
      <c r="AQ81" s="77"/>
      <c r="AR81" s="77"/>
      <c r="AS81" s="77"/>
      <c r="AT81" s="77"/>
    </row>
    <row r="82" spans="1:46" s="84" customFormat="1" ht="12">
      <c r="A82" s="77"/>
      <c r="B82" s="98"/>
      <c r="C82" s="83"/>
      <c r="F82" s="102"/>
      <c r="G82" s="102"/>
      <c r="H82" s="102"/>
      <c r="I82" s="97"/>
      <c r="J82" s="90"/>
      <c r="K82" s="97"/>
      <c r="L82" s="90"/>
      <c r="M82" s="90"/>
      <c r="N82" s="90"/>
      <c r="O82" s="97"/>
      <c r="P82" s="90"/>
      <c r="Q82" s="97"/>
      <c r="R82" s="90"/>
      <c r="S82" s="97"/>
      <c r="T82" s="90"/>
      <c r="U82" s="97"/>
      <c r="V82" s="90"/>
      <c r="W82" s="97"/>
      <c r="X82" s="90"/>
      <c r="Y82" s="97"/>
      <c r="Z82" s="90"/>
      <c r="AA82" s="97"/>
      <c r="AB82" s="90"/>
      <c r="AC82" s="97"/>
      <c r="AD82" s="90"/>
      <c r="AE82" s="97"/>
      <c r="AF82" s="90"/>
      <c r="AG82" s="97"/>
      <c r="AH82" s="90"/>
      <c r="AI82" s="97"/>
      <c r="AJ82" s="90"/>
      <c r="AK82" s="97"/>
      <c r="AL82" s="90"/>
      <c r="AM82" s="77"/>
      <c r="AN82" s="77"/>
      <c r="AO82" s="77"/>
      <c r="AP82" s="77"/>
      <c r="AQ82" s="77"/>
      <c r="AR82" s="77"/>
      <c r="AS82" s="77"/>
      <c r="AT82" s="77"/>
    </row>
    <row r="83" spans="1:46" s="84" customFormat="1" ht="12">
      <c r="A83" s="77"/>
      <c r="B83" s="98"/>
      <c r="C83" s="83"/>
      <c r="F83" s="102"/>
      <c r="G83" s="102"/>
      <c r="H83" s="102"/>
      <c r="I83" s="97"/>
      <c r="J83" s="90"/>
      <c r="K83" s="97"/>
      <c r="L83" s="90"/>
      <c r="M83" s="90"/>
      <c r="N83" s="90"/>
      <c r="O83" s="97"/>
      <c r="P83" s="90"/>
      <c r="Q83" s="97"/>
      <c r="R83" s="90"/>
      <c r="S83" s="97"/>
      <c r="T83" s="90"/>
      <c r="U83" s="97"/>
      <c r="V83" s="90"/>
      <c r="W83" s="97"/>
      <c r="X83" s="90"/>
      <c r="Y83" s="97"/>
      <c r="Z83" s="90"/>
      <c r="AA83" s="97"/>
      <c r="AB83" s="90"/>
      <c r="AC83" s="97"/>
      <c r="AD83" s="90"/>
      <c r="AE83" s="97"/>
      <c r="AF83" s="90"/>
      <c r="AG83" s="97"/>
      <c r="AH83" s="90"/>
      <c r="AI83" s="97"/>
      <c r="AJ83" s="90"/>
      <c r="AK83" s="97"/>
      <c r="AL83" s="90"/>
      <c r="AM83" s="77"/>
      <c r="AN83" s="77"/>
      <c r="AO83" s="77"/>
      <c r="AP83" s="77"/>
      <c r="AQ83" s="77"/>
      <c r="AR83" s="77"/>
      <c r="AS83" s="77"/>
      <c r="AT83" s="77"/>
    </row>
    <row r="84" spans="1:46" s="84" customFormat="1" ht="12">
      <c r="A84" s="77"/>
      <c r="B84" s="98"/>
      <c r="C84" s="83"/>
      <c r="F84" s="102"/>
      <c r="G84" s="102"/>
      <c r="H84" s="102"/>
      <c r="I84" s="97"/>
      <c r="J84" s="90"/>
      <c r="K84" s="97"/>
      <c r="L84" s="90"/>
      <c r="M84" s="90"/>
      <c r="N84" s="90"/>
      <c r="O84" s="97"/>
      <c r="P84" s="90"/>
      <c r="Q84" s="97"/>
      <c r="R84" s="90"/>
      <c r="S84" s="97"/>
      <c r="T84" s="90"/>
      <c r="U84" s="97"/>
      <c r="V84" s="90"/>
      <c r="W84" s="97"/>
      <c r="X84" s="90"/>
      <c r="Y84" s="97"/>
      <c r="Z84" s="90"/>
      <c r="AA84" s="97"/>
      <c r="AB84" s="90"/>
      <c r="AC84" s="97"/>
      <c r="AD84" s="90"/>
      <c r="AE84" s="97"/>
      <c r="AF84" s="90"/>
      <c r="AG84" s="97"/>
      <c r="AH84" s="90"/>
      <c r="AI84" s="97"/>
      <c r="AJ84" s="90"/>
      <c r="AK84" s="97"/>
      <c r="AL84" s="90"/>
      <c r="AM84" s="77"/>
      <c r="AN84" s="77"/>
      <c r="AO84" s="77"/>
      <c r="AP84" s="77"/>
      <c r="AQ84" s="77"/>
      <c r="AR84" s="77"/>
      <c r="AS84" s="77"/>
      <c r="AT84" s="77"/>
    </row>
    <row r="85" spans="1:46" s="84" customFormat="1" ht="12">
      <c r="A85" s="77"/>
      <c r="B85" s="98"/>
      <c r="C85" s="83"/>
      <c r="F85" s="102"/>
      <c r="G85" s="102"/>
      <c r="H85" s="102"/>
      <c r="I85" s="97"/>
      <c r="J85" s="90"/>
      <c r="K85" s="97"/>
      <c r="L85" s="90"/>
      <c r="M85" s="90"/>
      <c r="N85" s="90"/>
      <c r="O85" s="97"/>
      <c r="P85" s="90"/>
      <c r="Q85" s="97"/>
      <c r="R85" s="90"/>
      <c r="S85" s="97"/>
      <c r="T85" s="90"/>
      <c r="U85" s="97"/>
      <c r="V85" s="90"/>
      <c r="W85" s="97"/>
      <c r="X85" s="90"/>
      <c r="Y85" s="97"/>
      <c r="Z85" s="90"/>
      <c r="AA85" s="97"/>
      <c r="AB85" s="90"/>
      <c r="AC85" s="97"/>
      <c r="AD85" s="90"/>
      <c r="AE85" s="97"/>
      <c r="AF85" s="90"/>
      <c r="AG85" s="97"/>
      <c r="AH85" s="90"/>
      <c r="AI85" s="97"/>
      <c r="AJ85" s="90"/>
      <c r="AK85" s="97"/>
      <c r="AL85" s="90"/>
      <c r="AM85" s="77"/>
      <c r="AN85" s="77"/>
      <c r="AO85" s="77"/>
      <c r="AP85" s="77"/>
      <c r="AQ85" s="77"/>
      <c r="AR85" s="77"/>
      <c r="AS85" s="77"/>
      <c r="AT85" s="77"/>
    </row>
    <row r="86" spans="1:46" s="84" customFormat="1" ht="12">
      <c r="A86" s="77"/>
      <c r="B86" s="98"/>
      <c r="C86" s="83"/>
      <c r="F86" s="102"/>
      <c r="G86" s="102"/>
      <c r="H86" s="102"/>
      <c r="I86" s="97"/>
      <c r="J86" s="90"/>
      <c r="K86" s="97"/>
      <c r="L86" s="90"/>
      <c r="M86" s="90"/>
      <c r="N86" s="90"/>
      <c r="O86" s="97"/>
      <c r="P86" s="90"/>
      <c r="Q86" s="97"/>
      <c r="R86" s="90"/>
      <c r="S86" s="97"/>
      <c r="T86" s="90"/>
      <c r="U86" s="97"/>
      <c r="V86" s="90"/>
      <c r="W86" s="97"/>
      <c r="X86" s="90"/>
      <c r="Y86" s="97"/>
      <c r="Z86" s="90"/>
      <c r="AA86" s="97"/>
      <c r="AB86" s="90"/>
      <c r="AC86" s="97"/>
      <c r="AD86" s="90"/>
      <c r="AE86" s="97"/>
      <c r="AF86" s="90"/>
      <c r="AG86" s="97"/>
      <c r="AH86" s="90"/>
      <c r="AI86" s="97"/>
      <c r="AJ86" s="90"/>
      <c r="AK86" s="97"/>
      <c r="AL86" s="90"/>
      <c r="AM86" s="77"/>
      <c r="AN86" s="77"/>
      <c r="AO86" s="77"/>
      <c r="AP86" s="77"/>
      <c r="AQ86" s="77"/>
      <c r="AR86" s="77"/>
      <c r="AS86" s="77"/>
      <c r="AT86" s="77"/>
    </row>
    <row r="87" spans="1:46" s="84" customFormat="1" ht="12">
      <c r="A87" s="77"/>
      <c r="B87" s="98"/>
      <c r="C87" s="83"/>
      <c r="F87" s="102"/>
      <c r="G87" s="102"/>
      <c r="H87" s="102"/>
      <c r="I87" s="97"/>
      <c r="J87" s="90"/>
      <c r="K87" s="97"/>
      <c r="L87" s="90"/>
      <c r="M87" s="90"/>
      <c r="N87" s="90"/>
      <c r="O87" s="97"/>
      <c r="P87" s="90"/>
      <c r="Q87" s="97"/>
      <c r="R87" s="90"/>
      <c r="S87" s="97"/>
      <c r="T87" s="90"/>
      <c r="U87" s="97"/>
      <c r="V87" s="90"/>
      <c r="W87" s="97"/>
      <c r="X87" s="90"/>
      <c r="Y87" s="97"/>
      <c r="Z87" s="90"/>
      <c r="AA87" s="97"/>
      <c r="AB87" s="90"/>
      <c r="AC87" s="97"/>
      <c r="AD87" s="90"/>
      <c r="AE87" s="97"/>
      <c r="AF87" s="90"/>
      <c r="AG87" s="97"/>
      <c r="AH87" s="90"/>
      <c r="AI87" s="97"/>
      <c r="AJ87" s="90"/>
      <c r="AK87" s="97"/>
      <c r="AL87" s="90"/>
      <c r="AM87" s="77"/>
      <c r="AN87" s="77"/>
      <c r="AO87" s="77"/>
      <c r="AP87" s="77"/>
      <c r="AQ87" s="77"/>
      <c r="AR87" s="77"/>
      <c r="AS87" s="77"/>
      <c r="AT87" s="77"/>
    </row>
    <row r="88" spans="1:46" s="84" customFormat="1" ht="12">
      <c r="A88" s="77"/>
      <c r="B88" s="98"/>
      <c r="C88" s="83"/>
      <c r="F88" s="102"/>
      <c r="G88" s="102"/>
      <c r="H88" s="102"/>
      <c r="I88" s="97"/>
      <c r="J88" s="90"/>
      <c r="K88" s="97"/>
      <c r="L88" s="90"/>
      <c r="M88" s="90"/>
      <c r="N88" s="90"/>
      <c r="O88" s="97"/>
      <c r="P88" s="90"/>
      <c r="Q88" s="97"/>
      <c r="R88" s="90"/>
      <c r="S88" s="97"/>
      <c r="T88" s="90"/>
      <c r="U88" s="97"/>
      <c r="V88" s="90"/>
      <c r="W88" s="97"/>
      <c r="X88" s="90"/>
      <c r="Y88" s="97"/>
      <c r="Z88" s="90"/>
      <c r="AA88" s="97"/>
      <c r="AB88" s="90"/>
      <c r="AC88" s="97"/>
      <c r="AD88" s="90"/>
      <c r="AE88" s="97"/>
      <c r="AF88" s="90"/>
      <c r="AG88" s="97"/>
      <c r="AH88" s="90"/>
      <c r="AI88" s="97"/>
      <c r="AJ88" s="90"/>
      <c r="AK88" s="97"/>
      <c r="AL88" s="90"/>
      <c r="AM88" s="77"/>
      <c r="AN88" s="77"/>
      <c r="AO88" s="77"/>
      <c r="AP88" s="77"/>
      <c r="AQ88" s="77"/>
      <c r="AR88" s="77"/>
      <c r="AS88" s="77"/>
      <c r="AT88" s="77"/>
    </row>
    <row r="89" spans="1:46" s="84" customFormat="1" ht="12">
      <c r="A89" s="77"/>
      <c r="B89" s="98"/>
      <c r="C89" s="83"/>
      <c r="F89" s="102"/>
      <c r="G89" s="102"/>
      <c r="H89" s="102"/>
      <c r="I89" s="97"/>
      <c r="J89" s="90"/>
      <c r="K89" s="97"/>
      <c r="L89" s="90"/>
      <c r="M89" s="90"/>
      <c r="N89" s="90"/>
      <c r="O89" s="97"/>
      <c r="P89" s="90"/>
      <c r="Q89" s="97"/>
      <c r="R89" s="90"/>
      <c r="S89" s="97"/>
      <c r="T89" s="90"/>
      <c r="U89" s="97"/>
      <c r="V89" s="90"/>
      <c r="W89" s="97"/>
      <c r="X89" s="90"/>
      <c r="Y89" s="97"/>
      <c r="Z89" s="90"/>
      <c r="AA89" s="97"/>
      <c r="AB89" s="90"/>
      <c r="AC89" s="97"/>
      <c r="AD89" s="90"/>
      <c r="AE89" s="97"/>
      <c r="AF89" s="90"/>
      <c r="AG89" s="97"/>
      <c r="AH89" s="90"/>
      <c r="AI89" s="97"/>
      <c r="AJ89" s="90"/>
      <c r="AK89" s="97"/>
      <c r="AL89" s="90"/>
      <c r="AM89" s="77"/>
      <c r="AN89" s="77"/>
      <c r="AO89" s="77"/>
      <c r="AP89" s="77"/>
      <c r="AQ89" s="77"/>
      <c r="AR89" s="77"/>
      <c r="AS89" s="77"/>
      <c r="AT89" s="77"/>
    </row>
    <row r="90" spans="1:46" s="84" customFormat="1" ht="12">
      <c r="A90" s="77"/>
      <c r="B90" s="98"/>
      <c r="C90" s="83"/>
      <c r="F90" s="102"/>
      <c r="G90" s="102"/>
      <c r="H90" s="102"/>
      <c r="I90" s="97"/>
      <c r="J90" s="90"/>
      <c r="K90" s="97"/>
      <c r="L90" s="90"/>
      <c r="M90" s="90"/>
      <c r="N90" s="90"/>
      <c r="O90" s="97"/>
      <c r="P90" s="90"/>
      <c r="Q90" s="97"/>
      <c r="R90" s="90"/>
      <c r="S90" s="97"/>
      <c r="T90" s="90"/>
      <c r="U90" s="97"/>
      <c r="V90" s="90"/>
      <c r="W90" s="97"/>
      <c r="X90" s="90"/>
      <c r="Y90" s="97"/>
      <c r="Z90" s="90"/>
      <c r="AA90" s="97"/>
      <c r="AB90" s="90"/>
      <c r="AC90" s="97"/>
      <c r="AD90" s="90"/>
      <c r="AE90" s="97"/>
      <c r="AF90" s="90"/>
      <c r="AG90" s="97"/>
      <c r="AH90" s="90"/>
      <c r="AI90" s="97"/>
      <c r="AJ90" s="90"/>
      <c r="AK90" s="97"/>
      <c r="AL90" s="90"/>
      <c r="AM90" s="77"/>
      <c r="AN90" s="77"/>
      <c r="AO90" s="77"/>
      <c r="AP90" s="77"/>
      <c r="AQ90" s="77"/>
      <c r="AR90" s="77"/>
      <c r="AS90" s="77"/>
      <c r="AT90" s="77"/>
    </row>
    <row r="91" spans="1:46" s="84" customFormat="1" ht="12">
      <c r="A91" s="77"/>
      <c r="B91" s="98"/>
      <c r="C91" s="83"/>
      <c r="F91" s="102"/>
      <c r="G91" s="102"/>
      <c r="H91" s="102"/>
      <c r="I91" s="97"/>
      <c r="J91" s="90"/>
      <c r="K91" s="97"/>
      <c r="L91" s="90"/>
      <c r="M91" s="90"/>
      <c r="N91" s="90"/>
      <c r="O91" s="97"/>
      <c r="P91" s="90"/>
      <c r="Q91" s="97"/>
      <c r="R91" s="90"/>
      <c r="S91" s="97"/>
      <c r="T91" s="90"/>
      <c r="U91" s="97"/>
      <c r="V91" s="90"/>
      <c r="W91" s="97"/>
      <c r="X91" s="90"/>
      <c r="Y91" s="97"/>
      <c r="Z91" s="90"/>
      <c r="AA91" s="97"/>
      <c r="AB91" s="90"/>
      <c r="AC91" s="97"/>
      <c r="AD91" s="90"/>
      <c r="AE91" s="97"/>
      <c r="AF91" s="90"/>
      <c r="AG91" s="97"/>
      <c r="AH91" s="90"/>
      <c r="AI91" s="97"/>
      <c r="AJ91" s="90"/>
      <c r="AK91" s="97"/>
      <c r="AL91" s="90"/>
      <c r="AM91" s="77"/>
      <c r="AN91" s="77"/>
      <c r="AO91" s="77"/>
      <c r="AP91" s="77"/>
      <c r="AQ91" s="77"/>
      <c r="AR91" s="77"/>
      <c r="AS91" s="77"/>
      <c r="AT91" s="77"/>
    </row>
    <row r="92" spans="1:46" s="84" customFormat="1" ht="12">
      <c r="A92" s="77"/>
      <c r="B92" s="98"/>
      <c r="C92" s="83"/>
      <c r="F92" s="102"/>
      <c r="G92" s="102"/>
      <c r="H92" s="102"/>
      <c r="I92" s="97"/>
      <c r="J92" s="90"/>
      <c r="K92" s="97"/>
      <c r="L92" s="90"/>
      <c r="M92" s="90"/>
      <c r="N92" s="90"/>
      <c r="O92" s="97"/>
      <c r="P92" s="90"/>
      <c r="Q92" s="97"/>
      <c r="R92" s="90"/>
      <c r="S92" s="97"/>
      <c r="T92" s="90"/>
      <c r="U92" s="97"/>
      <c r="V92" s="90"/>
      <c r="W92" s="97"/>
      <c r="X92" s="90"/>
      <c r="Y92" s="97"/>
      <c r="Z92" s="90"/>
      <c r="AA92" s="97"/>
      <c r="AB92" s="90"/>
      <c r="AC92" s="97"/>
      <c r="AD92" s="90"/>
      <c r="AE92" s="97"/>
      <c r="AF92" s="90"/>
      <c r="AG92" s="97"/>
      <c r="AH92" s="90"/>
      <c r="AI92" s="97"/>
      <c r="AJ92" s="90"/>
      <c r="AK92" s="97"/>
      <c r="AL92" s="90"/>
      <c r="AM92" s="77"/>
      <c r="AN92" s="77"/>
      <c r="AO92" s="77"/>
      <c r="AP92" s="77"/>
      <c r="AQ92" s="77"/>
      <c r="AR92" s="77"/>
      <c r="AS92" s="77"/>
      <c r="AT92" s="77"/>
    </row>
    <row r="93" spans="1:46" s="84" customFormat="1" ht="12">
      <c r="A93" s="77"/>
      <c r="B93" s="98"/>
      <c r="C93" s="83"/>
      <c r="F93" s="102"/>
      <c r="G93" s="102"/>
      <c r="H93" s="102"/>
      <c r="I93" s="97"/>
      <c r="J93" s="90"/>
      <c r="K93" s="97"/>
      <c r="L93" s="90"/>
      <c r="M93" s="90"/>
      <c r="N93" s="90"/>
      <c r="O93" s="97"/>
      <c r="P93" s="90"/>
      <c r="Q93" s="97"/>
      <c r="R93" s="90"/>
      <c r="S93" s="97"/>
      <c r="T93" s="90"/>
      <c r="U93" s="97"/>
      <c r="V93" s="90"/>
      <c r="W93" s="97"/>
      <c r="X93" s="90"/>
      <c r="Y93" s="97"/>
      <c r="Z93" s="90"/>
      <c r="AA93" s="97"/>
      <c r="AB93" s="90"/>
      <c r="AC93" s="97"/>
      <c r="AD93" s="90"/>
      <c r="AE93" s="97"/>
      <c r="AF93" s="90"/>
      <c r="AG93" s="97"/>
      <c r="AH93" s="90"/>
      <c r="AI93" s="97"/>
      <c r="AJ93" s="90"/>
      <c r="AK93" s="97"/>
      <c r="AL93" s="90"/>
      <c r="AM93" s="77"/>
      <c r="AN93" s="77"/>
      <c r="AO93" s="77"/>
      <c r="AP93" s="77"/>
      <c r="AQ93" s="77"/>
      <c r="AR93" s="77"/>
      <c r="AS93" s="77"/>
      <c r="AT93" s="77"/>
    </row>
    <row r="94" spans="1:46" s="84" customFormat="1" ht="12">
      <c r="A94" s="77"/>
      <c r="B94" s="98"/>
      <c r="C94" s="83"/>
      <c r="F94" s="102"/>
      <c r="G94" s="102"/>
      <c r="H94" s="102"/>
      <c r="I94" s="97"/>
      <c r="J94" s="90"/>
      <c r="K94" s="97"/>
      <c r="L94" s="90"/>
      <c r="M94" s="90"/>
      <c r="N94" s="90"/>
      <c r="O94" s="97"/>
      <c r="P94" s="90"/>
      <c r="Q94" s="97"/>
      <c r="R94" s="90"/>
      <c r="S94" s="97"/>
      <c r="T94" s="90"/>
      <c r="U94" s="97"/>
      <c r="V94" s="90"/>
      <c r="W94" s="97"/>
      <c r="X94" s="90"/>
      <c r="Y94" s="97"/>
      <c r="Z94" s="90"/>
      <c r="AA94" s="97"/>
      <c r="AB94" s="90"/>
      <c r="AC94" s="97"/>
      <c r="AD94" s="90"/>
      <c r="AE94" s="97"/>
      <c r="AF94" s="90"/>
      <c r="AG94" s="97"/>
      <c r="AH94" s="90"/>
      <c r="AI94" s="97"/>
      <c r="AJ94" s="90"/>
      <c r="AK94" s="97"/>
      <c r="AL94" s="90"/>
      <c r="AM94" s="77"/>
      <c r="AN94" s="77"/>
      <c r="AO94" s="77"/>
      <c r="AP94" s="77"/>
      <c r="AQ94" s="77"/>
      <c r="AR94" s="77"/>
      <c r="AS94" s="77"/>
      <c r="AT94" s="77"/>
    </row>
    <row r="95" spans="1:46" s="84" customFormat="1" ht="12">
      <c r="A95" s="77"/>
      <c r="B95" s="98"/>
      <c r="C95" s="83"/>
      <c r="F95" s="102"/>
      <c r="G95" s="102"/>
      <c r="H95" s="102"/>
      <c r="I95" s="97"/>
      <c r="J95" s="90"/>
      <c r="K95" s="97"/>
      <c r="L95" s="90"/>
      <c r="M95" s="90"/>
      <c r="N95" s="90"/>
      <c r="O95" s="97"/>
      <c r="P95" s="90"/>
      <c r="Q95" s="97"/>
      <c r="R95" s="90"/>
      <c r="S95" s="97"/>
      <c r="T95" s="90"/>
      <c r="U95" s="97"/>
      <c r="V95" s="90"/>
      <c r="W95" s="97"/>
      <c r="X95" s="90"/>
      <c r="Y95" s="97"/>
      <c r="Z95" s="90"/>
      <c r="AA95" s="97"/>
      <c r="AB95" s="90"/>
      <c r="AC95" s="97"/>
      <c r="AD95" s="90"/>
      <c r="AE95" s="97"/>
      <c r="AF95" s="90"/>
      <c r="AG95" s="97"/>
      <c r="AH95" s="90"/>
      <c r="AI95" s="97"/>
      <c r="AJ95" s="90"/>
      <c r="AK95" s="97"/>
      <c r="AL95" s="90"/>
      <c r="AM95" s="77"/>
      <c r="AN95" s="77"/>
      <c r="AO95" s="77"/>
      <c r="AP95" s="77"/>
      <c r="AQ95" s="77"/>
      <c r="AR95" s="77"/>
      <c r="AS95" s="77"/>
      <c r="AT95" s="77"/>
    </row>
    <row r="96" spans="1:46" s="84" customFormat="1" ht="12">
      <c r="A96" s="77"/>
      <c r="B96" s="98"/>
      <c r="C96" s="83"/>
      <c r="F96" s="102"/>
      <c r="G96" s="102"/>
      <c r="H96" s="102"/>
      <c r="I96" s="97"/>
      <c r="J96" s="90"/>
      <c r="K96" s="97"/>
      <c r="L96" s="90"/>
      <c r="M96" s="90"/>
      <c r="N96" s="90"/>
      <c r="O96" s="97"/>
      <c r="P96" s="90"/>
      <c r="Q96" s="97"/>
      <c r="R96" s="90"/>
      <c r="S96" s="97"/>
      <c r="T96" s="90"/>
      <c r="U96" s="97"/>
      <c r="V96" s="90"/>
      <c r="W96" s="97"/>
      <c r="X96" s="90"/>
      <c r="Y96" s="97"/>
      <c r="Z96" s="90"/>
      <c r="AA96" s="97"/>
      <c r="AB96" s="90"/>
      <c r="AC96" s="97"/>
      <c r="AD96" s="90"/>
      <c r="AE96" s="97"/>
      <c r="AF96" s="90"/>
      <c r="AG96" s="97"/>
      <c r="AH96" s="90"/>
      <c r="AI96" s="97"/>
      <c r="AJ96" s="90"/>
      <c r="AK96" s="97"/>
      <c r="AL96" s="90"/>
      <c r="AM96" s="77"/>
      <c r="AN96" s="77"/>
      <c r="AO96" s="77"/>
      <c r="AP96" s="77"/>
      <c r="AQ96" s="77"/>
      <c r="AR96" s="77"/>
      <c r="AS96" s="77"/>
      <c r="AT96" s="77"/>
    </row>
    <row r="97" spans="1:46" s="84" customFormat="1" ht="12">
      <c r="A97" s="77"/>
      <c r="B97" s="98"/>
      <c r="C97" s="83"/>
      <c r="F97" s="102"/>
      <c r="G97" s="102"/>
      <c r="H97" s="102"/>
      <c r="I97" s="97"/>
      <c r="J97" s="90"/>
      <c r="K97" s="97"/>
      <c r="L97" s="90"/>
      <c r="M97" s="90"/>
      <c r="N97" s="90"/>
      <c r="O97" s="97"/>
      <c r="P97" s="90"/>
      <c r="Q97" s="97"/>
      <c r="R97" s="90"/>
      <c r="S97" s="97"/>
      <c r="T97" s="90"/>
      <c r="U97" s="97"/>
      <c r="V97" s="90"/>
      <c r="W97" s="97"/>
      <c r="X97" s="90"/>
      <c r="Y97" s="97"/>
      <c r="Z97" s="90"/>
      <c r="AA97" s="97"/>
      <c r="AB97" s="90"/>
      <c r="AC97" s="97"/>
      <c r="AD97" s="90"/>
      <c r="AE97" s="97"/>
      <c r="AF97" s="90"/>
      <c r="AG97" s="97"/>
      <c r="AH97" s="90"/>
      <c r="AI97" s="97"/>
      <c r="AJ97" s="90"/>
      <c r="AK97" s="97"/>
      <c r="AL97" s="90"/>
      <c r="AM97" s="77"/>
      <c r="AN97" s="77"/>
      <c r="AO97" s="77"/>
      <c r="AP97" s="77"/>
      <c r="AQ97" s="77"/>
      <c r="AR97" s="77"/>
      <c r="AS97" s="77"/>
      <c r="AT97" s="77"/>
    </row>
    <row r="98" spans="1:46" s="84" customFormat="1" ht="12">
      <c r="A98" s="77"/>
      <c r="B98" s="98"/>
      <c r="C98" s="83"/>
      <c r="F98" s="102"/>
      <c r="G98" s="102"/>
      <c r="H98" s="102"/>
      <c r="I98" s="97"/>
      <c r="J98" s="90"/>
      <c r="K98" s="97"/>
      <c r="L98" s="90"/>
      <c r="M98" s="90"/>
      <c r="N98" s="90"/>
      <c r="O98" s="97"/>
      <c r="P98" s="90"/>
      <c r="Q98" s="97"/>
      <c r="R98" s="90"/>
      <c r="S98" s="97"/>
      <c r="T98" s="90"/>
      <c r="U98" s="97"/>
      <c r="V98" s="90"/>
      <c r="W98" s="97"/>
      <c r="X98" s="90"/>
      <c r="Y98" s="97"/>
      <c r="Z98" s="90"/>
      <c r="AA98" s="97"/>
      <c r="AB98" s="90"/>
      <c r="AC98" s="97"/>
      <c r="AD98" s="90"/>
      <c r="AE98" s="97"/>
      <c r="AF98" s="90"/>
      <c r="AG98" s="97"/>
      <c r="AH98" s="90"/>
      <c r="AI98" s="97"/>
      <c r="AJ98" s="90"/>
      <c r="AK98" s="97"/>
      <c r="AL98" s="90"/>
      <c r="AM98" s="77"/>
      <c r="AN98" s="77"/>
      <c r="AO98" s="77"/>
      <c r="AP98" s="77"/>
      <c r="AQ98" s="77"/>
      <c r="AR98" s="77"/>
      <c r="AS98" s="77"/>
      <c r="AT98" s="77"/>
    </row>
    <row r="99" spans="1:46" s="84" customFormat="1" ht="12">
      <c r="A99" s="77"/>
      <c r="B99" s="98"/>
      <c r="C99" s="83"/>
      <c r="F99" s="102"/>
      <c r="G99" s="102"/>
      <c r="H99" s="102"/>
      <c r="I99" s="97"/>
      <c r="J99" s="90"/>
      <c r="K99" s="97"/>
      <c r="L99" s="90"/>
      <c r="M99" s="90"/>
      <c r="N99" s="90"/>
      <c r="O99" s="97"/>
      <c r="P99" s="90"/>
      <c r="Q99" s="97"/>
      <c r="R99" s="90"/>
      <c r="S99" s="97"/>
      <c r="T99" s="90"/>
      <c r="U99" s="97"/>
      <c r="V99" s="90"/>
      <c r="W99" s="97"/>
      <c r="X99" s="90"/>
      <c r="Y99" s="97"/>
      <c r="Z99" s="90"/>
      <c r="AA99" s="97"/>
      <c r="AB99" s="90"/>
      <c r="AC99" s="97"/>
      <c r="AD99" s="90"/>
      <c r="AE99" s="97"/>
      <c r="AF99" s="90"/>
      <c r="AG99" s="97"/>
      <c r="AH99" s="90"/>
      <c r="AI99" s="97"/>
      <c r="AJ99" s="90"/>
      <c r="AK99" s="97"/>
      <c r="AL99" s="90"/>
      <c r="AM99" s="77"/>
      <c r="AN99" s="77"/>
      <c r="AO99" s="77"/>
      <c r="AP99" s="77"/>
      <c r="AQ99" s="77"/>
      <c r="AR99" s="77"/>
      <c r="AS99" s="77"/>
      <c r="AT99" s="77"/>
    </row>
    <row r="100" spans="1:46" s="84" customFormat="1" ht="12">
      <c r="A100" s="77"/>
      <c r="B100" s="98"/>
      <c r="C100" s="83"/>
      <c r="F100" s="102"/>
      <c r="G100" s="102"/>
      <c r="H100" s="102"/>
      <c r="I100" s="97"/>
      <c r="J100" s="90"/>
      <c r="K100" s="97"/>
      <c r="L100" s="90"/>
      <c r="M100" s="90"/>
      <c r="N100" s="90"/>
      <c r="O100" s="97"/>
      <c r="P100" s="90"/>
      <c r="Q100" s="97"/>
      <c r="R100" s="90"/>
      <c r="S100" s="97"/>
      <c r="T100" s="90"/>
      <c r="U100" s="97"/>
      <c r="V100" s="90"/>
      <c r="W100" s="97"/>
      <c r="X100" s="90"/>
      <c r="Y100" s="97"/>
      <c r="Z100" s="90"/>
      <c r="AA100" s="97"/>
      <c r="AB100" s="90"/>
      <c r="AC100" s="97"/>
      <c r="AD100" s="90"/>
      <c r="AE100" s="97"/>
      <c r="AF100" s="90"/>
      <c r="AG100" s="97"/>
      <c r="AH100" s="90"/>
      <c r="AI100" s="97"/>
      <c r="AJ100" s="90"/>
      <c r="AK100" s="97"/>
      <c r="AL100" s="90"/>
      <c r="AM100" s="77"/>
      <c r="AN100" s="77"/>
      <c r="AO100" s="77"/>
      <c r="AP100" s="77"/>
      <c r="AQ100" s="77"/>
      <c r="AR100" s="77"/>
      <c r="AS100" s="77"/>
      <c r="AT100" s="77"/>
    </row>
    <row r="101" spans="1:46" s="84" customFormat="1" ht="12">
      <c r="A101" s="77"/>
      <c r="B101" s="98"/>
      <c r="C101" s="83"/>
      <c r="F101" s="102"/>
      <c r="G101" s="102"/>
      <c r="H101" s="102"/>
      <c r="I101" s="97"/>
      <c r="J101" s="90"/>
      <c r="K101" s="97"/>
      <c r="L101" s="90"/>
      <c r="M101" s="90"/>
      <c r="N101" s="90"/>
      <c r="O101" s="97"/>
      <c r="P101" s="90"/>
      <c r="Q101" s="97"/>
      <c r="R101" s="90"/>
      <c r="S101" s="97"/>
      <c r="T101" s="90"/>
      <c r="U101" s="97"/>
      <c r="V101" s="90"/>
      <c r="W101" s="97"/>
      <c r="X101" s="90"/>
      <c r="Y101" s="97"/>
      <c r="Z101" s="90"/>
      <c r="AA101" s="97"/>
      <c r="AB101" s="90"/>
      <c r="AC101" s="97"/>
      <c r="AD101" s="90"/>
      <c r="AE101" s="97"/>
      <c r="AF101" s="90"/>
      <c r="AG101" s="97"/>
      <c r="AH101" s="90"/>
      <c r="AI101" s="97"/>
      <c r="AJ101" s="90"/>
      <c r="AK101" s="97"/>
      <c r="AL101" s="90"/>
      <c r="AM101" s="77"/>
      <c r="AN101" s="77"/>
      <c r="AO101" s="77"/>
      <c r="AP101" s="77"/>
      <c r="AQ101" s="77"/>
      <c r="AR101" s="77"/>
      <c r="AS101" s="77"/>
      <c r="AT101" s="77"/>
    </row>
    <row r="102" spans="1:46" s="84" customFormat="1" ht="12">
      <c r="A102" s="77"/>
      <c r="B102" s="98"/>
      <c r="C102" s="83"/>
      <c r="F102" s="102"/>
      <c r="G102" s="102"/>
      <c r="H102" s="102"/>
      <c r="I102" s="97"/>
      <c r="J102" s="90"/>
      <c r="K102" s="97"/>
      <c r="L102" s="90"/>
      <c r="M102" s="90"/>
      <c r="N102" s="90"/>
      <c r="O102" s="97"/>
      <c r="P102" s="90"/>
      <c r="Q102" s="97"/>
      <c r="R102" s="90"/>
      <c r="S102" s="97"/>
      <c r="T102" s="90"/>
      <c r="U102" s="97"/>
      <c r="V102" s="90"/>
      <c r="W102" s="97"/>
      <c r="X102" s="90"/>
      <c r="Y102" s="97"/>
      <c r="Z102" s="90"/>
      <c r="AA102" s="97"/>
      <c r="AB102" s="90"/>
      <c r="AC102" s="97"/>
      <c r="AD102" s="90"/>
      <c r="AE102" s="97"/>
      <c r="AF102" s="90"/>
      <c r="AG102" s="97"/>
      <c r="AH102" s="90"/>
      <c r="AI102" s="97"/>
      <c r="AJ102" s="90"/>
      <c r="AK102" s="97"/>
      <c r="AL102" s="90"/>
      <c r="AM102" s="77"/>
      <c r="AN102" s="77"/>
      <c r="AO102" s="77"/>
      <c r="AP102" s="77"/>
      <c r="AQ102" s="77"/>
      <c r="AR102" s="77"/>
      <c r="AS102" s="77"/>
      <c r="AT102" s="77"/>
    </row>
  </sheetData>
  <mergeCells count="32">
    <mergeCell ref="G5:G6"/>
    <mergeCell ref="H5:H6"/>
    <mergeCell ref="I5:J5"/>
    <mergeCell ref="K5:L5"/>
    <mergeCell ref="AK5:AL5"/>
    <mergeCell ref="O5:P5"/>
    <mergeCell ref="Q5:R5"/>
    <mergeCell ref="S5:T5"/>
    <mergeCell ref="U5:V5"/>
    <mergeCell ref="W5:X5"/>
    <mergeCell ref="Y5:Z5"/>
    <mergeCell ref="AA5:AB5"/>
    <mergeCell ref="AC5:AD5"/>
    <mergeCell ref="AE5:AF5"/>
    <mergeCell ref="AG5:AH5"/>
    <mergeCell ref="AI5:AJ5"/>
    <mergeCell ref="AI4:AJ4"/>
    <mergeCell ref="AK4:AL4"/>
    <mergeCell ref="B2:AL2"/>
    <mergeCell ref="C3:C6"/>
    <mergeCell ref="D3:E6"/>
    <mergeCell ref="F3:H4"/>
    <mergeCell ref="I3:AL3"/>
    <mergeCell ref="I4:N4"/>
    <mergeCell ref="O4:T4"/>
    <mergeCell ref="U4:V4"/>
    <mergeCell ref="M5:N5"/>
    <mergeCell ref="W4:X4"/>
    <mergeCell ref="Y4:AD4"/>
    <mergeCell ref="AE4:AF4"/>
    <mergeCell ref="AG4:AH4"/>
    <mergeCell ref="F5:F6"/>
  </mergeCells>
  <phoneticPr fontId="1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2:AL102"/>
  <sheetViews>
    <sheetView zoomScale="70" zoomScaleNormal="70" workbookViewId="0">
      <pane xSplit="5" ySplit="6" topLeftCell="F7" activePane="bottomRight" state="frozen"/>
      <selection pane="topRight" activeCell="F1" sqref="F1"/>
      <selection pane="bottomLeft" activeCell="A7" sqref="A7"/>
      <selection pane="bottomRight" activeCell="P51" sqref="P51"/>
    </sheetView>
  </sheetViews>
  <sheetFormatPr defaultColWidth="8.81640625" defaultRowHeight="14"/>
  <cols>
    <col min="1" max="1" width="0" style="77" hidden="1" customWidth="1"/>
    <col min="2" max="2" width="13.1796875" style="77" hidden="1" customWidth="1"/>
    <col min="3" max="3" width="0" style="103" hidden="1" customWidth="1"/>
    <col min="4" max="4" width="17" style="103" customWidth="1"/>
    <col min="5" max="5" width="8.54296875" style="84" customWidth="1"/>
    <col min="6" max="8" width="17.453125" style="104" customWidth="1"/>
    <col min="9" max="9" width="10.54296875" style="88" customWidth="1"/>
    <col min="10" max="10" width="10.54296875" style="90" customWidth="1"/>
    <col min="11" max="11" width="10.54296875" style="88" customWidth="1"/>
    <col min="12" max="12" width="10.54296875" style="90" customWidth="1"/>
    <col min="13" max="13" width="10.54296875" style="88" customWidth="1"/>
    <col min="14" max="14" width="10.54296875" style="90" customWidth="1"/>
    <col min="15" max="15" width="10.54296875" style="88" customWidth="1"/>
    <col min="16" max="16" width="10.54296875" style="90" customWidth="1"/>
    <col min="17" max="17" width="10.54296875" style="88" customWidth="1"/>
    <col min="18" max="18" width="10.54296875" style="90" customWidth="1"/>
    <col min="19" max="19" width="10.54296875" style="88" customWidth="1"/>
    <col min="20" max="20" width="10.54296875" style="90" customWidth="1"/>
    <col min="21" max="21" width="10.54296875" style="88" customWidth="1"/>
    <col min="22" max="22" width="10.54296875" style="90" customWidth="1"/>
    <col min="23" max="23" width="10.54296875" style="88" customWidth="1"/>
    <col min="24" max="24" width="10.54296875" style="90" customWidth="1"/>
    <col min="25" max="25" width="10.54296875" style="88" customWidth="1"/>
    <col min="26" max="26" width="10.54296875" style="90" customWidth="1"/>
    <col min="27" max="27" width="10.54296875" style="88" customWidth="1"/>
    <col min="28" max="28" width="10.54296875" style="90" customWidth="1"/>
    <col min="29" max="29" width="10.54296875" style="88" customWidth="1"/>
    <col min="30" max="30" width="10.54296875" style="90" customWidth="1"/>
    <col min="31" max="31" width="10.54296875" style="88" customWidth="1"/>
    <col min="32" max="32" width="10.54296875" style="90" customWidth="1"/>
    <col min="33" max="33" width="10.453125" style="88" customWidth="1"/>
    <col min="34" max="34" width="10.453125" style="90" customWidth="1"/>
    <col min="35" max="35" width="10.453125" style="88" customWidth="1"/>
    <col min="36" max="36" width="10.453125" style="90" customWidth="1"/>
    <col min="37" max="37" width="10.453125" style="88" customWidth="1"/>
    <col min="38" max="38" width="10.453125" style="90" customWidth="1"/>
    <col min="39" max="16384" width="8.81640625" style="77"/>
  </cols>
  <sheetData>
    <row r="2" spans="1:38" ht="38.15" customHeight="1">
      <c r="A2" s="75"/>
      <c r="B2" s="519" t="s">
        <v>318</v>
      </c>
      <c r="C2" s="519"/>
      <c r="D2" s="519"/>
      <c r="E2" s="519"/>
      <c r="F2" s="519"/>
      <c r="G2" s="519"/>
      <c r="H2" s="519"/>
      <c r="I2" s="519"/>
      <c r="J2" s="519"/>
      <c r="K2" s="519"/>
      <c r="L2" s="519"/>
      <c r="M2" s="519"/>
      <c r="N2" s="519"/>
      <c r="O2" s="519"/>
      <c r="P2" s="519"/>
      <c r="Q2" s="519"/>
      <c r="R2" s="519"/>
      <c r="S2" s="519"/>
      <c r="T2" s="519"/>
      <c r="U2" s="519"/>
      <c r="V2" s="519"/>
      <c r="W2" s="519"/>
      <c r="X2" s="519"/>
      <c r="Y2" s="519"/>
      <c r="Z2" s="519"/>
      <c r="AA2" s="519"/>
      <c r="AB2" s="519"/>
      <c r="AC2" s="519"/>
      <c r="AD2" s="519"/>
      <c r="AE2" s="519"/>
      <c r="AF2" s="519"/>
      <c r="AG2" s="519"/>
      <c r="AH2" s="519"/>
      <c r="AI2" s="519"/>
      <c r="AJ2" s="519"/>
      <c r="AK2" s="519"/>
      <c r="AL2" s="519"/>
    </row>
    <row r="3" spans="1:38" ht="25.4" customHeight="1">
      <c r="B3" s="98"/>
      <c r="C3" s="520" t="s">
        <v>139</v>
      </c>
      <c r="D3" s="521" t="s">
        <v>105</v>
      </c>
      <c r="E3" s="521"/>
      <c r="F3" s="529" t="s">
        <v>148</v>
      </c>
      <c r="G3" s="530"/>
      <c r="H3" s="530"/>
      <c r="I3" s="527" t="s">
        <v>316</v>
      </c>
      <c r="J3" s="527"/>
      <c r="K3" s="527"/>
      <c r="L3" s="527"/>
      <c r="M3" s="527"/>
      <c r="N3" s="527"/>
      <c r="O3" s="527"/>
      <c r="P3" s="527"/>
      <c r="Q3" s="527"/>
      <c r="R3" s="527"/>
      <c r="S3" s="527"/>
      <c r="T3" s="527"/>
      <c r="U3" s="527"/>
      <c r="V3" s="527"/>
      <c r="W3" s="527"/>
      <c r="X3" s="527"/>
      <c r="Y3" s="527"/>
      <c r="Z3" s="527"/>
      <c r="AA3" s="527"/>
      <c r="AB3" s="527"/>
      <c r="AC3" s="527"/>
      <c r="AD3" s="527"/>
      <c r="AE3" s="527"/>
      <c r="AF3" s="527"/>
      <c r="AG3" s="527"/>
      <c r="AH3" s="527"/>
      <c r="AI3" s="527"/>
      <c r="AJ3" s="527"/>
      <c r="AK3" s="527"/>
      <c r="AL3" s="527"/>
    </row>
    <row r="4" spans="1:38" ht="25.4" customHeight="1">
      <c r="B4" s="98"/>
      <c r="C4" s="520"/>
      <c r="D4" s="521"/>
      <c r="E4" s="521"/>
      <c r="F4" s="530"/>
      <c r="G4" s="530"/>
      <c r="H4" s="530"/>
      <c r="I4" s="528" t="s">
        <v>140</v>
      </c>
      <c r="J4" s="528"/>
      <c r="K4" s="528"/>
      <c r="L4" s="528"/>
      <c r="M4" s="528"/>
      <c r="N4" s="528"/>
      <c r="O4" s="528" t="s">
        <v>141</v>
      </c>
      <c r="P4" s="528"/>
      <c r="Q4" s="528"/>
      <c r="R4" s="528"/>
      <c r="S4" s="528"/>
      <c r="T4" s="528"/>
      <c r="U4" s="528" t="s">
        <v>142</v>
      </c>
      <c r="V4" s="528"/>
      <c r="W4" s="528" t="s">
        <v>143</v>
      </c>
      <c r="X4" s="528"/>
      <c r="Y4" s="528" t="s">
        <v>134</v>
      </c>
      <c r="Z4" s="528"/>
      <c r="AA4" s="528"/>
      <c r="AB4" s="528"/>
      <c r="AC4" s="528"/>
      <c r="AD4" s="528"/>
      <c r="AE4" s="528" t="s">
        <v>132</v>
      </c>
      <c r="AF4" s="528"/>
      <c r="AG4" s="528" t="s">
        <v>144</v>
      </c>
      <c r="AH4" s="528"/>
      <c r="AI4" s="528" t="s">
        <v>145</v>
      </c>
      <c r="AJ4" s="528"/>
      <c r="AK4" s="528" t="s">
        <v>138</v>
      </c>
      <c r="AL4" s="528"/>
    </row>
    <row r="5" spans="1:38" ht="25.4" customHeight="1">
      <c r="B5" s="98"/>
      <c r="C5" s="520"/>
      <c r="D5" s="521"/>
      <c r="E5" s="521"/>
      <c r="F5" s="526" t="s">
        <v>115</v>
      </c>
      <c r="G5" s="526" t="s">
        <v>117</v>
      </c>
      <c r="H5" s="526" t="s">
        <v>118</v>
      </c>
      <c r="I5" s="528" t="s">
        <v>129</v>
      </c>
      <c r="J5" s="528"/>
      <c r="K5" s="528" t="s">
        <v>130</v>
      </c>
      <c r="L5" s="528"/>
      <c r="M5" s="531" t="s">
        <v>146</v>
      </c>
      <c r="N5" s="528"/>
      <c r="O5" s="528" t="s">
        <v>129</v>
      </c>
      <c r="P5" s="528"/>
      <c r="Q5" s="528" t="s">
        <v>130</v>
      </c>
      <c r="R5" s="528"/>
      <c r="S5" s="531" t="s">
        <v>146</v>
      </c>
      <c r="T5" s="528"/>
      <c r="U5" s="528" t="s">
        <v>129</v>
      </c>
      <c r="V5" s="528"/>
      <c r="W5" s="528" t="s">
        <v>129</v>
      </c>
      <c r="X5" s="528"/>
      <c r="Y5" s="528" t="s">
        <v>129</v>
      </c>
      <c r="Z5" s="528"/>
      <c r="AA5" s="528" t="s">
        <v>130</v>
      </c>
      <c r="AB5" s="528"/>
      <c r="AC5" s="531" t="s">
        <v>146</v>
      </c>
      <c r="AD5" s="528"/>
      <c r="AE5" s="528" t="s">
        <v>129</v>
      </c>
      <c r="AF5" s="528"/>
      <c r="AG5" s="528" t="s">
        <v>129</v>
      </c>
      <c r="AH5" s="528"/>
      <c r="AI5" s="528" t="s">
        <v>129</v>
      </c>
      <c r="AJ5" s="528"/>
      <c r="AK5" s="528" t="s">
        <v>129</v>
      </c>
      <c r="AL5" s="528"/>
    </row>
    <row r="6" spans="1:38" s="80" customFormat="1" ht="23.5" customHeight="1">
      <c r="B6" s="98"/>
      <c r="C6" s="520"/>
      <c r="D6" s="521"/>
      <c r="E6" s="521"/>
      <c r="F6" s="526"/>
      <c r="G6" s="526"/>
      <c r="H6" s="526"/>
      <c r="I6" s="105" t="s">
        <v>149</v>
      </c>
      <c r="J6" s="100" t="s">
        <v>113</v>
      </c>
      <c r="K6" s="105" t="s">
        <v>149</v>
      </c>
      <c r="L6" s="100" t="s">
        <v>113</v>
      </c>
      <c r="M6" s="105" t="s">
        <v>149</v>
      </c>
      <c r="N6" s="100" t="s">
        <v>113</v>
      </c>
      <c r="O6" s="105" t="s">
        <v>149</v>
      </c>
      <c r="P6" s="100" t="s">
        <v>113</v>
      </c>
      <c r="Q6" s="105" t="s">
        <v>149</v>
      </c>
      <c r="R6" s="100" t="s">
        <v>113</v>
      </c>
      <c r="S6" s="105" t="s">
        <v>149</v>
      </c>
      <c r="T6" s="100" t="s">
        <v>113</v>
      </c>
      <c r="U6" s="105" t="s">
        <v>149</v>
      </c>
      <c r="V6" s="100" t="s">
        <v>113</v>
      </c>
      <c r="W6" s="105" t="s">
        <v>149</v>
      </c>
      <c r="X6" s="100" t="s">
        <v>113</v>
      </c>
      <c r="Y6" s="105" t="s">
        <v>149</v>
      </c>
      <c r="Z6" s="100" t="s">
        <v>113</v>
      </c>
      <c r="AA6" s="105" t="s">
        <v>149</v>
      </c>
      <c r="AB6" s="100" t="s">
        <v>113</v>
      </c>
      <c r="AC6" s="105" t="s">
        <v>149</v>
      </c>
      <c r="AD6" s="100" t="s">
        <v>113</v>
      </c>
      <c r="AE6" s="105" t="s">
        <v>149</v>
      </c>
      <c r="AF6" s="100" t="s">
        <v>113</v>
      </c>
      <c r="AG6" s="105" t="s">
        <v>149</v>
      </c>
      <c r="AH6" s="100" t="s">
        <v>113</v>
      </c>
      <c r="AI6" s="105" t="s">
        <v>149</v>
      </c>
      <c r="AJ6" s="100" t="s">
        <v>113</v>
      </c>
      <c r="AK6" s="105" t="s">
        <v>149</v>
      </c>
      <c r="AL6" s="100" t="s">
        <v>113</v>
      </c>
    </row>
    <row r="7" spans="1:38" ht="12">
      <c r="B7" s="98"/>
      <c r="C7" s="83"/>
      <c r="D7" s="86"/>
      <c r="E7" s="86"/>
      <c r="F7" s="88"/>
      <c r="G7" s="302"/>
      <c r="H7" s="322"/>
      <c r="I7" s="235"/>
      <c r="J7" s="101"/>
      <c r="K7" s="235"/>
      <c r="L7" s="101"/>
      <c r="M7" s="106"/>
      <c r="N7" s="101"/>
      <c r="O7" s="235"/>
      <c r="P7" s="101"/>
      <c r="Q7" s="235"/>
      <c r="R7" s="101"/>
      <c r="S7" s="106"/>
      <c r="T7" s="101"/>
      <c r="U7" s="235"/>
      <c r="V7" s="101"/>
      <c r="W7" s="235"/>
      <c r="X7" s="101"/>
      <c r="Y7" s="235"/>
      <c r="Z7" s="101"/>
      <c r="AA7" s="235"/>
      <c r="AB7" s="101"/>
      <c r="AC7" s="106"/>
      <c r="AD7" s="101"/>
      <c r="AE7" s="235"/>
      <c r="AF7" s="101"/>
      <c r="AG7" s="235"/>
      <c r="AH7" s="101"/>
      <c r="AI7" s="235"/>
      <c r="AJ7" s="101"/>
      <c r="AK7" s="235"/>
      <c r="AL7" s="101"/>
    </row>
    <row r="8" spans="1:38" ht="12">
      <c r="B8" s="98"/>
      <c r="C8" s="83"/>
      <c r="D8" s="86"/>
      <c r="E8" s="86"/>
      <c r="F8" s="88"/>
      <c r="G8" s="302"/>
      <c r="I8" s="235"/>
      <c r="J8" s="101"/>
      <c r="K8" s="235"/>
      <c r="L8" s="101"/>
      <c r="M8" s="106"/>
      <c r="N8" s="101"/>
      <c r="O8" s="235"/>
      <c r="P8" s="101"/>
      <c r="Q8" s="235"/>
      <c r="R8" s="101"/>
      <c r="S8" s="106"/>
      <c r="T8" s="101"/>
      <c r="U8" s="235"/>
      <c r="V8" s="101"/>
      <c r="W8" s="235"/>
      <c r="X8" s="101"/>
      <c r="Y8" s="235"/>
      <c r="Z8" s="101"/>
      <c r="AA8" s="235"/>
      <c r="AB8" s="101"/>
      <c r="AC8" s="106"/>
      <c r="AD8" s="101"/>
      <c r="AE8" s="235"/>
      <c r="AF8" s="101"/>
      <c r="AG8" s="235"/>
      <c r="AH8" s="101"/>
      <c r="AI8" s="235"/>
      <c r="AJ8" s="101"/>
      <c r="AK8" s="235"/>
      <c r="AL8" s="101"/>
    </row>
    <row r="9" spans="1:38" ht="12">
      <c r="B9" s="98"/>
      <c r="C9" s="83"/>
      <c r="D9" s="86"/>
      <c r="E9" s="86"/>
      <c r="F9" s="88"/>
      <c r="G9" s="302"/>
      <c r="H9" s="395"/>
      <c r="I9" s="235"/>
      <c r="J9" s="101"/>
      <c r="K9" s="235"/>
      <c r="L9" s="101"/>
      <c r="M9" s="106"/>
      <c r="N9" s="101"/>
      <c r="O9" s="235"/>
      <c r="P9" s="101"/>
      <c r="Q9" s="235"/>
      <c r="R9" s="101"/>
      <c r="S9" s="106"/>
      <c r="T9" s="101"/>
      <c r="U9" s="235"/>
      <c r="V9" s="101"/>
      <c r="W9" s="235"/>
      <c r="X9" s="101"/>
      <c r="Y9" s="235"/>
      <c r="Z9" s="101"/>
      <c r="AA9" s="235"/>
      <c r="AB9" s="101"/>
      <c r="AC9" s="106"/>
      <c r="AD9" s="101"/>
      <c r="AE9" s="235"/>
      <c r="AF9" s="101"/>
      <c r="AG9" s="235"/>
      <c r="AH9" s="101"/>
      <c r="AI9" s="235"/>
      <c r="AJ9" s="101"/>
      <c r="AK9" s="235"/>
      <c r="AL9" s="101"/>
    </row>
    <row r="10" spans="1:38" ht="12">
      <c r="B10" s="98"/>
      <c r="C10" s="83"/>
      <c r="D10" s="86"/>
      <c r="E10" s="86"/>
      <c r="F10" s="88"/>
      <c r="G10" s="302"/>
      <c r="H10" s="395"/>
      <c r="I10" s="385"/>
      <c r="J10" s="386"/>
      <c r="K10" s="385"/>
      <c r="L10" s="386"/>
      <c r="M10" s="387"/>
      <c r="N10" s="386"/>
      <c r="O10" s="385"/>
      <c r="P10" s="386"/>
      <c r="Q10" s="385"/>
      <c r="R10" s="386"/>
      <c r="S10" s="387"/>
      <c r="T10" s="386"/>
      <c r="U10" s="385"/>
      <c r="V10" s="386"/>
      <c r="W10" s="385"/>
      <c r="X10" s="386"/>
      <c r="Y10" s="385"/>
      <c r="Z10" s="386"/>
      <c r="AA10" s="385"/>
      <c r="AB10" s="386"/>
      <c r="AC10" s="387"/>
      <c r="AD10" s="386"/>
      <c r="AE10" s="385"/>
      <c r="AF10" s="386"/>
      <c r="AG10" s="385"/>
      <c r="AH10" s="386"/>
      <c r="AI10" s="385"/>
      <c r="AJ10" s="386"/>
      <c r="AK10" s="385"/>
      <c r="AL10" s="386"/>
    </row>
    <row r="11" spans="1:38" ht="12">
      <c r="B11" s="98"/>
      <c r="C11" s="83"/>
      <c r="D11" s="298">
        <v>45992</v>
      </c>
      <c r="E11" s="298" t="s">
        <v>471</v>
      </c>
      <c r="F11" s="88">
        <f t="shared" ref="F11:F45" si="0">SUM(M11,S11,U11,W11,AC11,AE11,AG11,AI11,AK11)</f>
        <v>216425</v>
      </c>
      <c r="G11" s="302"/>
      <c r="H11" s="395">
        <f>SUM(F11:F41)</f>
        <v>6618327</v>
      </c>
      <c r="I11" s="235">
        <v>28626</v>
      </c>
      <c r="J11" s="101">
        <f t="shared" ref="J11:J12" si="1">I11/F11</f>
        <v>0.13226752916714798</v>
      </c>
      <c r="K11" s="235">
        <v>42791</v>
      </c>
      <c r="L11" s="101">
        <f t="shared" ref="L11:L12" si="2">K11/F11</f>
        <v>0.19771745408340072</v>
      </c>
      <c r="M11" s="106">
        <f t="shared" ref="M11:M12" si="3">SUM(I11+K11)</f>
        <v>71417</v>
      </c>
      <c r="N11" s="101">
        <f t="shared" ref="N11:N12" si="4">M11/F11</f>
        <v>0.3299849832505487</v>
      </c>
      <c r="O11" s="235">
        <v>6246</v>
      </c>
      <c r="P11" s="101">
        <f t="shared" ref="P11:P12" si="5">O11/F11</f>
        <v>2.8859882176273537E-2</v>
      </c>
      <c r="Q11" s="235">
        <v>3313</v>
      </c>
      <c r="R11" s="101">
        <f t="shared" ref="R11:R12" si="6">Q11/D11</f>
        <v>7.2034266829013746E-2</v>
      </c>
      <c r="S11" s="106">
        <f t="shared" ref="S11:S13" si="7">SUM(O11+Q11)</f>
        <v>9559</v>
      </c>
      <c r="T11" s="101">
        <f t="shared" ref="T11:T12" si="8">S11/F11</f>
        <v>4.4167725540025411E-2</v>
      </c>
      <c r="U11" s="235">
        <v>18828</v>
      </c>
      <c r="V11" s="101">
        <f t="shared" ref="V11:V12" si="9">U11/F11</f>
        <v>8.6995494975164608E-2</v>
      </c>
      <c r="W11" s="235">
        <v>1089</v>
      </c>
      <c r="X11" s="101">
        <f t="shared" ref="X11:X12" si="10">W11/F11</f>
        <v>5.0317662007623885E-3</v>
      </c>
      <c r="Y11" s="235">
        <v>22719</v>
      </c>
      <c r="Z11" s="101">
        <f t="shared" ref="Z11:Z12" si="11">Y11/F11</f>
        <v>0.1049740094721035</v>
      </c>
      <c r="AA11" s="235">
        <v>24105</v>
      </c>
      <c r="AB11" s="101">
        <f t="shared" ref="AB11:AB12" si="12">AA11/D11</f>
        <v>0.52411288919812138</v>
      </c>
      <c r="AC11" s="106">
        <f t="shared" ref="AC11:AC12" si="13">SUM(Y11+AA11)</f>
        <v>46824</v>
      </c>
      <c r="AD11" s="101">
        <f t="shared" ref="AD11:AD12" si="14">AC11/F11</f>
        <v>0.21635208501790459</v>
      </c>
      <c r="AE11" s="235">
        <v>18668</v>
      </c>
      <c r="AF11" s="101">
        <f t="shared" ref="AF11:AF12" si="15">AE11/F11</f>
        <v>8.6256208848330837E-2</v>
      </c>
      <c r="AG11" s="235">
        <v>21683</v>
      </c>
      <c r="AH11" s="101">
        <f t="shared" ref="AH11:AH12" si="16">AG11/F11</f>
        <v>0.1001871318008548</v>
      </c>
      <c r="AI11" s="235">
        <v>10284</v>
      </c>
      <c r="AJ11" s="101">
        <f t="shared" ref="AJ11:AJ12" si="17">AI11/F11</f>
        <v>4.751761580224096E-2</v>
      </c>
      <c r="AK11" s="235">
        <v>18073</v>
      </c>
      <c r="AL11" s="101">
        <f t="shared" ref="AL11:AL12" si="18">AK11/F11</f>
        <v>8.3506988564167731E-2</v>
      </c>
    </row>
    <row r="12" spans="1:38" ht="12">
      <c r="B12" s="98"/>
      <c r="C12" s="83"/>
      <c r="D12" s="86">
        <v>45993</v>
      </c>
      <c r="E12" s="86" t="s">
        <v>472</v>
      </c>
      <c r="F12" s="88">
        <f t="shared" si="0"/>
        <v>213834</v>
      </c>
      <c r="G12" s="302"/>
      <c r="H12" s="395"/>
      <c r="I12" s="235">
        <v>27749</v>
      </c>
      <c r="J12" s="101">
        <f t="shared" si="1"/>
        <v>0.12976888614532769</v>
      </c>
      <c r="K12" s="235">
        <v>41655</v>
      </c>
      <c r="L12" s="101">
        <f t="shared" si="2"/>
        <v>0.19480063974859002</v>
      </c>
      <c r="M12" s="106">
        <f t="shared" si="3"/>
        <v>69404</v>
      </c>
      <c r="N12" s="101">
        <f t="shared" si="4"/>
        <v>0.32456952589391769</v>
      </c>
      <c r="O12" s="235">
        <v>5965</v>
      </c>
      <c r="P12" s="101">
        <f t="shared" si="5"/>
        <v>2.7895470318097217E-2</v>
      </c>
      <c r="Q12" s="235">
        <v>3231</v>
      </c>
      <c r="R12" s="101">
        <f t="shared" si="6"/>
        <v>7.0249820624877696E-2</v>
      </c>
      <c r="S12" s="106">
        <f t="shared" si="7"/>
        <v>9196</v>
      </c>
      <c r="T12" s="101">
        <f t="shared" si="8"/>
        <v>4.3005321885200669E-2</v>
      </c>
      <c r="U12" s="235">
        <v>18404</v>
      </c>
      <c r="V12" s="101">
        <f t="shared" si="9"/>
        <v>8.6066762067772196E-2</v>
      </c>
      <c r="W12" s="235">
        <v>1075</v>
      </c>
      <c r="X12" s="101">
        <f t="shared" si="10"/>
        <v>5.0272641394726748E-3</v>
      </c>
      <c r="Y12" s="235">
        <v>23293</v>
      </c>
      <c r="Z12" s="101">
        <f t="shared" si="11"/>
        <v>0.10893029172161584</v>
      </c>
      <c r="AA12" s="235">
        <v>23354</v>
      </c>
      <c r="AB12" s="101">
        <f t="shared" si="12"/>
        <v>0.50777292196638624</v>
      </c>
      <c r="AC12" s="106">
        <f t="shared" si="13"/>
        <v>46647</v>
      </c>
      <c r="AD12" s="101">
        <f t="shared" si="14"/>
        <v>0.21814585145486687</v>
      </c>
      <c r="AE12" s="235">
        <v>17848</v>
      </c>
      <c r="AF12" s="101">
        <f t="shared" si="15"/>
        <v>8.3466614289589125E-2</v>
      </c>
      <c r="AG12" s="235">
        <v>24028</v>
      </c>
      <c r="AH12" s="101">
        <f t="shared" si="16"/>
        <v>0.11236753743558087</v>
      </c>
      <c r="AI12" s="235">
        <v>9483</v>
      </c>
      <c r="AJ12" s="101">
        <f t="shared" si="17"/>
        <v>4.4347484497320351E-2</v>
      </c>
      <c r="AK12" s="235">
        <v>17749</v>
      </c>
      <c r="AL12" s="101">
        <f t="shared" si="18"/>
        <v>8.300363833627955E-2</v>
      </c>
    </row>
    <row r="13" spans="1:38" ht="12">
      <c r="B13" s="98"/>
      <c r="C13" s="83"/>
      <c r="D13" s="86">
        <f>D12+1</f>
        <v>45994</v>
      </c>
      <c r="E13" s="86" t="s">
        <v>473</v>
      </c>
      <c r="F13" s="88">
        <f t="shared" si="0"/>
        <v>206960</v>
      </c>
      <c r="G13" s="302"/>
      <c r="H13" s="395"/>
      <c r="I13" s="235">
        <v>27540</v>
      </c>
      <c r="J13" s="101">
        <f>I13/F13</f>
        <v>0.13306919211441826</v>
      </c>
      <c r="K13" s="235">
        <v>40604</v>
      </c>
      <c r="L13" s="101">
        <f>K13/F13</f>
        <v>0.19619250096637031</v>
      </c>
      <c r="M13" s="106">
        <f>SUM(I13+K13)</f>
        <v>68144</v>
      </c>
      <c r="N13" s="101">
        <f>M13/F13</f>
        <v>0.32926169308078856</v>
      </c>
      <c r="O13" s="235">
        <v>6226</v>
      </c>
      <c r="P13" s="101">
        <f>O13/F13</f>
        <v>3.0083107846926943E-2</v>
      </c>
      <c r="Q13" s="235">
        <v>3371</v>
      </c>
      <c r="R13" s="101">
        <f>Q13/D13</f>
        <v>7.3292168543723099E-2</v>
      </c>
      <c r="S13" s="106">
        <f t="shared" si="7"/>
        <v>9597</v>
      </c>
      <c r="T13" s="101">
        <f>S13/F13</f>
        <v>4.6371279474294549E-2</v>
      </c>
      <c r="U13" s="235">
        <v>17483</v>
      </c>
      <c r="V13" s="101">
        <f>U13/F13</f>
        <v>8.4475260919984543E-2</v>
      </c>
      <c r="W13" s="235">
        <v>1119</v>
      </c>
      <c r="X13" s="101">
        <f>W13/F13</f>
        <v>5.4068419018167765E-3</v>
      </c>
      <c r="Y13" s="235">
        <v>22587</v>
      </c>
      <c r="Z13" s="101">
        <f>Y13/F13</f>
        <v>0.10913703131039815</v>
      </c>
      <c r="AA13" s="235">
        <v>21920</v>
      </c>
      <c r="AB13" s="101">
        <f>AA13/D13</f>
        <v>0.47658390224811931</v>
      </c>
      <c r="AC13" s="106">
        <f>SUM(Y13+AA13)</f>
        <v>44507</v>
      </c>
      <c r="AD13" s="101">
        <f>AC13/F13</f>
        <v>0.21505121762659452</v>
      </c>
      <c r="AE13" s="235">
        <v>17280</v>
      </c>
      <c r="AF13" s="101">
        <f>AE13/F13</f>
        <v>8.3494395052183992E-2</v>
      </c>
      <c r="AG13" s="235">
        <v>21014</v>
      </c>
      <c r="AH13" s="101">
        <f>AG13/F13</f>
        <v>0.10153652879783533</v>
      </c>
      <c r="AI13" s="235">
        <v>10059</v>
      </c>
      <c r="AJ13" s="101">
        <f>AI13/F13</f>
        <v>4.8603594897564745E-2</v>
      </c>
      <c r="AK13" s="235">
        <v>17757</v>
      </c>
      <c r="AL13" s="101">
        <f>AK13/F13</f>
        <v>8.5799188248936994E-2</v>
      </c>
    </row>
    <row r="14" spans="1:38" ht="12">
      <c r="B14" s="98"/>
      <c r="C14" s="83"/>
      <c r="D14" s="86">
        <f t="shared" ref="D14:D41" si="19">D13+1</f>
        <v>45995</v>
      </c>
      <c r="E14" s="86" t="s">
        <v>474</v>
      </c>
      <c r="F14" s="88">
        <f t="shared" si="0"/>
        <v>197911</v>
      </c>
      <c r="G14" s="302">
        <f>SUM(F14:F20)</f>
        <v>1459376</v>
      </c>
      <c r="H14" s="395"/>
      <c r="I14" s="235">
        <v>26535</v>
      </c>
      <c r="J14" s="101">
        <f t="shared" ref="J14" si="20">I14/F14</f>
        <v>0.1340754177382763</v>
      </c>
      <c r="K14" s="235">
        <v>38891</v>
      </c>
      <c r="L14" s="101">
        <f t="shared" ref="L14" si="21">K14/F14</f>
        <v>0.19650752105744501</v>
      </c>
      <c r="M14" s="106">
        <f t="shared" ref="M14" si="22">SUM(I14+K14)</f>
        <v>65426</v>
      </c>
      <c r="N14" s="101">
        <f t="shared" ref="N14" si="23">M14/F14</f>
        <v>0.33058293879572132</v>
      </c>
      <c r="O14" s="235">
        <v>6147</v>
      </c>
      <c r="P14" s="101">
        <f t="shared" ref="P14" si="24">O14/F14</f>
        <v>3.1059415595899167E-2</v>
      </c>
      <c r="Q14" s="235">
        <v>3419</v>
      </c>
      <c r="R14" s="101">
        <f t="shared" ref="R14" si="25">Q14/D14</f>
        <v>7.4334166757256223E-2</v>
      </c>
      <c r="S14" s="106">
        <f t="shared" ref="S14" si="26">SUM(O14+Q14)</f>
        <v>9566</v>
      </c>
      <c r="T14" s="101">
        <f t="shared" ref="T14" si="27">S14/F14</f>
        <v>4.8334857587501452E-2</v>
      </c>
      <c r="U14" s="235">
        <v>17279</v>
      </c>
      <c r="V14" s="101">
        <f t="shared" ref="V14" si="28">U14/F14</f>
        <v>8.7306920787626766E-2</v>
      </c>
      <c r="W14" s="235">
        <v>1097</v>
      </c>
      <c r="X14" s="101">
        <f t="shared" ref="X14" si="29">W14/F14</f>
        <v>5.5428955439566271E-3</v>
      </c>
      <c r="Y14" s="235">
        <v>21931</v>
      </c>
      <c r="Z14" s="101">
        <f t="shared" ref="Z14" si="30">Y14/F14</f>
        <v>0.11081243589290135</v>
      </c>
      <c r="AA14" s="235">
        <v>19730</v>
      </c>
      <c r="AB14" s="101">
        <f t="shared" ref="AB14" si="31">AA14/D14</f>
        <v>0.42895966952929665</v>
      </c>
      <c r="AC14" s="106">
        <f t="shared" ref="AC14" si="32">SUM(Y14+AA14)</f>
        <v>41661</v>
      </c>
      <c r="AD14" s="101">
        <f t="shared" ref="AD14" si="33">AC14/F14</f>
        <v>0.2105037112641541</v>
      </c>
      <c r="AE14" s="235">
        <v>16260</v>
      </c>
      <c r="AF14" s="101">
        <f t="shared" ref="AF14" si="34">AE14/F14</f>
        <v>8.2158141791007069E-2</v>
      </c>
      <c r="AG14" s="235">
        <v>19776</v>
      </c>
      <c r="AH14" s="101">
        <f t="shared" ref="AH14" si="35">AG14/F14</f>
        <v>9.992370307865657E-2</v>
      </c>
      <c r="AI14" s="235">
        <v>9691</v>
      </c>
      <c r="AJ14" s="101">
        <f t="shared" ref="AJ14" si="36">AI14/F14</f>
        <v>4.8966454618490127E-2</v>
      </c>
      <c r="AK14" s="235">
        <v>17155</v>
      </c>
      <c r="AL14" s="101">
        <f t="shared" ref="AL14" si="37">AK14/F14</f>
        <v>8.6680376532885989E-2</v>
      </c>
    </row>
    <row r="15" spans="1:38" ht="12">
      <c r="B15" s="98"/>
      <c r="C15" s="83"/>
      <c r="D15" s="86">
        <f t="shared" si="19"/>
        <v>45996</v>
      </c>
      <c r="E15" s="86" t="s">
        <v>475</v>
      </c>
      <c r="F15" s="88">
        <f t="shared" si="0"/>
        <v>183552</v>
      </c>
      <c r="G15" s="302"/>
      <c r="H15" s="395"/>
      <c r="I15" s="235">
        <v>23300</v>
      </c>
      <c r="J15" s="101">
        <f t="shared" ref="J15:J41" si="38">I15/F15</f>
        <v>0.12693950488145048</v>
      </c>
      <c r="K15" s="235">
        <v>39195</v>
      </c>
      <c r="L15" s="101">
        <f t="shared" ref="L15:L41" si="39">K15/F15</f>
        <v>0.21353621861924685</v>
      </c>
      <c r="M15" s="106">
        <f t="shared" ref="M15:M40" si="40">SUM(I15+K15)</f>
        <v>62495</v>
      </c>
      <c r="N15" s="101">
        <f t="shared" ref="N15:N40" si="41">M15/F15</f>
        <v>0.34047572350069732</v>
      </c>
      <c r="O15" s="235">
        <v>4916</v>
      </c>
      <c r="P15" s="101">
        <f t="shared" ref="P15:P41" si="42">O15/F15</f>
        <v>2.6782601115760113E-2</v>
      </c>
      <c r="Q15" s="235">
        <v>2923</v>
      </c>
      <c r="R15" s="101">
        <f t="shared" ref="R15:R40" si="43">Q15/D15</f>
        <v>6.3549004261240105E-2</v>
      </c>
      <c r="S15" s="106">
        <f t="shared" ref="S15:S45" si="44">SUM(O15+Q15)</f>
        <v>7839</v>
      </c>
      <c r="T15" s="101">
        <f t="shared" ref="T15:T40" si="45">S15/F15</f>
        <v>4.2707243723849375E-2</v>
      </c>
      <c r="U15" s="235">
        <v>16122</v>
      </c>
      <c r="V15" s="101">
        <f t="shared" ref="V15:V41" si="46">U15/F15</f>
        <v>8.7833420502092044E-2</v>
      </c>
      <c r="W15" s="235">
        <v>912</v>
      </c>
      <c r="X15" s="101">
        <f t="shared" ref="X15:X41" si="47">W15/F15</f>
        <v>4.9686192468619246E-3</v>
      </c>
      <c r="Y15" s="235">
        <v>20179</v>
      </c>
      <c r="Z15" s="101">
        <f t="shared" ref="Z15:Z41" si="48">Y15/F15</f>
        <v>0.10993614888423989</v>
      </c>
      <c r="AA15" s="235">
        <v>20728</v>
      </c>
      <c r="AB15" s="101">
        <f t="shared" ref="AB15:AB40" si="49">AA15/D15</f>
        <v>0.45064788242455867</v>
      </c>
      <c r="AC15" s="106">
        <f t="shared" ref="AC15:AC40" si="50">SUM(Y15+AA15)</f>
        <v>40907</v>
      </c>
      <c r="AD15" s="101">
        <f t="shared" ref="AD15:AD40" si="51">AC15/F15</f>
        <v>0.22286327580195259</v>
      </c>
      <c r="AE15" s="235">
        <v>14027</v>
      </c>
      <c r="AF15" s="101">
        <f t="shared" ref="AF15:AF41" si="52">AE15/F15</f>
        <v>7.6419761157601115E-2</v>
      </c>
      <c r="AG15" s="235">
        <v>17950</v>
      </c>
      <c r="AH15" s="101">
        <f t="shared" ref="AH15:AH41" si="53">AG15/F15</f>
        <v>9.7792451185495122E-2</v>
      </c>
      <c r="AI15" s="235">
        <v>8675</v>
      </c>
      <c r="AJ15" s="101">
        <f t="shared" ref="AJ15:AJ41" si="54">AI15/F15</f>
        <v>4.7261811366806135E-2</v>
      </c>
      <c r="AK15" s="235">
        <v>14625</v>
      </c>
      <c r="AL15" s="101">
        <f t="shared" ref="AL15:AL41" si="55">AK15/F15</f>
        <v>7.9677693514644349E-2</v>
      </c>
    </row>
    <row r="16" spans="1:38" ht="12">
      <c r="B16" s="98"/>
      <c r="C16" s="83"/>
      <c r="D16" s="86">
        <f t="shared" si="19"/>
        <v>45997</v>
      </c>
      <c r="E16" s="86" t="s">
        <v>476</v>
      </c>
      <c r="F16" s="88">
        <f t="shared" si="0"/>
        <v>185894</v>
      </c>
      <c r="G16" s="302"/>
      <c r="H16" s="395"/>
      <c r="I16" s="235">
        <v>22604</v>
      </c>
      <c r="J16" s="101">
        <f t="shared" si="38"/>
        <v>0.12159617846729857</v>
      </c>
      <c r="K16" s="235">
        <v>39986</v>
      </c>
      <c r="L16" s="101">
        <f t="shared" si="39"/>
        <v>0.21510107910960011</v>
      </c>
      <c r="M16" s="106">
        <f t="shared" si="40"/>
        <v>62590</v>
      </c>
      <c r="N16" s="101">
        <f t="shared" si="41"/>
        <v>0.33669725757689867</v>
      </c>
      <c r="O16" s="235">
        <v>4583</v>
      </c>
      <c r="P16" s="101">
        <f t="shared" si="42"/>
        <v>2.465383498122586E-2</v>
      </c>
      <c r="Q16" s="235">
        <v>2782</v>
      </c>
      <c r="R16" s="101">
        <f t="shared" si="43"/>
        <v>6.0482205361219211E-2</v>
      </c>
      <c r="S16" s="106">
        <f t="shared" si="44"/>
        <v>7365</v>
      </c>
      <c r="T16" s="101">
        <f t="shared" si="45"/>
        <v>3.9619352964592722E-2</v>
      </c>
      <c r="U16" s="235">
        <v>16839</v>
      </c>
      <c r="V16" s="101">
        <f t="shared" si="46"/>
        <v>9.0583881136561697E-2</v>
      </c>
      <c r="W16" s="235">
        <v>904</v>
      </c>
      <c r="X16" s="101">
        <f t="shared" si="47"/>
        <v>4.862986433128557E-3</v>
      </c>
      <c r="Y16" s="235">
        <v>17271</v>
      </c>
      <c r="Z16" s="101">
        <f t="shared" si="48"/>
        <v>9.2907786157702774E-2</v>
      </c>
      <c r="AA16" s="235">
        <v>21347</v>
      </c>
      <c r="AB16" s="101">
        <f t="shared" si="49"/>
        <v>0.46409548448811877</v>
      </c>
      <c r="AC16" s="106">
        <f t="shared" si="50"/>
        <v>38618</v>
      </c>
      <c r="AD16" s="101">
        <f t="shared" si="51"/>
        <v>0.20774204654265335</v>
      </c>
      <c r="AE16" s="235">
        <v>15363</v>
      </c>
      <c r="AF16" s="101">
        <f t="shared" si="52"/>
        <v>8.2643872314329667E-2</v>
      </c>
      <c r="AG16" s="235">
        <v>18290</v>
      </c>
      <c r="AH16" s="101">
        <f t="shared" si="53"/>
        <v>9.8389404714514725E-2</v>
      </c>
      <c r="AI16" s="235">
        <v>10352</v>
      </c>
      <c r="AJ16" s="101">
        <f t="shared" si="54"/>
        <v>5.5687649951047372E-2</v>
      </c>
      <c r="AK16" s="235">
        <v>15573</v>
      </c>
      <c r="AL16" s="101">
        <f t="shared" si="55"/>
        <v>8.3773548366273251E-2</v>
      </c>
    </row>
    <row r="17" spans="2:38" ht="12">
      <c r="B17" s="98"/>
      <c r="C17" s="83"/>
      <c r="D17" s="86">
        <f t="shared" si="19"/>
        <v>45998</v>
      </c>
      <c r="E17" s="86" t="s">
        <v>477</v>
      </c>
      <c r="F17" s="88">
        <f t="shared" si="0"/>
        <v>216841</v>
      </c>
      <c r="G17" s="302"/>
      <c r="H17" s="395"/>
      <c r="I17" s="235">
        <v>29067</v>
      </c>
      <c r="J17" s="101">
        <f t="shared" si="38"/>
        <v>0.13404752791215682</v>
      </c>
      <c r="K17" s="235">
        <v>42688</v>
      </c>
      <c r="L17" s="101">
        <f t="shared" si="39"/>
        <v>0.19686313935095301</v>
      </c>
      <c r="M17" s="106">
        <f t="shared" si="40"/>
        <v>71755</v>
      </c>
      <c r="N17" s="101">
        <f t="shared" si="41"/>
        <v>0.33091066726310986</v>
      </c>
      <c r="O17" s="235">
        <v>6350</v>
      </c>
      <c r="P17" s="101">
        <f t="shared" si="42"/>
        <v>2.9284129846292906E-2</v>
      </c>
      <c r="Q17" s="235">
        <v>3263</v>
      </c>
      <c r="R17" s="101">
        <f t="shared" si="43"/>
        <v>7.0937866863776691E-2</v>
      </c>
      <c r="S17" s="106">
        <f t="shared" si="44"/>
        <v>9613</v>
      </c>
      <c r="T17" s="101">
        <f t="shared" si="45"/>
        <v>4.4332022080695074E-2</v>
      </c>
      <c r="U17" s="235">
        <v>19725</v>
      </c>
      <c r="V17" s="101">
        <f t="shared" si="46"/>
        <v>9.09652694831697E-2</v>
      </c>
      <c r="W17" s="235">
        <v>1004</v>
      </c>
      <c r="X17" s="101">
        <f t="shared" si="47"/>
        <v>4.630120687508359E-3</v>
      </c>
      <c r="Y17" s="235">
        <v>21988</v>
      </c>
      <c r="Z17" s="101">
        <f t="shared" si="48"/>
        <v>0.10140148772602967</v>
      </c>
      <c r="AA17" s="235">
        <v>23664</v>
      </c>
      <c r="AB17" s="101">
        <f t="shared" si="49"/>
        <v>0.51445715031088313</v>
      </c>
      <c r="AC17" s="106">
        <f t="shared" si="50"/>
        <v>45652</v>
      </c>
      <c r="AD17" s="101">
        <f t="shared" si="51"/>
        <v>0.21053214106188406</v>
      </c>
      <c r="AE17" s="235">
        <v>18576</v>
      </c>
      <c r="AF17" s="101">
        <f t="shared" si="52"/>
        <v>8.566645606688772E-2</v>
      </c>
      <c r="AG17" s="235">
        <v>22230</v>
      </c>
      <c r="AH17" s="101">
        <f t="shared" si="53"/>
        <v>0.10251751283198288</v>
      </c>
      <c r="AI17" s="235">
        <v>10762</v>
      </c>
      <c r="AJ17" s="101">
        <f t="shared" si="54"/>
        <v>4.9630835496977048E-2</v>
      </c>
      <c r="AK17" s="235">
        <v>17524</v>
      </c>
      <c r="AL17" s="101">
        <f t="shared" si="55"/>
        <v>8.0814975027785341E-2</v>
      </c>
    </row>
    <row r="18" spans="2:38" ht="12">
      <c r="B18" s="98"/>
      <c r="C18" s="83"/>
      <c r="D18" s="86">
        <f t="shared" si="19"/>
        <v>45999</v>
      </c>
      <c r="E18" s="86" t="s">
        <v>471</v>
      </c>
      <c r="F18" s="88">
        <f t="shared" si="0"/>
        <v>216945</v>
      </c>
      <c r="G18" s="302"/>
      <c r="H18" s="395"/>
      <c r="I18" s="235">
        <v>28684</v>
      </c>
      <c r="J18" s="101">
        <f t="shared" si="38"/>
        <v>0.1322178432321556</v>
      </c>
      <c r="K18" s="235">
        <v>42270</v>
      </c>
      <c r="L18" s="101">
        <f t="shared" si="39"/>
        <v>0.19484201064786005</v>
      </c>
      <c r="M18" s="106">
        <f t="shared" si="40"/>
        <v>70954</v>
      </c>
      <c r="N18" s="101">
        <f t="shared" si="41"/>
        <v>0.32705985388001568</v>
      </c>
      <c r="O18" s="235">
        <v>5996</v>
      </c>
      <c r="P18" s="101">
        <f t="shared" si="42"/>
        <v>2.7638341515130564E-2</v>
      </c>
      <c r="Q18" s="235">
        <v>3361</v>
      </c>
      <c r="R18" s="101">
        <f t="shared" si="43"/>
        <v>7.3066805800126089E-2</v>
      </c>
      <c r="S18" s="106">
        <f t="shared" si="44"/>
        <v>9357</v>
      </c>
      <c r="T18" s="101">
        <f t="shared" si="45"/>
        <v>4.3130747424462421E-2</v>
      </c>
      <c r="U18" s="235">
        <v>19354</v>
      </c>
      <c r="V18" s="101">
        <f t="shared" si="46"/>
        <v>8.9211551314849383E-2</v>
      </c>
      <c r="W18" s="235">
        <v>1003</v>
      </c>
      <c r="X18" s="101">
        <f t="shared" si="47"/>
        <v>4.6232916176911195E-3</v>
      </c>
      <c r="Y18" s="235">
        <v>21620</v>
      </c>
      <c r="Z18" s="101">
        <f t="shared" si="48"/>
        <v>9.9656594989513472E-2</v>
      </c>
      <c r="AA18" s="235">
        <v>27102</v>
      </c>
      <c r="AB18" s="101">
        <f t="shared" si="49"/>
        <v>0.58918672145046636</v>
      </c>
      <c r="AC18" s="106">
        <f t="shared" si="50"/>
        <v>48722</v>
      </c>
      <c r="AD18" s="101">
        <f t="shared" si="51"/>
        <v>0.22458226739496184</v>
      </c>
      <c r="AE18" s="235">
        <v>17960</v>
      </c>
      <c r="AF18" s="101">
        <f t="shared" si="52"/>
        <v>8.2785959575007492E-2</v>
      </c>
      <c r="AG18" s="235">
        <v>20659</v>
      </c>
      <c r="AH18" s="101">
        <f t="shared" si="53"/>
        <v>9.5226900827398653E-2</v>
      </c>
      <c r="AI18" s="235">
        <v>11193</v>
      </c>
      <c r="AJ18" s="101">
        <f t="shared" si="54"/>
        <v>5.1593721911083454E-2</v>
      </c>
      <c r="AK18" s="235">
        <v>17743</v>
      </c>
      <c r="AL18" s="101">
        <f t="shared" si="55"/>
        <v>8.178570605452995E-2</v>
      </c>
    </row>
    <row r="19" spans="2:38" ht="12">
      <c r="B19" s="98"/>
      <c r="C19" s="83"/>
      <c r="D19" s="298">
        <f t="shared" si="19"/>
        <v>46000</v>
      </c>
      <c r="E19" s="298" t="s">
        <v>472</v>
      </c>
      <c r="F19" s="88">
        <f t="shared" si="0"/>
        <v>231819</v>
      </c>
      <c r="G19" s="302"/>
      <c r="H19" s="395"/>
      <c r="I19" s="235">
        <v>28059</v>
      </c>
      <c r="J19" s="101">
        <f t="shared" si="38"/>
        <v>0.12103839633507175</v>
      </c>
      <c r="K19" s="235">
        <v>42006</v>
      </c>
      <c r="L19" s="101">
        <f t="shared" si="39"/>
        <v>0.18120171340571739</v>
      </c>
      <c r="M19" s="106">
        <f t="shared" si="40"/>
        <v>70065</v>
      </c>
      <c r="N19" s="101">
        <f t="shared" si="41"/>
        <v>0.30224010974078913</v>
      </c>
      <c r="O19" s="235">
        <v>5966</v>
      </c>
      <c r="P19" s="101">
        <f t="shared" si="42"/>
        <v>2.5735595442996476E-2</v>
      </c>
      <c r="Q19" s="235">
        <v>3531</v>
      </c>
      <c r="R19" s="101">
        <f t="shared" si="43"/>
        <v>7.6760869565217396E-2</v>
      </c>
      <c r="S19" s="106">
        <f t="shared" si="44"/>
        <v>9497</v>
      </c>
      <c r="T19" s="101">
        <f t="shared" si="45"/>
        <v>4.0967306389899018E-2</v>
      </c>
      <c r="U19" s="235">
        <v>28232</v>
      </c>
      <c r="V19" s="101">
        <f t="shared" si="46"/>
        <v>0.12178466821097494</v>
      </c>
      <c r="W19" s="235">
        <v>909</v>
      </c>
      <c r="X19" s="101">
        <f t="shared" si="47"/>
        <v>3.9211626311907131E-3</v>
      </c>
      <c r="Y19" s="235">
        <v>22083</v>
      </c>
      <c r="Z19" s="101">
        <f t="shared" si="48"/>
        <v>9.5259663789421925E-2</v>
      </c>
      <c r="AA19" s="235">
        <v>27244</v>
      </c>
      <c r="AB19" s="101">
        <f t="shared" si="49"/>
        <v>0.5922608695652174</v>
      </c>
      <c r="AC19" s="106">
        <f t="shared" si="50"/>
        <v>49327</v>
      </c>
      <c r="AD19" s="101">
        <f t="shared" si="51"/>
        <v>0.21278238625824458</v>
      </c>
      <c r="AE19" s="235">
        <v>17400</v>
      </c>
      <c r="AF19" s="101">
        <f t="shared" si="52"/>
        <v>7.5058558616851942E-2</v>
      </c>
      <c r="AG19" s="235">
        <v>28144</v>
      </c>
      <c r="AH19" s="101">
        <f t="shared" si="53"/>
        <v>0.12140506170762534</v>
      </c>
      <c r="AI19" s="235">
        <v>10936</v>
      </c>
      <c r="AJ19" s="101">
        <f t="shared" si="54"/>
        <v>4.7174735461717979E-2</v>
      </c>
      <c r="AK19" s="235">
        <v>17309</v>
      </c>
      <c r="AL19" s="101">
        <f t="shared" si="55"/>
        <v>7.4666010982706338E-2</v>
      </c>
    </row>
    <row r="20" spans="2:38" ht="12">
      <c r="B20" s="98"/>
      <c r="C20" s="83"/>
      <c r="D20" s="298">
        <f t="shared" si="19"/>
        <v>46001</v>
      </c>
      <c r="E20" s="298" t="s">
        <v>473</v>
      </c>
      <c r="F20" s="88">
        <f t="shared" si="0"/>
        <v>226414</v>
      </c>
      <c r="G20" s="302"/>
      <c r="H20" s="395"/>
      <c r="I20" s="235">
        <v>28006</v>
      </c>
      <c r="J20" s="101">
        <f t="shared" si="38"/>
        <v>0.12369376451986185</v>
      </c>
      <c r="K20" s="235">
        <v>41154</v>
      </c>
      <c r="L20" s="101">
        <f t="shared" si="39"/>
        <v>0.18176437852782956</v>
      </c>
      <c r="M20" s="106">
        <f t="shared" si="40"/>
        <v>69160</v>
      </c>
      <c r="N20" s="101">
        <f t="shared" si="41"/>
        <v>0.30545814304769142</v>
      </c>
      <c r="O20" s="235">
        <v>6340</v>
      </c>
      <c r="P20" s="101">
        <f t="shared" si="42"/>
        <v>2.8001802008709709E-2</v>
      </c>
      <c r="Q20" s="235">
        <v>3678</v>
      </c>
      <c r="R20" s="101">
        <f t="shared" si="43"/>
        <v>7.9954783591661055E-2</v>
      </c>
      <c r="S20" s="106">
        <f t="shared" si="44"/>
        <v>10018</v>
      </c>
      <c r="T20" s="101">
        <f t="shared" si="45"/>
        <v>4.4246380524172534E-2</v>
      </c>
      <c r="U20" s="235">
        <v>26774</v>
      </c>
      <c r="V20" s="101">
        <f t="shared" si="46"/>
        <v>0.11825240488662361</v>
      </c>
      <c r="W20" s="235">
        <v>799</v>
      </c>
      <c r="X20" s="101">
        <f t="shared" si="47"/>
        <v>3.5289337231796621E-3</v>
      </c>
      <c r="Y20" s="235">
        <v>21754</v>
      </c>
      <c r="Z20" s="101">
        <f t="shared" si="48"/>
        <v>9.6080631056383439E-2</v>
      </c>
      <c r="AA20" s="235">
        <v>24647</v>
      </c>
      <c r="AB20" s="101">
        <f t="shared" si="49"/>
        <v>0.53579270015869218</v>
      </c>
      <c r="AC20" s="106">
        <f t="shared" si="50"/>
        <v>46401</v>
      </c>
      <c r="AD20" s="101">
        <f t="shared" si="51"/>
        <v>0.20493874053724592</v>
      </c>
      <c r="AE20" s="235">
        <v>17120</v>
      </c>
      <c r="AF20" s="101">
        <f t="shared" si="52"/>
        <v>7.5613698799544202E-2</v>
      </c>
      <c r="AG20" s="235">
        <v>27317</v>
      </c>
      <c r="AH20" s="101">
        <f t="shared" si="53"/>
        <v>0.12065066647822131</v>
      </c>
      <c r="AI20" s="235">
        <v>11329</v>
      </c>
      <c r="AJ20" s="101">
        <f t="shared" si="54"/>
        <v>5.0036658510516134E-2</v>
      </c>
      <c r="AK20" s="235">
        <v>17496</v>
      </c>
      <c r="AL20" s="101">
        <f t="shared" si="55"/>
        <v>7.7274373492805221E-2</v>
      </c>
    </row>
    <row r="21" spans="2:38" ht="12">
      <c r="B21" s="98"/>
      <c r="C21" s="83"/>
      <c r="D21" s="298">
        <f t="shared" si="19"/>
        <v>46002</v>
      </c>
      <c r="E21" s="298" t="s">
        <v>474</v>
      </c>
      <c r="F21" s="88">
        <f t="shared" si="0"/>
        <v>203040</v>
      </c>
      <c r="G21" s="302">
        <f>SUM(F21:F27)</f>
        <v>1516815</v>
      </c>
      <c r="H21" s="395"/>
      <c r="I21" s="235">
        <v>26916</v>
      </c>
      <c r="J21" s="101">
        <f t="shared" si="38"/>
        <v>0.13256501182033098</v>
      </c>
      <c r="K21" s="235">
        <v>38801</v>
      </c>
      <c r="L21" s="101">
        <f t="shared" si="39"/>
        <v>0.19110027580772262</v>
      </c>
      <c r="M21" s="106">
        <f t="shared" si="40"/>
        <v>65717</v>
      </c>
      <c r="N21" s="101">
        <f t="shared" si="41"/>
        <v>0.32366528762805358</v>
      </c>
      <c r="O21" s="235">
        <v>6069</v>
      </c>
      <c r="P21" s="101">
        <f t="shared" si="42"/>
        <v>2.989066193853428E-2</v>
      </c>
      <c r="Q21" s="235">
        <v>3627</v>
      </c>
      <c r="R21" s="101">
        <f t="shared" si="43"/>
        <v>7.8844398069649144E-2</v>
      </c>
      <c r="S21" s="106">
        <f t="shared" si="44"/>
        <v>9696</v>
      </c>
      <c r="T21" s="101">
        <f t="shared" si="45"/>
        <v>4.7754137115839243E-2</v>
      </c>
      <c r="U21" s="235">
        <v>22596</v>
      </c>
      <c r="V21" s="101">
        <f t="shared" si="46"/>
        <v>0.11128841607565011</v>
      </c>
      <c r="W21" s="235">
        <v>0</v>
      </c>
      <c r="X21" s="101">
        <f t="shared" si="47"/>
        <v>0</v>
      </c>
      <c r="Y21" s="235">
        <v>20155</v>
      </c>
      <c r="Z21" s="101">
        <f t="shared" si="48"/>
        <v>9.9266154452324659E-2</v>
      </c>
      <c r="AA21" s="235">
        <v>20728</v>
      </c>
      <c r="AB21" s="101">
        <f t="shared" si="49"/>
        <v>0.45058910482152947</v>
      </c>
      <c r="AC21" s="106">
        <f t="shared" si="50"/>
        <v>40883</v>
      </c>
      <c r="AD21" s="101">
        <f t="shared" si="51"/>
        <v>0.20135441292356185</v>
      </c>
      <c r="AE21" s="235">
        <v>15777</v>
      </c>
      <c r="AF21" s="101">
        <f t="shared" si="52"/>
        <v>7.7703900709219856E-2</v>
      </c>
      <c r="AG21" s="235">
        <v>21756</v>
      </c>
      <c r="AH21" s="101">
        <f t="shared" si="53"/>
        <v>0.10715130023640662</v>
      </c>
      <c r="AI21" s="235">
        <v>10072</v>
      </c>
      <c r="AJ21" s="101">
        <f t="shared" si="54"/>
        <v>4.9605988967691098E-2</v>
      </c>
      <c r="AK21" s="235">
        <v>16543</v>
      </c>
      <c r="AL21" s="101">
        <f t="shared" si="55"/>
        <v>8.1476556343577616E-2</v>
      </c>
    </row>
    <row r="22" spans="2:38" ht="12">
      <c r="B22" s="98"/>
      <c r="C22" s="83"/>
      <c r="D22" s="298">
        <f t="shared" si="19"/>
        <v>46003</v>
      </c>
      <c r="E22" s="298" t="s">
        <v>475</v>
      </c>
      <c r="F22" s="88">
        <f t="shared" si="0"/>
        <v>188638</v>
      </c>
      <c r="G22" s="302"/>
      <c r="H22" s="395"/>
      <c r="I22" s="235">
        <v>23417</v>
      </c>
      <c r="J22" s="101">
        <f t="shared" si="38"/>
        <v>0.12413723639987702</v>
      </c>
      <c r="K22" s="235">
        <v>37429</v>
      </c>
      <c r="L22" s="101">
        <f t="shared" si="39"/>
        <v>0.19841707397237035</v>
      </c>
      <c r="M22" s="106">
        <f t="shared" si="40"/>
        <v>60846</v>
      </c>
      <c r="N22" s="101">
        <f t="shared" si="41"/>
        <v>0.32255431037224735</v>
      </c>
      <c r="O22" s="235">
        <v>4779</v>
      </c>
      <c r="P22" s="101">
        <f t="shared" si="42"/>
        <v>2.5334238064440885E-2</v>
      </c>
      <c r="Q22" s="235">
        <v>2955</v>
      </c>
      <c r="R22" s="101">
        <f t="shared" si="43"/>
        <v>6.4234941199486986E-2</v>
      </c>
      <c r="S22" s="106">
        <f t="shared" si="44"/>
        <v>7734</v>
      </c>
      <c r="T22" s="101">
        <f t="shared" si="45"/>
        <v>4.0999162416904336E-2</v>
      </c>
      <c r="U22" s="235">
        <v>18468</v>
      </c>
      <c r="V22" s="101">
        <f t="shared" si="46"/>
        <v>9.7901801333771563E-2</v>
      </c>
      <c r="W22" s="235">
        <v>0</v>
      </c>
      <c r="X22" s="101">
        <f t="shared" si="47"/>
        <v>0</v>
      </c>
      <c r="Y22" s="235">
        <v>20011</v>
      </c>
      <c r="Z22" s="101">
        <f t="shared" si="48"/>
        <v>0.10608148941358581</v>
      </c>
      <c r="AA22" s="235">
        <v>20937</v>
      </c>
      <c r="AB22" s="101">
        <f t="shared" si="49"/>
        <v>0.45512249201139054</v>
      </c>
      <c r="AC22" s="106">
        <f t="shared" si="50"/>
        <v>40948</v>
      </c>
      <c r="AD22" s="101">
        <f t="shared" si="51"/>
        <v>0.21707185190682685</v>
      </c>
      <c r="AE22" s="235">
        <v>14612</v>
      </c>
      <c r="AF22" s="101">
        <f t="shared" si="52"/>
        <v>7.7460532872485929E-2</v>
      </c>
      <c r="AG22" s="235">
        <v>18552</v>
      </c>
      <c r="AH22" s="101">
        <f t="shared" si="53"/>
        <v>9.8347098675770517E-2</v>
      </c>
      <c r="AI22" s="235">
        <v>13654</v>
      </c>
      <c r="AJ22" s="101">
        <f t="shared" si="54"/>
        <v>7.2382022710164445E-2</v>
      </c>
      <c r="AK22" s="235">
        <v>13824</v>
      </c>
      <c r="AL22" s="101">
        <f t="shared" si="55"/>
        <v>7.3283219711829009E-2</v>
      </c>
    </row>
    <row r="23" spans="2:38" ht="12">
      <c r="B23" s="98"/>
      <c r="C23" s="83"/>
      <c r="D23" s="298">
        <f t="shared" si="19"/>
        <v>46004</v>
      </c>
      <c r="E23" s="298" t="s">
        <v>476</v>
      </c>
      <c r="F23" s="88">
        <f t="shared" si="0"/>
        <v>193826</v>
      </c>
      <c r="G23" s="302"/>
      <c r="H23" s="395"/>
      <c r="I23" s="235">
        <v>22772</v>
      </c>
      <c r="J23" s="101">
        <f t="shared" si="38"/>
        <v>0.11748681807394261</v>
      </c>
      <c r="K23" s="235">
        <v>39997</v>
      </c>
      <c r="L23" s="101">
        <f t="shared" si="39"/>
        <v>0.2063551845469648</v>
      </c>
      <c r="M23" s="106">
        <f t="shared" si="40"/>
        <v>62769</v>
      </c>
      <c r="N23" s="101">
        <f t="shared" si="41"/>
        <v>0.3238420026209074</v>
      </c>
      <c r="O23" s="235">
        <v>4351</v>
      </c>
      <c r="P23" s="101">
        <f t="shared" si="42"/>
        <v>2.2447968796755854E-2</v>
      </c>
      <c r="Q23" s="235">
        <v>2754</v>
      </c>
      <c r="R23" s="101">
        <f t="shared" si="43"/>
        <v>5.986435962090253E-2</v>
      </c>
      <c r="S23" s="106">
        <f t="shared" si="44"/>
        <v>7105</v>
      </c>
      <c r="T23" s="101">
        <f t="shared" si="45"/>
        <v>3.6656588899322072E-2</v>
      </c>
      <c r="U23" s="235">
        <v>20381</v>
      </c>
      <c r="V23" s="101">
        <f t="shared" si="46"/>
        <v>0.10515101173217216</v>
      </c>
      <c r="W23" s="235">
        <v>0</v>
      </c>
      <c r="X23" s="101">
        <f t="shared" si="47"/>
        <v>0</v>
      </c>
      <c r="Y23" s="235">
        <v>20351</v>
      </c>
      <c r="Z23" s="101">
        <f t="shared" si="48"/>
        <v>0.10499623373541217</v>
      </c>
      <c r="AA23" s="235">
        <v>21947</v>
      </c>
      <c r="AB23" s="101">
        <f t="shared" si="49"/>
        <v>0.47706721154682202</v>
      </c>
      <c r="AC23" s="106">
        <f t="shared" si="50"/>
        <v>42298</v>
      </c>
      <c r="AD23" s="101">
        <f t="shared" si="51"/>
        <v>0.21822665689845533</v>
      </c>
      <c r="AE23" s="235">
        <v>15932</v>
      </c>
      <c r="AF23" s="101">
        <f t="shared" si="52"/>
        <v>8.2197434812667031E-2</v>
      </c>
      <c r="AG23" s="235">
        <v>18655</v>
      </c>
      <c r="AH23" s="101">
        <f t="shared" si="53"/>
        <v>9.6246117651914598E-2</v>
      </c>
      <c r="AI23" s="235">
        <v>11821</v>
      </c>
      <c r="AJ23" s="101">
        <f t="shared" si="54"/>
        <v>6.0987689989991024E-2</v>
      </c>
      <c r="AK23" s="235">
        <v>14865</v>
      </c>
      <c r="AL23" s="101">
        <f t="shared" si="55"/>
        <v>7.6692497394570389E-2</v>
      </c>
    </row>
    <row r="24" spans="2:38" ht="12">
      <c r="B24" s="98"/>
      <c r="C24" s="83"/>
      <c r="D24" s="298">
        <f t="shared" si="19"/>
        <v>46005</v>
      </c>
      <c r="E24" s="298" t="s">
        <v>477</v>
      </c>
      <c r="F24" s="88">
        <f t="shared" si="0"/>
        <v>230374</v>
      </c>
      <c r="G24" s="302"/>
      <c r="H24" s="395"/>
      <c r="I24" s="235">
        <v>29193</v>
      </c>
      <c r="J24" s="101">
        <f t="shared" si="38"/>
        <v>0.12672002916995842</v>
      </c>
      <c r="K24" s="235">
        <v>41967</v>
      </c>
      <c r="L24" s="101">
        <f t="shared" si="39"/>
        <v>0.18216899476503426</v>
      </c>
      <c r="M24" s="106">
        <f t="shared" si="40"/>
        <v>71160</v>
      </c>
      <c r="N24" s="101">
        <f t="shared" si="41"/>
        <v>0.30888902393499268</v>
      </c>
      <c r="O24" s="235">
        <v>5796</v>
      </c>
      <c r="P24" s="101">
        <f t="shared" si="42"/>
        <v>2.5159089133322338E-2</v>
      </c>
      <c r="Q24" s="235">
        <v>3275</v>
      </c>
      <c r="R24" s="101">
        <f t="shared" si="43"/>
        <v>7.118791435713509E-2</v>
      </c>
      <c r="S24" s="106">
        <f t="shared" si="44"/>
        <v>9071</v>
      </c>
      <c r="T24" s="101">
        <f t="shared" si="45"/>
        <v>3.9375103093231008E-2</v>
      </c>
      <c r="U24" s="235">
        <v>26682</v>
      </c>
      <c r="V24" s="101">
        <f t="shared" si="46"/>
        <v>0.11582036167275821</v>
      </c>
      <c r="W24" s="235">
        <v>0</v>
      </c>
      <c r="X24" s="101">
        <f t="shared" si="47"/>
        <v>0</v>
      </c>
      <c r="Y24" s="235">
        <v>23247</v>
      </c>
      <c r="Z24" s="101">
        <f t="shared" si="48"/>
        <v>0.10090982489343416</v>
      </c>
      <c r="AA24" s="235">
        <v>24521</v>
      </c>
      <c r="AB24" s="101">
        <f t="shared" si="49"/>
        <v>0.53300728181719381</v>
      </c>
      <c r="AC24" s="106">
        <f t="shared" si="50"/>
        <v>47768</v>
      </c>
      <c r="AD24" s="101">
        <f t="shared" si="51"/>
        <v>0.20734978773646331</v>
      </c>
      <c r="AE24" s="235">
        <v>19080</v>
      </c>
      <c r="AF24" s="101">
        <f t="shared" si="52"/>
        <v>8.2821846215284711E-2</v>
      </c>
      <c r="AG24" s="235">
        <v>24575</v>
      </c>
      <c r="AH24" s="101">
        <f t="shared" si="53"/>
        <v>0.10667436429458185</v>
      </c>
      <c r="AI24" s="235">
        <v>15347</v>
      </c>
      <c r="AJ24" s="101">
        <f t="shared" si="54"/>
        <v>6.6617760684799507E-2</v>
      </c>
      <c r="AK24" s="235">
        <v>16691</v>
      </c>
      <c r="AL24" s="101">
        <f t="shared" si="55"/>
        <v>7.2451752367888742E-2</v>
      </c>
    </row>
    <row r="25" spans="2:38" ht="12">
      <c r="B25" s="98"/>
      <c r="C25" s="83"/>
      <c r="D25" s="298">
        <f t="shared" si="19"/>
        <v>46006</v>
      </c>
      <c r="E25" s="298" t="s">
        <v>471</v>
      </c>
      <c r="F25" s="88">
        <f t="shared" si="0"/>
        <v>227619</v>
      </c>
      <c r="G25" s="302"/>
      <c r="H25" s="395"/>
      <c r="I25" s="235">
        <v>28315</v>
      </c>
      <c r="J25" s="101">
        <f t="shared" si="38"/>
        <v>0.12439646953901036</v>
      </c>
      <c r="K25" s="235">
        <v>44964</v>
      </c>
      <c r="L25" s="101">
        <f t="shared" si="39"/>
        <v>0.19754062710054959</v>
      </c>
      <c r="M25" s="106">
        <f t="shared" si="40"/>
        <v>73279</v>
      </c>
      <c r="N25" s="101">
        <f t="shared" si="41"/>
        <v>0.32193709663955994</v>
      </c>
      <c r="O25" s="235">
        <v>5486</v>
      </c>
      <c r="P25" s="101">
        <f t="shared" si="42"/>
        <v>2.4101678682359556E-2</v>
      </c>
      <c r="Q25" s="235">
        <v>3321</v>
      </c>
      <c r="R25" s="101">
        <f t="shared" si="43"/>
        <v>7.2186236577837667E-2</v>
      </c>
      <c r="S25" s="106">
        <f t="shared" si="44"/>
        <v>8807</v>
      </c>
      <c r="T25" s="101">
        <f t="shared" si="45"/>
        <v>3.8691849098713198E-2</v>
      </c>
      <c r="U25" s="235">
        <v>23822</v>
      </c>
      <c r="V25" s="101">
        <f t="shared" si="46"/>
        <v>0.10465734407057407</v>
      </c>
      <c r="W25" s="235">
        <v>0</v>
      </c>
      <c r="X25" s="101">
        <f t="shared" si="47"/>
        <v>0</v>
      </c>
      <c r="Y25" s="235">
        <v>22473</v>
      </c>
      <c r="Z25" s="101">
        <f t="shared" si="48"/>
        <v>9.8730773793048912E-2</v>
      </c>
      <c r="AA25" s="235">
        <v>24415</v>
      </c>
      <c r="AB25" s="101">
        <f t="shared" si="49"/>
        <v>0.53069164891535892</v>
      </c>
      <c r="AC25" s="106">
        <f t="shared" si="50"/>
        <v>46888</v>
      </c>
      <c r="AD25" s="101">
        <f t="shared" si="51"/>
        <v>0.20599334853417334</v>
      </c>
      <c r="AE25" s="235">
        <v>18344</v>
      </c>
      <c r="AF25" s="101">
        <f t="shared" si="52"/>
        <v>8.0590811839081969E-2</v>
      </c>
      <c r="AG25" s="235">
        <v>22352</v>
      </c>
      <c r="AH25" s="101">
        <f t="shared" si="53"/>
        <v>9.8199183723678599E-2</v>
      </c>
      <c r="AI25" s="235">
        <v>16986</v>
      </c>
      <c r="AJ25" s="101">
        <f t="shared" si="54"/>
        <v>7.4624701804330923E-2</v>
      </c>
      <c r="AK25" s="235">
        <v>17141</v>
      </c>
      <c r="AL25" s="101">
        <f t="shared" si="55"/>
        <v>7.5305664289887927E-2</v>
      </c>
    </row>
    <row r="26" spans="2:38" ht="12">
      <c r="B26" s="98"/>
      <c r="C26" s="83"/>
      <c r="D26" s="86">
        <f t="shared" si="19"/>
        <v>46007</v>
      </c>
      <c r="E26" s="86" t="s">
        <v>472</v>
      </c>
      <c r="F26" s="88">
        <f t="shared" si="0"/>
        <v>241960</v>
      </c>
      <c r="G26" s="302"/>
      <c r="H26" s="395"/>
      <c r="I26" s="235">
        <v>27501</v>
      </c>
      <c r="J26" s="101">
        <f t="shared" si="38"/>
        <v>0.11365928252603737</v>
      </c>
      <c r="K26" s="235">
        <v>43566</v>
      </c>
      <c r="L26" s="101">
        <f t="shared" si="39"/>
        <v>0.18005455447181351</v>
      </c>
      <c r="M26" s="106">
        <f t="shared" si="40"/>
        <v>71067</v>
      </c>
      <c r="N26" s="101">
        <f t="shared" si="41"/>
        <v>0.29371383699785086</v>
      </c>
      <c r="O26" s="235">
        <v>5222</v>
      </c>
      <c r="P26" s="101">
        <f t="shared" si="42"/>
        <v>2.1582079682592164E-2</v>
      </c>
      <c r="Q26" s="235">
        <v>3236</v>
      </c>
      <c r="R26" s="101">
        <f t="shared" si="43"/>
        <v>7.0337122611776465E-2</v>
      </c>
      <c r="S26" s="106">
        <f t="shared" si="44"/>
        <v>8458</v>
      </c>
      <c r="T26" s="101">
        <f t="shared" si="45"/>
        <v>3.4956191105967926E-2</v>
      </c>
      <c r="U26" s="235">
        <v>40689</v>
      </c>
      <c r="V26" s="101">
        <f t="shared" si="46"/>
        <v>0.16816415936518433</v>
      </c>
      <c r="W26" s="235">
        <v>0</v>
      </c>
      <c r="X26" s="101">
        <f t="shared" si="47"/>
        <v>0</v>
      </c>
      <c r="Y26" s="235">
        <v>22717</v>
      </c>
      <c r="Z26" s="101">
        <f t="shared" si="48"/>
        <v>9.3887419408166639E-2</v>
      </c>
      <c r="AA26" s="235">
        <v>24287</v>
      </c>
      <c r="AB26" s="101">
        <f t="shared" si="49"/>
        <v>0.5278979285760862</v>
      </c>
      <c r="AC26" s="106">
        <f t="shared" si="50"/>
        <v>47004</v>
      </c>
      <c r="AD26" s="101">
        <f t="shared" si="51"/>
        <v>0.19426351463051744</v>
      </c>
      <c r="AE26" s="235">
        <v>17617</v>
      </c>
      <c r="AF26" s="101">
        <f t="shared" si="52"/>
        <v>7.2809555298396431E-2</v>
      </c>
      <c r="AG26" s="235">
        <v>16039</v>
      </c>
      <c r="AH26" s="101">
        <f t="shared" si="53"/>
        <v>6.6287816167961644E-2</v>
      </c>
      <c r="AI26" s="235">
        <v>15542</v>
      </c>
      <c r="AJ26" s="101">
        <f t="shared" si="54"/>
        <v>6.4233757645891884E-2</v>
      </c>
      <c r="AK26" s="235">
        <v>25544</v>
      </c>
      <c r="AL26" s="101">
        <f t="shared" si="55"/>
        <v>0.10557116878822946</v>
      </c>
    </row>
    <row r="27" spans="2:38" ht="12">
      <c r="B27" s="98"/>
      <c r="C27" s="83"/>
      <c r="D27" s="86">
        <f t="shared" si="19"/>
        <v>46008</v>
      </c>
      <c r="E27" s="86" t="s">
        <v>473</v>
      </c>
      <c r="F27" s="88">
        <f t="shared" si="0"/>
        <v>231358</v>
      </c>
      <c r="G27" s="302"/>
      <c r="H27" s="395"/>
      <c r="I27" s="235">
        <v>27240</v>
      </c>
      <c r="J27" s="101">
        <f t="shared" si="38"/>
        <v>0.1177396070159666</v>
      </c>
      <c r="K27" s="235">
        <v>42380</v>
      </c>
      <c r="L27" s="101">
        <f t="shared" si="39"/>
        <v>0.18317931517388636</v>
      </c>
      <c r="M27" s="106">
        <f t="shared" si="40"/>
        <v>69620</v>
      </c>
      <c r="N27" s="101">
        <f t="shared" si="41"/>
        <v>0.30091892218985294</v>
      </c>
      <c r="O27" s="235">
        <v>5471</v>
      </c>
      <c r="P27" s="101">
        <f t="shared" si="42"/>
        <v>2.3647334434080517E-2</v>
      </c>
      <c r="Q27" s="235">
        <v>3285</v>
      </c>
      <c r="R27" s="101">
        <f t="shared" si="43"/>
        <v>7.140062597809077E-2</v>
      </c>
      <c r="S27" s="106">
        <f t="shared" si="44"/>
        <v>8756</v>
      </c>
      <c r="T27" s="101">
        <f t="shared" si="45"/>
        <v>3.7846108628186617E-2</v>
      </c>
      <c r="U27" s="235">
        <v>38179</v>
      </c>
      <c r="V27" s="101">
        <f t="shared" si="46"/>
        <v>0.16502130896705539</v>
      </c>
      <c r="W27" s="235">
        <v>0</v>
      </c>
      <c r="X27" s="101">
        <f t="shared" si="47"/>
        <v>0</v>
      </c>
      <c r="Y27" s="235">
        <v>22438</v>
      </c>
      <c r="Z27" s="101">
        <f t="shared" si="48"/>
        <v>9.6983895088996269E-2</v>
      </c>
      <c r="AA27" s="235">
        <v>22764</v>
      </c>
      <c r="AB27" s="101">
        <f t="shared" si="49"/>
        <v>0.49478351591027647</v>
      </c>
      <c r="AC27" s="106">
        <f t="shared" si="50"/>
        <v>45202</v>
      </c>
      <c r="AD27" s="101">
        <f t="shared" si="51"/>
        <v>0.19537686183317629</v>
      </c>
      <c r="AE27" s="235">
        <v>16723</v>
      </c>
      <c r="AF27" s="101">
        <f t="shared" si="52"/>
        <v>7.2281918066373324E-2</v>
      </c>
      <c r="AG27" s="235">
        <v>15573</v>
      </c>
      <c r="AH27" s="101">
        <f t="shared" si="53"/>
        <v>6.7311266522013496E-2</v>
      </c>
      <c r="AI27" s="235">
        <v>15182</v>
      </c>
      <c r="AJ27" s="101">
        <f t="shared" si="54"/>
        <v>6.5621244996931158E-2</v>
      </c>
      <c r="AK27" s="235">
        <v>22123</v>
      </c>
      <c r="AL27" s="101">
        <f t="shared" si="55"/>
        <v>9.5622368796410756E-2</v>
      </c>
    </row>
    <row r="28" spans="2:38" ht="12">
      <c r="B28" s="98"/>
      <c r="C28" s="83"/>
      <c r="D28" s="86">
        <f t="shared" si="19"/>
        <v>46009</v>
      </c>
      <c r="E28" s="86" t="s">
        <v>474</v>
      </c>
      <c r="F28" s="88">
        <f t="shared" si="0"/>
        <v>221397</v>
      </c>
      <c r="G28" s="302">
        <f>SUM(F28:F34)</f>
        <v>1538480</v>
      </c>
      <c r="H28" s="395"/>
      <c r="I28" s="235">
        <v>25932</v>
      </c>
      <c r="J28" s="101">
        <f t="shared" si="38"/>
        <v>0.11712895838697002</v>
      </c>
      <c r="K28" s="235">
        <v>39655</v>
      </c>
      <c r="L28" s="101">
        <f t="shared" si="39"/>
        <v>0.17911263476921549</v>
      </c>
      <c r="M28" s="106">
        <f t="shared" si="40"/>
        <v>65587</v>
      </c>
      <c r="N28" s="101">
        <f t="shared" si="41"/>
        <v>0.29624159315618548</v>
      </c>
      <c r="O28" s="235">
        <v>5347</v>
      </c>
      <c r="P28" s="101">
        <f t="shared" si="42"/>
        <v>2.4151185427083475E-2</v>
      </c>
      <c r="Q28" s="235">
        <v>3325</v>
      </c>
      <c r="R28" s="101">
        <f t="shared" si="43"/>
        <v>7.2268469212545372E-2</v>
      </c>
      <c r="S28" s="106">
        <f t="shared" si="44"/>
        <v>8672</v>
      </c>
      <c r="T28" s="101">
        <f t="shared" si="45"/>
        <v>3.9169455774016815E-2</v>
      </c>
      <c r="U28" s="235">
        <v>36379</v>
      </c>
      <c r="V28" s="101">
        <f t="shared" si="46"/>
        <v>0.16431568630107907</v>
      </c>
      <c r="W28" s="235">
        <v>0</v>
      </c>
      <c r="X28" s="101">
        <f t="shared" si="47"/>
        <v>0</v>
      </c>
      <c r="Y28" s="235">
        <v>21690</v>
      </c>
      <c r="Z28" s="101">
        <f t="shared" si="48"/>
        <v>9.7968807165408747E-2</v>
      </c>
      <c r="AA28" s="235">
        <v>20404</v>
      </c>
      <c r="AB28" s="101">
        <f t="shared" si="49"/>
        <v>0.44347844986850399</v>
      </c>
      <c r="AC28" s="106">
        <f t="shared" si="50"/>
        <v>42094</v>
      </c>
      <c r="AD28" s="101">
        <f t="shared" si="51"/>
        <v>0.19012904420565771</v>
      </c>
      <c r="AE28" s="235">
        <v>15444</v>
      </c>
      <c r="AF28" s="101">
        <f t="shared" si="52"/>
        <v>6.9757042778357425E-2</v>
      </c>
      <c r="AG28" s="235">
        <v>17049</v>
      </c>
      <c r="AH28" s="101">
        <f t="shared" si="53"/>
        <v>7.7006463502215475E-2</v>
      </c>
      <c r="AI28" s="235">
        <v>14757</v>
      </c>
      <c r="AJ28" s="101">
        <f t="shared" si="54"/>
        <v>6.6654019702163989E-2</v>
      </c>
      <c r="AK28" s="235">
        <v>21415</v>
      </c>
      <c r="AL28" s="101">
        <f t="shared" si="55"/>
        <v>9.6726694580324027E-2</v>
      </c>
    </row>
    <row r="29" spans="2:38" ht="12">
      <c r="B29" s="98"/>
      <c r="C29" s="83"/>
      <c r="D29" s="86">
        <f t="shared" si="19"/>
        <v>46010</v>
      </c>
      <c r="E29" s="86" t="s">
        <v>475</v>
      </c>
      <c r="F29" s="88">
        <f t="shared" si="0"/>
        <v>202213</v>
      </c>
      <c r="G29" s="302"/>
      <c r="H29" s="395"/>
      <c r="I29" s="235">
        <v>23098</v>
      </c>
      <c r="J29" s="101">
        <f t="shared" si="38"/>
        <v>0.11422608833259978</v>
      </c>
      <c r="K29" s="235">
        <v>38503</v>
      </c>
      <c r="L29" s="101">
        <f t="shared" si="39"/>
        <v>0.19040813399731965</v>
      </c>
      <c r="M29" s="106">
        <f t="shared" si="40"/>
        <v>61601</v>
      </c>
      <c r="N29" s="101">
        <f t="shared" si="41"/>
        <v>0.30463422232991944</v>
      </c>
      <c r="O29" s="235">
        <v>4267</v>
      </c>
      <c r="P29" s="101">
        <f t="shared" si="42"/>
        <v>2.1101511772240164E-2</v>
      </c>
      <c r="Q29" s="235">
        <v>2859</v>
      </c>
      <c r="R29" s="101">
        <f t="shared" si="43"/>
        <v>6.2138665507498372E-2</v>
      </c>
      <c r="S29" s="106">
        <f t="shared" si="44"/>
        <v>7126</v>
      </c>
      <c r="T29" s="101">
        <f t="shared" si="45"/>
        <v>3.5240068640492943E-2</v>
      </c>
      <c r="U29" s="235">
        <v>33754</v>
      </c>
      <c r="V29" s="101">
        <f t="shared" si="46"/>
        <v>0.16692299703777699</v>
      </c>
      <c r="W29" s="235">
        <v>0</v>
      </c>
      <c r="X29" s="101">
        <f t="shared" si="47"/>
        <v>0</v>
      </c>
      <c r="Y29" s="235">
        <v>20123</v>
      </c>
      <c r="Z29" s="101">
        <f t="shared" si="48"/>
        <v>9.9513878929643501E-2</v>
      </c>
      <c r="AA29" s="235">
        <v>21369</v>
      </c>
      <c r="AB29" s="101">
        <f t="shared" si="49"/>
        <v>0.46444251249728319</v>
      </c>
      <c r="AC29" s="106">
        <f t="shared" si="50"/>
        <v>41492</v>
      </c>
      <c r="AD29" s="101">
        <f t="shared" si="51"/>
        <v>0.20518957732687809</v>
      </c>
      <c r="AE29" s="235">
        <v>13739</v>
      </c>
      <c r="AF29" s="101">
        <f t="shared" si="52"/>
        <v>6.7943208399064356E-2</v>
      </c>
      <c r="AG29" s="235">
        <v>14020</v>
      </c>
      <c r="AH29" s="101">
        <f t="shared" si="53"/>
        <v>6.9332832211578876E-2</v>
      </c>
      <c r="AI29" s="235">
        <v>13917</v>
      </c>
      <c r="AJ29" s="101">
        <f t="shared" si="54"/>
        <v>6.882346832300594E-2</v>
      </c>
      <c r="AK29" s="235">
        <v>16564</v>
      </c>
      <c r="AL29" s="101">
        <f t="shared" si="55"/>
        <v>8.1913625731283343E-2</v>
      </c>
    </row>
    <row r="30" spans="2:38" ht="12">
      <c r="B30" s="98"/>
      <c r="C30" s="83"/>
      <c r="D30" s="86">
        <f t="shared" si="19"/>
        <v>46011</v>
      </c>
      <c r="E30" s="86" t="s">
        <v>476</v>
      </c>
      <c r="F30" s="88">
        <f t="shared" si="0"/>
        <v>207438</v>
      </c>
      <c r="G30" s="302"/>
      <c r="H30" s="395"/>
      <c r="I30" s="235">
        <v>22252</v>
      </c>
      <c r="J30" s="101">
        <f t="shared" si="38"/>
        <v>0.10727060615702042</v>
      </c>
      <c r="K30" s="235">
        <v>40511</v>
      </c>
      <c r="L30" s="101">
        <f t="shared" si="39"/>
        <v>0.19529208727426992</v>
      </c>
      <c r="M30" s="106">
        <f t="shared" si="40"/>
        <v>62763</v>
      </c>
      <c r="N30" s="101">
        <f t="shared" si="41"/>
        <v>0.30256269343129033</v>
      </c>
      <c r="O30" s="235">
        <v>4110</v>
      </c>
      <c r="P30" s="101">
        <f t="shared" si="42"/>
        <v>1.9813148989095537E-2</v>
      </c>
      <c r="Q30" s="235">
        <v>2669</v>
      </c>
      <c r="R30" s="101">
        <f t="shared" si="43"/>
        <v>5.8007867683814739E-2</v>
      </c>
      <c r="S30" s="106">
        <f t="shared" si="44"/>
        <v>6779</v>
      </c>
      <c r="T30" s="101">
        <f t="shared" si="45"/>
        <v>3.2679644038218651E-2</v>
      </c>
      <c r="U30" s="235">
        <v>35449</v>
      </c>
      <c r="V30" s="101">
        <f t="shared" si="46"/>
        <v>0.17088961521032792</v>
      </c>
      <c r="W30" s="235">
        <v>0</v>
      </c>
      <c r="X30" s="101">
        <f t="shared" si="47"/>
        <v>0</v>
      </c>
      <c r="Y30" s="235">
        <v>16843</v>
      </c>
      <c r="Z30" s="101">
        <f t="shared" si="48"/>
        <v>8.1195345115166948E-2</v>
      </c>
      <c r="AA30" s="235">
        <v>22150</v>
      </c>
      <c r="AB30" s="101">
        <f t="shared" si="49"/>
        <v>0.48140662015604962</v>
      </c>
      <c r="AC30" s="106">
        <f t="shared" si="50"/>
        <v>38993</v>
      </c>
      <c r="AD30" s="101">
        <f t="shared" si="51"/>
        <v>0.18797423808559666</v>
      </c>
      <c r="AE30" s="235">
        <v>15503</v>
      </c>
      <c r="AF30" s="101">
        <f t="shared" si="52"/>
        <v>7.4735583644269618E-2</v>
      </c>
      <c r="AG30" s="235">
        <v>14504</v>
      </c>
      <c r="AH30" s="101">
        <f t="shared" si="53"/>
        <v>6.9919686846190182E-2</v>
      </c>
      <c r="AI30" s="235">
        <v>15853</v>
      </c>
      <c r="AJ30" s="101">
        <f t="shared" si="54"/>
        <v>7.6422834774727874E-2</v>
      </c>
      <c r="AK30" s="235">
        <v>17594</v>
      </c>
      <c r="AL30" s="101">
        <f t="shared" si="55"/>
        <v>8.4815703969378806E-2</v>
      </c>
    </row>
    <row r="31" spans="2:38" ht="12">
      <c r="B31" s="98"/>
      <c r="C31" s="83"/>
      <c r="D31" s="86">
        <f t="shared" si="19"/>
        <v>46012</v>
      </c>
      <c r="E31" s="86" t="s">
        <v>477</v>
      </c>
      <c r="F31" s="88">
        <f t="shared" si="0"/>
        <v>241311</v>
      </c>
      <c r="G31" s="302"/>
      <c r="H31" s="395"/>
      <c r="I31" s="235">
        <v>28296</v>
      </c>
      <c r="J31" s="101">
        <f t="shared" si="38"/>
        <v>0.11725947014433656</v>
      </c>
      <c r="K31" s="235">
        <v>43001</v>
      </c>
      <c r="L31" s="101">
        <f t="shared" si="39"/>
        <v>0.17819742987265397</v>
      </c>
      <c r="M31" s="106">
        <f t="shared" si="40"/>
        <v>71297</v>
      </c>
      <c r="N31" s="101">
        <f t="shared" si="41"/>
        <v>0.29545690001699054</v>
      </c>
      <c r="O31" s="235">
        <v>5419</v>
      </c>
      <c r="P31" s="101">
        <f t="shared" si="42"/>
        <v>2.2456498046089901E-2</v>
      </c>
      <c r="Q31" s="235">
        <v>3132</v>
      </c>
      <c r="R31" s="101">
        <f t="shared" si="43"/>
        <v>6.8069199339302791E-2</v>
      </c>
      <c r="S31" s="106">
        <f t="shared" si="44"/>
        <v>8551</v>
      </c>
      <c r="T31" s="101">
        <f t="shared" si="45"/>
        <v>3.5435599703287461E-2</v>
      </c>
      <c r="U31" s="235">
        <v>42684</v>
      </c>
      <c r="V31" s="101">
        <f t="shared" si="46"/>
        <v>0.17688377239330158</v>
      </c>
      <c r="W31" s="235">
        <v>0</v>
      </c>
      <c r="X31" s="101">
        <f t="shared" si="47"/>
        <v>0</v>
      </c>
      <c r="Y31" s="235">
        <v>20961</v>
      </c>
      <c r="Z31" s="101">
        <f t="shared" si="48"/>
        <v>8.6863010803485963E-2</v>
      </c>
      <c r="AA31" s="235">
        <v>23844</v>
      </c>
      <c r="AB31" s="101">
        <f t="shared" si="49"/>
        <v>0.51821264018082236</v>
      </c>
      <c r="AC31" s="106">
        <f t="shared" si="50"/>
        <v>44805</v>
      </c>
      <c r="AD31" s="101">
        <f t="shared" si="51"/>
        <v>0.18567325981824284</v>
      </c>
      <c r="AE31" s="235">
        <v>18588</v>
      </c>
      <c r="AF31" s="101">
        <f t="shared" si="52"/>
        <v>7.702922784290811E-2</v>
      </c>
      <c r="AG31" s="235">
        <v>16379</v>
      </c>
      <c r="AH31" s="101">
        <f t="shared" si="53"/>
        <v>6.7875065786474717E-2</v>
      </c>
      <c r="AI31" s="235">
        <v>16923</v>
      </c>
      <c r="AJ31" s="101">
        <f t="shared" si="54"/>
        <v>7.0129418053880677E-2</v>
      </c>
      <c r="AK31" s="235">
        <v>22084</v>
      </c>
      <c r="AL31" s="101">
        <f t="shared" si="55"/>
        <v>9.1516756384914077E-2</v>
      </c>
    </row>
    <row r="32" spans="2:38" ht="12">
      <c r="B32" s="98"/>
      <c r="C32" s="83"/>
      <c r="D32" s="86">
        <f t="shared" si="19"/>
        <v>46013</v>
      </c>
      <c r="E32" s="86" t="s">
        <v>471</v>
      </c>
      <c r="F32" s="88">
        <f t="shared" si="0"/>
        <v>239757</v>
      </c>
      <c r="G32" s="302"/>
      <c r="H32" s="395"/>
      <c r="I32" s="235">
        <v>27492</v>
      </c>
      <c r="J32" s="101">
        <f t="shared" si="38"/>
        <v>0.11466609942566849</v>
      </c>
      <c r="K32" s="235">
        <v>42577</v>
      </c>
      <c r="L32" s="101">
        <f t="shared" si="39"/>
        <v>0.17758397043673385</v>
      </c>
      <c r="M32" s="106">
        <f t="shared" si="40"/>
        <v>70069</v>
      </c>
      <c r="N32" s="101">
        <f t="shared" si="41"/>
        <v>0.29225006986240237</v>
      </c>
      <c r="O32" s="235">
        <v>5082</v>
      </c>
      <c r="P32" s="101">
        <f t="shared" si="42"/>
        <v>2.1196461417184901E-2</v>
      </c>
      <c r="Q32" s="235">
        <v>3141</v>
      </c>
      <c r="R32" s="101">
        <f t="shared" si="43"/>
        <v>6.8263316888705364E-2</v>
      </c>
      <c r="S32" s="106">
        <f t="shared" si="44"/>
        <v>8223</v>
      </c>
      <c r="T32" s="101">
        <f t="shared" si="45"/>
        <v>3.4297225941265531E-2</v>
      </c>
      <c r="U32" s="235">
        <v>40206</v>
      </c>
      <c r="V32" s="101">
        <f t="shared" si="46"/>
        <v>0.16769479097586307</v>
      </c>
      <c r="W32" s="235">
        <v>0</v>
      </c>
      <c r="X32" s="101">
        <f t="shared" si="47"/>
        <v>0</v>
      </c>
      <c r="Y32" s="235">
        <v>20289</v>
      </c>
      <c r="Z32" s="101">
        <f t="shared" si="48"/>
        <v>8.4623180970732861E-2</v>
      </c>
      <c r="AA32" s="235">
        <v>30775</v>
      </c>
      <c r="AB32" s="101">
        <f t="shared" si="49"/>
        <v>0.66883272118749049</v>
      </c>
      <c r="AC32" s="106">
        <f t="shared" si="50"/>
        <v>51064</v>
      </c>
      <c r="AD32" s="101">
        <f t="shared" si="51"/>
        <v>0.21298231125681419</v>
      </c>
      <c r="AE32" s="235">
        <v>17619</v>
      </c>
      <c r="AF32" s="101">
        <f t="shared" si="52"/>
        <v>7.3486905491810459E-2</v>
      </c>
      <c r="AG32" s="235">
        <v>15867</v>
      </c>
      <c r="AH32" s="101">
        <f t="shared" si="53"/>
        <v>6.6179506750584968E-2</v>
      </c>
      <c r="AI32" s="235">
        <v>16501</v>
      </c>
      <c r="AJ32" s="101">
        <f t="shared" si="54"/>
        <v>6.8823850815617482E-2</v>
      </c>
      <c r="AK32" s="235">
        <v>20208</v>
      </c>
      <c r="AL32" s="101">
        <f t="shared" si="55"/>
        <v>8.4285338905641966E-2</v>
      </c>
    </row>
    <row r="33" spans="2:38" ht="12">
      <c r="B33" s="98"/>
      <c r="C33" s="83"/>
      <c r="D33" s="298">
        <f t="shared" si="19"/>
        <v>46014</v>
      </c>
      <c r="E33" s="298" t="s">
        <v>472</v>
      </c>
      <c r="F33" s="88">
        <f t="shared" si="0"/>
        <v>229409</v>
      </c>
      <c r="G33" s="302"/>
      <c r="H33" s="395"/>
      <c r="I33" s="235">
        <v>27601</v>
      </c>
      <c r="J33" s="101">
        <f t="shared" si="38"/>
        <v>0.12031350121398898</v>
      </c>
      <c r="K33" s="235">
        <v>38802</v>
      </c>
      <c r="L33" s="101">
        <f t="shared" si="39"/>
        <v>0.16913896141825299</v>
      </c>
      <c r="M33" s="106">
        <f t="shared" si="40"/>
        <v>66403</v>
      </c>
      <c r="N33" s="101">
        <f t="shared" si="41"/>
        <v>0.289452462632242</v>
      </c>
      <c r="O33" s="235">
        <v>8319</v>
      </c>
      <c r="P33" s="101">
        <f t="shared" si="42"/>
        <v>3.6262744704872084E-2</v>
      </c>
      <c r="Q33" s="235">
        <v>3265</v>
      </c>
      <c r="R33" s="101">
        <f t="shared" si="43"/>
        <v>7.0956665362715693E-2</v>
      </c>
      <c r="S33" s="106">
        <f t="shared" si="44"/>
        <v>11584</v>
      </c>
      <c r="T33" s="101">
        <f t="shared" si="45"/>
        <v>5.049496750345453E-2</v>
      </c>
      <c r="U33" s="235">
        <v>37365</v>
      </c>
      <c r="V33" s="101">
        <f t="shared" si="46"/>
        <v>0.16287503977612039</v>
      </c>
      <c r="W33" s="235">
        <v>0</v>
      </c>
      <c r="X33" s="101">
        <f t="shared" si="47"/>
        <v>0</v>
      </c>
      <c r="Y33" s="235">
        <v>20543</v>
      </c>
      <c r="Z33" s="101">
        <f t="shared" si="48"/>
        <v>8.9547489418462217E-2</v>
      </c>
      <c r="AA33" s="235">
        <v>28330</v>
      </c>
      <c r="AB33" s="101">
        <f t="shared" si="49"/>
        <v>0.6156821836832268</v>
      </c>
      <c r="AC33" s="106">
        <f t="shared" si="50"/>
        <v>48873</v>
      </c>
      <c r="AD33" s="101">
        <f t="shared" si="51"/>
        <v>0.21303872123587131</v>
      </c>
      <c r="AE33" s="235">
        <v>17045</v>
      </c>
      <c r="AF33" s="101">
        <f t="shared" si="52"/>
        <v>7.4299613354314786E-2</v>
      </c>
      <c r="AG33" s="235">
        <v>15239</v>
      </c>
      <c r="AH33" s="101">
        <f t="shared" si="53"/>
        <v>6.6427210789463356E-2</v>
      </c>
      <c r="AI33" s="235">
        <v>14135</v>
      </c>
      <c r="AJ33" s="101">
        <f t="shared" si="54"/>
        <v>6.1614845101979433E-2</v>
      </c>
      <c r="AK33" s="235">
        <v>18765</v>
      </c>
      <c r="AL33" s="101">
        <f t="shared" si="55"/>
        <v>8.1797139606554228E-2</v>
      </c>
    </row>
    <row r="34" spans="2:38" ht="12">
      <c r="B34" s="98"/>
      <c r="C34" s="83"/>
      <c r="D34" s="298">
        <f t="shared" si="19"/>
        <v>46015</v>
      </c>
      <c r="E34" s="298" t="s">
        <v>473</v>
      </c>
      <c r="F34" s="88">
        <f t="shared" si="0"/>
        <v>196955</v>
      </c>
      <c r="G34" s="302"/>
      <c r="H34" s="395"/>
      <c r="I34" s="235">
        <v>23206</v>
      </c>
      <c r="J34" s="101">
        <f t="shared" si="38"/>
        <v>0.11782386839633419</v>
      </c>
      <c r="K34" s="235">
        <v>38018</v>
      </c>
      <c r="L34" s="101">
        <f t="shared" si="39"/>
        <v>0.1930288644614252</v>
      </c>
      <c r="M34" s="106">
        <f t="shared" si="40"/>
        <v>61224</v>
      </c>
      <c r="N34" s="101">
        <f t="shared" si="41"/>
        <v>0.31085273285775938</v>
      </c>
      <c r="O34" s="235">
        <v>6898</v>
      </c>
      <c r="P34" s="101">
        <f t="shared" si="42"/>
        <v>3.5023228656292045E-2</v>
      </c>
      <c r="Q34" s="235">
        <v>3053</v>
      </c>
      <c r="R34" s="101">
        <f t="shared" si="43"/>
        <v>6.6347930022818649E-2</v>
      </c>
      <c r="S34" s="106">
        <f t="shared" si="44"/>
        <v>9951</v>
      </c>
      <c r="T34" s="101">
        <f t="shared" si="45"/>
        <v>5.0524231423421592E-2</v>
      </c>
      <c r="U34" s="235">
        <v>29570</v>
      </c>
      <c r="V34" s="101">
        <f t="shared" si="46"/>
        <v>0.15013581782640706</v>
      </c>
      <c r="W34" s="235">
        <v>0</v>
      </c>
      <c r="X34" s="101">
        <f t="shared" si="47"/>
        <v>0</v>
      </c>
      <c r="Y34" s="235">
        <v>19289</v>
      </c>
      <c r="Z34" s="101">
        <f t="shared" si="48"/>
        <v>9.7936076768805058E-2</v>
      </c>
      <c r="AA34" s="235">
        <v>25415</v>
      </c>
      <c r="AB34" s="101">
        <f t="shared" si="49"/>
        <v>0.55231989568618933</v>
      </c>
      <c r="AC34" s="106">
        <f t="shared" si="50"/>
        <v>44704</v>
      </c>
      <c r="AD34" s="101">
        <f t="shared" si="51"/>
        <v>0.22697570511030438</v>
      </c>
      <c r="AE34" s="235">
        <v>13960</v>
      </c>
      <c r="AF34" s="101">
        <f t="shared" si="52"/>
        <v>7.087913482775253E-2</v>
      </c>
      <c r="AG34" s="235">
        <v>10483</v>
      </c>
      <c r="AH34" s="101">
        <f t="shared" si="53"/>
        <v>5.3225356045797263E-2</v>
      </c>
      <c r="AI34" s="235">
        <v>10926</v>
      </c>
      <c r="AJ34" s="101">
        <f t="shared" si="54"/>
        <v>5.5474600797136404E-2</v>
      </c>
      <c r="AK34" s="235">
        <v>16137</v>
      </c>
      <c r="AL34" s="101">
        <f t="shared" si="55"/>
        <v>8.1932421111421391E-2</v>
      </c>
    </row>
    <row r="35" spans="2:38" ht="12">
      <c r="B35" s="98"/>
      <c r="C35" s="83"/>
      <c r="D35" s="298">
        <f t="shared" si="19"/>
        <v>46016</v>
      </c>
      <c r="E35" s="298" t="s">
        <v>474</v>
      </c>
      <c r="F35" s="88">
        <f t="shared" si="0"/>
        <v>206860</v>
      </c>
      <c r="G35" s="302">
        <f>SUM(F35:F41)</f>
        <v>1466437</v>
      </c>
      <c r="H35" s="395"/>
      <c r="I35" s="235">
        <v>26207</v>
      </c>
      <c r="J35" s="101">
        <f t="shared" si="38"/>
        <v>0.12668954848689934</v>
      </c>
      <c r="K35" s="235">
        <v>38520</v>
      </c>
      <c r="L35" s="101">
        <f t="shared" si="39"/>
        <v>0.18621289761191143</v>
      </c>
      <c r="M35" s="106">
        <f t="shared" si="40"/>
        <v>64727</v>
      </c>
      <c r="N35" s="101">
        <f t="shared" si="41"/>
        <v>0.31290244609881079</v>
      </c>
      <c r="O35" s="235">
        <v>6672</v>
      </c>
      <c r="P35" s="101">
        <f t="shared" si="42"/>
        <v>3.2253698153340421E-2</v>
      </c>
      <c r="Q35" s="235">
        <v>3537</v>
      </c>
      <c r="R35" s="101">
        <f t="shared" si="43"/>
        <v>7.6864568845618916E-2</v>
      </c>
      <c r="S35" s="106">
        <f t="shared" si="44"/>
        <v>10209</v>
      </c>
      <c r="T35" s="101">
        <f t="shared" si="45"/>
        <v>4.9352218892004251E-2</v>
      </c>
      <c r="U35" s="235">
        <v>32129</v>
      </c>
      <c r="V35" s="101">
        <f t="shared" si="46"/>
        <v>0.15531760611041284</v>
      </c>
      <c r="W35" s="235">
        <v>0</v>
      </c>
      <c r="X35" s="101">
        <f t="shared" si="47"/>
        <v>0</v>
      </c>
      <c r="Y35" s="235">
        <v>19730</v>
      </c>
      <c r="Z35" s="101">
        <f t="shared" si="48"/>
        <v>9.5378516871313934E-2</v>
      </c>
      <c r="AA35" s="235">
        <v>22445</v>
      </c>
      <c r="AB35" s="101">
        <f t="shared" si="49"/>
        <v>0.48776512517385257</v>
      </c>
      <c r="AC35" s="106">
        <f t="shared" si="50"/>
        <v>42175</v>
      </c>
      <c r="AD35" s="101">
        <f t="shared" si="51"/>
        <v>0.20388185246060136</v>
      </c>
      <c r="AE35" s="235">
        <v>15084</v>
      </c>
      <c r="AF35" s="101">
        <f t="shared" si="52"/>
        <v>7.2918882335879343E-2</v>
      </c>
      <c r="AG35" s="235">
        <v>12619</v>
      </c>
      <c r="AH35" s="101">
        <f t="shared" si="53"/>
        <v>6.1002610461181474E-2</v>
      </c>
      <c r="AI35" s="235">
        <v>11406</v>
      </c>
      <c r="AJ35" s="101">
        <f t="shared" si="54"/>
        <v>5.5138741177608044E-2</v>
      </c>
      <c r="AK35" s="235">
        <v>18511</v>
      </c>
      <c r="AL35" s="101">
        <f t="shared" si="55"/>
        <v>8.948564246350188E-2</v>
      </c>
    </row>
    <row r="36" spans="2:38" ht="12">
      <c r="B36" s="98"/>
      <c r="C36" s="83"/>
      <c r="D36" s="298">
        <f t="shared" si="19"/>
        <v>46017</v>
      </c>
      <c r="E36" s="298" t="s">
        <v>475</v>
      </c>
      <c r="F36" s="88">
        <f t="shared" si="0"/>
        <v>193343</v>
      </c>
      <c r="G36" s="302"/>
      <c r="H36" s="395"/>
      <c r="I36" s="235">
        <v>22797</v>
      </c>
      <c r="J36" s="101">
        <f t="shared" si="38"/>
        <v>0.11790962176029129</v>
      </c>
      <c r="K36" s="235">
        <v>41150</v>
      </c>
      <c r="L36" s="101">
        <f t="shared" si="39"/>
        <v>0.21283418587691305</v>
      </c>
      <c r="M36" s="106">
        <f t="shared" si="40"/>
        <v>63947</v>
      </c>
      <c r="N36" s="101">
        <f t="shared" si="41"/>
        <v>0.33074380763720435</v>
      </c>
      <c r="O36" s="235">
        <v>5512</v>
      </c>
      <c r="P36" s="101">
        <f t="shared" si="42"/>
        <v>2.8508919381617127E-2</v>
      </c>
      <c r="Q36" s="235">
        <v>2809</v>
      </c>
      <c r="R36" s="101">
        <f t="shared" si="43"/>
        <v>6.1042658148075711E-2</v>
      </c>
      <c r="S36" s="106">
        <f t="shared" si="44"/>
        <v>8321</v>
      </c>
      <c r="T36" s="101">
        <f t="shared" si="45"/>
        <v>4.3037503297248932E-2</v>
      </c>
      <c r="U36" s="235">
        <v>28257</v>
      </c>
      <c r="V36" s="101">
        <f t="shared" si="46"/>
        <v>0.14614958907227052</v>
      </c>
      <c r="W36" s="235">
        <v>0</v>
      </c>
      <c r="X36" s="101">
        <f t="shared" si="47"/>
        <v>0</v>
      </c>
      <c r="Y36" s="235">
        <v>18150</v>
      </c>
      <c r="Z36" s="101">
        <f t="shared" si="48"/>
        <v>9.3874616613996889E-2</v>
      </c>
      <c r="AA36" s="235">
        <v>22525</v>
      </c>
      <c r="AB36" s="101">
        <f t="shared" si="49"/>
        <v>0.4894930134515505</v>
      </c>
      <c r="AC36" s="106">
        <f t="shared" si="50"/>
        <v>40675</v>
      </c>
      <c r="AD36" s="101">
        <f t="shared" si="51"/>
        <v>0.21037741216387457</v>
      </c>
      <c r="AE36" s="235">
        <v>13409</v>
      </c>
      <c r="AF36" s="101">
        <f t="shared" si="52"/>
        <v>6.9353428880280121E-2</v>
      </c>
      <c r="AG36" s="235">
        <v>11102</v>
      </c>
      <c r="AH36" s="101">
        <f t="shared" si="53"/>
        <v>5.7421266867691098E-2</v>
      </c>
      <c r="AI36" s="235">
        <v>11357</v>
      </c>
      <c r="AJ36" s="101">
        <f t="shared" si="54"/>
        <v>5.8740166439953861E-2</v>
      </c>
      <c r="AK36" s="235">
        <v>16275</v>
      </c>
      <c r="AL36" s="101">
        <f t="shared" si="55"/>
        <v>8.4176825641476549E-2</v>
      </c>
    </row>
    <row r="37" spans="2:38" ht="12">
      <c r="B37" s="98"/>
      <c r="C37" s="83"/>
      <c r="D37" s="298">
        <f t="shared" si="19"/>
        <v>46018</v>
      </c>
      <c r="E37" s="298" t="s">
        <v>476</v>
      </c>
      <c r="F37" s="88">
        <f t="shared" si="0"/>
        <v>199280</v>
      </c>
      <c r="G37" s="302"/>
      <c r="H37" s="395"/>
      <c r="I37" s="235">
        <v>21555</v>
      </c>
      <c r="J37" s="101">
        <f t="shared" si="38"/>
        <v>0.10816439181051786</v>
      </c>
      <c r="K37" s="235">
        <v>38885</v>
      </c>
      <c r="L37" s="101">
        <f t="shared" si="39"/>
        <v>0.19512745885186672</v>
      </c>
      <c r="M37" s="106">
        <f t="shared" si="40"/>
        <v>60440</v>
      </c>
      <c r="N37" s="101">
        <f t="shared" si="41"/>
        <v>0.30329185066238457</v>
      </c>
      <c r="O37" s="235">
        <v>5332</v>
      </c>
      <c r="P37" s="101">
        <f t="shared" si="42"/>
        <v>2.6756322761942994E-2</v>
      </c>
      <c r="Q37" s="235">
        <v>2554</v>
      </c>
      <c r="R37" s="101">
        <f t="shared" si="43"/>
        <v>5.5500021730627146E-2</v>
      </c>
      <c r="S37" s="106">
        <f t="shared" si="44"/>
        <v>7886</v>
      </c>
      <c r="T37" s="101">
        <f t="shared" si="45"/>
        <v>3.9572460859092731E-2</v>
      </c>
      <c r="U37" s="235">
        <v>31569</v>
      </c>
      <c r="V37" s="101">
        <f t="shared" si="46"/>
        <v>0.15841529506222402</v>
      </c>
      <c r="W37" s="235">
        <v>0</v>
      </c>
      <c r="X37" s="101">
        <f t="shared" si="47"/>
        <v>0</v>
      </c>
      <c r="Y37" s="235">
        <v>19951</v>
      </c>
      <c r="Z37" s="101">
        <f t="shared" si="48"/>
        <v>0.10011541549578483</v>
      </c>
      <c r="AA37" s="235">
        <v>22772</v>
      </c>
      <c r="AB37" s="101">
        <f t="shared" si="49"/>
        <v>0.49484984136642185</v>
      </c>
      <c r="AC37" s="106">
        <f t="shared" si="50"/>
        <v>42723</v>
      </c>
      <c r="AD37" s="101">
        <f t="shared" si="51"/>
        <v>0.21438679245283018</v>
      </c>
      <c r="AE37" s="235">
        <v>14761</v>
      </c>
      <c r="AF37" s="101">
        <f t="shared" si="52"/>
        <v>7.4071657968687268E-2</v>
      </c>
      <c r="AG37" s="235">
        <v>11660</v>
      </c>
      <c r="AH37" s="101">
        <f t="shared" si="53"/>
        <v>5.8510638297872342E-2</v>
      </c>
      <c r="AI37" s="235">
        <v>13454</v>
      </c>
      <c r="AJ37" s="101">
        <f t="shared" si="54"/>
        <v>6.7513046969088719E-2</v>
      </c>
      <c r="AK37" s="235">
        <v>16787</v>
      </c>
      <c r="AL37" s="101">
        <f t="shared" si="55"/>
        <v>8.4238257727820148E-2</v>
      </c>
    </row>
    <row r="38" spans="2:38" s="388" customFormat="1" ht="12">
      <c r="B38" s="381"/>
      <c r="C38" s="382"/>
      <c r="D38" s="298">
        <f t="shared" si="19"/>
        <v>46019</v>
      </c>
      <c r="E38" s="298" t="s">
        <v>477</v>
      </c>
      <c r="F38" s="383">
        <f t="shared" si="0"/>
        <v>229667</v>
      </c>
      <c r="G38" s="384"/>
      <c r="H38" s="395"/>
      <c r="I38" s="385">
        <v>26939</v>
      </c>
      <c r="J38" s="386">
        <f t="shared" si="38"/>
        <v>0.11729591103641358</v>
      </c>
      <c r="K38" s="385">
        <v>40707</v>
      </c>
      <c r="L38" s="386">
        <f t="shared" si="39"/>
        <v>0.17724357439249</v>
      </c>
      <c r="M38" s="387">
        <f t="shared" si="40"/>
        <v>67646</v>
      </c>
      <c r="N38" s="386">
        <f t="shared" si="41"/>
        <v>0.29453948542890357</v>
      </c>
      <c r="O38" s="385">
        <v>7410</v>
      </c>
      <c r="P38" s="386">
        <f t="shared" si="42"/>
        <v>3.2264104115959195E-2</v>
      </c>
      <c r="Q38" s="385">
        <v>2979</v>
      </c>
      <c r="R38" s="386">
        <f t="shared" si="43"/>
        <v>6.4734131554357977E-2</v>
      </c>
      <c r="S38" s="387">
        <f t="shared" si="44"/>
        <v>10389</v>
      </c>
      <c r="T38" s="386">
        <f t="shared" si="45"/>
        <v>4.5235057713994609E-2</v>
      </c>
      <c r="U38" s="385">
        <v>38976</v>
      </c>
      <c r="V38" s="386">
        <f t="shared" si="46"/>
        <v>0.16970657517187929</v>
      </c>
      <c r="W38" s="385">
        <v>0</v>
      </c>
      <c r="X38" s="386">
        <f t="shared" si="47"/>
        <v>0</v>
      </c>
      <c r="Y38" s="385">
        <v>22740</v>
      </c>
      <c r="Z38" s="386">
        <f t="shared" si="48"/>
        <v>9.9012918704036709E-2</v>
      </c>
      <c r="AA38" s="385">
        <v>24855</v>
      </c>
      <c r="AB38" s="386">
        <f t="shared" si="49"/>
        <v>0.54010300093439667</v>
      </c>
      <c r="AC38" s="387">
        <f t="shared" si="50"/>
        <v>47595</v>
      </c>
      <c r="AD38" s="386">
        <f t="shared" si="51"/>
        <v>0.20723482259096868</v>
      </c>
      <c r="AE38" s="385">
        <v>17548</v>
      </c>
      <c r="AF38" s="386">
        <f t="shared" si="52"/>
        <v>7.64062751723147E-2</v>
      </c>
      <c r="AG38" s="385">
        <v>13859</v>
      </c>
      <c r="AH38" s="386">
        <f t="shared" si="53"/>
        <v>6.0343889196096956E-2</v>
      </c>
      <c r="AI38" s="385">
        <v>15057</v>
      </c>
      <c r="AJ38" s="386">
        <f t="shared" si="54"/>
        <v>6.5560137068015861E-2</v>
      </c>
      <c r="AK38" s="385">
        <v>18597</v>
      </c>
      <c r="AL38" s="386">
        <f t="shared" si="55"/>
        <v>8.0973757657826329E-2</v>
      </c>
    </row>
    <row r="39" spans="2:38" ht="12">
      <c r="B39" s="98"/>
      <c r="C39" s="83"/>
      <c r="D39" s="298">
        <f t="shared" si="19"/>
        <v>46020</v>
      </c>
      <c r="E39" s="298" t="s">
        <v>471</v>
      </c>
      <c r="F39" s="88">
        <f t="shared" si="0"/>
        <v>225457</v>
      </c>
      <c r="G39" s="302"/>
      <c r="H39" s="88"/>
      <c r="I39" s="235">
        <v>26136</v>
      </c>
      <c r="J39" s="101">
        <f t="shared" si="38"/>
        <v>0.11592454436987984</v>
      </c>
      <c r="K39" s="235">
        <v>40026</v>
      </c>
      <c r="L39" s="101">
        <f t="shared" si="39"/>
        <v>0.17753274460318375</v>
      </c>
      <c r="M39" s="106">
        <f t="shared" si="40"/>
        <v>66162</v>
      </c>
      <c r="N39" s="101">
        <f t="shared" si="41"/>
        <v>0.29345728897306361</v>
      </c>
      <c r="O39" s="235">
        <v>6076</v>
      </c>
      <c r="P39" s="101">
        <f t="shared" si="42"/>
        <v>2.6949706595936256E-2</v>
      </c>
      <c r="Q39" s="235">
        <v>3006</v>
      </c>
      <c r="R39" s="101">
        <f t="shared" si="43"/>
        <v>6.5319426336375483E-2</v>
      </c>
      <c r="S39" s="106">
        <f t="shared" si="44"/>
        <v>9082</v>
      </c>
      <c r="T39" s="101">
        <f t="shared" si="45"/>
        <v>4.0282625955281939E-2</v>
      </c>
      <c r="U39" s="235">
        <v>37587</v>
      </c>
      <c r="V39" s="101">
        <f t="shared" si="46"/>
        <v>0.16671471721880446</v>
      </c>
      <c r="W39" s="235">
        <v>0</v>
      </c>
      <c r="X39" s="101">
        <f t="shared" si="47"/>
        <v>0</v>
      </c>
      <c r="Y39" s="235">
        <v>21286</v>
      </c>
      <c r="Z39" s="101">
        <f t="shared" si="48"/>
        <v>9.4412681797415909E-2</v>
      </c>
      <c r="AA39" s="235">
        <v>27877</v>
      </c>
      <c r="AB39" s="101">
        <f t="shared" si="49"/>
        <v>0.60575836592785748</v>
      </c>
      <c r="AC39" s="106">
        <f t="shared" si="50"/>
        <v>49163</v>
      </c>
      <c r="AD39" s="101">
        <f t="shared" si="51"/>
        <v>0.21805931951547303</v>
      </c>
      <c r="AE39" s="235">
        <v>16765</v>
      </c>
      <c r="AF39" s="101">
        <f t="shared" si="52"/>
        <v>7.4360077531413979E-2</v>
      </c>
      <c r="AG39" s="235">
        <v>13373</v>
      </c>
      <c r="AH39" s="101">
        <f t="shared" si="53"/>
        <v>5.9315080037435075E-2</v>
      </c>
      <c r="AI39" s="235">
        <v>14409</v>
      </c>
      <c r="AJ39" s="101">
        <f t="shared" si="54"/>
        <v>6.391019130033665E-2</v>
      </c>
      <c r="AK39" s="235">
        <v>18916</v>
      </c>
      <c r="AL39" s="101">
        <f t="shared" si="55"/>
        <v>8.3900699468191273E-2</v>
      </c>
    </row>
    <row r="40" spans="2:38" ht="12">
      <c r="B40" s="98"/>
      <c r="C40" s="83"/>
      <c r="D40" s="86">
        <f t="shared" si="19"/>
        <v>46021</v>
      </c>
      <c r="E40" s="86" t="s">
        <v>472</v>
      </c>
      <c r="F40" s="88">
        <f t="shared" si="0"/>
        <v>219598</v>
      </c>
      <c r="G40" s="302"/>
      <c r="H40" s="88"/>
      <c r="I40" s="235">
        <v>28908</v>
      </c>
      <c r="J40" s="101">
        <f t="shared" si="38"/>
        <v>0.13164054317434584</v>
      </c>
      <c r="K40" s="235">
        <v>37164</v>
      </c>
      <c r="L40" s="101">
        <f t="shared" si="39"/>
        <v>0.16923651399375222</v>
      </c>
      <c r="M40" s="106">
        <f t="shared" si="40"/>
        <v>66072</v>
      </c>
      <c r="N40" s="101">
        <f t="shared" si="41"/>
        <v>0.30087705716809809</v>
      </c>
      <c r="O40" s="235">
        <v>6074</v>
      </c>
      <c r="P40" s="101">
        <f t="shared" si="42"/>
        <v>2.7659632601389813E-2</v>
      </c>
      <c r="Q40" s="235">
        <v>3084</v>
      </c>
      <c r="R40" s="101">
        <f t="shared" si="43"/>
        <v>6.7012885421872628E-2</v>
      </c>
      <c r="S40" s="106">
        <f t="shared" si="44"/>
        <v>9158</v>
      </c>
      <c r="T40" s="101">
        <f t="shared" si="45"/>
        <v>4.1703476352243647E-2</v>
      </c>
      <c r="U40" s="235">
        <v>35617</v>
      </c>
      <c r="V40" s="101">
        <f t="shared" si="46"/>
        <v>0.16219182324064882</v>
      </c>
      <c r="W40" s="235">
        <v>0</v>
      </c>
      <c r="X40" s="101">
        <f t="shared" si="47"/>
        <v>0</v>
      </c>
      <c r="Y40" s="235">
        <v>21558</v>
      </c>
      <c r="Z40" s="101">
        <f t="shared" si="48"/>
        <v>9.8170292989917946E-2</v>
      </c>
      <c r="AA40" s="235">
        <v>27542</v>
      </c>
      <c r="AB40" s="101">
        <f t="shared" si="49"/>
        <v>0.59846591773320879</v>
      </c>
      <c r="AC40" s="106">
        <f t="shared" si="50"/>
        <v>49100</v>
      </c>
      <c r="AD40" s="101">
        <f t="shared" si="51"/>
        <v>0.22359037878304902</v>
      </c>
      <c r="AE40" s="235">
        <v>16316</v>
      </c>
      <c r="AF40" s="101">
        <f t="shared" si="52"/>
        <v>7.429940163389466E-2</v>
      </c>
      <c r="AG40" s="235">
        <v>12175</v>
      </c>
      <c r="AH40" s="101">
        <f t="shared" si="53"/>
        <v>5.5442217142232623E-2</v>
      </c>
      <c r="AI40" s="235">
        <v>12964</v>
      </c>
      <c r="AJ40" s="101">
        <f t="shared" si="54"/>
        <v>5.9035146039581418E-2</v>
      </c>
      <c r="AK40" s="235">
        <v>18196</v>
      </c>
      <c r="AL40" s="101">
        <f t="shared" si="55"/>
        <v>8.2860499640251731E-2</v>
      </c>
    </row>
    <row r="41" spans="2:38" ht="12">
      <c r="B41" s="98"/>
      <c r="C41" s="83"/>
      <c r="D41" s="86">
        <f t="shared" si="19"/>
        <v>46022</v>
      </c>
      <c r="E41" s="86" t="s">
        <v>473</v>
      </c>
      <c r="F41" s="88">
        <f t="shared" si="0"/>
        <v>192232</v>
      </c>
      <c r="G41" s="302"/>
      <c r="H41" s="88"/>
      <c r="I41" s="235">
        <v>23231</v>
      </c>
      <c r="J41" s="101">
        <f t="shared" si="38"/>
        <v>0.12084876607432686</v>
      </c>
      <c r="K41" s="235">
        <v>35728</v>
      </c>
      <c r="L41" s="101">
        <f t="shared" si="39"/>
        <v>0.18585875400557658</v>
      </c>
      <c r="M41" s="106">
        <f t="shared" ref="M41" si="56">SUM(I41+K41)</f>
        <v>58959</v>
      </c>
      <c r="N41" s="101">
        <f t="shared" ref="N41" si="57">M41/F41</f>
        <v>0.30670752007990343</v>
      </c>
      <c r="O41" s="235">
        <v>6001</v>
      </c>
      <c r="P41" s="101">
        <f t="shared" si="42"/>
        <v>3.1217487202963086E-2</v>
      </c>
      <c r="Q41" s="235">
        <v>2774</v>
      </c>
      <c r="R41" s="101">
        <f t="shared" ref="R41" si="58">Q41/D41</f>
        <v>6.0275520403285383E-2</v>
      </c>
      <c r="S41" s="106">
        <f t="shared" ref="S41" si="59">SUM(O41+Q41)</f>
        <v>8775</v>
      </c>
      <c r="T41" s="101">
        <f t="shared" ref="T41" si="60">S41/F41</f>
        <v>4.5647967039826876E-2</v>
      </c>
      <c r="U41" s="235">
        <v>28952</v>
      </c>
      <c r="V41" s="101">
        <f t="shared" si="46"/>
        <v>0.15060967997003621</v>
      </c>
      <c r="W41" s="235">
        <v>0</v>
      </c>
      <c r="X41" s="101">
        <f t="shared" si="47"/>
        <v>0</v>
      </c>
      <c r="Y41" s="235">
        <v>20296</v>
      </c>
      <c r="Z41" s="101">
        <f t="shared" si="48"/>
        <v>0.10558075658579216</v>
      </c>
      <c r="AA41" s="235">
        <v>24670</v>
      </c>
      <c r="AB41" s="101">
        <f t="shared" ref="AB41" si="61">AA41/D41</f>
        <v>0.53604797705445217</v>
      </c>
      <c r="AC41" s="106">
        <f t="shared" ref="AC41" si="62">SUM(Y41+AA41)</f>
        <v>44966</v>
      </c>
      <c r="AD41" s="101">
        <f t="shared" ref="AD41" si="63">AC41/F41</f>
        <v>0.23391526904989804</v>
      </c>
      <c r="AE41" s="235">
        <v>13175</v>
      </c>
      <c r="AF41" s="101">
        <f t="shared" si="52"/>
        <v>6.8536976153814141E-2</v>
      </c>
      <c r="AG41" s="235">
        <v>9574</v>
      </c>
      <c r="AH41" s="101">
        <f t="shared" si="53"/>
        <v>4.9804403013025925E-2</v>
      </c>
      <c r="AI41" s="235">
        <v>11275</v>
      </c>
      <c r="AJ41" s="101">
        <f t="shared" si="54"/>
        <v>5.865308585459237E-2</v>
      </c>
      <c r="AK41" s="235">
        <v>16556</v>
      </c>
      <c r="AL41" s="101">
        <f t="shared" si="55"/>
        <v>8.6125098838902986E-2</v>
      </c>
    </row>
    <row r="42" spans="2:38" ht="12">
      <c r="B42" s="98"/>
      <c r="C42" s="83"/>
      <c r="D42" s="86"/>
      <c r="E42" s="86"/>
      <c r="F42" s="88"/>
      <c r="G42" s="302"/>
      <c r="H42" s="88"/>
      <c r="I42" s="235"/>
      <c r="J42" s="101"/>
      <c r="K42" s="235"/>
      <c r="L42" s="101"/>
      <c r="M42" s="106"/>
      <c r="N42" s="101"/>
      <c r="O42" s="235"/>
      <c r="P42" s="101"/>
      <c r="Q42" s="235"/>
      <c r="R42" s="101"/>
      <c r="S42" s="106"/>
      <c r="T42" s="101"/>
      <c r="U42" s="235"/>
      <c r="V42" s="101"/>
      <c r="W42" s="235"/>
      <c r="X42" s="101"/>
      <c r="Y42" s="235"/>
      <c r="Z42" s="101"/>
      <c r="AA42" s="235"/>
      <c r="AB42" s="101"/>
      <c r="AC42" s="106"/>
      <c r="AD42" s="101"/>
      <c r="AE42" s="235"/>
      <c r="AF42" s="101"/>
      <c r="AG42" s="235"/>
      <c r="AH42" s="101"/>
      <c r="AI42" s="235"/>
      <c r="AJ42" s="101"/>
      <c r="AK42" s="235"/>
      <c r="AL42" s="101"/>
    </row>
    <row r="43" spans="2:38" ht="12">
      <c r="B43" s="98"/>
      <c r="C43" s="83"/>
      <c r="D43" s="86"/>
      <c r="E43" s="86"/>
      <c r="F43" s="88">
        <f t="shared" si="0"/>
        <v>0</v>
      </c>
      <c r="G43" s="302"/>
      <c r="H43" s="88"/>
      <c r="I43" s="235"/>
      <c r="J43" s="101" t="e">
        <f>I43/F43</f>
        <v>#DIV/0!</v>
      </c>
      <c r="K43" s="235"/>
      <c r="L43" s="101" t="e">
        <f>K43/F43</f>
        <v>#DIV/0!</v>
      </c>
      <c r="M43" s="106">
        <f>SUM(I43+K43)</f>
        <v>0</v>
      </c>
      <c r="N43" s="101" t="e">
        <f>M43/F43</f>
        <v>#DIV/0!</v>
      </c>
      <c r="O43" s="235"/>
      <c r="P43" s="101" t="e">
        <f>O43/F43</f>
        <v>#DIV/0!</v>
      </c>
      <c r="Q43" s="235"/>
      <c r="R43" s="101" t="e">
        <f>Q43/D43</f>
        <v>#DIV/0!</v>
      </c>
      <c r="S43" s="106">
        <f t="shared" si="44"/>
        <v>0</v>
      </c>
      <c r="T43" s="101" t="e">
        <f>S43/F43</f>
        <v>#DIV/0!</v>
      </c>
      <c r="U43" s="235"/>
      <c r="V43" s="101" t="e">
        <f>U43/F43</f>
        <v>#DIV/0!</v>
      </c>
      <c r="W43" s="235"/>
      <c r="X43" s="101" t="e">
        <f>W43/F43</f>
        <v>#DIV/0!</v>
      </c>
      <c r="Y43" s="235"/>
      <c r="Z43" s="101" t="e">
        <f>Y43/F43</f>
        <v>#DIV/0!</v>
      </c>
      <c r="AA43" s="235"/>
      <c r="AB43" s="101" t="e">
        <f>AA43/D43</f>
        <v>#DIV/0!</v>
      </c>
      <c r="AC43" s="106">
        <f>SUM(Y43+AA43)</f>
        <v>0</v>
      </c>
      <c r="AD43" s="101" t="e">
        <f>AC43/F43</f>
        <v>#DIV/0!</v>
      </c>
      <c r="AE43" s="235"/>
      <c r="AF43" s="101" t="e">
        <f>AE43/F43</f>
        <v>#DIV/0!</v>
      </c>
      <c r="AG43" s="235"/>
      <c r="AH43" s="101" t="e">
        <f>AG43/F43</f>
        <v>#DIV/0!</v>
      </c>
      <c r="AI43" s="235"/>
      <c r="AJ43" s="101" t="e">
        <f>AI43/F43</f>
        <v>#DIV/0!</v>
      </c>
      <c r="AK43" s="235"/>
      <c r="AL43" s="101" t="e">
        <f>AK43/F43</f>
        <v>#DIV/0!</v>
      </c>
    </row>
    <row r="44" spans="2:38" ht="12">
      <c r="B44" s="98"/>
      <c r="C44" s="83"/>
      <c r="D44" s="86"/>
      <c r="E44" s="86"/>
      <c r="F44" s="88">
        <f t="shared" si="0"/>
        <v>0</v>
      </c>
      <c r="G44" s="302"/>
      <c r="H44" s="88"/>
      <c r="I44" s="235"/>
      <c r="J44" s="101" t="e">
        <f>I44/F44</f>
        <v>#DIV/0!</v>
      </c>
      <c r="K44" s="235"/>
      <c r="L44" s="101" t="e">
        <f>K44/F44</f>
        <v>#DIV/0!</v>
      </c>
      <c r="M44" s="106">
        <f>SUM(I44+K44)</f>
        <v>0</v>
      </c>
      <c r="N44" s="101" t="e">
        <f>M44/F44</f>
        <v>#DIV/0!</v>
      </c>
      <c r="O44" s="235"/>
      <c r="P44" s="101" t="e">
        <f>O44/F44</f>
        <v>#DIV/0!</v>
      </c>
      <c r="Q44" s="235"/>
      <c r="R44" s="101" t="e">
        <f>Q44/D44</f>
        <v>#DIV/0!</v>
      </c>
      <c r="S44" s="106">
        <f t="shared" si="44"/>
        <v>0</v>
      </c>
      <c r="T44" s="101" t="e">
        <f>S44/F44</f>
        <v>#DIV/0!</v>
      </c>
      <c r="U44" s="235"/>
      <c r="V44" s="101" t="e">
        <f>U44/F44</f>
        <v>#DIV/0!</v>
      </c>
      <c r="W44" s="235"/>
      <c r="X44" s="101" t="e">
        <f>W44/F44</f>
        <v>#DIV/0!</v>
      </c>
      <c r="Y44" s="235"/>
      <c r="Z44" s="101" t="e">
        <f>Y44/F44</f>
        <v>#DIV/0!</v>
      </c>
      <c r="AA44" s="235"/>
      <c r="AB44" s="101" t="e">
        <f>AA44/D44</f>
        <v>#DIV/0!</v>
      </c>
      <c r="AC44" s="106">
        <f>SUM(Y44+AA44)</f>
        <v>0</v>
      </c>
      <c r="AD44" s="101" t="e">
        <f>AC44/F44</f>
        <v>#DIV/0!</v>
      </c>
      <c r="AE44" s="235"/>
      <c r="AF44" s="101" t="e">
        <f>AE44/F44</f>
        <v>#DIV/0!</v>
      </c>
      <c r="AG44" s="235"/>
      <c r="AH44" s="101" t="e">
        <f>AG44/F44</f>
        <v>#DIV/0!</v>
      </c>
      <c r="AI44" s="235"/>
      <c r="AJ44" s="101" t="e">
        <f>AI44/F44</f>
        <v>#DIV/0!</v>
      </c>
      <c r="AK44" s="235"/>
      <c r="AL44" s="101" t="e">
        <f>AK44/F44</f>
        <v>#DIV/0!</v>
      </c>
    </row>
    <row r="45" spans="2:38" ht="12">
      <c r="B45" s="98"/>
      <c r="C45" s="83"/>
      <c r="D45" s="86"/>
      <c r="E45" s="86"/>
      <c r="F45" s="88">
        <f t="shared" si="0"/>
        <v>0</v>
      </c>
      <c r="G45" s="302"/>
      <c r="H45" s="88"/>
      <c r="I45" s="235"/>
      <c r="J45" s="101" t="e">
        <f>I45/F45</f>
        <v>#DIV/0!</v>
      </c>
      <c r="K45" s="235"/>
      <c r="L45" s="101" t="e">
        <f>K45/F45</f>
        <v>#DIV/0!</v>
      </c>
      <c r="M45" s="106">
        <f>SUM(I45+K45)</f>
        <v>0</v>
      </c>
      <c r="N45" s="101" t="e">
        <f>M45/F45</f>
        <v>#DIV/0!</v>
      </c>
      <c r="O45" s="235"/>
      <c r="P45" s="101" t="e">
        <f>O45/F45</f>
        <v>#DIV/0!</v>
      </c>
      <c r="Q45" s="235"/>
      <c r="R45" s="101" t="e">
        <f>Q45/D45</f>
        <v>#DIV/0!</v>
      </c>
      <c r="S45" s="106">
        <f t="shared" si="44"/>
        <v>0</v>
      </c>
      <c r="T45" s="101" t="e">
        <f>S45/F45</f>
        <v>#DIV/0!</v>
      </c>
      <c r="U45" s="235"/>
      <c r="V45" s="101" t="e">
        <f>U45/F45</f>
        <v>#DIV/0!</v>
      </c>
      <c r="W45" s="235"/>
      <c r="X45" s="101" t="e">
        <f>W45/F45</f>
        <v>#DIV/0!</v>
      </c>
      <c r="Y45" s="235"/>
      <c r="Z45" s="101" t="e">
        <f>Y45/F45</f>
        <v>#DIV/0!</v>
      </c>
      <c r="AA45" s="235"/>
      <c r="AB45" s="101" t="e">
        <f>AA45/D45</f>
        <v>#DIV/0!</v>
      </c>
      <c r="AC45" s="106">
        <f>SUM(Y45+AA45)</f>
        <v>0</v>
      </c>
      <c r="AD45" s="101" t="e">
        <f>AC45/F45</f>
        <v>#DIV/0!</v>
      </c>
      <c r="AE45" s="235"/>
      <c r="AF45" s="101" t="e">
        <f>AE45/F45</f>
        <v>#DIV/0!</v>
      </c>
      <c r="AG45" s="235"/>
      <c r="AH45" s="101" t="e">
        <f>AG45/F45</f>
        <v>#DIV/0!</v>
      </c>
      <c r="AI45" s="235"/>
      <c r="AJ45" s="101" t="e">
        <f>AI45/F45</f>
        <v>#DIV/0!</v>
      </c>
      <c r="AK45" s="235"/>
      <c r="AL45" s="101" t="e">
        <f>AK45/F45</f>
        <v>#DIV/0!</v>
      </c>
    </row>
    <row r="46" spans="2:38" ht="12">
      <c r="B46" s="98"/>
      <c r="C46" s="83"/>
      <c r="D46" s="84"/>
      <c r="F46" s="88"/>
      <c r="G46" s="88"/>
      <c r="H46" s="88"/>
      <c r="I46" s="270">
        <f>SUM(I7:I45)</f>
        <v>809174</v>
      </c>
      <c r="J46" s="269" t="e">
        <f>I46/$H$7</f>
        <v>#DIV/0!</v>
      </c>
      <c r="K46" s="270">
        <f>SUM(K7:K45)</f>
        <v>1253591</v>
      </c>
      <c r="L46" s="269" t="e">
        <f>K46/$H$7</f>
        <v>#DIV/0!</v>
      </c>
      <c r="M46" s="270">
        <f>SUM(M7:M45)</f>
        <v>2062765</v>
      </c>
      <c r="N46" s="269" t="e">
        <f>M46/$H$7</f>
        <v>#DIV/0!</v>
      </c>
      <c r="O46" s="270">
        <f>SUM(O7:O45)</f>
        <v>178428</v>
      </c>
      <c r="P46" s="269" t="e">
        <f>O46/$H$7</f>
        <v>#DIV/0!</v>
      </c>
      <c r="Q46" s="270">
        <f>SUM(Q7:Q45)</f>
        <v>97512</v>
      </c>
      <c r="R46" s="269" t="e">
        <f>Q46/$H$7</f>
        <v>#DIV/0!</v>
      </c>
      <c r="S46" s="270">
        <f>SUM(S7:S45)</f>
        <v>275940</v>
      </c>
      <c r="T46" s="269" t="e">
        <f>S46/$H$7</f>
        <v>#DIV/0!</v>
      </c>
      <c r="U46" s="270">
        <f>SUM(U7:U45)</f>
        <v>878351</v>
      </c>
      <c r="V46" s="269" t="e">
        <f>U46/$H$7</f>
        <v>#DIV/0!</v>
      </c>
      <c r="W46" s="270">
        <f>SUM(W7:W45)</f>
        <v>9911</v>
      </c>
      <c r="X46" s="269" t="e">
        <f>W46/$H$7</f>
        <v>#DIV/0!</v>
      </c>
      <c r="Y46" s="270">
        <f>SUM(Y7:Y45)</f>
        <v>650266</v>
      </c>
      <c r="Z46" s="269" t="e">
        <f>Y46/$H$7</f>
        <v>#DIV/0!</v>
      </c>
      <c r="AA46" s="270">
        <f>SUM(AA7:AA45)</f>
        <v>738413</v>
      </c>
      <c r="AB46" s="269" t="e">
        <f>AA46/$H$7</f>
        <v>#DIV/0!</v>
      </c>
      <c r="AC46" s="270">
        <f>SUM(AC7:AC45)</f>
        <v>1388679</v>
      </c>
      <c r="AD46" s="269" t="e">
        <f>AC46/$H$7</f>
        <v>#DIV/0!</v>
      </c>
      <c r="AE46" s="270">
        <f>SUM(AE7:AE45)</f>
        <v>507543</v>
      </c>
      <c r="AF46" s="269" t="e">
        <f>AE46/$H$7</f>
        <v>#DIV/0!</v>
      </c>
      <c r="AG46" s="270">
        <f>SUM(AG7:AG45)</f>
        <v>546496</v>
      </c>
      <c r="AH46" s="269" t="e">
        <f>AG46/$H$7</f>
        <v>#DIV/0!</v>
      </c>
      <c r="AI46" s="270">
        <f>SUM(AI7:AI45)</f>
        <v>394302</v>
      </c>
      <c r="AJ46" s="269" t="e">
        <f>AI46/$H$7</f>
        <v>#DIV/0!</v>
      </c>
      <c r="AK46" s="270">
        <f>SUM(AK7:AK45)</f>
        <v>554340</v>
      </c>
      <c r="AL46" s="269" t="e">
        <f>AK46/$H$7</f>
        <v>#DIV/0!</v>
      </c>
    </row>
    <row r="47" spans="2:38" ht="12">
      <c r="B47" s="98"/>
      <c r="C47" s="83"/>
      <c r="D47" s="84"/>
      <c r="F47" s="88"/>
      <c r="G47" s="88"/>
      <c r="H47" s="88"/>
      <c r="M47" s="271">
        <f>M46</f>
        <v>2062765</v>
      </c>
      <c r="S47" s="271">
        <f>S46</f>
        <v>275940</v>
      </c>
      <c r="U47" s="271">
        <f>U46</f>
        <v>878351</v>
      </c>
      <c r="W47" s="271">
        <f>W46</f>
        <v>9911</v>
      </c>
      <c r="Y47" s="271"/>
      <c r="AA47" s="271"/>
      <c r="AC47" s="271">
        <f>AC46</f>
        <v>1388679</v>
      </c>
      <c r="AE47" s="271">
        <f>AE46</f>
        <v>507543</v>
      </c>
      <c r="AG47" s="271">
        <f>AG46</f>
        <v>546496</v>
      </c>
      <c r="AI47" s="271">
        <f>AI46</f>
        <v>394302</v>
      </c>
      <c r="AK47" s="271">
        <f>AK46</f>
        <v>554340</v>
      </c>
    </row>
    <row r="48" spans="2:38" ht="12">
      <c r="B48" s="98"/>
      <c r="C48" s="83"/>
      <c r="D48" s="84"/>
      <c r="F48" s="88"/>
      <c r="G48" s="88"/>
      <c r="H48" s="88"/>
    </row>
    <row r="49" spans="2:8" ht="12">
      <c r="B49" s="98"/>
      <c r="C49" s="83"/>
      <c r="D49" s="84"/>
      <c r="F49" s="88"/>
      <c r="G49" s="88"/>
      <c r="H49" s="88"/>
    </row>
    <row r="50" spans="2:8" ht="12">
      <c r="B50" s="98"/>
      <c r="C50" s="83"/>
      <c r="D50" s="84"/>
    </row>
    <row r="51" spans="2:8" ht="12">
      <c r="B51" s="98"/>
      <c r="C51" s="83"/>
      <c r="D51" s="84"/>
    </row>
    <row r="52" spans="2:8" ht="12">
      <c r="B52" s="98"/>
      <c r="C52" s="83"/>
      <c r="D52" s="84"/>
    </row>
    <row r="53" spans="2:8" ht="12">
      <c r="B53" s="98"/>
      <c r="C53" s="83"/>
      <c r="D53" s="84"/>
    </row>
    <row r="54" spans="2:8" ht="12">
      <c r="B54" s="98"/>
      <c r="C54" s="83"/>
      <c r="D54" s="84"/>
    </row>
    <row r="55" spans="2:8" ht="12">
      <c r="B55" s="98"/>
      <c r="C55" s="83"/>
      <c r="D55" s="84"/>
    </row>
    <row r="56" spans="2:8" ht="12">
      <c r="B56" s="98"/>
      <c r="C56" s="83"/>
      <c r="D56" s="84"/>
    </row>
    <row r="57" spans="2:8" ht="12">
      <c r="B57" s="98"/>
      <c r="C57" s="83"/>
      <c r="D57" s="84"/>
    </row>
    <row r="58" spans="2:8" ht="12">
      <c r="B58" s="98"/>
      <c r="C58" s="83"/>
      <c r="D58" s="84"/>
    </row>
    <row r="59" spans="2:8" ht="12">
      <c r="B59" s="98"/>
      <c r="C59" s="83"/>
      <c r="D59" s="84"/>
    </row>
    <row r="60" spans="2:8" ht="12">
      <c r="B60" s="98"/>
      <c r="C60" s="83"/>
      <c r="D60" s="84"/>
    </row>
    <row r="61" spans="2:8" ht="12">
      <c r="B61" s="98"/>
      <c r="C61" s="83"/>
      <c r="D61" s="84"/>
    </row>
    <row r="62" spans="2:8" ht="12">
      <c r="B62" s="98"/>
      <c r="C62" s="83"/>
      <c r="D62" s="84"/>
    </row>
    <row r="63" spans="2:8" ht="12">
      <c r="B63" s="98"/>
      <c r="C63" s="83"/>
      <c r="D63" s="84"/>
    </row>
    <row r="64" spans="2:8" ht="12">
      <c r="B64" s="98"/>
      <c r="C64" s="83"/>
      <c r="D64" s="84"/>
    </row>
    <row r="65" spans="2:4" ht="12">
      <c r="B65" s="98"/>
      <c r="C65" s="83"/>
      <c r="D65" s="84"/>
    </row>
    <row r="66" spans="2:4" ht="12">
      <c r="B66" s="98"/>
      <c r="C66" s="83"/>
      <c r="D66" s="84"/>
    </row>
    <row r="67" spans="2:4" ht="12">
      <c r="B67" s="98"/>
      <c r="C67" s="83"/>
      <c r="D67" s="84"/>
    </row>
    <row r="68" spans="2:4" ht="12">
      <c r="B68" s="98"/>
      <c r="C68" s="83"/>
      <c r="D68" s="84"/>
    </row>
    <row r="69" spans="2:4" ht="12">
      <c r="B69" s="98"/>
      <c r="C69" s="83"/>
      <c r="D69" s="84"/>
    </row>
    <row r="70" spans="2:4" ht="12">
      <c r="B70" s="98"/>
      <c r="C70" s="83"/>
      <c r="D70" s="84"/>
    </row>
    <row r="71" spans="2:4" ht="12">
      <c r="B71" s="98"/>
      <c r="C71" s="83"/>
      <c r="D71" s="84"/>
    </row>
    <row r="72" spans="2:4" ht="12">
      <c r="B72" s="98"/>
      <c r="C72" s="83"/>
      <c r="D72" s="84"/>
    </row>
    <row r="73" spans="2:4" ht="12">
      <c r="B73" s="98"/>
      <c r="C73" s="83"/>
      <c r="D73" s="84"/>
    </row>
    <row r="74" spans="2:4" ht="12">
      <c r="B74" s="98"/>
      <c r="C74" s="83"/>
      <c r="D74" s="84"/>
    </row>
    <row r="75" spans="2:4" ht="12">
      <c r="B75" s="98"/>
      <c r="C75" s="83"/>
      <c r="D75" s="84"/>
    </row>
    <row r="76" spans="2:4" ht="12">
      <c r="B76" s="98"/>
      <c r="C76" s="83"/>
      <c r="D76" s="84"/>
    </row>
    <row r="77" spans="2:4" ht="12">
      <c r="B77" s="98"/>
      <c r="C77" s="83"/>
      <c r="D77" s="84"/>
    </row>
    <row r="78" spans="2:4" ht="12">
      <c r="B78" s="98"/>
      <c r="C78" s="83"/>
      <c r="D78" s="84"/>
    </row>
    <row r="79" spans="2:4" ht="12">
      <c r="B79" s="98"/>
      <c r="C79" s="83"/>
      <c r="D79" s="84"/>
    </row>
    <row r="80" spans="2:4" ht="12">
      <c r="B80" s="98"/>
      <c r="C80" s="83"/>
      <c r="D80" s="84"/>
    </row>
    <row r="81" spans="2:4" ht="12">
      <c r="B81" s="98"/>
      <c r="C81" s="83"/>
      <c r="D81" s="84"/>
    </row>
    <row r="82" spans="2:4" ht="12">
      <c r="B82" s="98"/>
      <c r="C82" s="83"/>
      <c r="D82" s="84"/>
    </row>
    <row r="83" spans="2:4" ht="12">
      <c r="B83" s="98"/>
      <c r="C83" s="83"/>
      <c r="D83" s="84"/>
    </row>
    <row r="84" spans="2:4" ht="12">
      <c r="B84" s="98"/>
      <c r="C84" s="83"/>
      <c r="D84" s="84"/>
    </row>
    <row r="85" spans="2:4" ht="12">
      <c r="B85" s="98"/>
      <c r="C85" s="83"/>
      <c r="D85" s="84"/>
    </row>
    <row r="86" spans="2:4" ht="12">
      <c r="B86" s="98"/>
      <c r="C86" s="83"/>
      <c r="D86" s="84"/>
    </row>
    <row r="87" spans="2:4" ht="12">
      <c r="B87" s="98"/>
      <c r="C87" s="83"/>
      <c r="D87" s="84"/>
    </row>
    <row r="88" spans="2:4" ht="12">
      <c r="B88" s="98"/>
      <c r="C88" s="83"/>
      <c r="D88" s="84"/>
    </row>
    <row r="89" spans="2:4" ht="12">
      <c r="B89" s="98"/>
      <c r="C89" s="83"/>
      <c r="D89" s="84"/>
    </row>
    <row r="90" spans="2:4" ht="12">
      <c r="B90" s="98"/>
      <c r="C90" s="83"/>
      <c r="D90" s="84"/>
    </row>
    <row r="91" spans="2:4" ht="12">
      <c r="B91" s="98"/>
      <c r="C91" s="83"/>
      <c r="D91" s="84"/>
    </row>
    <row r="92" spans="2:4" ht="12">
      <c r="B92" s="98"/>
      <c r="C92" s="83"/>
      <c r="D92" s="84"/>
    </row>
    <row r="93" spans="2:4" ht="12">
      <c r="B93" s="98"/>
      <c r="C93" s="83"/>
      <c r="D93" s="84"/>
    </row>
    <row r="94" spans="2:4" ht="12">
      <c r="B94" s="98"/>
      <c r="C94" s="83"/>
      <c r="D94" s="84"/>
    </row>
    <row r="95" spans="2:4" ht="12">
      <c r="B95" s="98"/>
      <c r="C95" s="83"/>
      <c r="D95" s="84"/>
    </row>
    <row r="96" spans="2:4" ht="12">
      <c r="B96" s="98"/>
      <c r="C96" s="83"/>
      <c r="D96" s="84"/>
    </row>
    <row r="97" spans="2:4" ht="12">
      <c r="B97" s="98"/>
      <c r="C97" s="83"/>
      <c r="D97" s="84"/>
    </row>
    <row r="98" spans="2:4" ht="12">
      <c r="B98" s="98"/>
      <c r="C98" s="83"/>
      <c r="D98" s="84"/>
    </row>
    <row r="99" spans="2:4" ht="12">
      <c r="B99" s="98"/>
      <c r="C99" s="83"/>
      <c r="D99" s="84"/>
    </row>
    <row r="100" spans="2:4" ht="12">
      <c r="B100" s="98"/>
      <c r="C100" s="83"/>
      <c r="D100" s="84"/>
    </row>
    <row r="101" spans="2:4" ht="12">
      <c r="B101" s="98"/>
      <c r="C101" s="83"/>
      <c r="D101" s="84"/>
    </row>
    <row r="102" spans="2:4" ht="12">
      <c r="B102" s="98"/>
      <c r="C102" s="83"/>
      <c r="D102" s="84"/>
    </row>
  </sheetData>
  <mergeCells count="32">
    <mergeCell ref="B2:AL2"/>
    <mergeCell ref="AK5:AL5"/>
    <mergeCell ref="U4:V4"/>
    <mergeCell ref="U5:V5"/>
    <mergeCell ref="W5:X5"/>
    <mergeCell ref="W4:X4"/>
    <mergeCell ref="Y5:Z5"/>
    <mergeCell ref="AC5:AD5"/>
    <mergeCell ref="AE4:AF4"/>
    <mergeCell ref="AE5:AF5"/>
    <mergeCell ref="AG5:AH5"/>
    <mergeCell ref="AG4:AH4"/>
    <mergeCell ref="Y4:AD4"/>
    <mergeCell ref="I4:N4"/>
    <mergeCell ref="AK4:AL4"/>
    <mergeCell ref="Q5:R5"/>
    <mergeCell ref="C3:C6"/>
    <mergeCell ref="G5:G6"/>
    <mergeCell ref="H5:H6"/>
    <mergeCell ref="I3:AL3"/>
    <mergeCell ref="D3:E6"/>
    <mergeCell ref="O4:T4"/>
    <mergeCell ref="O5:P5"/>
    <mergeCell ref="I5:J5"/>
    <mergeCell ref="AI4:AJ4"/>
    <mergeCell ref="AI5:AJ5"/>
    <mergeCell ref="F3:H4"/>
    <mergeCell ref="AA5:AB5"/>
    <mergeCell ref="K5:L5"/>
    <mergeCell ref="S5:T5"/>
    <mergeCell ref="F5:F6"/>
    <mergeCell ref="M5:N5"/>
  </mergeCells>
  <phoneticPr fontId="1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247"/>
  <sheetViews>
    <sheetView topLeftCell="A205" zoomScale="70" zoomScaleNormal="70" workbookViewId="0">
      <pane xSplit="15" topLeftCell="P1" activePane="topRight" state="frozen"/>
      <selection activeCell="BB45" sqref="BB45"/>
      <selection pane="topRight" activeCell="D218" sqref="D218"/>
    </sheetView>
  </sheetViews>
  <sheetFormatPr defaultColWidth="8.81640625" defaultRowHeight="12.5"/>
  <cols>
    <col min="1" max="1" width="5.54296875" style="108" customWidth="1"/>
    <col min="2" max="2" width="12.453125" style="108" customWidth="1"/>
    <col min="3" max="3" width="8.81640625" style="107"/>
    <col min="4" max="4" width="26.453125" style="107" customWidth="1"/>
    <col min="5" max="7" width="8.453125" style="107" customWidth="1"/>
    <col min="8" max="8" width="11.1796875" style="107" bestFit="1" customWidth="1"/>
    <col min="9" max="12" width="11.1796875" style="107" customWidth="1"/>
    <col min="13" max="13" width="13.54296875" style="107" customWidth="1"/>
    <col min="14" max="14" width="9.81640625" style="107" customWidth="1"/>
    <col min="15" max="15" width="7.1796875" style="107" customWidth="1"/>
    <col min="16" max="18" width="12.81640625" style="107" customWidth="1"/>
    <col min="19" max="19" width="5.453125" style="107" customWidth="1"/>
    <col min="20" max="20" width="12.81640625" style="107" customWidth="1"/>
    <col min="21" max="23" width="12.81640625" style="108" customWidth="1"/>
    <col min="24" max="24" width="5.453125" style="107" customWidth="1"/>
    <col min="25" max="28" width="12.81640625" style="108" customWidth="1"/>
    <col min="29" max="29" width="5.453125" style="107" customWidth="1"/>
    <col min="30" max="30" width="12.81640625" style="108" customWidth="1"/>
    <col min="31" max="33" width="12.54296875" style="108" customWidth="1"/>
    <col min="34" max="34" width="5.453125" style="107" customWidth="1"/>
    <col min="35" max="35" width="13" style="108" customWidth="1"/>
    <col min="36" max="38" width="12.54296875" style="108" customWidth="1"/>
    <col min="39" max="39" width="5.453125" style="107" customWidth="1"/>
    <col min="40" max="40" width="13" style="108" customWidth="1"/>
    <col min="41" max="43" width="13.1796875" style="108" customWidth="1"/>
    <col min="44" max="44" width="5.453125" style="108" customWidth="1"/>
    <col min="45" max="48" width="13.1796875" style="108" customWidth="1"/>
    <col min="49" max="49" width="5.453125" style="108" customWidth="1"/>
    <col min="50" max="50" width="13.1796875" style="108" customWidth="1"/>
    <col min="51" max="16384" width="8.81640625" style="108"/>
  </cols>
  <sheetData>
    <row r="1" spans="1:54" ht="21">
      <c r="A1" s="75"/>
      <c r="B1" s="221" t="s">
        <v>331</v>
      </c>
      <c r="C1" s="220">
        <f>AVERAGE(L7,L42,L77,L112,L147,L182)</f>
        <v>785.96646199231202</v>
      </c>
    </row>
    <row r="2" spans="1:54" ht="15.5">
      <c r="A2" s="81"/>
      <c r="B2" s="555" t="s">
        <v>163</v>
      </c>
      <c r="C2" s="555"/>
      <c r="D2" s="555"/>
      <c r="E2" s="555"/>
      <c r="F2" s="555"/>
      <c r="G2" s="555"/>
      <c r="H2" s="555"/>
      <c r="I2" s="287"/>
      <c r="J2" s="287"/>
      <c r="K2" s="287"/>
      <c r="L2" s="287"/>
      <c r="M2" s="197"/>
      <c r="N2" s="559" t="s">
        <v>156</v>
      </c>
      <c r="O2" s="559" t="s">
        <v>155</v>
      </c>
      <c r="P2" s="572"/>
      <c r="Q2" s="573"/>
      <c r="R2" s="573"/>
      <c r="S2" s="573"/>
      <c r="T2" s="574"/>
      <c r="U2" s="551"/>
      <c r="V2" s="552"/>
      <c r="W2" s="552"/>
      <c r="X2" s="552"/>
      <c r="Y2" s="553"/>
      <c r="Z2" s="551"/>
      <c r="AA2" s="552"/>
      <c r="AB2" s="552"/>
      <c r="AC2" s="552"/>
      <c r="AD2" s="553"/>
      <c r="AE2" s="551"/>
      <c r="AF2" s="552"/>
      <c r="AG2" s="552"/>
      <c r="AH2" s="552"/>
      <c r="AI2" s="553"/>
      <c r="AJ2" s="551">
        <v>45962</v>
      </c>
      <c r="AK2" s="552"/>
      <c r="AL2" s="552"/>
      <c r="AM2" s="552"/>
      <c r="AN2" s="553"/>
      <c r="AO2" s="551">
        <f>AJ2+1</f>
        <v>45963</v>
      </c>
      <c r="AP2" s="552"/>
      <c r="AQ2" s="552"/>
      <c r="AR2" s="552"/>
      <c r="AS2" s="553"/>
      <c r="AT2" s="551">
        <v>46357</v>
      </c>
      <c r="AU2" s="552"/>
      <c r="AV2" s="552"/>
      <c r="AW2" s="552"/>
      <c r="AX2" s="553"/>
    </row>
    <row r="3" spans="1:54" ht="15.5">
      <c r="A3" s="81"/>
      <c r="B3" s="566"/>
      <c r="C3" s="566"/>
      <c r="D3" s="566"/>
      <c r="E3" s="566"/>
      <c r="F3" s="566"/>
      <c r="G3" s="566"/>
      <c r="H3" s="566"/>
      <c r="I3" s="288"/>
      <c r="J3" s="288"/>
      <c r="K3" s="288"/>
      <c r="L3" s="288"/>
      <c r="M3" s="198"/>
      <c r="N3" s="560"/>
      <c r="O3" s="560"/>
      <c r="P3" s="554"/>
      <c r="Q3" s="533"/>
      <c r="R3" s="533"/>
      <c r="S3" s="533"/>
      <c r="T3" s="533"/>
      <c r="U3" s="554"/>
      <c r="V3" s="533"/>
      <c r="W3" s="533"/>
      <c r="X3" s="533"/>
      <c r="Y3" s="533"/>
      <c r="Z3" s="554"/>
      <c r="AA3" s="533"/>
      <c r="AB3" s="533"/>
      <c r="AC3" s="533"/>
      <c r="AD3" s="533"/>
      <c r="AE3" s="554"/>
      <c r="AF3" s="533"/>
      <c r="AG3" s="533"/>
      <c r="AH3" s="533"/>
      <c r="AI3" s="533"/>
      <c r="AJ3" s="554" t="s">
        <v>160</v>
      </c>
      <c r="AK3" s="533"/>
      <c r="AL3" s="533"/>
      <c r="AM3" s="533"/>
      <c r="AN3" s="533"/>
      <c r="AO3" s="554" t="s">
        <v>115</v>
      </c>
      <c r="AP3" s="533"/>
      <c r="AQ3" s="533"/>
      <c r="AR3" s="533"/>
      <c r="AS3" s="533"/>
      <c r="AT3" s="554" t="s">
        <v>162</v>
      </c>
      <c r="AU3" s="533"/>
      <c r="AV3" s="533"/>
      <c r="AW3" s="533"/>
      <c r="AX3" s="533"/>
    </row>
    <row r="4" spans="1:54">
      <c r="A4" s="81"/>
      <c r="B4" s="544" t="s">
        <v>649</v>
      </c>
      <c r="C4" s="544" t="s">
        <v>650</v>
      </c>
      <c r="D4" s="544"/>
      <c r="E4" s="544" t="s">
        <v>651</v>
      </c>
      <c r="F4" s="544"/>
      <c r="G4" s="544"/>
      <c r="H4" s="561" t="s">
        <v>652</v>
      </c>
      <c r="I4" s="583" t="s">
        <v>653</v>
      </c>
      <c r="J4" s="583"/>
      <c r="K4" s="583"/>
      <c r="L4" s="584" t="s">
        <v>652</v>
      </c>
      <c r="M4" s="567" t="s">
        <v>654</v>
      </c>
      <c r="N4" s="544"/>
      <c r="O4" s="544" t="s">
        <v>655</v>
      </c>
      <c r="P4" s="548" t="s">
        <v>656</v>
      </c>
      <c r="Q4" s="549"/>
      <c r="R4" s="549"/>
      <c r="S4" s="550"/>
      <c r="T4" s="544" t="s">
        <v>652</v>
      </c>
      <c r="U4" s="548" t="s">
        <v>656</v>
      </c>
      <c r="V4" s="549"/>
      <c r="W4" s="549"/>
      <c r="X4" s="550"/>
      <c r="Y4" s="544" t="s">
        <v>652</v>
      </c>
      <c r="Z4" s="548" t="s">
        <v>656</v>
      </c>
      <c r="AA4" s="549"/>
      <c r="AB4" s="549"/>
      <c r="AC4" s="550"/>
      <c r="AD4" s="544" t="s">
        <v>652</v>
      </c>
      <c r="AE4" s="548" t="s">
        <v>656</v>
      </c>
      <c r="AF4" s="549"/>
      <c r="AG4" s="549"/>
      <c r="AH4" s="550"/>
      <c r="AI4" s="544" t="s">
        <v>652</v>
      </c>
      <c r="AJ4" s="548" t="s">
        <v>656</v>
      </c>
      <c r="AK4" s="549"/>
      <c r="AL4" s="549"/>
      <c r="AM4" s="550"/>
      <c r="AN4" s="544" t="s">
        <v>652</v>
      </c>
      <c r="AO4" s="548" t="s">
        <v>656</v>
      </c>
      <c r="AP4" s="549"/>
      <c r="AQ4" s="549"/>
      <c r="AR4" s="550"/>
      <c r="AS4" s="544" t="s">
        <v>652</v>
      </c>
      <c r="AT4" s="548" t="s">
        <v>656</v>
      </c>
      <c r="AU4" s="549"/>
      <c r="AV4" s="549"/>
      <c r="AW4" s="550"/>
      <c r="AX4" s="544" t="s">
        <v>652</v>
      </c>
    </row>
    <row r="5" spans="1:54">
      <c r="A5" s="81"/>
      <c r="B5" s="544"/>
      <c r="C5" s="544"/>
      <c r="D5" s="544"/>
      <c r="E5" s="544" t="s">
        <v>657</v>
      </c>
      <c r="F5" s="544"/>
      <c r="G5" s="544"/>
      <c r="H5" s="562"/>
      <c r="I5" s="583" t="s">
        <v>657</v>
      </c>
      <c r="J5" s="583"/>
      <c r="K5" s="583"/>
      <c r="L5" s="585"/>
      <c r="M5" s="568"/>
      <c r="N5" s="544"/>
      <c r="O5" s="544"/>
      <c r="P5" s="548" t="s">
        <v>658</v>
      </c>
      <c r="Q5" s="549"/>
      <c r="R5" s="549"/>
      <c r="S5" s="550"/>
      <c r="T5" s="544"/>
      <c r="U5" s="548" t="s">
        <v>658</v>
      </c>
      <c r="V5" s="549"/>
      <c r="W5" s="549"/>
      <c r="X5" s="550"/>
      <c r="Y5" s="544"/>
      <c r="Z5" s="548" t="s">
        <v>658</v>
      </c>
      <c r="AA5" s="549"/>
      <c r="AB5" s="549"/>
      <c r="AC5" s="550"/>
      <c r="AD5" s="544"/>
      <c r="AE5" s="548" t="s">
        <v>658</v>
      </c>
      <c r="AF5" s="549"/>
      <c r="AG5" s="549"/>
      <c r="AH5" s="550"/>
      <c r="AI5" s="544"/>
      <c r="AJ5" s="548" t="s">
        <v>658</v>
      </c>
      <c r="AK5" s="549"/>
      <c r="AL5" s="549"/>
      <c r="AM5" s="550"/>
      <c r="AN5" s="544"/>
      <c r="AO5" s="548" t="s">
        <v>658</v>
      </c>
      <c r="AP5" s="549"/>
      <c r="AQ5" s="549"/>
      <c r="AR5" s="550"/>
      <c r="AS5" s="544"/>
      <c r="AT5" s="548" t="s">
        <v>658</v>
      </c>
      <c r="AU5" s="549"/>
      <c r="AV5" s="549"/>
      <c r="AW5" s="550"/>
      <c r="AX5" s="544"/>
    </row>
    <row r="6" spans="1:54">
      <c r="A6" s="79"/>
      <c r="B6" s="544"/>
      <c r="C6" s="544"/>
      <c r="D6" s="544"/>
      <c r="E6" s="403" t="s">
        <v>659</v>
      </c>
      <c r="F6" s="403" t="s">
        <v>660</v>
      </c>
      <c r="G6" s="403" t="s">
        <v>661</v>
      </c>
      <c r="H6" s="563"/>
      <c r="I6" s="402" t="s">
        <v>659</v>
      </c>
      <c r="J6" s="402" t="s">
        <v>660</v>
      </c>
      <c r="K6" s="402" t="s">
        <v>661</v>
      </c>
      <c r="L6" s="586"/>
      <c r="M6" s="569"/>
      <c r="N6" s="544"/>
      <c r="O6" s="544"/>
      <c r="P6" s="403" t="s">
        <v>659</v>
      </c>
      <c r="Q6" s="403" t="s">
        <v>660</v>
      </c>
      <c r="R6" s="403" t="s">
        <v>661</v>
      </c>
      <c r="S6" s="403" t="s">
        <v>654</v>
      </c>
      <c r="T6" s="544"/>
      <c r="U6" s="403" t="s">
        <v>659</v>
      </c>
      <c r="V6" s="403" t="s">
        <v>660</v>
      </c>
      <c r="W6" s="403" t="s">
        <v>661</v>
      </c>
      <c r="X6" s="403" t="s">
        <v>654</v>
      </c>
      <c r="Y6" s="544"/>
      <c r="Z6" s="403" t="s">
        <v>659</v>
      </c>
      <c r="AA6" s="403" t="s">
        <v>660</v>
      </c>
      <c r="AB6" s="403" t="s">
        <v>661</v>
      </c>
      <c r="AC6" s="403" t="s">
        <v>654</v>
      </c>
      <c r="AD6" s="544"/>
      <c r="AE6" s="403" t="s">
        <v>659</v>
      </c>
      <c r="AF6" s="403" t="s">
        <v>660</v>
      </c>
      <c r="AG6" s="403" t="s">
        <v>661</v>
      </c>
      <c r="AH6" s="403" t="s">
        <v>654</v>
      </c>
      <c r="AI6" s="544"/>
      <c r="AJ6" s="403" t="s">
        <v>659</v>
      </c>
      <c r="AK6" s="403" t="s">
        <v>660</v>
      </c>
      <c r="AL6" s="403" t="s">
        <v>661</v>
      </c>
      <c r="AM6" s="403" t="s">
        <v>654</v>
      </c>
      <c r="AN6" s="544"/>
      <c r="AO6" s="403" t="s">
        <v>659</v>
      </c>
      <c r="AP6" s="403" t="s">
        <v>660</v>
      </c>
      <c r="AQ6" s="403" t="s">
        <v>661</v>
      </c>
      <c r="AR6" s="403" t="s">
        <v>654</v>
      </c>
      <c r="AS6" s="544"/>
      <c r="AT6" s="403" t="s">
        <v>659</v>
      </c>
      <c r="AU6" s="403" t="s">
        <v>660</v>
      </c>
      <c r="AV6" s="403" t="s">
        <v>661</v>
      </c>
      <c r="AW6" s="403" t="s">
        <v>654</v>
      </c>
      <c r="AX6" s="544"/>
    </row>
    <row r="7" spans="1:54">
      <c r="A7" s="81"/>
      <c r="B7" s="533" t="s">
        <v>150</v>
      </c>
      <c r="C7" s="404">
        <v>1</v>
      </c>
      <c r="D7" s="404" t="s">
        <v>359</v>
      </c>
      <c r="E7" s="404">
        <v>4</v>
      </c>
      <c r="F7" s="404">
        <v>2200</v>
      </c>
      <c r="G7" s="404">
        <v>550</v>
      </c>
      <c r="H7" s="537">
        <f>AVERAGE(G7:G36)</f>
        <v>844.44444444444457</v>
      </c>
      <c r="I7" s="408">
        <f>AVERAGE(P7,U7,Z7,AE7,AJ7,AO7,AT7)</f>
        <v>4</v>
      </c>
      <c r="J7" s="408">
        <f>AVERAGE(Q7,V7,AA7,AF7,AK7,AP7,AU7)</f>
        <v>3130.344827586207</v>
      </c>
      <c r="K7" s="406">
        <f>AVERAGE(R7,W7,AB7,AG7,AL7,AQ7,AV7)</f>
        <v>782.58620689655174</v>
      </c>
      <c r="L7" s="587">
        <f>IFERROR(AVERAGE(K7:K36),"-")</f>
        <v>750.46279399048672</v>
      </c>
      <c r="M7" s="408">
        <f>RANK(K7, $K$7:K$36)</f>
        <v>9</v>
      </c>
      <c r="N7" s="544"/>
      <c r="O7" s="544"/>
      <c r="P7" s="182"/>
      <c r="Q7" s="182"/>
      <c r="R7" s="182"/>
      <c r="S7" s="404" t="e">
        <f>RANK(R7, R$7:R$36)</f>
        <v>#N/A</v>
      </c>
      <c r="T7" s="537" t="e">
        <f>AVERAGE(R7:R36)</f>
        <v>#DIV/0!</v>
      </c>
      <c r="U7" s="182"/>
      <c r="V7" s="182"/>
      <c r="W7" s="182"/>
      <c r="X7" s="404" t="e">
        <f t="shared" ref="X7:X36" si="0">RANK(W7, W$7:W$36)</f>
        <v>#N/A</v>
      </c>
      <c r="Y7" s="537" t="e">
        <f>AVERAGE(W7:W36)</f>
        <v>#DIV/0!</v>
      </c>
      <c r="Z7" s="182"/>
      <c r="AA7" s="182"/>
      <c r="AB7" s="182"/>
      <c r="AC7" s="404" t="e">
        <f t="shared" ref="AC7:AC36" si="1">RANK(AB7, AB$7:AB$36)</f>
        <v>#N/A</v>
      </c>
      <c r="AD7" s="537" t="e">
        <f>AVERAGE(AB7:AB36)</f>
        <v>#DIV/0!</v>
      </c>
      <c r="AE7" s="182"/>
      <c r="AF7" s="182"/>
      <c r="AG7" s="182"/>
      <c r="AH7" s="404" t="e">
        <f t="shared" ref="AH7:AH36" si="2">RANK(AG7, AG$7:AG$36)</f>
        <v>#N/A</v>
      </c>
      <c r="AI7" s="537" t="e">
        <f>AVERAGE(AG7:AG36)</f>
        <v>#DIV/0!</v>
      </c>
      <c r="AJ7" s="182"/>
      <c r="AK7" s="182"/>
      <c r="AL7" s="182"/>
      <c r="AM7" s="404" t="e">
        <f t="shared" ref="AM7:AM36" si="3">RANK(AL7, AL$7:AL$36)</f>
        <v>#N/A</v>
      </c>
      <c r="AN7" s="537" t="e">
        <f>AVERAGE(AL7:AL36)</f>
        <v>#DIV/0!</v>
      </c>
      <c r="AO7" s="182"/>
      <c r="AP7" s="182"/>
      <c r="AQ7" s="182"/>
      <c r="AR7" s="404" t="e">
        <f t="shared" ref="AR7:AR36" si="4">RANK(AQ7, AQ$7:AQ$36)</f>
        <v>#N/A</v>
      </c>
      <c r="AS7" s="537" t="e">
        <f>AVERAGE(AQ7:AQ36)</f>
        <v>#DIV/0!</v>
      </c>
      <c r="AT7" s="182">
        <v>4</v>
      </c>
      <c r="AU7" s="182">
        <v>3130.344827586207</v>
      </c>
      <c r="AV7" s="182">
        <v>782.58620689655174</v>
      </c>
      <c r="AW7" s="404">
        <f t="shared" ref="AW7:AW36" si="5">RANK(AV7, AV$7:AV$36)</f>
        <v>9</v>
      </c>
      <c r="AX7" s="537">
        <f>AVERAGE(AV7:AV36)</f>
        <v>750.46279399048672</v>
      </c>
      <c r="AZ7" s="320" t="e">
        <f>RANK(AX7, $K$7:AX$36)</f>
        <v>#N/A</v>
      </c>
      <c r="BB7" s="318" t="e">
        <f t="shared" ref="BB7:BB36" si="6">RANK(BA7, BA$7:BA$36)</f>
        <v>#N/A</v>
      </c>
    </row>
    <row r="8" spans="1:54" ht="15" customHeight="1">
      <c r="A8" s="81"/>
      <c r="B8" s="533"/>
      <c r="C8" s="404">
        <v>2</v>
      </c>
      <c r="D8" s="404" t="s">
        <v>360</v>
      </c>
      <c r="E8" s="404">
        <v>3</v>
      </c>
      <c r="F8" s="404">
        <v>2700</v>
      </c>
      <c r="G8" s="404">
        <v>900</v>
      </c>
      <c r="H8" s="538"/>
      <c r="I8" s="408">
        <f t="shared" ref="I8:K27" si="7">AVERAGE(P8,U8,Z8,AE8,AJ8,AO8,AT8)</f>
        <v>3</v>
      </c>
      <c r="J8" s="408">
        <f t="shared" si="7"/>
        <v>2830.909090909091</v>
      </c>
      <c r="K8" s="406">
        <f t="shared" si="7"/>
        <v>943.63636363636363</v>
      </c>
      <c r="L8" s="588"/>
      <c r="M8" s="408">
        <f>RANK(K8, $K$7:K$36)</f>
        <v>4</v>
      </c>
      <c r="N8" s="544"/>
      <c r="O8" s="544"/>
      <c r="P8" s="182"/>
      <c r="Q8" s="182"/>
      <c r="R8" s="182"/>
      <c r="S8" s="404" t="e">
        <f t="shared" ref="S8:S36" si="8">RANK(R8, R$7:R$36)</f>
        <v>#N/A</v>
      </c>
      <c r="T8" s="538"/>
      <c r="U8" s="182"/>
      <c r="V8" s="182"/>
      <c r="W8" s="182"/>
      <c r="X8" s="404" t="e">
        <f t="shared" si="0"/>
        <v>#N/A</v>
      </c>
      <c r="Y8" s="538"/>
      <c r="Z8" s="182"/>
      <c r="AA8" s="182"/>
      <c r="AB8" s="182"/>
      <c r="AC8" s="404" t="e">
        <f t="shared" si="1"/>
        <v>#N/A</v>
      </c>
      <c r="AD8" s="538"/>
      <c r="AE8" s="182"/>
      <c r="AF8" s="182"/>
      <c r="AG8" s="182"/>
      <c r="AH8" s="404" t="e">
        <f t="shared" si="2"/>
        <v>#N/A</v>
      </c>
      <c r="AI8" s="538"/>
      <c r="AJ8" s="182"/>
      <c r="AK8" s="182"/>
      <c r="AL8" s="182"/>
      <c r="AM8" s="404" t="e">
        <f t="shared" si="3"/>
        <v>#N/A</v>
      </c>
      <c r="AN8" s="538"/>
      <c r="AO8" s="182"/>
      <c r="AP8" s="182"/>
      <c r="AQ8" s="182"/>
      <c r="AR8" s="404" t="e">
        <f t="shared" si="4"/>
        <v>#N/A</v>
      </c>
      <c r="AS8" s="538"/>
      <c r="AT8" s="182">
        <v>3</v>
      </c>
      <c r="AU8" s="182">
        <v>2830.909090909091</v>
      </c>
      <c r="AV8" s="182">
        <v>943.63636363636363</v>
      </c>
      <c r="AW8" s="404">
        <f t="shared" si="5"/>
        <v>4</v>
      </c>
      <c r="AX8" s="538"/>
      <c r="AZ8" s="320" t="e">
        <f>RANK(AX8, $K$7:AX$36)</f>
        <v>#N/A</v>
      </c>
      <c r="BB8" s="318" t="e">
        <f t="shared" si="6"/>
        <v>#N/A</v>
      </c>
    </row>
    <row r="9" spans="1:54">
      <c r="A9" s="81"/>
      <c r="B9" s="533"/>
      <c r="C9" s="404">
        <v>3</v>
      </c>
      <c r="D9" s="404" t="s">
        <v>346</v>
      </c>
      <c r="E9" s="404">
        <v>4</v>
      </c>
      <c r="F9" s="404">
        <v>3600</v>
      </c>
      <c r="G9" s="404">
        <v>900</v>
      </c>
      <c r="H9" s="538"/>
      <c r="I9" s="408">
        <f t="shared" si="7"/>
        <v>4</v>
      </c>
      <c r="J9" s="408">
        <f t="shared" si="7"/>
        <v>3214.7368421052606</v>
      </c>
      <c r="K9" s="406">
        <f t="shared" si="7"/>
        <v>803.68421052631516</v>
      </c>
      <c r="L9" s="588"/>
      <c r="M9" s="408">
        <f>RANK(K9, $K$7:K$36)</f>
        <v>7</v>
      </c>
      <c r="N9" s="544"/>
      <c r="O9" s="544"/>
      <c r="P9" s="182"/>
      <c r="Q9" s="182"/>
      <c r="R9" s="182"/>
      <c r="S9" s="404" t="e">
        <f t="shared" si="8"/>
        <v>#N/A</v>
      </c>
      <c r="T9" s="538"/>
      <c r="U9" s="182"/>
      <c r="V9" s="182"/>
      <c r="W9" s="182"/>
      <c r="X9" s="404" t="e">
        <f t="shared" si="0"/>
        <v>#N/A</v>
      </c>
      <c r="Y9" s="538"/>
      <c r="Z9" s="182"/>
      <c r="AA9" s="182"/>
      <c r="AB9" s="182"/>
      <c r="AC9" s="404" t="e">
        <f t="shared" si="1"/>
        <v>#N/A</v>
      </c>
      <c r="AD9" s="538"/>
      <c r="AE9" s="182"/>
      <c r="AF9" s="182"/>
      <c r="AG9" s="182"/>
      <c r="AH9" s="404" t="e">
        <f t="shared" si="2"/>
        <v>#N/A</v>
      </c>
      <c r="AI9" s="538"/>
      <c r="AJ9" s="182"/>
      <c r="AK9" s="182"/>
      <c r="AL9" s="182"/>
      <c r="AM9" s="404" t="e">
        <f t="shared" si="3"/>
        <v>#N/A</v>
      </c>
      <c r="AN9" s="538"/>
      <c r="AO9" s="182"/>
      <c r="AP9" s="182"/>
      <c r="AQ9" s="182"/>
      <c r="AR9" s="404" t="e">
        <f t="shared" si="4"/>
        <v>#N/A</v>
      </c>
      <c r="AS9" s="538"/>
      <c r="AT9" s="182">
        <v>4</v>
      </c>
      <c r="AU9" s="182">
        <v>3214.7368421052606</v>
      </c>
      <c r="AV9" s="182">
        <v>803.68421052631516</v>
      </c>
      <c r="AW9" s="404">
        <f t="shared" si="5"/>
        <v>7</v>
      </c>
      <c r="AX9" s="538"/>
      <c r="AZ9" s="320" t="e">
        <f>RANK(AX9, $K$7:AX$36)</f>
        <v>#N/A</v>
      </c>
      <c r="BB9" s="318" t="e">
        <f t="shared" si="6"/>
        <v>#N/A</v>
      </c>
    </row>
    <row r="10" spans="1:54">
      <c r="A10" s="81"/>
      <c r="B10" s="533"/>
      <c r="C10" s="404">
        <v>4</v>
      </c>
      <c r="D10" s="404" t="s">
        <v>362</v>
      </c>
      <c r="E10" s="404">
        <v>3</v>
      </c>
      <c r="F10" s="404">
        <v>3600</v>
      </c>
      <c r="G10" s="404">
        <v>1200</v>
      </c>
      <c r="H10" s="538"/>
      <c r="I10" s="408">
        <f t="shared" si="7"/>
        <v>3</v>
      </c>
      <c r="J10" s="408">
        <f t="shared" si="7"/>
        <v>2558.9999999999991</v>
      </c>
      <c r="K10" s="406">
        <f t="shared" si="7"/>
        <v>852.99999999999966</v>
      </c>
      <c r="L10" s="588"/>
      <c r="M10" s="408">
        <f>RANK(K10, $K$7:K$36)</f>
        <v>6</v>
      </c>
      <c r="N10" s="544"/>
      <c r="O10" s="544"/>
      <c r="P10" s="182"/>
      <c r="Q10" s="182"/>
      <c r="R10" s="182"/>
      <c r="S10" s="404" t="e">
        <f t="shared" si="8"/>
        <v>#N/A</v>
      </c>
      <c r="T10" s="538"/>
      <c r="U10" s="182"/>
      <c r="V10" s="182"/>
      <c r="W10" s="182"/>
      <c r="X10" s="404" t="e">
        <f t="shared" si="0"/>
        <v>#N/A</v>
      </c>
      <c r="Y10" s="538"/>
      <c r="Z10" s="182"/>
      <c r="AA10" s="182"/>
      <c r="AB10" s="182"/>
      <c r="AC10" s="404" t="e">
        <f t="shared" si="1"/>
        <v>#N/A</v>
      </c>
      <c r="AD10" s="538"/>
      <c r="AE10" s="182"/>
      <c r="AF10" s="182"/>
      <c r="AG10" s="182"/>
      <c r="AH10" s="404" t="e">
        <f t="shared" si="2"/>
        <v>#N/A</v>
      </c>
      <c r="AI10" s="538"/>
      <c r="AJ10" s="182"/>
      <c r="AK10" s="182"/>
      <c r="AL10" s="182"/>
      <c r="AM10" s="404" t="e">
        <f t="shared" si="3"/>
        <v>#N/A</v>
      </c>
      <c r="AN10" s="538"/>
      <c r="AO10" s="182"/>
      <c r="AP10" s="182"/>
      <c r="AQ10" s="182"/>
      <c r="AR10" s="404" t="e">
        <f t="shared" si="4"/>
        <v>#N/A</v>
      </c>
      <c r="AS10" s="538"/>
      <c r="AT10" s="182">
        <v>3</v>
      </c>
      <c r="AU10" s="182">
        <v>2558.9999999999991</v>
      </c>
      <c r="AV10" s="182">
        <v>852.99999999999966</v>
      </c>
      <c r="AW10" s="404">
        <f t="shared" si="5"/>
        <v>6</v>
      </c>
      <c r="AX10" s="538"/>
      <c r="AZ10" s="320" t="e">
        <f>RANK(AX10, $K$7:AX$36)</f>
        <v>#N/A</v>
      </c>
      <c r="BB10" s="318" t="e">
        <f t="shared" si="6"/>
        <v>#N/A</v>
      </c>
    </row>
    <row r="11" spans="1:54">
      <c r="A11" s="81"/>
      <c r="B11" s="533"/>
      <c r="C11" s="404">
        <v>5</v>
      </c>
      <c r="D11" s="404" t="s">
        <v>363</v>
      </c>
      <c r="E11" s="404">
        <v>3</v>
      </c>
      <c r="F11" s="404">
        <v>3600</v>
      </c>
      <c r="G11" s="404">
        <v>1200</v>
      </c>
      <c r="H11" s="538"/>
      <c r="I11" s="408">
        <f t="shared" si="7"/>
        <v>4</v>
      </c>
      <c r="J11" s="408">
        <f t="shared" si="7"/>
        <v>3155.2941176470549</v>
      </c>
      <c r="K11" s="406">
        <f t="shared" si="7"/>
        <v>788.82352941176373</v>
      </c>
      <c r="L11" s="588"/>
      <c r="M11" s="408">
        <f>RANK(K11, $K$7:K$36)</f>
        <v>8</v>
      </c>
      <c r="N11" s="544"/>
      <c r="O11" s="544"/>
      <c r="P11" s="182"/>
      <c r="Q11" s="182"/>
      <c r="R11" s="182"/>
      <c r="S11" s="404" t="e">
        <f t="shared" si="8"/>
        <v>#N/A</v>
      </c>
      <c r="T11" s="538"/>
      <c r="U11" s="182"/>
      <c r="V11" s="182"/>
      <c r="W11" s="182"/>
      <c r="X11" s="404" t="e">
        <f t="shared" si="0"/>
        <v>#N/A</v>
      </c>
      <c r="Y11" s="538"/>
      <c r="Z11" s="182"/>
      <c r="AA11" s="182"/>
      <c r="AB11" s="182"/>
      <c r="AC11" s="404" t="e">
        <f t="shared" si="1"/>
        <v>#N/A</v>
      </c>
      <c r="AD11" s="538"/>
      <c r="AE11" s="182"/>
      <c r="AF11" s="182"/>
      <c r="AG11" s="182"/>
      <c r="AH11" s="404" t="e">
        <f t="shared" si="2"/>
        <v>#N/A</v>
      </c>
      <c r="AI11" s="538"/>
      <c r="AJ11" s="182"/>
      <c r="AK11" s="182"/>
      <c r="AL11" s="182"/>
      <c r="AM11" s="404" t="e">
        <f t="shared" si="3"/>
        <v>#N/A</v>
      </c>
      <c r="AN11" s="538"/>
      <c r="AO11" s="182"/>
      <c r="AP11" s="182"/>
      <c r="AQ11" s="182"/>
      <c r="AR11" s="404" t="e">
        <f t="shared" si="4"/>
        <v>#N/A</v>
      </c>
      <c r="AS11" s="538"/>
      <c r="AT11" s="182">
        <v>4</v>
      </c>
      <c r="AU11" s="182">
        <v>3155.2941176470549</v>
      </c>
      <c r="AV11" s="182">
        <v>788.82352941176373</v>
      </c>
      <c r="AW11" s="404">
        <f t="shared" si="5"/>
        <v>8</v>
      </c>
      <c r="AX11" s="538"/>
      <c r="AZ11" s="320" t="e">
        <f>RANK(AX11, $K$7:AX$36)</f>
        <v>#N/A</v>
      </c>
      <c r="BB11" s="318" t="e">
        <f t="shared" si="6"/>
        <v>#N/A</v>
      </c>
    </row>
    <row r="12" spans="1:54">
      <c r="A12" s="81"/>
      <c r="B12" s="533"/>
      <c r="C12" s="404">
        <v>6</v>
      </c>
      <c r="D12" s="404" t="s">
        <v>361</v>
      </c>
      <c r="E12" s="404">
        <v>4</v>
      </c>
      <c r="F12" s="404">
        <v>3600</v>
      </c>
      <c r="G12" s="404">
        <v>900</v>
      </c>
      <c r="H12" s="538"/>
      <c r="I12" s="408">
        <f t="shared" si="7"/>
        <v>4</v>
      </c>
      <c r="J12" s="408">
        <f t="shared" si="7"/>
        <v>3111.9999999999945</v>
      </c>
      <c r="K12" s="406">
        <f t="shared" si="7"/>
        <v>777.99999999999864</v>
      </c>
      <c r="L12" s="588"/>
      <c r="M12" s="408">
        <f>RANK(K12, $K$7:K$36)</f>
        <v>10</v>
      </c>
      <c r="N12" s="544"/>
      <c r="O12" s="544"/>
      <c r="P12" s="182"/>
      <c r="Q12" s="182"/>
      <c r="R12" s="182"/>
      <c r="S12" s="404" t="e">
        <f t="shared" si="8"/>
        <v>#N/A</v>
      </c>
      <c r="T12" s="538"/>
      <c r="U12" s="182"/>
      <c r="V12" s="182"/>
      <c r="W12" s="182"/>
      <c r="X12" s="404" t="e">
        <f t="shared" si="0"/>
        <v>#N/A</v>
      </c>
      <c r="Y12" s="538"/>
      <c r="Z12" s="182"/>
      <c r="AA12" s="182"/>
      <c r="AB12" s="182"/>
      <c r="AC12" s="404" t="e">
        <f t="shared" si="1"/>
        <v>#N/A</v>
      </c>
      <c r="AD12" s="538"/>
      <c r="AE12" s="182"/>
      <c r="AF12" s="182"/>
      <c r="AG12" s="182"/>
      <c r="AH12" s="404" t="e">
        <f t="shared" si="2"/>
        <v>#N/A</v>
      </c>
      <c r="AI12" s="538"/>
      <c r="AJ12" s="182"/>
      <c r="AK12" s="182"/>
      <c r="AL12" s="182"/>
      <c r="AM12" s="404" t="e">
        <f t="shared" si="3"/>
        <v>#N/A</v>
      </c>
      <c r="AN12" s="538"/>
      <c r="AO12" s="182"/>
      <c r="AP12" s="182"/>
      <c r="AQ12" s="182"/>
      <c r="AR12" s="404" t="e">
        <f t="shared" si="4"/>
        <v>#N/A</v>
      </c>
      <c r="AS12" s="538"/>
      <c r="AT12" s="182">
        <v>4</v>
      </c>
      <c r="AU12" s="182">
        <v>3111.9999999999945</v>
      </c>
      <c r="AV12" s="182">
        <v>777.99999999999864</v>
      </c>
      <c r="AW12" s="404">
        <f t="shared" si="5"/>
        <v>10</v>
      </c>
      <c r="AX12" s="538"/>
      <c r="AZ12" s="320" t="e">
        <f>RANK(AX12, $K$7:AX$36)</f>
        <v>#N/A</v>
      </c>
      <c r="BB12" s="318" t="e">
        <f t="shared" si="6"/>
        <v>#N/A</v>
      </c>
    </row>
    <row r="13" spans="1:54">
      <c r="A13" s="81"/>
      <c r="B13" s="533"/>
      <c r="C13" s="404">
        <v>7</v>
      </c>
      <c r="D13" s="404" t="s">
        <v>469</v>
      </c>
      <c r="E13" s="404">
        <v>4</v>
      </c>
      <c r="F13" s="404">
        <v>3600</v>
      </c>
      <c r="G13" s="404">
        <v>900</v>
      </c>
      <c r="H13" s="538"/>
      <c r="I13" s="408">
        <f t="shared" si="7"/>
        <v>4</v>
      </c>
      <c r="J13" s="408">
        <f t="shared" si="7"/>
        <v>2830.909090909101</v>
      </c>
      <c r="K13" s="406">
        <f t="shared" si="7"/>
        <v>707.72727272727525</v>
      </c>
      <c r="L13" s="588"/>
      <c r="M13" s="408">
        <f>RANK(K13, $K$7:K$36)</f>
        <v>15</v>
      </c>
      <c r="N13" s="544"/>
      <c r="O13" s="544"/>
      <c r="P13" s="182"/>
      <c r="Q13" s="182"/>
      <c r="R13" s="182"/>
      <c r="S13" s="404" t="e">
        <f t="shared" si="8"/>
        <v>#N/A</v>
      </c>
      <c r="T13" s="538"/>
      <c r="U13" s="182"/>
      <c r="V13" s="182"/>
      <c r="W13" s="182"/>
      <c r="X13" s="404" t="e">
        <f t="shared" si="0"/>
        <v>#N/A</v>
      </c>
      <c r="Y13" s="538"/>
      <c r="Z13" s="182"/>
      <c r="AA13" s="182"/>
      <c r="AB13" s="182"/>
      <c r="AC13" s="404" t="e">
        <f t="shared" si="1"/>
        <v>#N/A</v>
      </c>
      <c r="AD13" s="538"/>
      <c r="AE13" s="182"/>
      <c r="AF13" s="182"/>
      <c r="AG13" s="182"/>
      <c r="AH13" s="404" t="e">
        <f t="shared" si="2"/>
        <v>#N/A</v>
      </c>
      <c r="AI13" s="538"/>
      <c r="AJ13" s="182"/>
      <c r="AK13" s="182"/>
      <c r="AL13" s="182"/>
      <c r="AM13" s="404" t="e">
        <f t="shared" si="3"/>
        <v>#N/A</v>
      </c>
      <c r="AN13" s="538"/>
      <c r="AO13" s="182"/>
      <c r="AP13" s="182"/>
      <c r="AQ13" s="182"/>
      <c r="AR13" s="404" t="e">
        <f t="shared" si="4"/>
        <v>#N/A</v>
      </c>
      <c r="AS13" s="538"/>
      <c r="AT13" s="182">
        <v>4</v>
      </c>
      <c r="AU13" s="182">
        <v>2830.909090909101</v>
      </c>
      <c r="AV13" s="182">
        <v>707.72727272727525</v>
      </c>
      <c r="AW13" s="404">
        <f t="shared" si="5"/>
        <v>15</v>
      </c>
      <c r="AX13" s="538"/>
      <c r="AZ13" s="320" t="e">
        <f>RANK(AX13, $K$7:AX$36)</f>
        <v>#N/A</v>
      </c>
      <c r="BB13" s="318" t="e">
        <f t="shared" si="6"/>
        <v>#N/A</v>
      </c>
    </row>
    <row r="14" spans="1:54">
      <c r="A14" s="81"/>
      <c r="B14" s="533"/>
      <c r="C14" s="404">
        <v>8</v>
      </c>
      <c r="D14" s="404" t="s">
        <v>364</v>
      </c>
      <c r="E14" s="404">
        <v>4</v>
      </c>
      <c r="F14" s="404">
        <v>3300</v>
      </c>
      <c r="G14" s="404">
        <v>825</v>
      </c>
      <c r="H14" s="538"/>
      <c r="I14" s="408">
        <f t="shared" si="7"/>
        <v>4</v>
      </c>
      <c r="J14" s="408">
        <f t="shared" si="7"/>
        <v>2445.8823529411793</v>
      </c>
      <c r="K14" s="406">
        <f t="shared" si="7"/>
        <v>611.47058823529483</v>
      </c>
      <c r="L14" s="588"/>
      <c r="M14" s="408">
        <f>RANK(K14, $K$7:K$36)</f>
        <v>18</v>
      </c>
      <c r="N14" s="544"/>
      <c r="O14" s="544"/>
      <c r="P14" s="182"/>
      <c r="Q14" s="182"/>
      <c r="R14" s="182"/>
      <c r="S14" s="404" t="e">
        <f t="shared" si="8"/>
        <v>#N/A</v>
      </c>
      <c r="T14" s="538"/>
      <c r="U14" s="182"/>
      <c r="V14" s="182"/>
      <c r="W14" s="182"/>
      <c r="X14" s="404" t="e">
        <f t="shared" si="0"/>
        <v>#N/A</v>
      </c>
      <c r="Y14" s="538"/>
      <c r="Z14" s="182"/>
      <c r="AA14" s="182"/>
      <c r="AB14" s="182"/>
      <c r="AC14" s="404" t="e">
        <f t="shared" si="1"/>
        <v>#N/A</v>
      </c>
      <c r="AD14" s="538"/>
      <c r="AE14" s="182"/>
      <c r="AF14" s="182"/>
      <c r="AG14" s="182"/>
      <c r="AH14" s="404" t="e">
        <f t="shared" si="2"/>
        <v>#N/A</v>
      </c>
      <c r="AI14" s="538"/>
      <c r="AJ14" s="182"/>
      <c r="AK14" s="182"/>
      <c r="AL14" s="182"/>
      <c r="AM14" s="404" t="e">
        <f t="shared" si="3"/>
        <v>#N/A</v>
      </c>
      <c r="AN14" s="538"/>
      <c r="AO14" s="182"/>
      <c r="AP14" s="182"/>
      <c r="AQ14" s="182"/>
      <c r="AR14" s="404" t="e">
        <f t="shared" si="4"/>
        <v>#N/A</v>
      </c>
      <c r="AS14" s="538"/>
      <c r="AT14" s="182">
        <v>4</v>
      </c>
      <c r="AU14" s="182">
        <v>2445.8823529411793</v>
      </c>
      <c r="AV14" s="182">
        <v>611.47058823529483</v>
      </c>
      <c r="AW14" s="404">
        <f t="shared" si="5"/>
        <v>18</v>
      </c>
      <c r="AX14" s="538"/>
      <c r="AZ14" s="320" t="e">
        <f>RANK(AX14, $K$7:AX$36)</f>
        <v>#N/A</v>
      </c>
      <c r="BB14" s="318" t="e">
        <f t="shared" si="6"/>
        <v>#N/A</v>
      </c>
    </row>
    <row r="15" spans="1:54">
      <c r="A15" s="81"/>
      <c r="B15" s="533"/>
      <c r="C15" s="404">
        <v>9</v>
      </c>
      <c r="D15" s="404" t="s">
        <v>365</v>
      </c>
      <c r="E15" s="404">
        <v>3</v>
      </c>
      <c r="F15" s="404">
        <v>3300</v>
      </c>
      <c r="G15" s="404">
        <v>1100</v>
      </c>
      <c r="H15" s="538"/>
      <c r="I15" s="408">
        <f t="shared" si="7"/>
        <v>3</v>
      </c>
      <c r="J15" s="408">
        <f t="shared" si="7"/>
        <v>2863.1249999999995</v>
      </c>
      <c r="K15" s="406">
        <f t="shared" si="7"/>
        <v>954.37499999999989</v>
      </c>
      <c r="L15" s="588"/>
      <c r="M15" s="408">
        <f>RANK(K15, $K$7:K$36)</f>
        <v>3</v>
      </c>
      <c r="N15" s="544"/>
      <c r="O15" s="544"/>
      <c r="P15" s="182"/>
      <c r="Q15" s="182"/>
      <c r="R15" s="182"/>
      <c r="S15" s="404" t="e">
        <f t="shared" si="8"/>
        <v>#N/A</v>
      </c>
      <c r="T15" s="538"/>
      <c r="U15" s="182"/>
      <c r="V15" s="182"/>
      <c r="W15" s="182"/>
      <c r="X15" s="404" t="e">
        <f t="shared" si="0"/>
        <v>#N/A</v>
      </c>
      <c r="Y15" s="538"/>
      <c r="Z15" s="182"/>
      <c r="AA15" s="182"/>
      <c r="AB15" s="182"/>
      <c r="AC15" s="404" t="e">
        <f t="shared" si="1"/>
        <v>#N/A</v>
      </c>
      <c r="AD15" s="538"/>
      <c r="AE15" s="182"/>
      <c r="AF15" s="182"/>
      <c r="AG15" s="182"/>
      <c r="AH15" s="404" t="e">
        <f t="shared" si="2"/>
        <v>#N/A</v>
      </c>
      <c r="AI15" s="538"/>
      <c r="AJ15" s="182"/>
      <c r="AK15" s="182"/>
      <c r="AL15" s="182"/>
      <c r="AM15" s="404" t="e">
        <f t="shared" si="3"/>
        <v>#N/A</v>
      </c>
      <c r="AN15" s="538"/>
      <c r="AO15" s="182"/>
      <c r="AP15" s="182"/>
      <c r="AQ15" s="182"/>
      <c r="AR15" s="404" t="e">
        <f t="shared" si="4"/>
        <v>#N/A</v>
      </c>
      <c r="AS15" s="538"/>
      <c r="AT15" s="182">
        <v>3</v>
      </c>
      <c r="AU15" s="182">
        <v>2863.1249999999995</v>
      </c>
      <c r="AV15" s="182">
        <v>954.37499999999989</v>
      </c>
      <c r="AW15" s="404">
        <f t="shared" si="5"/>
        <v>3</v>
      </c>
      <c r="AX15" s="538"/>
      <c r="AZ15" s="320" t="e">
        <f>RANK(AX15, $K$7:AX$36)</f>
        <v>#N/A</v>
      </c>
      <c r="BB15" s="318" t="e">
        <f t="shared" si="6"/>
        <v>#N/A</v>
      </c>
    </row>
    <row r="16" spans="1:54">
      <c r="A16" s="81"/>
      <c r="B16" s="533"/>
      <c r="C16" s="404">
        <v>10</v>
      </c>
      <c r="D16" s="404" t="s">
        <v>366</v>
      </c>
      <c r="E16" s="404">
        <v>3</v>
      </c>
      <c r="F16" s="404">
        <v>3300</v>
      </c>
      <c r="G16" s="404">
        <v>1100</v>
      </c>
      <c r="H16" s="538"/>
      <c r="I16" s="408">
        <f t="shared" si="7"/>
        <v>3</v>
      </c>
      <c r="J16" s="408">
        <f t="shared" si="7"/>
        <v>2884.7368421052611</v>
      </c>
      <c r="K16" s="406">
        <f t="shared" si="7"/>
        <v>961.57894736842036</v>
      </c>
      <c r="L16" s="588"/>
      <c r="M16" s="408">
        <f>RANK(K16, $K$7:K$36)</f>
        <v>2</v>
      </c>
      <c r="N16" s="544"/>
      <c r="O16" s="544"/>
      <c r="P16" s="182"/>
      <c r="Q16" s="182"/>
      <c r="R16" s="182"/>
      <c r="S16" s="404" t="e">
        <f t="shared" si="8"/>
        <v>#N/A</v>
      </c>
      <c r="T16" s="538"/>
      <c r="U16" s="182"/>
      <c r="V16" s="182"/>
      <c r="W16" s="182"/>
      <c r="X16" s="404" t="e">
        <f t="shared" si="0"/>
        <v>#N/A</v>
      </c>
      <c r="Y16" s="538"/>
      <c r="Z16" s="182"/>
      <c r="AA16" s="182"/>
      <c r="AB16" s="182"/>
      <c r="AC16" s="404" t="e">
        <f t="shared" si="1"/>
        <v>#N/A</v>
      </c>
      <c r="AD16" s="538"/>
      <c r="AE16" s="182"/>
      <c r="AF16" s="182"/>
      <c r="AG16" s="182"/>
      <c r="AH16" s="404" t="e">
        <f t="shared" si="2"/>
        <v>#N/A</v>
      </c>
      <c r="AI16" s="538"/>
      <c r="AJ16" s="182"/>
      <c r="AK16" s="182"/>
      <c r="AL16" s="182"/>
      <c r="AM16" s="404" t="e">
        <f t="shared" si="3"/>
        <v>#N/A</v>
      </c>
      <c r="AN16" s="538"/>
      <c r="AO16" s="182"/>
      <c r="AP16" s="182"/>
      <c r="AQ16" s="182"/>
      <c r="AR16" s="404" t="e">
        <f t="shared" si="4"/>
        <v>#N/A</v>
      </c>
      <c r="AS16" s="538"/>
      <c r="AT16" s="182">
        <v>3</v>
      </c>
      <c r="AU16" s="182">
        <v>2884.7368421052611</v>
      </c>
      <c r="AV16" s="182">
        <v>961.57894736842036</v>
      </c>
      <c r="AW16" s="404">
        <f t="shared" si="5"/>
        <v>2</v>
      </c>
      <c r="AX16" s="538"/>
      <c r="AZ16" s="320" t="e">
        <f>RANK(AX16, $K$7:AX$36)</f>
        <v>#N/A</v>
      </c>
      <c r="BB16" s="318" t="e">
        <f t="shared" si="6"/>
        <v>#N/A</v>
      </c>
    </row>
    <row r="17" spans="2:54">
      <c r="B17" s="533"/>
      <c r="C17" s="404">
        <v>11</v>
      </c>
      <c r="D17" s="404" t="s">
        <v>411</v>
      </c>
      <c r="E17" s="404">
        <v>4</v>
      </c>
      <c r="F17" s="404">
        <v>2500</v>
      </c>
      <c r="G17" s="404">
        <v>625</v>
      </c>
      <c r="H17" s="538"/>
      <c r="I17" s="408"/>
      <c r="J17" s="408"/>
      <c r="K17" s="406"/>
      <c r="L17" s="588"/>
      <c r="M17" s="408" t="e">
        <f>RANK(K17, $K$7:K$36)</f>
        <v>#N/A</v>
      </c>
      <c r="N17" s="544"/>
      <c r="O17" s="544"/>
      <c r="P17" s="182"/>
      <c r="Q17" s="182"/>
      <c r="R17" s="182"/>
      <c r="S17" s="404" t="e">
        <f t="shared" si="8"/>
        <v>#N/A</v>
      </c>
      <c r="T17" s="538"/>
      <c r="U17" s="182"/>
      <c r="V17" s="182"/>
      <c r="W17" s="182"/>
      <c r="X17" s="404" t="e">
        <f t="shared" si="0"/>
        <v>#N/A</v>
      </c>
      <c r="Y17" s="538"/>
      <c r="Z17" s="182"/>
      <c r="AA17" s="182"/>
      <c r="AB17" s="182"/>
      <c r="AC17" s="404" t="e">
        <f t="shared" si="1"/>
        <v>#N/A</v>
      </c>
      <c r="AD17" s="538"/>
      <c r="AE17" s="182"/>
      <c r="AF17" s="182"/>
      <c r="AG17" s="182"/>
      <c r="AH17" s="404" t="e">
        <f t="shared" si="2"/>
        <v>#N/A</v>
      </c>
      <c r="AI17" s="538"/>
      <c r="AJ17" s="182"/>
      <c r="AK17" s="182"/>
      <c r="AL17" s="182"/>
      <c r="AM17" s="404" t="e">
        <f t="shared" si="3"/>
        <v>#N/A</v>
      </c>
      <c r="AN17" s="538"/>
      <c r="AO17" s="182"/>
      <c r="AP17" s="182"/>
      <c r="AQ17" s="182"/>
      <c r="AR17" s="404" t="e">
        <f t="shared" si="4"/>
        <v>#N/A</v>
      </c>
      <c r="AS17" s="538"/>
      <c r="AT17" s="182"/>
      <c r="AU17" s="182"/>
      <c r="AV17" s="182"/>
      <c r="AW17" s="404" t="e">
        <f t="shared" si="5"/>
        <v>#N/A</v>
      </c>
      <c r="AX17" s="538"/>
      <c r="AZ17" s="320" t="e">
        <f>RANK(AX17, $K$7:AX$36)</f>
        <v>#N/A</v>
      </c>
      <c r="BB17" s="318" t="e">
        <f t="shared" si="6"/>
        <v>#N/A</v>
      </c>
    </row>
    <row r="18" spans="2:54">
      <c r="B18" s="533"/>
      <c r="C18" s="404">
        <v>12</v>
      </c>
      <c r="D18" s="404" t="s">
        <v>367</v>
      </c>
      <c r="E18" s="404">
        <v>4</v>
      </c>
      <c r="F18" s="404">
        <v>3300</v>
      </c>
      <c r="G18" s="404">
        <v>825</v>
      </c>
      <c r="H18" s="538"/>
      <c r="I18" s="408">
        <f t="shared" si="7"/>
        <v>4</v>
      </c>
      <c r="J18" s="408">
        <f t="shared" si="7"/>
        <v>2831.8032786885237</v>
      </c>
      <c r="K18" s="406">
        <f t="shared" si="7"/>
        <v>707.95081967213093</v>
      </c>
      <c r="L18" s="588"/>
      <c r="M18" s="408">
        <f>RANK(K18, $K$7:K$36)</f>
        <v>14</v>
      </c>
      <c r="N18" s="544"/>
      <c r="O18" s="544"/>
      <c r="P18" s="182"/>
      <c r="Q18" s="182"/>
      <c r="R18" s="182"/>
      <c r="S18" s="404" t="e">
        <f t="shared" si="8"/>
        <v>#N/A</v>
      </c>
      <c r="T18" s="538"/>
      <c r="U18" s="182"/>
      <c r="V18" s="182"/>
      <c r="W18" s="182"/>
      <c r="X18" s="404" t="e">
        <f t="shared" si="0"/>
        <v>#N/A</v>
      </c>
      <c r="Y18" s="538"/>
      <c r="Z18" s="182"/>
      <c r="AA18" s="182"/>
      <c r="AB18" s="182"/>
      <c r="AC18" s="404" t="e">
        <f t="shared" si="1"/>
        <v>#N/A</v>
      </c>
      <c r="AD18" s="538"/>
      <c r="AE18" s="182"/>
      <c r="AF18" s="182"/>
      <c r="AG18" s="182"/>
      <c r="AH18" s="404" t="e">
        <f t="shared" si="2"/>
        <v>#N/A</v>
      </c>
      <c r="AI18" s="538"/>
      <c r="AJ18" s="182"/>
      <c r="AK18" s="182"/>
      <c r="AL18" s="182"/>
      <c r="AM18" s="404" t="e">
        <f t="shared" si="3"/>
        <v>#N/A</v>
      </c>
      <c r="AN18" s="538"/>
      <c r="AO18" s="182"/>
      <c r="AP18" s="182"/>
      <c r="AQ18" s="182"/>
      <c r="AR18" s="404" t="e">
        <f t="shared" si="4"/>
        <v>#N/A</v>
      </c>
      <c r="AS18" s="538"/>
      <c r="AT18" s="182">
        <v>4</v>
      </c>
      <c r="AU18" s="182">
        <v>2831.8032786885237</v>
      </c>
      <c r="AV18" s="182">
        <v>707.95081967213093</v>
      </c>
      <c r="AW18" s="404">
        <f t="shared" si="5"/>
        <v>14</v>
      </c>
      <c r="AX18" s="538"/>
      <c r="AZ18" s="320" t="e">
        <f>RANK(AX18, $K$7:AX$36)</f>
        <v>#N/A</v>
      </c>
      <c r="BB18" s="318" t="e">
        <f t="shared" si="6"/>
        <v>#N/A</v>
      </c>
    </row>
    <row r="19" spans="2:54">
      <c r="B19" s="533"/>
      <c r="C19" s="404">
        <v>13</v>
      </c>
      <c r="D19" s="404" t="s">
        <v>368</v>
      </c>
      <c r="E19" s="404">
        <v>4</v>
      </c>
      <c r="F19" s="404">
        <v>3300</v>
      </c>
      <c r="G19" s="404">
        <v>825</v>
      </c>
      <c r="H19" s="538"/>
      <c r="I19" s="408">
        <f t="shared" si="7"/>
        <v>4</v>
      </c>
      <c r="J19" s="408">
        <f t="shared" si="7"/>
        <v>2803.2352941176468</v>
      </c>
      <c r="K19" s="406">
        <f t="shared" si="7"/>
        <v>700.80882352941171</v>
      </c>
      <c r="L19" s="588"/>
      <c r="M19" s="408">
        <f>RANK(K19, $K$7:K$36)</f>
        <v>16</v>
      </c>
      <c r="N19" s="544"/>
      <c r="O19" s="544"/>
      <c r="P19" s="182"/>
      <c r="Q19" s="182"/>
      <c r="R19" s="182"/>
      <c r="S19" s="404" t="e">
        <f t="shared" si="8"/>
        <v>#N/A</v>
      </c>
      <c r="T19" s="538"/>
      <c r="U19" s="182"/>
      <c r="V19" s="182"/>
      <c r="W19" s="182"/>
      <c r="X19" s="404" t="e">
        <f t="shared" si="0"/>
        <v>#N/A</v>
      </c>
      <c r="Y19" s="538"/>
      <c r="Z19" s="182"/>
      <c r="AA19" s="182"/>
      <c r="AB19" s="182"/>
      <c r="AC19" s="404" t="e">
        <f t="shared" si="1"/>
        <v>#N/A</v>
      </c>
      <c r="AD19" s="538"/>
      <c r="AE19" s="182"/>
      <c r="AF19" s="182"/>
      <c r="AG19" s="182"/>
      <c r="AH19" s="404" t="e">
        <f t="shared" si="2"/>
        <v>#N/A</v>
      </c>
      <c r="AI19" s="538"/>
      <c r="AJ19" s="182"/>
      <c r="AK19" s="182"/>
      <c r="AL19" s="182"/>
      <c r="AM19" s="404" t="e">
        <f t="shared" si="3"/>
        <v>#N/A</v>
      </c>
      <c r="AN19" s="538"/>
      <c r="AO19" s="182"/>
      <c r="AP19" s="182"/>
      <c r="AQ19" s="182"/>
      <c r="AR19" s="404" t="e">
        <f t="shared" si="4"/>
        <v>#N/A</v>
      </c>
      <c r="AS19" s="538"/>
      <c r="AT19" s="182">
        <v>4</v>
      </c>
      <c r="AU19" s="182">
        <v>2803.2352941176468</v>
      </c>
      <c r="AV19" s="182">
        <v>700.80882352941171</v>
      </c>
      <c r="AW19" s="404">
        <f t="shared" si="5"/>
        <v>16</v>
      </c>
      <c r="AX19" s="538"/>
      <c r="AZ19" s="320" t="e">
        <f>RANK(AX19, $K$7:AX$36)</f>
        <v>#N/A</v>
      </c>
      <c r="BB19" s="318" t="e">
        <f t="shared" si="6"/>
        <v>#N/A</v>
      </c>
    </row>
    <row r="20" spans="2:54">
      <c r="B20" s="533"/>
      <c r="C20" s="404">
        <v>14</v>
      </c>
      <c r="D20" s="404" t="s">
        <v>570</v>
      </c>
      <c r="E20" s="404">
        <v>4</v>
      </c>
      <c r="F20" s="404">
        <v>2800</v>
      </c>
      <c r="G20" s="404">
        <v>700</v>
      </c>
      <c r="H20" s="538"/>
      <c r="I20" s="408">
        <f t="shared" si="7"/>
        <v>4</v>
      </c>
      <c r="J20" s="408">
        <f t="shared" si="7"/>
        <v>2848.695652173913</v>
      </c>
      <c r="K20" s="406">
        <f t="shared" si="7"/>
        <v>712.17391304347825</v>
      </c>
      <c r="L20" s="588"/>
      <c r="M20" s="408">
        <f>RANK(K20, $K$7:K$36)</f>
        <v>13</v>
      </c>
      <c r="N20" s="544"/>
      <c r="O20" s="544"/>
      <c r="P20" s="182"/>
      <c r="Q20" s="182"/>
      <c r="R20" s="182"/>
      <c r="S20" s="404" t="e">
        <f t="shared" si="8"/>
        <v>#N/A</v>
      </c>
      <c r="T20" s="538"/>
      <c r="U20" s="182"/>
      <c r="V20" s="182"/>
      <c r="W20" s="182"/>
      <c r="X20" s="404" t="e">
        <f t="shared" si="0"/>
        <v>#N/A</v>
      </c>
      <c r="Y20" s="538"/>
      <c r="Z20" s="182"/>
      <c r="AA20" s="182"/>
      <c r="AB20" s="182"/>
      <c r="AC20" s="404" t="e">
        <f t="shared" si="1"/>
        <v>#N/A</v>
      </c>
      <c r="AD20" s="538"/>
      <c r="AE20" s="182"/>
      <c r="AF20" s="182"/>
      <c r="AG20" s="182"/>
      <c r="AH20" s="404" t="e">
        <f t="shared" si="2"/>
        <v>#N/A</v>
      </c>
      <c r="AI20" s="538"/>
      <c r="AJ20" s="182"/>
      <c r="AK20" s="182"/>
      <c r="AL20" s="182"/>
      <c r="AM20" s="404" t="e">
        <f t="shared" si="3"/>
        <v>#N/A</v>
      </c>
      <c r="AN20" s="538"/>
      <c r="AO20" s="182"/>
      <c r="AP20" s="182"/>
      <c r="AQ20" s="182"/>
      <c r="AR20" s="404" t="e">
        <f t="shared" si="4"/>
        <v>#N/A</v>
      </c>
      <c r="AS20" s="538"/>
      <c r="AT20" s="182">
        <v>4</v>
      </c>
      <c r="AU20" s="182">
        <v>2848.695652173913</v>
      </c>
      <c r="AV20" s="182">
        <v>712.17391304347825</v>
      </c>
      <c r="AW20" s="404">
        <f t="shared" si="5"/>
        <v>13</v>
      </c>
      <c r="AX20" s="538"/>
      <c r="AZ20" s="320" t="e">
        <f>RANK(AX20, $K$7:AX$36)</f>
        <v>#N/A</v>
      </c>
      <c r="BB20" s="318" t="e">
        <f t="shared" si="6"/>
        <v>#N/A</v>
      </c>
    </row>
    <row r="21" spans="2:54">
      <c r="B21" s="533"/>
      <c r="C21" s="404">
        <v>15</v>
      </c>
      <c r="D21" s="404" t="s">
        <v>369</v>
      </c>
      <c r="E21" s="404">
        <v>4</v>
      </c>
      <c r="F21" s="404">
        <v>3600</v>
      </c>
      <c r="G21" s="404">
        <v>900</v>
      </c>
      <c r="H21" s="538"/>
      <c r="I21" s="408">
        <f t="shared" si="7"/>
        <v>4</v>
      </c>
      <c r="J21" s="408">
        <f t="shared" si="7"/>
        <v>2657.4999999999918</v>
      </c>
      <c r="K21" s="406">
        <f t="shared" si="7"/>
        <v>664.37499999999795</v>
      </c>
      <c r="L21" s="588"/>
      <c r="M21" s="408">
        <f>RANK(K21, $K$7:K$36)</f>
        <v>17</v>
      </c>
      <c r="N21" s="544"/>
      <c r="O21" s="544"/>
      <c r="P21" s="182"/>
      <c r="Q21" s="182"/>
      <c r="R21" s="182"/>
      <c r="S21" s="404" t="e">
        <f t="shared" si="8"/>
        <v>#N/A</v>
      </c>
      <c r="T21" s="538"/>
      <c r="U21" s="182"/>
      <c r="V21" s="182"/>
      <c r="W21" s="182"/>
      <c r="X21" s="404" t="e">
        <f t="shared" si="0"/>
        <v>#N/A</v>
      </c>
      <c r="Y21" s="538"/>
      <c r="Z21" s="182"/>
      <c r="AA21" s="182"/>
      <c r="AB21" s="182"/>
      <c r="AC21" s="404" t="e">
        <f t="shared" si="1"/>
        <v>#N/A</v>
      </c>
      <c r="AD21" s="538"/>
      <c r="AE21" s="182"/>
      <c r="AF21" s="182"/>
      <c r="AG21" s="182"/>
      <c r="AH21" s="404" t="e">
        <f t="shared" si="2"/>
        <v>#N/A</v>
      </c>
      <c r="AI21" s="538"/>
      <c r="AJ21" s="182"/>
      <c r="AK21" s="182"/>
      <c r="AL21" s="182"/>
      <c r="AM21" s="404" t="e">
        <f t="shared" si="3"/>
        <v>#N/A</v>
      </c>
      <c r="AN21" s="538"/>
      <c r="AO21" s="182"/>
      <c r="AP21" s="182"/>
      <c r="AQ21" s="182"/>
      <c r="AR21" s="404" t="e">
        <f t="shared" si="4"/>
        <v>#N/A</v>
      </c>
      <c r="AS21" s="538"/>
      <c r="AT21" s="182">
        <v>4</v>
      </c>
      <c r="AU21" s="182">
        <v>2657.4999999999918</v>
      </c>
      <c r="AV21" s="182">
        <v>664.37499999999795</v>
      </c>
      <c r="AW21" s="404">
        <f t="shared" si="5"/>
        <v>17</v>
      </c>
      <c r="AX21" s="538"/>
      <c r="AZ21" s="320" t="e">
        <f>RANK(AX21, $K$7:AX$36)</f>
        <v>#N/A</v>
      </c>
      <c r="BB21" s="318" t="e">
        <f t="shared" si="6"/>
        <v>#N/A</v>
      </c>
    </row>
    <row r="22" spans="2:54">
      <c r="B22" s="533"/>
      <c r="C22" s="404">
        <v>16</v>
      </c>
      <c r="D22" s="404" t="s">
        <v>370</v>
      </c>
      <c r="E22" s="404">
        <v>4</v>
      </c>
      <c r="F22" s="404">
        <v>3600</v>
      </c>
      <c r="G22" s="404">
        <v>900</v>
      </c>
      <c r="H22" s="538"/>
      <c r="I22" s="408">
        <f t="shared" si="7"/>
        <v>4</v>
      </c>
      <c r="J22" s="408">
        <f t="shared" si="7"/>
        <v>3083.0769230769338</v>
      </c>
      <c r="K22" s="406">
        <f t="shared" si="7"/>
        <v>770.76923076923345</v>
      </c>
      <c r="L22" s="588"/>
      <c r="M22" s="408">
        <f>RANK(K22, $K$7:K$36)</f>
        <v>11</v>
      </c>
      <c r="N22" s="544"/>
      <c r="O22" s="544"/>
      <c r="P22" s="182"/>
      <c r="Q22" s="182"/>
      <c r="R22" s="182"/>
      <c r="S22" s="404" t="e">
        <f t="shared" si="8"/>
        <v>#N/A</v>
      </c>
      <c r="T22" s="538"/>
      <c r="U22" s="182"/>
      <c r="V22" s="182"/>
      <c r="W22" s="182"/>
      <c r="X22" s="404" t="e">
        <f t="shared" si="0"/>
        <v>#N/A</v>
      </c>
      <c r="Y22" s="538"/>
      <c r="Z22" s="182"/>
      <c r="AA22" s="182"/>
      <c r="AB22" s="182"/>
      <c r="AC22" s="404" t="e">
        <f t="shared" si="1"/>
        <v>#N/A</v>
      </c>
      <c r="AD22" s="538"/>
      <c r="AE22" s="182"/>
      <c r="AF22" s="182"/>
      <c r="AG22" s="182"/>
      <c r="AH22" s="404" t="e">
        <f t="shared" si="2"/>
        <v>#N/A</v>
      </c>
      <c r="AI22" s="538"/>
      <c r="AJ22" s="182"/>
      <c r="AK22" s="182"/>
      <c r="AL22" s="182"/>
      <c r="AM22" s="404" t="e">
        <f t="shared" si="3"/>
        <v>#N/A</v>
      </c>
      <c r="AN22" s="538"/>
      <c r="AO22" s="182"/>
      <c r="AP22" s="182"/>
      <c r="AQ22" s="182"/>
      <c r="AR22" s="404" t="e">
        <f t="shared" si="4"/>
        <v>#N/A</v>
      </c>
      <c r="AS22" s="538"/>
      <c r="AT22" s="182">
        <v>4</v>
      </c>
      <c r="AU22" s="182">
        <v>3083.0769230769338</v>
      </c>
      <c r="AV22" s="182">
        <v>770.76923076923345</v>
      </c>
      <c r="AW22" s="404">
        <f t="shared" si="5"/>
        <v>11</v>
      </c>
      <c r="AX22" s="538"/>
      <c r="AZ22" s="320" t="e">
        <f>RANK(AX22, $K$7:AX$36)</f>
        <v>#N/A</v>
      </c>
      <c r="BB22" s="318" t="e">
        <f t="shared" si="6"/>
        <v>#N/A</v>
      </c>
    </row>
    <row r="23" spans="2:54">
      <c r="B23" s="533"/>
      <c r="C23" s="404">
        <v>17</v>
      </c>
      <c r="D23" s="404" t="s">
        <v>481</v>
      </c>
      <c r="E23" s="404">
        <v>4</v>
      </c>
      <c r="F23" s="404">
        <v>3300</v>
      </c>
      <c r="G23" s="404">
        <v>825</v>
      </c>
      <c r="H23" s="538"/>
      <c r="I23" s="408">
        <f t="shared" si="7"/>
        <v>3</v>
      </c>
      <c r="J23" s="408">
        <f t="shared" si="7"/>
        <v>2893.5483870967769</v>
      </c>
      <c r="K23" s="406">
        <f t="shared" si="7"/>
        <v>964.51612903225896</v>
      </c>
      <c r="L23" s="588"/>
      <c r="M23" s="408">
        <f>RANK(K23, $K$7:K$36)</f>
        <v>1</v>
      </c>
      <c r="N23" s="544"/>
      <c r="O23" s="544"/>
      <c r="P23" s="182"/>
      <c r="Q23" s="182"/>
      <c r="R23" s="182"/>
      <c r="S23" s="404" t="e">
        <f t="shared" si="8"/>
        <v>#N/A</v>
      </c>
      <c r="T23" s="538"/>
      <c r="U23" s="182"/>
      <c r="V23" s="182"/>
      <c r="W23" s="182"/>
      <c r="X23" s="404" t="e">
        <f t="shared" si="0"/>
        <v>#N/A</v>
      </c>
      <c r="Y23" s="538"/>
      <c r="Z23" s="182"/>
      <c r="AA23" s="182"/>
      <c r="AB23" s="182"/>
      <c r="AC23" s="404" t="e">
        <f t="shared" si="1"/>
        <v>#N/A</v>
      </c>
      <c r="AD23" s="538"/>
      <c r="AE23" s="182"/>
      <c r="AF23" s="182"/>
      <c r="AG23" s="182"/>
      <c r="AH23" s="404" t="e">
        <f t="shared" si="2"/>
        <v>#N/A</v>
      </c>
      <c r="AI23" s="538"/>
      <c r="AJ23" s="182"/>
      <c r="AK23" s="182"/>
      <c r="AL23" s="182"/>
      <c r="AM23" s="404" t="e">
        <f t="shared" si="3"/>
        <v>#N/A</v>
      </c>
      <c r="AN23" s="538"/>
      <c r="AO23" s="182"/>
      <c r="AP23" s="182"/>
      <c r="AQ23" s="182"/>
      <c r="AR23" s="404" t="e">
        <f t="shared" si="4"/>
        <v>#N/A</v>
      </c>
      <c r="AS23" s="538"/>
      <c r="AT23" s="182">
        <v>3</v>
      </c>
      <c r="AU23" s="182">
        <v>2893.5483870967769</v>
      </c>
      <c r="AV23" s="182">
        <v>964.51612903225896</v>
      </c>
      <c r="AW23" s="404">
        <f t="shared" si="5"/>
        <v>1</v>
      </c>
      <c r="AX23" s="538"/>
      <c r="AZ23" s="320" t="e">
        <f>RANK(AX23, $K$7:AX$36)</f>
        <v>#N/A</v>
      </c>
      <c r="BB23" s="318" t="e">
        <f t="shared" si="6"/>
        <v>#N/A</v>
      </c>
    </row>
    <row r="24" spans="2:54">
      <c r="B24" s="533"/>
      <c r="C24" s="404">
        <v>18</v>
      </c>
      <c r="D24" s="404" t="s">
        <v>567</v>
      </c>
      <c r="E24" s="404">
        <v>3</v>
      </c>
      <c r="F24" s="404">
        <v>2800</v>
      </c>
      <c r="G24" s="404">
        <v>933.33333333333337</v>
      </c>
      <c r="H24" s="538"/>
      <c r="I24" s="408">
        <f t="shared" si="7"/>
        <v>3</v>
      </c>
      <c r="J24" s="408">
        <f t="shared" si="7"/>
        <v>2718.1395348837204</v>
      </c>
      <c r="K24" s="406">
        <f t="shared" si="7"/>
        <v>906.04651162790685</v>
      </c>
      <c r="L24" s="588"/>
      <c r="M24" s="408">
        <f>RANK(K24, $K$7:K$36)</f>
        <v>5</v>
      </c>
      <c r="N24" s="544"/>
      <c r="O24" s="544"/>
      <c r="P24" s="182"/>
      <c r="Q24" s="182"/>
      <c r="R24" s="182"/>
      <c r="S24" s="404" t="e">
        <f t="shared" si="8"/>
        <v>#N/A</v>
      </c>
      <c r="T24" s="538"/>
      <c r="U24" s="182"/>
      <c r="V24" s="182"/>
      <c r="W24" s="182"/>
      <c r="X24" s="404" t="e">
        <f t="shared" si="0"/>
        <v>#N/A</v>
      </c>
      <c r="Y24" s="538"/>
      <c r="Z24" s="182"/>
      <c r="AA24" s="182"/>
      <c r="AB24" s="182"/>
      <c r="AC24" s="404" t="e">
        <f t="shared" si="1"/>
        <v>#N/A</v>
      </c>
      <c r="AD24" s="538"/>
      <c r="AE24" s="182"/>
      <c r="AF24" s="182"/>
      <c r="AG24" s="182"/>
      <c r="AH24" s="404" t="e">
        <f t="shared" si="2"/>
        <v>#N/A</v>
      </c>
      <c r="AI24" s="538"/>
      <c r="AJ24" s="182"/>
      <c r="AK24" s="182"/>
      <c r="AL24" s="182"/>
      <c r="AM24" s="404" t="e">
        <f t="shared" si="3"/>
        <v>#N/A</v>
      </c>
      <c r="AN24" s="538"/>
      <c r="AO24" s="182"/>
      <c r="AP24" s="182"/>
      <c r="AQ24" s="182"/>
      <c r="AR24" s="404" t="e">
        <f t="shared" si="4"/>
        <v>#N/A</v>
      </c>
      <c r="AS24" s="538"/>
      <c r="AT24" s="182">
        <v>3</v>
      </c>
      <c r="AU24" s="182">
        <v>2718.1395348837204</v>
      </c>
      <c r="AV24" s="182">
        <v>906.04651162790685</v>
      </c>
      <c r="AW24" s="404">
        <f t="shared" si="5"/>
        <v>5</v>
      </c>
      <c r="AX24" s="538"/>
      <c r="AZ24" s="320" t="e">
        <f>RANK(AX24, $K$7:AX$36)</f>
        <v>#N/A</v>
      </c>
      <c r="BB24" s="318" t="e">
        <f t="shared" si="6"/>
        <v>#N/A</v>
      </c>
    </row>
    <row r="25" spans="2:54">
      <c r="B25" s="533"/>
      <c r="C25" s="404">
        <v>19</v>
      </c>
      <c r="D25" s="404" t="s">
        <v>576</v>
      </c>
      <c r="E25" s="404">
        <v>4</v>
      </c>
      <c r="F25" s="404">
        <v>3000</v>
      </c>
      <c r="G25" s="404">
        <v>750</v>
      </c>
      <c r="H25" s="538"/>
      <c r="I25" s="408">
        <f t="shared" si="7"/>
        <v>4</v>
      </c>
      <c r="J25" s="408">
        <f t="shared" si="7"/>
        <v>2075.9999999999982</v>
      </c>
      <c r="K25" s="406">
        <f t="shared" si="7"/>
        <v>518.99999999999955</v>
      </c>
      <c r="L25" s="588"/>
      <c r="M25" s="408">
        <f>RANK(K25, $K$7:K$36)</f>
        <v>19</v>
      </c>
      <c r="N25" s="544"/>
      <c r="O25" s="544"/>
      <c r="P25" s="182"/>
      <c r="Q25" s="182"/>
      <c r="R25" s="182"/>
      <c r="S25" s="404" t="e">
        <f t="shared" si="8"/>
        <v>#N/A</v>
      </c>
      <c r="T25" s="538"/>
      <c r="U25" s="182"/>
      <c r="V25" s="182"/>
      <c r="W25" s="182"/>
      <c r="X25" s="404" t="e">
        <f t="shared" si="0"/>
        <v>#N/A</v>
      </c>
      <c r="Y25" s="538"/>
      <c r="Z25" s="182"/>
      <c r="AA25" s="182"/>
      <c r="AB25" s="182"/>
      <c r="AC25" s="404" t="e">
        <f t="shared" si="1"/>
        <v>#N/A</v>
      </c>
      <c r="AD25" s="538"/>
      <c r="AE25" s="182"/>
      <c r="AF25" s="182"/>
      <c r="AG25" s="182"/>
      <c r="AH25" s="404" t="e">
        <f t="shared" si="2"/>
        <v>#N/A</v>
      </c>
      <c r="AI25" s="538"/>
      <c r="AJ25" s="182"/>
      <c r="AK25" s="182"/>
      <c r="AL25" s="182"/>
      <c r="AM25" s="404" t="e">
        <f t="shared" si="3"/>
        <v>#N/A</v>
      </c>
      <c r="AN25" s="538"/>
      <c r="AO25" s="182"/>
      <c r="AP25" s="182"/>
      <c r="AQ25" s="182"/>
      <c r="AR25" s="404" t="e">
        <f t="shared" si="4"/>
        <v>#N/A</v>
      </c>
      <c r="AS25" s="538"/>
      <c r="AT25" s="182">
        <v>4</v>
      </c>
      <c r="AU25" s="182">
        <v>2075.9999999999982</v>
      </c>
      <c r="AV25" s="182">
        <v>518.99999999999955</v>
      </c>
      <c r="AW25" s="404">
        <f t="shared" si="5"/>
        <v>19</v>
      </c>
      <c r="AX25" s="538"/>
      <c r="AZ25" s="320" t="e">
        <f>RANK(AX25, $K$7:AX$36)</f>
        <v>#N/A</v>
      </c>
      <c r="BB25" s="318" t="e">
        <f t="shared" si="6"/>
        <v>#N/A</v>
      </c>
    </row>
    <row r="26" spans="2:54">
      <c r="B26" s="533"/>
      <c r="C26" s="404">
        <v>20</v>
      </c>
      <c r="D26" s="404" t="s">
        <v>577</v>
      </c>
      <c r="E26" s="404">
        <v>12</v>
      </c>
      <c r="F26" s="404">
        <v>1500</v>
      </c>
      <c r="G26" s="404">
        <v>125</v>
      </c>
      <c r="H26" s="538"/>
      <c r="I26" s="408">
        <f t="shared" si="7"/>
        <v>12</v>
      </c>
      <c r="J26" s="408">
        <f t="shared" si="7"/>
        <v>1447.2000000000005</v>
      </c>
      <c r="K26" s="406">
        <f t="shared" si="7"/>
        <v>120.60000000000004</v>
      </c>
      <c r="L26" s="588"/>
      <c r="M26" s="408">
        <f>RANK(K26, $K$7:K$36)</f>
        <v>20</v>
      </c>
      <c r="N26" s="544"/>
      <c r="O26" s="544"/>
      <c r="P26" s="182"/>
      <c r="Q26" s="182"/>
      <c r="R26" s="182"/>
      <c r="S26" s="404" t="e">
        <f t="shared" si="8"/>
        <v>#N/A</v>
      </c>
      <c r="T26" s="538"/>
      <c r="U26" s="182"/>
      <c r="V26" s="182"/>
      <c r="W26" s="182"/>
      <c r="X26" s="404" t="e">
        <f t="shared" si="0"/>
        <v>#N/A</v>
      </c>
      <c r="Y26" s="538"/>
      <c r="Z26" s="182"/>
      <c r="AA26" s="182"/>
      <c r="AB26" s="182"/>
      <c r="AC26" s="404" t="e">
        <f t="shared" si="1"/>
        <v>#N/A</v>
      </c>
      <c r="AD26" s="538"/>
      <c r="AE26" s="182"/>
      <c r="AF26" s="182"/>
      <c r="AG26" s="182"/>
      <c r="AH26" s="404" t="e">
        <f t="shared" si="2"/>
        <v>#N/A</v>
      </c>
      <c r="AI26" s="538"/>
      <c r="AJ26" s="182"/>
      <c r="AK26" s="182"/>
      <c r="AL26" s="182"/>
      <c r="AM26" s="404" t="e">
        <f t="shared" si="3"/>
        <v>#N/A</v>
      </c>
      <c r="AN26" s="538"/>
      <c r="AO26" s="182"/>
      <c r="AP26" s="182"/>
      <c r="AQ26" s="182"/>
      <c r="AR26" s="404" t="e">
        <f t="shared" si="4"/>
        <v>#N/A</v>
      </c>
      <c r="AS26" s="538"/>
      <c r="AT26" s="182">
        <v>12</v>
      </c>
      <c r="AU26" s="182">
        <v>1447.2000000000005</v>
      </c>
      <c r="AV26" s="182">
        <v>120.60000000000004</v>
      </c>
      <c r="AW26" s="404">
        <f t="shared" si="5"/>
        <v>20</v>
      </c>
      <c r="AX26" s="538"/>
      <c r="AZ26" s="320" t="e">
        <f>RANK(AX26, $K$7:AX$36)</f>
        <v>#N/A</v>
      </c>
      <c r="BB26" s="318" t="e">
        <f t="shared" si="6"/>
        <v>#N/A</v>
      </c>
    </row>
    <row r="27" spans="2:54">
      <c r="B27" s="533"/>
      <c r="C27" s="404">
        <v>21</v>
      </c>
      <c r="D27" s="404" t="s">
        <v>640</v>
      </c>
      <c r="E27" s="404">
        <v>4</v>
      </c>
      <c r="F27" s="404">
        <v>3000</v>
      </c>
      <c r="G27" s="404">
        <v>750</v>
      </c>
      <c r="H27" s="538"/>
      <c r="I27" s="408">
        <f t="shared" si="7"/>
        <v>3</v>
      </c>
      <c r="J27" s="408">
        <f t="shared" si="7"/>
        <v>2274.3999999999983</v>
      </c>
      <c r="K27" s="406">
        <f t="shared" si="7"/>
        <v>758.13333333333276</v>
      </c>
      <c r="L27" s="588"/>
      <c r="M27" s="408">
        <f>RANK(K27, $K$7:K$36)</f>
        <v>12</v>
      </c>
      <c r="N27" s="544"/>
      <c r="O27" s="544"/>
      <c r="P27" s="182"/>
      <c r="Q27" s="182"/>
      <c r="R27" s="182"/>
      <c r="S27" s="404" t="e">
        <f t="shared" si="8"/>
        <v>#N/A</v>
      </c>
      <c r="T27" s="538"/>
      <c r="U27" s="182"/>
      <c r="V27" s="182"/>
      <c r="W27" s="182"/>
      <c r="X27" s="404" t="e">
        <f t="shared" si="0"/>
        <v>#N/A</v>
      </c>
      <c r="Y27" s="538"/>
      <c r="Z27" s="182"/>
      <c r="AA27" s="182"/>
      <c r="AB27" s="182"/>
      <c r="AC27" s="404" t="e">
        <f t="shared" si="1"/>
        <v>#N/A</v>
      </c>
      <c r="AD27" s="538"/>
      <c r="AE27" s="182"/>
      <c r="AF27" s="182"/>
      <c r="AG27" s="182"/>
      <c r="AH27" s="404" t="e">
        <f t="shared" si="2"/>
        <v>#N/A</v>
      </c>
      <c r="AI27" s="538"/>
      <c r="AJ27" s="182"/>
      <c r="AK27" s="182"/>
      <c r="AL27" s="182"/>
      <c r="AM27" s="404" t="e">
        <f t="shared" si="3"/>
        <v>#N/A</v>
      </c>
      <c r="AN27" s="538"/>
      <c r="AO27" s="182"/>
      <c r="AP27" s="182"/>
      <c r="AQ27" s="182"/>
      <c r="AR27" s="404" t="e">
        <f t="shared" si="4"/>
        <v>#N/A</v>
      </c>
      <c r="AS27" s="538"/>
      <c r="AT27" s="182">
        <v>3</v>
      </c>
      <c r="AU27" s="182">
        <v>2274.3999999999983</v>
      </c>
      <c r="AV27" s="182">
        <v>758.13333333333276</v>
      </c>
      <c r="AW27" s="404">
        <f t="shared" si="5"/>
        <v>12</v>
      </c>
      <c r="AX27" s="538"/>
      <c r="AZ27" s="320" t="e">
        <f>RANK(AX27, $K$7:AX$36)</f>
        <v>#N/A</v>
      </c>
      <c r="BB27" s="318" t="e">
        <f t="shared" si="6"/>
        <v>#N/A</v>
      </c>
    </row>
    <row r="28" spans="2:54">
      <c r="B28" s="533"/>
      <c r="C28" s="404">
        <v>22</v>
      </c>
      <c r="D28" s="404"/>
      <c r="E28" s="404"/>
      <c r="F28" s="404"/>
      <c r="G28" s="404"/>
      <c r="H28" s="538"/>
      <c r="I28" s="408"/>
      <c r="J28" s="408"/>
      <c r="K28" s="406"/>
      <c r="L28" s="588"/>
      <c r="M28" s="408" t="e">
        <f>RANK(K28, $K$7:K$36)</f>
        <v>#N/A</v>
      </c>
      <c r="N28" s="544"/>
      <c r="O28" s="544"/>
      <c r="P28" s="182"/>
      <c r="Q28" s="182"/>
      <c r="R28" s="182"/>
      <c r="S28" s="404" t="e">
        <f t="shared" si="8"/>
        <v>#N/A</v>
      </c>
      <c r="T28" s="538"/>
      <c r="U28" s="182"/>
      <c r="V28" s="182"/>
      <c r="W28" s="182"/>
      <c r="X28" s="404" t="e">
        <f t="shared" si="0"/>
        <v>#N/A</v>
      </c>
      <c r="Y28" s="538"/>
      <c r="Z28" s="182"/>
      <c r="AA28" s="182"/>
      <c r="AB28" s="182"/>
      <c r="AC28" s="404" t="e">
        <f t="shared" si="1"/>
        <v>#N/A</v>
      </c>
      <c r="AD28" s="538"/>
      <c r="AE28" s="182"/>
      <c r="AF28" s="182"/>
      <c r="AG28" s="182"/>
      <c r="AH28" s="404" t="e">
        <f t="shared" si="2"/>
        <v>#N/A</v>
      </c>
      <c r="AI28" s="538"/>
      <c r="AJ28" s="182"/>
      <c r="AK28" s="182"/>
      <c r="AL28" s="182"/>
      <c r="AM28" s="404" t="e">
        <f t="shared" si="3"/>
        <v>#N/A</v>
      </c>
      <c r="AN28" s="538"/>
      <c r="AO28" s="182"/>
      <c r="AP28" s="182"/>
      <c r="AQ28" s="182"/>
      <c r="AR28" s="404" t="e">
        <f t="shared" si="4"/>
        <v>#N/A</v>
      </c>
      <c r="AS28" s="538"/>
      <c r="AT28" s="182"/>
      <c r="AU28" s="182"/>
      <c r="AV28" s="182"/>
      <c r="AW28" s="404" t="e">
        <f t="shared" si="5"/>
        <v>#N/A</v>
      </c>
      <c r="AX28" s="538"/>
      <c r="AZ28" s="320" t="e">
        <f>RANK(AX28, $K$7:AX$36)</f>
        <v>#N/A</v>
      </c>
      <c r="BB28" s="318" t="e">
        <f t="shared" si="6"/>
        <v>#N/A</v>
      </c>
    </row>
    <row r="29" spans="2:54">
      <c r="B29" s="533"/>
      <c r="C29" s="404">
        <v>23</v>
      </c>
      <c r="D29" s="404"/>
      <c r="E29" s="404"/>
      <c r="F29" s="404"/>
      <c r="G29" s="404"/>
      <c r="H29" s="538"/>
      <c r="I29" s="408"/>
      <c r="J29" s="408"/>
      <c r="K29" s="406"/>
      <c r="L29" s="588"/>
      <c r="M29" s="408" t="e">
        <f>RANK(K29, $K$7:K$36)</f>
        <v>#N/A</v>
      </c>
      <c r="N29" s="544"/>
      <c r="O29" s="544"/>
      <c r="P29" s="182"/>
      <c r="Q29" s="182"/>
      <c r="R29" s="182"/>
      <c r="S29" s="404" t="e">
        <f t="shared" si="8"/>
        <v>#N/A</v>
      </c>
      <c r="T29" s="538"/>
      <c r="U29" s="182"/>
      <c r="V29" s="182"/>
      <c r="W29" s="182"/>
      <c r="X29" s="404" t="e">
        <f t="shared" si="0"/>
        <v>#N/A</v>
      </c>
      <c r="Y29" s="538"/>
      <c r="Z29" s="182"/>
      <c r="AA29" s="182"/>
      <c r="AB29" s="182"/>
      <c r="AC29" s="404" t="e">
        <f t="shared" si="1"/>
        <v>#N/A</v>
      </c>
      <c r="AD29" s="538"/>
      <c r="AE29" s="182"/>
      <c r="AF29" s="182"/>
      <c r="AG29" s="182"/>
      <c r="AH29" s="404" t="e">
        <f t="shared" si="2"/>
        <v>#N/A</v>
      </c>
      <c r="AI29" s="538"/>
      <c r="AJ29" s="182"/>
      <c r="AK29" s="182"/>
      <c r="AL29" s="182"/>
      <c r="AM29" s="404" t="e">
        <f t="shared" si="3"/>
        <v>#N/A</v>
      </c>
      <c r="AN29" s="538"/>
      <c r="AO29" s="182"/>
      <c r="AP29" s="182"/>
      <c r="AQ29" s="182"/>
      <c r="AR29" s="404" t="e">
        <f t="shared" si="4"/>
        <v>#N/A</v>
      </c>
      <c r="AS29" s="538"/>
      <c r="AT29" s="182"/>
      <c r="AU29" s="182"/>
      <c r="AV29" s="182"/>
      <c r="AW29" s="404" t="e">
        <f t="shared" si="5"/>
        <v>#N/A</v>
      </c>
      <c r="AX29" s="538"/>
      <c r="AZ29" s="320" t="e">
        <f>RANK(AX29, $K$7:AX$36)</f>
        <v>#N/A</v>
      </c>
      <c r="BB29" s="318" t="e">
        <f t="shared" si="6"/>
        <v>#N/A</v>
      </c>
    </row>
    <row r="30" spans="2:54">
      <c r="B30" s="533"/>
      <c r="C30" s="404">
        <v>24</v>
      </c>
      <c r="D30" s="404"/>
      <c r="E30" s="404"/>
      <c r="F30" s="404"/>
      <c r="G30" s="404"/>
      <c r="H30" s="538"/>
      <c r="I30" s="408"/>
      <c r="J30" s="408"/>
      <c r="K30" s="406"/>
      <c r="L30" s="588"/>
      <c r="M30" s="408" t="e">
        <f>RANK(K30, $K$7:K$36)</f>
        <v>#N/A</v>
      </c>
      <c r="N30" s="544"/>
      <c r="O30" s="544"/>
      <c r="P30" s="182"/>
      <c r="Q30" s="182"/>
      <c r="R30" s="182"/>
      <c r="S30" s="404" t="e">
        <f t="shared" si="8"/>
        <v>#N/A</v>
      </c>
      <c r="T30" s="538"/>
      <c r="U30" s="182"/>
      <c r="V30" s="182"/>
      <c r="W30" s="182"/>
      <c r="X30" s="404" t="e">
        <f t="shared" si="0"/>
        <v>#N/A</v>
      </c>
      <c r="Y30" s="538"/>
      <c r="Z30" s="182"/>
      <c r="AA30" s="182"/>
      <c r="AB30" s="182"/>
      <c r="AC30" s="404" t="e">
        <f t="shared" si="1"/>
        <v>#N/A</v>
      </c>
      <c r="AD30" s="538"/>
      <c r="AE30" s="182"/>
      <c r="AF30" s="182"/>
      <c r="AG30" s="182"/>
      <c r="AH30" s="404" t="e">
        <f t="shared" si="2"/>
        <v>#N/A</v>
      </c>
      <c r="AI30" s="538"/>
      <c r="AJ30" s="182"/>
      <c r="AK30" s="182"/>
      <c r="AL30" s="182"/>
      <c r="AM30" s="404" t="e">
        <f t="shared" si="3"/>
        <v>#N/A</v>
      </c>
      <c r="AN30" s="538"/>
      <c r="AO30" s="182"/>
      <c r="AP30" s="182"/>
      <c r="AQ30" s="182"/>
      <c r="AR30" s="404" t="e">
        <f t="shared" si="4"/>
        <v>#N/A</v>
      </c>
      <c r="AS30" s="538"/>
      <c r="AT30" s="182"/>
      <c r="AU30" s="182"/>
      <c r="AV30" s="182"/>
      <c r="AW30" s="404" t="e">
        <f t="shared" si="5"/>
        <v>#N/A</v>
      </c>
      <c r="AX30" s="538"/>
      <c r="AZ30" s="320" t="e">
        <f>RANK(AX30, $K$7:AX$36)</f>
        <v>#N/A</v>
      </c>
      <c r="BB30" s="318" t="e">
        <f t="shared" si="6"/>
        <v>#N/A</v>
      </c>
    </row>
    <row r="31" spans="2:54">
      <c r="B31" s="533"/>
      <c r="C31" s="404">
        <v>25</v>
      </c>
      <c r="D31" s="404"/>
      <c r="E31" s="404"/>
      <c r="F31" s="404"/>
      <c r="G31" s="404"/>
      <c r="H31" s="538"/>
      <c r="I31" s="202"/>
      <c r="J31" s="202"/>
      <c r="K31" s="202"/>
      <c r="L31" s="588"/>
      <c r="M31" s="408" t="e">
        <f>RANK(K31, $K$7:K$36)</f>
        <v>#N/A</v>
      </c>
      <c r="N31" s="544"/>
      <c r="O31" s="544"/>
      <c r="P31" s="404"/>
      <c r="Q31" s="404"/>
      <c r="R31" s="404"/>
      <c r="S31" s="404" t="e">
        <f t="shared" si="8"/>
        <v>#N/A</v>
      </c>
      <c r="T31" s="538"/>
      <c r="U31" s="404"/>
      <c r="V31" s="404"/>
      <c r="W31" s="404"/>
      <c r="X31" s="404" t="e">
        <f t="shared" si="0"/>
        <v>#N/A</v>
      </c>
      <c r="Y31" s="538"/>
      <c r="Z31" s="404"/>
      <c r="AA31" s="404"/>
      <c r="AB31" s="404"/>
      <c r="AC31" s="404" t="e">
        <f t="shared" si="1"/>
        <v>#N/A</v>
      </c>
      <c r="AD31" s="538"/>
      <c r="AE31" s="404"/>
      <c r="AF31" s="404"/>
      <c r="AG31" s="404"/>
      <c r="AH31" s="404" t="e">
        <f t="shared" si="2"/>
        <v>#N/A</v>
      </c>
      <c r="AI31" s="538"/>
      <c r="AJ31" s="404"/>
      <c r="AK31" s="404"/>
      <c r="AL31" s="404"/>
      <c r="AM31" s="404" t="e">
        <f t="shared" si="3"/>
        <v>#N/A</v>
      </c>
      <c r="AN31" s="538"/>
      <c r="AO31" s="404"/>
      <c r="AP31" s="404"/>
      <c r="AQ31" s="404"/>
      <c r="AR31" s="404" t="e">
        <f t="shared" si="4"/>
        <v>#N/A</v>
      </c>
      <c r="AS31" s="538"/>
      <c r="AT31" s="404"/>
      <c r="AU31" s="404"/>
      <c r="AV31" s="404"/>
      <c r="AW31" s="404" t="e">
        <f t="shared" si="5"/>
        <v>#N/A</v>
      </c>
      <c r="AX31" s="538"/>
      <c r="AZ31" s="320" t="e">
        <f>RANK(AX31, $K$7:AX$36)</f>
        <v>#N/A</v>
      </c>
      <c r="BB31" s="318" t="e">
        <f t="shared" si="6"/>
        <v>#N/A</v>
      </c>
    </row>
    <row r="32" spans="2:54">
      <c r="B32" s="533"/>
      <c r="C32" s="404">
        <v>26</v>
      </c>
      <c r="D32" s="404"/>
      <c r="E32" s="404"/>
      <c r="F32" s="404"/>
      <c r="G32" s="404"/>
      <c r="H32" s="538"/>
      <c r="I32" s="202"/>
      <c r="J32" s="202"/>
      <c r="K32" s="202"/>
      <c r="L32" s="588"/>
      <c r="M32" s="408" t="e">
        <f>RANK(K32, $K$7:K$36)</f>
        <v>#N/A</v>
      </c>
      <c r="N32" s="544"/>
      <c r="O32" s="544"/>
      <c r="P32" s="404"/>
      <c r="Q32" s="404"/>
      <c r="R32" s="404"/>
      <c r="S32" s="404" t="e">
        <f t="shared" si="8"/>
        <v>#N/A</v>
      </c>
      <c r="T32" s="538"/>
      <c r="U32" s="404"/>
      <c r="V32" s="404"/>
      <c r="W32" s="404"/>
      <c r="X32" s="404" t="e">
        <f t="shared" si="0"/>
        <v>#N/A</v>
      </c>
      <c r="Y32" s="538"/>
      <c r="Z32" s="404"/>
      <c r="AA32" s="404"/>
      <c r="AB32" s="404"/>
      <c r="AC32" s="404" t="e">
        <f t="shared" si="1"/>
        <v>#N/A</v>
      </c>
      <c r="AD32" s="538"/>
      <c r="AE32" s="404"/>
      <c r="AF32" s="404"/>
      <c r="AG32" s="404"/>
      <c r="AH32" s="404" t="e">
        <f t="shared" si="2"/>
        <v>#N/A</v>
      </c>
      <c r="AI32" s="538"/>
      <c r="AJ32" s="404"/>
      <c r="AK32" s="404"/>
      <c r="AL32" s="404"/>
      <c r="AM32" s="404" t="e">
        <f t="shared" si="3"/>
        <v>#N/A</v>
      </c>
      <c r="AN32" s="538"/>
      <c r="AO32" s="404"/>
      <c r="AP32" s="404"/>
      <c r="AQ32" s="404"/>
      <c r="AR32" s="404" t="e">
        <f t="shared" si="4"/>
        <v>#N/A</v>
      </c>
      <c r="AS32" s="538"/>
      <c r="AT32" s="404"/>
      <c r="AU32" s="404"/>
      <c r="AV32" s="404"/>
      <c r="AW32" s="404" t="e">
        <f t="shared" si="5"/>
        <v>#N/A</v>
      </c>
      <c r="AX32" s="538"/>
      <c r="AZ32" s="320" t="e">
        <f>RANK(AX32, $K$7:AX$36)</f>
        <v>#N/A</v>
      </c>
      <c r="BB32" s="318" t="e">
        <f t="shared" si="6"/>
        <v>#N/A</v>
      </c>
    </row>
    <row r="33" spans="2:54">
      <c r="B33" s="533"/>
      <c r="C33" s="404">
        <v>27</v>
      </c>
      <c r="D33" s="404"/>
      <c r="E33" s="404"/>
      <c r="F33" s="404"/>
      <c r="G33" s="404"/>
      <c r="H33" s="538"/>
      <c r="I33" s="202"/>
      <c r="J33" s="202"/>
      <c r="K33" s="202"/>
      <c r="L33" s="588"/>
      <c r="M33" s="408" t="e">
        <f>RANK(K33, $K$7:K$36)</f>
        <v>#N/A</v>
      </c>
      <c r="N33" s="544"/>
      <c r="O33" s="544"/>
      <c r="P33" s="404"/>
      <c r="Q33" s="404"/>
      <c r="R33" s="404"/>
      <c r="S33" s="404" t="e">
        <f t="shared" si="8"/>
        <v>#N/A</v>
      </c>
      <c r="T33" s="538"/>
      <c r="U33" s="404"/>
      <c r="V33" s="404"/>
      <c r="W33" s="404"/>
      <c r="X33" s="404" t="e">
        <f t="shared" si="0"/>
        <v>#N/A</v>
      </c>
      <c r="Y33" s="538"/>
      <c r="Z33" s="404"/>
      <c r="AA33" s="404"/>
      <c r="AB33" s="404"/>
      <c r="AC33" s="404" t="e">
        <f t="shared" si="1"/>
        <v>#N/A</v>
      </c>
      <c r="AD33" s="538"/>
      <c r="AE33" s="404"/>
      <c r="AF33" s="404"/>
      <c r="AG33" s="404"/>
      <c r="AH33" s="404" t="e">
        <f t="shared" si="2"/>
        <v>#N/A</v>
      </c>
      <c r="AI33" s="538"/>
      <c r="AJ33" s="404"/>
      <c r="AK33" s="404"/>
      <c r="AL33" s="404"/>
      <c r="AM33" s="404" t="e">
        <f t="shared" si="3"/>
        <v>#N/A</v>
      </c>
      <c r="AN33" s="538"/>
      <c r="AO33" s="404"/>
      <c r="AP33" s="404"/>
      <c r="AQ33" s="404"/>
      <c r="AR33" s="404" t="e">
        <f t="shared" si="4"/>
        <v>#N/A</v>
      </c>
      <c r="AS33" s="538"/>
      <c r="AT33" s="404"/>
      <c r="AU33" s="404"/>
      <c r="AV33" s="404"/>
      <c r="AW33" s="404" t="e">
        <f t="shared" si="5"/>
        <v>#N/A</v>
      </c>
      <c r="AX33" s="538"/>
      <c r="AZ33" s="320" t="e">
        <f>RANK(AX33, $K$7:AX$36)</f>
        <v>#N/A</v>
      </c>
      <c r="BB33" s="318" t="e">
        <f t="shared" si="6"/>
        <v>#N/A</v>
      </c>
    </row>
    <row r="34" spans="2:54">
      <c r="B34" s="533"/>
      <c r="C34" s="404">
        <v>28</v>
      </c>
      <c r="D34" s="404"/>
      <c r="E34" s="404"/>
      <c r="F34" s="404"/>
      <c r="G34" s="404"/>
      <c r="H34" s="538"/>
      <c r="I34" s="202"/>
      <c r="J34" s="202"/>
      <c r="K34" s="202"/>
      <c r="L34" s="588"/>
      <c r="M34" s="408" t="e">
        <f>RANK(K34, $K$7:K$36)</f>
        <v>#N/A</v>
      </c>
      <c r="N34" s="544"/>
      <c r="O34" s="544"/>
      <c r="P34" s="404"/>
      <c r="Q34" s="404"/>
      <c r="R34" s="404"/>
      <c r="S34" s="404" t="e">
        <f t="shared" si="8"/>
        <v>#N/A</v>
      </c>
      <c r="T34" s="538"/>
      <c r="U34" s="404"/>
      <c r="V34" s="404"/>
      <c r="W34" s="404"/>
      <c r="X34" s="404" t="e">
        <f t="shared" si="0"/>
        <v>#N/A</v>
      </c>
      <c r="Y34" s="538"/>
      <c r="Z34" s="404"/>
      <c r="AA34" s="404"/>
      <c r="AB34" s="404"/>
      <c r="AC34" s="404" t="e">
        <f t="shared" si="1"/>
        <v>#N/A</v>
      </c>
      <c r="AD34" s="538"/>
      <c r="AE34" s="404"/>
      <c r="AF34" s="404"/>
      <c r="AG34" s="404"/>
      <c r="AH34" s="404" t="e">
        <f t="shared" si="2"/>
        <v>#N/A</v>
      </c>
      <c r="AI34" s="538"/>
      <c r="AJ34" s="404"/>
      <c r="AK34" s="404"/>
      <c r="AL34" s="404"/>
      <c r="AM34" s="404" t="e">
        <f t="shared" si="3"/>
        <v>#N/A</v>
      </c>
      <c r="AN34" s="538"/>
      <c r="AO34" s="404"/>
      <c r="AP34" s="404"/>
      <c r="AQ34" s="404"/>
      <c r="AR34" s="404" t="e">
        <f t="shared" si="4"/>
        <v>#N/A</v>
      </c>
      <c r="AS34" s="538"/>
      <c r="AT34" s="404"/>
      <c r="AU34" s="404"/>
      <c r="AV34" s="404"/>
      <c r="AW34" s="404" t="e">
        <f t="shared" si="5"/>
        <v>#N/A</v>
      </c>
      <c r="AX34" s="538"/>
      <c r="AZ34" s="320" t="e">
        <f>RANK(AX34, $K$7:AX$36)</f>
        <v>#N/A</v>
      </c>
      <c r="BB34" s="318" t="e">
        <f t="shared" si="6"/>
        <v>#N/A</v>
      </c>
    </row>
    <row r="35" spans="2:54">
      <c r="B35" s="533"/>
      <c r="C35" s="404">
        <v>29</v>
      </c>
      <c r="D35" s="404"/>
      <c r="E35" s="404"/>
      <c r="F35" s="404"/>
      <c r="G35" s="404"/>
      <c r="H35" s="538"/>
      <c r="I35" s="202"/>
      <c r="J35" s="202"/>
      <c r="K35" s="202"/>
      <c r="L35" s="588"/>
      <c r="M35" s="408" t="e">
        <f>RANK(K35, $K$7:K$36)</f>
        <v>#N/A</v>
      </c>
      <c r="N35" s="544"/>
      <c r="O35" s="544"/>
      <c r="P35" s="404"/>
      <c r="Q35" s="404"/>
      <c r="R35" s="404"/>
      <c r="S35" s="404" t="e">
        <f t="shared" si="8"/>
        <v>#N/A</v>
      </c>
      <c r="T35" s="538"/>
      <c r="U35" s="404"/>
      <c r="V35" s="404"/>
      <c r="W35" s="404"/>
      <c r="X35" s="404" t="e">
        <f t="shared" si="0"/>
        <v>#N/A</v>
      </c>
      <c r="Y35" s="538"/>
      <c r="Z35" s="404"/>
      <c r="AA35" s="404"/>
      <c r="AB35" s="404"/>
      <c r="AC35" s="404" t="e">
        <f t="shared" si="1"/>
        <v>#N/A</v>
      </c>
      <c r="AD35" s="538"/>
      <c r="AE35" s="404"/>
      <c r="AF35" s="404"/>
      <c r="AG35" s="404"/>
      <c r="AH35" s="404" t="e">
        <f t="shared" si="2"/>
        <v>#N/A</v>
      </c>
      <c r="AI35" s="538"/>
      <c r="AJ35" s="404"/>
      <c r="AK35" s="404"/>
      <c r="AL35" s="404"/>
      <c r="AM35" s="404" t="e">
        <f t="shared" si="3"/>
        <v>#N/A</v>
      </c>
      <c r="AN35" s="538"/>
      <c r="AO35" s="404"/>
      <c r="AP35" s="404"/>
      <c r="AQ35" s="404"/>
      <c r="AR35" s="404" t="e">
        <f t="shared" si="4"/>
        <v>#N/A</v>
      </c>
      <c r="AS35" s="538"/>
      <c r="AT35" s="404"/>
      <c r="AU35" s="404"/>
      <c r="AV35" s="404"/>
      <c r="AW35" s="404" t="e">
        <f t="shared" si="5"/>
        <v>#N/A</v>
      </c>
      <c r="AX35" s="538"/>
      <c r="AZ35" s="320" t="e">
        <f>RANK(AX35, $K$7:AX$36)</f>
        <v>#N/A</v>
      </c>
      <c r="BB35" s="318" t="e">
        <f t="shared" si="6"/>
        <v>#N/A</v>
      </c>
    </row>
    <row r="36" spans="2:54">
      <c r="B36" s="533"/>
      <c r="C36" s="404">
        <v>30</v>
      </c>
      <c r="D36" s="404"/>
      <c r="E36" s="404"/>
      <c r="F36" s="404"/>
      <c r="G36" s="404"/>
      <c r="H36" s="539"/>
      <c r="I36" s="202"/>
      <c r="J36" s="202"/>
      <c r="K36" s="202"/>
      <c r="L36" s="589"/>
      <c r="M36" s="408" t="e">
        <f>RANK(K36, $K$7:K$36)</f>
        <v>#N/A</v>
      </c>
      <c r="N36" s="544"/>
      <c r="O36" s="544"/>
      <c r="P36" s="404"/>
      <c r="Q36" s="404"/>
      <c r="R36" s="404"/>
      <c r="S36" s="404" t="e">
        <f t="shared" si="8"/>
        <v>#N/A</v>
      </c>
      <c r="T36" s="539"/>
      <c r="U36" s="404"/>
      <c r="V36" s="404"/>
      <c r="W36" s="404"/>
      <c r="X36" s="404" t="e">
        <f t="shared" si="0"/>
        <v>#N/A</v>
      </c>
      <c r="Y36" s="539"/>
      <c r="Z36" s="404"/>
      <c r="AA36" s="404"/>
      <c r="AB36" s="404"/>
      <c r="AC36" s="404" t="e">
        <f t="shared" si="1"/>
        <v>#N/A</v>
      </c>
      <c r="AD36" s="539"/>
      <c r="AE36" s="404"/>
      <c r="AF36" s="404"/>
      <c r="AG36" s="404"/>
      <c r="AH36" s="404" t="e">
        <f t="shared" si="2"/>
        <v>#N/A</v>
      </c>
      <c r="AI36" s="539"/>
      <c r="AJ36" s="404"/>
      <c r="AK36" s="404"/>
      <c r="AL36" s="404"/>
      <c r="AM36" s="404" t="e">
        <f t="shared" si="3"/>
        <v>#N/A</v>
      </c>
      <c r="AN36" s="539"/>
      <c r="AO36" s="404"/>
      <c r="AP36" s="404"/>
      <c r="AQ36" s="404"/>
      <c r="AR36" s="404" t="e">
        <f t="shared" si="4"/>
        <v>#N/A</v>
      </c>
      <c r="AS36" s="539"/>
      <c r="AT36" s="404"/>
      <c r="AU36" s="404"/>
      <c r="AV36" s="404"/>
      <c r="AW36" s="404" t="e">
        <f t="shared" si="5"/>
        <v>#N/A</v>
      </c>
      <c r="AX36" s="539"/>
      <c r="AZ36" s="392" t="e">
        <f>RANK(AX36, $K$7:AX$36)</f>
        <v>#N/A</v>
      </c>
      <c r="BB36" s="318" t="e">
        <f t="shared" si="6"/>
        <v>#N/A</v>
      </c>
    </row>
    <row r="37" spans="2:54" ht="15.5">
      <c r="B37" s="575" t="s">
        <v>163</v>
      </c>
      <c r="C37" s="576"/>
      <c r="D37" s="576"/>
      <c r="E37" s="576"/>
      <c r="F37" s="576"/>
      <c r="G37" s="576"/>
      <c r="H37" s="576"/>
      <c r="I37" s="203"/>
      <c r="J37" s="203"/>
      <c r="K37" s="203"/>
      <c r="L37" s="203"/>
      <c r="M37" s="204"/>
      <c r="N37" s="559" t="s">
        <v>156</v>
      </c>
      <c r="O37" s="559" t="s">
        <v>155</v>
      </c>
      <c r="P37" s="570">
        <f>AT2+1</f>
        <v>46358</v>
      </c>
      <c r="Q37" s="571"/>
      <c r="R37" s="571"/>
      <c r="S37" s="571"/>
      <c r="T37" s="571"/>
      <c r="U37" s="554">
        <f>P37+1</f>
        <v>46359</v>
      </c>
      <c r="V37" s="533"/>
      <c r="W37" s="533"/>
      <c r="X37" s="533"/>
      <c r="Y37" s="533"/>
      <c r="Z37" s="554">
        <f>U37+1</f>
        <v>46360</v>
      </c>
      <c r="AA37" s="533"/>
      <c r="AB37" s="533"/>
      <c r="AC37" s="533"/>
      <c r="AD37" s="533"/>
      <c r="AE37" s="554">
        <f>Z37+1</f>
        <v>46361</v>
      </c>
      <c r="AF37" s="533"/>
      <c r="AG37" s="533"/>
      <c r="AH37" s="533"/>
      <c r="AI37" s="533"/>
      <c r="AJ37" s="554">
        <f>AE37+1</f>
        <v>46362</v>
      </c>
      <c r="AK37" s="533"/>
      <c r="AL37" s="533"/>
      <c r="AM37" s="533"/>
      <c r="AN37" s="533"/>
      <c r="AO37" s="554">
        <f>AJ37+1</f>
        <v>46363</v>
      </c>
      <c r="AP37" s="533"/>
      <c r="AQ37" s="533"/>
      <c r="AR37" s="533"/>
      <c r="AS37" s="533"/>
      <c r="AT37" s="554">
        <f>AO37+1</f>
        <v>46364</v>
      </c>
      <c r="AU37" s="533"/>
      <c r="AV37" s="533"/>
      <c r="AW37" s="533"/>
      <c r="AX37" s="533"/>
    </row>
    <row r="38" spans="2:54" ht="15.5">
      <c r="B38" s="558"/>
      <c r="C38" s="558"/>
      <c r="D38" s="558"/>
      <c r="E38" s="558"/>
      <c r="F38" s="558"/>
      <c r="G38" s="558"/>
      <c r="H38" s="558"/>
      <c r="I38" s="205"/>
      <c r="J38" s="205"/>
      <c r="K38" s="205"/>
      <c r="L38" s="205"/>
      <c r="M38" s="206"/>
      <c r="N38" s="560"/>
      <c r="O38" s="560"/>
      <c r="P38" s="554" t="s">
        <v>334</v>
      </c>
      <c r="Q38" s="533"/>
      <c r="R38" s="533"/>
      <c r="S38" s="533"/>
      <c r="T38" s="533"/>
      <c r="U38" s="554" t="s">
        <v>335</v>
      </c>
      <c r="V38" s="533"/>
      <c r="W38" s="533"/>
      <c r="X38" s="533"/>
      <c r="Y38" s="533"/>
      <c r="Z38" s="554" t="s">
        <v>336</v>
      </c>
      <c r="AA38" s="533"/>
      <c r="AB38" s="533"/>
      <c r="AC38" s="533"/>
      <c r="AD38" s="533"/>
      <c r="AE38" s="554" t="s">
        <v>337</v>
      </c>
      <c r="AF38" s="533"/>
      <c r="AG38" s="533"/>
      <c r="AH38" s="533"/>
      <c r="AI38" s="533"/>
      <c r="AJ38" s="554" t="s">
        <v>338</v>
      </c>
      <c r="AK38" s="533"/>
      <c r="AL38" s="533"/>
      <c r="AM38" s="533"/>
      <c r="AN38" s="533"/>
      <c r="AO38" s="554" t="s">
        <v>339</v>
      </c>
      <c r="AP38" s="533"/>
      <c r="AQ38" s="533"/>
      <c r="AR38" s="533"/>
      <c r="AS38" s="533"/>
      <c r="AT38" s="554" t="s">
        <v>340</v>
      </c>
      <c r="AU38" s="533"/>
      <c r="AV38" s="533"/>
      <c r="AW38" s="533"/>
      <c r="AX38" s="533"/>
    </row>
    <row r="39" spans="2:54">
      <c r="B39" s="559" t="s">
        <v>649</v>
      </c>
      <c r="C39" s="561" t="s">
        <v>650</v>
      </c>
      <c r="D39" s="580"/>
      <c r="E39" s="548" t="s">
        <v>651</v>
      </c>
      <c r="F39" s="549"/>
      <c r="G39" s="550"/>
      <c r="H39" s="559" t="s">
        <v>652</v>
      </c>
      <c r="I39" s="590" t="s">
        <v>653</v>
      </c>
      <c r="J39" s="591"/>
      <c r="K39" s="592"/>
      <c r="L39" s="567" t="s">
        <v>652</v>
      </c>
      <c r="M39" s="567" t="s">
        <v>654</v>
      </c>
      <c r="N39" s="559"/>
      <c r="O39" s="559" t="s">
        <v>655</v>
      </c>
      <c r="P39" s="548" t="s">
        <v>656</v>
      </c>
      <c r="Q39" s="549"/>
      <c r="R39" s="549"/>
      <c r="S39" s="550"/>
      <c r="T39" s="559" t="s">
        <v>652</v>
      </c>
      <c r="U39" s="548" t="s">
        <v>656</v>
      </c>
      <c r="V39" s="549"/>
      <c r="W39" s="549"/>
      <c r="X39" s="550"/>
      <c r="Y39" s="559" t="s">
        <v>652</v>
      </c>
      <c r="Z39" s="548" t="s">
        <v>656</v>
      </c>
      <c r="AA39" s="549"/>
      <c r="AB39" s="549"/>
      <c r="AC39" s="550"/>
      <c r="AD39" s="559" t="s">
        <v>652</v>
      </c>
      <c r="AE39" s="548" t="s">
        <v>656</v>
      </c>
      <c r="AF39" s="549"/>
      <c r="AG39" s="549"/>
      <c r="AH39" s="550"/>
      <c r="AI39" s="559" t="s">
        <v>652</v>
      </c>
      <c r="AJ39" s="548" t="s">
        <v>656</v>
      </c>
      <c r="AK39" s="549"/>
      <c r="AL39" s="549"/>
      <c r="AM39" s="550"/>
      <c r="AN39" s="559" t="s">
        <v>652</v>
      </c>
      <c r="AO39" s="548" t="s">
        <v>656</v>
      </c>
      <c r="AP39" s="549"/>
      <c r="AQ39" s="549"/>
      <c r="AR39" s="550"/>
      <c r="AS39" s="559" t="s">
        <v>652</v>
      </c>
      <c r="AT39" s="548" t="s">
        <v>656</v>
      </c>
      <c r="AU39" s="549"/>
      <c r="AV39" s="549"/>
      <c r="AW39" s="550"/>
      <c r="AX39" s="559" t="s">
        <v>652</v>
      </c>
    </row>
    <row r="40" spans="2:54">
      <c r="B40" s="564"/>
      <c r="C40" s="562"/>
      <c r="D40" s="581"/>
      <c r="E40" s="548" t="s">
        <v>657</v>
      </c>
      <c r="F40" s="549"/>
      <c r="G40" s="550"/>
      <c r="H40" s="564"/>
      <c r="I40" s="590" t="s">
        <v>657</v>
      </c>
      <c r="J40" s="591"/>
      <c r="K40" s="592"/>
      <c r="L40" s="568"/>
      <c r="M40" s="568"/>
      <c r="N40" s="564"/>
      <c r="O40" s="564"/>
      <c r="P40" s="548" t="s">
        <v>658</v>
      </c>
      <c r="Q40" s="549"/>
      <c r="R40" s="549"/>
      <c r="S40" s="550"/>
      <c r="T40" s="564"/>
      <c r="U40" s="548" t="s">
        <v>658</v>
      </c>
      <c r="V40" s="549"/>
      <c r="W40" s="549"/>
      <c r="X40" s="550"/>
      <c r="Y40" s="564"/>
      <c r="Z40" s="548" t="s">
        <v>658</v>
      </c>
      <c r="AA40" s="549"/>
      <c r="AB40" s="549"/>
      <c r="AC40" s="550"/>
      <c r="AD40" s="564"/>
      <c r="AE40" s="548" t="s">
        <v>658</v>
      </c>
      <c r="AF40" s="549"/>
      <c r="AG40" s="549"/>
      <c r="AH40" s="550"/>
      <c r="AI40" s="564"/>
      <c r="AJ40" s="548" t="s">
        <v>658</v>
      </c>
      <c r="AK40" s="549"/>
      <c r="AL40" s="549"/>
      <c r="AM40" s="550"/>
      <c r="AN40" s="564"/>
      <c r="AO40" s="548" t="s">
        <v>658</v>
      </c>
      <c r="AP40" s="549"/>
      <c r="AQ40" s="549"/>
      <c r="AR40" s="550"/>
      <c r="AS40" s="564"/>
      <c r="AT40" s="548" t="s">
        <v>658</v>
      </c>
      <c r="AU40" s="549"/>
      <c r="AV40" s="549"/>
      <c r="AW40" s="550"/>
      <c r="AX40" s="564"/>
    </row>
    <row r="41" spans="2:54">
      <c r="B41" s="560"/>
      <c r="C41" s="563"/>
      <c r="D41" s="582"/>
      <c r="E41" s="403" t="s">
        <v>659</v>
      </c>
      <c r="F41" s="403" t="s">
        <v>660</v>
      </c>
      <c r="G41" s="403" t="s">
        <v>661</v>
      </c>
      <c r="H41" s="560"/>
      <c r="I41" s="402" t="s">
        <v>659</v>
      </c>
      <c r="J41" s="402" t="s">
        <v>660</v>
      </c>
      <c r="K41" s="402" t="s">
        <v>661</v>
      </c>
      <c r="L41" s="569"/>
      <c r="M41" s="569"/>
      <c r="N41" s="564"/>
      <c r="O41" s="564"/>
      <c r="P41" s="403" t="s">
        <v>659</v>
      </c>
      <c r="Q41" s="403" t="s">
        <v>660</v>
      </c>
      <c r="R41" s="403" t="s">
        <v>661</v>
      </c>
      <c r="S41" s="403" t="s">
        <v>654</v>
      </c>
      <c r="T41" s="560"/>
      <c r="U41" s="403" t="s">
        <v>659</v>
      </c>
      <c r="V41" s="403" t="s">
        <v>660</v>
      </c>
      <c r="W41" s="403" t="s">
        <v>661</v>
      </c>
      <c r="X41" s="403" t="s">
        <v>654</v>
      </c>
      <c r="Y41" s="560"/>
      <c r="Z41" s="403" t="s">
        <v>659</v>
      </c>
      <c r="AA41" s="403" t="s">
        <v>660</v>
      </c>
      <c r="AB41" s="403" t="s">
        <v>661</v>
      </c>
      <c r="AC41" s="403" t="s">
        <v>654</v>
      </c>
      <c r="AD41" s="560"/>
      <c r="AE41" s="403" t="s">
        <v>659</v>
      </c>
      <c r="AF41" s="403" t="s">
        <v>660</v>
      </c>
      <c r="AG41" s="403" t="s">
        <v>661</v>
      </c>
      <c r="AH41" s="403" t="s">
        <v>654</v>
      </c>
      <c r="AI41" s="560"/>
      <c r="AJ41" s="403" t="s">
        <v>659</v>
      </c>
      <c r="AK41" s="403" t="s">
        <v>660</v>
      </c>
      <c r="AL41" s="403" t="s">
        <v>661</v>
      </c>
      <c r="AM41" s="403" t="s">
        <v>654</v>
      </c>
      <c r="AN41" s="560"/>
      <c r="AO41" s="403" t="s">
        <v>659</v>
      </c>
      <c r="AP41" s="403" t="s">
        <v>660</v>
      </c>
      <c r="AQ41" s="403" t="s">
        <v>661</v>
      </c>
      <c r="AR41" s="403" t="s">
        <v>654</v>
      </c>
      <c r="AS41" s="560"/>
      <c r="AT41" s="403" t="s">
        <v>659</v>
      </c>
      <c r="AU41" s="403" t="s">
        <v>660</v>
      </c>
      <c r="AV41" s="403" t="s">
        <v>661</v>
      </c>
      <c r="AW41" s="403" t="s">
        <v>654</v>
      </c>
      <c r="AX41" s="560"/>
    </row>
    <row r="42" spans="2:54">
      <c r="B42" s="577" t="s">
        <v>150</v>
      </c>
      <c r="C42" s="404">
        <v>1</v>
      </c>
      <c r="D42" s="404" t="s">
        <v>359</v>
      </c>
      <c r="E42" s="404">
        <v>4</v>
      </c>
      <c r="F42" s="182">
        <v>2200</v>
      </c>
      <c r="G42" s="182">
        <v>550</v>
      </c>
      <c r="H42" s="537">
        <f>AVERAGE(G42:G71)</f>
        <v>860.96491228070181</v>
      </c>
      <c r="I42" s="408">
        <f>AVERAGE(P42,U42,Z42,AE42,AJ42,AO42,AT42)</f>
        <v>4</v>
      </c>
      <c r="J42" s="408">
        <f>AVERAGE(Q42,V42,AA42,AF42,AK42,AP42,AU42)</f>
        <v>3202.0106060264466</v>
      </c>
      <c r="K42" s="406">
        <f>AVERAGE(R42,W42,AB42,AG42,AL42,AQ42,AV42)</f>
        <v>800.50265150661164</v>
      </c>
      <c r="L42" s="593">
        <f>IFERROR(AVERAGE(K42:K71),"-")</f>
        <v>776.15129637044049</v>
      </c>
      <c r="M42" s="408">
        <f>RANK(K42, K$42:$K$71)</f>
        <v>9</v>
      </c>
      <c r="N42" s="564"/>
      <c r="O42" s="564"/>
      <c r="P42" s="376">
        <v>4</v>
      </c>
      <c r="Q42" s="182">
        <v>3225.8181818181815</v>
      </c>
      <c r="R42" s="182">
        <v>806.45454545454538</v>
      </c>
      <c r="S42" s="404">
        <f t="shared" ref="S42:S71" si="9">RANK(R42, R$42:R$71)</f>
        <v>10</v>
      </c>
      <c r="T42" s="537">
        <f>AVERAGE(R42:R71)</f>
        <v>770.34459393247585</v>
      </c>
      <c r="U42" s="376">
        <v>4</v>
      </c>
      <c r="V42" s="182">
        <v>3163.6363636363631</v>
      </c>
      <c r="W42" s="182">
        <v>790.90909090909076</v>
      </c>
      <c r="X42" s="404">
        <f t="shared" ref="X42:X71" si="10">RANK(W42, W$42:W$71)</f>
        <v>7</v>
      </c>
      <c r="Y42" s="537">
        <f t="shared" ref="Y42" si="11">AVERAGE(W42:W71)</f>
        <v>749.14565185239564</v>
      </c>
      <c r="Z42" s="376">
        <v>4</v>
      </c>
      <c r="AA42" s="182">
        <v>3156.6666666666665</v>
      </c>
      <c r="AB42" s="182">
        <v>789.16666666666663</v>
      </c>
      <c r="AC42" s="404">
        <f t="shared" ref="AC42:AC71" si="12">RANK(AB42, AB$42:AB$71)</f>
        <v>8</v>
      </c>
      <c r="AD42" s="537">
        <f t="shared" ref="AD42" si="13">AVERAGE(AB42:AB71)</f>
        <v>750.12362711179139</v>
      </c>
      <c r="AE42" s="376">
        <v>4</v>
      </c>
      <c r="AF42" s="182">
        <v>3208.7499999999982</v>
      </c>
      <c r="AG42" s="182">
        <v>802.18749999999955</v>
      </c>
      <c r="AH42" s="404">
        <f t="shared" ref="AH42:AH71" si="14">RANK(AG42, AG$42:AG$71)</f>
        <v>11</v>
      </c>
      <c r="AI42" s="537">
        <f t="shared" ref="AI42" si="15">AVERAGE(AG42:AG71)</f>
        <v>805.23881562178667</v>
      </c>
      <c r="AJ42" s="376">
        <v>4</v>
      </c>
      <c r="AK42" s="182">
        <v>3219.1304347826085</v>
      </c>
      <c r="AL42" s="182">
        <v>804.78260869565213</v>
      </c>
      <c r="AM42" s="404">
        <f t="shared" ref="AM42:AM71" si="16">RANK(AL42, AL$42:AL$71)</f>
        <v>9</v>
      </c>
      <c r="AN42" s="537">
        <f t="shared" ref="AN42" si="17">AVERAGE(AL42:AL71)</f>
        <v>785.77990945617876</v>
      </c>
      <c r="AO42" s="376">
        <v>4</v>
      </c>
      <c r="AP42" s="182">
        <v>3264.2105263157891</v>
      </c>
      <c r="AQ42" s="182">
        <v>816.05263157894728</v>
      </c>
      <c r="AR42" s="404">
        <f t="shared" ref="AR42:AR71" si="18">RANK(AQ42, AQ$42:AQ$71)</f>
        <v>9</v>
      </c>
      <c r="AS42" s="537">
        <f t="shared" ref="AS42" si="19">AVERAGE(AQ42:AQ71)</f>
        <v>801.71444830743155</v>
      </c>
      <c r="AT42" s="376">
        <v>4</v>
      </c>
      <c r="AU42" s="182">
        <v>3175.8620689655177</v>
      </c>
      <c r="AV42" s="182">
        <v>793.96551724137942</v>
      </c>
      <c r="AW42" s="404">
        <f t="shared" ref="AW42:AW71" si="20">RANK(AV42, AV$42:AV$71)</f>
        <v>8</v>
      </c>
      <c r="AX42" s="537">
        <f t="shared" ref="AX42" si="21">AVERAGE(AV42:AV71)</f>
        <v>770.712028311023</v>
      </c>
    </row>
    <row r="43" spans="2:54">
      <c r="B43" s="578"/>
      <c r="C43" s="404">
        <v>2</v>
      </c>
      <c r="D43" s="404" t="s">
        <v>360</v>
      </c>
      <c r="E43" s="404">
        <v>3</v>
      </c>
      <c r="F43" s="182">
        <v>2700</v>
      </c>
      <c r="G43" s="182">
        <v>900</v>
      </c>
      <c r="H43" s="538"/>
      <c r="I43" s="408">
        <f t="shared" ref="I43:K60" si="22">AVERAGE(P43,U43,Z43,AE43,AJ43,AO43,AT43)</f>
        <v>3</v>
      </c>
      <c r="J43" s="408">
        <f t="shared" si="22"/>
        <v>2793.8340790861803</v>
      </c>
      <c r="K43" s="406">
        <f t="shared" si="22"/>
        <v>931.27802636206002</v>
      </c>
      <c r="L43" s="594"/>
      <c r="M43" s="408">
        <f>RANK(K43, K$42:$K$71)</f>
        <v>4</v>
      </c>
      <c r="N43" s="564"/>
      <c r="O43" s="564"/>
      <c r="P43" s="182">
        <v>3</v>
      </c>
      <c r="Q43" s="182">
        <v>2865.0000000000045</v>
      </c>
      <c r="R43" s="182">
        <v>955.00000000000148</v>
      </c>
      <c r="S43" s="404">
        <f t="shared" si="9"/>
        <v>2</v>
      </c>
      <c r="T43" s="538"/>
      <c r="U43" s="182">
        <v>3</v>
      </c>
      <c r="V43" s="182">
        <v>2694.2857142857133</v>
      </c>
      <c r="W43" s="182">
        <v>898.09523809523773</v>
      </c>
      <c r="X43" s="404">
        <f t="shared" si="10"/>
        <v>5</v>
      </c>
      <c r="Y43" s="538"/>
      <c r="Z43" s="182">
        <v>3</v>
      </c>
      <c r="AA43" s="182">
        <v>2677.1428571428564</v>
      </c>
      <c r="AB43" s="182">
        <v>892.38095238095218</v>
      </c>
      <c r="AC43" s="404">
        <f t="shared" si="12"/>
        <v>6</v>
      </c>
      <c r="AD43" s="538"/>
      <c r="AE43" s="182">
        <v>3</v>
      </c>
      <c r="AF43" s="182">
        <v>2826.6666666666706</v>
      </c>
      <c r="AG43" s="182">
        <v>942.22222222222354</v>
      </c>
      <c r="AH43" s="404">
        <f t="shared" si="14"/>
        <v>6</v>
      </c>
      <c r="AI43" s="538"/>
      <c r="AJ43" s="182">
        <v>3</v>
      </c>
      <c r="AK43" s="182">
        <v>2876.4705882352905</v>
      </c>
      <c r="AL43" s="182">
        <v>958.8235294117635</v>
      </c>
      <c r="AM43" s="404">
        <f t="shared" si="16"/>
        <v>5</v>
      </c>
      <c r="AN43" s="538"/>
      <c r="AO43" s="182">
        <v>3</v>
      </c>
      <c r="AP43" s="182">
        <v>2919.9999999999991</v>
      </c>
      <c r="AQ43" s="182">
        <v>973.33333333333303</v>
      </c>
      <c r="AR43" s="404">
        <f t="shared" si="18"/>
        <v>2</v>
      </c>
      <c r="AS43" s="538"/>
      <c r="AT43" s="182">
        <v>3</v>
      </c>
      <c r="AU43" s="182">
        <v>2697.272727272727</v>
      </c>
      <c r="AV43" s="182">
        <v>899.09090909090901</v>
      </c>
      <c r="AW43" s="404">
        <f t="shared" si="20"/>
        <v>5</v>
      </c>
      <c r="AX43" s="538"/>
    </row>
    <row r="44" spans="2:54">
      <c r="B44" s="578"/>
      <c r="C44" s="404">
        <v>3</v>
      </c>
      <c r="D44" s="404" t="s">
        <v>346</v>
      </c>
      <c r="E44" s="404">
        <v>4</v>
      </c>
      <c r="F44" s="182">
        <v>3600</v>
      </c>
      <c r="G44" s="182">
        <v>900</v>
      </c>
      <c r="H44" s="538"/>
      <c r="I44" s="408">
        <f t="shared" si="22"/>
        <v>4</v>
      </c>
      <c r="J44" s="408">
        <f t="shared" si="22"/>
        <v>3234.2260061919455</v>
      </c>
      <c r="K44" s="406">
        <f t="shared" si="22"/>
        <v>808.55650154798639</v>
      </c>
      <c r="L44" s="594"/>
      <c r="M44" s="408">
        <f>RANK(K44, K$42:$K$71)</f>
        <v>8</v>
      </c>
      <c r="N44" s="564"/>
      <c r="O44" s="564"/>
      <c r="P44" s="182">
        <v>4</v>
      </c>
      <c r="Q44" s="182">
        <v>3483.5294117647013</v>
      </c>
      <c r="R44" s="182">
        <v>870.88235294117533</v>
      </c>
      <c r="S44" s="404">
        <f t="shared" si="9"/>
        <v>8</v>
      </c>
      <c r="T44" s="538"/>
      <c r="U44" s="182">
        <v>4</v>
      </c>
      <c r="V44" s="182">
        <v>3161.0526315789321</v>
      </c>
      <c r="W44" s="182">
        <v>790.26315789473301</v>
      </c>
      <c r="X44" s="404">
        <f t="shared" si="10"/>
        <v>8</v>
      </c>
      <c r="Y44" s="538"/>
      <c r="Z44" s="182">
        <v>4</v>
      </c>
      <c r="AA44" s="182">
        <v>2912.9999999999873</v>
      </c>
      <c r="AB44" s="182">
        <v>728.24999999999682</v>
      </c>
      <c r="AC44" s="404">
        <f t="shared" si="12"/>
        <v>11</v>
      </c>
      <c r="AD44" s="538"/>
      <c r="AE44" s="182">
        <v>4</v>
      </c>
      <c r="AF44" s="182">
        <v>3347.9999999999936</v>
      </c>
      <c r="AG44" s="182">
        <v>836.99999999999841</v>
      </c>
      <c r="AH44" s="404">
        <f t="shared" si="14"/>
        <v>9</v>
      </c>
      <c r="AI44" s="538"/>
      <c r="AJ44" s="182">
        <v>4</v>
      </c>
      <c r="AK44" s="182">
        <v>3184.0000000000114</v>
      </c>
      <c r="AL44" s="182">
        <v>796.00000000000284</v>
      </c>
      <c r="AM44" s="404">
        <f t="shared" si="16"/>
        <v>10</v>
      </c>
      <c r="AN44" s="538"/>
      <c r="AO44" s="182">
        <v>4</v>
      </c>
      <c r="AP44" s="182">
        <v>3459.9999999999973</v>
      </c>
      <c r="AQ44" s="182">
        <v>864.99999999999932</v>
      </c>
      <c r="AR44" s="404">
        <f t="shared" si="18"/>
        <v>6</v>
      </c>
      <c r="AS44" s="538"/>
      <c r="AT44" s="182">
        <v>4</v>
      </c>
      <c r="AU44" s="182">
        <v>3089.9999999999986</v>
      </c>
      <c r="AV44" s="182">
        <v>772.49999999999966</v>
      </c>
      <c r="AW44" s="404">
        <f t="shared" si="20"/>
        <v>10</v>
      </c>
      <c r="AX44" s="538"/>
    </row>
    <row r="45" spans="2:54">
      <c r="B45" s="578"/>
      <c r="C45" s="404">
        <v>4</v>
      </c>
      <c r="D45" s="404" t="s">
        <v>362</v>
      </c>
      <c r="E45" s="404">
        <v>3</v>
      </c>
      <c r="F45" s="182">
        <v>3600</v>
      </c>
      <c r="G45" s="182">
        <v>1200</v>
      </c>
      <c r="H45" s="538"/>
      <c r="I45" s="408">
        <f t="shared" si="22"/>
        <v>3</v>
      </c>
      <c r="J45" s="408">
        <f t="shared" si="22"/>
        <v>3164.387755102035</v>
      </c>
      <c r="K45" s="406">
        <f t="shared" si="22"/>
        <v>1054.7959183673449</v>
      </c>
      <c r="L45" s="594"/>
      <c r="M45" s="408">
        <f>RANK(K45, K$42:$K$71)</f>
        <v>1</v>
      </c>
      <c r="N45" s="564"/>
      <c r="O45" s="564"/>
      <c r="P45" s="182">
        <v>3</v>
      </c>
      <c r="Q45" s="182">
        <v>3254.9999999999791</v>
      </c>
      <c r="R45" s="182">
        <v>1084.999999999993</v>
      </c>
      <c r="S45" s="404">
        <f t="shared" si="9"/>
        <v>1</v>
      </c>
      <c r="T45" s="538"/>
      <c r="U45" s="182">
        <v>3</v>
      </c>
      <c r="V45" s="182">
        <v>3202.4999999999795</v>
      </c>
      <c r="W45" s="182">
        <v>1067.4999999999932</v>
      </c>
      <c r="X45" s="404">
        <f t="shared" si="10"/>
        <v>1</v>
      </c>
      <c r="Y45" s="538"/>
      <c r="Z45" s="182">
        <v>3</v>
      </c>
      <c r="AA45" s="182">
        <v>3059.9999999999804</v>
      </c>
      <c r="AB45" s="182">
        <v>1019.9999999999935</v>
      </c>
      <c r="AC45" s="404">
        <f t="shared" si="12"/>
        <v>1</v>
      </c>
      <c r="AD45" s="538"/>
      <c r="AE45" s="182">
        <v>3</v>
      </c>
      <c r="AF45" s="182">
        <v>2905.7142857142962</v>
      </c>
      <c r="AG45" s="182">
        <v>968.57142857143208</v>
      </c>
      <c r="AH45" s="404">
        <f t="shared" si="14"/>
        <v>1</v>
      </c>
      <c r="AI45" s="538"/>
      <c r="AJ45" s="182">
        <v>3</v>
      </c>
      <c r="AK45" s="182">
        <v>3350.0000000000123</v>
      </c>
      <c r="AL45" s="182">
        <v>1116.6666666666708</v>
      </c>
      <c r="AM45" s="404">
        <f t="shared" si="16"/>
        <v>1</v>
      </c>
      <c r="AN45" s="538"/>
      <c r="AO45" s="182">
        <v>3</v>
      </c>
      <c r="AP45" s="182">
        <v>3397.5000000000118</v>
      </c>
      <c r="AQ45" s="182">
        <v>1132.5000000000039</v>
      </c>
      <c r="AR45" s="404">
        <f t="shared" si="18"/>
        <v>1</v>
      </c>
      <c r="AS45" s="538"/>
      <c r="AT45" s="182">
        <v>3</v>
      </c>
      <c r="AU45" s="182">
        <v>2979.9999999999841</v>
      </c>
      <c r="AV45" s="182">
        <v>993.33333333332803</v>
      </c>
      <c r="AW45" s="404">
        <f t="shared" si="20"/>
        <v>1</v>
      </c>
      <c r="AX45" s="538"/>
    </row>
    <row r="46" spans="2:54">
      <c r="B46" s="578"/>
      <c r="C46" s="404">
        <v>5</v>
      </c>
      <c r="D46" s="404" t="s">
        <v>363</v>
      </c>
      <c r="E46" s="404">
        <v>3</v>
      </c>
      <c r="F46" s="182">
        <v>3600</v>
      </c>
      <c r="G46" s="182">
        <v>1200</v>
      </c>
      <c r="H46" s="538"/>
      <c r="I46" s="408">
        <f t="shared" si="22"/>
        <v>4</v>
      </c>
      <c r="J46" s="408">
        <f t="shared" si="22"/>
        <v>3135.2147134611396</v>
      </c>
      <c r="K46" s="406">
        <f t="shared" si="22"/>
        <v>783.8036783652849</v>
      </c>
      <c r="L46" s="594"/>
      <c r="M46" s="408">
        <f>RANK(K46, K$42:$K$71)</f>
        <v>10</v>
      </c>
      <c r="N46" s="564"/>
      <c r="O46" s="564"/>
      <c r="P46" s="182">
        <v>4</v>
      </c>
      <c r="Q46" s="182">
        <v>3174.5454545454504</v>
      </c>
      <c r="R46" s="182">
        <v>793.6363636363626</v>
      </c>
      <c r="S46" s="404">
        <f t="shared" si="9"/>
        <v>11</v>
      </c>
      <c r="T46" s="538"/>
      <c r="U46" s="182">
        <v>4</v>
      </c>
      <c r="V46" s="182">
        <v>2975.9999999999973</v>
      </c>
      <c r="W46" s="182">
        <v>743.99999999999932</v>
      </c>
      <c r="X46" s="404">
        <f t="shared" si="10"/>
        <v>11</v>
      </c>
      <c r="Y46" s="538"/>
      <c r="Z46" s="182">
        <v>4</v>
      </c>
      <c r="AA46" s="182">
        <v>3121.8750000000036</v>
      </c>
      <c r="AB46" s="182">
        <v>780.46875000000091</v>
      </c>
      <c r="AC46" s="404">
        <f t="shared" si="12"/>
        <v>9</v>
      </c>
      <c r="AD46" s="538"/>
      <c r="AE46" s="182">
        <v>4</v>
      </c>
      <c r="AF46" s="182">
        <v>3111.1111111111036</v>
      </c>
      <c r="AG46" s="182">
        <v>777.7777777777759</v>
      </c>
      <c r="AH46" s="404">
        <f t="shared" si="14"/>
        <v>12</v>
      </c>
      <c r="AI46" s="538"/>
      <c r="AJ46" s="182">
        <v>4</v>
      </c>
      <c r="AK46" s="182">
        <v>3302.3999999999905</v>
      </c>
      <c r="AL46" s="182">
        <v>825.59999999999764</v>
      </c>
      <c r="AM46" s="404">
        <f t="shared" si="16"/>
        <v>7</v>
      </c>
      <c r="AN46" s="538"/>
      <c r="AO46" s="182">
        <v>4</v>
      </c>
      <c r="AP46" s="182">
        <v>3116.5714285714257</v>
      </c>
      <c r="AQ46" s="182">
        <v>779.14285714285643</v>
      </c>
      <c r="AR46" s="404">
        <f t="shared" si="18"/>
        <v>13</v>
      </c>
      <c r="AS46" s="538"/>
      <c r="AT46" s="182">
        <v>4</v>
      </c>
      <c r="AU46" s="182">
        <v>3144.0000000000036</v>
      </c>
      <c r="AV46" s="182">
        <v>786.00000000000091</v>
      </c>
      <c r="AW46" s="404">
        <f t="shared" si="20"/>
        <v>9</v>
      </c>
      <c r="AX46" s="538"/>
    </row>
    <row r="47" spans="2:54">
      <c r="B47" s="578"/>
      <c r="C47" s="404">
        <v>6</v>
      </c>
      <c r="D47" s="404" t="s">
        <v>361</v>
      </c>
      <c r="E47" s="404">
        <v>4</v>
      </c>
      <c r="F47" s="182">
        <v>3600</v>
      </c>
      <c r="G47" s="182">
        <v>900</v>
      </c>
      <c r="H47" s="538"/>
      <c r="I47" s="408">
        <f t="shared" si="22"/>
        <v>4</v>
      </c>
      <c r="J47" s="408">
        <f t="shared" si="22"/>
        <v>3357.3783359497634</v>
      </c>
      <c r="K47" s="406">
        <f t="shared" si="22"/>
        <v>839.34458398744084</v>
      </c>
      <c r="L47" s="594"/>
      <c r="M47" s="408">
        <f>RANK(K47, K$42:$K$71)</f>
        <v>7</v>
      </c>
      <c r="N47" s="564"/>
      <c r="O47" s="564"/>
      <c r="P47" s="182">
        <v>4</v>
      </c>
      <c r="Q47" s="182">
        <v>3503.0769230769138</v>
      </c>
      <c r="R47" s="182">
        <v>875.76923076922844</v>
      </c>
      <c r="S47" s="404">
        <f t="shared" si="9"/>
        <v>7</v>
      </c>
      <c r="T47" s="538"/>
      <c r="U47" s="182">
        <v>4</v>
      </c>
      <c r="V47" s="182">
        <v>3155.9999999999945</v>
      </c>
      <c r="W47" s="182">
        <v>788.99999999999864</v>
      </c>
      <c r="X47" s="404">
        <f t="shared" si="10"/>
        <v>9</v>
      </c>
      <c r="Y47" s="538"/>
      <c r="Z47" s="182">
        <v>4</v>
      </c>
      <c r="AA47" s="182">
        <v>3214.2857142857074</v>
      </c>
      <c r="AB47" s="182">
        <v>803.57142857142685</v>
      </c>
      <c r="AC47" s="404">
        <f t="shared" si="12"/>
        <v>7</v>
      </c>
      <c r="AD47" s="538"/>
      <c r="AE47" s="182">
        <v>4</v>
      </c>
      <c r="AF47" s="182">
        <v>3738.0000000000136</v>
      </c>
      <c r="AG47" s="182">
        <v>934.50000000000341</v>
      </c>
      <c r="AH47" s="404">
        <f t="shared" si="14"/>
        <v>7</v>
      </c>
      <c r="AI47" s="538"/>
      <c r="AJ47" s="182">
        <v>4</v>
      </c>
      <c r="AK47" s="182">
        <v>3240.0000000000114</v>
      </c>
      <c r="AL47" s="182">
        <v>810.00000000000284</v>
      </c>
      <c r="AM47" s="404">
        <f t="shared" si="16"/>
        <v>8</v>
      </c>
      <c r="AN47" s="538"/>
      <c r="AO47" s="182">
        <v>4</v>
      </c>
      <c r="AP47" s="182">
        <v>3454.2857142857069</v>
      </c>
      <c r="AQ47" s="182">
        <v>863.57142857142674</v>
      </c>
      <c r="AR47" s="404">
        <f t="shared" si="18"/>
        <v>8</v>
      </c>
      <c r="AS47" s="538"/>
      <c r="AT47" s="182">
        <v>4</v>
      </c>
      <c r="AU47" s="182">
        <v>3195.9999999999945</v>
      </c>
      <c r="AV47" s="182">
        <v>798.99999999999864</v>
      </c>
      <c r="AW47" s="404">
        <f t="shared" si="20"/>
        <v>7</v>
      </c>
      <c r="AX47" s="538"/>
    </row>
    <row r="48" spans="2:54">
      <c r="B48" s="578"/>
      <c r="C48" s="404">
        <v>7</v>
      </c>
      <c r="D48" s="404" t="s">
        <v>469</v>
      </c>
      <c r="E48" s="404">
        <v>4</v>
      </c>
      <c r="F48" s="182">
        <v>3600</v>
      </c>
      <c r="G48" s="182">
        <v>900</v>
      </c>
      <c r="H48" s="538"/>
      <c r="I48" s="408">
        <f t="shared" si="22"/>
        <v>4</v>
      </c>
      <c r="J48" s="408">
        <f t="shared" si="22"/>
        <v>3134.7074829931944</v>
      </c>
      <c r="K48" s="406">
        <f t="shared" si="22"/>
        <v>783.6768707482986</v>
      </c>
      <c r="L48" s="594"/>
      <c r="M48" s="408">
        <f>RANK(K48, K$42:$K$71)</f>
        <v>11</v>
      </c>
      <c r="N48" s="564"/>
      <c r="O48" s="564"/>
      <c r="P48" s="182">
        <v>4</v>
      </c>
      <c r="Q48" s="182">
        <v>3386.6666666666783</v>
      </c>
      <c r="R48" s="182">
        <v>846.66666666666958</v>
      </c>
      <c r="S48" s="404">
        <f t="shared" si="9"/>
        <v>9</v>
      </c>
      <c r="T48" s="538"/>
      <c r="U48" s="182">
        <v>4</v>
      </c>
      <c r="V48" s="182">
        <v>3071.9999999999864</v>
      </c>
      <c r="W48" s="182">
        <v>767.99999999999659</v>
      </c>
      <c r="X48" s="404">
        <f t="shared" si="10"/>
        <v>10</v>
      </c>
      <c r="Y48" s="538"/>
      <c r="Z48" s="182">
        <v>4</v>
      </c>
      <c r="AA48" s="182">
        <v>2909.9999999999873</v>
      </c>
      <c r="AB48" s="182">
        <v>727.49999999999682</v>
      </c>
      <c r="AC48" s="404">
        <f t="shared" si="12"/>
        <v>12</v>
      </c>
      <c r="AD48" s="538"/>
      <c r="AE48" s="182">
        <v>4</v>
      </c>
      <c r="AF48" s="182">
        <v>3308.5714285714403</v>
      </c>
      <c r="AG48" s="182">
        <v>827.14285714286007</v>
      </c>
      <c r="AH48" s="404">
        <f t="shared" si="14"/>
        <v>10</v>
      </c>
      <c r="AI48" s="538"/>
      <c r="AJ48" s="182">
        <v>4</v>
      </c>
      <c r="AK48" s="182">
        <v>3085.7142857142967</v>
      </c>
      <c r="AL48" s="182">
        <v>771.42857142857417</v>
      </c>
      <c r="AM48" s="404">
        <f t="shared" si="16"/>
        <v>11</v>
      </c>
      <c r="AN48" s="538"/>
      <c r="AO48" s="182">
        <v>4</v>
      </c>
      <c r="AP48" s="182">
        <v>3149.9999999999859</v>
      </c>
      <c r="AQ48" s="182">
        <v>787.49999999999648</v>
      </c>
      <c r="AR48" s="404">
        <f t="shared" si="18"/>
        <v>12</v>
      </c>
      <c r="AS48" s="538"/>
      <c r="AT48" s="182">
        <v>4</v>
      </c>
      <c r="AU48" s="182">
        <v>3029.9999999999864</v>
      </c>
      <c r="AV48" s="182">
        <v>757.49999999999659</v>
      </c>
      <c r="AW48" s="404">
        <f t="shared" si="20"/>
        <v>13</v>
      </c>
      <c r="AX48" s="538"/>
    </row>
    <row r="49" spans="2:50">
      <c r="B49" s="578"/>
      <c r="C49" s="404">
        <v>8</v>
      </c>
      <c r="D49" s="404" t="s">
        <v>364</v>
      </c>
      <c r="E49" s="404">
        <v>4</v>
      </c>
      <c r="F49" s="182">
        <v>3300</v>
      </c>
      <c r="G49" s="182">
        <v>825</v>
      </c>
      <c r="H49" s="538"/>
      <c r="I49" s="408">
        <f t="shared" si="22"/>
        <v>4</v>
      </c>
      <c r="J49" s="408">
        <f t="shared" si="22"/>
        <v>2814.2794348508651</v>
      </c>
      <c r="K49" s="406">
        <f t="shared" si="22"/>
        <v>703.56985871271627</v>
      </c>
      <c r="L49" s="594"/>
      <c r="M49" s="408">
        <f>RANK(K49, K$42:$K$71)</f>
        <v>13</v>
      </c>
      <c r="N49" s="564"/>
      <c r="O49" s="564"/>
      <c r="P49" s="182">
        <v>4</v>
      </c>
      <c r="Q49" s="182">
        <v>2640.0000000000027</v>
      </c>
      <c r="R49" s="182">
        <v>660.00000000000068</v>
      </c>
      <c r="S49" s="404">
        <f t="shared" si="9"/>
        <v>15</v>
      </c>
      <c r="T49" s="538"/>
      <c r="U49" s="182">
        <v>4</v>
      </c>
      <c r="V49" s="182">
        <v>2560.0000000000023</v>
      </c>
      <c r="W49" s="182">
        <v>640.00000000000057</v>
      </c>
      <c r="X49" s="404">
        <f t="shared" si="10"/>
        <v>16</v>
      </c>
      <c r="Y49" s="538"/>
      <c r="Z49" s="182">
        <v>4</v>
      </c>
      <c r="AA49" s="182">
        <v>2755.3846153846171</v>
      </c>
      <c r="AB49" s="182">
        <v>688.84615384615427</v>
      </c>
      <c r="AC49" s="404">
        <f t="shared" si="12"/>
        <v>15</v>
      </c>
      <c r="AD49" s="538"/>
      <c r="AE49" s="182">
        <v>4</v>
      </c>
      <c r="AF49" s="182">
        <v>3107.9999999999991</v>
      </c>
      <c r="AG49" s="182">
        <v>776.99999999999977</v>
      </c>
      <c r="AH49" s="404">
        <f t="shared" si="14"/>
        <v>13</v>
      </c>
      <c r="AI49" s="538"/>
      <c r="AJ49" s="182">
        <v>4</v>
      </c>
      <c r="AK49" s="182">
        <v>2957.9999999999991</v>
      </c>
      <c r="AL49" s="182">
        <v>739.49999999999977</v>
      </c>
      <c r="AM49" s="404">
        <f t="shared" si="16"/>
        <v>12</v>
      </c>
      <c r="AN49" s="538"/>
      <c r="AO49" s="182">
        <v>4</v>
      </c>
      <c r="AP49" s="182">
        <v>2884.2857142857165</v>
      </c>
      <c r="AQ49" s="182">
        <v>721.07142857142912</v>
      </c>
      <c r="AR49" s="404">
        <f t="shared" si="18"/>
        <v>15</v>
      </c>
      <c r="AS49" s="538"/>
      <c r="AT49" s="182">
        <v>4</v>
      </c>
      <c r="AU49" s="182">
        <v>2794.2857142857165</v>
      </c>
      <c r="AV49" s="182">
        <v>698.57142857142912</v>
      </c>
      <c r="AW49" s="404">
        <f t="shared" si="20"/>
        <v>17</v>
      </c>
      <c r="AX49" s="538"/>
    </row>
    <row r="50" spans="2:50">
      <c r="B50" s="578"/>
      <c r="C50" s="404">
        <v>9</v>
      </c>
      <c r="D50" s="404" t="s">
        <v>365</v>
      </c>
      <c r="E50" s="404">
        <v>3</v>
      </c>
      <c r="F50" s="182">
        <v>3300</v>
      </c>
      <c r="G50" s="182">
        <v>1100</v>
      </c>
      <c r="H50" s="538"/>
      <c r="I50" s="408">
        <f t="shared" si="22"/>
        <v>3</v>
      </c>
      <c r="J50" s="408">
        <f t="shared" si="22"/>
        <v>2831.028427128429</v>
      </c>
      <c r="K50" s="406">
        <f t="shared" si="22"/>
        <v>943.67614237614293</v>
      </c>
      <c r="L50" s="594"/>
      <c r="M50" s="408">
        <f>RANK(K50, K$42:$K$71)</f>
        <v>2</v>
      </c>
      <c r="N50" s="564"/>
      <c r="O50" s="564"/>
      <c r="P50" s="182">
        <v>3</v>
      </c>
      <c r="Q50" s="182">
        <v>2749.090909090909</v>
      </c>
      <c r="R50" s="182">
        <v>916.36363636363637</v>
      </c>
      <c r="S50" s="404">
        <f t="shared" si="9"/>
        <v>6</v>
      </c>
      <c r="T50" s="538"/>
      <c r="U50" s="182">
        <v>3</v>
      </c>
      <c r="V50" s="182">
        <v>2782.5000000000032</v>
      </c>
      <c r="W50" s="182">
        <v>927.50000000000102</v>
      </c>
      <c r="X50" s="404">
        <f t="shared" si="10"/>
        <v>2</v>
      </c>
      <c r="Y50" s="538"/>
      <c r="Z50" s="182">
        <v>3</v>
      </c>
      <c r="AA50" s="182">
        <v>2760.0000000000032</v>
      </c>
      <c r="AB50" s="182">
        <v>920.00000000000102</v>
      </c>
      <c r="AC50" s="404">
        <f t="shared" si="12"/>
        <v>4</v>
      </c>
      <c r="AD50" s="538"/>
      <c r="AE50" s="182">
        <v>3</v>
      </c>
      <c r="AF50" s="182">
        <v>2904.4444444444416</v>
      </c>
      <c r="AG50" s="182">
        <v>968.14814814814724</v>
      </c>
      <c r="AH50" s="404">
        <f t="shared" si="14"/>
        <v>2</v>
      </c>
      <c r="AI50" s="538"/>
      <c r="AJ50" s="182">
        <v>3</v>
      </c>
      <c r="AK50" s="182">
        <v>3004.8000000000056</v>
      </c>
      <c r="AL50" s="182">
        <v>1001.6000000000018</v>
      </c>
      <c r="AM50" s="404">
        <f t="shared" si="16"/>
        <v>2</v>
      </c>
      <c r="AN50" s="538"/>
      <c r="AO50" s="182">
        <v>3</v>
      </c>
      <c r="AP50" s="182">
        <v>2838.1818181818212</v>
      </c>
      <c r="AQ50" s="182">
        <v>946.06060606060703</v>
      </c>
      <c r="AR50" s="404">
        <f t="shared" si="18"/>
        <v>3</v>
      </c>
      <c r="AS50" s="538"/>
      <c r="AT50" s="182">
        <v>3</v>
      </c>
      <c r="AU50" s="182">
        <v>2778.1818181818185</v>
      </c>
      <c r="AV50" s="182">
        <v>926.06060606060612</v>
      </c>
      <c r="AW50" s="404">
        <f t="shared" si="20"/>
        <v>2</v>
      </c>
      <c r="AX50" s="538"/>
    </row>
    <row r="51" spans="2:50">
      <c r="B51" s="578"/>
      <c r="C51" s="404">
        <v>10</v>
      </c>
      <c r="D51" s="404" t="s">
        <v>366</v>
      </c>
      <c r="E51" s="404">
        <v>3</v>
      </c>
      <c r="F51" s="182">
        <v>3300</v>
      </c>
      <c r="G51" s="182">
        <v>1100</v>
      </c>
      <c r="H51" s="538"/>
      <c r="I51" s="408">
        <f t="shared" si="22"/>
        <v>3</v>
      </c>
      <c r="J51" s="408">
        <f t="shared" si="22"/>
        <v>2809.919872398531</v>
      </c>
      <c r="K51" s="406">
        <f t="shared" si="22"/>
        <v>936.63995746617707</v>
      </c>
      <c r="L51" s="594"/>
      <c r="M51" s="408">
        <f>RANK(K51, K$42:$K$71)</f>
        <v>3</v>
      </c>
      <c r="N51" s="564"/>
      <c r="O51" s="564"/>
      <c r="P51" s="182">
        <v>3</v>
      </c>
      <c r="Q51" s="182">
        <v>2777.3684210526294</v>
      </c>
      <c r="R51" s="182">
        <v>925.78947368420984</v>
      </c>
      <c r="S51" s="404">
        <f t="shared" si="9"/>
        <v>4</v>
      </c>
      <c r="T51" s="538"/>
      <c r="U51" s="182">
        <v>3</v>
      </c>
      <c r="V51" s="182">
        <v>2772.6315789473697</v>
      </c>
      <c r="W51" s="182">
        <v>924.21052631578993</v>
      </c>
      <c r="X51" s="404">
        <f t="shared" si="10"/>
        <v>3</v>
      </c>
      <c r="Y51" s="538"/>
      <c r="Z51" s="182">
        <v>3</v>
      </c>
      <c r="AA51" s="182">
        <v>2774.5945945945959</v>
      </c>
      <c r="AB51" s="182">
        <v>924.86486486486535</v>
      </c>
      <c r="AC51" s="404">
        <f t="shared" si="12"/>
        <v>2</v>
      </c>
      <c r="AD51" s="538"/>
      <c r="AE51" s="182">
        <v>3</v>
      </c>
      <c r="AF51" s="182">
        <v>2840.6249999999995</v>
      </c>
      <c r="AG51" s="182">
        <v>946.87499999999989</v>
      </c>
      <c r="AH51" s="404">
        <f t="shared" si="14"/>
        <v>4</v>
      </c>
      <c r="AI51" s="538"/>
      <c r="AJ51" s="182">
        <v>3</v>
      </c>
      <c r="AK51" s="182">
        <v>2923.9999999999986</v>
      </c>
      <c r="AL51" s="182">
        <v>974.66666666666617</v>
      </c>
      <c r="AM51" s="404">
        <f t="shared" si="16"/>
        <v>3</v>
      </c>
      <c r="AN51" s="538"/>
      <c r="AO51" s="182">
        <v>3</v>
      </c>
      <c r="AP51" s="182">
        <v>2829.0000000000045</v>
      </c>
      <c r="AQ51" s="182">
        <v>943.00000000000148</v>
      </c>
      <c r="AR51" s="404">
        <f t="shared" si="18"/>
        <v>4</v>
      </c>
      <c r="AS51" s="538"/>
      <c r="AT51" s="182">
        <v>3</v>
      </c>
      <c r="AU51" s="182">
        <v>2751.2195121951181</v>
      </c>
      <c r="AV51" s="182">
        <v>917.073170731706</v>
      </c>
      <c r="AW51" s="404">
        <f t="shared" si="20"/>
        <v>4</v>
      </c>
      <c r="AX51" s="538"/>
    </row>
    <row r="52" spans="2:50">
      <c r="B52" s="578"/>
      <c r="C52" s="404">
        <v>11</v>
      </c>
      <c r="D52" s="404" t="s">
        <v>367</v>
      </c>
      <c r="E52" s="404">
        <v>4</v>
      </c>
      <c r="F52" s="182">
        <v>3300</v>
      </c>
      <c r="G52" s="182">
        <v>825</v>
      </c>
      <c r="H52" s="538"/>
      <c r="I52" s="408">
        <f t="shared" si="22"/>
        <v>4</v>
      </c>
      <c r="J52" s="408">
        <f t="shared" si="22"/>
        <v>2800.954523172933</v>
      </c>
      <c r="K52" s="406">
        <f t="shared" si="22"/>
        <v>700.23863079323326</v>
      </c>
      <c r="L52" s="594"/>
      <c r="M52" s="408">
        <f>RANK(K52, K$42:$K$71)</f>
        <v>14</v>
      </c>
      <c r="N52" s="564"/>
      <c r="O52" s="564"/>
      <c r="P52" s="182">
        <v>4</v>
      </c>
      <c r="Q52" s="182">
        <v>2807.7966101694919</v>
      </c>
      <c r="R52" s="182">
        <v>701.94915254237299</v>
      </c>
      <c r="S52" s="404">
        <f t="shared" si="9"/>
        <v>13</v>
      </c>
      <c r="T52" s="538"/>
      <c r="U52" s="182">
        <v>4</v>
      </c>
      <c r="V52" s="182">
        <v>2771.0000000000005</v>
      </c>
      <c r="W52" s="182">
        <v>692.75000000000011</v>
      </c>
      <c r="X52" s="404">
        <f t="shared" si="10"/>
        <v>13</v>
      </c>
      <c r="Y52" s="538"/>
      <c r="Z52" s="182">
        <v>4</v>
      </c>
      <c r="AA52" s="182">
        <v>2773.684210526314</v>
      </c>
      <c r="AB52" s="182">
        <v>693.4210526315785</v>
      </c>
      <c r="AC52" s="404">
        <f t="shared" si="12"/>
        <v>14</v>
      </c>
      <c r="AD52" s="538"/>
      <c r="AE52" s="182">
        <v>4</v>
      </c>
      <c r="AF52" s="182">
        <v>2750.3999999999965</v>
      </c>
      <c r="AG52" s="182">
        <v>687.59999999999911</v>
      </c>
      <c r="AH52" s="404">
        <f t="shared" si="14"/>
        <v>18</v>
      </c>
      <c r="AI52" s="538"/>
      <c r="AJ52" s="182">
        <v>4</v>
      </c>
      <c r="AK52" s="182">
        <v>2903.478260869565</v>
      </c>
      <c r="AL52" s="182">
        <v>725.86956521739125</v>
      </c>
      <c r="AM52" s="404">
        <f t="shared" si="16"/>
        <v>13</v>
      </c>
      <c r="AN52" s="538"/>
      <c r="AO52" s="182">
        <v>4</v>
      </c>
      <c r="AP52" s="182">
        <v>2801.6129032258073</v>
      </c>
      <c r="AQ52" s="182">
        <v>700.40322580645181</v>
      </c>
      <c r="AR52" s="404">
        <f t="shared" si="18"/>
        <v>18</v>
      </c>
      <c r="AS52" s="538"/>
      <c r="AT52" s="182">
        <v>4</v>
      </c>
      <c r="AU52" s="182">
        <v>2798.709677419356</v>
      </c>
      <c r="AV52" s="182">
        <v>699.677419354839</v>
      </c>
      <c r="AW52" s="404">
        <f t="shared" si="20"/>
        <v>16</v>
      </c>
      <c r="AX52" s="538"/>
    </row>
    <row r="53" spans="2:50">
      <c r="B53" s="578"/>
      <c r="C53" s="404">
        <v>12</v>
      </c>
      <c r="D53" s="404" t="s">
        <v>368</v>
      </c>
      <c r="E53" s="404">
        <v>4</v>
      </c>
      <c r="F53" s="182">
        <v>3300</v>
      </c>
      <c r="G53" s="182">
        <v>825</v>
      </c>
      <c r="H53" s="538"/>
      <c r="I53" s="408">
        <f t="shared" si="22"/>
        <v>4</v>
      </c>
      <c r="J53" s="408">
        <f t="shared" si="22"/>
        <v>2800.139828658735</v>
      </c>
      <c r="K53" s="406">
        <f t="shared" si="22"/>
        <v>700.03495716468376</v>
      </c>
      <c r="L53" s="594"/>
      <c r="M53" s="408">
        <f>RANK(K53, K$42:$K$71)</f>
        <v>16</v>
      </c>
      <c r="N53" s="564"/>
      <c r="O53" s="564"/>
      <c r="P53" s="182">
        <v>4</v>
      </c>
      <c r="Q53" s="182">
        <v>2801.8181818181783</v>
      </c>
      <c r="R53" s="182">
        <v>700.45454545454459</v>
      </c>
      <c r="S53" s="404">
        <f t="shared" si="9"/>
        <v>14</v>
      </c>
      <c r="T53" s="538"/>
      <c r="U53" s="182">
        <v>4</v>
      </c>
      <c r="V53" s="182">
        <v>2639.9999999999973</v>
      </c>
      <c r="W53" s="182">
        <v>659.99999999999932</v>
      </c>
      <c r="X53" s="404">
        <f t="shared" si="10"/>
        <v>15</v>
      </c>
      <c r="Y53" s="538"/>
      <c r="Z53" s="182">
        <v>4</v>
      </c>
      <c r="AA53" s="182">
        <v>2793.7499999999995</v>
      </c>
      <c r="AB53" s="182">
        <v>698.43749999999989</v>
      </c>
      <c r="AC53" s="404">
        <f t="shared" si="12"/>
        <v>13</v>
      </c>
      <c r="AD53" s="538"/>
      <c r="AE53" s="182">
        <v>4</v>
      </c>
      <c r="AF53" s="182">
        <v>2810.3571428571449</v>
      </c>
      <c r="AG53" s="182">
        <v>702.58928571428623</v>
      </c>
      <c r="AH53" s="404">
        <f t="shared" si="14"/>
        <v>17</v>
      </c>
      <c r="AI53" s="538"/>
      <c r="AJ53" s="182">
        <v>4</v>
      </c>
      <c r="AK53" s="182">
        <v>2781.8181818181838</v>
      </c>
      <c r="AL53" s="182">
        <v>695.45454545454595</v>
      </c>
      <c r="AM53" s="404">
        <f t="shared" si="16"/>
        <v>16</v>
      </c>
      <c r="AN53" s="538"/>
      <c r="AO53" s="182">
        <v>4</v>
      </c>
      <c r="AP53" s="182">
        <v>2872.9411764705847</v>
      </c>
      <c r="AQ53" s="182">
        <v>718.23529411764616</v>
      </c>
      <c r="AR53" s="404">
        <f t="shared" si="18"/>
        <v>16</v>
      </c>
      <c r="AS53" s="538"/>
      <c r="AT53" s="182">
        <v>4</v>
      </c>
      <c r="AU53" s="182">
        <v>2900.2941176470554</v>
      </c>
      <c r="AV53" s="182">
        <v>725.07352941176384</v>
      </c>
      <c r="AW53" s="404">
        <f t="shared" si="20"/>
        <v>15</v>
      </c>
      <c r="AX53" s="538"/>
    </row>
    <row r="54" spans="2:50">
      <c r="B54" s="578"/>
      <c r="C54" s="404">
        <v>13</v>
      </c>
      <c r="D54" s="404" t="s">
        <v>570</v>
      </c>
      <c r="E54" s="404">
        <v>4</v>
      </c>
      <c r="F54" s="182">
        <v>2800</v>
      </c>
      <c r="G54" s="182">
        <v>700</v>
      </c>
      <c r="H54" s="538"/>
      <c r="I54" s="408">
        <f t="shared" si="22"/>
        <v>4</v>
      </c>
      <c r="J54" s="408">
        <f t="shared" si="22"/>
        <v>2800.5043947844961</v>
      </c>
      <c r="K54" s="406">
        <f t="shared" si="22"/>
        <v>700.12609869612402</v>
      </c>
      <c r="L54" s="594"/>
      <c r="M54" s="408">
        <f>RANK(K54, K$42:$K$71)</f>
        <v>15</v>
      </c>
      <c r="N54" s="564"/>
      <c r="O54" s="564"/>
      <c r="P54" s="182">
        <v>4</v>
      </c>
      <c r="Q54" s="182">
        <v>2848</v>
      </c>
      <c r="R54" s="182">
        <v>712</v>
      </c>
      <c r="S54" s="404">
        <f t="shared" si="9"/>
        <v>12</v>
      </c>
      <c r="T54" s="538"/>
      <c r="U54" s="182">
        <v>4</v>
      </c>
      <c r="V54" s="182">
        <v>2761.304347826092</v>
      </c>
      <c r="W54" s="182">
        <v>690.326086956523</v>
      </c>
      <c r="X54" s="404">
        <f t="shared" si="10"/>
        <v>14</v>
      </c>
      <c r="Y54" s="538"/>
      <c r="Z54" s="182">
        <v>4</v>
      </c>
      <c r="AA54" s="182">
        <v>2745</v>
      </c>
      <c r="AB54" s="182">
        <v>686.25</v>
      </c>
      <c r="AC54" s="404">
        <f t="shared" si="12"/>
        <v>16</v>
      </c>
      <c r="AD54" s="538"/>
      <c r="AE54" s="182">
        <v>4</v>
      </c>
      <c r="AF54" s="182">
        <v>2859.4736842105303</v>
      </c>
      <c r="AG54" s="182">
        <v>714.86842105263258</v>
      </c>
      <c r="AH54" s="404">
        <f t="shared" si="14"/>
        <v>16</v>
      </c>
      <c r="AI54" s="538"/>
      <c r="AJ54" s="182">
        <v>4</v>
      </c>
      <c r="AK54" s="182">
        <v>2837.8378378378357</v>
      </c>
      <c r="AL54" s="182">
        <v>709.45945945945891</v>
      </c>
      <c r="AM54" s="404">
        <f t="shared" si="16"/>
        <v>15</v>
      </c>
      <c r="AN54" s="538"/>
      <c r="AO54" s="182">
        <v>4</v>
      </c>
      <c r="AP54" s="182">
        <v>2807.2340425531875</v>
      </c>
      <c r="AQ54" s="182">
        <v>701.80851063829687</v>
      </c>
      <c r="AR54" s="404">
        <f t="shared" si="18"/>
        <v>17</v>
      </c>
      <c r="AS54" s="538"/>
      <c r="AT54" s="182">
        <v>4</v>
      </c>
      <c r="AU54" s="182">
        <v>2744.6808510638257</v>
      </c>
      <c r="AV54" s="182">
        <v>686.17021276595642</v>
      </c>
      <c r="AW54" s="404">
        <f t="shared" si="20"/>
        <v>18</v>
      </c>
      <c r="AX54" s="538"/>
    </row>
    <row r="55" spans="2:50">
      <c r="B55" s="578"/>
      <c r="C55" s="404">
        <v>14</v>
      </c>
      <c r="D55" s="404" t="s">
        <v>369</v>
      </c>
      <c r="E55" s="404">
        <v>4</v>
      </c>
      <c r="F55" s="182">
        <v>3600</v>
      </c>
      <c r="G55" s="182">
        <v>900</v>
      </c>
      <c r="H55" s="538"/>
      <c r="I55" s="408">
        <f t="shared" si="22"/>
        <v>4</v>
      </c>
      <c r="J55" s="408">
        <f t="shared" si="22"/>
        <v>2765.0816326530544</v>
      </c>
      <c r="K55" s="406">
        <f t="shared" si="22"/>
        <v>691.2704081632636</v>
      </c>
      <c r="L55" s="594"/>
      <c r="M55" s="408">
        <f>RANK(K55, K$42:$K$71)</f>
        <v>18</v>
      </c>
      <c r="N55" s="564"/>
      <c r="O55" s="564"/>
      <c r="P55" s="182">
        <v>4</v>
      </c>
      <c r="Q55" s="182">
        <v>2519.9999999999927</v>
      </c>
      <c r="R55" s="182">
        <v>629.99999999999818</v>
      </c>
      <c r="S55" s="404">
        <f t="shared" si="9"/>
        <v>17</v>
      </c>
      <c r="T55" s="538"/>
      <c r="U55" s="182">
        <v>4</v>
      </c>
      <c r="V55" s="182">
        <v>2464.7999999999929</v>
      </c>
      <c r="W55" s="182">
        <v>616.19999999999823</v>
      </c>
      <c r="X55" s="404">
        <f t="shared" si="10"/>
        <v>18</v>
      </c>
      <c r="Y55" s="538"/>
      <c r="Z55" s="182">
        <v>4</v>
      </c>
      <c r="AA55" s="182">
        <v>2443.199999999993</v>
      </c>
      <c r="AB55" s="182">
        <v>610.79999999999825</v>
      </c>
      <c r="AC55" s="404">
        <f t="shared" si="12"/>
        <v>17</v>
      </c>
      <c r="AD55" s="538"/>
      <c r="AE55" s="182">
        <v>4</v>
      </c>
      <c r="AF55" s="182">
        <v>2993.5714285714221</v>
      </c>
      <c r="AG55" s="182">
        <v>748.39285714285552</v>
      </c>
      <c r="AH55" s="404">
        <f t="shared" si="14"/>
        <v>15</v>
      </c>
      <c r="AI55" s="538"/>
      <c r="AJ55" s="182">
        <v>4</v>
      </c>
      <c r="AK55" s="182">
        <v>2646.0000000000095</v>
      </c>
      <c r="AL55" s="182">
        <v>661.50000000000239</v>
      </c>
      <c r="AM55" s="404">
        <f t="shared" si="16"/>
        <v>17</v>
      </c>
      <c r="AN55" s="538"/>
      <c r="AO55" s="182">
        <v>4</v>
      </c>
      <c r="AP55" s="182">
        <v>3212.9999999999859</v>
      </c>
      <c r="AQ55" s="182">
        <v>803.24999999999648</v>
      </c>
      <c r="AR55" s="404">
        <f t="shared" si="18"/>
        <v>11</v>
      </c>
      <c r="AS55" s="538"/>
      <c r="AT55" s="182">
        <v>4</v>
      </c>
      <c r="AU55" s="182">
        <v>3074.9999999999864</v>
      </c>
      <c r="AV55" s="182">
        <v>768.74999999999659</v>
      </c>
      <c r="AW55" s="404">
        <f t="shared" si="20"/>
        <v>11</v>
      </c>
      <c r="AX55" s="538"/>
    </row>
    <row r="56" spans="2:50">
      <c r="B56" s="578"/>
      <c r="C56" s="404">
        <v>15</v>
      </c>
      <c r="D56" s="404" t="s">
        <v>370</v>
      </c>
      <c r="E56" s="404">
        <v>4</v>
      </c>
      <c r="F56" s="182">
        <v>3600</v>
      </c>
      <c r="G56" s="182">
        <v>900</v>
      </c>
      <c r="H56" s="538"/>
      <c r="I56" s="408">
        <f t="shared" si="22"/>
        <v>4</v>
      </c>
      <c r="J56" s="408">
        <f t="shared" si="22"/>
        <v>2797.5714285714307</v>
      </c>
      <c r="K56" s="406">
        <f t="shared" si="22"/>
        <v>699.39285714285768</v>
      </c>
      <c r="L56" s="594"/>
      <c r="M56" s="408">
        <f>RANK(K56, K$42:$K$71)</f>
        <v>17</v>
      </c>
      <c r="N56" s="564"/>
      <c r="O56" s="564"/>
      <c r="P56" s="182">
        <v>4</v>
      </c>
      <c r="Q56" s="182">
        <v>2532.0000000000091</v>
      </c>
      <c r="R56" s="182">
        <v>633.00000000000227</v>
      </c>
      <c r="S56" s="404">
        <f t="shared" si="9"/>
        <v>16</v>
      </c>
      <c r="T56" s="538"/>
      <c r="U56" s="182">
        <v>4</v>
      </c>
      <c r="V56" s="182">
        <v>2552.0000000000091</v>
      </c>
      <c r="W56" s="182">
        <v>638.00000000000227</v>
      </c>
      <c r="X56" s="404">
        <f t="shared" si="10"/>
        <v>17</v>
      </c>
      <c r="Y56" s="538"/>
      <c r="Z56" s="182">
        <v>4</v>
      </c>
      <c r="AA56" s="182">
        <v>2412.0000000000086</v>
      </c>
      <c r="AB56" s="182">
        <v>603.00000000000216</v>
      </c>
      <c r="AC56" s="404">
        <f t="shared" si="12"/>
        <v>18</v>
      </c>
      <c r="AD56" s="538"/>
      <c r="AE56" s="182">
        <v>4</v>
      </c>
      <c r="AF56" s="182">
        <v>3503.9999999999563</v>
      </c>
      <c r="AG56" s="182">
        <v>875.99999999998909</v>
      </c>
      <c r="AH56" s="404">
        <f t="shared" si="14"/>
        <v>8</v>
      </c>
      <c r="AI56" s="538"/>
      <c r="AJ56" s="182">
        <v>4</v>
      </c>
      <c r="AK56" s="182">
        <v>2288.0000000000082</v>
      </c>
      <c r="AL56" s="182">
        <v>572.00000000000205</v>
      </c>
      <c r="AM56" s="404">
        <f t="shared" si="16"/>
        <v>18</v>
      </c>
      <c r="AN56" s="538"/>
      <c r="AO56" s="182">
        <v>4</v>
      </c>
      <c r="AP56" s="182">
        <v>3255.0000000000114</v>
      </c>
      <c r="AQ56" s="182">
        <v>813.75000000000284</v>
      </c>
      <c r="AR56" s="404">
        <f t="shared" si="18"/>
        <v>10</v>
      </c>
      <c r="AS56" s="538"/>
      <c r="AT56" s="182">
        <v>4</v>
      </c>
      <c r="AU56" s="182">
        <v>3040.0000000000109</v>
      </c>
      <c r="AV56" s="182">
        <v>760.00000000000273</v>
      </c>
      <c r="AW56" s="404">
        <f t="shared" si="20"/>
        <v>12</v>
      </c>
      <c r="AX56" s="538"/>
    </row>
    <row r="57" spans="2:50">
      <c r="B57" s="578"/>
      <c r="C57" s="404">
        <v>16</v>
      </c>
      <c r="D57" s="404" t="s">
        <v>481</v>
      </c>
      <c r="E57" s="404">
        <v>4</v>
      </c>
      <c r="F57" s="182">
        <v>3300</v>
      </c>
      <c r="G57" s="182">
        <v>825</v>
      </c>
      <c r="H57" s="538"/>
      <c r="I57" s="408">
        <f t="shared" si="22"/>
        <v>3</v>
      </c>
      <c r="J57" s="408">
        <f t="shared" si="22"/>
        <v>2790.5350496277929</v>
      </c>
      <c r="K57" s="406">
        <f t="shared" si="22"/>
        <v>930.17834987593119</v>
      </c>
      <c r="L57" s="594"/>
      <c r="M57" s="408">
        <f>RANK(K57, K$42:$K$71)</f>
        <v>5</v>
      </c>
      <c r="N57" s="564"/>
      <c r="O57" s="564"/>
      <c r="P57" s="182">
        <v>3</v>
      </c>
      <c r="Q57" s="182">
        <v>2765.8064516129057</v>
      </c>
      <c r="R57" s="182">
        <v>921.9354838709686</v>
      </c>
      <c r="S57" s="404">
        <f t="shared" si="9"/>
        <v>5</v>
      </c>
      <c r="T57" s="538"/>
      <c r="U57" s="182">
        <v>3</v>
      </c>
      <c r="V57" s="182">
        <v>2718.7499999999964</v>
      </c>
      <c r="W57" s="182">
        <v>906.24999999999875</v>
      </c>
      <c r="X57" s="404">
        <f t="shared" si="10"/>
        <v>4</v>
      </c>
      <c r="Y57" s="538"/>
      <c r="Z57" s="182">
        <v>3</v>
      </c>
      <c r="AA57" s="182">
        <v>2730.9677419354866</v>
      </c>
      <c r="AB57" s="182">
        <v>910.32258064516225</v>
      </c>
      <c r="AC57" s="404">
        <f t="shared" si="12"/>
        <v>5</v>
      </c>
      <c r="AD57" s="538"/>
      <c r="AE57" s="182">
        <v>3</v>
      </c>
      <c r="AF57" s="182">
        <v>2833.8461538461552</v>
      </c>
      <c r="AG57" s="182">
        <v>944.6153846153851</v>
      </c>
      <c r="AH57" s="404">
        <f t="shared" si="14"/>
        <v>5</v>
      </c>
      <c r="AI57" s="538"/>
      <c r="AJ57" s="182">
        <v>3</v>
      </c>
      <c r="AK57" s="182">
        <v>2910.0000000000009</v>
      </c>
      <c r="AL57" s="182">
        <v>970.00000000000034</v>
      </c>
      <c r="AM57" s="404">
        <f t="shared" si="16"/>
        <v>4</v>
      </c>
      <c r="AN57" s="538"/>
      <c r="AO57" s="182">
        <v>3</v>
      </c>
      <c r="AP57" s="182">
        <v>2814.3749999999964</v>
      </c>
      <c r="AQ57" s="182">
        <v>938.12499999999875</v>
      </c>
      <c r="AR57" s="404">
        <f t="shared" si="18"/>
        <v>5</v>
      </c>
      <c r="AS57" s="538"/>
      <c r="AT57" s="182">
        <v>3</v>
      </c>
      <c r="AU57" s="182">
        <v>2760.00000000001</v>
      </c>
      <c r="AV57" s="182">
        <v>920.0000000000033</v>
      </c>
      <c r="AW57" s="404">
        <f t="shared" si="20"/>
        <v>3</v>
      </c>
      <c r="AX57" s="538"/>
    </row>
    <row r="58" spans="2:50">
      <c r="B58" s="578"/>
      <c r="C58" s="404">
        <v>17</v>
      </c>
      <c r="D58" s="404" t="s">
        <v>567</v>
      </c>
      <c r="E58" s="404">
        <v>3</v>
      </c>
      <c r="F58" s="182">
        <v>2800</v>
      </c>
      <c r="G58" s="182">
        <v>933.33333333333337</v>
      </c>
      <c r="H58" s="538"/>
      <c r="I58" s="408">
        <f t="shared" si="22"/>
        <v>3</v>
      </c>
      <c r="J58" s="408">
        <f t="shared" si="22"/>
        <v>2724.571428571428</v>
      </c>
      <c r="K58" s="406">
        <f t="shared" si="22"/>
        <v>908.19047619047615</v>
      </c>
      <c r="L58" s="594"/>
      <c r="M58" s="408">
        <f>RANK(K58, K$42:$K$71)</f>
        <v>6</v>
      </c>
      <c r="N58" s="564"/>
      <c r="O58" s="564"/>
      <c r="P58" s="182">
        <v>3</v>
      </c>
      <c r="Q58" s="182">
        <v>2837.9999999999991</v>
      </c>
      <c r="R58" s="182">
        <v>945.99999999999966</v>
      </c>
      <c r="S58" s="404">
        <f t="shared" si="9"/>
        <v>3</v>
      </c>
      <c r="T58" s="538"/>
      <c r="U58" s="182">
        <v>3</v>
      </c>
      <c r="V58" s="182">
        <v>2553.3333333333335</v>
      </c>
      <c r="W58" s="182">
        <v>851.1111111111112</v>
      </c>
      <c r="X58" s="404">
        <f t="shared" si="10"/>
        <v>6</v>
      </c>
      <c r="Y58" s="538"/>
      <c r="Z58" s="182">
        <v>3</v>
      </c>
      <c r="AA58" s="182">
        <v>2765.9999999999986</v>
      </c>
      <c r="AB58" s="182">
        <v>921.99999999999955</v>
      </c>
      <c r="AC58" s="404">
        <f t="shared" si="12"/>
        <v>3</v>
      </c>
      <c r="AD58" s="538"/>
      <c r="AE58" s="182">
        <v>3</v>
      </c>
      <c r="AF58" s="182">
        <v>2881.3333333333335</v>
      </c>
      <c r="AG58" s="182">
        <v>960.44444444444446</v>
      </c>
      <c r="AH58" s="404">
        <f t="shared" si="14"/>
        <v>3</v>
      </c>
      <c r="AI58" s="538"/>
      <c r="AJ58" s="182">
        <v>3</v>
      </c>
      <c r="AK58" s="182">
        <v>2840</v>
      </c>
      <c r="AL58" s="182">
        <v>946.66666666666663</v>
      </c>
      <c r="AM58" s="404">
        <f t="shared" si="16"/>
        <v>6</v>
      </c>
      <c r="AN58" s="538"/>
      <c r="AO58" s="182">
        <v>3</v>
      </c>
      <c r="AP58" s="182">
        <v>2593.3333333333335</v>
      </c>
      <c r="AQ58" s="182">
        <v>864.44444444444446</v>
      </c>
      <c r="AR58" s="404">
        <f t="shared" si="18"/>
        <v>7</v>
      </c>
      <c r="AS58" s="538"/>
      <c r="AT58" s="182">
        <v>3</v>
      </c>
      <c r="AU58" s="182">
        <v>2600</v>
      </c>
      <c r="AV58" s="182">
        <v>866.66666666666663</v>
      </c>
      <c r="AW58" s="404">
        <f t="shared" si="20"/>
        <v>6</v>
      </c>
      <c r="AX58" s="538"/>
    </row>
    <row r="59" spans="2:50">
      <c r="B59" s="578"/>
      <c r="C59" s="404">
        <v>18</v>
      </c>
      <c r="D59" s="404" t="s">
        <v>640</v>
      </c>
      <c r="E59" s="404">
        <v>4</v>
      </c>
      <c r="F59" s="182">
        <v>3000</v>
      </c>
      <c r="G59" s="182">
        <v>750</v>
      </c>
      <c r="H59" s="538"/>
      <c r="I59" s="408">
        <f t="shared" si="22"/>
        <v>3.1428571428571428</v>
      </c>
      <c r="J59" s="408">
        <f t="shared" si="22"/>
        <v>2198.1081632653063</v>
      </c>
      <c r="K59" s="406">
        <f t="shared" si="22"/>
        <v>707.35450680272095</v>
      </c>
      <c r="L59" s="594"/>
      <c r="M59" s="408">
        <f>RANK(K59, K$42:$K$71)</f>
        <v>12</v>
      </c>
      <c r="N59" s="564"/>
      <c r="O59" s="564"/>
      <c r="P59" s="182">
        <v>4</v>
      </c>
      <c r="Q59" s="182">
        <v>2129.2499999999995</v>
      </c>
      <c r="R59" s="182">
        <v>532.31249999999989</v>
      </c>
      <c r="S59" s="404">
        <f t="shared" si="9"/>
        <v>18</v>
      </c>
      <c r="T59" s="538"/>
      <c r="U59" s="182">
        <v>3</v>
      </c>
      <c r="V59" s="182">
        <v>2141.9999999999945</v>
      </c>
      <c r="W59" s="182">
        <v>713.99999999999818</v>
      </c>
      <c r="X59" s="404">
        <f t="shared" si="10"/>
        <v>12</v>
      </c>
      <c r="Y59" s="538"/>
      <c r="Z59" s="182">
        <v>3</v>
      </c>
      <c r="AA59" s="182">
        <v>2188.0000000000036</v>
      </c>
      <c r="AB59" s="182">
        <v>729.33333333333451</v>
      </c>
      <c r="AC59" s="404">
        <f t="shared" si="12"/>
        <v>10</v>
      </c>
      <c r="AD59" s="538"/>
      <c r="AE59" s="182">
        <v>3</v>
      </c>
      <c r="AF59" s="182">
        <v>2274.8571428571404</v>
      </c>
      <c r="AG59" s="182">
        <v>758.28571428571342</v>
      </c>
      <c r="AH59" s="404">
        <f t="shared" si="14"/>
        <v>14</v>
      </c>
      <c r="AI59" s="538"/>
      <c r="AJ59" s="182">
        <v>3</v>
      </c>
      <c r="AK59" s="182">
        <v>2174.3999999999983</v>
      </c>
      <c r="AL59" s="182">
        <v>724.79999999999939</v>
      </c>
      <c r="AM59" s="404">
        <f t="shared" si="16"/>
        <v>14</v>
      </c>
      <c r="AN59" s="538"/>
      <c r="AO59" s="182">
        <v>3</v>
      </c>
      <c r="AP59" s="182">
        <v>2228.2500000000036</v>
      </c>
      <c r="AQ59" s="182">
        <v>742.75000000000125</v>
      </c>
      <c r="AR59" s="404">
        <f t="shared" si="18"/>
        <v>14</v>
      </c>
      <c r="AS59" s="538"/>
      <c r="AT59" s="182">
        <v>3</v>
      </c>
      <c r="AU59" s="182">
        <v>2250.0000000000036</v>
      </c>
      <c r="AV59" s="182">
        <v>750.00000000000125</v>
      </c>
      <c r="AW59" s="404">
        <f t="shared" si="20"/>
        <v>14</v>
      </c>
      <c r="AX59" s="538"/>
    </row>
    <row r="60" spans="2:50">
      <c r="B60" s="578"/>
      <c r="C60" s="404">
        <v>19</v>
      </c>
      <c r="D60" s="404" t="s">
        <v>577</v>
      </c>
      <c r="E60" s="404">
        <v>12</v>
      </c>
      <c r="F60" s="182">
        <v>1500</v>
      </c>
      <c r="G60" s="182">
        <v>125</v>
      </c>
      <c r="H60" s="538"/>
      <c r="I60" s="408">
        <f t="shared" si="22"/>
        <v>12</v>
      </c>
      <c r="J60" s="408">
        <f t="shared" si="22"/>
        <v>1490.9298812281647</v>
      </c>
      <c r="K60" s="406">
        <f t="shared" si="22"/>
        <v>124.24415676901371</v>
      </c>
      <c r="L60" s="594"/>
      <c r="M60" s="408">
        <f>RANK(K60, K$42:$K$71)</f>
        <v>19</v>
      </c>
      <c r="N60" s="564"/>
      <c r="O60" s="564"/>
      <c r="P60" s="182">
        <v>12</v>
      </c>
      <c r="Q60" s="182">
        <v>1480.0000000000005</v>
      </c>
      <c r="R60" s="182">
        <v>123.33333333333337</v>
      </c>
      <c r="S60" s="404">
        <f t="shared" si="9"/>
        <v>19</v>
      </c>
      <c r="T60" s="538"/>
      <c r="U60" s="182">
        <v>12</v>
      </c>
      <c r="V60" s="182">
        <v>1507.8260869565217</v>
      </c>
      <c r="W60" s="182">
        <v>125.65217391304348</v>
      </c>
      <c r="X60" s="404">
        <f t="shared" si="10"/>
        <v>19</v>
      </c>
      <c r="Y60" s="538"/>
      <c r="Z60" s="182">
        <v>12</v>
      </c>
      <c r="AA60" s="182">
        <v>1484.8275862068963</v>
      </c>
      <c r="AB60" s="182">
        <v>123.73563218390802</v>
      </c>
      <c r="AC60" s="404">
        <f t="shared" si="12"/>
        <v>19</v>
      </c>
      <c r="AD60" s="538"/>
      <c r="AE60" s="182">
        <v>12</v>
      </c>
      <c r="AF60" s="182">
        <v>1503.7974683544296</v>
      </c>
      <c r="AG60" s="182">
        <v>125.31645569620247</v>
      </c>
      <c r="AH60" s="404">
        <f t="shared" si="14"/>
        <v>19</v>
      </c>
      <c r="AI60" s="538"/>
      <c r="AJ60" s="182">
        <v>12</v>
      </c>
      <c r="AK60" s="182">
        <v>1499.9999999999991</v>
      </c>
      <c r="AL60" s="182">
        <v>124.99999999999993</v>
      </c>
      <c r="AM60" s="404">
        <f t="shared" si="16"/>
        <v>19</v>
      </c>
      <c r="AN60" s="538"/>
      <c r="AO60" s="182">
        <v>12</v>
      </c>
      <c r="AP60" s="182">
        <v>1470.9090909090914</v>
      </c>
      <c r="AQ60" s="182">
        <v>122.57575757575762</v>
      </c>
      <c r="AR60" s="404">
        <f t="shared" si="18"/>
        <v>19</v>
      </c>
      <c r="AS60" s="538"/>
      <c r="AT60" s="182">
        <v>12</v>
      </c>
      <c r="AU60" s="182">
        <v>1489.1489361702129</v>
      </c>
      <c r="AV60" s="182">
        <v>124.09574468085107</v>
      </c>
      <c r="AW60" s="404">
        <f t="shared" si="20"/>
        <v>19</v>
      </c>
      <c r="AX60" s="538"/>
    </row>
    <row r="61" spans="2:50">
      <c r="B61" s="578"/>
      <c r="C61" s="404">
        <v>20</v>
      </c>
      <c r="D61" s="404"/>
      <c r="E61" s="404"/>
      <c r="F61" s="182"/>
      <c r="G61" s="182"/>
      <c r="H61" s="538"/>
      <c r="I61" s="408"/>
      <c r="J61" s="408"/>
      <c r="K61" s="406"/>
      <c r="L61" s="594"/>
      <c r="M61" s="408" t="e">
        <f>RANK(K61, K$42:$K$71)</f>
        <v>#N/A</v>
      </c>
      <c r="N61" s="564"/>
      <c r="O61" s="564"/>
      <c r="P61" s="182"/>
      <c r="Q61" s="182"/>
      <c r="R61" s="182"/>
      <c r="S61" s="404" t="e">
        <f t="shared" si="9"/>
        <v>#N/A</v>
      </c>
      <c r="T61" s="538"/>
      <c r="U61" s="182"/>
      <c r="V61" s="182"/>
      <c r="W61" s="182"/>
      <c r="X61" s="404" t="e">
        <f t="shared" si="10"/>
        <v>#N/A</v>
      </c>
      <c r="Y61" s="538"/>
      <c r="Z61" s="182"/>
      <c r="AA61" s="182"/>
      <c r="AB61" s="182"/>
      <c r="AC61" s="404" t="e">
        <f t="shared" si="12"/>
        <v>#N/A</v>
      </c>
      <c r="AD61" s="538"/>
      <c r="AE61" s="182"/>
      <c r="AF61" s="182"/>
      <c r="AG61" s="182"/>
      <c r="AH61" s="404" t="e">
        <f t="shared" si="14"/>
        <v>#N/A</v>
      </c>
      <c r="AI61" s="538"/>
      <c r="AJ61" s="182"/>
      <c r="AK61" s="182"/>
      <c r="AL61" s="182"/>
      <c r="AM61" s="404" t="e">
        <f t="shared" si="16"/>
        <v>#N/A</v>
      </c>
      <c r="AN61" s="538"/>
      <c r="AO61" s="182"/>
      <c r="AP61" s="182"/>
      <c r="AQ61" s="182"/>
      <c r="AR61" s="404" t="e">
        <f t="shared" si="18"/>
        <v>#N/A</v>
      </c>
      <c r="AS61" s="538"/>
      <c r="AT61" s="182"/>
      <c r="AU61" s="182"/>
      <c r="AV61" s="182"/>
      <c r="AW61" s="404" t="e">
        <f t="shared" si="20"/>
        <v>#N/A</v>
      </c>
      <c r="AX61" s="538"/>
    </row>
    <row r="62" spans="2:50">
      <c r="B62" s="578"/>
      <c r="C62" s="404">
        <v>21</v>
      </c>
      <c r="D62" s="404"/>
      <c r="E62" s="404"/>
      <c r="F62" s="182"/>
      <c r="G62" s="182"/>
      <c r="H62" s="538"/>
      <c r="I62" s="408"/>
      <c r="J62" s="408"/>
      <c r="K62" s="406"/>
      <c r="L62" s="594"/>
      <c r="M62" s="408" t="e">
        <f>RANK(K62, K$42:$K$71)</f>
        <v>#N/A</v>
      </c>
      <c r="N62" s="564"/>
      <c r="O62" s="564"/>
      <c r="P62" s="404"/>
      <c r="Q62" s="182"/>
      <c r="R62" s="405"/>
      <c r="S62" s="404" t="e">
        <f t="shared" si="9"/>
        <v>#N/A</v>
      </c>
      <c r="T62" s="538"/>
      <c r="U62" s="404"/>
      <c r="V62" s="182"/>
      <c r="W62" s="405"/>
      <c r="X62" s="404" t="e">
        <f t="shared" si="10"/>
        <v>#N/A</v>
      </c>
      <c r="Y62" s="538"/>
      <c r="Z62" s="404"/>
      <c r="AA62" s="182"/>
      <c r="AB62" s="405"/>
      <c r="AC62" s="404" t="e">
        <f t="shared" si="12"/>
        <v>#N/A</v>
      </c>
      <c r="AD62" s="538"/>
      <c r="AE62" s="404"/>
      <c r="AF62" s="182"/>
      <c r="AG62" s="405"/>
      <c r="AH62" s="404" t="e">
        <f t="shared" si="14"/>
        <v>#N/A</v>
      </c>
      <c r="AI62" s="538"/>
      <c r="AJ62" s="404"/>
      <c r="AK62" s="182"/>
      <c r="AL62" s="405"/>
      <c r="AM62" s="404" t="e">
        <f t="shared" si="16"/>
        <v>#N/A</v>
      </c>
      <c r="AN62" s="538"/>
      <c r="AO62" s="404"/>
      <c r="AP62" s="182"/>
      <c r="AQ62" s="405"/>
      <c r="AR62" s="404" t="e">
        <f t="shared" si="18"/>
        <v>#N/A</v>
      </c>
      <c r="AS62" s="538"/>
      <c r="AT62" s="404"/>
      <c r="AU62" s="182"/>
      <c r="AV62" s="405"/>
      <c r="AW62" s="404" t="e">
        <f t="shared" si="20"/>
        <v>#N/A</v>
      </c>
      <c r="AX62" s="538"/>
    </row>
    <row r="63" spans="2:50">
      <c r="B63" s="578"/>
      <c r="C63" s="404">
        <v>22</v>
      </c>
      <c r="D63" s="404"/>
      <c r="E63" s="404"/>
      <c r="F63" s="182"/>
      <c r="G63" s="182"/>
      <c r="H63" s="538"/>
      <c r="I63" s="408"/>
      <c r="J63" s="408"/>
      <c r="K63" s="406"/>
      <c r="L63" s="594"/>
      <c r="M63" s="408" t="e">
        <f>RANK(K63, K$42:$K$71)</f>
        <v>#N/A</v>
      </c>
      <c r="N63" s="564"/>
      <c r="O63" s="564"/>
      <c r="P63" s="404"/>
      <c r="Q63" s="182"/>
      <c r="R63" s="405"/>
      <c r="S63" s="404" t="e">
        <f t="shared" si="9"/>
        <v>#N/A</v>
      </c>
      <c r="T63" s="538"/>
      <c r="U63" s="404"/>
      <c r="V63" s="182"/>
      <c r="W63" s="405"/>
      <c r="X63" s="404" t="e">
        <f t="shared" si="10"/>
        <v>#N/A</v>
      </c>
      <c r="Y63" s="538"/>
      <c r="Z63" s="404"/>
      <c r="AA63" s="182"/>
      <c r="AB63" s="405"/>
      <c r="AC63" s="404" t="e">
        <f t="shared" si="12"/>
        <v>#N/A</v>
      </c>
      <c r="AD63" s="538"/>
      <c r="AE63" s="404"/>
      <c r="AF63" s="182"/>
      <c r="AG63" s="405"/>
      <c r="AH63" s="404" t="e">
        <f t="shared" si="14"/>
        <v>#N/A</v>
      </c>
      <c r="AI63" s="538"/>
      <c r="AJ63" s="404"/>
      <c r="AK63" s="182"/>
      <c r="AL63" s="405"/>
      <c r="AM63" s="404" t="e">
        <f t="shared" si="16"/>
        <v>#N/A</v>
      </c>
      <c r="AN63" s="538"/>
      <c r="AO63" s="404"/>
      <c r="AP63" s="182"/>
      <c r="AQ63" s="405"/>
      <c r="AR63" s="404" t="e">
        <f t="shared" si="18"/>
        <v>#N/A</v>
      </c>
      <c r="AS63" s="538"/>
      <c r="AT63" s="404"/>
      <c r="AU63" s="182"/>
      <c r="AV63" s="405"/>
      <c r="AW63" s="404" t="e">
        <f t="shared" si="20"/>
        <v>#N/A</v>
      </c>
      <c r="AX63" s="538"/>
    </row>
    <row r="64" spans="2:50">
      <c r="B64" s="578"/>
      <c r="C64" s="404">
        <v>23</v>
      </c>
      <c r="D64" s="404"/>
      <c r="E64" s="404"/>
      <c r="F64" s="182"/>
      <c r="G64" s="182"/>
      <c r="H64" s="538"/>
      <c r="I64" s="408"/>
      <c r="J64" s="408"/>
      <c r="K64" s="406"/>
      <c r="L64" s="594"/>
      <c r="M64" s="408" t="e">
        <f>RANK(K64, K$42:$K$71)</f>
        <v>#N/A</v>
      </c>
      <c r="N64" s="564"/>
      <c r="O64" s="564"/>
      <c r="P64" s="404"/>
      <c r="Q64" s="182"/>
      <c r="R64" s="405"/>
      <c r="S64" s="404" t="e">
        <f t="shared" si="9"/>
        <v>#N/A</v>
      </c>
      <c r="T64" s="538"/>
      <c r="U64" s="404"/>
      <c r="V64" s="182"/>
      <c r="W64" s="405"/>
      <c r="X64" s="404" t="e">
        <f t="shared" si="10"/>
        <v>#N/A</v>
      </c>
      <c r="Y64" s="538"/>
      <c r="Z64" s="404"/>
      <c r="AA64" s="182"/>
      <c r="AB64" s="405"/>
      <c r="AC64" s="404" t="e">
        <f t="shared" si="12"/>
        <v>#N/A</v>
      </c>
      <c r="AD64" s="538"/>
      <c r="AE64" s="404"/>
      <c r="AF64" s="182"/>
      <c r="AG64" s="405"/>
      <c r="AH64" s="404" t="e">
        <f t="shared" si="14"/>
        <v>#N/A</v>
      </c>
      <c r="AI64" s="538"/>
      <c r="AJ64" s="404"/>
      <c r="AK64" s="182"/>
      <c r="AL64" s="405"/>
      <c r="AM64" s="404" t="e">
        <f t="shared" si="16"/>
        <v>#N/A</v>
      </c>
      <c r="AN64" s="538"/>
      <c r="AO64" s="404"/>
      <c r="AP64" s="182"/>
      <c r="AQ64" s="405"/>
      <c r="AR64" s="404" t="e">
        <f t="shared" si="18"/>
        <v>#N/A</v>
      </c>
      <c r="AS64" s="538"/>
      <c r="AT64" s="404"/>
      <c r="AU64" s="182"/>
      <c r="AV64" s="405"/>
      <c r="AW64" s="404" t="e">
        <f t="shared" si="20"/>
        <v>#N/A</v>
      </c>
      <c r="AX64" s="538"/>
    </row>
    <row r="65" spans="2:50">
      <c r="B65" s="578"/>
      <c r="C65" s="404">
        <v>24</v>
      </c>
      <c r="D65" s="404"/>
      <c r="E65" s="404"/>
      <c r="F65" s="182"/>
      <c r="G65" s="182"/>
      <c r="H65" s="538"/>
      <c r="I65" s="408"/>
      <c r="J65" s="408"/>
      <c r="K65" s="406"/>
      <c r="L65" s="594"/>
      <c r="M65" s="408" t="e">
        <f>RANK(K65, K$42:$K$71)</f>
        <v>#N/A</v>
      </c>
      <c r="N65" s="564"/>
      <c r="O65" s="564"/>
      <c r="P65" s="404"/>
      <c r="Q65" s="182"/>
      <c r="R65" s="405"/>
      <c r="S65" s="404" t="e">
        <f t="shared" si="9"/>
        <v>#N/A</v>
      </c>
      <c r="T65" s="538"/>
      <c r="U65" s="404"/>
      <c r="V65" s="182"/>
      <c r="W65" s="405"/>
      <c r="X65" s="404" t="e">
        <f t="shared" si="10"/>
        <v>#N/A</v>
      </c>
      <c r="Y65" s="538"/>
      <c r="Z65" s="404"/>
      <c r="AA65" s="182"/>
      <c r="AB65" s="405"/>
      <c r="AC65" s="404" t="e">
        <f t="shared" si="12"/>
        <v>#N/A</v>
      </c>
      <c r="AD65" s="538"/>
      <c r="AE65" s="404"/>
      <c r="AF65" s="182"/>
      <c r="AG65" s="405"/>
      <c r="AH65" s="404" t="e">
        <f t="shared" si="14"/>
        <v>#N/A</v>
      </c>
      <c r="AI65" s="538"/>
      <c r="AJ65" s="404"/>
      <c r="AK65" s="182"/>
      <c r="AL65" s="405"/>
      <c r="AM65" s="404" t="e">
        <f t="shared" si="16"/>
        <v>#N/A</v>
      </c>
      <c r="AN65" s="538"/>
      <c r="AO65" s="404"/>
      <c r="AP65" s="182"/>
      <c r="AQ65" s="405"/>
      <c r="AR65" s="404" t="e">
        <f t="shared" si="18"/>
        <v>#N/A</v>
      </c>
      <c r="AS65" s="538"/>
      <c r="AT65" s="404"/>
      <c r="AU65" s="182"/>
      <c r="AV65" s="405"/>
      <c r="AW65" s="404" t="e">
        <f t="shared" si="20"/>
        <v>#N/A</v>
      </c>
      <c r="AX65" s="538"/>
    </row>
    <row r="66" spans="2:50">
      <c r="B66" s="578"/>
      <c r="C66" s="404">
        <v>25</v>
      </c>
      <c r="D66" s="404"/>
      <c r="E66" s="404"/>
      <c r="F66" s="182"/>
      <c r="G66" s="182"/>
      <c r="H66" s="538"/>
      <c r="I66" s="202"/>
      <c r="J66" s="202"/>
      <c r="K66" s="202"/>
      <c r="L66" s="594"/>
      <c r="M66" s="408" t="e">
        <f>RANK(K66, K$42:$K$71)</f>
        <v>#N/A</v>
      </c>
      <c r="N66" s="564"/>
      <c r="O66" s="564"/>
      <c r="P66" s="404"/>
      <c r="Q66" s="182"/>
      <c r="R66" s="405"/>
      <c r="S66" s="404" t="e">
        <f t="shared" si="9"/>
        <v>#N/A</v>
      </c>
      <c r="T66" s="538"/>
      <c r="U66" s="404"/>
      <c r="V66" s="182"/>
      <c r="W66" s="405"/>
      <c r="X66" s="404" t="e">
        <f t="shared" si="10"/>
        <v>#N/A</v>
      </c>
      <c r="Y66" s="538"/>
      <c r="Z66" s="404"/>
      <c r="AA66" s="182"/>
      <c r="AB66" s="405"/>
      <c r="AC66" s="404" t="e">
        <f t="shared" si="12"/>
        <v>#N/A</v>
      </c>
      <c r="AD66" s="538"/>
      <c r="AE66" s="404"/>
      <c r="AF66" s="182"/>
      <c r="AG66" s="405"/>
      <c r="AH66" s="404" t="e">
        <f t="shared" si="14"/>
        <v>#N/A</v>
      </c>
      <c r="AI66" s="538"/>
      <c r="AJ66" s="404"/>
      <c r="AK66" s="182"/>
      <c r="AL66" s="405"/>
      <c r="AM66" s="404" t="e">
        <f t="shared" si="16"/>
        <v>#N/A</v>
      </c>
      <c r="AN66" s="538"/>
      <c r="AO66" s="404"/>
      <c r="AP66" s="182"/>
      <c r="AQ66" s="405"/>
      <c r="AR66" s="404" t="e">
        <f t="shared" si="18"/>
        <v>#N/A</v>
      </c>
      <c r="AS66" s="538"/>
      <c r="AT66" s="404"/>
      <c r="AU66" s="182"/>
      <c r="AV66" s="405"/>
      <c r="AW66" s="404" t="e">
        <f t="shared" si="20"/>
        <v>#N/A</v>
      </c>
      <c r="AX66" s="538"/>
    </row>
    <row r="67" spans="2:50">
      <c r="B67" s="578"/>
      <c r="C67" s="404">
        <v>26</v>
      </c>
      <c r="D67" s="404"/>
      <c r="E67" s="404"/>
      <c r="F67" s="182"/>
      <c r="G67" s="182"/>
      <c r="H67" s="538"/>
      <c r="I67" s="202"/>
      <c r="J67" s="202"/>
      <c r="K67" s="202"/>
      <c r="L67" s="594"/>
      <c r="M67" s="408" t="e">
        <f>RANK(K67, K$42:$K$71)</f>
        <v>#N/A</v>
      </c>
      <c r="N67" s="564"/>
      <c r="O67" s="564"/>
      <c r="P67" s="404"/>
      <c r="Q67" s="182"/>
      <c r="R67" s="405"/>
      <c r="S67" s="404" t="e">
        <f t="shared" si="9"/>
        <v>#N/A</v>
      </c>
      <c r="T67" s="538"/>
      <c r="U67" s="404"/>
      <c r="V67" s="182"/>
      <c r="W67" s="405"/>
      <c r="X67" s="404" t="e">
        <f t="shared" si="10"/>
        <v>#N/A</v>
      </c>
      <c r="Y67" s="538"/>
      <c r="Z67" s="404"/>
      <c r="AA67" s="182"/>
      <c r="AB67" s="405"/>
      <c r="AC67" s="404" t="e">
        <f t="shared" si="12"/>
        <v>#N/A</v>
      </c>
      <c r="AD67" s="538"/>
      <c r="AE67" s="404"/>
      <c r="AF67" s="182"/>
      <c r="AG67" s="405"/>
      <c r="AH67" s="404" t="e">
        <f t="shared" si="14"/>
        <v>#N/A</v>
      </c>
      <c r="AI67" s="538"/>
      <c r="AJ67" s="404"/>
      <c r="AK67" s="182"/>
      <c r="AL67" s="405"/>
      <c r="AM67" s="404" t="e">
        <f t="shared" si="16"/>
        <v>#N/A</v>
      </c>
      <c r="AN67" s="538"/>
      <c r="AO67" s="404"/>
      <c r="AP67" s="182"/>
      <c r="AQ67" s="405"/>
      <c r="AR67" s="404" t="e">
        <f t="shared" si="18"/>
        <v>#N/A</v>
      </c>
      <c r="AS67" s="538"/>
      <c r="AT67" s="404"/>
      <c r="AU67" s="182"/>
      <c r="AV67" s="405"/>
      <c r="AW67" s="404" t="e">
        <f t="shared" si="20"/>
        <v>#N/A</v>
      </c>
      <c r="AX67" s="538"/>
    </row>
    <row r="68" spans="2:50">
      <c r="B68" s="578"/>
      <c r="C68" s="404">
        <v>27</v>
      </c>
      <c r="D68" s="404"/>
      <c r="E68" s="404"/>
      <c r="F68" s="182"/>
      <c r="G68" s="182"/>
      <c r="H68" s="538"/>
      <c r="I68" s="202"/>
      <c r="J68" s="202"/>
      <c r="K68" s="202"/>
      <c r="L68" s="594"/>
      <c r="M68" s="408" t="e">
        <f>RANK(K68, K$42:$K$71)</f>
        <v>#N/A</v>
      </c>
      <c r="N68" s="564"/>
      <c r="O68" s="564"/>
      <c r="P68" s="404"/>
      <c r="Q68" s="182"/>
      <c r="R68" s="405"/>
      <c r="S68" s="404" t="e">
        <f t="shared" si="9"/>
        <v>#N/A</v>
      </c>
      <c r="T68" s="538"/>
      <c r="U68" s="404"/>
      <c r="V68" s="182"/>
      <c r="W68" s="405"/>
      <c r="X68" s="404" t="e">
        <f t="shared" si="10"/>
        <v>#N/A</v>
      </c>
      <c r="Y68" s="538"/>
      <c r="Z68" s="404"/>
      <c r="AA68" s="182"/>
      <c r="AB68" s="405"/>
      <c r="AC68" s="404" t="e">
        <f t="shared" si="12"/>
        <v>#N/A</v>
      </c>
      <c r="AD68" s="538"/>
      <c r="AE68" s="404"/>
      <c r="AF68" s="182"/>
      <c r="AG68" s="405"/>
      <c r="AH68" s="404" t="e">
        <f t="shared" si="14"/>
        <v>#N/A</v>
      </c>
      <c r="AI68" s="538"/>
      <c r="AJ68" s="404"/>
      <c r="AK68" s="182"/>
      <c r="AL68" s="405"/>
      <c r="AM68" s="404" t="e">
        <f t="shared" si="16"/>
        <v>#N/A</v>
      </c>
      <c r="AN68" s="538"/>
      <c r="AO68" s="404"/>
      <c r="AP68" s="182"/>
      <c r="AQ68" s="405"/>
      <c r="AR68" s="404" t="e">
        <f t="shared" si="18"/>
        <v>#N/A</v>
      </c>
      <c r="AS68" s="538"/>
      <c r="AT68" s="404"/>
      <c r="AU68" s="182"/>
      <c r="AV68" s="405"/>
      <c r="AW68" s="404" t="e">
        <f t="shared" si="20"/>
        <v>#N/A</v>
      </c>
      <c r="AX68" s="538"/>
    </row>
    <row r="69" spans="2:50">
      <c r="B69" s="578"/>
      <c r="C69" s="404">
        <v>28</v>
      </c>
      <c r="D69" s="404"/>
      <c r="E69" s="404"/>
      <c r="F69" s="182"/>
      <c r="G69" s="182"/>
      <c r="H69" s="538"/>
      <c r="I69" s="202"/>
      <c r="J69" s="202"/>
      <c r="K69" s="202"/>
      <c r="L69" s="594"/>
      <c r="M69" s="408" t="e">
        <f>RANK(K69, K$42:$K$71)</f>
        <v>#N/A</v>
      </c>
      <c r="N69" s="564"/>
      <c r="O69" s="564"/>
      <c r="P69" s="404"/>
      <c r="Q69" s="182"/>
      <c r="R69" s="405"/>
      <c r="S69" s="404" t="e">
        <f t="shared" si="9"/>
        <v>#N/A</v>
      </c>
      <c r="T69" s="538"/>
      <c r="U69" s="404"/>
      <c r="V69" s="182"/>
      <c r="W69" s="405"/>
      <c r="X69" s="404" t="e">
        <f t="shared" si="10"/>
        <v>#N/A</v>
      </c>
      <c r="Y69" s="538"/>
      <c r="Z69" s="404"/>
      <c r="AA69" s="182"/>
      <c r="AB69" s="405"/>
      <c r="AC69" s="404" t="e">
        <f t="shared" si="12"/>
        <v>#N/A</v>
      </c>
      <c r="AD69" s="538"/>
      <c r="AE69" s="404"/>
      <c r="AF69" s="182"/>
      <c r="AG69" s="405"/>
      <c r="AH69" s="404" t="e">
        <f t="shared" si="14"/>
        <v>#N/A</v>
      </c>
      <c r="AI69" s="538"/>
      <c r="AJ69" s="404"/>
      <c r="AK69" s="182"/>
      <c r="AL69" s="405"/>
      <c r="AM69" s="404" t="e">
        <f t="shared" si="16"/>
        <v>#N/A</v>
      </c>
      <c r="AN69" s="538"/>
      <c r="AO69" s="404"/>
      <c r="AP69" s="182"/>
      <c r="AQ69" s="405"/>
      <c r="AR69" s="404" t="e">
        <f t="shared" si="18"/>
        <v>#N/A</v>
      </c>
      <c r="AS69" s="538"/>
      <c r="AT69" s="404"/>
      <c r="AU69" s="182"/>
      <c r="AV69" s="405"/>
      <c r="AW69" s="404" t="e">
        <f t="shared" si="20"/>
        <v>#N/A</v>
      </c>
      <c r="AX69" s="538"/>
    </row>
    <row r="70" spans="2:50">
      <c r="B70" s="578"/>
      <c r="C70" s="404">
        <v>29</v>
      </c>
      <c r="D70" s="404"/>
      <c r="E70" s="404"/>
      <c r="F70" s="182"/>
      <c r="G70" s="182"/>
      <c r="H70" s="538"/>
      <c r="I70" s="202"/>
      <c r="J70" s="202"/>
      <c r="K70" s="202"/>
      <c r="L70" s="594"/>
      <c r="M70" s="408" t="e">
        <f>RANK(K70, K$42:$K$71)</f>
        <v>#N/A</v>
      </c>
      <c r="N70" s="564"/>
      <c r="O70" s="564"/>
      <c r="P70" s="404"/>
      <c r="Q70" s="182"/>
      <c r="R70" s="405"/>
      <c r="S70" s="404" t="e">
        <f t="shared" si="9"/>
        <v>#N/A</v>
      </c>
      <c r="T70" s="538"/>
      <c r="U70" s="404"/>
      <c r="V70" s="182"/>
      <c r="W70" s="405"/>
      <c r="X70" s="404" t="e">
        <f t="shared" si="10"/>
        <v>#N/A</v>
      </c>
      <c r="Y70" s="538"/>
      <c r="Z70" s="404"/>
      <c r="AA70" s="182"/>
      <c r="AB70" s="405"/>
      <c r="AC70" s="404" t="e">
        <f t="shared" si="12"/>
        <v>#N/A</v>
      </c>
      <c r="AD70" s="538"/>
      <c r="AE70" s="404"/>
      <c r="AF70" s="182"/>
      <c r="AG70" s="405"/>
      <c r="AH70" s="404" t="e">
        <f t="shared" si="14"/>
        <v>#N/A</v>
      </c>
      <c r="AI70" s="538"/>
      <c r="AJ70" s="404"/>
      <c r="AK70" s="182"/>
      <c r="AL70" s="405"/>
      <c r="AM70" s="404" t="e">
        <f t="shared" si="16"/>
        <v>#N/A</v>
      </c>
      <c r="AN70" s="538"/>
      <c r="AO70" s="404"/>
      <c r="AP70" s="182"/>
      <c r="AQ70" s="405"/>
      <c r="AR70" s="404" t="e">
        <f t="shared" si="18"/>
        <v>#N/A</v>
      </c>
      <c r="AS70" s="538"/>
      <c r="AT70" s="404"/>
      <c r="AU70" s="182"/>
      <c r="AV70" s="405"/>
      <c r="AW70" s="404" t="e">
        <f t="shared" si="20"/>
        <v>#N/A</v>
      </c>
      <c r="AX70" s="538"/>
    </row>
    <row r="71" spans="2:50">
      <c r="B71" s="579"/>
      <c r="C71" s="404">
        <v>30</v>
      </c>
      <c r="D71" s="404"/>
      <c r="E71" s="404"/>
      <c r="F71" s="182"/>
      <c r="G71" s="182"/>
      <c r="H71" s="539"/>
      <c r="I71" s="202"/>
      <c r="J71" s="202"/>
      <c r="K71" s="202"/>
      <c r="L71" s="595"/>
      <c r="M71" s="408" t="e">
        <f>RANK(K71, K$42:$K$71)</f>
        <v>#N/A</v>
      </c>
      <c r="N71" s="560"/>
      <c r="O71" s="560"/>
      <c r="P71" s="404"/>
      <c r="Q71" s="182"/>
      <c r="R71" s="405"/>
      <c r="S71" s="404" t="e">
        <f t="shared" si="9"/>
        <v>#N/A</v>
      </c>
      <c r="T71" s="539"/>
      <c r="U71" s="404"/>
      <c r="V71" s="182"/>
      <c r="W71" s="405"/>
      <c r="X71" s="404" t="e">
        <f t="shared" si="10"/>
        <v>#N/A</v>
      </c>
      <c r="Y71" s="539"/>
      <c r="Z71" s="404"/>
      <c r="AA71" s="182"/>
      <c r="AB71" s="405"/>
      <c r="AC71" s="404" t="e">
        <f t="shared" si="12"/>
        <v>#N/A</v>
      </c>
      <c r="AD71" s="539"/>
      <c r="AE71" s="404"/>
      <c r="AF71" s="182"/>
      <c r="AG71" s="405"/>
      <c r="AH71" s="404" t="e">
        <f t="shared" si="14"/>
        <v>#N/A</v>
      </c>
      <c r="AI71" s="539"/>
      <c r="AJ71" s="404"/>
      <c r="AK71" s="182"/>
      <c r="AL71" s="405"/>
      <c r="AM71" s="404" t="e">
        <f t="shared" si="16"/>
        <v>#N/A</v>
      </c>
      <c r="AN71" s="539"/>
      <c r="AO71" s="404"/>
      <c r="AP71" s="182"/>
      <c r="AQ71" s="405"/>
      <c r="AR71" s="404" t="e">
        <f t="shared" si="18"/>
        <v>#N/A</v>
      </c>
      <c r="AS71" s="539"/>
      <c r="AT71" s="404"/>
      <c r="AU71" s="182"/>
      <c r="AV71" s="405"/>
      <c r="AW71" s="404" t="e">
        <f t="shared" si="20"/>
        <v>#N/A</v>
      </c>
      <c r="AX71" s="539"/>
    </row>
    <row r="72" spans="2:50" ht="15.5">
      <c r="B72" s="575" t="s">
        <v>163</v>
      </c>
      <c r="C72" s="576"/>
      <c r="D72" s="576"/>
      <c r="E72" s="576"/>
      <c r="F72" s="576"/>
      <c r="G72" s="576"/>
      <c r="H72" s="576"/>
      <c r="I72" s="208"/>
      <c r="J72" s="203"/>
      <c r="K72" s="208"/>
      <c r="L72" s="208"/>
      <c r="M72" s="204"/>
      <c r="N72" s="559" t="s">
        <v>156</v>
      </c>
      <c r="O72" s="559" t="s">
        <v>155</v>
      </c>
      <c r="P72" s="554">
        <f>P37+7</f>
        <v>46365</v>
      </c>
      <c r="Q72" s="533"/>
      <c r="R72" s="533"/>
      <c r="S72" s="533"/>
      <c r="T72" s="533"/>
      <c r="U72" s="551">
        <f>P72+1</f>
        <v>46366</v>
      </c>
      <c r="V72" s="552"/>
      <c r="W72" s="552"/>
      <c r="X72" s="552"/>
      <c r="Y72" s="553"/>
      <c r="Z72" s="551">
        <f>U72+1</f>
        <v>46367</v>
      </c>
      <c r="AA72" s="552"/>
      <c r="AB72" s="552"/>
      <c r="AC72" s="552"/>
      <c r="AD72" s="553"/>
      <c r="AE72" s="551">
        <f>Z72+1</f>
        <v>46368</v>
      </c>
      <c r="AF72" s="552"/>
      <c r="AG72" s="552"/>
      <c r="AH72" s="552"/>
      <c r="AI72" s="553"/>
      <c r="AJ72" s="551">
        <f>AE72+1</f>
        <v>46369</v>
      </c>
      <c r="AK72" s="552"/>
      <c r="AL72" s="552"/>
      <c r="AM72" s="552"/>
      <c r="AN72" s="553"/>
      <c r="AO72" s="551">
        <f>AJ72+1</f>
        <v>46370</v>
      </c>
      <c r="AP72" s="552"/>
      <c r="AQ72" s="552"/>
      <c r="AR72" s="552"/>
      <c r="AS72" s="553"/>
      <c r="AT72" s="551">
        <f>AO72+1</f>
        <v>46371</v>
      </c>
      <c r="AU72" s="552"/>
      <c r="AV72" s="552"/>
      <c r="AW72" s="552"/>
      <c r="AX72" s="553"/>
    </row>
    <row r="73" spans="2:50" ht="15.5">
      <c r="B73" s="558"/>
      <c r="C73" s="558"/>
      <c r="D73" s="558"/>
      <c r="E73" s="558"/>
      <c r="F73" s="558"/>
      <c r="G73" s="558"/>
      <c r="H73" s="558"/>
      <c r="I73" s="205"/>
      <c r="J73" s="205"/>
      <c r="K73" s="205"/>
      <c r="L73" s="205"/>
      <c r="M73" s="206"/>
      <c r="N73" s="560"/>
      <c r="O73" s="560"/>
      <c r="P73" s="554" t="s">
        <v>334</v>
      </c>
      <c r="Q73" s="533"/>
      <c r="R73" s="533"/>
      <c r="S73" s="533"/>
      <c r="T73" s="533"/>
      <c r="U73" s="554" t="s">
        <v>335</v>
      </c>
      <c r="V73" s="533"/>
      <c r="W73" s="533"/>
      <c r="X73" s="533"/>
      <c r="Y73" s="533"/>
      <c r="Z73" s="554" t="s">
        <v>336</v>
      </c>
      <c r="AA73" s="533"/>
      <c r="AB73" s="533"/>
      <c r="AC73" s="533"/>
      <c r="AD73" s="533"/>
      <c r="AE73" s="554" t="s">
        <v>337</v>
      </c>
      <c r="AF73" s="533"/>
      <c r="AG73" s="533"/>
      <c r="AH73" s="533"/>
      <c r="AI73" s="533"/>
      <c r="AJ73" s="554" t="s">
        <v>338</v>
      </c>
      <c r="AK73" s="533"/>
      <c r="AL73" s="533"/>
      <c r="AM73" s="533"/>
      <c r="AN73" s="533"/>
      <c r="AO73" s="554" t="s">
        <v>339</v>
      </c>
      <c r="AP73" s="533"/>
      <c r="AQ73" s="533"/>
      <c r="AR73" s="533"/>
      <c r="AS73" s="533"/>
      <c r="AT73" s="554" t="s">
        <v>340</v>
      </c>
      <c r="AU73" s="533"/>
      <c r="AV73" s="533"/>
      <c r="AW73" s="533"/>
      <c r="AX73" s="533"/>
    </row>
    <row r="74" spans="2:50">
      <c r="B74" s="559" t="s">
        <v>649</v>
      </c>
      <c r="C74" s="561" t="s">
        <v>650</v>
      </c>
      <c r="D74" s="580"/>
      <c r="E74" s="548" t="s">
        <v>651</v>
      </c>
      <c r="F74" s="549"/>
      <c r="G74" s="550"/>
      <c r="H74" s="559" t="s">
        <v>652</v>
      </c>
      <c r="I74" s="590" t="s">
        <v>653</v>
      </c>
      <c r="J74" s="591"/>
      <c r="K74" s="592"/>
      <c r="L74" s="567" t="s">
        <v>652</v>
      </c>
      <c r="M74" s="567" t="s">
        <v>654</v>
      </c>
      <c r="N74" s="559"/>
      <c r="O74" s="559" t="s">
        <v>655</v>
      </c>
      <c r="P74" s="548" t="s">
        <v>656</v>
      </c>
      <c r="Q74" s="549"/>
      <c r="R74" s="549"/>
      <c r="S74" s="550"/>
      <c r="T74" s="559" t="s">
        <v>652</v>
      </c>
      <c r="U74" s="548" t="s">
        <v>656</v>
      </c>
      <c r="V74" s="549"/>
      <c r="W74" s="549"/>
      <c r="X74" s="550"/>
      <c r="Y74" s="559" t="s">
        <v>652</v>
      </c>
      <c r="Z74" s="548" t="s">
        <v>656</v>
      </c>
      <c r="AA74" s="549"/>
      <c r="AB74" s="549"/>
      <c r="AC74" s="550"/>
      <c r="AD74" s="559" t="s">
        <v>652</v>
      </c>
      <c r="AE74" s="548" t="s">
        <v>656</v>
      </c>
      <c r="AF74" s="549"/>
      <c r="AG74" s="549"/>
      <c r="AH74" s="550"/>
      <c r="AI74" s="559" t="s">
        <v>652</v>
      </c>
      <c r="AJ74" s="548" t="s">
        <v>656</v>
      </c>
      <c r="AK74" s="549"/>
      <c r="AL74" s="549"/>
      <c r="AM74" s="550"/>
      <c r="AN74" s="559" t="s">
        <v>652</v>
      </c>
      <c r="AO74" s="548" t="s">
        <v>656</v>
      </c>
      <c r="AP74" s="549"/>
      <c r="AQ74" s="549"/>
      <c r="AR74" s="550"/>
      <c r="AS74" s="559" t="s">
        <v>652</v>
      </c>
      <c r="AT74" s="548" t="s">
        <v>656</v>
      </c>
      <c r="AU74" s="549"/>
      <c r="AV74" s="549"/>
      <c r="AW74" s="550"/>
      <c r="AX74" s="559" t="s">
        <v>652</v>
      </c>
    </row>
    <row r="75" spans="2:50">
      <c r="B75" s="564"/>
      <c r="C75" s="562"/>
      <c r="D75" s="581"/>
      <c r="E75" s="548" t="s">
        <v>657</v>
      </c>
      <c r="F75" s="549"/>
      <c r="G75" s="550"/>
      <c r="H75" s="564"/>
      <c r="I75" s="590" t="s">
        <v>657</v>
      </c>
      <c r="J75" s="591"/>
      <c r="K75" s="592"/>
      <c r="L75" s="568"/>
      <c r="M75" s="568"/>
      <c r="N75" s="564"/>
      <c r="O75" s="564"/>
      <c r="P75" s="548" t="s">
        <v>658</v>
      </c>
      <c r="Q75" s="549"/>
      <c r="R75" s="549"/>
      <c r="S75" s="550"/>
      <c r="T75" s="564"/>
      <c r="U75" s="548" t="s">
        <v>658</v>
      </c>
      <c r="V75" s="549"/>
      <c r="W75" s="549"/>
      <c r="X75" s="550"/>
      <c r="Y75" s="564"/>
      <c r="Z75" s="548" t="s">
        <v>658</v>
      </c>
      <c r="AA75" s="549"/>
      <c r="AB75" s="549"/>
      <c r="AC75" s="550"/>
      <c r="AD75" s="564"/>
      <c r="AE75" s="548" t="s">
        <v>658</v>
      </c>
      <c r="AF75" s="549"/>
      <c r="AG75" s="549"/>
      <c r="AH75" s="550"/>
      <c r="AI75" s="564"/>
      <c r="AJ75" s="548" t="s">
        <v>658</v>
      </c>
      <c r="AK75" s="549"/>
      <c r="AL75" s="549"/>
      <c r="AM75" s="550"/>
      <c r="AN75" s="564"/>
      <c r="AO75" s="548" t="s">
        <v>658</v>
      </c>
      <c r="AP75" s="549"/>
      <c r="AQ75" s="549"/>
      <c r="AR75" s="550"/>
      <c r="AS75" s="564"/>
      <c r="AT75" s="548" t="s">
        <v>658</v>
      </c>
      <c r="AU75" s="549"/>
      <c r="AV75" s="549"/>
      <c r="AW75" s="550"/>
      <c r="AX75" s="564"/>
    </row>
    <row r="76" spans="2:50">
      <c r="B76" s="560"/>
      <c r="C76" s="563"/>
      <c r="D76" s="582"/>
      <c r="E76" s="403" t="s">
        <v>659</v>
      </c>
      <c r="F76" s="403" t="s">
        <v>660</v>
      </c>
      <c r="G76" s="403" t="s">
        <v>661</v>
      </c>
      <c r="H76" s="560"/>
      <c r="I76" s="402" t="s">
        <v>659</v>
      </c>
      <c r="J76" s="402" t="s">
        <v>660</v>
      </c>
      <c r="K76" s="402" t="s">
        <v>661</v>
      </c>
      <c r="L76" s="569"/>
      <c r="M76" s="569"/>
      <c r="N76" s="564"/>
      <c r="O76" s="564"/>
      <c r="P76" s="403" t="s">
        <v>659</v>
      </c>
      <c r="Q76" s="403" t="s">
        <v>660</v>
      </c>
      <c r="R76" s="403" t="s">
        <v>661</v>
      </c>
      <c r="S76" s="403" t="s">
        <v>654</v>
      </c>
      <c r="T76" s="560"/>
      <c r="U76" s="403" t="s">
        <v>659</v>
      </c>
      <c r="V76" s="403" t="s">
        <v>660</v>
      </c>
      <c r="W76" s="403" t="s">
        <v>661</v>
      </c>
      <c r="X76" s="403" t="s">
        <v>654</v>
      </c>
      <c r="Y76" s="560"/>
      <c r="Z76" s="403" t="s">
        <v>659</v>
      </c>
      <c r="AA76" s="403" t="s">
        <v>660</v>
      </c>
      <c r="AB76" s="403" t="s">
        <v>661</v>
      </c>
      <c r="AC76" s="403" t="s">
        <v>654</v>
      </c>
      <c r="AD76" s="560"/>
      <c r="AE76" s="403" t="s">
        <v>659</v>
      </c>
      <c r="AF76" s="403" t="s">
        <v>660</v>
      </c>
      <c r="AG76" s="403" t="s">
        <v>661</v>
      </c>
      <c r="AH76" s="403" t="s">
        <v>654</v>
      </c>
      <c r="AI76" s="560"/>
      <c r="AJ76" s="403" t="s">
        <v>659</v>
      </c>
      <c r="AK76" s="403" t="s">
        <v>660</v>
      </c>
      <c r="AL76" s="403" t="s">
        <v>661</v>
      </c>
      <c r="AM76" s="403" t="s">
        <v>654</v>
      </c>
      <c r="AN76" s="560"/>
      <c r="AO76" s="403" t="s">
        <v>659</v>
      </c>
      <c r="AP76" s="403" t="s">
        <v>660</v>
      </c>
      <c r="AQ76" s="403" t="s">
        <v>661</v>
      </c>
      <c r="AR76" s="403" t="s">
        <v>654</v>
      </c>
      <c r="AS76" s="560"/>
      <c r="AT76" s="403" t="s">
        <v>659</v>
      </c>
      <c r="AU76" s="403" t="s">
        <v>660</v>
      </c>
      <c r="AV76" s="403" t="s">
        <v>661</v>
      </c>
      <c r="AW76" s="403" t="s">
        <v>654</v>
      </c>
      <c r="AX76" s="560"/>
    </row>
    <row r="77" spans="2:50">
      <c r="B77" s="577" t="s">
        <v>150</v>
      </c>
      <c r="C77" s="404">
        <v>1</v>
      </c>
      <c r="D77" s="404" t="s">
        <v>359</v>
      </c>
      <c r="E77" s="404">
        <v>4</v>
      </c>
      <c r="F77" s="404">
        <v>2200</v>
      </c>
      <c r="G77" s="404">
        <v>550</v>
      </c>
      <c r="H77" s="537">
        <f>AVERAGE(G77:G106)</f>
        <v>860.96491228070181</v>
      </c>
      <c r="I77" s="408">
        <f>AVERAGE(P77,U77,Z77,AE77,AJ77,AO77,AT77)</f>
        <v>3</v>
      </c>
      <c r="J77" s="408">
        <f>AVERAGE(Q77,V77,AA77,AF77,AK77,AP77,AU77)</f>
        <v>3166.0783004538421</v>
      </c>
      <c r="K77" s="406">
        <f>AVERAGE(R77,W77,AB77,AG77,AL77,AQ77,AV77)</f>
        <v>1055.3594334846139</v>
      </c>
      <c r="L77" s="593">
        <f>IFERROR(AVERAGE(K77:K106),"-")</f>
        <v>788.19844734859453</v>
      </c>
      <c r="M77" s="408">
        <f>RANK(K77, K$77:$K$106)</f>
        <v>2</v>
      </c>
      <c r="N77" s="564"/>
      <c r="O77" s="564"/>
      <c r="P77" s="182">
        <v>3</v>
      </c>
      <c r="Q77" s="182">
        <v>3166.3157894736864</v>
      </c>
      <c r="R77" s="182">
        <v>1055.4385964912287</v>
      </c>
      <c r="S77" s="404">
        <f>RANK(R77, R$77:R$106)</f>
        <v>2</v>
      </c>
      <c r="T77" s="537">
        <f>AVERAGE(R77:R106)</f>
        <v>789.94169126603515</v>
      </c>
      <c r="U77" s="182">
        <v>3</v>
      </c>
      <c r="V77" s="182">
        <v>3188.7272727272652</v>
      </c>
      <c r="W77" s="182">
        <v>1062.9090909090885</v>
      </c>
      <c r="X77" s="404">
        <f t="shared" ref="X77:X106" si="23">RANK(W77, W$77:W$106)</f>
        <v>2</v>
      </c>
      <c r="Y77" s="537">
        <f t="shared" ref="Y77" si="24">AVERAGE(W77:W106)</f>
        <v>777.92051301414403</v>
      </c>
      <c r="Z77" s="182">
        <v>3</v>
      </c>
      <c r="AA77" s="182">
        <v>3238.8461538461556</v>
      </c>
      <c r="AB77" s="182">
        <v>1079.6153846153852</v>
      </c>
      <c r="AC77" s="404">
        <f t="shared" ref="AC77:AC106" si="25">RANK(AB77, AB$77:AB$106)</f>
        <v>2</v>
      </c>
      <c r="AD77" s="537">
        <f t="shared" ref="AD77" si="26">AVERAGE(AB77:AB106)</f>
        <v>806.654711145188</v>
      </c>
      <c r="AE77" s="182">
        <v>3</v>
      </c>
      <c r="AF77" s="182">
        <v>3254.0425531914898</v>
      </c>
      <c r="AG77" s="182">
        <v>1084.68085106383</v>
      </c>
      <c r="AH77" s="404">
        <f t="shared" ref="AH77:AH106" si="27">RANK(AG77, AG$77:AG$106)</f>
        <v>1</v>
      </c>
      <c r="AI77" s="537">
        <f t="shared" ref="AI77" si="28">AVERAGE(AG77:AG106)</f>
        <v>798.05992714718957</v>
      </c>
      <c r="AJ77" s="182">
        <v>3</v>
      </c>
      <c r="AK77" s="182">
        <v>2973.6000000000008</v>
      </c>
      <c r="AL77" s="182">
        <v>991.20000000000027</v>
      </c>
      <c r="AM77" s="404">
        <f t="shared" ref="AM77:AM106" si="29">RANK(AL77, AL$77:AL$106)</f>
        <v>2</v>
      </c>
      <c r="AN77" s="537">
        <f t="shared" ref="AN77" si="30">AVERAGE(AL77:AL106)</f>
        <v>778.57333135702822</v>
      </c>
      <c r="AO77" s="182">
        <v>3</v>
      </c>
      <c r="AP77" s="182">
        <v>3182.0689655172391</v>
      </c>
      <c r="AQ77" s="182">
        <v>1060.689655172413</v>
      </c>
      <c r="AR77" s="404">
        <f t="shared" ref="AR77:AR106" si="31">RANK(AQ77, AQ$77:AQ$106)</f>
        <v>2</v>
      </c>
      <c r="AS77" s="537">
        <f t="shared" ref="AS77" si="32">AVERAGE(AQ77:AQ106)</f>
        <v>761.77763471753167</v>
      </c>
      <c r="AT77" s="182">
        <v>3</v>
      </c>
      <c r="AU77" s="182">
        <v>3158.9473684210552</v>
      </c>
      <c r="AV77" s="182">
        <v>1052.9824561403518</v>
      </c>
      <c r="AW77" s="404">
        <f t="shared" ref="AW77:AW106" si="33">RANK(AV77, AV$77:AV$106)</f>
        <v>2</v>
      </c>
      <c r="AX77" s="537">
        <f t="shared" ref="AX77" si="34">AVERAGE(AV77:AV106)</f>
        <v>804.46132279304618</v>
      </c>
    </row>
    <row r="78" spans="2:50">
      <c r="B78" s="578"/>
      <c r="C78" s="404">
        <v>2</v>
      </c>
      <c r="D78" s="404" t="s">
        <v>360</v>
      </c>
      <c r="E78" s="404">
        <v>3</v>
      </c>
      <c r="F78" s="404">
        <v>2700</v>
      </c>
      <c r="G78" s="404">
        <v>900</v>
      </c>
      <c r="H78" s="538"/>
      <c r="I78" s="408">
        <f t="shared" ref="I78:K95" si="35">AVERAGE(P78,U78,Z78,AE78,AJ78,AO78,AT78)</f>
        <v>3</v>
      </c>
      <c r="J78" s="408">
        <f t="shared" si="35"/>
        <v>2830.1682127396425</v>
      </c>
      <c r="K78" s="406">
        <f t="shared" si="35"/>
        <v>943.38940424654754</v>
      </c>
      <c r="L78" s="594"/>
      <c r="M78" s="408">
        <f>RANK(K78, K$77:$K$106)</f>
        <v>4</v>
      </c>
      <c r="N78" s="564"/>
      <c r="O78" s="564"/>
      <c r="P78" s="182">
        <v>3</v>
      </c>
      <c r="Q78" s="182">
        <v>2981.9999999999991</v>
      </c>
      <c r="R78" s="182">
        <v>993.99999999999966</v>
      </c>
      <c r="S78" s="404">
        <f t="shared" ref="S78:S106" si="36">RANK(R78, R$77:R$106)</f>
        <v>3</v>
      </c>
      <c r="T78" s="538"/>
      <c r="U78" s="182">
        <v>3</v>
      </c>
      <c r="V78" s="182">
        <v>2776.3636363636365</v>
      </c>
      <c r="W78" s="182">
        <v>925.4545454545455</v>
      </c>
      <c r="X78" s="404">
        <f t="shared" si="23"/>
        <v>5</v>
      </c>
      <c r="Y78" s="538"/>
      <c r="Z78" s="182">
        <v>3</v>
      </c>
      <c r="AA78" s="182">
        <v>2908.5714285714275</v>
      </c>
      <c r="AB78" s="182">
        <v>969.52380952380918</v>
      </c>
      <c r="AC78" s="404">
        <f t="shared" si="25"/>
        <v>3</v>
      </c>
      <c r="AD78" s="538"/>
      <c r="AE78" s="182">
        <v>3</v>
      </c>
      <c r="AF78" s="182">
        <v>2823.3333333333371</v>
      </c>
      <c r="AG78" s="182">
        <v>941.11111111111234</v>
      </c>
      <c r="AH78" s="404">
        <f t="shared" si="27"/>
        <v>6</v>
      </c>
      <c r="AI78" s="538"/>
      <c r="AJ78" s="182">
        <v>3</v>
      </c>
      <c r="AK78" s="182">
        <v>2730.0000000000036</v>
      </c>
      <c r="AL78" s="182">
        <v>910.00000000000125</v>
      </c>
      <c r="AM78" s="404">
        <f t="shared" si="29"/>
        <v>5</v>
      </c>
      <c r="AN78" s="538"/>
      <c r="AO78" s="182">
        <v>3</v>
      </c>
      <c r="AP78" s="182">
        <v>2852.727272727278</v>
      </c>
      <c r="AQ78" s="182">
        <v>950.9090909090927</v>
      </c>
      <c r="AR78" s="404">
        <f t="shared" si="31"/>
        <v>3</v>
      </c>
      <c r="AS78" s="538"/>
      <c r="AT78" s="182">
        <v>3</v>
      </c>
      <c r="AU78" s="182">
        <v>2738.181818181818</v>
      </c>
      <c r="AV78" s="182">
        <v>912.72727272727263</v>
      </c>
      <c r="AW78" s="404">
        <f t="shared" si="33"/>
        <v>7</v>
      </c>
      <c r="AX78" s="538"/>
    </row>
    <row r="79" spans="2:50">
      <c r="B79" s="578"/>
      <c r="C79" s="404">
        <v>3</v>
      </c>
      <c r="D79" s="404" t="s">
        <v>346</v>
      </c>
      <c r="E79" s="404">
        <v>4</v>
      </c>
      <c r="F79" s="404">
        <v>3600</v>
      </c>
      <c r="G79" s="404">
        <v>900</v>
      </c>
      <c r="H79" s="538"/>
      <c r="I79" s="408">
        <f t="shared" si="35"/>
        <v>4</v>
      </c>
      <c r="J79" s="408">
        <f t="shared" si="35"/>
        <v>3135.3409090909113</v>
      </c>
      <c r="K79" s="406">
        <f t="shared" si="35"/>
        <v>783.83522727272782</v>
      </c>
      <c r="L79" s="594"/>
      <c r="M79" s="408">
        <f>RANK(K79, K$77:$K$106)</f>
        <v>10</v>
      </c>
      <c r="N79" s="564"/>
      <c r="O79" s="564"/>
      <c r="P79" s="182">
        <v>4</v>
      </c>
      <c r="Q79" s="182">
        <v>3369.9999999999891</v>
      </c>
      <c r="R79" s="182">
        <v>842.49999999999727</v>
      </c>
      <c r="S79" s="404">
        <f t="shared" si="36"/>
        <v>8</v>
      </c>
      <c r="T79" s="538"/>
      <c r="U79" s="182">
        <v>4</v>
      </c>
      <c r="V79" s="182">
        <v>2743.6363636363685</v>
      </c>
      <c r="W79" s="182">
        <v>685.90909090909213</v>
      </c>
      <c r="X79" s="404">
        <f t="shared" si="23"/>
        <v>17</v>
      </c>
      <c r="Y79" s="538"/>
      <c r="Z79" s="182">
        <v>4</v>
      </c>
      <c r="AA79" s="182">
        <v>3210.0000000000041</v>
      </c>
      <c r="AB79" s="182">
        <v>802.50000000000102</v>
      </c>
      <c r="AC79" s="404">
        <f t="shared" si="25"/>
        <v>11</v>
      </c>
      <c r="AD79" s="538"/>
      <c r="AE79" s="182">
        <v>4</v>
      </c>
      <c r="AF79" s="182">
        <v>3392.0000000000123</v>
      </c>
      <c r="AG79" s="182">
        <v>848.00000000000307</v>
      </c>
      <c r="AH79" s="404">
        <f t="shared" si="27"/>
        <v>9</v>
      </c>
      <c r="AI79" s="538"/>
      <c r="AJ79" s="182">
        <v>4</v>
      </c>
      <c r="AK79" s="182">
        <v>3048.7499999999959</v>
      </c>
      <c r="AL79" s="182">
        <v>762.18749999999898</v>
      </c>
      <c r="AM79" s="404">
        <f t="shared" si="29"/>
        <v>10</v>
      </c>
      <c r="AN79" s="538"/>
      <c r="AO79" s="182">
        <v>4</v>
      </c>
      <c r="AP79" s="182">
        <v>3117.000000000005</v>
      </c>
      <c r="AQ79" s="182">
        <v>779.25000000000125</v>
      </c>
      <c r="AR79" s="404">
        <f t="shared" si="31"/>
        <v>10</v>
      </c>
      <c r="AS79" s="538"/>
      <c r="AT79" s="182">
        <v>4</v>
      </c>
      <c r="AU79" s="182">
        <v>3066.0000000000045</v>
      </c>
      <c r="AV79" s="182">
        <v>766.50000000000114</v>
      </c>
      <c r="AW79" s="404">
        <f t="shared" si="33"/>
        <v>12</v>
      </c>
      <c r="AX79" s="538"/>
    </row>
    <row r="80" spans="2:50">
      <c r="B80" s="578"/>
      <c r="C80" s="404">
        <v>4</v>
      </c>
      <c r="D80" s="404" t="s">
        <v>362</v>
      </c>
      <c r="E80" s="404">
        <v>3</v>
      </c>
      <c r="F80" s="404">
        <v>3600</v>
      </c>
      <c r="G80" s="404">
        <v>1200</v>
      </c>
      <c r="H80" s="538"/>
      <c r="I80" s="408">
        <f t="shared" si="35"/>
        <v>3</v>
      </c>
      <c r="J80" s="408">
        <f t="shared" si="35"/>
        <v>3197.5847239396148</v>
      </c>
      <c r="K80" s="406">
        <f t="shared" si="35"/>
        <v>1065.8615746465382</v>
      </c>
      <c r="L80" s="594"/>
      <c r="M80" s="408">
        <f>RANK(K80, K$77:$K$106)</f>
        <v>1</v>
      </c>
      <c r="N80" s="564"/>
      <c r="O80" s="564"/>
      <c r="P80" s="182">
        <v>3</v>
      </c>
      <c r="Q80" s="182">
        <v>3252.3076923076942</v>
      </c>
      <c r="R80" s="182">
        <v>1084.1025641025647</v>
      </c>
      <c r="S80" s="404">
        <f t="shared" si="36"/>
        <v>1</v>
      </c>
      <c r="T80" s="538"/>
      <c r="U80" s="182">
        <v>3</v>
      </c>
      <c r="V80" s="182">
        <v>3205.063291139239</v>
      </c>
      <c r="W80" s="182">
        <v>1068.3544303797464</v>
      </c>
      <c r="X80" s="404">
        <f t="shared" si="23"/>
        <v>1</v>
      </c>
      <c r="Y80" s="538"/>
      <c r="Z80" s="182">
        <v>3</v>
      </c>
      <c r="AA80" s="182">
        <v>3290.1369863013706</v>
      </c>
      <c r="AB80" s="182">
        <v>1096.7123287671236</v>
      </c>
      <c r="AC80" s="404">
        <f t="shared" si="25"/>
        <v>1</v>
      </c>
      <c r="AD80" s="538"/>
      <c r="AE80" s="182">
        <v>3</v>
      </c>
      <c r="AF80" s="182">
        <v>3204.9230769230762</v>
      </c>
      <c r="AG80" s="182">
        <v>1068.3076923076922</v>
      </c>
      <c r="AH80" s="404">
        <f t="shared" si="27"/>
        <v>2</v>
      </c>
      <c r="AI80" s="538"/>
      <c r="AJ80" s="182">
        <v>3</v>
      </c>
      <c r="AK80" s="182">
        <v>2922.8571428571431</v>
      </c>
      <c r="AL80" s="182">
        <v>974.28571428571433</v>
      </c>
      <c r="AM80" s="404">
        <f t="shared" si="29"/>
        <v>3</v>
      </c>
      <c r="AN80" s="538"/>
      <c r="AO80" s="182">
        <v>3</v>
      </c>
      <c r="AP80" s="182">
        <v>3320.4878048780474</v>
      </c>
      <c r="AQ80" s="182">
        <v>1106.8292682926824</v>
      </c>
      <c r="AR80" s="404">
        <f t="shared" si="31"/>
        <v>1</v>
      </c>
      <c r="AS80" s="538"/>
      <c r="AT80" s="182">
        <v>3</v>
      </c>
      <c r="AU80" s="182">
        <v>3187.3170731707341</v>
      </c>
      <c r="AV80" s="182">
        <v>1062.4390243902446</v>
      </c>
      <c r="AW80" s="404">
        <f t="shared" si="33"/>
        <v>1</v>
      </c>
      <c r="AX80" s="538"/>
    </row>
    <row r="81" spans="2:50">
      <c r="B81" s="578"/>
      <c r="C81" s="404">
        <v>5</v>
      </c>
      <c r="D81" s="404" t="s">
        <v>363</v>
      </c>
      <c r="E81" s="404">
        <v>3</v>
      </c>
      <c r="F81" s="404">
        <v>3600</v>
      </c>
      <c r="G81" s="404">
        <v>1200</v>
      </c>
      <c r="H81" s="538"/>
      <c r="I81" s="408">
        <f t="shared" si="35"/>
        <v>4</v>
      </c>
      <c r="J81" s="408">
        <f t="shared" si="35"/>
        <v>3100.7375283446713</v>
      </c>
      <c r="K81" s="406">
        <f t="shared" si="35"/>
        <v>775.18438208616783</v>
      </c>
      <c r="L81" s="594"/>
      <c r="M81" s="408">
        <f>RANK(K81, K$77:$K$106)</f>
        <v>11</v>
      </c>
      <c r="N81" s="564"/>
      <c r="O81" s="564"/>
      <c r="P81" s="182">
        <v>4</v>
      </c>
      <c r="Q81" s="182">
        <v>2754.0000000000018</v>
      </c>
      <c r="R81" s="182">
        <v>688.50000000000045</v>
      </c>
      <c r="S81" s="404">
        <f t="shared" si="36"/>
        <v>17</v>
      </c>
      <c r="T81" s="538"/>
      <c r="U81" s="182">
        <v>4</v>
      </c>
      <c r="V81" s="182">
        <v>3130.2857142857183</v>
      </c>
      <c r="W81" s="182">
        <v>782.57142857142958</v>
      </c>
      <c r="X81" s="404">
        <f t="shared" si="23"/>
        <v>8</v>
      </c>
      <c r="Y81" s="538"/>
      <c r="Z81" s="182">
        <v>4</v>
      </c>
      <c r="AA81" s="182">
        <v>3273.7500000000036</v>
      </c>
      <c r="AB81" s="182">
        <v>818.43750000000091</v>
      </c>
      <c r="AC81" s="404">
        <f t="shared" si="25"/>
        <v>10</v>
      </c>
      <c r="AD81" s="538"/>
      <c r="AE81" s="182">
        <v>4</v>
      </c>
      <c r="AF81" s="182">
        <v>3242.2222222222194</v>
      </c>
      <c r="AG81" s="182">
        <v>810.55555555555486</v>
      </c>
      <c r="AH81" s="404">
        <f t="shared" si="27"/>
        <v>10</v>
      </c>
      <c r="AI81" s="538"/>
      <c r="AJ81" s="182">
        <v>4</v>
      </c>
      <c r="AK81" s="182">
        <v>2873.9999999999986</v>
      </c>
      <c r="AL81" s="182">
        <v>718.49999999999966</v>
      </c>
      <c r="AM81" s="404">
        <f t="shared" si="29"/>
        <v>15</v>
      </c>
      <c r="AN81" s="538"/>
      <c r="AO81" s="182">
        <v>4</v>
      </c>
      <c r="AP81" s="182">
        <v>3272.5714285714253</v>
      </c>
      <c r="AQ81" s="182">
        <v>818.14285714285631</v>
      </c>
      <c r="AR81" s="404">
        <f t="shared" si="31"/>
        <v>9</v>
      </c>
      <c r="AS81" s="538"/>
      <c r="AT81" s="182">
        <v>4</v>
      </c>
      <c r="AU81" s="182">
        <v>3158.3333333333312</v>
      </c>
      <c r="AV81" s="182">
        <v>789.5833333333328</v>
      </c>
      <c r="AW81" s="404">
        <f t="shared" si="33"/>
        <v>11</v>
      </c>
      <c r="AX81" s="538"/>
    </row>
    <row r="82" spans="2:50">
      <c r="B82" s="578"/>
      <c r="C82" s="404">
        <v>6</v>
      </c>
      <c r="D82" s="404" t="s">
        <v>361</v>
      </c>
      <c r="E82" s="404">
        <v>4</v>
      </c>
      <c r="F82" s="404">
        <v>3600</v>
      </c>
      <c r="G82" s="404">
        <v>900</v>
      </c>
      <c r="H82" s="538"/>
      <c r="I82" s="408">
        <f t="shared" si="35"/>
        <v>4</v>
      </c>
      <c r="J82" s="408">
        <f t="shared" si="35"/>
        <v>3202.6224489795941</v>
      </c>
      <c r="K82" s="406">
        <f t="shared" si="35"/>
        <v>800.65561224489852</v>
      </c>
      <c r="L82" s="594"/>
      <c r="M82" s="408">
        <f>RANK(K82, K$77:$K$106)</f>
        <v>8</v>
      </c>
      <c r="N82" s="564"/>
      <c r="O82" s="564"/>
      <c r="P82" s="182">
        <v>4</v>
      </c>
      <c r="Q82" s="182">
        <v>3168.0000000000027</v>
      </c>
      <c r="R82" s="182">
        <v>792.00000000000068</v>
      </c>
      <c r="S82" s="404">
        <f t="shared" si="36"/>
        <v>9</v>
      </c>
      <c r="T82" s="538"/>
      <c r="U82" s="182">
        <v>4</v>
      </c>
      <c r="V82" s="182">
        <v>3067.5000000000036</v>
      </c>
      <c r="W82" s="182">
        <v>766.87500000000091</v>
      </c>
      <c r="X82" s="404">
        <f t="shared" si="23"/>
        <v>9</v>
      </c>
      <c r="Y82" s="538"/>
      <c r="Z82" s="182">
        <v>4</v>
      </c>
      <c r="AA82" s="182">
        <v>3402.8571428571454</v>
      </c>
      <c r="AB82" s="182">
        <v>850.71428571428635</v>
      </c>
      <c r="AC82" s="404">
        <f t="shared" si="25"/>
        <v>9</v>
      </c>
      <c r="AD82" s="538"/>
      <c r="AE82" s="182">
        <v>4</v>
      </c>
      <c r="AF82" s="182">
        <v>3230.0000000000009</v>
      </c>
      <c r="AG82" s="182">
        <v>807.50000000000023</v>
      </c>
      <c r="AH82" s="404">
        <f t="shared" si="27"/>
        <v>11</v>
      </c>
      <c r="AI82" s="538"/>
      <c r="AJ82" s="182">
        <v>4</v>
      </c>
      <c r="AK82" s="182">
        <v>3050.0000000000009</v>
      </c>
      <c r="AL82" s="182">
        <v>762.50000000000023</v>
      </c>
      <c r="AM82" s="404">
        <f t="shared" si="29"/>
        <v>9</v>
      </c>
      <c r="AN82" s="538"/>
      <c r="AO82" s="182">
        <v>4</v>
      </c>
      <c r="AP82" s="182">
        <v>3308.0000000000027</v>
      </c>
      <c r="AQ82" s="182">
        <v>827.00000000000068</v>
      </c>
      <c r="AR82" s="404">
        <f t="shared" si="31"/>
        <v>8</v>
      </c>
      <c r="AS82" s="538"/>
      <c r="AT82" s="182">
        <v>4</v>
      </c>
      <c r="AU82" s="182">
        <v>3192.0000000000032</v>
      </c>
      <c r="AV82" s="182">
        <v>798.0000000000008</v>
      </c>
      <c r="AW82" s="404">
        <f t="shared" si="33"/>
        <v>10</v>
      </c>
      <c r="AX82" s="538"/>
    </row>
    <row r="83" spans="2:50">
      <c r="B83" s="578"/>
      <c r="C83" s="404">
        <v>7</v>
      </c>
      <c r="D83" s="404" t="s">
        <v>469</v>
      </c>
      <c r="E83" s="404">
        <v>4</v>
      </c>
      <c r="F83" s="404">
        <v>3600</v>
      </c>
      <c r="G83" s="404">
        <v>900</v>
      </c>
      <c r="H83" s="538"/>
      <c r="I83" s="408">
        <f t="shared" si="35"/>
        <v>4</v>
      </c>
      <c r="J83" s="408">
        <f t="shared" si="35"/>
        <v>3168.8877551020364</v>
      </c>
      <c r="K83" s="406">
        <f t="shared" si="35"/>
        <v>792.2219387755091</v>
      </c>
      <c r="L83" s="594"/>
      <c r="M83" s="408">
        <f>RANK(K83, K$77:$K$106)</f>
        <v>9</v>
      </c>
      <c r="N83" s="564"/>
      <c r="O83" s="564"/>
      <c r="P83" s="182">
        <v>4</v>
      </c>
      <c r="Q83" s="182">
        <v>2958.0000000000105</v>
      </c>
      <c r="R83" s="182">
        <v>739.50000000000261</v>
      </c>
      <c r="S83" s="404">
        <f t="shared" si="36"/>
        <v>10</v>
      </c>
      <c r="T83" s="538"/>
      <c r="U83" s="182">
        <v>4</v>
      </c>
      <c r="V83" s="182">
        <v>3053.9999999999864</v>
      </c>
      <c r="W83" s="182">
        <v>763.49999999999659</v>
      </c>
      <c r="X83" s="404">
        <f t="shared" si="23"/>
        <v>10</v>
      </c>
      <c r="Y83" s="538"/>
      <c r="Z83" s="182">
        <v>4</v>
      </c>
      <c r="AA83" s="182">
        <v>3592.4999999999768</v>
      </c>
      <c r="AB83" s="182">
        <v>898.1249999999942</v>
      </c>
      <c r="AC83" s="404">
        <f t="shared" si="25"/>
        <v>8</v>
      </c>
      <c r="AD83" s="538"/>
      <c r="AE83" s="182">
        <v>4</v>
      </c>
      <c r="AF83" s="182">
        <v>3660.0000000000127</v>
      </c>
      <c r="AG83" s="182">
        <v>915.00000000000318</v>
      </c>
      <c r="AH83" s="404">
        <f t="shared" si="27"/>
        <v>8</v>
      </c>
      <c r="AI83" s="538"/>
      <c r="AJ83" s="182">
        <v>4</v>
      </c>
      <c r="AK83" s="182">
        <v>2965.7142857142962</v>
      </c>
      <c r="AL83" s="182">
        <v>741.42857142857406</v>
      </c>
      <c r="AM83" s="404">
        <f t="shared" si="29"/>
        <v>13</v>
      </c>
      <c r="AN83" s="538"/>
      <c r="AO83" s="182">
        <v>4</v>
      </c>
      <c r="AP83" s="182">
        <v>3053.9999999999864</v>
      </c>
      <c r="AQ83" s="182">
        <v>763.49999999999659</v>
      </c>
      <c r="AR83" s="404">
        <f t="shared" si="31"/>
        <v>11</v>
      </c>
      <c r="AS83" s="538"/>
      <c r="AT83" s="182">
        <v>4</v>
      </c>
      <c r="AU83" s="182">
        <v>2897.9999999999873</v>
      </c>
      <c r="AV83" s="182">
        <v>724.49999999999682</v>
      </c>
      <c r="AW83" s="404">
        <f t="shared" si="33"/>
        <v>13</v>
      </c>
      <c r="AX83" s="538"/>
    </row>
    <row r="84" spans="2:50">
      <c r="B84" s="578"/>
      <c r="C84" s="404">
        <v>8</v>
      </c>
      <c r="D84" s="404" t="s">
        <v>364</v>
      </c>
      <c r="E84" s="404">
        <v>4</v>
      </c>
      <c r="F84" s="404">
        <v>3300</v>
      </c>
      <c r="G84" s="404">
        <v>825</v>
      </c>
      <c r="H84" s="538"/>
      <c r="I84" s="408">
        <f t="shared" si="35"/>
        <v>4</v>
      </c>
      <c r="J84" s="408">
        <f t="shared" si="35"/>
        <v>2816.7110389610411</v>
      </c>
      <c r="K84" s="406">
        <f t="shared" si="35"/>
        <v>704.17775974026029</v>
      </c>
      <c r="L84" s="594"/>
      <c r="M84" s="408">
        <f>RANK(K84, K$77:$K$106)</f>
        <v>16</v>
      </c>
      <c r="N84" s="564"/>
      <c r="O84" s="564"/>
      <c r="P84" s="182">
        <v>4</v>
      </c>
      <c r="Q84" s="182">
        <v>2936.0000000000027</v>
      </c>
      <c r="R84" s="182">
        <v>734.00000000000068</v>
      </c>
      <c r="S84" s="404">
        <f t="shared" si="36"/>
        <v>12</v>
      </c>
      <c r="T84" s="538"/>
      <c r="U84" s="182">
        <v>4</v>
      </c>
      <c r="V84" s="182">
        <v>2771.2500000000032</v>
      </c>
      <c r="W84" s="182">
        <v>692.8125000000008</v>
      </c>
      <c r="X84" s="404">
        <f t="shared" si="23"/>
        <v>15</v>
      </c>
      <c r="Y84" s="538"/>
      <c r="Z84" s="182">
        <v>4</v>
      </c>
      <c r="AA84" s="182">
        <v>2884.0000000000027</v>
      </c>
      <c r="AB84" s="182">
        <v>721.00000000000068</v>
      </c>
      <c r="AC84" s="404">
        <f t="shared" si="25"/>
        <v>14</v>
      </c>
      <c r="AD84" s="538"/>
      <c r="AE84" s="182">
        <v>4</v>
      </c>
      <c r="AF84" s="182">
        <v>2912.727272727273</v>
      </c>
      <c r="AG84" s="182">
        <v>728.18181818181824</v>
      </c>
      <c r="AH84" s="404">
        <f t="shared" si="27"/>
        <v>13</v>
      </c>
      <c r="AI84" s="538"/>
      <c r="AJ84" s="182">
        <v>4</v>
      </c>
      <c r="AK84" s="182">
        <v>2525.0000000000005</v>
      </c>
      <c r="AL84" s="182">
        <v>631.25000000000011</v>
      </c>
      <c r="AM84" s="404">
        <f t="shared" si="29"/>
        <v>18</v>
      </c>
      <c r="AN84" s="538"/>
      <c r="AO84" s="182">
        <v>4</v>
      </c>
      <c r="AP84" s="182">
        <v>2928.0000000000027</v>
      </c>
      <c r="AQ84" s="182">
        <v>732.00000000000068</v>
      </c>
      <c r="AR84" s="404">
        <f t="shared" si="31"/>
        <v>13</v>
      </c>
      <c r="AS84" s="538"/>
      <c r="AT84" s="182">
        <v>4</v>
      </c>
      <c r="AU84" s="182">
        <v>2760.0000000000027</v>
      </c>
      <c r="AV84" s="182">
        <v>690.00000000000068</v>
      </c>
      <c r="AW84" s="404">
        <f t="shared" si="33"/>
        <v>17</v>
      </c>
      <c r="AX84" s="538"/>
    </row>
    <row r="85" spans="2:50">
      <c r="B85" s="578"/>
      <c r="C85" s="404">
        <v>9</v>
      </c>
      <c r="D85" s="404" t="s">
        <v>365</v>
      </c>
      <c r="E85" s="404">
        <v>3</v>
      </c>
      <c r="F85" s="404">
        <v>3300</v>
      </c>
      <c r="G85" s="404">
        <v>1100</v>
      </c>
      <c r="H85" s="538"/>
      <c r="I85" s="408">
        <f t="shared" si="35"/>
        <v>3</v>
      </c>
      <c r="J85" s="408">
        <f t="shared" si="35"/>
        <v>2808.8766339869303</v>
      </c>
      <c r="K85" s="406">
        <f t="shared" si="35"/>
        <v>936.29221132897692</v>
      </c>
      <c r="L85" s="594"/>
      <c r="M85" s="408">
        <f>RANK(K85, K$77:$K$106)</f>
        <v>5</v>
      </c>
      <c r="N85" s="564"/>
      <c r="O85" s="564"/>
      <c r="P85" s="182">
        <v>3</v>
      </c>
      <c r="Q85" s="182">
        <v>2722.9411764705915</v>
      </c>
      <c r="R85" s="182">
        <v>907.64705882353053</v>
      </c>
      <c r="S85" s="404">
        <f t="shared" si="36"/>
        <v>7</v>
      </c>
      <c r="T85" s="538"/>
      <c r="U85" s="182">
        <v>3</v>
      </c>
      <c r="V85" s="182">
        <v>2792.7272727272757</v>
      </c>
      <c r="W85" s="182">
        <v>930.9090909090919</v>
      </c>
      <c r="X85" s="404">
        <f t="shared" si="23"/>
        <v>3</v>
      </c>
      <c r="Y85" s="538"/>
      <c r="Z85" s="182">
        <v>3</v>
      </c>
      <c r="AA85" s="182">
        <v>2821.8750000000032</v>
      </c>
      <c r="AB85" s="182">
        <v>940.62500000000102</v>
      </c>
      <c r="AC85" s="404">
        <f t="shared" si="25"/>
        <v>5</v>
      </c>
      <c r="AD85" s="538"/>
      <c r="AE85" s="182">
        <v>3</v>
      </c>
      <c r="AF85" s="182">
        <v>2891.1111111111086</v>
      </c>
      <c r="AG85" s="182">
        <v>963.7037037037029</v>
      </c>
      <c r="AH85" s="404">
        <f t="shared" si="27"/>
        <v>3</v>
      </c>
      <c r="AI85" s="538"/>
      <c r="AJ85" s="182">
        <v>3</v>
      </c>
      <c r="AK85" s="182">
        <v>2844.4444444444462</v>
      </c>
      <c r="AL85" s="182">
        <v>948.14814814814872</v>
      </c>
      <c r="AM85" s="404">
        <f t="shared" si="29"/>
        <v>4</v>
      </c>
      <c r="AN85" s="538"/>
      <c r="AO85" s="182">
        <v>3</v>
      </c>
      <c r="AP85" s="182">
        <v>2821.7647058823563</v>
      </c>
      <c r="AQ85" s="182">
        <v>940.58823529411882</v>
      </c>
      <c r="AR85" s="404">
        <f t="shared" si="31"/>
        <v>4</v>
      </c>
      <c r="AS85" s="538"/>
      <c r="AT85" s="182">
        <v>3</v>
      </c>
      <c r="AU85" s="182">
        <v>2767.2727272727307</v>
      </c>
      <c r="AV85" s="182">
        <v>922.42424242424352</v>
      </c>
      <c r="AW85" s="404">
        <f t="shared" si="33"/>
        <v>5</v>
      </c>
      <c r="AX85" s="538"/>
    </row>
    <row r="86" spans="2:50">
      <c r="B86" s="578"/>
      <c r="C86" s="404">
        <v>10</v>
      </c>
      <c r="D86" s="404" t="s">
        <v>366</v>
      </c>
      <c r="E86" s="404">
        <v>3</v>
      </c>
      <c r="F86" s="404">
        <v>3300</v>
      </c>
      <c r="G86" s="404">
        <v>1100</v>
      </c>
      <c r="H86" s="538"/>
      <c r="I86" s="408">
        <f t="shared" si="35"/>
        <v>3</v>
      </c>
      <c r="J86" s="408">
        <f t="shared" si="35"/>
        <v>2782.6270002858364</v>
      </c>
      <c r="K86" s="406">
        <f t="shared" si="35"/>
        <v>927.54233342861232</v>
      </c>
      <c r="L86" s="594"/>
      <c r="M86" s="408">
        <f>RANK(K86, K$77:$K$106)</f>
        <v>6</v>
      </c>
      <c r="N86" s="564"/>
      <c r="O86" s="564"/>
      <c r="P86" s="182">
        <v>3</v>
      </c>
      <c r="Q86" s="182">
        <v>2859.4736842105303</v>
      </c>
      <c r="R86" s="182">
        <v>953.15789473684345</v>
      </c>
      <c r="S86" s="404">
        <f t="shared" si="36"/>
        <v>4</v>
      </c>
      <c r="T86" s="538"/>
      <c r="U86" s="182">
        <v>3</v>
      </c>
      <c r="V86" s="182">
        <v>2769.2307692307736</v>
      </c>
      <c r="W86" s="182">
        <v>923.07692307692457</v>
      </c>
      <c r="X86" s="404">
        <f t="shared" si="23"/>
        <v>6</v>
      </c>
      <c r="Y86" s="538"/>
      <c r="Z86" s="182">
        <v>3</v>
      </c>
      <c r="AA86" s="182">
        <v>2854.0540540540551</v>
      </c>
      <c r="AB86" s="182">
        <v>951.3513513513517</v>
      </c>
      <c r="AC86" s="404">
        <f t="shared" si="25"/>
        <v>4</v>
      </c>
      <c r="AD86" s="538"/>
      <c r="AE86" s="182">
        <v>3</v>
      </c>
      <c r="AF86" s="182">
        <v>2885.6249999999991</v>
      </c>
      <c r="AG86" s="182">
        <v>961.87499999999966</v>
      </c>
      <c r="AH86" s="404">
        <f t="shared" si="27"/>
        <v>4</v>
      </c>
      <c r="AI86" s="538"/>
      <c r="AJ86" s="182">
        <v>3</v>
      </c>
      <c r="AK86" s="182">
        <v>2523.428571428572</v>
      </c>
      <c r="AL86" s="182">
        <v>841.14285714285734</v>
      </c>
      <c r="AM86" s="404">
        <f t="shared" si="29"/>
        <v>8</v>
      </c>
      <c r="AN86" s="538"/>
      <c r="AO86" s="182">
        <v>3</v>
      </c>
      <c r="AP86" s="182">
        <v>2803.5000000000014</v>
      </c>
      <c r="AQ86" s="182">
        <v>934.50000000000045</v>
      </c>
      <c r="AR86" s="404">
        <f t="shared" si="31"/>
        <v>5</v>
      </c>
      <c r="AS86" s="538"/>
      <c r="AT86" s="182">
        <v>3</v>
      </c>
      <c r="AU86" s="182">
        <v>2783.076923076927</v>
      </c>
      <c r="AV86" s="182">
        <v>927.69230769230899</v>
      </c>
      <c r="AW86" s="404">
        <f t="shared" si="33"/>
        <v>4</v>
      </c>
      <c r="AX86" s="538"/>
    </row>
    <row r="87" spans="2:50">
      <c r="B87" s="578"/>
      <c r="C87" s="404">
        <v>11</v>
      </c>
      <c r="D87" s="404" t="s">
        <v>367</v>
      </c>
      <c r="E87" s="404">
        <v>4</v>
      </c>
      <c r="F87" s="404">
        <v>3300</v>
      </c>
      <c r="G87" s="404">
        <v>825</v>
      </c>
      <c r="H87" s="538"/>
      <c r="I87" s="408">
        <f t="shared" si="35"/>
        <v>4</v>
      </c>
      <c r="J87" s="408">
        <f t="shared" si="35"/>
        <v>2748.8676737491937</v>
      </c>
      <c r="K87" s="406">
        <f t="shared" si="35"/>
        <v>687.21691843729843</v>
      </c>
      <c r="L87" s="594"/>
      <c r="M87" s="408">
        <f>RANK(K87, K$77:$K$106)</f>
        <v>17</v>
      </c>
      <c r="N87" s="564"/>
      <c r="O87" s="564"/>
      <c r="P87" s="182">
        <v>4</v>
      </c>
      <c r="Q87" s="182">
        <v>2783.0000000000009</v>
      </c>
      <c r="R87" s="182">
        <v>695.75000000000023</v>
      </c>
      <c r="S87" s="404">
        <f t="shared" si="36"/>
        <v>15</v>
      </c>
      <c r="T87" s="538"/>
      <c r="U87" s="182">
        <v>4</v>
      </c>
      <c r="V87" s="182">
        <v>2759.0000000000005</v>
      </c>
      <c r="W87" s="182">
        <v>689.75000000000011</v>
      </c>
      <c r="X87" s="404">
        <f t="shared" si="23"/>
        <v>16</v>
      </c>
      <c r="Y87" s="538"/>
      <c r="Z87" s="182">
        <v>4</v>
      </c>
      <c r="AA87" s="182">
        <v>2807.3684210526317</v>
      </c>
      <c r="AB87" s="182">
        <v>701.84210526315792</v>
      </c>
      <c r="AC87" s="404">
        <f t="shared" si="25"/>
        <v>16</v>
      </c>
      <c r="AD87" s="538"/>
      <c r="AE87" s="182">
        <v>4</v>
      </c>
      <c r="AF87" s="182">
        <v>2763.5999999999963</v>
      </c>
      <c r="AG87" s="182">
        <v>690.89999999999907</v>
      </c>
      <c r="AH87" s="404">
        <f t="shared" si="27"/>
        <v>16</v>
      </c>
      <c r="AI87" s="538"/>
      <c r="AJ87" s="182">
        <v>4</v>
      </c>
      <c r="AK87" s="182">
        <v>2547.1698113207558</v>
      </c>
      <c r="AL87" s="182">
        <v>636.79245283018895</v>
      </c>
      <c r="AM87" s="404">
        <f t="shared" si="29"/>
        <v>17</v>
      </c>
      <c r="AN87" s="538"/>
      <c r="AO87" s="182">
        <v>4</v>
      </c>
      <c r="AP87" s="182">
        <v>2808.3870967741941</v>
      </c>
      <c r="AQ87" s="182">
        <v>702.09677419354853</v>
      </c>
      <c r="AR87" s="404">
        <f t="shared" si="31"/>
        <v>17</v>
      </c>
      <c r="AS87" s="538"/>
      <c r="AT87" s="182">
        <v>4</v>
      </c>
      <c r="AU87" s="182">
        <v>2773.5483870967751</v>
      </c>
      <c r="AV87" s="182">
        <v>693.38709677419376</v>
      </c>
      <c r="AW87" s="404">
        <f t="shared" si="33"/>
        <v>16</v>
      </c>
      <c r="AX87" s="538"/>
    </row>
    <row r="88" spans="2:50">
      <c r="B88" s="578"/>
      <c r="C88" s="404">
        <v>12</v>
      </c>
      <c r="D88" s="404" t="s">
        <v>368</v>
      </c>
      <c r="E88" s="404">
        <v>4</v>
      </c>
      <c r="F88" s="404">
        <v>3300</v>
      </c>
      <c r="G88" s="404">
        <v>825</v>
      </c>
      <c r="H88" s="538"/>
      <c r="I88" s="408">
        <f t="shared" si="35"/>
        <v>4</v>
      </c>
      <c r="J88" s="408">
        <f t="shared" si="35"/>
        <v>2822.3023228124935</v>
      </c>
      <c r="K88" s="406">
        <f t="shared" si="35"/>
        <v>705.57558070312336</v>
      </c>
      <c r="L88" s="594"/>
      <c r="M88" s="408">
        <f>RANK(K88, K$77:$K$106)</f>
        <v>15</v>
      </c>
      <c r="N88" s="564"/>
      <c r="O88" s="564"/>
      <c r="P88" s="182">
        <v>4</v>
      </c>
      <c r="Q88" s="182">
        <v>2829.8507462686534</v>
      </c>
      <c r="R88" s="182">
        <v>707.46268656716336</v>
      </c>
      <c r="S88" s="404">
        <f t="shared" si="36"/>
        <v>13</v>
      </c>
      <c r="T88" s="538"/>
      <c r="U88" s="182">
        <v>4</v>
      </c>
      <c r="V88" s="182">
        <v>2786.4705882352905</v>
      </c>
      <c r="W88" s="182">
        <v>696.61764705882263</v>
      </c>
      <c r="X88" s="404">
        <f t="shared" si="23"/>
        <v>14</v>
      </c>
      <c r="Y88" s="538"/>
      <c r="Z88" s="182">
        <v>4</v>
      </c>
      <c r="AA88" s="182">
        <v>2843.4374999999964</v>
      </c>
      <c r="AB88" s="182">
        <v>710.85937499999909</v>
      </c>
      <c r="AC88" s="404">
        <f t="shared" si="25"/>
        <v>15</v>
      </c>
      <c r="AD88" s="538"/>
      <c r="AE88" s="182">
        <v>4</v>
      </c>
      <c r="AF88" s="182">
        <v>2826.4285714285734</v>
      </c>
      <c r="AG88" s="182">
        <v>706.60714285714334</v>
      </c>
      <c r="AH88" s="404">
        <f t="shared" si="27"/>
        <v>15</v>
      </c>
      <c r="AI88" s="538"/>
      <c r="AJ88" s="182">
        <v>4</v>
      </c>
      <c r="AK88" s="182">
        <v>2848.3636363636383</v>
      </c>
      <c r="AL88" s="182">
        <v>712.09090909090958</v>
      </c>
      <c r="AM88" s="404">
        <f t="shared" si="29"/>
        <v>16</v>
      </c>
      <c r="AN88" s="538"/>
      <c r="AO88" s="182">
        <v>4</v>
      </c>
      <c r="AP88" s="182">
        <v>2832.0000000000005</v>
      </c>
      <c r="AQ88" s="182">
        <v>708.00000000000011</v>
      </c>
      <c r="AR88" s="404">
        <f t="shared" si="31"/>
        <v>15</v>
      </c>
      <c r="AS88" s="538"/>
      <c r="AT88" s="182">
        <v>4</v>
      </c>
      <c r="AU88" s="182">
        <v>2789.5652173913013</v>
      </c>
      <c r="AV88" s="182">
        <v>697.39130434782533</v>
      </c>
      <c r="AW88" s="404">
        <f t="shared" si="33"/>
        <v>14</v>
      </c>
      <c r="AX88" s="538"/>
    </row>
    <row r="89" spans="2:50">
      <c r="B89" s="578"/>
      <c r="C89" s="404">
        <v>13</v>
      </c>
      <c r="D89" s="404" t="s">
        <v>570</v>
      </c>
      <c r="E89" s="404">
        <v>4</v>
      </c>
      <c r="F89" s="404">
        <v>2800</v>
      </c>
      <c r="G89" s="404">
        <v>700</v>
      </c>
      <c r="H89" s="538"/>
      <c r="I89" s="408">
        <f t="shared" si="35"/>
        <v>4</v>
      </c>
      <c r="J89" s="408">
        <f t="shared" si="35"/>
        <v>2847.2162162162158</v>
      </c>
      <c r="K89" s="406">
        <f t="shared" si="35"/>
        <v>711.80405405405395</v>
      </c>
      <c r="L89" s="594"/>
      <c r="M89" s="408">
        <f>RANK(K89, K$77:$K$106)</f>
        <v>14</v>
      </c>
      <c r="N89" s="564"/>
      <c r="O89" s="564"/>
      <c r="P89" s="182">
        <v>4</v>
      </c>
      <c r="Q89" s="182">
        <v>2760</v>
      </c>
      <c r="R89" s="182">
        <v>690</v>
      </c>
      <c r="S89" s="404">
        <f t="shared" si="36"/>
        <v>16</v>
      </c>
      <c r="T89" s="538"/>
      <c r="U89" s="182">
        <v>4</v>
      </c>
      <c r="V89" s="182">
        <v>2797.333333333333</v>
      </c>
      <c r="W89" s="182">
        <v>699.33333333333326</v>
      </c>
      <c r="X89" s="404">
        <f t="shared" si="23"/>
        <v>13</v>
      </c>
      <c r="Y89" s="538"/>
      <c r="Z89" s="182">
        <v>4</v>
      </c>
      <c r="AA89" s="182">
        <v>2936.9999999999991</v>
      </c>
      <c r="AB89" s="182">
        <v>734.24999999999977</v>
      </c>
      <c r="AC89" s="404">
        <f t="shared" si="25"/>
        <v>12</v>
      </c>
      <c r="AD89" s="538"/>
      <c r="AE89" s="182">
        <v>4</v>
      </c>
      <c r="AF89" s="182">
        <v>2873.513513513511</v>
      </c>
      <c r="AG89" s="182">
        <v>718.37837837837776</v>
      </c>
      <c r="AH89" s="404">
        <f t="shared" si="27"/>
        <v>14</v>
      </c>
      <c r="AI89" s="538"/>
      <c r="AJ89" s="182">
        <v>4</v>
      </c>
      <c r="AK89" s="182">
        <v>2951.9999999999973</v>
      </c>
      <c r="AL89" s="182">
        <v>737.99999999999932</v>
      </c>
      <c r="AM89" s="404">
        <f t="shared" si="29"/>
        <v>14</v>
      </c>
      <c r="AN89" s="538"/>
      <c r="AO89" s="182">
        <v>4</v>
      </c>
      <c r="AP89" s="182">
        <v>2824</v>
      </c>
      <c r="AQ89" s="182">
        <v>706</v>
      </c>
      <c r="AR89" s="404">
        <f t="shared" si="31"/>
        <v>16</v>
      </c>
      <c r="AS89" s="538"/>
      <c r="AT89" s="182">
        <v>4</v>
      </c>
      <c r="AU89" s="182">
        <v>2786.6666666666665</v>
      </c>
      <c r="AV89" s="182">
        <v>696.66666666666663</v>
      </c>
      <c r="AW89" s="404">
        <f t="shared" si="33"/>
        <v>15</v>
      </c>
      <c r="AX89" s="538"/>
    </row>
    <row r="90" spans="2:50">
      <c r="B90" s="578"/>
      <c r="C90" s="404">
        <v>14</v>
      </c>
      <c r="D90" s="404" t="s">
        <v>369</v>
      </c>
      <c r="E90" s="404">
        <v>4</v>
      </c>
      <c r="F90" s="404">
        <v>3600</v>
      </c>
      <c r="G90" s="404">
        <v>900</v>
      </c>
      <c r="H90" s="538"/>
      <c r="I90" s="408">
        <f t="shared" si="35"/>
        <v>4</v>
      </c>
      <c r="J90" s="408">
        <f t="shared" si="35"/>
        <v>2354.5766233766158</v>
      </c>
      <c r="K90" s="406">
        <f t="shared" si="35"/>
        <v>588.64415584415394</v>
      </c>
      <c r="L90" s="594"/>
      <c r="M90" s="408">
        <f>RANK(K90, K$77:$K$106)</f>
        <v>18</v>
      </c>
      <c r="N90" s="564"/>
      <c r="O90" s="564"/>
      <c r="P90" s="182">
        <v>4</v>
      </c>
      <c r="Q90" s="182">
        <v>2716.7999999999925</v>
      </c>
      <c r="R90" s="182">
        <v>679.19999999999811</v>
      </c>
      <c r="S90" s="404">
        <f t="shared" si="36"/>
        <v>18</v>
      </c>
      <c r="T90" s="538"/>
      <c r="U90" s="182">
        <v>4</v>
      </c>
      <c r="V90" s="182">
        <v>2714.3999999999924</v>
      </c>
      <c r="W90" s="182">
        <v>678.59999999999809</v>
      </c>
      <c r="X90" s="404">
        <f t="shared" si="23"/>
        <v>18</v>
      </c>
      <c r="Y90" s="538"/>
      <c r="Z90" s="182">
        <v>4</v>
      </c>
      <c r="AA90" s="182">
        <v>2794.9999999999914</v>
      </c>
      <c r="AB90" s="182">
        <v>698.74999999999784</v>
      </c>
      <c r="AC90" s="404">
        <f t="shared" si="25"/>
        <v>17</v>
      </c>
      <c r="AD90" s="538"/>
      <c r="AE90" s="182">
        <v>4</v>
      </c>
      <c r="AF90" s="182">
        <v>2392.7999999999934</v>
      </c>
      <c r="AG90" s="182">
        <v>598.19999999999834</v>
      </c>
      <c r="AH90" s="404">
        <f t="shared" si="27"/>
        <v>17</v>
      </c>
      <c r="AI90" s="538"/>
      <c r="AJ90" s="182">
        <v>4</v>
      </c>
      <c r="AK90" s="182">
        <v>3014.9999999999868</v>
      </c>
      <c r="AL90" s="182">
        <v>753.7499999999967</v>
      </c>
      <c r="AM90" s="404">
        <f t="shared" si="29"/>
        <v>12</v>
      </c>
      <c r="AN90" s="538"/>
      <c r="AO90" s="182">
        <v>4</v>
      </c>
      <c r="AP90" s="182">
        <v>145.6363636363636</v>
      </c>
      <c r="AQ90" s="182">
        <v>36.409090909090899</v>
      </c>
      <c r="AR90" s="404">
        <f t="shared" si="31"/>
        <v>19</v>
      </c>
      <c r="AS90" s="538"/>
      <c r="AT90" s="182">
        <v>4</v>
      </c>
      <c r="AU90" s="182">
        <v>2702.3999999999924</v>
      </c>
      <c r="AV90" s="182">
        <v>675.59999999999809</v>
      </c>
      <c r="AW90" s="404">
        <f t="shared" si="33"/>
        <v>18</v>
      </c>
      <c r="AX90" s="538"/>
    </row>
    <row r="91" spans="2:50">
      <c r="B91" s="578"/>
      <c r="C91" s="404">
        <v>15</v>
      </c>
      <c r="D91" s="404" t="s">
        <v>370</v>
      </c>
      <c r="E91" s="404">
        <v>4</v>
      </c>
      <c r="F91" s="404">
        <v>3600</v>
      </c>
      <c r="G91" s="404">
        <v>900</v>
      </c>
      <c r="H91" s="538"/>
      <c r="I91" s="408">
        <f t="shared" si="35"/>
        <v>4</v>
      </c>
      <c r="J91" s="408">
        <f t="shared" si="35"/>
        <v>2901.4285714285861</v>
      </c>
      <c r="K91" s="406">
        <f t="shared" si="35"/>
        <v>725.35714285714653</v>
      </c>
      <c r="L91" s="594"/>
      <c r="M91" s="408">
        <f>RANK(K91, K$77:$K$106)</f>
        <v>13</v>
      </c>
      <c r="N91" s="564"/>
      <c r="O91" s="564"/>
      <c r="P91" s="182">
        <v>4</v>
      </c>
      <c r="Q91" s="182">
        <v>2812.00000000001</v>
      </c>
      <c r="R91" s="182">
        <v>703.0000000000025</v>
      </c>
      <c r="S91" s="404">
        <f t="shared" si="36"/>
        <v>14</v>
      </c>
      <c r="T91" s="538"/>
      <c r="U91" s="182">
        <v>4</v>
      </c>
      <c r="V91" s="182">
        <v>2800.00000000001</v>
      </c>
      <c r="W91" s="182">
        <v>700.0000000000025</v>
      </c>
      <c r="X91" s="404">
        <f t="shared" si="23"/>
        <v>12</v>
      </c>
      <c r="Y91" s="538"/>
      <c r="Z91" s="182">
        <v>4</v>
      </c>
      <c r="AA91" s="182">
        <v>2651.9999999999809</v>
      </c>
      <c r="AB91" s="182">
        <v>662.99999999999523</v>
      </c>
      <c r="AC91" s="404">
        <f t="shared" si="25"/>
        <v>18</v>
      </c>
      <c r="AD91" s="538"/>
      <c r="AE91" s="182">
        <v>4</v>
      </c>
      <c r="AF91" s="182">
        <v>2128.0000000000073</v>
      </c>
      <c r="AG91" s="182">
        <v>532.00000000000182</v>
      </c>
      <c r="AH91" s="404">
        <f t="shared" si="27"/>
        <v>18</v>
      </c>
      <c r="AI91" s="538"/>
      <c r="AJ91" s="182">
        <v>4</v>
      </c>
      <c r="AK91" s="182">
        <v>3444.0000000000123</v>
      </c>
      <c r="AL91" s="182">
        <v>861.00000000000307</v>
      </c>
      <c r="AM91" s="404">
        <f t="shared" si="29"/>
        <v>7</v>
      </c>
      <c r="AN91" s="538"/>
      <c r="AO91" s="182">
        <v>4</v>
      </c>
      <c r="AP91" s="182">
        <v>2844.00000000001</v>
      </c>
      <c r="AQ91" s="182">
        <v>711.0000000000025</v>
      </c>
      <c r="AR91" s="404">
        <f t="shared" si="31"/>
        <v>14</v>
      </c>
      <c r="AS91" s="538"/>
      <c r="AT91" s="182">
        <v>4</v>
      </c>
      <c r="AU91" s="182">
        <v>3630.0000000000709</v>
      </c>
      <c r="AV91" s="182">
        <v>907.50000000001774</v>
      </c>
      <c r="AW91" s="404">
        <f t="shared" si="33"/>
        <v>8</v>
      </c>
      <c r="AX91" s="538"/>
    </row>
    <row r="92" spans="2:50">
      <c r="B92" s="578"/>
      <c r="C92" s="404">
        <v>16</v>
      </c>
      <c r="D92" s="404" t="s">
        <v>481</v>
      </c>
      <c r="E92" s="404">
        <v>4</v>
      </c>
      <c r="F92" s="404">
        <v>3300</v>
      </c>
      <c r="G92" s="404">
        <v>825</v>
      </c>
      <c r="H92" s="538"/>
      <c r="I92" s="408">
        <f t="shared" si="35"/>
        <v>3</v>
      </c>
      <c r="J92" s="408">
        <f t="shared" si="35"/>
        <v>2757.4920329670304</v>
      </c>
      <c r="K92" s="406">
        <f t="shared" si="35"/>
        <v>919.16401098901008</v>
      </c>
      <c r="L92" s="594"/>
      <c r="M92" s="408">
        <f>RANK(K92, K$77:$K$106)</f>
        <v>7</v>
      </c>
      <c r="N92" s="564"/>
      <c r="O92" s="564"/>
      <c r="P92" s="182">
        <v>3</v>
      </c>
      <c r="Q92" s="182">
        <v>2755.999999999995</v>
      </c>
      <c r="R92" s="182">
        <v>918.66666666666504</v>
      </c>
      <c r="S92" s="404">
        <f t="shared" si="36"/>
        <v>6</v>
      </c>
      <c r="T92" s="538"/>
      <c r="U92" s="182">
        <v>3</v>
      </c>
      <c r="V92" s="182">
        <v>2781.999999999995</v>
      </c>
      <c r="W92" s="182">
        <v>927.33333333333167</v>
      </c>
      <c r="X92" s="404">
        <f t="shared" si="23"/>
        <v>4</v>
      </c>
      <c r="Y92" s="538"/>
      <c r="Z92" s="182">
        <v>3</v>
      </c>
      <c r="AA92" s="182">
        <v>2759.999999999995</v>
      </c>
      <c r="AB92" s="182">
        <v>919.99999999999829</v>
      </c>
      <c r="AC92" s="404">
        <f t="shared" si="25"/>
        <v>7</v>
      </c>
      <c r="AD92" s="538"/>
      <c r="AE92" s="182">
        <v>3</v>
      </c>
      <c r="AF92" s="182">
        <v>2810.7692307692323</v>
      </c>
      <c r="AG92" s="182">
        <v>936.92307692307747</v>
      </c>
      <c r="AH92" s="404">
        <f t="shared" si="27"/>
        <v>7</v>
      </c>
      <c r="AI92" s="538"/>
      <c r="AJ92" s="182">
        <v>3</v>
      </c>
      <c r="AK92" s="182">
        <v>2716.8000000000011</v>
      </c>
      <c r="AL92" s="182">
        <v>905.60000000000036</v>
      </c>
      <c r="AM92" s="404">
        <f t="shared" si="29"/>
        <v>6</v>
      </c>
      <c r="AN92" s="538"/>
      <c r="AO92" s="182">
        <v>3</v>
      </c>
      <c r="AP92" s="182">
        <v>2716.8749999999964</v>
      </c>
      <c r="AQ92" s="182">
        <v>905.62499999999875</v>
      </c>
      <c r="AR92" s="404">
        <f t="shared" si="31"/>
        <v>6</v>
      </c>
      <c r="AS92" s="538"/>
      <c r="AT92" s="182">
        <v>3</v>
      </c>
      <c r="AU92" s="182">
        <v>2759.999999999995</v>
      </c>
      <c r="AV92" s="182">
        <v>919.99999999999829</v>
      </c>
      <c r="AW92" s="404">
        <f t="shared" si="33"/>
        <v>6</v>
      </c>
      <c r="AX92" s="538"/>
    </row>
    <row r="93" spans="2:50">
      <c r="B93" s="578"/>
      <c r="C93" s="404">
        <v>17</v>
      </c>
      <c r="D93" s="404" t="s">
        <v>567</v>
      </c>
      <c r="E93" s="404">
        <v>3</v>
      </c>
      <c r="F93" s="404">
        <v>2800</v>
      </c>
      <c r="G93" s="404">
        <v>933.33333333333337</v>
      </c>
      <c r="H93" s="538"/>
      <c r="I93" s="408">
        <f t="shared" si="35"/>
        <v>3</v>
      </c>
      <c r="J93" s="408">
        <f t="shared" si="35"/>
        <v>2845.9334049409213</v>
      </c>
      <c r="K93" s="406">
        <f t="shared" si="35"/>
        <v>948.64446831364057</v>
      </c>
      <c r="L93" s="594"/>
      <c r="M93" s="408">
        <f>RANK(K93, K$77:$K$106)</f>
        <v>3</v>
      </c>
      <c r="N93" s="564"/>
      <c r="O93" s="564"/>
      <c r="P93" s="182">
        <v>3</v>
      </c>
      <c r="Q93" s="182">
        <v>2812.4999999999991</v>
      </c>
      <c r="R93" s="182">
        <v>937.49999999999966</v>
      </c>
      <c r="S93" s="404">
        <f t="shared" si="36"/>
        <v>5</v>
      </c>
      <c r="T93" s="538"/>
      <c r="U93" s="182">
        <v>3</v>
      </c>
      <c r="V93" s="182">
        <v>2743.4999999999991</v>
      </c>
      <c r="W93" s="182">
        <v>914.49999999999966</v>
      </c>
      <c r="X93" s="404">
        <f t="shared" si="23"/>
        <v>7</v>
      </c>
      <c r="Y93" s="538"/>
      <c r="Z93" s="182">
        <v>3</v>
      </c>
      <c r="AA93" s="182">
        <v>2782.1052631579046</v>
      </c>
      <c r="AB93" s="182">
        <v>927.36842105263486</v>
      </c>
      <c r="AC93" s="404">
        <f t="shared" si="25"/>
        <v>6</v>
      </c>
      <c r="AD93" s="538"/>
      <c r="AE93" s="182">
        <v>3</v>
      </c>
      <c r="AF93" s="182">
        <v>2862.8571428571399</v>
      </c>
      <c r="AG93" s="182">
        <v>954.28571428571331</v>
      </c>
      <c r="AH93" s="404">
        <f t="shared" si="27"/>
        <v>5</v>
      </c>
      <c r="AI93" s="538"/>
      <c r="AJ93" s="182">
        <v>3</v>
      </c>
      <c r="AK93" s="182">
        <v>2994.8571428571395</v>
      </c>
      <c r="AL93" s="182">
        <v>998.2857142857132</v>
      </c>
      <c r="AM93" s="404">
        <f t="shared" si="29"/>
        <v>1</v>
      </c>
      <c r="AN93" s="538"/>
      <c r="AO93" s="182">
        <v>3</v>
      </c>
      <c r="AP93" s="182">
        <v>2687.9999999999991</v>
      </c>
      <c r="AQ93" s="182">
        <v>895.99999999999966</v>
      </c>
      <c r="AR93" s="404">
        <f t="shared" si="31"/>
        <v>7</v>
      </c>
      <c r="AS93" s="538"/>
      <c r="AT93" s="182">
        <v>3</v>
      </c>
      <c r="AU93" s="182">
        <v>3037.7142857142685</v>
      </c>
      <c r="AV93" s="182">
        <v>1012.5714285714229</v>
      </c>
      <c r="AW93" s="404">
        <f t="shared" si="33"/>
        <v>3</v>
      </c>
      <c r="AX93" s="538"/>
    </row>
    <row r="94" spans="2:50">
      <c r="B94" s="578"/>
      <c r="C94" s="404">
        <v>18</v>
      </c>
      <c r="D94" s="404" t="s">
        <v>640</v>
      </c>
      <c r="E94" s="404">
        <v>4</v>
      </c>
      <c r="F94" s="404">
        <v>3000</v>
      </c>
      <c r="G94" s="404">
        <v>750</v>
      </c>
      <c r="H94" s="538"/>
      <c r="I94" s="408">
        <f t="shared" si="35"/>
        <v>3</v>
      </c>
      <c r="J94" s="408">
        <f t="shared" si="35"/>
        <v>2280.3411196911215</v>
      </c>
      <c r="K94" s="406">
        <f t="shared" si="35"/>
        <v>760.1137065637073</v>
      </c>
      <c r="L94" s="594"/>
      <c r="M94" s="408">
        <f>RANK(K94, K$77:$K$106)</f>
        <v>12</v>
      </c>
      <c r="N94" s="564"/>
      <c r="O94" s="564"/>
      <c r="P94" s="182">
        <v>3</v>
      </c>
      <c r="Q94" s="182">
        <v>2202.0000000000036</v>
      </c>
      <c r="R94" s="182">
        <v>734.00000000000125</v>
      </c>
      <c r="S94" s="404">
        <f t="shared" si="36"/>
        <v>11</v>
      </c>
      <c r="T94" s="538"/>
      <c r="U94" s="182">
        <v>3</v>
      </c>
      <c r="V94" s="182">
        <v>2163.7499999999945</v>
      </c>
      <c r="W94" s="182">
        <v>721.24999999999818</v>
      </c>
      <c r="X94" s="404">
        <f t="shared" si="23"/>
        <v>11</v>
      </c>
      <c r="Y94" s="538"/>
      <c r="Z94" s="182">
        <v>3</v>
      </c>
      <c r="AA94" s="182">
        <v>2177.8378378378411</v>
      </c>
      <c r="AB94" s="182">
        <v>725.94594594594707</v>
      </c>
      <c r="AC94" s="404">
        <f t="shared" si="25"/>
        <v>13</v>
      </c>
      <c r="AD94" s="538"/>
      <c r="AE94" s="182">
        <v>3</v>
      </c>
      <c r="AF94" s="182">
        <v>2254.2857142857169</v>
      </c>
      <c r="AG94" s="182">
        <v>751.42857142857235</v>
      </c>
      <c r="AH94" s="404">
        <f t="shared" si="27"/>
        <v>12</v>
      </c>
      <c r="AI94" s="538"/>
      <c r="AJ94" s="182">
        <v>3</v>
      </c>
      <c r="AK94" s="182">
        <v>2263.7142857142885</v>
      </c>
      <c r="AL94" s="182">
        <v>754.57142857142946</v>
      </c>
      <c r="AM94" s="404">
        <f t="shared" si="29"/>
        <v>11</v>
      </c>
      <c r="AN94" s="538"/>
      <c r="AO94" s="182">
        <v>3</v>
      </c>
      <c r="AP94" s="182">
        <v>2244.8000000000034</v>
      </c>
      <c r="AQ94" s="182">
        <v>748.26666666666779</v>
      </c>
      <c r="AR94" s="404">
        <f t="shared" si="31"/>
        <v>12</v>
      </c>
      <c r="AS94" s="538"/>
      <c r="AT94" s="182">
        <v>3</v>
      </c>
      <c r="AU94" s="182">
        <v>2656.0000000000027</v>
      </c>
      <c r="AV94" s="182">
        <v>885.33333333333428</v>
      </c>
      <c r="AW94" s="404">
        <f t="shared" si="33"/>
        <v>9</v>
      </c>
      <c r="AX94" s="538"/>
    </row>
    <row r="95" spans="2:50">
      <c r="B95" s="578"/>
      <c r="C95" s="404">
        <v>19</v>
      </c>
      <c r="D95" s="404" t="s">
        <v>577</v>
      </c>
      <c r="E95" s="404">
        <v>12</v>
      </c>
      <c r="F95" s="404">
        <v>1500</v>
      </c>
      <c r="G95" s="404">
        <v>125</v>
      </c>
      <c r="H95" s="538"/>
      <c r="I95" s="408">
        <f t="shared" si="35"/>
        <v>10.428571428571429</v>
      </c>
      <c r="J95" s="408">
        <f t="shared" si="35"/>
        <v>1496.9425622880733</v>
      </c>
      <c r="K95" s="406">
        <f t="shared" si="35"/>
        <v>144.73058460631222</v>
      </c>
      <c r="L95" s="594"/>
      <c r="M95" s="408">
        <f>RANK(K95, K$77:$K$106)</f>
        <v>19</v>
      </c>
      <c r="N95" s="564"/>
      <c r="O95" s="564"/>
      <c r="P95" s="182">
        <v>10</v>
      </c>
      <c r="Q95" s="182">
        <v>1524.6666666666667</v>
      </c>
      <c r="R95" s="182">
        <v>152.46666666666667</v>
      </c>
      <c r="S95" s="404">
        <f t="shared" si="36"/>
        <v>19</v>
      </c>
      <c r="T95" s="538"/>
      <c r="U95" s="182">
        <v>10</v>
      </c>
      <c r="V95" s="182">
        <v>1507.3333333333335</v>
      </c>
      <c r="W95" s="182">
        <v>150.73333333333335</v>
      </c>
      <c r="X95" s="404">
        <f t="shared" si="23"/>
        <v>19</v>
      </c>
      <c r="Y95" s="538"/>
      <c r="Z95" s="182">
        <v>13</v>
      </c>
      <c r="AA95" s="182">
        <v>1505.6470588235304</v>
      </c>
      <c r="AB95" s="182">
        <v>115.81900452488695</v>
      </c>
      <c r="AC95" s="404">
        <f t="shared" si="25"/>
        <v>19</v>
      </c>
      <c r="AD95" s="538"/>
      <c r="AE95" s="182">
        <v>10</v>
      </c>
      <c r="AF95" s="182">
        <v>1455.0000000000009</v>
      </c>
      <c r="AG95" s="182">
        <v>145.50000000000009</v>
      </c>
      <c r="AH95" s="404">
        <f t="shared" si="27"/>
        <v>19</v>
      </c>
      <c r="AI95" s="538"/>
      <c r="AJ95" s="182">
        <v>10</v>
      </c>
      <c r="AK95" s="182">
        <v>1521.6000000000006</v>
      </c>
      <c r="AL95" s="182">
        <v>152.16000000000005</v>
      </c>
      <c r="AM95" s="404">
        <f t="shared" si="29"/>
        <v>19</v>
      </c>
      <c r="AN95" s="538"/>
      <c r="AO95" s="182">
        <v>10</v>
      </c>
      <c r="AP95" s="182">
        <v>1469.6842105263158</v>
      </c>
      <c r="AQ95" s="182">
        <v>146.96842105263158</v>
      </c>
      <c r="AR95" s="404">
        <f t="shared" si="31"/>
        <v>18</v>
      </c>
      <c r="AS95" s="538"/>
      <c r="AT95" s="182">
        <v>10</v>
      </c>
      <c r="AU95" s="182">
        <v>1494.6666666666667</v>
      </c>
      <c r="AV95" s="182">
        <v>149.46666666666667</v>
      </c>
      <c r="AW95" s="404">
        <f t="shared" si="33"/>
        <v>19</v>
      </c>
      <c r="AX95" s="538"/>
    </row>
    <row r="96" spans="2:50">
      <c r="B96" s="578"/>
      <c r="C96" s="404">
        <v>20</v>
      </c>
      <c r="D96" s="404"/>
      <c r="E96" s="404"/>
      <c r="F96" s="404"/>
      <c r="G96" s="404"/>
      <c r="H96" s="538"/>
      <c r="I96" s="408"/>
      <c r="J96" s="408"/>
      <c r="K96" s="406"/>
      <c r="L96" s="594"/>
      <c r="M96" s="408" t="e">
        <f>RANK(K96, K$77:$K$106)</f>
        <v>#N/A</v>
      </c>
      <c r="N96" s="564"/>
      <c r="O96" s="564"/>
      <c r="P96" s="182"/>
      <c r="Q96" s="182"/>
      <c r="R96" s="182"/>
      <c r="S96" s="404" t="e">
        <f t="shared" si="36"/>
        <v>#N/A</v>
      </c>
      <c r="T96" s="538"/>
      <c r="U96" s="182"/>
      <c r="V96" s="182"/>
      <c r="W96" s="182"/>
      <c r="X96" s="404" t="e">
        <f t="shared" si="23"/>
        <v>#N/A</v>
      </c>
      <c r="Y96" s="538"/>
      <c r="Z96" s="182"/>
      <c r="AA96" s="182"/>
      <c r="AB96" s="182"/>
      <c r="AC96" s="404" t="e">
        <f t="shared" si="25"/>
        <v>#N/A</v>
      </c>
      <c r="AD96" s="538"/>
      <c r="AE96" s="182"/>
      <c r="AF96" s="182"/>
      <c r="AG96" s="182"/>
      <c r="AH96" s="404" t="e">
        <f t="shared" si="27"/>
        <v>#N/A</v>
      </c>
      <c r="AI96" s="538"/>
      <c r="AJ96" s="182"/>
      <c r="AK96" s="182"/>
      <c r="AL96" s="182"/>
      <c r="AM96" s="404" t="e">
        <f t="shared" si="29"/>
        <v>#N/A</v>
      </c>
      <c r="AN96" s="538"/>
      <c r="AO96" s="182"/>
      <c r="AP96" s="182"/>
      <c r="AQ96" s="182"/>
      <c r="AR96" s="404" t="e">
        <f t="shared" si="31"/>
        <v>#N/A</v>
      </c>
      <c r="AS96" s="538"/>
      <c r="AT96" s="182"/>
      <c r="AU96" s="182"/>
      <c r="AV96" s="182"/>
      <c r="AW96" s="404" t="e">
        <f t="shared" si="33"/>
        <v>#N/A</v>
      </c>
      <c r="AX96" s="538"/>
    </row>
    <row r="97" spans="2:50">
      <c r="B97" s="578"/>
      <c r="C97" s="404">
        <v>21</v>
      </c>
      <c r="D97" s="404"/>
      <c r="E97" s="404"/>
      <c r="F97" s="404"/>
      <c r="G97" s="404"/>
      <c r="H97" s="538"/>
      <c r="I97" s="408"/>
      <c r="J97" s="408"/>
      <c r="K97" s="406"/>
      <c r="L97" s="594"/>
      <c r="M97" s="408" t="e">
        <f>RANK(K97, K$77:$K$106)</f>
        <v>#N/A</v>
      </c>
      <c r="N97" s="564"/>
      <c r="O97" s="564"/>
      <c r="P97" s="404"/>
      <c r="Q97" s="182"/>
      <c r="R97" s="405"/>
      <c r="S97" s="404" t="e">
        <f t="shared" si="36"/>
        <v>#N/A</v>
      </c>
      <c r="T97" s="538"/>
      <c r="U97" s="404"/>
      <c r="V97" s="182"/>
      <c r="W97" s="405"/>
      <c r="X97" s="404" t="e">
        <f t="shared" si="23"/>
        <v>#N/A</v>
      </c>
      <c r="Y97" s="538"/>
      <c r="Z97" s="404"/>
      <c r="AA97" s="182"/>
      <c r="AB97" s="405"/>
      <c r="AC97" s="404" t="e">
        <f t="shared" si="25"/>
        <v>#N/A</v>
      </c>
      <c r="AD97" s="538"/>
      <c r="AE97" s="404"/>
      <c r="AF97" s="182"/>
      <c r="AG97" s="405"/>
      <c r="AH97" s="404" t="e">
        <f t="shared" si="27"/>
        <v>#N/A</v>
      </c>
      <c r="AI97" s="538"/>
      <c r="AJ97" s="404"/>
      <c r="AK97" s="182"/>
      <c r="AL97" s="405"/>
      <c r="AM97" s="404" t="e">
        <f t="shared" si="29"/>
        <v>#N/A</v>
      </c>
      <c r="AN97" s="538"/>
      <c r="AO97" s="404"/>
      <c r="AP97" s="182"/>
      <c r="AQ97" s="405"/>
      <c r="AR97" s="404" t="e">
        <f t="shared" si="31"/>
        <v>#N/A</v>
      </c>
      <c r="AS97" s="538"/>
      <c r="AT97" s="404"/>
      <c r="AU97" s="182"/>
      <c r="AV97" s="405"/>
      <c r="AW97" s="404" t="e">
        <f t="shared" si="33"/>
        <v>#N/A</v>
      </c>
      <c r="AX97" s="538"/>
    </row>
    <row r="98" spans="2:50">
      <c r="B98" s="578"/>
      <c r="C98" s="404">
        <v>22</v>
      </c>
      <c r="D98" s="404"/>
      <c r="E98" s="404"/>
      <c r="F98" s="404"/>
      <c r="G98" s="404"/>
      <c r="H98" s="538"/>
      <c r="I98" s="408"/>
      <c r="J98" s="408"/>
      <c r="K98" s="406"/>
      <c r="L98" s="594"/>
      <c r="M98" s="408" t="e">
        <f>RANK(K98, K$77:$K$106)</f>
        <v>#N/A</v>
      </c>
      <c r="N98" s="564"/>
      <c r="O98" s="564"/>
      <c r="P98" s="404"/>
      <c r="Q98" s="182"/>
      <c r="R98" s="405"/>
      <c r="S98" s="404" t="e">
        <f t="shared" si="36"/>
        <v>#N/A</v>
      </c>
      <c r="T98" s="538"/>
      <c r="U98" s="404"/>
      <c r="V98" s="182"/>
      <c r="W98" s="405"/>
      <c r="X98" s="404" t="e">
        <f t="shared" si="23"/>
        <v>#N/A</v>
      </c>
      <c r="Y98" s="538"/>
      <c r="Z98" s="404"/>
      <c r="AA98" s="182"/>
      <c r="AB98" s="405"/>
      <c r="AC98" s="404" t="e">
        <f t="shared" si="25"/>
        <v>#N/A</v>
      </c>
      <c r="AD98" s="538"/>
      <c r="AE98" s="404"/>
      <c r="AF98" s="182"/>
      <c r="AG98" s="405"/>
      <c r="AH98" s="404" t="e">
        <f t="shared" si="27"/>
        <v>#N/A</v>
      </c>
      <c r="AI98" s="538"/>
      <c r="AJ98" s="404"/>
      <c r="AK98" s="182"/>
      <c r="AL98" s="405"/>
      <c r="AM98" s="404" t="e">
        <f t="shared" si="29"/>
        <v>#N/A</v>
      </c>
      <c r="AN98" s="538"/>
      <c r="AO98" s="404"/>
      <c r="AP98" s="182"/>
      <c r="AQ98" s="405"/>
      <c r="AR98" s="404" t="e">
        <f t="shared" si="31"/>
        <v>#N/A</v>
      </c>
      <c r="AS98" s="538"/>
      <c r="AT98" s="404"/>
      <c r="AU98" s="182"/>
      <c r="AV98" s="405"/>
      <c r="AW98" s="404" t="e">
        <f t="shared" si="33"/>
        <v>#N/A</v>
      </c>
      <c r="AX98" s="538"/>
    </row>
    <row r="99" spans="2:50">
      <c r="B99" s="578"/>
      <c r="C99" s="404">
        <v>23</v>
      </c>
      <c r="D99" s="404"/>
      <c r="E99" s="404"/>
      <c r="F99" s="404"/>
      <c r="G99" s="404"/>
      <c r="H99" s="538"/>
      <c r="I99" s="408"/>
      <c r="J99" s="408"/>
      <c r="K99" s="406"/>
      <c r="L99" s="594"/>
      <c r="M99" s="408" t="e">
        <f>RANK(K99, K$77:$K$106)</f>
        <v>#N/A</v>
      </c>
      <c r="N99" s="564"/>
      <c r="O99" s="564"/>
      <c r="P99" s="404"/>
      <c r="Q99" s="404"/>
      <c r="R99" s="405"/>
      <c r="S99" s="404" t="e">
        <f t="shared" si="36"/>
        <v>#N/A</v>
      </c>
      <c r="T99" s="538"/>
      <c r="U99" s="404"/>
      <c r="V99" s="404"/>
      <c r="W99" s="405"/>
      <c r="X99" s="404" t="e">
        <f t="shared" si="23"/>
        <v>#N/A</v>
      </c>
      <c r="Y99" s="538"/>
      <c r="Z99" s="404"/>
      <c r="AA99" s="404"/>
      <c r="AB99" s="405"/>
      <c r="AC99" s="404" t="e">
        <f t="shared" si="25"/>
        <v>#N/A</v>
      </c>
      <c r="AD99" s="538"/>
      <c r="AE99" s="404"/>
      <c r="AF99" s="404"/>
      <c r="AG99" s="405"/>
      <c r="AH99" s="404" t="e">
        <f t="shared" si="27"/>
        <v>#N/A</v>
      </c>
      <c r="AI99" s="538"/>
      <c r="AJ99" s="404"/>
      <c r="AK99" s="404"/>
      <c r="AL99" s="405"/>
      <c r="AM99" s="404" t="e">
        <f t="shared" si="29"/>
        <v>#N/A</v>
      </c>
      <c r="AN99" s="538"/>
      <c r="AO99" s="404"/>
      <c r="AP99" s="404"/>
      <c r="AQ99" s="405"/>
      <c r="AR99" s="404" t="e">
        <f t="shared" si="31"/>
        <v>#N/A</v>
      </c>
      <c r="AS99" s="538"/>
      <c r="AT99" s="404"/>
      <c r="AU99" s="404"/>
      <c r="AV99" s="405"/>
      <c r="AW99" s="404" t="e">
        <f t="shared" si="33"/>
        <v>#N/A</v>
      </c>
      <c r="AX99" s="538"/>
    </row>
    <row r="100" spans="2:50">
      <c r="B100" s="578"/>
      <c r="C100" s="404">
        <v>24</v>
      </c>
      <c r="D100" s="404"/>
      <c r="E100" s="404"/>
      <c r="F100" s="404"/>
      <c r="G100" s="404"/>
      <c r="H100" s="538"/>
      <c r="I100" s="408"/>
      <c r="J100" s="408"/>
      <c r="K100" s="406"/>
      <c r="L100" s="594"/>
      <c r="M100" s="408" t="e">
        <f>RANK(K100, K$77:$K$106)</f>
        <v>#N/A</v>
      </c>
      <c r="N100" s="564"/>
      <c r="O100" s="564"/>
      <c r="P100" s="404"/>
      <c r="Q100" s="404"/>
      <c r="R100" s="404"/>
      <c r="S100" s="404" t="e">
        <f t="shared" si="36"/>
        <v>#N/A</v>
      </c>
      <c r="T100" s="538"/>
      <c r="U100" s="404"/>
      <c r="V100" s="404"/>
      <c r="W100" s="404"/>
      <c r="X100" s="404" t="e">
        <f t="shared" si="23"/>
        <v>#N/A</v>
      </c>
      <c r="Y100" s="538"/>
      <c r="Z100" s="404"/>
      <c r="AA100" s="404"/>
      <c r="AB100" s="404"/>
      <c r="AC100" s="404" t="e">
        <f t="shared" si="25"/>
        <v>#N/A</v>
      </c>
      <c r="AD100" s="538"/>
      <c r="AE100" s="404"/>
      <c r="AF100" s="404"/>
      <c r="AG100" s="404"/>
      <c r="AH100" s="404" t="e">
        <f t="shared" si="27"/>
        <v>#N/A</v>
      </c>
      <c r="AI100" s="538"/>
      <c r="AJ100" s="404"/>
      <c r="AK100" s="404"/>
      <c r="AL100" s="404"/>
      <c r="AM100" s="404" t="e">
        <f t="shared" si="29"/>
        <v>#N/A</v>
      </c>
      <c r="AN100" s="538"/>
      <c r="AO100" s="404"/>
      <c r="AP100" s="404"/>
      <c r="AQ100" s="404"/>
      <c r="AR100" s="404" t="e">
        <f t="shared" si="31"/>
        <v>#N/A</v>
      </c>
      <c r="AS100" s="538"/>
      <c r="AT100" s="404"/>
      <c r="AU100" s="404"/>
      <c r="AV100" s="404"/>
      <c r="AW100" s="404" t="e">
        <f t="shared" si="33"/>
        <v>#N/A</v>
      </c>
      <c r="AX100" s="538"/>
    </row>
    <row r="101" spans="2:50">
      <c r="B101" s="578"/>
      <c r="C101" s="404">
        <v>25</v>
      </c>
      <c r="D101" s="404"/>
      <c r="E101" s="404"/>
      <c r="F101" s="404"/>
      <c r="G101" s="404"/>
      <c r="H101" s="538"/>
      <c r="I101" s="202"/>
      <c r="J101" s="202"/>
      <c r="K101" s="202"/>
      <c r="L101" s="594"/>
      <c r="M101" s="408" t="e">
        <f>RANK(K101, K$77:$K$106)</f>
        <v>#N/A</v>
      </c>
      <c r="N101" s="564"/>
      <c r="O101" s="564"/>
      <c r="P101" s="404"/>
      <c r="Q101" s="404"/>
      <c r="R101" s="404"/>
      <c r="S101" s="404" t="e">
        <f t="shared" si="36"/>
        <v>#N/A</v>
      </c>
      <c r="T101" s="538"/>
      <c r="U101" s="404"/>
      <c r="V101" s="404"/>
      <c r="W101" s="404"/>
      <c r="X101" s="404" t="e">
        <f t="shared" si="23"/>
        <v>#N/A</v>
      </c>
      <c r="Y101" s="538"/>
      <c r="Z101" s="404"/>
      <c r="AA101" s="404"/>
      <c r="AB101" s="404"/>
      <c r="AC101" s="404" t="e">
        <f t="shared" si="25"/>
        <v>#N/A</v>
      </c>
      <c r="AD101" s="538"/>
      <c r="AE101" s="404"/>
      <c r="AF101" s="404"/>
      <c r="AG101" s="404"/>
      <c r="AH101" s="404" t="e">
        <f t="shared" si="27"/>
        <v>#N/A</v>
      </c>
      <c r="AI101" s="538"/>
      <c r="AJ101" s="404"/>
      <c r="AK101" s="404"/>
      <c r="AL101" s="404"/>
      <c r="AM101" s="404" t="e">
        <f t="shared" si="29"/>
        <v>#N/A</v>
      </c>
      <c r="AN101" s="538"/>
      <c r="AO101" s="404"/>
      <c r="AP101" s="404"/>
      <c r="AQ101" s="404"/>
      <c r="AR101" s="404" t="e">
        <f t="shared" si="31"/>
        <v>#N/A</v>
      </c>
      <c r="AS101" s="538"/>
      <c r="AT101" s="404"/>
      <c r="AU101" s="404"/>
      <c r="AV101" s="404"/>
      <c r="AW101" s="404" t="e">
        <f t="shared" si="33"/>
        <v>#N/A</v>
      </c>
      <c r="AX101" s="538"/>
    </row>
    <row r="102" spans="2:50">
      <c r="B102" s="578"/>
      <c r="C102" s="404">
        <v>26</v>
      </c>
      <c r="D102" s="404"/>
      <c r="E102" s="404"/>
      <c r="F102" s="404"/>
      <c r="G102" s="404"/>
      <c r="H102" s="538"/>
      <c r="I102" s="202"/>
      <c r="J102" s="202"/>
      <c r="K102" s="202"/>
      <c r="L102" s="594"/>
      <c r="M102" s="408" t="e">
        <f>RANK(K102, K$77:$K$106)</f>
        <v>#N/A</v>
      </c>
      <c r="N102" s="564"/>
      <c r="O102" s="564"/>
      <c r="P102" s="404"/>
      <c r="Q102" s="404"/>
      <c r="R102" s="404"/>
      <c r="S102" s="404" t="e">
        <f t="shared" si="36"/>
        <v>#N/A</v>
      </c>
      <c r="T102" s="538"/>
      <c r="U102" s="404"/>
      <c r="V102" s="404"/>
      <c r="W102" s="404"/>
      <c r="X102" s="404" t="e">
        <f t="shared" si="23"/>
        <v>#N/A</v>
      </c>
      <c r="Y102" s="538"/>
      <c r="Z102" s="404"/>
      <c r="AA102" s="404"/>
      <c r="AB102" s="404"/>
      <c r="AC102" s="404" t="e">
        <f t="shared" si="25"/>
        <v>#N/A</v>
      </c>
      <c r="AD102" s="538"/>
      <c r="AE102" s="404"/>
      <c r="AF102" s="404"/>
      <c r="AG102" s="404"/>
      <c r="AH102" s="404" t="e">
        <f t="shared" si="27"/>
        <v>#N/A</v>
      </c>
      <c r="AI102" s="538"/>
      <c r="AJ102" s="404"/>
      <c r="AK102" s="404"/>
      <c r="AL102" s="404"/>
      <c r="AM102" s="404" t="e">
        <f t="shared" si="29"/>
        <v>#N/A</v>
      </c>
      <c r="AN102" s="538"/>
      <c r="AO102" s="404"/>
      <c r="AP102" s="404"/>
      <c r="AQ102" s="404"/>
      <c r="AR102" s="404" t="e">
        <f t="shared" si="31"/>
        <v>#N/A</v>
      </c>
      <c r="AS102" s="538"/>
      <c r="AT102" s="404"/>
      <c r="AU102" s="404"/>
      <c r="AV102" s="404"/>
      <c r="AW102" s="404" t="e">
        <f t="shared" si="33"/>
        <v>#N/A</v>
      </c>
      <c r="AX102" s="538"/>
    </row>
    <row r="103" spans="2:50">
      <c r="B103" s="578"/>
      <c r="C103" s="404">
        <v>27</v>
      </c>
      <c r="D103" s="404"/>
      <c r="E103" s="404"/>
      <c r="F103" s="404"/>
      <c r="G103" s="404"/>
      <c r="H103" s="538"/>
      <c r="I103" s="202"/>
      <c r="J103" s="202"/>
      <c r="K103" s="202"/>
      <c r="L103" s="594"/>
      <c r="M103" s="408" t="e">
        <f>RANK(K103, K$77:$K$106)</f>
        <v>#N/A</v>
      </c>
      <c r="N103" s="564"/>
      <c r="O103" s="564"/>
      <c r="P103" s="404"/>
      <c r="Q103" s="404"/>
      <c r="R103" s="404"/>
      <c r="S103" s="404" t="e">
        <f t="shared" si="36"/>
        <v>#N/A</v>
      </c>
      <c r="T103" s="538"/>
      <c r="U103" s="404"/>
      <c r="V103" s="404"/>
      <c r="W103" s="404"/>
      <c r="X103" s="404" t="e">
        <f t="shared" si="23"/>
        <v>#N/A</v>
      </c>
      <c r="Y103" s="538"/>
      <c r="Z103" s="404"/>
      <c r="AA103" s="404"/>
      <c r="AB103" s="404"/>
      <c r="AC103" s="404" t="e">
        <f t="shared" si="25"/>
        <v>#N/A</v>
      </c>
      <c r="AD103" s="538"/>
      <c r="AE103" s="404"/>
      <c r="AF103" s="404"/>
      <c r="AG103" s="404"/>
      <c r="AH103" s="404" t="e">
        <f t="shared" si="27"/>
        <v>#N/A</v>
      </c>
      <c r="AI103" s="538"/>
      <c r="AJ103" s="404"/>
      <c r="AK103" s="404"/>
      <c r="AL103" s="404"/>
      <c r="AM103" s="404" t="e">
        <f t="shared" si="29"/>
        <v>#N/A</v>
      </c>
      <c r="AN103" s="538"/>
      <c r="AO103" s="404"/>
      <c r="AP103" s="404"/>
      <c r="AQ103" s="404"/>
      <c r="AR103" s="404" t="e">
        <f t="shared" si="31"/>
        <v>#N/A</v>
      </c>
      <c r="AS103" s="538"/>
      <c r="AT103" s="404"/>
      <c r="AU103" s="404"/>
      <c r="AV103" s="404"/>
      <c r="AW103" s="404" t="e">
        <f t="shared" si="33"/>
        <v>#N/A</v>
      </c>
      <c r="AX103" s="538"/>
    </row>
    <row r="104" spans="2:50">
      <c r="B104" s="578"/>
      <c r="C104" s="404">
        <v>28</v>
      </c>
      <c r="D104" s="404"/>
      <c r="E104" s="404"/>
      <c r="F104" s="404"/>
      <c r="G104" s="404"/>
      <c r="H104" s="538"/>
      <c r="I104" s="202"/>
      <c r="J104" s="202"/>
      <c r="K104" s="202"/>
      <c r="L104" s="594"/>
      <c r="M104" s="408" t="e">
        <f>RANK(K104, K$77:$K$106)</f>
        <v>#N/A</v>
      </c>
      <c r="N104" s="564"/>
      <c r="O104" s="564"/>
      <c r="P104" s="404"/>
      <c r="Q104" s="404"/>
      <c r="R104" s="404"/>
      <c r="S104" s="404" t="e">
        <f t="shared" si="36"/>
        <v>#N/A</v>
      </c>
      <c r="T104" s="538"/>
      <c r="U104" s="404"/>
      <c r="V104" s="404"/>
      <c r="W104" s="404"/>
      <c r="X104" s="404" t="e">
        <f t="shared" si="23"/>
        <v>#N/A</v>
      </c>
      <c r="Y104" s="538"/>
      <c r="Z104" s="404"/>
      <c r="AA104" s="404"/>
      <c r="AB104" s="404"/>
      <c r="AC104" s="404" t="e">
        <f t="shared" si="25"/>
        <v>#N/A</v>
      </c>
      <c r="AD104" s="538"/>
      <c r="AE104" s="404"/>
      <c r="AF104" s="404"/>
      <c r="AG104" s="404"/>
      <c r="AH104" s="404" t="e">
        <f t="shared" si="27"/>
        <v>#N/A</v>
      </c>
      <c r="AI104" s="538"/>
      <c r="AJ104" s="404"/>
      <c r="AK104" s="404"/>
      <c r="AL104" s="404"/>
      <c r="AM104" s="404" t="e">
        <f t="shared" si="29"/>
        <v>#N/A</v>
      </c>
      <c r="AN104" s="538"/>
      <c r="AO104" s="404"/>
      <c r="AP104" s="404"/>
      <c r="AQ104" s="404"/>
      <c r="AR104" s="404" t="e">
        <f t="shared" si="31"/>
        <v>#N/A</v>
      </c>
      <c r="AS104" s="538"/>
      <c r="AT104" s="404"/>
      <c r="AU104" s="404"/>
      <c r="AV104" s="404"/>
      <c r="AW104" s="404" t="e">
        <f t="shared" si="33"/>
        <v>#N/A</v>
      </c>
      <c r="AX104" s="538"/>
    </row>
    <row r="105" spans="2:50">
      <c r="B105" s="578"/>
      <c r="C105" s="404">
        <v>29</v>
      </c>
      <c r="D105" s="404"/>
      <c r="E105" s="404"/>
      <c r="F105" s="404"/>
      <c r="G105" s="404"/>
      <c r="H105" s="538"/>
      <c r="I105" s="202"/>
      <c r="J105" s="202"/>
      <c r="K105" s="202"/>
      <c r="L105" s="594"/>
      <c r="M105" s="408" t="e">
        <f>RANK(K105, K$77:$K$106)</f>
        <v>#N/A</v>
      </c>
      <c r="N105" s="564"/>
      <c r="O105" s="564"/>
      <c r="P105" s="404"/>
      <c r="Q105" s="404"/>
      <c r="R105" s="404"/>
      <c r="S105" s="404" t="e">
        <f t="shared" si="36"/>
        <v>#N/A</v>
      </c>
      <c r="T105" s="538"/>
      <c r="U105" s="404"/>
      <c r="V105" s="404"/>
      <c r="W105" s="404"/>
      <c r="X105" s="404" t="e">
        <f t="shared" si="23"/>
        <v>#N/A</v>
      </c>
      <c r="Y105" s="538"/>
      <c r="Z105" s="404"/>
      <c r="AA105" s="404"/>
      <c r="AB105" s="404"/>
      <c r="AC105" s="404" t="e">
        <f t="shared" si="25"/>
        <v>#N/A</v>
      </c>
      <c r="AD105" s="538"/>
      <c r="AE105" s="404"/>
      <c r="AF105" s="404"/>
      <c r="AG105" s="404"/>
      <c r="AH105" s="404" t="e">
        <f t="shared" si="27"/>
        <v>#N/A</v>
      </c>
      <c r="AI105" s="538"/>
      <c r="AJ105" s="404"/>
      <c r="AK105" s="404"/>
      <c r="AL105" s="404"/>
      <c r="AM105" s="404" t="e">
        <f t="shared" si="29"/>
        <v>#N/A</v>
      </c>
      <c r="AN105" s="538"/>
      <c r="AO105" s="404"/>
      <c r="AP105" s="404"/>
      <c r="AQ105" s="404"/>
      <c r="AR105" s="404" t="e">
        <f t="shared" si="31"/>
        <v>#N/A</v>
      </c>
      <c r="AS105" s="538"/>
      <c r="AT105" s="404"/>
      <c r="AU105" s="404"/>
      <c r="AV105" s="404"/>
      <c r="AW105" s="404" t="e">
        <f t="shared" si="33"/>
        <v>#N/A</v>
      </c>
      <c r="AX105" s="538"/>
    </row>
    <row r="106" spans="2:50">
      <c r="B106" s="579"/>
      <c r="C106" s="404">
        <v>30</v>
      </c>
      <c r="D106" s="404"/>
      <c r="E106" s="404"/>
      <c r="F106" s="404"/>
      <c r="G106" s="404"/>
      <c r="H106" s="539"/>
      <c r="I106" s="202"/>
      <c r="J106" s="202"/>
      <c r="K106" s="202"/>
      <c r="L106" s="595"/>
      <c r="M106" s="408" t="e">
        <f>RANK(K106, K$77:$K$106)</f>
        <v>#N/A</v>
      </c>
      <c r="N106" s="560"/>
      <c r="O106" s="560"/>
      <c r="P106" s="404"/>
      <c r="Q106" s="404"/>
      <c r="R106" s="404"/>
      <c r="S106" s="404" t="e">
        <f t="shared" si="36"/>
        <v>#N/A</v>
      </c>
      <c r="T106" s="539"/>
      <c r="U106" s="404"/>
      <c r="V106" s="404"/>
      <c r="W106" s="404"/>
      <c r="X106" s="404" t="e">
        <f t="shared" si="23"/>
        <v>#N/A</v>
      </c>
      <c r="Y106" s="539"/>
      <c r="Z106" s="404"/>
      <c r="AA106" s="404"/>
      <c r="AB106" s="404"/>
      <c r="AC106" s="404" t="e">
        <f t="shared" si="25"/>
        <v>#N/A</v>
      </c>
      <c r="AD106" s="539"/>
      <c r="AE106" s="404"/>
      <c r="AF106" s="404"/>
      <c r="AG106" s="404"/>
      <c r="AH106" s="404" t="e">
        <f t="shared" si="27"/>
        <v>#N/A</v>
      </c>
      <c r="AI106" s="539"/>
      <c r="AJ106" s="404"/>
      <c r="AK106" s="404"/>
      <c r="AL106" s="404"/>
      <c r="AM106" s="404" t="e">
        <f t="shared" si="29"/>
        <v>#N/A</v>
      </c>
      <c r="AN106" s="539"/>
      <c r="AO106" s="404"/>
      <c r="AP106" s="404"/>
      <c r="AQ106" s="404"/>
      <c r="AR106" s="404" t="e">
        <f t="shared" si="31"/>
        <v>#N/A</v>
      </c>
      <c r="AS106" s="539"/>
      <c r="AT106" s="404"/>
      <c r="AU106" s="404"/>
      <c r="AV106" s="404"/>
      <c r="AW106" s="404" t="e">
        <f t="shared" si="33"/>
        <v>#N/A</v>
      </c>
      <c r="AX106" s="539"/>
    </row>
    <row r="107" spans="2:50" ht="15.5">
      <c r="B107" s="555" t="s">
        <v>163</v>
      </c>
      <c r="C107" s="556"/>
      <c r="D107" s="556"/>
      <c r="E107" s="556"/>
      <c r="F107" s="556"/>
      <c r="G107" s="556"/>
      <c r="H107" s="557"/>
      <c r="I107" s="208"/>
      <c r="J107" s="208"/>
      <c r="K107" s="208"/>
      <c r="L107" s="208"/>
      <c r="M107" s="207"/>
      <c r="N107" s="559" t="s">
        <v>156</v>
      </c>
      <c r="O107" s="559" t="s">
        <v>155</v>
      </c>
      <c r="P107" s="554">
        <f>P72+7</f>
        <v>46372</v>
      </c>
      <c r="Q107" s="533"/>
      <c r="R107" s="533"/>
      <c r="S107" s="533"/>
      <c r="T107" s="533"/>
      <c r="U107" s="551">
        <f>P107+1</f>
        <v>46373</v>
      </c>
      <c r="V107" s="552"/>
      <c r="W107" s="552"/>
      <c r="X107" s="552"/>
      <c r="Y107" s="553"/>
      <c r="Z107" s="551">
        <f>U107+1</f>
        <v>46374</v>
      </c>
      <c r="AA107" s="552"/>
      <c r="AB107" s="552"/>
      <c r="AC107" s="552"/>
      <c r="AD107" s="553"/>
      <c r="AE107" s="551">
        <f>Z107+1</f>
        <v>46375</v>
      </c>
      <c r="AF107" s="552"/>
      <c r="AG107" s="552"/>
      <c r="AH107" s="552"/>
      <c r="AI107" s="553"/>
      <c r="AJ107" s="551">
        <f>AE107+1</f>
        <v>46376</v>
      </c>
      <c r="AK107" s="552"/>
      <c r="AL107" s="552"/>
      <c r="AM107" s="552"/>
      <c r="AN107" s="553"/>
      <c r="AO107" s="551">
        <f>AJ107+1</f>
        <v>46377</v>
      </c>
      <c r="AP107" s="552"/>
      <c r="AQ107" s="552"/>
      <c r="AR107" s="552"/>
      <c r="AS107" s="553"/>
      <c r="AT107" s="551">
        <f>AO107+1</f>
        <v>46378</v>
      </c>
      <c r="AU107" s="552"/>
      <c r="AV107" s="552"/>
      <c r="AW107" s="552"/>
      <c r="AX107" s="553"/>
    </row>
    <row r="108" spans="2:50" ht="15.5">
      <c r="B108" s="558"/>
      <c r="C108" s="558"/>
      <c r="D108" s="558"/>
      <c r="E108" s="558"/>
      <c r="F108" s="558"/>
      <c r="G108" s="558"/>
      <c r="H108" s="558"/>
      <c r="I108" s="205"/>
      <c r="J108" s="205"/>
      <c r="K108" s="205"/>
      <c r="L108" s="205"/>
      <c r="M108" s="206"/>
      <c r="N108" s="560"/>
      <c r="O108" s="560"/>
      <c r="P108" s="554" t="s">
        <v>334</v>
      </c>
      <c r="Q108" s="533"/>
      <c r="R108" s="533"/>
      <c r="S108" s="533"/>
      <c r="T108" s="533"/>
      <c r="U108" s="554" t="s">
        <v>335</v>
      </c>
      <c r="V108" s="533"/>
      <c r="W108" s="533"/>
      <c r="X108" s="533"/>
      <c r="Y108" s="533"/>
      <c r="Z108" s="554" t="s">
        <v>336</v>
      </c>
      <c r="AA108" s="533"/>
      <c r="AB108" s="533"/>
      <c r="AC108" s="533"/>
      <c r="AD108" s="533"/>
      <c r="AE108" s="554" t="s">
        <v>337</v>
      </c>
      <c r="AF108" s="533"/>
      <c r="AG108" s="533"/>
      <c r="AH108" s="533"/>
      <c r="AI108" s="533"/>
      <c r="AJ108" s="554" t="s">
        <v>338</v>
      </c>
      <c r="AK108" s="533"/>
      <c r="AL108" s="533"/>
      <c r="AM108" s="533"/>
      <c r="AN108" s="533"/>
      <c r="AO108" s="554" t="s">
        <v>339</v>
      </c>
      <c r="AP108" s="533"/>
      <c r="AQ108" s="533"/>
      <c r="AR108" s="533"/>
      <c r="AS108" s="533"/>
      <c r="AT108" s="554" t="s">
        <v>340</v>
      </c>
      <c r="AU108" s="533"/>
      <c r="AV108" s="533"/>
      <c r="AW108" s="533"/>
      <c r="AX108" s="533"/>
    </row>
    <row r="109" spans="2:50">
      <c r="B109" s="544" t="s">
        <v>649</v>
      </c>
      <c r="C109" s="544" t="s">
        <v>650</v>
      </c>
      <c r="D109" s="544"/>
      <c r="E109" s="544" t="s">
        <v>651</v>
      </c>
      <c r="F109" s="544"/>
      <c r="G109" s="544"/>
      <c r="H109" s="561" t="s">
        <v>652</v>
      </c>
      <c r="I109" s="583" t="s">
        <v>653</v>
      </c>
      <c r="J109" s="583"/>
      <c r="K109" s="583"/>
      <c r="L109" s="584" t="s">
        <v>652</v>
      </c>
      <c r="M109" s="567" t="s">
        <v>654</v>
      </c>
      <c r="N109" s="544"/>
      <c r="O109" s="544" t="s">
        <v>655</v>
      </c>
      <c r="P109" s="548" t="s">
        <v>656</v>
      </c>
      <c r="Q109" s="549"/>
      <c r="R109" s="549"/>
      <c r="S109" s="550"/>
      <c r="T109" s="544" t="s">
        <v>652</v>
      </c>
      <c r="U109" s="548" t="s">
        <v>656</v>
      </c>
      <c r="V109" s="549"/>
      <c r="W109" s="549"/>
      <c r="X109" s="550"/>
      <c r="Y109" s="544" t="s">
        <v>652</v>
      </c>
      <c r="Z109" s="548" t="s">
        <v>656</v>
      </c>
      <c r="AA109" s="549"/>
      <c r="AB109" s="549"/>
      <c r="AC109" s="550"/>
      <c r="AD109" s="544" t="s">
        <v>652</v>
      </c>
      <c r="AE109" s="548" t="s">
        <v>656</v>
      </c>
      <c r="AF109" s="549"/>
      <c r="AG109" s="549"/>
      <c r="AH109" s="550"/>
      <c r="AI109" s="544" t="s">
        <v>652</v>
      </c>
      <c r="AJ109" s="548" t="s">
        <v>656</v>
      </c>
      <c r="AK109" s="549"/>
      <c r="AL109" s="549"/>
      <c r="AM109" s="550"/>
      <c r="AN109" s="544" t="s">
        <v>652</v>
      </c>
      <c r="AO109" s="548" t="s">
        <v>656</v>
      </c>
      <c r="AP109" s="549"/>
      <c r="AQ109" s="549"/>
      <c r="AR109" s="550"/>
      <c r="AS109" s="544" t="s">
        <v>652</v>
      </c>
      <c r="AT109" s="548" t="s">
        <v>656</v>
      </c>
      <c r="AU109" s="549"/>
      <c r="AV109" s="549"/>
      <c r="AW109" s="550"/>
      <c r="AX109" s="544" t="s">
        <v>652</v>
      </c>
    </row>
    <row r="110" spans="2:50">
      <c r="B110" s="544"/>
      <c r="C110" s="544"/>
      <c r="D110" s="544"/>
      <c r="E110" s="544" t="s">
        <v>657</v>
      </c>
      <c r="F110" s="544"/>
      <c r="G110" s="544"/>
      <c r="H110" s="562"/>
      <c r="I110" s="583" t="s">
        <v>657</v>
      </c>
      <c r="J110" s="583"/>
      <c r="K110" s="583"/>
      <c r="L110" s="585"/>
      <c r="M110" s="568"/>
      <c r="N110" s="544"/>
      <c r="O110" s="544"/>
      <c r="P110" s="548" t="s">
        <v>658</v>
      </c>
      <c r="Q110" s="549"/>
      <c r="R110" s="549"/>
      <c r="S110" s="550"/>
      <c r="T110" s="544"/>
      <c r="U110" s="548" t="s">
        <v>658</v>
      </c>
      <c r="V110" s="549"/>
      <c r="W110" s="549"/>
      <c r="X110" s="550"/>
      <c r="Y110" s="544"/>
      <c r="Z110" s="548" t="s">
        <v>658</v>
      </c>
      <c r="AA110" s="549"/>
      <c r="AB110" s="549"/>
      <c r="AC110" s="550"/>
      <c r="AD110" s="544"/>
      <c r="AE110" s="548" t="s">
        <v>658</v>
      </c>
      <c r="AF110" s="549"/>
      <c r="AG110" s="549"/>
      <c r="AH110" s="550"/>
      <c r="AI110" s="544"/>
      <c r="AJ110" s="548" t="s">
        <v>658</v>
      </c>
      <c r="AK110" s="549"/>
      <c r="AL110" s="549"/>
      <c r="AM110" s="550"/>
      <c r="AN110" s="544"/>
      <c r="AO110" s="548" t="s">
        <v>658</v>
      </c>
      <c r="AP110" s="549"/>
      <c r="AQ110" s="549"/>
      <c r="AR110" s="550"/>
      <c r="AS110" s="544"/>
      <c r="AT110" s="548" t="s">
        <v>658</v>
      </c>
      <c r="AU110" s="549"/>
      <c r="AV110" s="549"/>
      <c r="AW110" s="550"/>
      <c r="AX110" s="544"/>
    </row>
    <row r="111" spans="2:50">
      <c r="B111" s="544"/>
      <c r="C111" s="544"/>
      <c r="D111" s="544"/>
      <c r="E111" s="403" t="s">
        <v>659</v>
      </c>
      <c r="F111" s="403" t="s">
        <v>660</v>
      </c>
      <c r="G111" s="403" t="s">
        <v>661</v>
      </c>
      <c r="H111" s="563"/>
      <c r="I111" s="402" t="s">
        <v>659</v>
      </c>
      <c r="J111" s="402" t="s">
        <v>660</v>
      </c>
      <c r="K111" s="402" t="s">
        <v>661</v>
      </c>
      <c r="L111" s="586"/>
      <c r="M111" s="569"/>
      <c r="N111" s="544"/>
      <c r="O111" s="544"/>
      <c r="P111" s="403" t="s">
        <v>659</v>
      </c>
      <c r="Q111" s="403" t="s">
        <v>660</v>
      </c>
      <c r="R111" s="403" t="s">
        <v>661</v>
      </c>
      <c r="S111" s="403" t="s">
        <v>654</v>
      </c>
      <c r="T111" s="544"/>
      <c r="U111" s="403" t="s">
        <v>659</v>
      </c>
      <c r="V111" s="403" t="s">
        <v>660</v>
      </c>
      <c r="W111" s="403" t="s">
        <v>661</v>
      </c>
      <c r="X111" s="403" t="s">
        <v>654</v>
      </c>
      <c r="Y111" s="544"/>
      <c r="Z111" s="403" t="s">
        <v>659</v>
      </c>
      <c r="AA111" s="403" t="s">
        <v>660</v>
      </c>
      <c r="AB111" s="403" t="s">
        <v>661</v>
      </c>
      <c r="AC111" s="403" t="s">
        <v>654</v>
      </c>
      <c r="AD111" s="544"/>
      <c r="AE111" s="403" t="s">
        <v>659</v>
      </c>
      <c r="AF111" s="403" t="s">
        <v>660</v>
      </c>
      <c r="AG111" s="403" t="s">
        <v>661</v>
      </c>
      <c r="AH111" s="403" t="s">
        <v>654</v>
      </c>
      <c r="AI111" s="544"/>
      <c r="AJ111" s="403" t="s">
        <v>659</v>
      </c>
      <c r="AK111" s="403" t="s">
        <v>660</v>
      </c>
      <c r="AL111" s="403" t="s">
        <v>661</v>
      </c>
      <c r="AM111" s="403" t="s">
        <v>654</v>
      </c>
      <c r="AN111" s="544"/>
      <c r="AO111" s="403" t="s">
        <v>659</v>
      </c>
      <c r="AP111" s="403" t="s">
        <v>660</v>
      </c>
      <c r="AQ111" s="403" t="s">
        <v>661</v>
      </c>
      <c r="AR111" s="403" t="s">
        <v>654</v>
      </c>
      <c r="AS111" s="544"/>
      <c r="AT111" s="403" t="s">
        <v>659</v>
      </c>
      <c r="AU111" s="403" t="s">
        <v>660</v>
      </c>
      <c r="AV111" s="403" t="s">
        <v>661</v>
      </c>
      <c r="AW111" s="403" t="s">
        <v>654</v>
      </c>
      <c r="AX111" s="544"/>
    </row>
    <row r="112" spans="2:50">
      <c r="B112" s="533" t="s">
        <v>150</v>
      </c>
      <c r="C112" s="404">
        <v>1</v>
      </c>
      <c r="D112" s="404" t="s">
        <v>359</v>
      </c>
      <c r="E112" s="404">
        <v>4</v>
      </c>
      <c r="F112" s="404">
        <v>2200</v>
      </c>
      <c r="G112" s="404">
        <v>550</v>
      </c>
      <c r="H112" s="537">
        <f>AVERAGE(G112:G141)</f>
        <v>860.96491228070181</v>
      </c>
      <c r="I112" s="408">
        <f>AVERAGE(P112,U112,Z112,AE112,AJ112,AO112,AT112)</f>
        <v>3</v>
      </c>
      <c r="J112" s="408">
        <f>AVERAGE(Q112,V112,AA112,AF112,AK112,AP112,AU112)</f>
        <v>3242.9618673252239</v>
      </c>
      <c r="K112" s="406">
        <f>AVERAGE(R112,W112,AB112,AG112,AL112,AQ112,AV112)</f>
        <v>1080.9872891084078</v>
      </c>
      <c r="L112" s="587">
        <f>IFERROR(AVERAGE(K112:K141),"-")</f>
        <v>795.74538793771967</v>
      </c>
      <c r="M112" s="408">
        <f>RANK(K112, K$112:$K$141)</f>
        <v>1</v>
      </c>
      <c r="N112" s="544"/>
      <c r="O112" s="544"/>
      <c r="P112" s="182">
        <v>3</v>
      </c>
      <c r="Q112" s="182">
        <v>3187.6363636363658</v>
      </c>
      <c r="R112" s="182">
        <v>1062.5454545454552</v>
      </c>
      <c r="S112" s="404">
        <f>RANK(R112, R$112:R$141)</f>
        <v>1</v>
      </c>
      <c r="T112" s="537">
        <f>AVERAGE(R112:R141)</f>
        <v>816.94635451551778</v>
      </c>
      <c r="U112" s="182">
        <v>3</v>
      </c>
      <c r="V112" s="182">
        <v>3336.923076923079</v>
      </c>
      <c r="W112" s="182">
        <v>1112.3076923076931</v>
      </c>
      <c r="X112" s="404">
        <f t="shared" ref="X112:X141" si="37">RANK(W112, W$112:W$141)</f>
        <v>1</v>
      </c>
      <c r="Y112" s="537">
        <f t="shared" ref="Y112" si="38">AVERAGE(W112:W141)</f>
        <v>796.85384724675487</v>
      </c>
      <c r="Z112" s="182">
        <v>3</v>
      </c>
      <c r="AA112" s="182">
        <v>3252.0000000000009</v>
      </c>
      <c r="AB112" s="182">
        <v>1084.0000000000002</v>
      </c>
      <c r="AC112" s="404">
        <f t="shared" ref="AC112:AC141" si="39">RANK(AB112, AB$112:AB$141)</f>
        <v>1</v>
      </c>
      <c r="AD112" s="537">
        <f t="shared" ref="AD112" si="40">AVERAGE(AB112:AB141)</f>
        <v>813.67932597809852</v>
      </c>
      <c r="AE112" s="182">
        <v>3</v>
      </c>
      <c r="AF112" s="182">
        <v>3264.7826086956579</v>
      </c>
      <c r="AG112" s="182">
        <v>1088.2608695652193</v>
      </c>
      <c r="AH112" s="404">
        <f t="shared" ref="AH112:AH141" si="41">RANK(AG112, AG$112:AG$141)</f>
        <v>1</v>
      </c>
      <c r="AI112" s="537">
        <f t="shared" ref="AI112" si="42">AVERAGE(AG112:AG141)</f>
        <v>803.03750633520451</v>
      </c>
      <c r="AJ112" s="182">
        <v>3</v>
      </c>
      <c r="AK112" s="182">
        <v>3157.8260869565279</v>
      </c>
      <c r="AL112" s="182">
        <v>1052.608695652176</v>
      </c>
      <c r="AM112" s="404">
        <f t="shared" ref="AM112:AM141" si="43">RANK(AL112, AL$112:AL$141)</f>
        <v>2</v>
      </c>
      <c r="AN112" s="537">
        <f t="shared" ref="AN112" si="44">AVERAGE(AL112:AL141)</f>
        <v>760.53649215143048</v>
      </c>
      <c r="AO112" s="182">
        <v>3</v>
      </c>
      <c r="AP112" s="182">
        <v>3253.9285714285693</v>
      </c>
      <c r="AQ112" s="182">
        <v>1084.6428571428564</v>
      </c>
      <c r="AR112" s="404">
        <f t="shared" ref="AR112:AR141" si="45">RANK(AQ112, AQ$112:AQ$141)</f>
        <v>2</v>
      </c>
      <c r="AS112" s="537">
        <f t="shared" ref="AS112" si="46">AVERAGE(AQ112:AQ141)</f>
        <v>788.39783930954002</v>
      </c>
      <c r="AT112" s="182">
        <v>3</v>
      </c>
      <c r="AU112" s="182">
        <v>3247.6363636363658</v>
      </c>
      <c r="AV112" s="182">
        <v>1082.5454545454552</v>
      </c>
      <c r="AW112" s="404">
        <f t="shared" ref="AW112:AW141" si="47">RANK(AV112, AV$112:AV$141)</f>
        <v>1</v>
      </c>
      <c r="AX112" s="537">
        <f t="shared" ref="AX112" si="48">AVERAGE(AV112:AV141)</f>
        <v>790.76635002749117</v>
      </c>
    </row>
    <row r="113" spans="2:50">
      <c r="B113" s="533"/>
      <c r="C113" s="404">
        <v>2</v>
      </c>
      <c r="D113" s="404" t="s">
        <v>360</v>
      </c>
      <c r="E113" s="404">
        <v>3</v>
      </c>
      <c r="F113" s="404">
        <v>2700</v>
      </c>
      <c r="G113" s="404">
        <v>900</v>
      </c>
      <c r="H113" s="538"/>
      <c r="I113" s="408">
        <f t="shared" ref="I113:K130" si="49">AVERAGE(P113,U113,Z113,AE113,AJ113,AO113,AT113)</f>
        <v>3</v>
      </c>
      <c r="J113" s="408">
        <f t="shared" si="49"/>
        <v>2875.2152861144486</v>
      </c>
      <c r="K113" s="406">
        <f t="shared" si="49"/>
        <v>958.40509537148296</v>
      </c>
      <c r="L113" s="588"/>
      <c r="M113" s="408">
        <f>RANK(K113, K$112:$K$141)</f>
        <v>3</v>
      </c>
      <c r="N113" s="544"/>
      <c r="O113" s="544"/>
      <c r="P113" s="182">
        <v>3</v>
      </c>
      <c r="Q113" s="182">
        <v>2850.0000000000045</v>
      </c>
      <c r="R113" s="182">
        <v>950.00000000000148</v>
      </c>
      <c r="S113" s="404">
        <f t="shared" ref="S113:S141" si="50">RANK(R113, R$112:R$141)</f>
        <v>5</v>
      </c>
      <c r="T113" s="538"/>
      <c r="U113" s="182">
        <v>3</v>
      </c>
      <c r="V113" s="182">
        <v>2841.0000000000045</v>
      </c>
      <c r="W113" s="182">
        <v>947.00000000000148</v>
      </c>
      <c r="X113" s="404">
        <f t="shared" si="37"/>
        <v>4</v>
      </c>
      <c r="Y113" s="538"/>
      <c r="Z113" s="182">
        <v>3</v>
      </c>
      <c r="AA113" s="182">
        <v>3086.6666666666706</v>
      </c>
      <c r="AB113" s="182">
        <v>1028.8888888888903</v>
      </c>
      <c r="AC113" s="404">
        <f t="shared" si="39"/>
        <v>3</v>
      </c>
      <c r="AD113" s="538"/>
      <c r="AE113" s="182">
        <v>3</v>
      </c>
      <c r="AF113" s="182">
        <v>2918.823529411768</v>
      </c>
      <c r="AG113" s="182">
        <v>972.94117647058931</v>
      </c>
      <c r="AH113" s="404">
        <f t="shared" si="41"/>
        <v>3</v>
      </c>
      <c r="AI113" s="538"/>
      <c r="AJ113" s="182">
        <v>3</v>
      </c>
      <c r="AK113" s="182">
        <v>2770.5882352941139</v>
      </c>
      <c r="AL113" s="182">
        <v>923.52941176470461</v>
      </c>
      <c r="AM113" s="404">
        <f t="shared" si="43"/>
        <v>5</v>
      </c>
      <c r="AN113" s="538"/>
      <c r="AO113" s="182">
        <v>3</v>
      </c>
      <c r="AP113" s="182">
        <v>2851.4285714285761</v>
      </c>
      <c r="AQ113" s="182">
        <v>950.47619047619207</v>
      </c>
      <c r="AR113" s="404">
        <f t="shared" si="45"/>
        <v>4</v>
      </c>
      <c r="AS113" s="538"/>
      <c r="AT113" s="182">
        <v>3</v>
      </c>
      <c r="AU113" s="182">
        <v>2808.0000000000045</v>
      </c>
      <c r="AV113" s="182">
        <v>936.00000000000148</v>
      </c>
      <c r="AW113" s="404">
        <f t="shared" si="47"/>
        <v>6</v>
      </c>
      <c r="AX113" s="538"/>
    </row>
    <row r="114" spans="2:50">
      <c r="B114" s="533"/>
      <c r="C114" s="404">
        <v>3</v>
      </c>
      <c r="D114" s="404" t="s">
        <v>346</v>
      </c>
      <c r="E114" s="404">
        <v>4</v>
      </c>
      <c r="F114" s="404">
        <v>3600</v>
      </c>
      <c r="G114" s="404">
        <v>900</v>
      </c>
      <c r="H114" s="538"/>
      <c r="I114" s="408">
        <f t="shared" si="49"/>
        <v>4</v>
      </c>
      <c r="J114" s="408">
        <f t="shared" si="49"/>
        <v>3276.1092436974832</v>
      </c>
      <c r="K114" s="406">
        <f t="shared" si="49"/>
        <v>819.02731092437079</v>
      </c>
      <c r="L114" s="588"/>
      <c r="M114" s="408">
        <f>RANK(K114, K$112:$K$141)</f>
        <v>9</v>
      </c>
      <c r="N114" s="544"/>
      <c r="O114" s="544"/>
      <c r="P114" s="182">
        <v>4</v>
      </c>
      <c r="Q114" s="182">
        <v>3339.9999999999895</v>
      </c>
      <c r="R114" s="182">
        <v>834.99999999999739</v>
      </c>
      <c r="S114" s="404">
        <f t="shared" si="50"/>
        <v>11</v>
      </c>
      <c r="T114" s="538"/>
      <c r="U114" s="182">
        <v>4</v>
      </c>
      <c r="V114" s="182">
        <v>3383.333333333338</v>
      </c>
      <c r="W114" s="182">
        <v>845.83333333333451</v>
      </c>
      <c r="X114" s="404">
        <f t="shared" si="37"/>
        <v>8</v>
      </c>
      <c r="Y114" s="538"/>
      <c r="Z114" s="182">
        <v>4</v>
      </c>
      <c r="AA114" s="182">
        <v>3391.7647058823572</v>
      </c>
      <c r="AB114" s="182">
        <v>847.94117647058931</v>
      </c>
      <c r="AC114" s="404">
        <f t="shared" si="39"/>
        <v>8</v>
      </c>
      <c r="AD114" s="538"/>
      <c r="AE114" s="182">
        <v>4</v>
      </c>
      <c r="AF114" s="182">
        <v>3332.0000000000118</v>
      </c>
      <c r="AG114" s="182">
        <v>833.00000000000296</v>
      </c>
      <c r="AH114" s="404">
        <f t="shared" si="41"/>
        <v>8</v>
      </c>
      <c r="AI114" s="538"/>
      <c r="AJ114" s="182">
        <v>4</v>
      </c>
      <c r="AK114" s="182">
        <v>3144.0000000000109</v>
      </c>
      <c r="AL114" s="182">
        <v>786.00000000000273</v>
      </c>
      <c r="AM114" s="404">
        <f t="shared" si="43"/>
        <v>9</v>
      </c>
      <c r="AN114" s="538"/>
      <c r="AO114" s="182">
        <v>4</v>
      </c>
      <c r="AP114" s="182">
        <v>3045.0000000000045</v>
      </c>
      <c r="AQ114" s="182">
        <v>761.25000000000114</v>
      </c>
      <c r="AR114" s="404">
        <f t="shared" si="45"/>
        <v>11</v>
      </c>
      <c r="AS114" s="538"/>
      <c r="AT114" s="182">
        <v>4</v>
      </c>
      <c r="AU114" s="182">
        <v>3296.6666666666711</v>
      </c>
      <c r="AV114" s="182">
        <v>824.16666666666777</v>
      </c>
      <c r="AW114" s="404">
        <f t="shared" si="47"/>
        <v>9</v>
      </c>
      <c r="AX114" s="538"/>
    </row>
    <row r="115" spans="2:50">
      <c r="B115" s="533"/>
      <c r="C115" s="404">
        <v>4</v>
      </c>
      <c r="D115" s="404" t="s">
        <v>362</v>
      </c>
      <c r="E115" s="404">
        <v>3</v>
      </c>
      <c r="F115" s="404">
        <v>3600</v>
      </c>
      <c r="G115" s="404">
        <v>1200</v>
      </c>
      <c r="H115" s="538"/>
      <c r="I115" s="408">
        <f t="shared" si="49"/>
        <v>3</v>
      </c>
      <c r="J115" s="408">
        <f t="shared" si="49"/>
        <v>3227.6918786692759</v>
      </c>
      <c r="K115" s="406">
        <f t="shared" si="49"/>
        <v>1075.8972928897588</v>
      </c>
      <c r="L115" s="588"/>
      <c r="M115" s="408">
        <f>RANK(K115, K$112:$K$141)</f>
        <v>2</v>
      </c>
      <c r="N115" s="544"/>
      <c r="O115" s="544"/>
      <c r="P115" s="182">
        <v>3</v>
      </c>
      <c r="Q115" s="182">
        <v>3187.4999999999986</v>
      </c>
      <c r="R115" s="182">
        <v>1062.4999999999995</v>
      </c>
      <c r="S115" s="404">
        <f t="shared" si="50"/>
        <v>2</v>
      </c>
      <c r="T115" s="538"/>
      <c r="U115" s="182">
        <v>3</v>
      </c>
      <c r="V115" s="182">
        <v>3293.6000000000013</v>
      </c>
      <c r="W115" s="182">
        <v>1097.866666666667</v>
      </c>
      <c r="X115" s="404">
        <f t="shared" si="37"/>
        <v>2</v>
      </c>
      <c r="Y115" s="538"/>
      <c r="Z115" s="182">
        <v>3</v>
      </c>
      <c r="AA115" s="182">
        <v>3228.4931506849289</v>
      </c>
      <c r="AB115" s="182">
        <v>1076.164383561643</v>
      </c>
      <c r="AC115" s="404">
        <f t="shared" si="39"/>
        <v>2</v>
      </c>
      <c r="AD115" s="538"/>
      <c r="AE115" s="182">
        <v>3</v>
      </c>
      <c r="AF115" s="182">
        <v>3231.5624999999991</v>
      </c>
      <c r="AG115" s="182">
        <v>1077.1874999999998</v>
      </c>
      <c r="AH115" s="404">
        <f t="shared" si="41"/>
        <v>2</v>
      </c>
      <c r="AI115" s="538"/>
      <c r="AJ115" s="182">
        <v>3</v>
      </c>
      <c r="AK115" s="182">
        <v>3184.6874999999991</v>
      </c>
      <c r="AL115" s="182">
        <v>1061.5624999999998</v>
      </c>
      <c r="AM115" s="404">
        <f t="shared" si="43"/>
        <v>1</v>
      </c>
      <c r="AN115" s="538"/>
      <c r="AO115" s="182">
        <v>3</v>
      </c>
      <c r="AP115" s="182">
        <v>3265.5000000000014</v>
      </c>
      <c r="AQ115" s="182">
        <v>1088.5000000000005</v>
      </c>
      <c r="AR115" s="404">
        <f t="shared" si="45"/>
        <v>1</v>
      </c>
      <c r="AS115" s="538"/>
      <c r="AT115" s="182">
        <v>3</v>
      </c>
      <c r="AU115" s="182">
        <v>3202.5000000000018</v>
      </c>
      <c r="AV115" s="182">
        <v>1067.5000000000007</v>
      </c>
      <c r="AW115" s="404">
        <f t="shared" si="47"/>
        <v>2</v>
      </c>
      <c r="AX115" s="538"/>
    </row>
    <row r="116" spans="2:50">
      <c r="B116" s="533"/>
      <c r="C116" s="404">
        <v>5</v>
      </c>
      <c r="D116" s="404" t="s">
        <v>363</v>
      </c>
      <c r="E116" s="404">
        <v>3</v>
      </c>
      <c r="F116" s="404">
        <v>3600</v>
      </c>
      <c r="G116" s="404">
        <v>1200</v>
      </c>
      <c r="H116" s="538"/>
      <c r="I116" s="408">
        <f t="shared" si="49"/>
        <v>4</v>
      </c>
      <c r="J116" s="408">
        <f t="shared" si="49"/>
        <v>3239.1236737119111</v>
      </c>
      <c r="K116" s="406">
        <f t="shared" si="49"/>
        <v>809.78091842797778</v>
      </c>
      <c r="L116" s="588"/>
      <c r="M116" s="408">
        <f>RANK(K116, K$112:$K$141)</f>
        <v>10</v>
      </c>
      <c r="N116" s="544"/>
      <c r="O116" s="544"/>
      <c r="P116" s="182">
        <v>4</v>
      </c>
      <c r="Q116" s="182">
        <v>3222.3529411764748</v>
      </c>
      <c r="R116" s="182">
        <v>805.5882352941187</v>
      </c>
      <c r="S116" s="404">
        <f t="shared" si="50"/>
        <v>12</v>
      </c>
      <c r="T116" s="538"/>
      <c r="U116" s="182">
        <v>4</v>
      </c>
      <c r="V116" s="182">
        <v>3274.5454545454581</v>
      </c>
      <c r="W116" s="182">
        <v>818.63636363636454</v>
      </c>
      <c r="X116" s="404">
        <f t="shared" si="37"/>
        <v>10</v>
      </c>
      <c r="Y116" s="538"/>
      <c r="Z116" s="182">
        <v>4</v>
      </c>
      <c r="AA116" s="182">
        <v>3292.0000000000032</v>
      </c>
      <c r="AB116" s="182">
        <v>823.0000000000008</v>
      </c>
      <c r="AC116" s="404">
        <f t="shared" si="39"/>
        <v>10</v>
      </c>
      <c r="AD116" s="538"/>
      <c r="AE116" s="182">
        <v>4</v>
      </c>
      <c r="AF116" s="182">
        <v>3268.8888888888905</v>
      </c>
      <c r="AG116" s="182">
        <v>817.22222222222263</v>
      </c>
      <c r="AH116" s="404">
        <f t="shared" si="41"/>
        <v>9</v>
      </c>
      <c r="AI116" s="538"/>
      <c r="AJ116" s="182">
        <v>4</v>
      </c>
      <c r="AK116" s="182">
        <v>3146.6666666666683</v>
      </c>
      <c r="AL116" s="182">
        <v>786.66666666666708</v>
      </c>
      <c r="AM116" s="404">
        <f t="shared" si="43"/>
        <v>8</v>
      </c>
      <c r="AN116" s="538"/>
      <c r="AO116" s="182">
        <v>4</v>
      </c>
      <c r="AP116" s="182">
        <v>3250.5882352941135</v>
      </c>
      <c r="AQ116" s="182">
        <v>812.64705882352837</v>
      </c>
      <c r="AR116" s="404">
        <f t="shared" si="45"/>
        <v>10</v>
      </c>
      <c r="AS116" s="538"/>
      <c r="AT116" s="182">
        <v>4</v>
      </c>
      <c r="AU116" s="182">
        <v>3218.8235294117685</v>
      </c>
      <c r="AV116" s="182">
        <v>804.70588235294213</v>
      </c>
      <c r="AW116" s="404">
        <f t="shared" si="47"/>
        <v>10</v>
      </c>
      <c r="AX116" s="538"/>
    </row>
    <row r="117" spans="2:50">
      <c r="B117" s="533"/>
      <c r="C117" s="404">
        <v>6</v>
      </c>
      <c r="D117" s="404" t="s">
        <v>361</v>
      </c>
      <c r="E117" s="404">
        <v>4</v>
      </c>
      <c r="F117" s="404">
        <v>3600</v>
      </c>
      <c r="G117" s="404">
        <v>900</v>
      </c>
      <c r="H117" s="538"/>
      <c r="I117" s="408">
        <f t="shared" si="49"/>
        <v>4</v>
      </c>
      <c r="J117" s="408">
        <f t="shared" si="49"/>
        <v>3186.6593406593429</v>
      </c>
      <c r="K117" s="406">
        <f t="shared" si="49"/>
        <v>796.66483516483572</v>
      </c>
      <c r="L117" s="588"/>
      <c r="M117" s="408">
        <f>RANK(K117, K$112:$K$141)</f>
        <v>11</v>
      </c>
      <c r="N117" s="544"/>
      <c r="O117" s="544"/>
      <c r="P117" s="182">
        <v>4</v>
      </c>
      <c r="Q117" s="182">
        <v>3484.6153846153866</v>
      </c>
      <c r="R117" s="182">
        <v>871.15384615384664</v>
      </c>
      <c r="S117" s="404">
        <f t="shared" si="50"/>
        <v>8</v>
      </c>
      <c r="T117" s="538"/>
      <c r="U117" s="182">
        <v>4</v>
      </c>
      <c r="V117" s="182">
        <v>3200.0000000000032</v>
      </c>
      <c r="W117" s="182">
        <v>800.0000000000008</v>
      </c>
      <c r="X117" s="404">
        <f t="shared" si="37"/>
        <v>11</v>
      </c>
      <c r="Y117" s="538"/>
      <c r="Z117" s="182">
        <v>4</v>
      </c>
      <c r="AA117" s="182">
        <v>3064.0000000000027</v>
      </c>
      <c r="AB117" s="182">
        <v>766.00000000000068</v>
      </c>
      <c r="AC117" s="404">
        <f t="shared" si="39"/>
        <v>12</v>
      </c>
      <c r="AD117" s="538"/>
      <c r="AE117" s="182">
        <v>4</v>
      </c>
      <c r="AF117" s="182">
        <v>3190.0000000000009</v>
      </c>
      <c r="AG117" s="182">
        <v>797.50000000000023</v>
      </c>
      <c r="AH117" s="404">
        <f t="shared" si="41"/>
        <v>10</v>
      </c>
      <c r="AI117" s="538"/>
      <c r="AJ117" s="182">
        <v>4</v>
      </c>
      <c r="AK117" s="182">
        <v>2980.0000000000009</v>
      </c>
      <c r="AL117" s="182">
        <v>745.00000000000023</v>
      </c>
      <c r="AM117" s="404">
        <f t="shared" si="43"/>
        <v>10</v>
      </c>
      <c r="AN117" s="538"/>
      <c r="AO117" s="182">
        <v>4</v>
      </c>
      <c r="AP117" s="182">
        <v>3268.0000000000032</v>
      </c>
      <c r="AQ117" s="182">
        <v>817.0000000000008</v>
      </c>
      <c r="AR117" s="404">
        <f t="shared" si="45"/>
        <v>9</v>
      </c>
      <c r="AS117" s="538"/>
      <c r="AT117" s="182">
        <v>4</v>
      </c>
      <c r="AU117" s="182">
        <v>3120.0000000000032</v>
      </c>
      <c r="AV117" s="182">
        <v>780.0000000000008</v>
      </c>
      <c r="AW117" s="404">
        <f t="shared" si="47"/>
        <v>11</v>
      </c>
      <c r="AX117" s="538"/>
    </row>
    <row r="118" spans="2:50">
      <c r="B118" s="533"/>
      <c r="C118" s="404">
        <v>7</v>
      </c>
      <c r="D118" s="404" t="s">
        <v>469</v>
      </c>
      <c r="E118" s="404">
        <v>4</v>
      </c>
      <c r="F118" s="404">
        <v>3600</v>
      </c>
      <c r="G118" s="404">
        <v>900</v>
      </c>
      <c r="H118" s="538"/>
      <c r="I118" s="408">
        <f t="shared" si="49"/>
        <v>4</v>
      </c>
      <c r="J118" s="408">
        <f t="shared" si="49"/>
        <v>3321.1224489795791</v>
      </c>
      <c r="K118" s="406">
        <f t="shared" si="49"/>
        <v>830.28061224489477</v>
      </c>
      <c r="L118" s="588"/>
      <c r="M118" s="408">
        <f>RANK(K118, K$112:$K$141)</f>
        <v>8</v>
      </c>
      <c r="N118" s="544"/>
      <c r="O118" s="544"/>
      <c r="P118" s="182">
        <v>4</v>
      </c>
      <c r="Q118" s="182">
        <v>3382.4999999999782</v>
      </c>
      <c r="R118" s="182">
        <v>845.62499999999454</v>
      </c>
      <c r="S118" s="404">
        <f t="shared" si="50"/>
        <v>10</v>
      </c>
      <c r="T118" s="538"/>
      <c r="U118" s="182">
        <v>4</v>
      </c>
      <c r="V118" s="182">
        <v>3637.4999999999764</v>
      </c>
      <c r="W118" s="182">
        <v>909.37499999999409</v>
      </c>
      <c r="X118" s="404">
        <f t="shared" si="37"/>
        <v>7</v>
      </c>
      <c r="Y118" s="538"/>
      <c r="Z118" s="182">
        <v>4</v>
      </c>
      <c r="AA118" s="182">
        <v>3352.4999999999782</v>
      </c>
      <c r="AB118" s="182">
        <v>838.12499999999454</v>
      </c>
      <c r="AC118" s="404">
        <f t="shared" si="39"/>
        <v>9</v>
      </c>
      <c r="AD118" s="538"/>
      <c r="AE118" s="182">
        <v>4</v>
      </c>
      <c r="AF118" s="182">
        <v>3154.2857142857256</v>
      </c>
      <c r="AG118" s="182">
        <v>788.5714285714314</v>
      </c>
      <c r="AH118" s="404">
        <f t="shared" si="41"/>
        <v>11</v>
      </c>
      <c r="AI118" s="538"/>
      <c r="AJ118" s="182">
        <v>4</v>
      </c>
      <c r="AK118" s="182">
        <v>2768.5714285714384</v>
      </c>
      <c r="AL118" s="182">
        <v>692.14285714285961</v>
      </c>
      <c r="AM118" s="404">
        <f t="shared" si="43"/>
        <v>14</v>
      </c>
      <c r="AN118" s="538"/>
      <c r="AO118" s="182">
        <v>4</v>
      </c>
      <c r="AP118" s="182">
        <v>3547.4999999999768</v>
      </c>
      <c r="AQ118" s="182">
        <v>886.8749999999942</v>
      </c>
      <c r="AR118" s="404">
        <f t="shared" si="45"/>
        <v>7</v>
      </c>
      <c r="AS118" s="538"/>
      <c r="AT118" s="182">
        <v>4</v>
      </c>
      <c r="AU118" s="182">
        <v>3404.9999999999782</v>
      </c>
      <c r="AV118" s="182">
        <v>851.24999999999454</v>
      </c>
      <c r="AW118" s="404">
        <f t="shared" si="47"/>
        <v>8</v>
      </c>
      <c r="AX118" s="538"/>
    </row>
    <row r="119" spans="2:50">
      <c r="B119" s="533"/>
      <c r="C119" s="404">
        <v>8</v>
      </c>
      <c r="D119" s="404" t="s">
        <v>364</v>
      </c>
      <c r="E119" s="404">
        <v>4</v>
      </c>
      <c r="F119" s="404">
        <v>3300</v>
      </c>
      <c r="G119" s="404">
        <v>825</v>
      </c>
      <c r="H119" s="538"/>
      <c r="I119" s="408">
        <f t="shared" si="49"/>
        <v>4</v>
      </c>
      <c r="J119" s="408">
        <f t="shared" si="49"/>
        <v>2720.4758099043829</v>
      </c>
      <c r="K119" s="406">
        <f t="shared" si="49"/>
        <v>680.11895247609573</v>
      </c>
      <c r="L119" s="588"/>
      <c r="M119" s="408">
        <f>RANK(K119, K$112:$K$141)</f>
        <v>17</v>
      </c>
      <c r="N119" s="544"/>
      <c r="O119" s="544"/>
      <c r="P119" s="182">
        <v>4</v>
      </c>
      <c r="Q119" s="182">
        <v>2841.4285714285738</v>
      </c>
      <c r="R119" s="182">
        <v>710.35714285714346</v>
      </c>
      <c r="S119" s="404">
        <f t="shared" si="50"/>
        <v>16</v>
      </c>
      <c r="T119" s="538"/>
      <c r="U119" s="182">
        <v>4</v>
      </c>
      <c r="V119" s="182">
        <v>2652.0000000000023</v>
      </c>
      <c r="W119" s="182">
        <v>663.00000000000057</v>
      </c>
      <c r="X119" s="404">
        <f t="shared" si="37"/>
        <v>17</v>
      </c>
      <c r="Y119" s="538"/>
      <c r="Z119" s="182">
        <v>4</v>
      </c>
      <c r="AA119" s="182">
        <v>2912.3076923076942</v>
      </c>
      <c r="AB119" s="182">
        <v>728.07692307692355</v>
      </c>
      <c r="AC119" s="404">
        <f t="shared" si="39"/>
        <v>14</v>
      </c>
      <c r="AD119" s="538"/>
      <c r="AE119" s="182">
        <v>4</v>
      </c>
      <c r="AF119" s="182">
        <v>2896.3636363636365</v>
      </c>
      <c r="AG119" s="182">
        <v>724.09090909090912</v>
      </c>
      <c r="AH119" s="404">
        <f t="shared" si="41"/>
        <v>13</v>
      </c>
      <c r="AI119" s="538"/>
      <c r="AJ119" s="182">
        <v>4</v>
      </c>
      <c r="AK119" s="182">
        <v>1952.000000000002</v>
      </c>
      <c r="AL119" s="182">
        <v>488.00000000000051</v>
      </c>
      <c r="AM119" s="404">
        <f t="shared" si="43"/>
        <v>18</v>
      </c>
      <c r="AN119" s="538"/>
      <c r="AO119" s="182">
        <v>4</v>
      </c>
      <c r="AP119" s="182">
        <v>2780.0000000000027</v>
      </c>
      <c r="AQ119" s="182">
        <v>695.00000000000068</v>
      </c>
      <c r="AR119" s="404">
        <f t="shared" si="45"/>
        <v>16</v>
      </c>
      <c r="AS119" s="538"/>
      <c r="AT119" s="182">
        <v>4</v>
      </c>
      <c r="AU119" s="182">
        <v>3009.2307692307709</v>
      </c>
      <c r="AV119" s="182">
        <v>752.30769230769272</v>
      </c>
      <c r="AW119" s="404">
        <f t="shared" si="47"/>
        <v>12</v>
      </c>
      <c r="AX119" s="538"/>
    </row>
    <row r="120" spans="2:50">
      <c r="B120" s="533"/>
      <c r="C120" s="404">
        <v>9</v>
      </c>
      <c r="D120" s="404" t="s">
        <v>365</v>
      </c>
      <c r="E120" s="404">
        <v>3</v>
      </c>
      <c r="F120" s="404">
        <v>3300</v>
      </c>
      <c r="G120" s="404">
        <v>1100</v>
      </c>
      <c r="H120" s="538"/>
      <c r="I120" s="408">
        <f t="shared" si="49"/>
        <v>3</v>
      </c>
      <c r="J120" s="408">
        <f t="shared" si="49"/>
        <v>2848.1727994227986</v>
      </c>
      <c r="K120" s="406">
        <f t="shared" si="49"/>
        <v>949.39093314093282</v>
      </c>
      <c r="L120" s="588"/>
      <c r="M120" s="408">
        <f>RANK(K120, K$112:$K$141)</f>
        <v>4</v>
      </c>
      <c r="N120" s="544"/>
      <c r="O120" s="544"/>
      <c r="P120" s="182">
        <v>3</v>
      </c>
      <c r="Q120" s="182">
        <v>2848.1249999999995</v>
      </c>
      <c r="R120" s="182">
        <v>949.37499999999989</v>
      </c>
      <c r="S120" s="404">
        <f t="shared" si="50"/>
        <v>6</v>
      </c>
      <c r="T120" s="538"/>
      <c r="U120" s="182">
        <v>3</v>
      </c>
      <c r="V120" s="182">
        <v>2816.2499999999995</v>
      </c>
      <c r="W120" s="182">
        <v>938.74999999999989</v>
      </c>
      <c r="X120" s="404">
        <f t="shared" si="37"/>
        <v>5</v>
      </c>
      <c r="Y120" s="538"/>
      <c r="Z120" s="182">
        <v>3</v>
      </c>
      <c r="AA120" s="182">
        <v>2899.9999999999986</v>
      </c>
      <c r="AB120" s="182">
        <v>966.66666666666617</v>
      </c>
      <c r="AC120" s="404">
        <f t="shared" si="39"/>
        <v>4</v>
      </c>
      <c r="AD120" s="538"/>
      <c r="AE120" s="182">
        <v>3</v>
      </c>
      <c r="AF120" s="182">
        <v>2904.4444444444416</v>
      </c>
      <c r="AG120" s="182">
        <v>968.14814814814724</v>
      </c>
      <c r="AH120" s="404">
        <f t="shared" si="41"/>
        <v>4</v>
      </c>
      <c r="AI120" s="538"/>
      <c r="AJ120" s="182">
        <v>3</v>
      </c>
      <c r="AK120" s="182">
        <v>2773.3333333333348</v>
      </c>
      <c r="AL120" s="182">
        <v>924.44444444444491</v>
      </c>
      <c r="AM120" s="404">
        <f t="shared" si="43"/>
        <v>3</v>
      </c>
      <c r="AN120" s="538"/>
      <c r="AO120" s="182">
        <v>3</v>
      </c>
      <c r="AP120" s="182">
        <v>2858.1818181818144</v>
      </c>
      <c r="AQ120" s="182">
        <v>952.7272727272715</v>
      </c>
      <c r="AR120" s="404">
        <f t="shared" si="45"/>
        <v>3</v>
      </c>
      <c r="AS120" s="538"/>
      <c r="AT120" s="182">
        <v>3</v>
      </c>
      <c r="AU120" s="182">
        <v>2836.8749999999995</v>
      </c>
      <c r="AV120" s="182">
        <v>945.62499999999989</v>
      </c>
      <c r="AW120" s="404">
        <f t="shared" si="47"/>
        <v>4</v>
      </c>
      <c r="AX120" s="538"/>
    </row>
    <row r="121" spans="2:50">
      <c r="B121" s="533"/>
      <c r="C121" s="404">
        <v>10</v>
      </c>
      <c r="D121" s="404" t="s">
        <v>366</v>
      </c>
      <c r="E121" s="404">
        <v>3</v>
      </c>
      <c r="F121" s="404">
        <v>3300</v>
      </c>
      <c r="G121" s="404">
        <v>1100</v>
      </c>
      <c r="H121" s="538"/>
      <c r="I121" s="408">
        <f t="shared" si="49"/>
        <v>3</v>
      </c>
      <c r="J121" s="408">
        <f t="shared" si="49"/>
        <v>2835.6606042132357</v>
      </c>
      <c r="K121" s="406">
        <f t="shared" si="49"/>
        <v>945.2202014044118</v>
      </c>
      <c r="L121" s="588"/>
      <c r="M121" s="408">
        <f>RANK(K121, K$112:$K$141)</f>
        <v>5</v>
      </c>
      <c r="N121" s="544"/>
      <c r="O121" s="544"/>
      <c r="P121" s="182">
        <v>3</v>
      </c>
      <c r="Q121" s="182">
        <v>2854.0540540540551</v>
      </c>
      <c r="R121" s="182">
        <v>951.3513513513517</v>
      </c>
      <c r="S121" s="404">
        <f t="shared" si="50"/>
        <v>4</v>
      </c>
      <c r="T121" s="538"/>
      <c r="U121" s="182">
        <v>3</v>
      </c>
      <c r="V121" s="182">
        <v>2921.6666666666674</v>
      </c>
      <c r="W121" s="182">
        <v>973.88888888888914</v>
      </c>
      <c r="X121" s="404">
        <f t="shared" si="37"/>
        <v>3</v>
      </c>
      <c r="Y121" s="538"/>
      <c r="Z121" s="182">
        <v>3</v>
      </c>
      <c r="AA121" s="182">
        <v>2856.6666666666611</v>
      </c>
      <c r="AB121" s="182">
        <v>952.22222222222035</v>
      </c>
      <c r="AC121" s="404">
        <f t="shared" si="39"/>
        <v>5</v>
      </c>
      <c r="AD121" s="538"/>
      <c r="AE121" s="182">
        <v>3</v>
      </c>
      <c r="AF121" s="182">
        <v>2848.1249999999995</v>
      </c>
      <c r="AG121" s="182">
        <v>949.37499999999989</v>
      </c>
      <c r="AH121" s="404">
        <f t="shared" si="41"/>
        <v>6</v>
      </c>
      <c r="AI121" s="538"/>
      <c r="AJ121" s="182">
        <v>3</v>
      </c>
      <c r="AK121" s="182">
        <v>2754.3749999999995</v>
      </c>
      <c r="AL121" s="182">
        <v>918.12499999999989</v>
      </c>
      <c r="AM121" s="404">
        <f t="shared" si="43"/>
        <v>6</v>
      </c>
      <c r="AN121" s="538"/>
      <c r="AO121" s="182">
        <v>3</v>
      </c>
      <c r="AP121" s="182">
        <v>2827.8947368421063</v>
      </c>
      <c r="AQ121" s="182">
        <v>942.63157894736878</v>
      </c>
      <c r="AR121" s="404">
        <f t="shared" si="45"/>
        <v>5</v>
      </c>
      <c r="AS121" s="538"/>
      <c r="AT121" s="182">
        <v>3</v>
      </c>
      <c r="AU121" s="182">
        <v>2786.8421052631593</v>
      </c>
      <c r="AV121" s="182">
        <v>928.94736842105306</v>
      </c>
      <c r="AW121" s="404">
        <f t="shared" si="47"/>
        <v>7</v>
      </c>
      <c r="AX121" s="538"/>
    </row>
    <row r="122" spans="2:50">
      <c r="B122" s="533"/>
      <c r="C122" s="404">
        <v>11</v>
      </c>
      <c r="D122" s="404" t="s">
        <v>367</v>
      </c>
      <c r="E122" s="404">
        <v>4</v>
      </c>
      <c r="F122" s="404">
        <v>3300</v>
      </c>
      <c r="G122" s="404">
        <v>825</v>
      </c>
      <c r="H122" s="538"/>
      <c r="I122" s="408">
        <f t="shared" si="49"/>
        <v>4</v>
      </c>
      <c r="J122" s="408">
        <f t="shared" si="49"/>
        <v>2778.5466848940528</v>
      </c>
      <c r="K122" s="406">
        <f t="shared" si="49"/>
        <v>694.63667122351319</v>
      </c>
      <c r="L122" s="588"/>
      <c r="M122" s="408">
        <f>RANK(K122, K$112:$K$141)</f>
        <v>15</v>
      </c>
      <c r="N122" s="544"/>
      <c r="O122" s="544"/>
      <c r="P122" s="182">
        <v>4</v>
      </c>
      <c r="Q122" s="182">
        <v>2758.0000000000005</v>
      </c>
      <c r="R122" s="182">
        <v>689.50000000000011</v>
      </c>
      <c r="S122" s="404">
        <f t="shared" si="50"/>
        <v>18</v>
      </c>
      <c r="T122" s="538"/>
      <c r="U122" s="182">
        <v>4</v>
      </c>
      <c r="V122" s="182">
        <v>2845.2631578947367</v>
      </c>
      <c r="W122" s="182">
        <v>711.31578947368416</v>
      </c>
      <c r="X122" s="404">
        <f t="shared" si="37"/>
        <v>14</v>
      </c>
      <c r="Y122" s="538"/>
      <c r="Z122" s="182">
        <v>4</v>
      </c>
      <c r="AA122" s="182">
        <v>2836.3636363636342</v>
      </c>
      <c r="AB122" s="182">
        <v>709.09090909090855</v>
      </c>
      <c r="AC122" s="404">
        <f t="shared" si="39"/>
        <v>16</v>
      </c>
      <c r="AD122" s="538"/>
      <c r="AE122" s="182">
        <v>4</v>
      </c>
      <c r="AF122" s="182">
        <v>2757.5999999999967</v>
      </c>
      <c r="AG122" s="182">
        <v>689.39999999999918</v>
      </c>
      <c r="AH122" s="404">
        <f t="shared" si="41"/>
        <v>18</v>
      </c>
      <c r="AI122" s="538"/>
      <c r="AJ122" s="182">
        <v>4</v>
      </c>
      <c r="AK122" s="182">
        <v>2697.6000000000008</v>
      </c>
      <c r="AL122" s="182">
        <v>674.4000000000002</v>
      </c>
      <c r="AM122" s="404">
        <f t="shared" si="43"/>
        <v>15</v>
      </c>
      <c r="AN122" s="538"/>
      <c r="AO122" s="182">
        <v>4</v>
      </c>
      <c r="AP122" s="182">
        <v>2782.0000000000005</v>
      </c>
      <c r="AQ122" s="182">
        <v>695.50000000000011</v>
      </c>
      <c r="AR122" s="404">
        <f t="shared" si="45"/>
        <v>15</v>
      </c>
      <c r="AS122" s="538"/>
      <c r="AT122" s="182">
        <v>4</v>
      </c>
      <c r="AU122" s="182">
        <v>2772.9999999999986</v>
      </c>
      <c r="AV122" s="182">
        <v>693.24999999999966</v>
      </c>
      <c r="AW122" s="404">
        <f t="shared" si="47"/>
        <v>16</v>
      </c>
      <c r="AX122" s="538"/>
    </row>
    <row r="123" spans="2:50">
      <c r="B123" s="533"/>
      <c r="C123" s="404">
        <v>12</v>
      </c>
      <c r="D123" s="404" t="s">
        <v>368</v>
      </c>
      <c r="E123" s="404">
        <v>4</v>
      </c>
      <c r="F123" s="404">
        <v>3300</v>
      </c>
      <c r="G123" s="404">
        <v>825</v>
      </c>
      <c r="H123" s="538"/>
      <c r="I123" s="408">
        <f t="shared" si="49"/>
        <v>4</v>
      </c>
      <c r="J123" s="408">
        <f t="shared" si="49"/>
        <v>2776.2001910669283</v>
      </c>
      <c r="K123" s="406">
        <f t="shared" si="49"/>
        <v>694.05004776673206</v>
      </c>
      <c r="L123" s="588"/>
      <c r="M123" s="408">
        <f>RANK(K123, K$112:$K$141)</f>
        <v>16</v>
      </c>
      <c r="N123" s="544"/>
      <c r="O123" s="544"/>
      <c r="P123" s="182">
        <v>4</v>
      </c>
      <c r="Q123" s="182">
        <v>2828.0597014925374</v>
      </c>
      <c r="R123" s="182">
        <v>707.01492537313436</v>
      </c>
      <c r="S123" s="404">
        <f t="shared" si="50"/>
        <v>17</v>
      </c>
      <c r="T123" s="538"/>
      <c r="U123" s="182">
        <v>4</v>
      </c>
      <c r="V123" s="182">
        <v>2811.8181818181783</v>
      </c>
      <c r="W123" s="182">
        <v>702.95454545454459</v>
      </c>
      <c r="X123" s="404">
        <f t="shared" si="37"/>
        <v>16</v>
      </c>
      <c r="Y123" s="538"/>
      <c r="Z123" s="182">
        <v>4</v>
      </c>
      <c r="AA123" s="182">
        <v>2802.8571428571422</v>
      </c>
      <c r="AB123" s="182">
        <v>700.71428571428555</v>
      </c>
      <c r="AC123" s="404">
        <f t="shared" si="39"/>
        <v>18</v>
      </c>
      <c r="AD123" s="538"/>
      <c r="AE123" s="182">
        <v>4</v>
      </c>
      <c r="AF123" s="182">
        <v>2816.7857142857165</v>
      </c>
      <c r="AG123" s="182">
        <v>704.19642857142912</v>
      </c>
      <c r="AH123" s="404">
        <f t="shared" si="41"/>
        <v>16</v>
      </c>
      <c r="AI123" s="538"/>
      <c r="AJ123" s="182">
        <v>4</v>
      </c>
      <c r="AK123" s="182">
        <v>2555.9999999999986</v>
      </c>
      <c r="AL123" s="182">
        <v>638.99999999999966</v>
      </c>
      <c r="AM123" s="404">
        <f t="shared" si="43"/>
        <v>16</v>
      </c>
      <c r="AN123" s="538"/>
      <c r="AO123" s="182">
        <v>4</v>
      </c>
      <c r="AP123" s="182">
        <v>2814.0000000000009</v>
      </c>
      <c r="AQ123" s="182">
        <v>703.50000000000023</v>
      </c>
      <c r="AR123" s="404">
        <f t="shared" si="45"/>
        <v>14</v>
      </c>
      <c r="AS123" s="538"/>
      <c r="AT123" s="182">
        <v>4</v>
      </c>
      <c r="AU123" s="182">
        <v>2803.8805970149215</v>
      </c>
      <c r="AV123" s="182">
        <v>700.97014925373037</v>
      </c>
      <c r="AW123" s="404">
        <f t="shared" si="47"/>
        <v>15</v>
      </c>
      <c r="AX123" s="538"/>
    </row>
    <row r="124" spans="2:50">
      <c r="B124" s="533"/>
      <c r="C124" s="404">
        <v>13</v>
      </c>
      <c r="D124" s="404" t="s">
        <v>570</v>
      </c>
      <c r="E124" s="404">
        <v>4</v>
      </c>
      <c r="F124" s="404">
        <v>2800</v>
      </c>
      <c r="G124" s="404">
        <v>700</v>
      </c>
      <c r="H124" s="538"/>
      <c r="I124" s="408">
        <f t="shared" si="49"/>
        <v>4</v>
      </c>
      <c r="J124" s="408">
        <f t="shared" si="49"/>
        <v>2779.0306122448969</v>
      </c>
      <c r="K124" s="406">
        <f t="shared" si="49"/>
        <v>694.75765306122423</v>
      </c>
      <c r="L124" s="588"/>
      <c r="M124" s="408">
        <f>RANK(K124, K$112:$K$141)</f>
        <v>14</v>
      </c>
      <c r="N124" s="544"/>
      <c r="O124" s="544"/>
      <c r="P124" s="182">
        <v>4</v>
      </c>
      <c r="Q124" s="182">
        <v>2845.7142857142844</v>
      </c>
      <c r="R124" s="182">
        <v>711.4285714285711</v>
      </c>
      <c r="S124" s="404">
        <f t="shared" si="50"/>
        <v>15</v>
      </c>
      <c r="T124" s="538"/>
      <c r="U124" s="182">
        <v>4</v>
      </c>
      <c r="V124" s="182">
        <v>2844.2857142857133</v>
      </c>
      <c r="W124" s="182">
        <v>711.07142857142833</v>
      </c>
      <c r="X124" s="404">
        <f t="shared" si="37"/>
        <v>15</v>
      </c>
      <c r="Y124" s="538"/>
      <c r="Z124" s="182">
        <v>4</v>
      </c>
      <c r="AA124" s="182">
        <v>2860.4999999999991</v>
      </c>
      <c r="AB124" s="182">
        <v>715.12499999999977</v>
      </c>
      <c r="AC124" s="404">
        <f t="shared" si="39"/>
        <v>15</v>
      </c>
      <c r="AD124" s="538"/>
      <c r="AE124" s="182">
        <v>4</v>
      </c>
      <c r="AF124" s="182">
        <v>2875.0000000000041</v>
      </c>
      <c r="AG124" s="182">
        <v>718.75000000000102</v>
      </c>
      <c r="AH124" s="404">
        <f t="shared" si="41"/>
        <v>14</v>
      </c>
      <c r="AI124" s="538"/>
      <c r="AJ124" s="182">
        <v>4</v>
      </c>
      <c r="AK124" s="182">
        <v>2417.9999999999936</v>
      </c>
      <c r="AL124" s="182">
        <v>604.49999999999841</v>
      </c>
      <c r="AM124" s="404">
        <f t="shared" si="43"/>
        <v>17</v>
      </c>
      <c r="AN124" s="538"/>
      <c r="AO124" s="182">
        <v>4</v>
      </c>
      <c r="AP124" s="182">
        <v>2744</v>
      </c>
      <c r="AQ124" s="182">
        <v>686</v>
      </c>
      <c r="AR124" s="404">
        <f t="shared" si="45"/>
        <v>17</v>
      </c>
      <c r="AS124" s="538"/>
      <c r="AT124" s="182">
        <v>4</v>
      </c>
      <c r="AU124" s="182">
        <v>2865.7142857142849</v>
      </c>
      <c r="AV124" s="182">
        <v>716.42857142857122</v>
      </c>
      <c r="AW124" s="404">
        <f t="shared" si="47"/>
        <v>14</v>
      </c>
      <c r="AX124" s="538"/>
    </row>
    <row r="125" spans="2:50">
      <c r="B125" s="533"/>
      <c r="C125" s="404">
        <v>14</v>
      </c>
      <c r="D125" s="404" t="s">
        <v>369</v>
      </c>
      <c r="E125" s="404">
        <v>4</v>
      </c>
      <c r="F125" s="404">
        <v>3600</v>
      </c>
      <c r="G125" s="404">
        <v>900</v>
      </c>
      <c r="H125" s="538"/>
      <c r="I125" s="408">
        <f t="shared" si="49"/>
        <v>4</v>
      </c>
      <c r="J125" s="408">
        <f t="shared" si="49"/>
        <v>2840.9142857142733</v>
      </c>
      <c r="K125" s="406">
        <f t="shared" si="49"/>
        <v>710.22857142856833</v>
      </c>
      <c r="L125" s="588"/>
      <c r="M125" s="408">
        <f>RANK(K125, K$112:$K$141)</f>
        <v>13</v>
      </c>
      <c r="N125" s="544"/>
      <c r="O125" s="544"/>
      <c r="P125" s="182">
        <v>4</v>
      </c>
      <c r="Q125" s="182">
        <v>3050.9999999999864</v>
      </c>
      <c r="R125" s="182">
        <v>762.74999999999659</v>
      </c>
      <c r="S125" s="404">
        <f t="shared" si="50"/>
        <v>13</v>
      </c>
      <c r="T125" s="538"/>
      <c r="U125" s="182">
        <v>4</v>
      </c>
      <c r="V125" s="182">
        <v>2954.9999999999868</v>
      </c>
      <c r="W125" s="182">
        <v>738.7499999999967</v>
      </c>
      <c r="X125" s="404">
        <f t="shared" si="37"/>
        <v>12</v>
      </c>
      <c r="Y125" s="538"/>
      <c r="Z125" s="182">
        <v>4</v>
      </c>
      <c r="AA125" s="182">
        <v>2825.9999999999873</v>
      </c>
      <c r="AB125" s="182">
        <v>706.49999999999682</v>
      </c>
      <c r="AC125" s="404">
        <f t="shared" si="39"/>
        <v>17</v>
      </c>
      <c r="AD125" s="538"/>
      <c r="AE125" s="182">
        <v>4</v>
      </c>
      <c r="AF125" s="182">
        <v>2771.9999999999877</v>
      </c>
      <c r="AG125" s="182">
        <v>692.99999999999693</v>
      </c>
      <c r="AH125" s="404">
        <f t="shared" si="41"/>
        <v>17</v>
      </c>
      <c r="AI125" s="538"/>
      <c r="AJ125" s="182">
        <v>4</v>
      </c>
      <c r="AK125" s="182">
        <v>2855.9999999999873</v>
      </c>
      <c r="AL125" s="182">
        <v>713.99999999999682</v>
      </c>
      <c r="AM125" s="404">
        <f t="shared" si="43"/>
        <v>13</v>
      </c>
      <c r="AN125" s="538"/>
      <c r="AO125" s="182">
        <v>4</v>
      </c>
      <c r="AP125" s="182">
        <v>2915.9999999999868</v>
      </c>
      <c r="AQ125" s="182">
        <v>728.9999999999967</v>
      </c>
      <c r="AR125" s="404">
        <f t="shared" si="45"/>
        <v>12</v>
      </c>
      <c r="AS125" s="538"/>
      <c r="AT125" s="182">
        <v>4</v>
      </c>
      <c r="AU125" s="182">
        <v>2510.3999999999928</v>
      </c>
      <c r="AV125" s="182">
        <v>627.5999999999982</v>
      </c>
      <c r="AW125" s="404">
        <f t="shared" si="47"/>
        <v>17</v>
      </c>
      <c r="AX125" s="538"/>
    </row>
    <row r="126" spans="2:50">
      <c r="B126" s="533"/>
      <c r="C126" s="404">
        <v>15</v>
      </c>
      <c r="D126" s="404" t="s">
        <v>370</v>
      </c>
      <c r="E126" s="404">
        <v>4</v>
      </c>
      <c r="F126" s="404">
        <v>3600</v>
      </c>
      <c r="G126" s="404">
        <v>900</v>
      </c>
      <c r="H126" s="538"/>
      <c r="I126" s="408">
        <f t="shared" si="49"/>
        <v>4</v>
      </c>
      <c r="J126" s="408">
        <f t="shared" si="49"/>
        <v>2712.8571428571672</v>
      </c>
      <c r="K126" s="406">
        <f t="shared" si="49"/>
        <v>678.2142857142918</v>
      </c>
      <c r="L126" s="588"/>
      <c r="M126" s="408">
        <f>RANK(K126, K$112:$K$141)</f>
        <v>18</v>
      </c>
      <c r="N126" s="544"/>
      <c r="O126" s="544"/>
      <c r="P126" s="182">
        <v>4</v>
      </c>
      <c r="Q126" s="182">
        <v>3468.0000000000678</v>
      </c>
      <c r="R126" s="182">
        <v>867.00000000001694</v>
      </c>
      <c r="S126" s="404">
        <f t="shared" si="50"/>
        <v>9</v>
      </c>
      <c r="T126" s="538"/>
      <c r="U126" s="182">
        <v>4</v>
      </c>
      <c r="V126" s="182">
        <v>2248.0000000000077</v>
      </c>
      <c r="W126" s="182">
        <v>562.00000000000193</v>
      </c>
      <c r="X126" s="404">
        <f t="shared" si="37"/>
        <v>18</v>
      </c>
      <c r="Y126" s="538"/>
      <c r="Z126" s="182">
        <v>4</v>
      </c>
      <c r="AA126" s="182">
        <v>3078.00000000006</v>
      </c>
      <c r="AB126" s="182">
        <v>769.50000000001501</v>
      </c>
      <c r="AC126" s="404">
        <f t="shared" si="39"/>
        <v>11</v>
      </c>
      <c r="AD126" s="538"/>
      <c r="AE126" s="182">
        <v>4</v>
      </c>
      <c r="AF126" s="182">
        <v>2946.0000000000105</v>
      </c>
      <c r="AG126" s="182">
        <v>736.50000000000261</v>
      </c>
      <c r="AH126" s="404">
        <f t="shared" si="41"/>
        <v>12</v>
      </c>
      <c r="AI126" s="538"/>
      <c r="AJ126" s="182">
        <v>4</v>
      </c>
      <c r="AK126" s="182">
        <v>2946.0000000000105</v>
      </c>
      <c r="AL126" s="182">
        <v>736.50000000000261</v>
      </c>
      <c r="AM126" s="404">
        <f t="shared" si="43"/>
        <v>11</v>
      </c>
      <c r="AN126" s="538"/>
      <c r="AO126" s="182">
        <v>4</v>
      </c>
      <c r="AP126" s="182">
        <v>2180.0000000000077</v>
      </c>
      <c r="AQ126" s="182">
        <v>545.00000000000193</v>
      </c>
      <c r="AR126" s="404">
        <f t="shared" si="45"/>
        <v>18</v>
      </c>
      <c r="AS126" s="538"/>
      <c r="AT126" s="182">
        <v>4</v>
      </c>
      <c r="AU126" s="182">
        <v>2124.0000000000077</v>
      </c>
      <c r="AV126" s="182">
        <v>531.00000000000193</v>
      </c>
      <c r="AW126" s="404">
        <f t="shared" si="47"/>
        <v>18</v>
      </c>
      <c r="AX126" s="538"/>
    </row>
    <row r="127" spans="2:50">
      <c r="B127" s="533"/>
      <c r="C127" s="404">
        <v>16</v>
      </c>
      <c r="D127" s="404" t="s">
        <v>481</v>
      </c>
      <c r="E127" s="404">
        <v>4</v>
      </c>
      <c r="F127" s="404">
        <v>3300</v>
      </c>
      <c r="G127" s="404">
        <v>825</v>
      </c>
      <c r="H127" s="538"/>
      <c r="I127" s="408">
        <f t="shared" si="49"/>
        <v>3</v>
      </c>
      <c r="J127" s="408">
        <f t="shared" si="49"/>
        <v>2791.8429458740056</v>
      </c>
      <c r="K127" s="406">
        <f t="shared" si="49"/>
        <v>930.61431529133517</v>
      </c>
      <c r="L127" s="588"/>
      <c r="M127" s="408">
        <f>RANK(K127, K$112:$K$141)</f>
        <v>6</v>
      </c>
      <c r="N127" s="544"/>
      <c r="O127" s="544"/>
      <c r="P127" s="182">
        <v>3</v>
      </c>
      <c r="Q127" s="182">
        <v>2724.0000000000023</v>
      </c>
      <c r="R127" s="182">
        <v>908.0000000000008</v>
      </c>
      <c r="S127" s="404">
        <f t="shared" si="50"/>
        <v>7</v>
      </c>
      <c r="T127" s="538"/>
      <c r="U127" s="182">
        <v>3</v>
      </c>
      <c r="V127" s="182">
        <v>2732.0000000000023</v>
      </c>
      <c r="W127" s="182">
        <v>910.66666666666742</v>
      </c>
      <c r="X127" s="404">
        <f t="shared" si="37"/>
        <v>6</v>
      </c>
      <c r="Y127" s="538"/>
      <c r="Z127" s="182">
        <v>3</v>
      </c>
      <c r="AA127" s="182">
        <v>2824.2857142857165</v>
      </c>
      <c r="AB127" s="182">
        <v>941.42857142857213</v>
      </c>
      <c r="AC127" s="404">
        <f t="shared" si="39"/>
        <v>6</v>
      </c>
      <c r="AD127" s="538"/>
      <c r="AE127" s="182">
        <v>3</v>
      </c>
      <c r="AF127" s="182">
        <v>2860.0000000000009</v>
      </c>
      <c r="AG127" s="182">
        <v>953.3333333333336</v>
      </c>
      <c r="AH127" s="404">
        <f t="shared" si="41"/>
        <v>5</v>
      </c>
      <c r="AI127" s="538"/>
      <c r="AJ127" s="182">
        <v>3</v>
      </c>
      <c r="AK127" s="182">
        <v>2773.0434782608695</v>
      </c>
      <c r="AL127" s="182">
        <v>924.3478260869565</v>
      </c>
      <c r="AM127" s="404">
        <f t="shared" si="43"/>
        <v>4</v>
      </c>
      <c r="AN127" s="538"/>
      <c r="AO127" s="182">
        <v>3</v>
      </c>
      <c r="AP127" s="182">
        <v>2786.00000000001</v>
      </c>
      <c r="AQ127" s="182">
        <v>928.66666666667004</v>
      </c>
      <c r="AR127" s="404">
        <f t="shared" si="45"/>
        <v>6</v>
      </c>
      <c r="AS127" s="538"/>
      <c r="AT127" s="182">
        <v>3</v>
      </c>
      <c r="AU127" s="182">
        <v>2843.5714285714384</v>
      </c>
      <c r="AV127" s="182">
        <v>947.85714285714619</v>
      </c>
      <c r="AW127" s="404">
        <f t="shared" si="47"/>
        <v>3</v>
      </c>
      <c r="AX127" s="538"/>
    </row>
    <row r="128" spans="2:50">
      <c r="B128" s="533"/>
      <c r="C128" s="404">
        <v>17</v>
      </c>
      <c r="D128" s="404" t="s">
        <v>567</v>
      </c>
      <c r="E128" s="404">
        <v>3</v>
      </c>
      <c r="F128" s="404">
        <v>2800</v>
      </c>
      <c r="G128" s="404">
        <v>933.33333333333337</v>
      </c>
      <c r="H128" s="538"/>
      <c r="I128" s="408">
        <f t="shared" si="49"/>
        <v>3</v>
      </c>
      <c r="J128" s="408">
        <f t="shared" si="49"/>
        <v>2693.938775510202</v>
      </c>
      <c r="K128" s="406">
        <f t="shared" si="49"/>
        <v>897.9795918367339</v>
      </c>
      <c r="L128" s="588"/>
      <c r="M128" s="408">
        <f>RANK(K128, K$112:$K$141)</f>
        <v>7</v>
      </c>
      <c r="N128" s="544"/>
      <c r="O128" s="544"/>
      <c r="P128" s="182">
        <v>3</v>
      </c>
      <c r="Q128" s="182">
        <v>2885.1428571428542</v>
      </c>
      <c r="R128" s="182">
        <v>961.71428571428476</v>
      </c>
      <c r="S128" s="404">
        <f t="shared" si="50"/>
        <v>3</v>
      </c>
      <c r="T128" s="538"/>
      <c r="U128" s="182">
        <v>3</v>
      </c>
      <c r="V128" s="182">
        <v>2516.9999999999991</v>
      </c>
      <c r="W128" s="182">
        <v>838.99999999999966</v>
      </c>
      <c r="X128" s="404">
        <f t="shared" si="37"/>
        <v>9</v>
      </c>
      <c r="Y128" s="538"/>
      <c r="Z128" s="182">
        <v>3</v>
      </c>
      <c r="AA128" s="182">
        <v>2725.7142857142831</v>
      </c>
      <c r="AB128" s="182">
        <v>908.57142857142765</v>
      </c>
      <c r="AC128" s="404">
        <f t="shared" si="39"/>
        <v>7</v>
      </c>
      <c r="AD128" s="538"/>
      <c r="AE128" s="182">
        <v>3</v>
      </c>
      <c r="AF128" s="182">
        <v>2636.5714285714262</v>
      </c>
      <c r="AG128" s="182">
        <v>878.85714285714209</v>
      </c>
      <c r="AH128" s="404">
        <f t="shared" si="41"/>
        <v>7</v>
      </c>
      <c r="AI128" s="538"/>
      <c r="AJ128" s="182">
        <v>3</v>
      </c>
      <c r="AK128" s="182">
        <v>2734.2857142857115</v>
      </c>
      <c r="AL128" s="182">
        <v>911.42857142857054</v>
      </c>
      <c r="AM128" s="404">
        <f t="shared" si="43"/>
        <v>7</v>
      </c>
      <c r="AN128" s="538"/>
      <c r="AO128" s="182">
        <v>3</v>
      </c>
      <c r="AP128" s="182">
        <v>2531.9999999999991</v>
      </c>
      <c r="AQ128" s="182">
        <v>843.99999999999966</v>
      </c>
      <c r="AR128" s="404">
        <f t="shared" si="45"/>
        <v>8</v>
      </c>
      <c r="AS128" s="538"/>
      <c r="AT128" s="182">
        <v>3</v>
      </c>
      <c r="AU128" s="182">
        <v>2826.8571428571399</v>
      </c>
      <c r="AV128" s="182">
        <v>942.28571428571331</v>
      </c>
      <c r="AW128" s="404">
        <f t="shared" si="47"/>
        <v>5</v>
      </c>
      <c r="AX128" s="538"/>
    </row>
    <row r="129" spans="2:50">
      <c r="B129" s="533"/>
      <c r="C129" s="404">
        <v>18</v>
      </c>
      <c r="D129" s="404" t="s">
        <v>640</v>
      </c>
      <c r="E129" s="404">
        <v>4</v>
      </c>
      <c r="F129" s="404">
        <v>3000</v>
      </c>
      <c r="G129" s="404">
        <v>750</v>
      </c>
      <c r="H129" s="538"/>
      <c r="I129" s="408">
        <f t="shared" si="49"/>
        <v>3</v>
      </c>
      <c r="J129" s="408">
        <f t="shared" si="49"/>
        <v>2191.6923076923063</v>
      </c>
      <c r="K129" s="406">
        <f t="shared" si="49"/>
        <v>730.56410256410231</v>
      </c>
      <c r="L129" s="588"/>
      <c r="M129" s="408">
        <f>RANK(K129, K$112:$K$141)</f>
        <v>12</v>
      </c>
      <c r="N129" s="544"/>
      <c r="O129" s="544"/>
      <c r="P129" s="182">
        <v>3</v>
      </c>
      <c r="Q129" s="182">
        <v>2274.0000000000086</v>
      </c>
      <c r="R129" s="182">
        <v>758.00000000000284</v>
      </c>
      <c r="S129" s="404">
        <f t="shared" si="50"/>
        <v>14</v>
      </c>
      <c r="T129" s="538"/>
      <c r="U129" s="182">
        <v>3</v>
      </c>
      <c r="V129" s="182">
        <v>2191.7142857142835</v>
      </c>
      <c r="W129" s="182">
        <v>730.57142857142787</v>
      </c>
      <c r="X129" s="404">
        <f t="shared" si="37"/>
        <v>13</v>
      </c>
      <c r="Y129" s="538"/>
      <c r="Z129" s="182">
        <v>3</v>
      </c>
      <c r="AA129" s="182">
        <v>2241.2307692307663</v>
      </c>
      <c r="AB129" s="182">
        <v>747.07692307692207</v>
      </c>
      <c r="AC129" s="404">
        <f t="shared" si="39"/>
        <v>13</v>
      </c>
      <c r="AD129" s="538"/>
      <c r="AE129" s="182">
        <v>3</v>
      </c>
      <c r="AF129" s="182">
        <v>2152.6153846153816</v>
      </c>
      <c r="AG129" s="182">
        <v>717.53846153846052</v>
      </c>
      <c r="AH129" s="404">
        <f t="shared" si="41"/>
        <v>15</v>
      </c>
      <c r="AI129" s="538"/>
      <c r="AJ129" s="182">
        <v>3</v>
      </c>
      <c r="AK129" s="182">
        <v>2145.4285714285693</v>
      </c>
      <c r="AL129" s="182">
        <v>715.14285714285643</v>
      </c>
      <c r="AM129" s="404">
        <f t="shared" si="43"/>
        <v>12</v>
      </c>
      <c r="AN129" s="538"/>
      <c r="AO129" s="182">
        <v>3</v>
      </c>
      <c r="AP129" s="182">
        <v>2115.9999999999982</v>
      </c>
      <c r="AQ129" s="182">
        <v>705.33333333333269</v>
      </c>
      <c r="AR129" s="404">
        <f t="shared" si="45"/>
        <v>13</v>
      </c>
      <c r="AS129" s="538"/>
      <c r="AT129" s="182">
        <v>3</v>
      </c>
      <c r="AU129" s="182">
        <v>2220.8571428571404</v>
      </c>
      <c r="AV129" s="182">
        <v>740.28571428571342</v>
      </c>
      <c r="AW129" s="404">
        <f t="shared" si="47"/>
        <v>13</v>
      </c>
      <c r="AX129" s="538"/>
    </row>
    <row r="130" spans="2:50">
      <c r="B130" s="533"/>
      <c r="C130" s="404">
        <v>19</v>
      </c>
      <c r="D130" s="404" t="s">
        <v>577</v>
      </c>
      <c r="E130" s="404">
        <v>12</v>
      </c>
      <c r="F130" s="404">
        <v>1500</v>
      </c>
      <c r="G130" s="404">
        <v>125</v>
      </c>
      <c r="H130" s="538"/>
      <c r="I130" s="408">
        <f t="shared" si="49"/>
        <v>10.714285714285714</v>
      </c>
      <c r="J130" s="408">
        <f t="shared" si="49"/>
        <v>1508.2513874080396</v>
      </c>
      <c r="K130" s="406">
        <f t="shared" si="49"/>
        <v>142.34369077700308</v>
      </c>
      <c r="L130" s="588"/>
      <c r="M130" s="408">
        <f>RANK(K130, K$112:$K$141)</f>
        <v>19</v>
      </c>
      <c r="N130" s="544"/>
      <c r="O130" s="544"/>
      <c r="P130" s="182">
        <v>13</v>
      </c>
      <c r="Q130" s="182">
        <v>1470</v>
      </c>
      <c r="R130" s="182">
        <v>113.07692307692308</v>
      </c>
      <c r="S130" s="404">
        <f t="shared" si="50"/>
        <v>19</v>
      </c>
      <c r="T130" s="538"/>
      <c r="U130" s="182">
        <v>12</v>
      </c>
      <c r="V130" s="182">
        <v>1526.8235294117628</v>
      </c>
      <c r="W130" s="182">
        <v>127.2352941176469</v>
      </c>
      <c r="X130" s="404">
        <f t="shared" si="37"/>
        <v>19</v>
      </c>
      <c r="Y130" s="538"/>
      <c r="Z130" s="182">
        <v>10</v>
      </c>
      <c r="AA130" s="182">
        <v>1508.148148148146</v>
      </c>
      <c r="AB130" s="182">
        <v>150.81481481481461</v>
      </c>
      <c r="AC130" s="404">
        <f t="shared" si="39"/>
        <v>19</v>
      </c>
      <c r="AD130" s="538"/>
      <c r="AE130" s="182">
        <v>10</v>
      </c>
      <c r="AF130" s="182">
        <v>1498.399999999999</v>
      </c>
      <c r="AG130" s="182">
        <v>149.83999999999989</v>
      </c>
      <c r="AH130" s="404">
        <f t="shared" si="41"/>
        <v>19</v>
      </c>
      <c r="AI130" s="538"/>
      <c r="AJ130" s="182">
        <v>10</v>
      </c>
      <c r="AK130" s="182">
        <v>1527.9452054794508</v>
      </c>
      <c r="AL130" s="182">
        <v>152.79452054794507</v>
      </c>
      <c r="AM130" s="404">
        <f t="shared" si="43"/>
        <v>19</v>
      </c>
      <c r="AN130" s="538"/>
      <c r="AO130" s="182">
        <v>10</v>
      </c>
      <c r="AP130" s="182">
        <v>1508.0898876404478</v>
      </c>
      <c r="AQ130" s="182">
        <v>150.80898876404478</v>
      </c>
      <c r="AR130" s="404">
        <f t="shared" si="45"/>
        <v>19</v>
      </c>
      <c r="AS130" s="538"/>
      <c r="AT130" s="182">
        <v>10</v>
      </c>
      <c r="AU130" s="182">
        <v>1518.3529411764703</v>
      </c>
      <c r="AV130" s="182">
        <v>151.83529411764704</v>
      </c>
      <c r="AW130" s="404">
        <f t="shared" si="47"/>
        <v>19</v>
      </c>
      <c r="AX130" s="538"/>
    </row>
    <row r="131" spans="2:50">
      <c r="B131" s="533"/>
      <c r="C131" s="404">
        <v>20</v>
      </c>
      <c r="D131" s="404"/>
      <c r="E131" s="404"/>
      <c r="F131" s="404"/>
      <c r="G131" s="404"/>
      <c r="H131" s="538"/>
      <c r="I131" s="408"/>
      <c r="J131" s="408"/>
      <c r="K131" s="406"/>
      <c r="L131" s="588"/>
      <c r="M131" s="408" t="e">
        <f>RANK(K131, K$112:$K$141)</f>
        <v>#N/A</v>
      </c>
      <c r="N131" s="544"/>
      <c r="O131" s="544"/>
      <c r="P131" s="182"/>
      <c r="Q131" s="182"/>
      <c r="R131" s="182"/>
      <c r="S131" s="404" t="e">
        <f t="shared" si="50"/>
        <v>#N/A</v>
      </c>
      <c r="T131" s="538"/>
      <c r="U131" s="182"/>
      <c r="V131" s="182"/>
      <c r="W131" s="182"/>
      <c r="X131" s="404" t="e">
        <f t="shared" si="37"/>
        <v>#N/A</v>
      </c>
      <c r="Y131" s="538"/>
      <c r="Z131" s="182"/>
      <c r="AA131" s="182"/>
      <c r="AB131" s="182"/>
      <c r="AC131" s="404" t="e">
        <f t="shared" si="39"/>
        <v>#N/A</v>
      </c>
      <c r="AD131" s="538"/>
      <c r="AE131" s="182"/>
      <c r="AF131" s="182"/>
      <c r="AG131" s="182"/>
      <c r="AH131" s="404" t="e">
        <f t="shared" si="41"/>
        <v>#N/A</v>
      </c>
      <c r="AI131" s="538"/>
      <c r="AJ131" s="182"/>
      <c r="AK131" s="182"/>
      <c r="AL131" s="182"/>
      <c r="AM131" s="404" t="e">
        <f t="shared" si="43"/>
        <v>#N/A</v>
      </c>
      <c r="AN131" s="538"/>
      <c r="AO131" s="182"/>
      <c r="AP131" s="182"/>
      <c r="AQ131" s="182"/>
      <c r="AR131" s="404" t="e">
        <f t="shared" si="45"/>
        <v>#N/A</v>
      </c>
      <c r="AS131" s="538"/>
      <c r="AT131" s="182"/>
      <c r="AU131" s="182"/>
      <c r="AV131" s="182"/>
      <c r="AW131" s="404" t="e">
        <f t="shared" si="47"/>
        <v>#N/A</v>
      </c>
      <c r="AX131" s="538"/>
    </row>
    <row r="132" spans="2:50">
      <c r="B132" s="533"/>
      <c r="C132" s="404">
        <v>21</v>
      </c>
      <c r="D132" s="404"/>
      <c r="E132" s="404"/>
      <c r="F132" s="404"/>
      <c r="G132" s="404"/>
      <c r="H132" s="538"/>
      <c r="I132" s="408"/>
      <c r="J132" s="408"/>
      <c r="K132" s="406"/>
      <c r="L132" s="588"/>
      <c r="M132" s="408" t="e">
        <f>RANK(K132, K$112:$K$141)</f>
        <v>#N/A</v>
      </c>
      <c r="N132" s="544"/>
      <c r="O132" s="544"/>
      <c r="P132" s="404"/>
      <c r="Q132" s="182"/>
      <c r="R132" s="405"/>
      <c r="S132" s="404" t="e">
        <f t="shared" si="50"/>
        <v>#N/A</v>
      </c>
      <c r="T132" s="538"/>
      <c r="U132" s="404"/>
      <c r="V132" s="182"/>
      <c r="W132" s="405"/>
      <c r="X132" s="404" t="e">
        <f t="shared" si="37"/>
        <v>#N/A</v>
      </c>
      <c r="Y132" s="538"/>
      <c r="Z132" s="404"/>
      <c r="AA132" s="182"/>
      <c r="AB132" s="405"/>
      <c r="AC132" s="404" t="e">
        <f t="shared" si="39"/>
        <v>#N/A</v>
      </c>
      <c r="AD132" s="538"/>
      <c r="AE132" s="404"/>
      <c r="AF132" s="182"/>
      <c r="AG132" s="405"/>
      <c r="AH132" s="404" t="e">
        <f t="shared" si="41"/>
        <v>#N/A</v>
      </c>
      <c r="AI132" s="538"/>
      <c r="AJ132" s="404"/>
      <c r="AK132" s="182"/>
      <c r="AL132" s="405"/>
      <c r="AM132" s="404" t="e">
        <f t="shared" si="43"/>
        <v>#N/A</v>
      </c>
      <c r="AN132" s="538"/>
      <c r="AO132" s="404"/>
      <c r="AP132" s="182"/>
      <c r="AQ132" s="405"/>
      <c r="AR132" s="404" t="e">
        <f t="shared" si="45"/>
        <v>#N/A</v>
      </c>
      <c r="AS132" s="538"/>
      <c r="AT132" s="404"/>
      <c r="AU132" s="182"/>
      <c r="AV132" s="405"/>
      <c r="AW132" s="404" t="e">
        <f t="shared" si="47"/>
        <v>#N/A</v>
      </c>
      <c r="AX132" s="538"/>
    </row>
    <row r="133" spans="2:50">
      <c r="B133" s="533"/>
      <c r="C133" s="404">
        <v>22</v>
      </c>
      <c r="D133" s="404"/>
      <c r="E133" s="404"/>
      <c r="F133" s="404"/>
      <c r="G133" s="404"/>
      <c r="H133" s="538"/>
      <c r="I133" s="408"/>
      <c r="J133" s="408"/>
      <c r="K133" s="406"/>
      <c r="L133" s="588"/>
      <c r="M133" s="408" t="e">
        <f>RANK(K133, K$112:$K$141)</f>
        <v>#N/A</v>
      </c>
      <c r="N133" s="544"/>
      <c r="O133" s="544"/>
      <c r="P133" s="404"/>
      <c r="Q133" s="182"/>
      <c r="R133" s="405"/>
      <c r="S133" s="404" t="e">
        <f t="shared" si="50"/>
        <v>#N/A</v>
      </c>
      <c r="T133" s="538"/>
      <c r="U133" s="404"/>
      <c r="V133" s="182"/>
      <c r="W133" s="405"/>
      <c r="X133" s="404" t="e">
        <f t="shared" si="37"/>
        <v>#N/A</v>
      </c>
      <c r="Y133" s="538"/>
      <c r="Z133" s="404"/>
      <c r="AA133" s="182"/>
      <c r="AB133" s="405"/>
      <c r="AC133" s="404" t="e">
        <f t="shared" si="39"/>
        <v>#N/A</v>
      </c>
      <c r="AD133" s="538"/>
      <c r="AE133" s="404"/>
      <c r="AF133" s="182"/>
      <c r="AG133" s="405"/>
      <c r="AH133" s="404" t="e">
        <f t="shared" si="41"/>
        <v>#N/A</v>
      </c>
      <c r="AI133" s="538"/>
      <c r="AJ133" s="404"/>
      <c r="AK133" s="182"/>
      <c r="AL133" s="405"/>
      <c r="AM133" s="404" t="e">
        <f t="shared" si="43"/>
        <v>#N/A</v>
      </c>
      <c r="AN133" s="538"/>
      <c r="AO133" s="404"/>
      <c r="AP133" s="182"/>
      <c r="AQ133" s="405"/>
      <c r="AR133" s="404" t="e">
        <f t="shared" si="45"/>
        <v>#N/A</v>
      </c>
      <c r="AS133" s="538"/>
      <c r="AT133" s="404"/>
      <c r="AU133" s="182"/>
      <c r="AV133" s="405"/>
      <c r="AW133" s="404" t="e">
        <f t="shared" si="47"/>
        <v>#N/A</v>
      </c>
      <c r="AX133" s="538"/>
    </row>
    <row r="134" spans="2:50">
      <c r="B134" s="533"/>
      <c r="C134" s="404">
        <v>23</v>
      </c>
      <c r="D134" s="404"/>
      <c r="E134" s="404"/>
      <c r="F134" s="404"/>
      <c r="G134" s="404"/>
      <c r="H134" s="538"/>
      <c r="I134" s="408"/>
      <c r="J134" s="408"/>
      <c r="K134" s="406"/>
      <c r="L134" s="588"/>
      <c r="M134" s="408" t="e">
        <f>RANK(K134, K$112:$K$141)</f>
        <v>#N/A</v>
      </c>
      <c r="N134" s="544"/>
      <c r="O134" s="544"/>
      <c r="P134" s="404"/>
      <c r="Q134" s="404"/>
      <c r="R134" s="405"/>
      <c r="S134" s="404" t="e">
        <f t="shared" si="50"/>
        <v>#N/A</v>
      </c>
      <c r="T134" s="538"/>
      <c r="U134" s="404"/>
      <c r="V134" s="404"/>
      <c r="W134" s="405"/>
      <c r="X134" s="404" t="e">
        <f t="shared" si="37"/>
        <v>#N/A</v>
      </c>
      <c r="Y134" s="538"/>
      <c r="Z134" s="404"/>
      <c r="AA134" s="404"/>
      <c r="AB134" s="405"/>
      <c r="AC134" s="404" t="e">
        <f t="shared" si="39"/>
        <v>#N/A</v>
      </c>
      <c r="AD134" s="538"/>
      <c r="AE134" s="404"/>
      <c r="AF134" s="404"/>
      <c r="AG134" s="405"/>
      <c r="AH134" s="404" t="e">
        <f t="shared" si="41"/>
        <v>#N/A</v>
      </c>
      <c r="AI134" s="538"/>
      <c r="AJ134" s="404"/>
      <c r="AK134" s="404"/>
      <c r="AL134" s="405"/>
      <c r="AM134" s="404" t="e">
        <f t="shared" si="43"/>
        <v>#N/A</v>
      </c>
      <c r="AN134" s="538"/>
      <c r="AO134" s="404"/>
      <c r="AP134" s="404"/>
      <c r="AQ134" s="405"/>
      <c r="AR134" s="404" t="e">
        <f t="shared" si="45"/>
        <v>#N/A</v>
      </c>
      <c r="AS134" s="538"/>
      <c r="AT134" s="404"/>
      <c r="AU134" s="404"/>
      <c r="AV134" s="405"/>
      <c r="AW134" s="404" t="e">
        <f t="shared" si="47"/>
        <v>#N/A</v>
      </c>
      <c r="AX134" s="538"/>
    </row>
    <row r="135" spans="2:50">
      <c r="B135" s="533"/>
      <c r="C135" s="404">
        <v>24</v>
      </c>
      <c r="D135" s="404"/>
      <c r="E135" s="404"/>
      <c r="F135" s="404"/>
      <c r="G135" s="404"/>
      <c r="H135" s="538"/>
      <c r="I135" s="202"/>
      <c r="J135" s="202"/>
      <c r="K135" s="202"/>
      <c r="L135" s="588"/>
      <c r="M135" s="408" t="e">
        <f>RANK(K135, K$112:$K$141)</f>
        <v>#N/A</v>
      </c>
      <c r="N135" s="544"/>
      <c r="O135" s="544"/>
      <c r="P135" s="404"/>
      <c r="Q135" s="404"/>
      <c r="R135" s="404"/>
      <c r="S135" s="404" t="e">
        <f t="shared" si="50"/>
        <v>#N/A</v>
      </c>
      <c r="T135" s="538"/>
      <c r="U135" s="404"/>
      <c r="V135" s="404"/>
      <c r="W135" s="404"/>
      <c r="X135" s="404" t="e">
        <f t="shared" si="37"/>
        <v>#N/A</v>
      </c>
      <c r="Y135" s="538"/>
      <c r="Z135" s="404"/>
      <c r="AA135" s="404"/>
      <c r="AB135" s="404"/>
      <c r="AC135" s="404" t="e">
        <f t="shared" si="39"/>
        <v>#N/A</v>
      </c>
      <c r="AD135" s="538"/>
      <c r="AE135" s="404"/>
      <c r="AF135" s="404"/>
      <c r="AG135" s="404"/>
      <c r="AH135" s="404" t="e">
        <f t="shared" si="41"/>
        <v>#N/A</v>
      </c>
      <c r="AI135" s="538"/>
      <c r="AJ135" s="404"/>
      <c r="AK135" s="404"/>
      <c r="AL135" s="404"/>
      <c r="AM135" s="404" t="e">
        <f t="shared" si="43"/>
        <v>#N/A</v>
      </c>
      <c r="AN135" s="538"/>
      <c r="AO135" s="404"/>
      <c r="AP135" s="404"/>
      <c r="AQ135" s="404"/>
      <c r="AR135" s="404" t="e">
        <f t="shared" si="45"/>
        <v>#N/A</v>
      </c>
      <c r="AS135" s="538"/>
      <c r="AT135" s="404"/>
      <c r="AU135" s="404"/>
      <c r="AV135" s="404"/>
      <c r="AW135" s="404" t="e">
        <f t="shared" si="47"/>
        <v>#N/A</v>
      </c>
      <c r="AX135" s="538"/>
    </row>
    <row r="136" spans="2:50">
      <c r="B136" s="533"/>
      <c r="C136" s="404">
        <v>25</v>
      </c>
      <c r="D136" s="404"/>
      <c r="E136" s="404"/>
      <c r="F136" s="404"/>
      <c r="G136" s="404"/>
      <c r="H136" s="538"/>
      <c r="I136" s="202"/>
      <c r="J136" s="202"/>
      <c r="K136" s="202"/>
      <c r="L136" s="588"/>
      <c r="M136" s="408" t="e">
        <f>RANK(K136, K$112:$K$141)</f>
        <v>#N/A</v>
      </c>
      <c r="N136" s="544"/>
      <c r="O136" s="544"/>
      <c r="P136" s="404"/>
      <c r="Q136" s="404"/>
      <c r="R136" s="404"/>
      <c r="S136" s="404" t="e">
        <f t="shared" si="50"/>
        <v>#N/A</v>
      </c>
      <c r="T136" s="538"/>
      <c r="U136" s="404"/>
      <c r="V136" s="404"/>
      <c r="W136" s="404"/>
      <c r="X136" s="404" t="e">
        <f t="shared" si="37"/>
        <v>#N/A</v>
      </c>
      <c r="Y136" s="538"/>
      <c r="Z136" s="404"/>
      <c r="AA136" s="404"/>
      <c r="AB136" s="404"/>
      <c r="AC136" s="404" t="e">
        <f t="shared" si="39"/>
        <v>#N/A</v>
      </c>
      <c r="AD136" s="538"/>
      <c r="AE136" s="404"/>
      <c r="AF136" s="404"/>
      <c r="AG136" s="404"/>
      <c r="AH136" s="404" t="e">
        <f t="shared" si="41"/>
        <v>#N/A</v>
      </c>
      <c r="AI136" s="538"/>
      <c r="AJ136" s="404"/>
      <c r="AK136" s="404"/>
      <c r="AL136" s="404"/>
      <c r="AM136" s="404" t="e">
        <f t="shared" si="43"/>
        <v>#N/A</v>
      </c>
      <c r="AN136" s="538"/>
      <c r="AO136" s="404"/>
      <c r="AP136" s="404"/>
      <c r="AQ136" s="404"/>
      <c r="AR136" s="404" t="e">
        <f t="shared" si="45"/>
        <v>#N/A</v>
      </c>
      <c r="AS136" s="538"/>
      <c r="AT136" s="404"/>
      <c r="AU136" s="404"/>
      <c r="AV136" s="404"/>
      <c r="AW136" s="404" t="e">
        <f t="shared" si="47"/>
        <v>#N/A</v>
      </c>
      <c r="AX136" s="538"/>
    </row>
    <row r="137" spans="2:50">
      <c r="B137" s="533"/>
      <c r="C137" s="404">
        <v>26</v>
      </c>
      <c r="D137" s="404"/>
      <c r="E137" s="404"/>
      <c r="F137" s="404"/>
      <c r="G137" s="404"/>
      <c r="H137" s="538"/>
      <c r="I137" s="202"/>
      <c r="J137" s="202"/>
      <c r="K137" s="202"/>
      <c r="L137" s="588"/>
      <c r="M137" s="408" t="e">
        <f>RANK(K137, K$112:$K$141)</f>
        <v>#N/A</v>
      </c>
      <c r="N137" s="544"/>
      <c r="O137" s="544"/>
      <c r="P137" s="404"/>
      <c r="Q137" s="404"/>
      <c r="R137" s="404"/>
      <c r="S137" s="404" t="e">
        <f t="shared" si="50"/>
        <v>#N/A</v>
      </c>
      <c r="T137" s="538"/>
      <c r="U137" s="404"/>
      <c r="V137" s="404"/>
      <c r="W137" s="404"/>
      <c r="X137" s="404" t="e">
        <f t="shared" si="37"/>
        <v>#N/A</v>
      </c>
      <c r="Y137" s="538"/>
      <c r="Z137" s="404"/>
      <c r="AA137" s="404"/>
      <c r="AB137" s="404"/>
      <c r="AC137" s="404" t="e">
        <f t="shared" si="39"/>
        <v>#N/A</v>
      </c>
      <c r="AD137" s="538"/>
      <c r="AE137" s="404"/>
      <c r="AF137" s="404"/>
      <c r="AG137" s="404"/>
      <c r="AH137" s="404" t="e">
        <f t="shared" si="41"/>
        <v>#N/A</v>
      </c>
      <c r="AI137" s="538"/>
      <c r="AJ137" s="404"/>
      <c r="AK137" s="404"/>
      <c r="AL137" s="404"/>
      <c r="AM137" s="404" t="e">
        <f t="shared" si="43"/>
        <v>#N/A</v>
      </c>
      <c r="AN137" s="538"/>
      <c r="AO137" s="404"/>
      <c r="AP137" s="404"/>
      <c r="AQ137" s="404"/>
      <c r="AR137" s="404" t="e">
        <f t="shared" si="45"/>
        <v>#N/A</v>
      </c>
      <c r="AS137" s="538"/>
      <c r="AT137" s="404"/>
      <c r="AU137" s="404"/>
      <c r="AV137" s="404"/>
      <c r="AW137" s="404" t="e">
        <f t="shared" si="47"/>
        <v>#N/A</v>
      </c>
      <c r="AX137" s="538"/>
    </row>
    <row r="138" spans="2:50">
      <c r="B138" s="533"/>
      <c r="C138" s="404">
        <v>27</v>
      </c>
      <c r="D138" s="404"/>
      <c r="E138" s="404"/>
      <c r="F138" s="404"/>
      <c r="G138" s="404"/>
      <c r="H138" s="538"/>
      <c r="I138" s="202"/>
      <c r="J138" s="202"/>
      <c r="K138" s="202"/>
      <c r="L138" s="588"/>
      <c r="M138" s="408" t="e">
        <f>RANK(K138, K$112:$K$141)</f>
        <v>#N/A</v>
      </c>
      <c r="N138" s="544"/>
      <c r="O138" s="544"/>
      <c r="P138" s="404"/>
      <c r="Q138" s="404"/>
      <c r="R138" s="404"/>
      <c r="S138" s="404" t="e">
        <f t="shared" si="50"/>
        <v>#N/A</v>
      </c>
      <c r="T138" s="538"/>
      <c r="U138" s="404"/>
      <c r="V138" s="404"/>
      <c r="W138" s="404"/>
      <c r="X138" s="404" t="e">
        <f t="shared" si="37"/>
        <v>#N/A</v>
      </c>
      <c r="Y138" s="538"/>
      <c r="Z138" s="404"/>
      <c r="AA138" s="404"/>
      <c r="AB138" s="404"/>
      <c r="AC138" s="404" t="e">
        <f t="shared" si="39"/>
        <v>#N/A</v>
      </c>
      <c r="AD138" s="538"/>
      <c r="AE138" s="404"/>
      <c r="AF138" s="404"/>
      <c r="AG138" s="404"/>
      <c r="AH138" s="404" t="e">
        <f t="shared" si="41"/>
        <v>#N/A</v>
      </c>
      <c r="AI138" s="538"/>
      <c r="AJ138" s="404"/>
      <c r="AK138" s="404"/>
      <c r="AL138" s="404"/>
      <c r="AM138" s="404" t="e">
        <f t="shared" si="43"/>
        <v>#N/A</v>
      </c>
      <c r="AN138" s="538"/>
      <c r="AO138" s="404"/>
      <c r="AP138" s="404"/>
      <c r="AQ138" s="404"/>
      <c r="AR138" s="404" t="e">
        <f t="shared" si="45"/>
        <v>#N/A</v>
      </c>
      <c r="AS138" s="538"/>
      <c r="AT138" s="404"/>
      <c r="AU138" s="404"/>
      <c r="AV138" s="404"/>
      <c r="AW138" s="404" t="e">
        <f t="shared" si="47"/>
        <v>#N/A</v>
      </c>
      <c r="AX138" s="538"/>
    </row>
    <row r="139" spans="2:50">
      <c r="B139" s="533"/>
      <c r="C139" s="404">
        <v>28</v>
      </c>
      <c r="D139" s="404"/>
      <c r="E139" s="404"/>
      <c r="F139" s="404"/>
      <c r="G139" s="404"/>
      <c r="H139" s="538"/>
      <c r="I139" s="202"/>
      <c r="J139" s="202"/>
      <c r="K139" s="202"/>
      <c r="L139" s="588"/>
      <c r="M139" s="408" t="e">
        <f>RANK(K139, K$112:$K$141)</f>
        <v>#N/A</v>
      </c>
      <c r="N139" s="544"/>
      <c r="O139" s="544"/>
      <c r="P139" s="404"/>
      <c r="Q139" s="404"/>
      <c r="R139" s="404"/>
      <c r="S139" s="404" t="e">
        <f t="shared" si="50"/>
        <v>#N/A</v>
      </c>
      <c r="T139" s="538"/>
      <c r="U139" s="404"/>
      <c r="V139" s="404"/>
      <c r="W139" s="404"/>
      <c r="X139" s="404" t="e">
        <f t="shared" si="37"/>
        <v>#N/A</v>
      </c>
      <c r="Y139" s="538"/>
      <c r="Z139" s="404"/>
      <c r="AA139" s="404"/>
      <c r="AB139" s="404"/>
      <c r="AC139" s="404" t="e">
        <f t="shared" si="39"/>
        <v>#N/A</v>
      </c>
      <c r="AD139" s="538"/>
      <c r="AE139" s="404"/>
      <c r="AF139" s="404"/>
      <c r="AG139" s="404"/>
      <c r="AH139" s="404" t="e">
        <f t="shared" si="41"/>
        <v>#N/A</v>
      </c>
      <c r="AI139" s="538"/>
      <c r="AJ139" s="404"/>
      <c r="AK139" s="404"/>
      <c r="AL139" s="404"/>
      <c r="AM139" s="404" t="e">
        <f t="shared" si="43"/>
        <v>#N/A</v>
      </c>
      <c r="AN139" s="538"/>
      <c r="AO139" s="404"/>
      <c r="AP139" s="404"/>
      <c r="AQ139" s="404"/>
      <c r="AR139" s="404" t="e">
        <f t="shared" si="45"/>
        <v>#N/A</v>
      </c>
      <c r="AS139" s="538"/>
      <c r="AT139" s="404"/>
      <c r="AU139" s="404"/>
      <c r="AV139" s="404"/>
      <c r="AW139" s="404" t="e">
        <f t="shared" si="47"/>
        <v>#N/A</v>
      </c>
      <c r="AX139" s="538"/>
    </row>
    <row r="140" spans="2:50">
      <c r="B140" s="533"/>
      <c r="C140" s="404">
        <v>29</v>
      </c>
      <c r="D140" s="404"/>
      <c r="E140" s="404"/>
      <c r="F140" s="404"/>
      <c r="G140" s="404"/>
      <c r="H140" s="538"/>
      <c r="I140" s="202"/>
      <c r="J140" s="202"/>
      <c r="K140" s="202"/>
      <c r="L140" s="588"/>
      <c r="M140" s="408" t="e">
        <f>RANK(K140, K$112:$K$141)</f>
        <v>#N/A</v>
      </c>
      <c r="N140" s="544"/>
      <c r="O140" s="544"/>
      <c r="P140" s="404"/>
      <c r="Q140" s="404"/>
      <c r="R140" s="404"/>
      <c r="S140" s="404" t="e">
        <f t="shared" si="50"/>
        <v>#N/A</v>
      </c>
      <c r="T140" s="538"/>
      <c r="U140" s="404"/>
      <c r="V140" s="404"/>
      <c r="W140" s="404"/>
      <c r="X140" s="404" t="e">
        <f t="shared" si="37"/>
        <v>#N/A</v>
      </c>
      <c r="Y140" s="538"/>
      <c r="Z140" s="404"/>
      <c r="AA140" s="404"/>
      <c r="AB140" s="404"/>
      <c r="AC140" s="404" t="e">
        <f t="shared" si="39"/>
        <v>#N/A</v>
      </c>
      <c r="AD140" s="538"/>
      <c r="AE140" s="404"/>
      <c r="AF140" s="404"/>
      <c r="AG140" s="404"/>
      <c r="AH140" s="404" t="e">
        <f t="shared" si="41"/>
        <v>#N/A</v>
      </c>
      <c r="AI140" s="538"/>
      <c r="AJ140" s="404"/>
      <c r="AK140" s="404"/>
      <c r="AL140" s="404"/>
      <c r="AM140" s="404" t="e">
        <f t="shared" si="43"/>
        <v>#N/A</v>
      </c>
      <c r="AN140" s="538"/>
      <c r="AO140" s="404"/>
      <c r="AP140" s="404"/>
      <c r="AQ140" s="404"/>
      <c r="AR140" s="404" t="e">
        <f t="shared" si="45"/>
        <v>#N/A</v>
      </c>
      <c r="AS140" s="538"/>
      <c r="AT140" s="404"/>
      <c r="AU140" s="404"/>
      <c r="AV140" s="404"/>
      <c r="AW140" s="404" t="e">
        <f t="shared" si="47"/>
        <v>#N/A</v>
      </c>
      <c r="AX140" s="538"/>
    </row>
    <row r="141" spans="2:50">
      <c r="B141" s="533"/>
      <c r="C141" s="404">
        <v>30</v>
      </c>
      <c r="D141" s="404"/>
      <c r="E141" s="404"/>
      <c r="F141" s="404"/>
      <c r="G141" s="404"/>
      <c r="H141" s="539"/>
      <c r="I141" s="202"/>
      <c r="J141" s="202"/>
      <c r="K141" s="202"/>
      <c r="L141" s="589"/>
      <c r="M141" s="408" t="e">
        <f>RANK(K141, K$112:$K$141)</f>
        <v>#N/A</v>
      </c>
      <c r="N141" s="544"/>
      <c r="O141" s="544"/>
      <c r="P141" s="404"/>
      <c r="Q141" s="404"/>
      <c r="R141" s="404"/>
      <c r="S141" s="404" t="e">
        <f t="shared" si="50"/>
        <v>#N/A</v>
      </c>
      <c r="T141" s="539"/>
      <c r="U141" s="404"/>
      <c r="V141" s="404"/>
      <c r="W141" s="404"/>
      <c r="X141" s="404" t="e">
        <f t="shared" si="37"/>
        <v>#N/A</v>
      </c>
      <c r="Y141" s="539"/>
      <c r="Z141" s="404"/>
      <c r="AA141" s="404"/>
      <c r="AB141" s="404"/>
      <c r="AC141" s="404" t="e">
        <f t="shared" si="39"/>
        <v>#N/A</v>
      </c>
      <c r="AD141" s="539"/>
      <c r="AE141" s="404"/>
      <c r="AF141" s="404"/>
      <c r="AG141" s="404"/>
      <c r="AH141" s="404" t="e">
        <f t="shared" si="41"/>
        <v>#N/A</v>
      </c>
      <c r="AI141" s="539"/>
      <c r="AJ141" s="404"/>
      <c r="AK141" s="404"/>
      <c r="AL141" s="404"/>
      <c r="AM141" s="404" t="e">
        <f t="shared" si="43"/>
        <v>#N/A</v>
      </c>
      <c r="AN141" s="539"/>
      <c r="AO141" s="404"/>
      <c r="AP141" s="404"/>
      <c r="AQ141" s="404"/>
      <c r="AR141" s="404" t="e">
        <f t="shared" si="45"/>
        <v>#N/A</v>
      </c>
      <c r="AS141" s="539"/>
      <c r="AT141" s="404"/>
      <c r="AU141" s="404"/>
      <c r="AV141" s="404"/>
      <c r="AW141" s="404" t="e">
        <f t="shared" si="47"/>
        <v>#N/A</v>
      </c>
      <c r="AX141" s="539"/>
    </row>
    <row r="142" spans="2:50" ht="15.5">
      <c r="B142" s="555" t="s">
        <v>163</v>
      </c>
      <c r="C142" s="556"/>
      <c r="D142" s="556"/>
      <c r="E142" s="556"/>
      <c r="F142" s="556"/>
      <c r="G142" s="556"/>
      <c r="H142" s="557"/>
      <c r="I142" s="208"/>
      <c r="J142" s="208"/>
      <c r="K142" s="208"/>
      <c r="L142" s="208"/>
      <c r="M142" s="207"/>
      <c r="N142" s="559" t="s">
        <v>156</v>
      </c>
      <c r="O142" s="559" t="s">
        <v>155</v>
      </c>
      <c r="P142" s="554">
        <f>P107+7</f>
        <v>46379</v>
      </c>
      <c r="Q142" s="533"/>
      <c r="R142" s="533"/>
      <c r="S142" s="533"/>
      <c r="T142" s="533"/>
      <c r="U142" s="551">
        <f>P142+1</f>
        <v>46380</v>
      </c>
      <c r="V142" s="552"/>
      <c r="W142" s="552"/>
      <c r="X142" s="552"/>
      <c r="Y142" s="553"/>
      <c r="Z142" s="551">
        <f>U142+1</f>
        <v>46381</v>
      </c>
      <c r="AA142" s="552"/>
      <c r="AB142" s="552"/>
      <c r="AC142" s="552"/>
      <c r="AD142" s="553"/>
      <c r="AE142" s="551">
        <f>Z142+1</f>
        <v>46382</v>
      </c>
      <c r="AF142" s="552"/>
      <c r="AG142" s="552"/>
      <c r="AH142" s="552"/>
      <c r="AI142" s="553"/>
      <c r="AJ142" s="551">
        <f>AE142+1</f>
        <v>46383</v>
      </c>
      <c r="AK142" s="552"/>
      <c r="AL142" s="552"/>
      <c r="AM142" s="552"/>
      <c r="AN142" s="553"/>
      <c r="AO142" s="551">
        <f>AJ142+1</f>
        <v>46384</v>
      </c>
      <c r="AP142" s="552"/>
      <c r="AQ142" s="552"/>
      <c r="AR142" s="552"/>
      <c r="AS142" s="553"/>
      <c r="AT142" s="551"/>
      <c r="AU142" s="552"/>
      <c r="AV142" s="552"/>
      <c r="AW142" s="552"/>
      <c r="AX142" s="553"/>
    </row>
    <row r="143" spans="2:50" ht="15.5">
      <c r="B143" s="558"/>
      <c r="C143" s="558"/>
      <c r="D143" s="558"/>
      <c r="E143" s="558"/>
      <c r="F143" s="558"/>
      <c r="G143" s="558"/>
      <c r="H143" s="558"/>
      <c r="I143" s="205"/>
      <c r="J143" s="205"/>
      <c r="K143" s="205"/>
      <c r="L143" s="205"/>
      <c r="M143" s="206"/>
      <c r="N143" s="560"/>
      <c r="O143" s="560"/>
      <c r="P143" s="554" t="s">
        <v>334</v>
      </c>
      <c r="Q143" s="533"/>
      <c r="R143" s="533"/>
      <c r="S143" s="533"/>
      <c r="T143" s="533"/>
      <c r="U143" s="554" t="s">
        <v>335</v>
      </c>
      <c r="V143" s="533"/>
      <c r="W143" s="533"/>
      <c r="X143" s="533"/>
      <c r="Y143" s="533"/>
      <c r="Z143" s="554" t="s">
        <v>336</v>
      </c>
      <c r="AA143" s="533"/>
      <c r="AB143" s="533"/>
      <c r="AC143" s="533"/>
      <c r="AD143" s="533"/>
      <c r="AE143" s="554" t="s">
        <v>337</v>
      </c>
      <c r="AF143" s="533"/>
      <c r="AG143" s="533"/>
      <c r="AH143" s="533"/>
      <c r="AI143" s="533"/>
      <c r="AJ143" s="554" t="s">
        <v>338</v>
      </c>
      <c r="AK143" s="533"/>
      <c r="AL143" s="533"/>
      <c r="AM143" s="533"/>
      <c r="AN143" s="533"/>
      <c r="AO143" s="554" t="s">
        <v>339</v>
      </c>
      <c r="AP143" s="533"/>
      <c r="AQ143" s="533"/>
      <c r="AR143" s="533"/>
      <c r="AS143" s="533"/>
      <c r="AT143" s="554"/>
      <c r="AU143" s="533"/>
      <c r="AV143" s="533"/>
      <c r="AW143" s="533"/>
      <c r="AX143" s="533"/>
    </row>
    <row r="144" spans="2:50">
      <c r="B144" s="544" t="s">
        <v>649</v>
      </c>
      <c r="C144" s="544" t="s">
        <v>650</v>
      </c>
      <c r="D144" s="544"/>
      <c r="E144" s="544" t="s">
        <v>651</v>
      </c>
      <c r="F144" s="544"/>
      <c r="G144" s="544"/>
      <c r="H144" s="561" t="s">
        <v>652</v>
      </c>
      <c r="I144" s="583" t="s">
        <v>653</v>
      </c>
      <c r="J144" s="583"/>
      <c r="K144" s="583"/>
      <c r="L144" s="584" t="s">
        <v>652</v>
      </c>
      <c r="M144" s="567" t="s">
        <v>654</v>
      </c>
      <c r="N144" s="544"/>
      <c r="O144" s="544" t="s">
        <v>655</v>
      </c>
      <c r="P144" s="548" t="s">
        <v>656</v>
      </c>
      <c r="Q144" s="549"/>
      <c r="R144" s="549"/>
      <c r="S144" s="550"/>
      <c r="T144" s="544" t="s">
        <v>652</v>
      </c>
      <c r="U144" s="548" t="s">
        <v>656</v>
      </c>
      <c r="V144" s="549"/>
      <c r="W144" s="549"/>
      <c r="X144" s="550"/>
      <c r="Y144" s="544" t="s">
        <v>652</v>
      </c>
      <c r="Z144" s="548" t="s">
        <v>656</v>
      </c>
      <c r="AA144" s="549"/>
      <c r="AB144" s="549"/>
      <c r="AC144" s="550"/>
      <c r="AD144" s="544" t="s">
        <v>652</v>
      </c>
      <c r="AE144" s="548" t="s">
        <v>656</v>
      </c>
      <c r="AF144" s="549"/>
      <c r="AG144" s="549"/>
      <c r="AH144" s="550"/>
      <c r="AI144" s="544" t="s">
        <v>652</v>
      </c>
      <c r="AJ144" s="548" t="s">
        <v>656</v>
      </c>
      <c r="AK144" s="549"/>
      <c r="AL144" s="549"/>
      <c r="AM144" s="550"/>
      <c r="AN144" s="544" t="s">
        <v>652</v>
      </c>
      <c r="AO144" s="548" t="s">
        <v>656</v>
      </c>
      <c r="AP144" s="549"/>
      <c r="AQ144" s="549"/>
      <c r="AR144" s="550"/>
      <c r="AS144" s="544" t="s">
        <v>652</v>
      </c>
      <c r="AT144" s="548" t="s">
        <v>656</v>
      </c>
      <c r="AU144" s="549"/>
      <c r="AV144" s="549"/>
      <c r="AW144" s="550"/>
      <c r="AX144" s="544" t="s">
        <v>652</v>
      </c>
    </row>
    <row r="145" spans="2:50">
      <c r="B145" s="544"/>
      <c r="C145" s="544"/>
      <c r="D145" s="544"/>
      <c r="E145" s="544" t="s">
        <v>657</v>
      </c>
      <c r="F145" s="544"/>
      <c r="G145" s="544"/>
      <c r="H145" s="562"/>
      <c r="I145" s="583" t="s">
        <v>657</v>
      </c>
      <c r="J145" s="583"/>
      <c r="K145" s="583"/>
      <c r="L145" s="585"/>
      <c r="M145" s="568"/>
      <c r="N145" s="544"/>
      <c r="O145" s="544"/>
      <c r="P145" s="548" t="s">
        <v>658</v>
      </c>
      <c r="Q145" s="549"/>
      <c r="R145" s="549"/>
      <c r="S145" s="550"/>
      <c r="T145" s="544"/>
      <c r="U145" s="548" t="s">
        <v>658</v>
      </c>
      <c r="V145" s="549"/>
      <c r="W145" s="549"/>
      <c r="X145" s="550"/>
      <c r="Y145" s="544"/>
      <c r="Z145" s="548" t="s">
        <v>658</v>
      </c>
      <c r="AA145" s="549"/>
      <c r="AB145" s="549"/>
      <c r="AC145" s="550"/>
      <c r="AD145" s="544"/>
      <c r="AE145" s="548" t="s">
        <v>658</v>
      </c>
      <c r="AF145" s="549"/>
      <c r="AG145" s="549"/>
      <c r="AH145" s="550"/>
      <c r="AI145" s="544"/>
      <c r="AJ145" s="548" t="s">
        <v>658</v>
      </c>
      <c r="AK145" s="549"/>
      <c r="AL145" s="549"/>
      <c r="AM145" s="550"/>
      <c r="AN145" s="544"/>
      <c r="AO145" s="548" t="s">
        <v>658</v>
      </c>
      <c r="AP145" s="549"/>
      <c r="AQ145" s="549"/>
      <c r="AR145" s="550"/>
      <c r="AS145" s="544"/>
      <c r="AT145" s="548" t="s">
        <v>658</v>
      </c>
      <c r="AU145" s="549"/>
      <c r="AV145" s="549"/>
      <c r="AW145" s="550"/>
      <c r="AX145" s="544"/>
    </row>
    <row r="146" spans="2:50">
      <c r="B146" s="544"/>
      <c r="C146" s="544"/>
      <c r="D146" s="544"/>
      <c r="E146" s="403" t="s">
        <v>659</v>
      </c>
      <c r="F146" s="403" t="s">
        <v>660</v>
      </c>
      <c r="G146" s="403" t="s">
        <v>661</v>
      </c>
      <c r="H146" s="563"/>
      <c r="I146" s="402" t="s">
        <v>659</v>
      </c>
      <c r="J146" s="402" t="s">
        <v>660</v>
      </c>
      <c r="K146" s="402" t="s">
        <v>661</v>
      </c>
      <c r="L146" s="586"/>
      <c r="M146" s="569"/>
      <c r="N146" s="544"/>
      <c r="O146" s="544"/>
      <c r="P146" s="403" t="s">
        <v>659</v>
      </c>
      <c r="Q146" s="403" t="s">
        <v>660</v>
      </c>
      <c r="R146" s="403" t="s">
        <v>661</v>
      </c>
      <c r="S146" s="403" t="s">
        <v>654</v>
      </c>
      <c r="T146" s="544"/>
      <c r="U146" s="403" t="s">
        <v>659</v>
      </c>
      <c r="V146" s="403" t="s">
        <v>660</v>
      </c>
      <c r="W146" s="403" t="s">
        <v>661</v>
      </c>
      <c r="X146" s="403" t="s">
        <v>654</v>
      </c>
      <c r="Y146" s="544"/>
      <c r="Z146" s="403" t="s">
        <v>659</v>
      </c>
      <c r="AA146" s="403" t="s">
        <v>660</v>
      </c>
      <c r="AB146" s="403" t="s">
        <v>661</v>
      </c>
      <c r="AC146" s="403" t="s">
        <v>654</v>
      </c>
      <c r="AD146" s="544"/>
      <c r="AE146" s="403" t="s">
        <v>659</v>
      </c>
      <c r="AF146" s="403" t="s">
        <v>660</v>
      </c>
      <c r="AG146" s="403" t="s">
        <v>661</v>
      </c>
      <c r="AH146" s="403" t="s">
        <v>654</v>
      </c>
      <c r="AI146" s="544"/>
      <c r="AJ146" s="403" t="s">
        <v>659</v>
      </c>
      <c r="AK146" s="403" t="s">
        <v>660</v>
      </c>
      <c r="AL146" s="403" t="s">
        <v>661</v>
      </c>
      <c r="AM146" s="403" t="s">
        <v>654</v>
      </c>
      <c r="AN146" s="544"/>
      <c r="AO146" s="403" t="s">
        <v>659</v>
      </c>
      <c r="AP146" s="403" t="s">
        <v>660</v>
      </c>
      <c r="AQ146" s="403" t="s">
        <v>661</v>
      </c>
      <c r="AR146" s="403" t="s">
        <v>654</v>
      </c>
      <c r="AS146" s="544"/>
      <c r="AT146" s="403" t="s">
        <v>659</v>
      </c>
      <c r="AU146" s="403" t="s">
        <v>660</v>
      </c>
      <c r="AV146" s="403" t="s">
        <v>661</v>
      </c>
      <c r="AW146" s="403" t="s">
        <v>654</v>
      </c>
      <c r="AX146" s="544"/>
    </row>
    <row r="147" spans="2:50">
      <c r="B147" s="533" t="s">
        <v>150</v>
      </c>
      <c r="C147" s="404">
        <v>1</v>
      </c>
      <c r="D147" s="404" t="s">
        <v>359</v>
      </c>
      <c r="E147" s="404">
        <v>4</v>
      </c>
      <c r="F147" s="404">
        <v>2200</v>
      </c>
      <c r="G147" s="404">
        <v>550</v>
      </c>
      <c r="H147" s="537">
        <f>AVERAGE(G147:G176)</f>
        <v>855.41666666666674</v>
      </c>
      <c r="I147" s="408">
        <f>AVERAGE(P147,U147,Z147,AE147,AJ147,AO147,AT147)</f>
        <v>3</v>
      </c>
      <c r="J147" s="408">
        <f>AVERAGE(Q147,V147,AA147,AF147,AK147,AP147,AU147)</f>
        <v>3128.027455932091</v>
      </c>
      <c r="K147" s="406">
        <f>AVERAGE(R147,W147,AB147,AG147,AL147,AQ147,AV147)</f>
        <v>1042.6758186440304</v>
      </c>
      <c r="L147" s="587">
        <f>IFERROR(AVERAGE(K147:K176),"-")</f>
        <v>793.8136580050284</v>
      </c>
      <c r="M147" s="408">
        <f>RANK(K147, K$147:$K$176)</f>
        <v>2</v>
      </c>
      <c r="N147" s="544"/>
      <c r="O147" s="544"/>
      <c r="P147" s="182">
        <v>3</v>
      </c>
      <c r="Q147" s="182">
        <v>3340.3846153846116</v>
      </c>
      <c r="R147" s="182">
        <v>1113.4615384615372</v>
      </c>
      <c r="S147" s="404">
        <f>RANK(R147, R$147:R$176)</f>
        <v>1</v>
      </c>
      <c r="T147" s="537">
        <f>AVERAGE(R147:R176)</f>
        <v>799.97171517559275</v>
      </c>
      <c r="U147" s="182">
        <v>3</v>
      </c>
      <c r="V147" s="182">
        <v>3204</v>
      </c>
      <c r="W147" s="182">
        <v>1068</v>
      </c>
      <c r="X147" s="404">
        <f t="shared" ref="X147:X176" si="51">RANK(W147, W$147:W$176)</f>
        <v>1</v>
      </c>
      <c r="Y147" s="537">
        <f t="shared" ref="Y147" si="52">AVERAGE(W147:W176)</f>
        <v>784.00530704262746</v>
      </c>
      <c r="Z147" s="182">
        <v>3</v>
      </c>
      <c r="AA147" s="182">
        <v>3281.2500000000009</v>
      </c>
      <c r="AB147" s="182">
        <v>1093.7500000000002</v>
      </c>
      <c r="AC147" s="404">
        <f t="shared" ref="AC147:AC176" si="53">RANK(AB147, AB$147:AB$176)</f>
        <v>1</v>
      </c>
      <c r="AD147" s="537">
        <f t="shared" ref="AD147" si="54">AVERAGE(AB147:AB176)</f>
        <v>813.25723437159456</v>
      </c>
      <c r="AE147" s="182">
        <v>3</v>
      </c>
      <c r="AF147" s="182">
        <v>3161.7391304347884</v>
      </c>
      <c r="AG147" s="182">
        <v>1053.9130434782628</v>
      </c>
      <c r="AH147" s="404">
        <f t="shared" ref="AH147:AH176" si="55">RANK(AG147, AG$147:AG$176)</f>
        <v>1</v>
      </c>
      <c r="AI147" s="537">
        <f t="shared" ref="AI147" si="56">AVERAGE(AG147:AG176)</f>
        <v>781.34124541799156</v>
      </c>
      <c r="AJ147" s="182">
        <v>3</v>
      </c>
      <c r="AK147" s="182">
        <v>2661.9230769230821</v>
      </c>
      <c r="AL147" s="182">
        <v>887.30769230769408</v>
      </c>
      <c r="AM147" s="404">
        <f t="shared" ref="AM147:AM176" si="57">RANK(AL147, AL$147:AL$176)</f>
        <v>8</v>
      </c>
      <c r="AN147" s="537">
        <f t="shared" ref="AN147" si="58">AVERAGE(AL147:AL176)</f>
        <v>801.97169849126226</v>
      </c>
      <c r="AO147" s="182">
        <v>3</v>
      </c>
      <c r="AP147" s="182">
        <v>3219.6226415094357</v>
      </c>
      <c r="AQ147" s="182">
        <v>1073.207547169812</v>
      </c>
      <c r="AR147" s="404">
        <f t="shared" ref="AR147:AR176" si="59">RANK(AQ147, AQ$147:AQ$176)</f>
        <v>1</v>
      </c>
      <c r="AS147" s="537">
        <f t="shared" ref="AS147" si="60">AVERAGE(AQ147:AQ176)</f>
        <v>810.59387288128596</v>
      </c>
      <c r="AT147" s="182">
        <v>3</v>
      </c>
      <c r="AU147" s="182">
        <v>3027.2727272727202</v>
      </c>
      <c r="AV147" s="182">
        <v>1009.0909090909067</v>
      </c>
      <c r="AW147" s="404">
        <f t="shared" ref="AW147:AW176" si="61">RANK(AV147, AV$147:AV$176)</f>
        <v>1</v>
      </c>
      <c r="AX147" s="537">
        <f t="shared" ref="AX147" si="62">AVERAGE(AV147:AV176)</f>
        <v>765.55453265484516</v>
      </c>
    </row>
    <row r="148" spans="2:50">
      <c r="B148" s="533"/>
      <c r="C148" s="404">
        <v>2</v>
      </c>
      <c r="D148" s="404" t="s">
        <v>360</v>
      </c>
      <c r="E148" s="404">
        <v>3</v>
      </c>
      <c r="F148" s="404">
        <v>2700</v>
      </c>
      <c r="G148" s="404">
        <v>900</v>
      </c>
      <c r="H148" s="538"/>
      <c r="I148" s="408">
        <f t="shared" ref="I148:K163" si="63">AVERAGE(P148,U148,Z148,AE148,AJ148,AO148,AT148)</f>
        <v>3</v>
      </c>
      <c r="J148" s="408">
        <f t="shared" si="63"/>
        <v>2849.7551020408187</v>
      </c>
      <c r="K148" s="406">
        <f t="shared" si="63"/>
        <v>949.9183673469397</v>
      </c>
      <c r="L148" s="588"/>
      <c r="M148" s="408">
        <f>RANK(K148, K$147:$K$176)</f>
        <v>6</v>
      </c>
      <c r="N148" s="544"/>
      <c r="O148" s="544"/>
      <c r="P148" s="182">
        <v>3</v>
      </c>
      <c r="Q148" s="182">
        <v>2899.9999999999991</v>
      </c>
      <c r="R148" s="182">
        <v>966.6666666666664</v>
      </c>
      <c r="S148" s="404">
        <f t="shared" ref="S148:S176" si="64">RANK(R148, R$147:R$176)</f>
        <v>3</v>
      </c>
      <c r="T148" s="538"/>
      <c r="U148" s="182">
        <v>3</v>
      </c>
      <c r="V148" s="182">
        <v>2940.0000000000041</v>
      </c>
      <c r="W148" s="182">
        <v>980.00000000000136</v>
      </c>
      <c r="X148" s="404">
        <f t="shared" si="51"/>
        <v>5</v>
      </c>
      <c r="Y148" s="538"/>
      <c r="Z148" s="182">
        <v>3</v>
      </c>
      <c r="AA148" s="182">
        <v>2814.2857142857192</v>
      </c>
      <c r="AB148" s="182">
        <v>938.09523809523978</v>
      </c>
      <c r="AC148" s="404">
        <f t="shared" si="53"/>
        <v>6</v>
      </c>
      <c r="AD148" s="538"/>
      <c r="AE148" s="182">
        <v>3</v>
      </c>
      <c r="AF148" s="182">
        <v>2750.0000000000041</v>
      </c>
      <c r="AG148" s="182">
        <v>916.66666666666799</v>
      </c>
      <c r="AH148" s="404">
        <f t="shared" si="55"/>
        <v>8</v>
      </c>
      <c r="AI148" s="538"/>
      <c r="AJ148" s="182">
        <v>3</v>
      </c>
      <c r="AK148" s="182">
        <v>2964.0000000000027</v>
      </c>
      <c r="AL148" s="182">
        <v>988.00000000000091</v>
      </c>
      <c r="AM148" s="404">
        <f t="shared" si="57"/>
        <v>3</v>
      </c>
      <c r="AN148" s="538"/>
      <c r="AO148" s="182">
        <v>3</v>
      </c>
      <c r="AP148" s="182">
        <v>2832.0000000000045</v>
      </c>
      <c r="AQ148" s="182">
        <v>944.00000000000148</v>
      </c>
      <c r="AR148" s="404">
        <f t="shared" si="59"/>
        <v>8</v>
      </c>
      <c r="AS148" s="538"/>
      <c r="AT148" s="182">
        <v>3</v>
      </c>
      <c r="AU148" s="182">
        <v>2747.9999999999991</v>
      </c>
      <c r="AV148" s="182">
        <v>915.99999999999966</v>
      </c>
      <c r="AW148" s="404">
        <f t="shared" si="61"/>
        <v>6</v>
      </c>
      <c r="AX148" s="538"/>
    </row>
    <row r="149" spans="2:50">
      <c r="B149" s="533"/>
      <c r="C149" s="404">
        <v>3</v>
      </c>
      <c r="D149" s="404" t="s">
        <v>346</v>
      </c>
      <c r="E149" s="404">
        <v>4</v>
      </c>
      <c r="F149" s="404">
        <v>3600</v>
      </c>
      <c r="G149" s="404">
        <v>900</v>
      </c>
      <c r="H149" s="538"/>
      <c r="I149" s="408">
        <f t="shared" si="63"/>
        <v>4</v>
      </c>
      <c r="J149" s="408">
        <f t="shared" si="63"/>
        <v>3116.9802393684772</v>
      </c>
      <c r="K149" s="406">
        <f t="shared" si="63"/>
        <v>779.2450598421193</v>
      </c>
      <c r="L149" s="588"/>
      <c r="M149" s="408">
        <f>RANK(K149, K$147:$K$176)</f>
        <v>12</v>
      </c>
      <c r="N149" s="544"/>
      <c r="O149" s="544"/>
      <c r="P149" s="182">
        <v>4</v>
      </c>
      <c r="Q149" s="182">
        <v>3308.1818181818239</v>
      </c>
      <c r="R149" s="182">
        <v>827.04545454545598</v>
      </c>
      <c r="S149" s="404">
        <f t="shared" si="64"/>
        <v>10</v>
      </c>
      <c r="T149" s="538"/>
      <c r="U149" s="182">
        <v>4</v>
      </c>
      <c r="V149" s="182">
        <v>3201.000000000005</v>
      </c>
      <c r="W149" s="182">
        <v>800.25000000000125</v>
      </c>
      <c r="X149" s="404">
        <f t="shared" si="51"/>
        <v>11</v>
      </c>
      <c r="Y149" s="538"/>
      <c r="Z149" s="182">
        <v>4</v>
      </c>
      <c r="AA149" s="182">
        <v>3253.6363636363694</v>
      </c>
      <c r="AB149" s="182">
        <v>813.40909090909236</v>
      </c>
      <c r="AC149" s="404">
        <f t="shared" si="53"/>
        <v>12</v>
      </c>
      <c r="AD149" s="538"/>
      <c r="AE149" s="182">
        <v>4</v>
      </c>
      <c r="AF149" s="182">
        <v>3063.3333333333376</v>
      </c>
      <c r="AG149" s="182">
        <v>765.83333333333439</v>
      </c>
      <c r="AH149" s="404">
        <f t="shared" si="55"/>
        <v>10</v>
      </c>
      <c r="AI149" s="538"/>
      <c r="AJ149" s="182">
        <v>4</v>
      </c>
      <c r="AK149" s="182">
        <v>3091.7647058823418</v>
      </c>
      <c r="AL149" s="182">
        <v>772.94117647058545</v>
      </c>
      <c r="AM149" s="404">
        <f t="shared" si="57"/>
        <v>11</v>
      </c>
      <c r="AN149" s="538"/>
      <c r="AO149" s="182">
        <v>4</v>
      </c>
      <c r="AP149" s="182">
        <v>3234.5454545454604</v>
      </c>
      <c r="AQ149" s="182">
        <v>808.6363636363651</v>
      </c>
      <c r="AR149" s="404">
        <f t="shared" si="59"/>
        <v>11</v>
      </c>
      <c r="AS149" s="538"/>
      <c r="AT149" s="182">
        <v>4</v>
      </c>
      <c r="AU149" s="182">
        <v>2666.4000000000005</v>
      </c>
      <c r="AV149" s="182">
        <v>666.60000000000014</v>
      </c>
      <c r="AW149" s="404">
        <f t="shared" si="61"/>
        <v>15</v>
      </c>
      <c r="AX149" s="538"/>
    </row>
    <row r="150" spans="2:50">
      <c r="B150" s="533"/>
      <c r="C150" s="404">
        <v>4</v>
      </c>
      <c r="D150" s="404" t="s">
        <v>362</v>
      </c>
      <c r="E150" s="404">
        <v>3</v>
      </c>
      <c r="F150" s="404">
        <v>3600</v>
      </c>
      <c r="G150" s="404">
        <v>1200</v>
      </c>
      <c r="H150" s="538"/>
      <c r="I150" s="408">
        <f t="shared" si="63"/>
        <v>3</v>
      </c>
      <c r="J150" s="408">
        <f t="shared" si="63"/>
        <v>3175.5628665463223</v>
      </c>
      <c r="K150" s="406">
        <f t="shared" si="63"/>
        <v>1058.5209555154411</v>
      </c>
      <c r="L150" s="588"/>
      <c r="M150" s="408">
        <f>RANK(K150, K$147:$K$176)</f>
        <v>1</v>
      </c>
      <c r="N150" s="544"/>
      <c r="O150" s="544"/>
      <c r="P150" s="182">
        <v>3</v>
      </c>
      <c r="Q150" s="182">
        <v>3275.9999999999977</v>
      </c>
      <c r="R150" s="182">
        <v>1091.9999999999993</v>
      </c>
      <c r="S150" s="404">
        <f t="shared" si="64"/>
        <v>2</v>
      </c>
      <c r="T150" s="538"/>
      <c r="U150" s="182">
        <v>3</v>
      </c>
      <c r="V150" s="182">
        <v>3201.6393442622943</v>
      </c>
      <c r="W150" s="182">
        <v>1067.2131147540981</v>
      </c>
      <c r="X150" s="404">
        <f t="shared" si="51"/>
        <v>2</v>
      </c>
      <c r="Y150" s="538"/>
      <c r="Z150" s="182">
        <v>3</v>
      </c>
      <c r="AA150" s="182">
        <v>3246.0000000000005</v>
      </c>
      <c r="AB150" s="182">
        <v>1082.0000000000002</v>
      </c>
      <c r="AC150" s="404">
        <f t="shared" si="53"/>
        <v>2</v>
      </c>
      <c r="AD150" s="538"/>
      <c r="AE150" s="182">
        <v>3</v>
      </c>
      <c r="AF150" s="182">
        <v>3159.3749999999991</v>
      </c>
      <c r="AG150" s="182">
        <v>1053.1249999999998</v>
      </c>
      <c r="AH150" s="404">
        <f t="shared" si="55"/>
        <v>2</v>
      </c>
      <c r="AI150" s="538"/>
      <c r="AJ150" s="182">
        <v>3</v>
      </c>
      <c r="AK150" s="182">
        <v>3177.0967741935474</v>
      </c>
      <c r="AL150" s="182">
        <v>1059.0322580645159</v>
      </c>
      <c r="AM150" s="404">
        <f t="shared" si="57"/>
        <v>1</v>
      </c>
      <c r="AN150" s="538"/>
      <c r="AO150" s="182">
        <v>3</v>
      </c>
      <c r="AP150" s="182">
        <v>3211.5789473684185</v>
      </c>
      <c r="AQ150" s="182">
        <v>1070.5263157894728</v>
      </c>
      <c r="AR150" s="404">
        <f t="shared" si="59"/>
        <v>2</v>
      </c>
      <c r="AS150" s="538"/>
      <c r="AT150" s="182">
        <v>3</v>
      </c>
      <c r="AU150" s="182">
        <v>2957.2499999999986</v>
      </c>
      <c r="AV150" s="182">
        <v>985.74999999999955</v>
      </c>
      <c r="AW150" s="404">
        <f t="shared" si="61"/>
        <v>2</v>
      </c>
      <c r="AX150" s="538"/>
    </row>
    <row r="151" spans="2:50">
      <c r="B151" s="533"/>
      <c r="C151" s="404">
        <v>5</v>
      </c>
      <c r="D151" s="404" t="s">
        <v>363</v>
      </c>
      <c r="E151" s="404">
        <v>3</v>
      </c>
      <c r="F151" s="404">
        <v>3600</v>
      </c>
      <c r="G151" s="404">
        <v>1200</v>
      </c>
      <c r="H151" s="538"/>
      <c r="I151" s="408">
        <f t="shared" si="63"/>
        <v>4</v>
      </c>
      <c r="J151" s="408">
        <f t="shared" si="63"/>
        <v>3201.454785760458</v>
      </c>
      <c r="K151" s="406">
        <f t="shared" si="63"/>
        <v>800.3636964401145</v>
      </c>
      <c r="L151" s="588"/>
      <c r="M151" s="408">
        <f>RANK(K151, K$147:$K$176)</f>
        <v>9</v>
      </c>
      <c r="N151" s="544"/>
      <c r="O151" s="544"/>
      <c r="P151" s="182">
        <v>4</v>
      </c>
      <c r="Q151" s="182">
        <v>3264.7058823529369</v>
      </c>
      <c r="R151" s="182">
        <v>816.17647058823422</v>
      </c>
      <c r="S151" s="404">
        <f t="shared" si="64"/>
        <v>11</v>
      </c>
      <c r="T151" s="538"/>
      <c r="U151" s="182">
        <v>4</v>
      </c>
      <c r="V151" s="182">
        <v>3250.7142857142885</v>
      </c>
      <c r="W151" s="182">
        <v>812.67857142857213</v>
      </c>
      <c r="X151" s="404">
        <f t="shared" si="51"/>
        <v>9</v>
      </c>
      <c r="Y151" s="538"/>
      <c r="Z151" s="182">
        <v>4</v>
      </c>
      <c r="AA151" s="182">
        <v>3290.6249999999959</v>
      </c>
      <c r="AB151" s="182">
        <v>822.65624999999898</v>
      </c>
      <c r="AC151" s="404">
        <f t="shared" si="53"/>
        <v>11</v>
      </c>
      <c r="AD151" s="538"/>
      <c r="AE151" s="182">
        <v>4</v>
      </c>
      <c r="AF151" s="182">
        <v>3150.0000000000027</v>
      </c>
      <c r="AG151" s="182">
        <v>787.50000000000068</v>
      </c>
      <c r="AH151" s="404">
        <f t="shared" si="55"/>
        <v>9</v>
      </c>
      <c r="AI151" s="538"/>
      <c r="AJ151" s="182">
        <v>4</v>
      </c>
      <c r="AK151" s="182">
        <v>3189.2307692307709</v>
      </c>
      <c r="AL151" s="182">
        <v>797.30769230769272</v>
      </c>
      <c r="AM151" s="404">
        <f t="shared" si="57"/>
        <v>10</v>
      </c>
      <c r="AN151" s="538"/>
      <c r="AO151" s="182">
        <v>4</v>
      </c>
      <c r="AP151" s="182">
        <v>3211.7647058823486</v>
      </c>
      <c r="AQ151" s="182">
        <v>802.94117647058715</v>
      </c>
      <c r="AR151" s="404">
        <f t="shared" si="59"/>
        <v>12</v>
      </c>
      <c r="AS151" s="538"/>
      <c r="AT151" s="182">
        <v>4</v>
      </c>
      <c r="AU151" s="182">
        <v>3053.142857142861</v>
      </c>
      <c r="AV151" s="182">
        <v>763.28571428571524</v>
      </c>
      <c r="AW151" s="404">
        <f t="shared" si="61"/>
        <v>10</v>
      </c>
      <c r="AX151" s="538"/>
    </row>
    <row r="152" spans="2:50">
      <c r="B152" s="533"/>
      <c r="C152" s="404">
        <v>6</v>
      </c>
      <c r="D152" s="404" t="s">
        <v>361</v>
      </c>
      <c r="E152" s="404">
        <v>4</v>
      </c>
      <c r="F152" s="404">
        <v>3600</v>
      </c>
      <c r="G152" s="404">
        <v>900</v>
      </c>
      <c r="H152" s="538"/>
      <c r="I152" s="408">
        <f t="shared" si="63"/>
        <v>4</v>
      </c>
      <c r="J152" s="408">
        <f t="shared" si="63"/>
        <v>3143.7810970542064</v>
      </c>
      <c r="K152" s="406">
        <f t="shared" si="63"/>
        <v>785.9452742635516</v>
      </c>
      <c r="L152" s="588"/>
      <c r="M152" s="408">
        <f>RANK(K152, K$147:$K$176)</f>
        <v>11</v>
      </c>
      <c r="N152" s="544"/>
      <c r="O152" s="544"/>
      <c r="P152" s="182">
        <v>4</v>
      </c>
      <c r="Q152" s="182">
        <v>3367.0588235294076</v>
      </c>
      <c r="R152" s="182">
        <v>841.7647058823519</v>
      </c>
      <c r="S152" s="404">
        <f t="shared" si="64"/>
        <v>9</v>
      </c>
      <c r="T152" s="538"/>
      <c r="U152" s="182">
        <v>4</v>
      </c>
      <c r="V152" s="182">
        <v>3272.0000000000032</v>
      </c>
      <c r="W152" s="182">
        <v>818.0000000000008</v>
      </c>
      <c r="X152" s="404">
        <f t="shared" si="51"/>
        <v>8</v>
      </c>
      <c r="Y152" s="538"/>
      <c r="Z152" s="182">
        <v>4</v>
      </c>
      <c r="AA152" s="182">
        <v>3314.1176470588193</v>
      </c>
      <c r="AB152" s="182">
        <v>828.52941176470483</v>
      </c>
      <c r="AC152" s="404">
        <f t="shared" si="53"/>
        <v>10</v>
      </c>
      <c r="AD152" s="538"/>
      <c r="AE152" s="182">
        <v>4</v>
      </c>
      <c r="AF152" s="182">
        <v>3025.7142857142881</v>
      </c>
      <c r="AG152" s="182">
        <v>756.42857142857201</v>
      </c>
      <c r="AH152" s="404">
        <f t="shared" si="55"/>
        <v>11</v>
      </c>
      <c r="AI152" s="538"/>
      <c r="AJ152" s="182">
        <v>4</v>
      </c>
      <c r="AK152" s="182">
        <v>3023.0769230769247</v>
      </c>
      <c r="AL152" s="182">
        <v>755.76923076923117</v>
      </c>
      <c r="AM152" s="404">
        <f t="shared" si="57"/>
        <v>13</v>
      </c>
      <c r="AN152" s="538"/>
      <c r="AO152" s="182">
        <v>4</v>
      </c>
      <c r="AP152" s="182">
        <v>3367.5000000000036</v>
      </c>
      <c r="AQ152" s="182">
        <v>841.87500000000091</v>
      </c>
      <c r="AR152" s="404">
        <f t="shared" si="59"/>
        <v>9</v>
      </c>
      <c r="AS152" s="538"/>
      <c r="AT152" s="182">
        <v>4</v>
      </c>
      <c r="AU152" s="182">
        <v>2636.9999999999991</v>
      </c>
      <c r="AV152" s="182">
        <v>659.24999999999977</v>
      </c>
      <c r="AW152" s="404">
        <f t="shared" si="61"/>
        <v>17</v>
      </c>
      <c r="AX152" s="538"/>
    </row>
    <row r="153" spans="2:50">
      <c r="B153" s="533"/>
      <c r="C153" s="404">
        <v>7</v>
      </c>
      <c r="D153" s="404" t="s">
        <v>469</v>
      </c>
      <c r="E153" s="404">
        <v>4</v>
      </c>
      <c r="F153" s="404">
        <v>3600</v>
      </c>
      <c r="G153" s="404">
        <v>900</v>
      </c>
      <c r="H153" s="538"/>
      <c r="I153" s="408">
        <f t="shared" si="63"/>
        <v>4</v>
      </c>
      <c r="J153" s="408">
        <f t="shared" si="63"/>
        <v>3178.9285714285661</v>
      </c>
      <c r="K153" s="406">
        <f t="shared" si="63"/>
        <v>794.73214285714153</v>
      </c>
      <c r="L153" s="588"/>
      <c r="M153" s="408">
        <f>RANK(K153, K$147:$K$176)</f>
        <v>10</v>
      </c>
      <c r="N153" s="544"/>
      <c r="O153" s="544"/>
      <c r="P153" s="182">
        <v>4</v>
      </c>
      <c r="Q153" s="182">
        <v>3502.5000000000123</v>
      </c>
      <c r="R153" s="182">
        <v>875.62500000000307</v>
      </c>
      <c r="S153" s="404">
        <f t="shared" si="64"/>
        <v>7</v>
      </c>
      <c r="T153" s="538"/>
      <c r="U153" s="182">
        <v>4</v>
      </c>
      <c r="V153" s="182">
        <v>3248.571428571403</v>
      </c>
      <c r="W153" s="182">
        <v>812.14285714285074</v>
      </c>
      <c r="X153" s="404">
        <f t="shared" si="51"/>
        <v>10</v>
      </c>
      <c r="Y153" s="538"/>
      <c r="Z153" s="182">
        <v>4</v>
      </c>
      <c r="AA153" s="182">
        <v>3465.0000000000123</v>
      </c>
      <c r="AB153" s="182">
        <v>866.25000000000307</v>
      </c>
      <c r="AC153" s="404">
        <f t="shared" si="53"/>
        <v>8</v>
      </c>
      <c r="AD153" s="538"/>
      <c r="AE153" s="182">
        <v>4</v>
      </c>
      <c r="AF153" s="182">
        <v>2991.4285714285479</v>
      </c>
      <c r="AG153" s="182">
        <v>747.85714285713698</v>
      </c>
      <c r="AH153" s="404">
        <f t="shared" si="55"/>
        <v>12</v>
      </c>
      <c r="AI153" s="538"/>
      <c r="AJ153" s="182">
        <v>4</v>
      </c>
      <c r="AK153" s="182">
        <v>3210.0000000000114</v>
      </c>
      <c r="AL153" s="182">
        <v>802.50000000000284</v>
      </c>
      <c r="AM153" s="404">
        <f t="shared" si="57"/>
        <v>9</v>
      </c>
      <c r="AN153" s="538"/>
      <c r="AO153" s="182">
        <v>4</v>
      </c>
      <c r="AP153" s="182">
        <v>3284.9999999999786</v>
      </c>
      <c r="AQ153" s="182">
        <v>821.24999999999466</v>
      </c>
      <c r="AR153" s="404">
        <f t="shared" si="59"/>
        <v>10</v>
      </c>
      <c r="AS153" s="538"/>
      <c r="AT153" s="182">
        <v>4</v>
      </c>
      <c r="AU153" s="182">
        <v>2549.9999999999991</v>
      </c>
      <c r="AV153" s="182">
        <v>637.49999999999977</v>
      </c>
      <c r="AW153" s="404">
        <f t="shared" si="61"/>
        <v>18</v>
      </c>
      <c r="AX153" s="538"/>
    </row>
    <row r="154" spans="2:50">
      <c r="B154" s="533"/>
      <c r="C154" s="404">
        <v>8</v>
      </c>
      <c r="D154" s="404" t="s">
        <v>364</v>
      </c>
      <c r="E154" s="404">
        <v>4</v>
      </c>
      <c r="F154" s="404">
        <v>3300</v>
      </c>
      <c r="G154" s="404">
        <v>825</v>
      </c>
      <c r="H154" s="538"/>
      <c r="I154" s="408">
        <f t="shared" si="63"/>
        <v>4</v>
      </c>
      <c r="J154" s="408">
        <f t="shared" si="63"/>
        <v>2819.8241758241775</v>
      </c>
      <c r="K154" s="406">
        <f t="shared" si="63"/>
        <v>704.95604395604437</v>
      </c>
      <c r="L154" s="588"/>
      <c r="M154" s="408">
        <f>RANK(K154, K$147:$K$176)</f>
        <v>18</v>
      </c>
      <c r="N154" s="544"/>
      <c r="O154" s="544"/>
      <c r="P154" s="182">
        <v>4</v>
      </c>
      <c r="Q154" s="182">
        <v>2944.0000000000027</v>
      </c>
      <c r="R154" s="182">
        <v>736.00000000000068</v>
      </c>
      <c r="S154" s="404">
        <f t="shared" si="64"/>
        <v>12</v>
      </c>
      <c r="T154" s="538"/>
      <c r="U154" s="182">
        <v>4</v>
      </c>
      <c r="V154" s="182">
        <v>2810.7692307692323</v>
      </c>
      <c r="W154" s="182">
        <v>702.69230769230808</v>
      </c>
      <c r="X154" s="404">
        <f t="shared" si="51"/>
        <v>15</v>
      </c>
      <c r="Y154" s="538"/>
      <c r="Z154" s="182">
        <v>4</v>
      </c>
      <c r="AA154" s="182">
        <v>2940.0000000000032</v>
      </c>
      <c r="AB154" s="182">
        <v>735.0000000000008</v>
      </c>
      <c r="AC154" s="404">
        <f t="shared" si="53"/>
        <v>15</v>
      </c>
      <c r="AD154" s="538"/>
      <c r="AE154" s="182">
        <v>4</v>
      </c>
      <c r="AF154" s="182">
        <v>2740.0000000000009</v>
      </c>
      <c r="AG154" s="182">
        <v>685.00000000000023</v>
      </c>
      <c r="AH154" s="404">
        <f t="shared" si="55"/>
        <v>16</v>
      </c>
      <c r="AI154" s="538"/>
      <c r="AJ154" s="182">
        <v>4</v>
      </c>
      <c r="AK154" s="182">
        <v>2975.9999999999986</v>
      </c>
      <c r="AL154" s="182">
        <v>743.99999999999966</v>
      </c>
      <c r="AM154" s="404">
        <f t="shared" si="57"/>
        <v>14</v>
      </c>
      <c r="AN154" s="538"/>
      <c r="AO154" s="182">
        <v>4</v>
      </c>
      <c r="AP154" s="182">
        <v>2680.0000000000023</v>
      </c>
      <c r="AQ154" s="182">
        <v>670.00000000000057</v>
      </c>
      <c r="AR154" s="404">
        <f t="shared" si="59"/>
        <v>18</v>
      </c>
      <c r="AS154" s="538"/>
      <c r="AT154" s="182">
        <v>4</v>
      </c>
      <c r="AU154" s="182">
        <v>2648.0000000000027</v>
      </c>
      <c r="AV154" s="182">
        <v>662.00000000000068</v>
      </c>
      <c r="AW154" s="404">
        <f t="shared" si="61"/>
        <v>16</v>
      </c>
      <c r="AX154" s="538"/>
    </row>
    <row r="155" spans="2:50">
      <c r="B155" s="533"/>
      <c r="C155" s="404">
        <v>9</v>
      </c>
      <c r="D155" s="404" t="s">
        <v>365</v>
      </c>
      <c r="E155" s="404">
        <v>3</v>
      </c>
      <c r="F155" s="404">
        <v>3300</v>
      </c>
      <c r="G155" s="404">
        <v>1100</v>
      </c>
      <c r="H155" s="538"/>
      <c r="I155" s="408">
        <f t="shared" si="63"/>
        <v>3</v>
      </c>
      <c r="J155" s="408">
        <f t="shared" si="63"/>
        <v>2870.1887499200307</v>
      </c>
      <c r="K155" s="406">
        <f t="shared" si="63"/>
        <v>956.72958330667677</v>
      </c>
      <c r="L155" s="588"/>
      <c r="M155" s="408">
        <f>RANK(K155, K$147:$K$176)</f>
        <v>3</v>
      </c>
      <c r="N155" s="544"/>
      <c r="O155" s="544"/>
      <c r="P155" s="182">
        <v>3</v>
      </c>
      <c r="Q155" s="182">
        <v>2878.1818181818212</v>
      </c>
      <c r="R155" s="182">
        <v>959.3939393939404</v>
      </c>
      <c r="S155" s="404">
        <f t="shared" si="64"/>
        <v>4</v>
      </c>
      <c r="T155" s="538"/>
      <c r="U155" s="182">
        <v>3</v>
      </c>
      <c r="V155" s="182">
        <v>2984.9999999999977</v>
      </c>
      <c r="W155" s="182">
        <v>994.9999999999992</v>
      </c>
      <c r="X155" s="404">
        <f t="shared" si="51"/>
        <v>3</v>
      </c>
      <c r="Y155" s="538"/>
      <c r="Z155" s="182">
        <v>3</v>
      </c>
      <c r="AA155" s="182">
        <v>2809.0909090909054</v>
      </c>
      <c r="AB155" s="182">
        <v>936.36363636363512</v>
      </c>
      <c r="AC155" s="404">
        <f t="shared" si="53"/>
        <v>7</v>
      </c>
      <c r="AD155" s="538"/>
      <c r="AE155" s="182">
        <v>3</v>
      </c>
      <c r="AF155" s="182">
        <v>2797.2413793103469</v>
      </c>
      <c r="AG155" s="182">
        <v>932.41379310344894</v>
      </c>
      <c r="AH155" s="404">
        <f t="shared" si="55"/>
        <v>4</v>
      </c>
      <c r="AI155" s="538"/>
      <c r="AJ155" s="182">
        <v>3</v>
      </c>
      <c r="AK155" s="182">
        <v>3079.1999999999962</v>
      </c>
      <c r="AL155" s="182">
        <v>1026.3999999999987</v>
      </c>
      <c r="AM155" s="404">
        <f t="shared" si="57"/>
        <v>2</v>
      </c>
      <c r="AN155" s="538"/>
      <c r="AO155" s="182">
        <v>3</v>
      </c>
      <c r="AP155" s="182">
        <v>2943.7499999999991</v>
      </c>
      <c r="AQ155" s="182">
        <v>981.24999999999966</v>
      </c>
      <c r="AR155" s="404">
        <f t="shared" si="59"/>
        <v>5</v>
      </c>
      <c r="AS155" s="538"/>
      <c r="AT155" s="182">
        <v>3</v>
      </c>
      <c r="AU155" s="182">
        <v>2598.8571428571458</v>
      </c>
      <c r="AV155" s="182">
        <v>866.28571428571524</v>
      </c>
      <c r="AW155" s="404">
        <f t="shared" si="61"/>
        <v>8</v>
      </c>
      <c r="AX155" s="538"/>
    </row>
    <row r="156" spans="2:50">
      <c r="B156" s="533"/>
      <c r="C156" s="404">
        <v>10</v>
      </c>
      <c r="D156" s="404" t="s">
        <v>366</v>
      </c>
      <c r="E156" s="404">
        <v>3</v>
      </c>
      <c r="F156" s="404">
        <v>3300</v>
      </c>
      <c r="G156" s="404">
        <v>1100</v>
      </c>
      <c r="H156" s="538"/>
      <c r="I156" s="408">
        <f t="shared" si="63"/>
        <v>3</v>
      </c>
      <c r="J156" s="408">
        <f t="shared" si="63"/>
        <v>2852.5517834380621</v>
      </c>
      <c r="K156" s="406">
        <f t="shared" si="63"/>
        <v>950.85059447935396</v>
      </c>
      <c r="L156" s="588"/>
      <c r="M156" s="408">
        <f>RANK(K156, K$147:$K$176)</f>
        <v>5</v>
      </c>
      <c r="N156" s="544"/>
      <c r="O156" s="544"/>
      <c r="P156" s="182">
        <v>3</v>
      </c>
      <c r="Q156" s="182">
        <v>2868.947368421057</v>
      </c>
      <c r="R156" s="182">
        <v>956.31578947368564</v>
      </c>
      <c r="S156" s="404">
        <f t="shared" si="64"/>
        <v>5</v>
      </c>
      <c r="T156" s="538"/>
      <c r="U156" s="182">
        <v>3</v>
      </c>
      <c r="V156" s="182">
        <v>2949.3749999999923</v>
      </c>
      <c r="W156" s="182">
        <v>983.12499999999739</v>
      </c>
      <c r="X156" s="404">
        <f t="shared" si="51"/>
        <v>4</v>
      </c>
      <c r="Y156" s="538"/>
      <c r="Z156" s="182">
        <v>3</v>
      </c>
      <c r="AA156" s="182">
        <v>2839.4594594594605</v>
      </c>
      <c r="AB156" s="182">
        <v>946.4864864864868</v>
      </c>
      <c r="AC156" s="404">
        <f t="shared" si="53"/>
        <v>5</v>
      </c>
      <c r="AD156" s="538"/>
      <c r="AE156" s="182">
        <v>3</v>
      </c>
      <c r="AF156" s="182">
        <v>2752.7272727272725</v>
      </c>
      <c r="AG156" s="182">
        <v>917.57575757575751</v>
      </c>
      <c r="AH156" s="404">
        <f t="shared" si="55"/>
        <v>7</v>
      </c>
      <c r="AI156" s="538"/>
      <c r="AJ156" s="182">
        <v>3</v>
      </c>
      <c r="AK156" s="182">
        <v>2813.9999999999986</v>
      </c>
      <c r="AL156" s="182">
        <v>937.99999999999955</v>
      </c>
      <c r="AM156" s="404">
        <f t="shared" si="57"/>
        <v>7</v>
      </c>
      <c r="AN156" s="538"/>
      <c r="AO156" s="182">
        <v>3</v>
      </c>
      <c r="AP156" s="182">
        <v>2834.210526315791</v>
      </c>
      <c r="AQ156" s="182">
        <v>944.73684210526369</v>
      </c>
      <c r="AR156" s="404">
        <f t="shared" si="59"/>
        <v>7</v>
      </c>
      <c r="AS156" s="538"/>
      <c r="AT156" s="182">
        <v>3</v>
      </c>
      <c r="AU156" s="182">
        <v>2909.1428571428605</v>
      </c>
      <c r="AV156" s="182">
        <v>969.7142857142868</v>
      </c>
      <c r="AW156" s="404">
        <f t="shared" si="61"/>
        <v>3</v>
      </c>
      <c r="AX156" s="538"/>
    </row>
    <row r="157" spans="2:50">
      <c r="B157" s="533"/>
      <c r="C157" s="404">
        <v>11</v>
      </c>
      <c r="D157" s="404" t="s">
        <v>367</v>
      </c>
      <c r="E157" s="404">
        <v>4</v>
      </c>
      <c r="F157" s="404">
        <v>3300</v>
      </c>
      <c r="G157" s="404">
        <v>825</v>
      </c>
      <c r="H157" s="538"/>
      <c r="I157" s="408">
        <f t="shared" si="63"/>
        <v>4</v>
      </c>
      <c r="J157" s="408">
        <f t="shared" si="63"/>
        <v>2824.8609091293215</v>
      </c>
      <c r="K157" s="406">
        <f t="shared" si="63"/>
        <v>706.21522728233037</v>
      </c>
      <c r="L157" s="588"/>
      <c r="M157" s="408">
        <f>RANK(K157, K$147:$K$176)</f>
        <v>16</v>
      </c>
      <c r="N157" s="544"/>
      <c r="O157" s="544"/>
      <c r="P157" s="182">
        <v>4</v>
      </c>
      <c r="Q157" s="182">
        <v>2820.0000000000023</v>
      </c>
      <c r="R157" s="182">
        <v>705.00000000000057</v>
      </c>
      <c r="S157" s="404">
        <f t="shared" si="64"/>
        <v>15</v>
      </c>
      <c r="T157" s="538"/>
      <c r="U157" s="182">
        <v>4</v>
      </c>
      <c r="V157" s="182">
        <v>2851.304347826082</v>
      </c>
      <c r="W157" s="182">
        <v>712.8260869565205</v>
      </c>
      <c r="X157" s="404">
        <f t="shared" si="51"/>
        <v>14</v>
      </c>
      <c r="Y157" s="538"/>
      <c r="Z157" s="182">
        <v>4</v>
      </c>
      <c r="AA157" s="182">
        <v>2810.1818181818198</v>
      </c>
      <c r="AB157" s="182">
        <v>702.54545454545496</v>
      </c>
      <c r="AC157" s="404">
        <f t="shared" si="53"/>
        <v>18</v>
      </c>
      <c r="AD157" s="538"/>
      <c r="AE157" s="182">
        <v>4</v>
      </c>
      <c r="AF157" s="182">
        <v>2783.2653061224496</v>
      </c>
      <c r="AG157" s="182">
        <v>695.8163265306124</v>
      </c>
      <c r="AH157" s="404">
        <f t="shared" si="55"/>
        <v>15</v>
      </c>
      <c r="AI157" s="538"/>
      <c r="AJ157" s="182">
        <v>4</v>
      </c>
      <c r="AK157" s="182">
        <v>2857.333333333333</v>
      </c>
      <c r="AL157" s="182">
        <v>714.33333333333326</v>
      </c>
      <c r="AM157" s="404">
        <f t="shared" si="57"/>
        <v>17</v>
      </c>
      <c r="AN157" s="538"/>
      <c r="AO157" s="182">
        <v>4</v>
      </c>
      <c r="AP157" s="182">
        <v>2823.2142857142881</v>
      </c>
      <c r="AQ157" s="182">
        <v>705.80357142857201</v>
      </c>
      <c r="AR157" s="404">
        <f t="shared" si="59"/>
        <v>14</v>
      </c>
      <c r="AS157" s="538"/>
      <c r="AT157" s="182">
        <v>4</v>
      </c>
      <c r="AU157" s="182">
        <v>2828.7272727272725</v>
      </c>
      <c r="AV157" s="182">
        <v>707.18181818181813</v>
      </c>
      <c r="AW157" s="404">
        <f t="shared" si="61"/>
        <v>13</v>
      </c>
      <c r="AX157" s="538"/>
    </row>
    <row r="158" spans="2:50">
      <c r="B158" s="533"/>
      <c r="C158" s="404">
        <v>12</v>
      </c>
      <c r="D158" s="404" t="s">
        <v>368</v>
      </c>
      <c r="E158" s="404">
        <v>4</v>
      </c>
      <c r="F158" s="404">
        <v>3300</v>
      </c>
      <c r="G158" s="404">
        <v>825</v>
      </c>
      <c r="H158" s="538"/>
      <c r="I158" s="408">
        <f t="shared" si="63"/>
        <v>4</v>
      </c>
      <c r="J158" s="408">
        <f t="shared" si="63"/>
        <v>2836.3902286238363</v>
      </c>
      <c r="K158" s="406">
        <f t="shared" si="63"/>
        <v>709.09755715595907</v>
      </c>
      <c r="L158" s="588"/>
      <c r="M158" s="408">
        <f>RANK(K158, K$147:$K$176)</f>
        <v>15</v>
      </c>
      <c r="N158" s="544"/>
      <c r="O158" s="544"/>
      <c r="P158" s="182">
        <v>4</v>
      </c>
      <c r="Q158" s="182">
        <v>2819.090909090909</v>
      </c>
      <c r="R158" s="182">
        <v>704.77272727272725</v>
      </c>
      <c r="S158" s="404">
        <f t="shared" si="64"/>
        <v>16</v>
      </c>
      <c r="T158" s="538"/>
      <c r="U158" s="182">
        <v>4</v>
      </c>
      <c r="V158" s="182">
        <v>2803.6363636363653</v>
      </c>
      <c r="W158" s="182">
        <v>700.90909090909133</v>
      </c>
      <c r="X158" s="404">
        <f t="shared" si="51"/>
        <v>16</v>
      </c>
      <c r="Y158" s="538"/>
      <c r="Z158" s="182">
        <v>4</v>
      </c>
      <c r="AA158" s="182">
        <v>2831.8032786885237</v>
      </c>
      <c r="AB158" s="182">
        <v>707.95081967213093</v>
      </c>
      <c r="AC158" s="404">
        <f t="shared" si="53"/>
        <v>17</v>
      </c>
      <c r="AD158" s="538"/>
      <c r="AE158" s="182">
        <v>4</v>
      </c>
      <c r="AF158" s="182">
        <v>2798.1818181818203</v>
      </c>
      <c r="AG158" s="182">
        <v>699.54545454545507</v>
      </c>
      <c r="AH158" s="404">
        <f t="shared" si="55"/>
        <v>14</v>
      </c>
      <c r="AI158" s="538"/>
      <c r="AJ158" s="182">
        <v>4</v>
      </c>
      <c r="AK158" s="182">
        <v>2885.7692307692323</v>
      </c>
      <c r="AL158" s="182">
        <v>721.44230769230808</v>
      </c>
      <c r="AM158" s="404">
        <f t="shared" si="57"/>
        <v>16</v>
      </c>
      <c r="AN158" s="538"/>
      <c r="AO158" s="182">
        <v>4</v>
      </c>
      <c r="AP158" s="182">
        <v>2816.2499999999995</v>
      </c>
      <c r="AQ158" s="182">
        <v>704.06249999999989</v>
      </c>
      <c r="AR158" s="404">
        <f t="shared" si="59"/>
        <v>15</v>
      </c>
      <c r="AS158" s="538"/>
      <c r="AT158" s="182">
        <v>4</v>
      </c>
      <c r="AU158" s="182">
        <v>2900.0000000000027</v>
      </c>
      <c r="AV158" s="182">
        <v>725.00000000000068</v>
      </c>
      <c r="AW158" s="404">
        <f t="shared" si="61"/>
        <v>11</v>
      </c>
      <c r="AX158" s="538"/>
    </row>
    <row r="159" spans="2:50">
      <c r="B159" s="533"/>
      <c r="C159" s="404">
        <v>13</v>
      </c>
      <c r="D159" s="404" t="s">
        <v>570</v>
      </c>
      <c r="E159" s="404">
        <v>4</v>
      </c>
      <c r="F159" s="404">
        <v>2800</v>
      </c>
      <c r="G159" s="404">
        <v>700</v>
      </c>
      <c r="H159" s="538"/>
      <c r="I159" s="408">
        <f t="shared" si="63"/>
        <v>4</v>
      </c>
      <c r="J159" s="408">
        <f t="shared" si="63"/>
        <v>2844.8964321377621</v>
      </c>
      <c r="K159" s="406">
        <f t="shared" si="63"/>
        <v>711.22410803444052</v>
      </c>
      <c r="L159" s="588"/>
      <c r="M159" s="408">
        <f>RANK(K159, K$147:$K$176)</f>
        <v>14</v>
      </c>
      <c r="N159" s="544"/>
      <c r="O159" s="544"/>
      <c r="P159" s="182">
        <v>4</v>
      </c>
      <c r="Q159" s="182">
        <v>2818.4999999999986</v>
      </c>
      <c r="R159" s="182">
        <v>704.62499999999966</v>
      </c>
      <c r="S159" s="404">
        <f t="shared" si="64"/>
        <v>17</v>
      </c>
      <c r="T159" s="538"/>
      <c r="U159" s="182">
        <v>4</v>
      </c>
      <c r="V159" s="182">
        <v>2742.1621621621598</v>
      </c>
      <c r="W159" s="182">
        <v>685.54054054053995</v>
      </c>
      <c r="X159" s="404">
        <f t="shared" si="51"/>
        <v>17</v>
      </c>
      <c r="Y159" s="538"/>
      <c r="Z159" s="182">
        <v>4</v>
      </c>
      <c r="AA159" s="182">
        <v>2857.8947368421032</v>
      </c>
      <c r="AB159" s="182">
        <v>714.47368421052579</v>
      </c>
      <c r="AC159" s="404">
        <f t="shared" si="53"/>
        <v>16</v>
      </c>
      <c r="AD159" s="538"/>
      <c r="AE159" s="182">
        <v>4</v>
      </c>
      <c r="AF159" s="182">
        <v>2733.3333333333371</v>
      </c>
      <c r="AG159" s="182">
        <v>683.33333333333428</v>
      </c>
      <c r="AH159" s="404">
        <f t="shared" si="55"/>
        <v>18</v>
      </c>
      <c r="AI159" s="538"/>
      <c r="AJ159" s="182">
        <v>4</v>
      </c>
      <c r="AK159" s="182">
        <v>2887.7419354838739</v>
      </c>
      <c r="AL159" s="182">
        <v>721.93548387096848</v>
      </c>
      <c r="AM159" s="404">
        <f t="shared" si="57"/>
        <v>15</v>
      </c>
      <c r="AN159" s="538"/>
      <c r="AO159" s="182">
        <v>4</v>
      </c>
      <c r="AP159" s="182">
        <v>2761.4999999999991</v>
      </c>
      <c r="AQ159" s="182">
        <v>690.37499999999977</v>
      </c>
      <c r="AR159" s="404">
        <f t="shared" si="59"/>
        <v>16</v>
      </c>
      <c r="AS159" s="538"/>
      <c r="AT159" s="182">
        <v>4</v>
      </c>
      <c r="AU159" s="182">
        <v>3113.142857142861</v>
      </c>
      <c r="AV159" s="182">
        <v>778.28571428571524</v>
      </c>
      <c r="AW159" s="404">
        <f t="shared" si="61"/>
        <v>9</v>
      </c>
      <c r="AX159" s="538"/>
    </row>
    <row r="160" spans="2:50">
      <c r="B160" s="533"/>
      <c r="C160" s="404">
        <v>14</v>
      </c>
      <c r="D160" s="404" t="s">
        <v>369</v>
      </c>
      <c r="E160" s="404">
        <v>4</v>
      </c>
      <c r="F160" s="404">
        <v>3600</v>
      </c>
      <c r="G160" s="404">
        <v>900</v>
      </c>
      <c r="H160" s="538"/>
      <c r="I160" s="408">
        <f t="shared" si="63"/>
        <v>4</v>
      </c>
      <c r="J160" s="408">
        <f t="shared" si="63"/>
        <v>2824.714285714273</v>
      </c>
      <c r="K160" s="406">
        <f t="shared" si="63"/>
        <v>706.17857142856826</v>
      </c>
      <c r="L160" s="588"/>
      <c r="M160" s="408">
        <f>RANK(K160, K$147:$K$176)</f>
        <v>17</v>
      </c>
      <c r="N160" s="544"/>
      <c r="O160" s="544"/>
      <c r="P160" s="182">
        <v>4</v>
      </c>
      <c r="Q160" s="182">
        <v>2888.9999999999873</v>
      </c>
      <c r="R160" s="182">
        <v>722.24999999999682</v>
      </c>
      <c r="S160" s="404">
        <f t="shared" si="64"/>
        <v>14</v>
      </c>
      <c r="T160" s="538"/>
      <c r="U160" s="182">
        <v>4</v>
      </c>
      <c r="V160" s="182">
        <v>2912.9999999999873</v>
      </c>
      <c r="W160" s="182">
        <v>728.24999999999682</v>
      </c>
      <c r="X160" s="404">
        <f t="shared" si="51"/>
        <v>12</v>
      </c>
      <c r="Y160" s="538"/>
      <c r="Z160" s="182">
        <v>4</v>
      </c>
      <c r="AA160" s="182">
        <v>3017.9999999999868</v>
      </c>
      <c r="AB160" s="182">
        <v>754.4999999999967</v>
      </c>
      <c r="AC160" s="404">
        <f t="shared" si="53"/>
        <v>14</v>
      </c>
      <c r="AD160" s="538"/>
      <c r="AE160" s="182">
        <v>4</v>
      </c>
      <c r="AF160" s="182">
        <v>2738.9999999999882</v>
      </c>
      <c r="AG160" s="182">
        <v>684.74999999999704</v>
      </c>
      <c r="AH160" s="404">
        <f t="shared" si="55"/>
        <v>17</v>
      </c>
      <c r="AI160" s="538"/>
      <c r="AJ160" s="182">
        <v>4</v>
      </c>
      <c r="AK160" s="182">
        <v>2687.9999999999877</v>
      </c>
      <c r="AL160" s="182">
        <v>671.99999999999693</v>
      </c>
      <c r="AM160" s="404">
        <f t="shared" si="57"/>
        <v>18</v>
      </c>
      <c r="AN160" s="538"/>
      <c r="AO160" s="182">
        <v>4</v>
      </c>
      <c r="AP160" s="182">
        <v>2753.9999999999882</v>
      </c>
      <c r="AQ160" s="182">
        <v>688.49999999999704</v>
      </c>
      <c r="AR160" s="404">
        <f t="shared" si="59"/>
        <v>17</v>
      </c>
      <c r="AS160" s="538"/>
      <c r="AT160" s="182">
        <v>4</v>
      </c>
      <c r="AU160" s="182">
        <v>2771.9999999999877</v>
      </c>
      <c r="AV160" s="182">
        <v>692.99999999999693</v>
      </c>
      <c r="AW160" s="404">
        <f t="shared" si="61"/>
        <v>14</v>
      </c>
      <c r="AX160" s="538"/>
    </row>
    <row r="161" spans="2:50">
      <c r="B161" s="533"/>
      <c r="C161" s="404">
        <v>15</v>
      </c>
      <c r="D161" s="404" t="s">
        <v>370</v>
      </c>
      <c r="E161" s="404">
        <v>4</v>
      </c>
      <c r="F161" s="404">
        <v>3600</v>
      </c>
      <c r="G161" s="404">
        <v>900</v>
      </c>
      <c r="H161" s="538"/>
      <c r="I161" s="408">
        <f t="shared" si="63"/>
        <v>3.2857142857142856</v>
      </c>
      <c r="J161" s="408">
        <f t="shared" si="63"/>
        <v>2721.1428571428669</v>
      </c>
      <c r="K161" s="406">
        <f t="shared" si="63"/>
        <v>841.47619047619344</v>
      </c>
      <c r="L161" s="588"/>
      <c r="M161" s="408">
        <f>RANK(K161, K$147:$K$176)</f>
        <v>8</v>
      </c>
      <c r="N161" s="544"/>
      <c r="O161" s="544"/>
      <c r="P161" s="182">
        <v>3</v>
      </c>
      <c r="Q161" s="182">
        <v>2080.0000000000077</v>
      </c>
      <c r="R161" s="182">
        <v>693.33333333333587</v>
      </c>
      <c r="S161" s="404">
        <f t="shared" si="64"/>
        <v>18</v>
      </c>
      <c r="T161" s="538"/>
      <c r="U161" s="182">
        <v>4</v>
      </c>
      <c r="V161" s="182">
        <v>2184.0000000000077</v>
      </c>
      <c r="W161" s="182">
        <v>546.00000000000193</v>
      </c>
      <c r="X161" s="404">
        <f t="shared" si="51"/>
        <v>19</v>
      </c>
      <c r="Y161" s="538"/>
      <c r="Z161" s="182">
        <v>4</v>
      </c>
      <c r="AA161" s="182">
        <v>3324.0000000000118</v>
      </c>
      <c r="AB161" s="182">
        <v>831.00000000000296</v>
      </c>
      <c r="AC161" s="404">
        <f t="shared" si="53"/>
        <v>9</v>
      </c>
      <c r="AD161" s="538"/>
      <c r="AE161" s="182">
        <v>3</v>
      </c>
      <c r="AF161" s="182">
        <v>2790.00000000001</v>
      </c>
      <c r="AG161" s="182">
        <v>930.0000000000033</v>
      </c>
      <c r="AH161" s="404">
        <f t="shared" si="55"/>
        <v>5</v>
      </c>
      <c r="AI161" s="538"/>
      <c r="AJ161" s="182">
        <v>3</v>
      </c>
      <c r="AK161" s="182">
        <v>2862.00000000001</v>
      </c>
      <c r="AL161" s="182">
        <v>954.0000000000033</v>
      </c>
      <c r="AM161" s="404">
        <f t="shared" si="57"/>
        <v>6</v>
      </c>
      <c r="AN161" s="538"/>
      <c r="AO161" s="182">
        <v>3</v>
      </c>
      <c r="AP161" s="182">
        <v>2958.0000000000105</v>
      </c>
      <c r="AQ161" s="182">
        <v>986.00000000000352</v>
      </c>
      <c r="AR161" s="404">
        <f t="shared" si="59"/>
        <v>4</v>
      </c>
      <c r="AS161" s="538"/>
      <c r="AT161" s="182">
        <v>3</v>
      </c>
      <c r="AU161" s="182">
        <v>2850.00000000001</v>
      </c>
      <c r="AV161" s="182">
        <v>950.0000000000033</v>
      </c>
      <c r="AW161" s="404">
        <f t="shared" si="61"/>
        <v>5</v>
      </c>
      <c r="AX161" s="538"/>
    </row>
    <row r="162" spans="2:50">
      <c r="B162" s="533"/>
      <c r="C162" s="404">
        <v>16</v>
      </c>
      <c r="D162" s="404" t="s">
        <v>481</v>
      </c>
      <c r="E162" s="404">
        <v>4</v>
      </c>
      <c r="F162" s="404">
        <v>3300</v>
      </c>
      <c r="G162" s="404">
        <v>825</v>
      </c>
      <c r="H162" s="538"/>
      <c r="I162" s="408">
        <f t="shared" si="63"/>
        <v>3</v>
      </c>
      <c r="J162" s="408">
        <f t="shared" si="63"/>
        <v>2854.1743271221521</v>
      </c>
      <c r="K162" s="406">
        <f t="shared" si="63"/>
        <v>951.39144237405071</v>
      </c>
      <c r="L162" s="588"/>
      <c r="M162" s="408">
        <f>RANK(K162, K$147:$K$176)</f>
        <v>4</v>
      </c>
      <c r="N162" s="544"/>
      <c r="O162" s="544"/>
      <c r="P162" s="182">
        <v>3</v>
      </c>
      <c r="Q162" s="182">
        <v>2833.3333333333348</v>
      </c>
      <c r="R162" s="182">
        <v>944.44444444444491</v>
      </c>
      <c r="S162" s="404">
        <f t="shared" si="64"/>
        <v>6</v>
      </c>
      <c r="T162" s="538"/>
      <c r="U162" s="182">
        <v>3</v>
      </c>
      <c r="V162" s="182">
        <v>2762.400000000001</v>
      </c>
      <c r="W162" s="182">
        <v>920.8000000000003</v>
      </c>
      <c r="X162" s="404">
        <f t="shared" si="51"/>
        <v>6</v>
      </c>
      <c r="Y162" s="538"/>
      <c r="Z162" s="182">
        <v>3</v>
      </c>
      <c r="AA162" s="182">
        <v>2905.3846153846171</v>
      </c>
      <c r="AB162" s="182">
        <v>968.46153846153902</v>
      </c>
      <c r="AC162" s="404">
        <f t="shared" si="53"/>
        <v>4</v>
      </c>
      <c r="AD162" s="538"/>
      <c r="AE162" s="182">
        <v>3</v>
      </c>
      <c r="AF162" s="182">
        <v>2786.086956521739</v>
      </c>
      <c r="AG162" s="182">
        <v>928.695652173913</v>
      </c>
      <c r="AH162" s="404">
        <f t="shared" si="55"/>
        <v>6</v>
      </c>
      <c r="AI162" s="538"/>
      <c r="AJ162" s="182">
        <v>3</v>
      </c>
      <c r="AK162" s="182">
        <v>2930.9999999999868</v>
      </c>
      <c r="AL162" s="182">
        <v>976.99999999999557</v>
      </c>
      <c r="AM162" s="404">
        <f t="shared" si="57"/>
        <v>5</v>
      </c>
      <c r="AN162" s="538"/>
      <c r="AO162" s="182">
        <v>3</v>
      </c>
      <c r="AP162" s="182">
        <v>2854.6153846153948</v>
      </c>
      <c r="AQ162" s="182">
        <v>951.53846153846496</v>
      </c>
      <c r="AR162" s="404">
        <f t="shared" si="59"/>
        <v>6</v>
      </c>
      <c r="AS162" s="538"/>
      <c r="AT162" s="182">
        <v>3</v>
      </c>
      <c r="AU162" s="182">
        <v>2906.3999999999919</v>
      </c>
      <c r="AV162" s="182">
        <v>968.79999999999734</v>
      </c>
      <c r="AW162" s="404">
        <f t="shared" si="61"/>
        <v>4</v>
      </c>
      <c r="AX162" s="538"/>
    </row>
    <row r="163" spans="2:50">
      <c r="B163" s="533"/>
      <c r="C163" s="404">
        <v>17</v>
      </c>
      <c r="D163" s="404" t="s">
        <v>567</v>
      </c>
      <c r="E163" s="404">
        <v>3</v>
      </c>
      <c r="F163" s="404">
        <v>2800</v>
      </c>
      <c r="G163" s="404">
        <v>933.33333333333337</v>
      </c>
      <c r="H163" s="538"/>
      <c r="I163" s="408">
        <f t="shared" si="63"/>
        <v>3</v>
      </c>
      <c r="J163" s="408">
        <f t="shared" si="63"/>
        <v>2826.930612244902</v>
      </c>
      <c r="K163" s="406">
        <f t="shared" si="63"/>
        <v>942.31020408163386</v>
      </c>
      <c r="L163" s="588"/>
      <c r="M163" s="408">
        <f>RANK(K163, K$147:$K$176)</f>
        <v>7</v>
      </c>
      <c r="N163" s="544"/>
      <c r="O163" s="544"/>
      <c r="P163" s="182">
        <v>3</v>
      </c>
      <c r="Q163" s="182">
        <v>2581.7142857142831</v>
      </c>
      <c r="R163" s="182">
        <v>860.57142857142765</v>
      </c>
      <c r="S163" s="404">
        <f t="shared" si="64"/>
        <v>8</v>
      </c>
      <c r="T163" s="538"/>
      <c r="U163" s="182">
        <v>3</v>
      </c>
      <c r="V163" s="182">
        <v>2646.8571428571404</v>
      </c>
      <c r="W163" s="182">
        <v>882.28571428571342</v>
      </c>
      <c r="X163" s="404">
        <f t="shared" si="51"/>
        <v>7</v>
      </c>
      <c r="Y163" s="538"/>
      <c r="Z163" s="182">
        <v>3</v>
      </c>
      <c r="AA163" s="182">
        <v>3094.0000000000109</v>
      </c>
      <c r="AB163" s="182">
        <v>1031.3333333333369</v>
      </c>
      <c r="AC163" s="404">
        <f t="shared" si="53"/>
        <v>3</v>
      </c>
      <c r="AD163" s="538"/>
      <c r="AE163" s="182">
        <v>3</v>
      </c>
      <c r="AF163" s="182">
        <v>2812.8000000000043</v>
      </c>
      <c r="AG163" s="182">
        <v>937.60000000000139</v>
      </c>
      <c r="AH163" s="404">
        <f t="shared" si="55"/>
        <v>3</v>
      </c>
      <c r="AI163" s="538"/>
      <c r="AJ163" s="182">
        <v>3</v>
      </c>
      <c r="AK163" s="182">
        <v>2944.0000000000105</v>
      </c>
      <c r="AL163" s="182">
        <v>981.33333333333678</v>
      </c>
      <c r="AM163" s="404">
        <f t="shared" si="57"/>
        <v>4</v>
      </c>
      <c r="AN163" s="538"/>
      <c r="AO163" s="182">
        <v>3</v>
      </c>
      <c r="AP163" s="182">
        <v>3064.0000000000109</v>
      </c>
      <c r="AQ163" s="182">
        <v>1021.333333333337</v>
      </c>
      <c r="AR163" s="404">
        <f t="shared" si="59"/>
        <v>3</v>
      </c>
      <c r="AS163" s="538"/>
      <c r="AT163" s="182">
        <v>3</v>
      </c>
      <c r="AU163" s="182">
        <v>2645.1428571428542</v>
      </c>
      <c r="AV163" s="182">
        <v>881.71428571428476</v>
      </c>
      <c r="AW163" s="404">
        <f t="shared" si="61"/>
        <v>7</v>
      </c>
      <c r="AX163" s="538"/>
    </row>
    <row r="164" spans="2:50">
      <c r="B164" s="533"/>
      <c r="C164" s="404">
        <v>18</v>
      </c>
      <c r="D164" s="404" t="s">
        <v>640</v>
      </c>
      <c r="E164" s="404">
        <v>4</v>
      </c>
      <c r="F164" s="404">
        <v>3000</v>
      </c>
      <c r="G164" s="404">
        <v>750</v>
      </c>
      <c r="H164" s="538"/>
      <c r="I164" s="408">
        <f t="shared" ref="I164:K166" si="65">AVERAGE(P164,U164,Z164,AE164,AJ164,AO164,AT164)</f>
        <v>3</v>
      </c>
      <c r="J164" s="408">
        <f t="shared" si="65"/>
        <v>2221.0109890109911</v>
      </c>
      <c r="K164" s="406">
        <f t="shared" si="65"/>
        <v>740.336996336997</v>
      </c>
      <c r="L164" s="588"/>
      <c r="M164" s="408">
        <f>RANK(K164, K$147:$K$176)</f>
        <v>13</v>
      </c>
      <c r="N164" s="544"/>
      <c r="O164" s="544"/>
      <c r="P164" s="182">
        <v>3</v>
      </c>
      <c r="Q164" s="182">
        <v>2202.0000000000018</v>
      </c>
      <c r="R164" s="182">
        <v>734.00000000000057</v>
      </c>
      <c r="S164" s="404">
        <f t="shared" si="64"/>
        <v>13</v>
      </c>
      <c r="T164" s="538"/>
      <c r="U164" s="182">
        <v>3</v>
      </c>
      <c r="V164" s="182">
        <v>2169.0000000000018</v>
      </c>
      <c r="W164" s="182">
        <v>723.00000000000057</v>
      </c>
      <c r="X164" s="404">
        <f t="shared" si="51"/>
        <v>13</v>
      </c>
      <c r="Y164" s="538"/>
      <c r="Z164" s="182">
        <v>3</v>
      </c>
      <c r="AA164" s="182">
        <v>2285.0000000000023</v>
      </c>
      <c r="AB164" s="182">
        <v>761.66666666666742</v>
      </c>
      <c r="AC164" s="404">
        <f t="shared" si="53"/>
        <v>13</v>
      </c>
      <c r="AD164" s="538"/>
      <c r="AE164" s="182">
        <v>3</v>
      </c>
      <c r="AF164" s="182">
        <v>2219.0000000000023</v>
      </c>
      <c r="AG164" s="182">
        <v>739.66666666666742</v>
      </c>
      <c r="AH164" s="404">
        <f t="shared" si="55"/>
        <v>13</v>
      </c>
      <c r="AI164" s="538"/>
      <c r="AJ164" s="182">
        <v>3</v>
      </c>
      <c r="AK164" s="182">
        <v>2281.0000000000023</v>
      </c>
      <c r="AL164" s="182">
        <v>760.33333333333405</v>
      </c>
      <c r="AM164" s="404">
        <f t="shared" si="57"/>
        <v>12</v>
      </c>
      <c r="AN164" s="538"/>
      <c r="AO164" s="182">
        <v>3</v>
      </c>
      <c r="AP164" s="182">
        <v>2238.4615384615408</v>
      </c>
      <c r="AQ164" s="182">
        <v>746.15384615384698</v>
      </c>
      <c r="AR164" s="404">
        <f t="shared" si="59"/>
        <v>13</v>
      </c>
      <c r="AS164" s="538"/>
      <c r="AT164" s="182">
        <v>3</v>
      </c>
      <c r="AU164" s="182">
        <v>2152.6153846153866</v>
      </c>
      <c r="AV164" s="182">
        <v>717.53846153846223</v>
      </c>
      <c r="AW164" s="404">
        <f t="shared" si="61"/>
        <v>12</v>
      </c>
      <c r="AX164" s="538"/>
    </row>
    <row r="165" spans="2:50">
      <c r="B165" s="533"/>
      <c r="C165" s="404">
        <v>19</v>
      </c>
      <c r="D165" s="404" t="s">
        <v>577</v>
      </c>
      <c r="E165" s="404">
        <v>12</v>
      </c>
      <c r="F165" s="404">
        <v>1500</v>
      </c>
      <c r="G165" s="404">
        <v>125</v>
      </c>
      <c r="H165" s="538"/>
      <c r="I165" s="408">
        <f t="shared" si="65"/>
        <v>8</v>
      </c>
      <c r="J165" s="408">
        <f t="shared" si="65"/>
        <v>1503.2581946474654</v>
      </c>
      <c r="K165" s="406">
        <f t="shared" si="65"/>
        <v>187.90727433093318</v>
      </c>
      <c r="L165" s="588"/>
      <c r="M165" s="408">
        <f>RANK(K165, K$147:$K$176)</f>
        <v>20</v>
      </c>
      <c r="N165" s="544"/>
      <c r="O165" s="544"/>
      <c r="P165" s="182">
        <v>8</v>
      </c>
      <c r="Q165" s="182">
        <v>1513.9024390243906</v>
      </c>
      <c r="R165" s="182">
        <v>189.23780487804882</v>
      </c>
      <c r="S165" s="404">
        <f t="shared" si="64"/>
        <v>20</v>
      </c>
      <c r="T165" s="538"/>
      <c r="U165" s="182">
        <v>8</v>
      </c>
      <c r="V165" s="182">
        <v>1511.1428571428573</v>
      </c>
      <c r="W165" s="182">
        <v>188.89285714285717</v>
      </c>
      <c r="X165" s="404">
        <f t="shared" si="51"/>
        <v>20</v>
      </c>
      <c r="Y165" s="538"/>
      <c r="Z165" s="182">
        <v>8</v>
      </c>
      <c r="AA165" s="182">
        <v>1505.3846153846162</v>
      </c>
      <c r="AB165" s="182">
        <v>188.17307692307702</v>
      </c>
      <c r="AC165" s="404">
        <f t="shared" si="53"/>
        <v>20</v>
      </c>
      <c r="AD165" s="538"/>
      <c r="AE165" s="182">
        <v>8</v>
      </c>
      <c r="AF165" s="182">
        <v>1490.8333333333326</v>
      </c>
      <c r="AG165" s="182">
        <v>186.35416666666657</v>
      </c>
      <c r="AH165" s="404">
        <f t="shared" si="55"/>
        <v>20</v>
      </c>
      <c r="AI165" s="538"/>
      <c r="AJ165" s="182">
        <v>8</v>
      </c>
      <c r="AK165" s="182">
        <v>1505.2941176470597</v>
      </c>
      <c r="AL165" s="182">
        <v>188.16176470588246</v>
      </c>
      <c r="AM165" s="404">
        <f t="shared" si="57"/>
        <v>20</v>
      </c>
      <c r="AN165" s="538"/>
      <c r="AO165" s="182">
        <v>8</v>
      </c>
      <c r="AP165" s="182">
        <v>1525.5000000000009</v>
      </c>
      <c r="AQ165" s="182">
        <v>190.68750000000011</v>
      </c>
      <c r="AR165" s="404">
        <f t="shared" si="59"/>
        <v>20</v>
      </c>
      <c r="AS165" s="538"/>
      <c r="AT165" s="182">
        <v>8</v>
      </c>
      <c r="AU165" s="182">
        <v>1470.7500000000009</v>
      </c>
      <c r="AV165" s="182">
        <v>183.84375000000011</v>
      </c>
      <c r="AW165" s="404">
        <f t="shared" si="61"/>
        <v>20</v>
      </c>
      <c r="AX165" s="538"/>
    </row>
    <row r="166" spans="2:50">
      <c r="B166" s="533"/>
      <c r="C166" s="404">
        <v>20</v>
      </c>
      <c r="D166" s="404" t="s">
        <v>662</v>
      </c>
      <c r="E166" s="404">
        <v>4</v>
      </c>
      <c r="F166" s="404">
        <v>3000</v>
      </c>
      <c r="G166" s="404">
        <v>750</v>
      </c>
      <c r="H166" s="538"/>
      <c r="I166" s="408">
        <f t="shared" si="65"/>
        <v>4</v>
      </c>
      <c r="J166" s="408">
        <f t="shared" si="65"/>
        <v>2224.7922077922044</v>
      </c>
      <c r="K166" s="406">
        <f t="shared" si="65"/>
        <v>556.1980519480511</v>
      </c>
      <c r="L166" s="588"/>
      <c r="M166" s="408">
        <f>RANK(K166, K$147:$K$176)</f>
        <v>19</v>
      </c>
      <c r="N166" s="544"/>
      <c r="O166" s="544"/>
      <c r="P166" s="182">
        <v>4</v>
      </c>
      <c r="Q166" s="182">
        <v>2226.9999999999964</v>
      </c>
      <c r="R166" s="182">
        <v>556.74999999999909</v>
      </c>
      <c r="S166" s="404">
        <f t="shared" si="64"/>
        <v>19</v>
      </c>
      <c r="T166" s="538"/>
      <c r="U166" s="182">
        <v>4</v>
      </c>
      <c r="V166" s="182">
        <v>2209.9999999999959</v>
      </c>
      <c r="W166" s="182">
        <v>552.49999999999898</v>
      </c>
      <c r="X166" s="404">
        <f t="shared" si="51"/>
        <v>18</v>
      </c>
      <c r="Y166" s="538"/>
      <c r="Z166" s="182">
        <v>4</v>
      </c>
      <c r="AA166" s="182">
        <v>2169.9999999999959</v>
      </c>
      <c r="AB166" s="182">
        <v>542.49999999999898</v>
      </c>
      <c r="AC166" s="404">
        <f t="shared" si="53"/>
        <v>19</v>
      </c>
      <c r="AD166" s="538"/>
      <c r="AE166" s="182">
        <v>4</v>
      </c>
      <c r="AF166" s="182">
        <v>2098.9999999999964</v>
      </c>
      <c r="AG166" s="182">
        <v>524.74999999999909</v>
      </c>
      <c r="AH166" s="404">
        <f t="shared" si="55"/>
        <v>19</v>
      </c>
      <c r="AI166" s="538"/>
      <c r="AJ166" s="182">
        <v>4</v>
      </c>
      <c r="AK166" s="182">
        <v>2310.5454545454495</v>
      </c>
      <c r="AL166" s="182">
        <v>577.63636363636238</v>
      </c>
      <c r="AM166" s="404">
        <f t="shared" si="57"/>
        <v>19</v>
      </c>
      <c r="AN166" s="538"/>
      <c r="AO166" s="182">
        <v>4</v>
      </c>
      <c r="AP166" s="182">
        <v>2275.9999999999959</v>
      </c>
      <c r="AQ166" s="182">
        <v>568.99999999999898</v>
      </c>
      <c r="AR166" s="404">
        <f t="shared" si="59"/>
        <v>19</v>
      </c>
      <c r="AS166" s="538"/>
      <c r="AT166" s="182">
        <v>4</v>
      </c>
      <c r="AU166" s="182">
        <v>2281.0000000000023</v>
      </c>
      <c r="AV166" s="182">
        <v>570.25000000000057</v>
      </c>
      <c r="AW166" s="404">
        <f t="shared" si="61"/>
        <v>19</v>
      </c>
      <c r="AX166" s="538"/>
    </row>
    <row r="167" spans="2:50">
      <c r="B167" s="533"/>
      <c r="C167" s="404">
        <v>21</v>
      </c>
      <c r="D167" s="404"/>
      <c r="E167" s="404"/>
      <c r="F167" s="404"/>
      <c r="G167" s="404"/>
      <c r="H167" s="538"/>
      <c r="I167" s="408"/>
      <c r="J167" s="408"/>
      <c r="K167" s="406"/>
      <c r="L167" s="588"/>
      <c r="M167" s="408" t="e">
        <f>RANK(K167, K$147:$K$176)</f>
        <v>#N/A</v>
      </c>
      <c r="N167" s="544"/>
      <c r="O167" s="544"/>
      <c r="P167" s="182"/>
      <c r="Q167" s="182"/>
      <c r="R167" s="182"/>
      <c r="S167" s="404" t="e">
        <f t="shared" si="64"/>
        <v>#N/A</v>
      </c>
      <c r="T167" s="538"/>
      <c r="U167" s="182"/>
      <c r="V167" s="182"/>
      <c r="W167" s="182"/>
      <c r="X167" s="404" t="e">
        <f t="shared" si="51"/>
        <v>#N/A</v>
      </c>
      <c r="Y167" s="538"/>
      <c r="Z167" s="182"/>
      <c r="AA167" s="182"/>
      <c r="AB167" s="182"/>
      <c r="AC167" s="404" t="e">
        <f t="shared" si="53"/>
        <v>#N/A</v>
      </c>
      <c r="AD167" s="538"/>
      <c r="AE167" s="182"/>
      <c r="AF167" s="182"/>
      <c r="AG167" s="182"/>
      <c r="AH167" s="404" t="e">
        <f t="shared" si="55"/>
        <v>#N/A</v>
      </c>
      <c r="AI167" s="538"/>
      <c r="AJ167" s="182"/>
      <c r="AK167" s="182"/>
      <c r="AL167" s="182"/>
      <c r="AM167" s="404" t="e">
        <f t="shared" si="57"/>
        <v>#N/A</v>
      </c>
      <c r="AN167" s="538"/>
      <c r="AO167" s="182"/>
      <c r="AP167" s="182"/>
      <c r="AQ167" s="182"/>
      <c r="AR167" s="404" t="e">
        <f t="shared" si="59"/>
        <v>#N/A</v>
      </c>
      <c r="AS167" s="538"/>
      <c r="AT167" s="182"/>
      <c r="AU167" s="182"/>
      <c r="AV167" s="182"/>
      <c r="AW167" s="404" t="e">
        <f t="shared" si="61"/>
        <v>#N/A</v>
      </c>
      <c r="AX167" s="538"/>
    </row>
    <row r="168" spans="2:50">
      <c r="B168" s="533"/>
      <c r="C168" s="404">
        <v>22</v>
      </c>
      <c r="D168" s="404"/>
      <c r="E168" s="404"/>
      <c r="F168" s="404"/>
      <c r="G168" s="404"/>
      <c r="H168" s="538"/>
      <c r="I168" s="408"/>
      <c r="J168" s="408"/>
      <c r="K168" s="406"/>
      <c r="L168" s="588"/>
      <c r="M168" s="408" t="e">
        <f>RANK(K168, K$147:$K$176)</f>
        <v>#N/A</v>
      </c>
      <c r="N168" s="544"/>
      <c r="O168" s="544"/>
      <c r="P168" s="182"/>
      <c r="Q168" s="182"/>
      <c r="R168" s="182"/>
      <c r="S168" s="404" t="e">
        <f t="shared" si="64"/>
        <v>#N/A</v>
      </c>
      <c r="T168" s="538"/>
      <c r="U168" s="182"/>
      <c r="V168" s="182"/>
      <c r="W168" s="182"/>
      <c r="X168" s="404" t="e">
        <f t="shared" si="51"/>
        <v>#N/A</v>
      </c>
      <c r="Y168" s="538"/>
      <c r="Z168" s="182"/>
      <c r="AA168" s="182"/>
      <c r="AB168" s="182"/>
      <c r="AC168" s="404" t="e">
        <f t="shared" si="53"/>
        <v>#N/A</v>
      </c>
      <c r="AD168" s="538"/>
      <c r="AE168" s="182"/>
      <c r="AF168" s="182"/>
      <c r="AG168" s="182"/>
      <c r="AH168" s="404" t="e">
        <f t="shared" si="55"/>
        <v>#N/A</v>
      </c>
      <c r="AI168" s="538"/>
      <c r="AJ168" s="182"/>
      <c r="AK168" s="182"/>
      <c r="AL168" s="182"/>
      <c r="AM168" s="404" t="e">
        <f t="shared" si="57"/>
        <v>#N/A</v>
      </c>
      <c r="AN168" s="538"/>
      <c r="AO168" s="182"/>
      <c r="AP168" s="182"/>
      <c r="AQ168" s="182"/>
      <c r="AR168" s="404" t="e">
        <f t="shared" si="59"/>
        <v>#N/A</v>
      </c>
      <c r="AS168" s="538"/>
      <c r="AT168" s="182"/>
      <c r="AU168" s="182"/>
      <c r="AV168" s="182"/>
      <c r="AW168" s="404" t="e">
        <f t="shared" si="61"/>
        <v>#N/A</v>
      </c>
      <c r="AX168" s="538"/>
    </row>
    <row r="169" spans="2:50">
      <c r="B169" s="533"/>
      <c r="C169" s="404">
        <v>23</v>
      </c>
      <c r="D169" s="404"/>
      <c r="E169" s="404"/>
      <c r="F169" s="404"/>
      <c r="G169" s="404"/>
      <c r="H169" s="538"/>
      <c r="I169" s="408"/>
      <c r="J169" s="408"/>
      <c r="K169" s="406"/>
      <c r="L169" s="588"/>
      <c r="M169" s="408" t="e">
        <f>RANK(K169, K$147:$K$176)</f>
        <v>#N/A</v>
      </c>
      <c r="N169" s="544"/>
      <c r="O169" s="544"/>
      <c r="P169" s="182"/>
      <c r="Q169" s="182"/>
      <c r="R169" s="182"/>
      <c r="S169" s="404" t="e">
        <f t="shared" si="64"/>
        <v>#N/A</v>
      </c>
      <c r="T169" s="538"/>
      <c r="U169" s="182"/>
      <c r="V169" s="182"/>
      <c r="W169" s="182"/>
      <c r="X169" s="404" t="e">
        <f t="shared" si="51"/>
        <v>#N/A</v>
      </c>
      <c r="Y169" s="538"/>
      <c r="Z169" s="182"/>
      <c r="AA169" s="182"/>
      <c r="AB169" s="182"/>
      <c r="AC169" s="404" t="e">
        <f t="shared" si="53"/>
        <v>#N/A</v>
      </c>
      <c r="AD169" s="538"/>
      <c r="AE169" s="182"/>
      <c r="AF169" s="182"/>
      <c r="AG169" s="182"/>
      <c r="AH169" s="404" t="e">
        <f t="shared" si="55"/>
        <v>#N/A</v>
      </c>
      <c r="AI169" s="538"/>
      <c r="AJ169" s="182"/>
      <c r="AK169" s="182"/>
      <c r="AL169" s="182"/>
      <c r="AM169" s="404" t="e">
        <f t="shared" si="57"/>
        <v>#N/A</v>
      </c>
      <c r="AN169" s="538"/>
      <c r="AO169" s="182"/>
      <c r="AP169" s="182"/>
      <c r="AQ169" s="182"/>
      <c r="AR169" s="404" t="e">
        <f t="shared" si="59"/>
        <v>#N/A</v>
      </c>
      <c r="AS169" s="538"/>
      <c r="AT169" s="182"/>
      <c r="AU169" s="182"/>
      <c r="AV169" s="182"/>
      <c r="AW169" s="404" t="e">
        <f t="shared" si="61"/>
        <v>#N/A</v>
      </c>
      <c r="AX169" s="538"/>
    </row>
    <row r="170" spans="2:50">
      <c r="B170" s="533"/>
      <c r="C170" s="404">
        <v>24</v>
      </c>
      <c r="D170" s="404"/>
      <c r="E170" s="404"/>
      <c r="F170" s="404"/>
      <c r="G170" s="404"/>
      <c r="H170" s="538"/>
      <c r="I170" s="408"/>
      <c r="J170" s="408"/>
      <c r="K170" s="406"/>
      <c r="L170" s="588"/>
      <c r="M170" s="408" t="e">
        <f>RANK(K170, K$147:$K$176)</f>
        <v>#N/A</v>
      </c>
      <c r="N170" s="544"/>
      <c r="O170" s="544"/>
      <c r="P170" s="182"/>
      <c r="Q170" s="182"/>
      <c r="R170" s="182"/>
      <c r="S170" s="404" t="e">
        <f t="shared" si="64"/>
        <v>#N/A</v>
      </c>
      <c r="T170" s="538"/>
      <c r="U170" s="182"/>
      <c r="V170" s="182"/>
      <c r="W170" s="182"/>
      <c r="X170" s="404" t="e">
        <f t="shared" si="51"/>
        <v>#N/A</v>
      </c>
      <c r="Y170" s="538"/>
      <c r="Z170" s="182"/>
      <c r="AA170" s="182"/>
      <c r="AB170" s="182"/>
      <c r="AC170" s="404" t="e">
        <f t="shared" si="53"/>
        <v>#N/A</v>
      </c>
      <c r="AD170" s="538"/>
      <c r="AE170" s="182"/>
      <c r="AF170" s="182"/>
      <c r="AG170" s="182"/>
      <c r="AH170" s="404" t="e">
        <f t="shared" si="55"/>
        <v>#N/A</v>
      </c>
      <c r="AI170" s="538"/>
      <c r="AJ170" s="182"/>
      <c r="AK170" s="182"/>
      <c r="AL170" s="182"/>
      <c r="AM170" s="404" t="e">
        <f t="shared" si="57"/>
        <v>#N/A</v>
      </c>
      <c r="AN170" s="538"/>
      <c r="AO170" s="182"/>
      <c r="AP170" s="182"/>
      <c r="AQ170" s="182"/>
      <c r="AR170" s="404" t="e">
        <f t="shared" si="59"/>
        <v>#N/A</v>
      </c>
      <c r="AS170" s="538"/>
      <c r="AT170" s="182"/>
      <c r="AU170" s="182"/>
      <c r="AV170" s="182"/>
      <c r="AW170" s="404" t="e">
        <f t="shared" si="61"/>
        <v>#N/A</v>
      </c>
      <c r="AX170" s="538"/>
    </row>
    <row r="171" spans="2:50">
      <c r="B171" s="533"/>
      <c r="C171" s="404">
        <v>25</v>
      </c>
      <c r="D171" s="404"/>
      <c r="E171" s="404"/>
      <c r="F171" s="404"/>
      <c r="G171" s="404"/>
      <c r="H171" s="538"/>
      <c r="I171" s="202"/>
      <c r="J171" s="202"/>
      <c r="K171" s="202"/>
      <c r="L171" s="588"/>
      <c r="M171" s="408" t="e">
        <f>RANK(K171, K$147:$K$176)</f>
        <v>#N/A</v>
      </c>
      <c r="N171" s="544"/>
      <c r="O171" s="544"/>
      <c r="P171" s="404"/>
      <c r="Q171" s="404"/>
      <c r="R171" s="404"/>
      <c r="S171" s="404" t="e">
        <f t="shared" si="64"/>
        <v>#N/A</v>
      </c>
      <c r="T171" s="538"/>
      <c r="U171" s="404"/>
      <c r="V171" s="404"/>
      <c r="W171" s="404"/>
      <c r="X171" s="404" t="e">
        <f t="shared" si="51"/>
        <v>#N/A</v>
      </c>
      <c r="Y171" s="538"/>
      <c r="Z171" s="404"/>
      <c r="AA171" s="404"/>
      <c r="AB171" s="404"/>
      <c r="AC171" s="404" t="e">
        <f t="shared" si="53"/>
        <v>#N/A</v>
      </c>
      <c r="AD171" s="538"/>
      <c r="AE171" s="404"/>
      <c r="AF171" s="404"/>
      <c r="AG171" s="404"/>
      <c r="AH171" s="404" t="e">
        <f t="shared" si="55"/>
        <v>#N/A</v>
      </c>
      <c r="AI171" s="538"/>
      <c r="AJ171" s="404"/>
      <c r="AK171" s="404"/>
      <c r="AL171" s="404"/>
      <c r="AM171" s="404" t="e">
        <f t="shared" si="57"/>
        <v>#N/A</v>
      </c>
      <c r="AN171" s="538"/>
      <c r="AO171" s="404"/>
      <c r="AP171" s="404"/>
      <c r="AQ171" s="404"/>
      <c r="AR171" s="404" t="e">
        <f t="shared" si="59"/>
        <v>#N/A</v>
      </c>
      <c r="AS171" s="538"/>
      <c r="AT171" s="404"/>
      <c r="AU171" s="404"/>
      <c r="AV171" s="404"/>
      <c r="AW171" s="404" t="e">
        <f t="shared" si="61"/>
        <v>#N/A</v>
      </c>
      <c r="AX171" s="538"/>
    </row>
    <row r="172" spans="2:50">
      <c r="B172" s="533"/>
      <c r="C172" s="404">
        <v>26</v>
      </c>
      <c r="D172" s="404"/>
      <c r="E172" s="404"/>
      <c r="F172" s="404"/>
      <c r="G172" s="404"/>
      <c r="H172" s="538"/>
      <c r="I172" s="202"/>
      <c r="J172" s="202"/>
      <c r="K172" s="202"/>
      <c r="L172" s="588"/>
      <c r="M172" s="408" t="e">
        <f>RANK(K172, K$147:$K$176)</f>
        <v>#N/A</v>
      </c>
      <c r="N172" s="544"/>
      <c r="O172" s="544"/>
      <c r="P172" s="404"/>
      <c r="Q172" s="404"/>
      <c r="R172" s="404"/>
      <c r="S172" s="404" t="e">
        <f t="shared" si="64"/>
        <v>#N/A</v>
      </c>
      <c r="T172" s="538"/>
      <c r="U172" s="404"/>
      <c r="V172" s="404"/>
      <c r="W172" s="404"/>
      <c r="X172" s="404" t="e">
        <f t="shared" si="51"/>
        <v>#N/A</v>
      </c>
      <c r="Y172" s="538"/>
      <c r="Z172" s="404"/>
      <c r="AA172" s="404"/>
      <c r="AB172" s="404"/>
      <c r="AC172" s="404" t="e">
        <f t="shared" si="53"/>
        <v>#N/A</v>
      </c>
      <c r="AD172" s="538"/>
      <c r="AE172" s="404"/>
      <c r="AF172" s="404"/>
      <c r="AG172" s="404"/>
      <c r="AH172" s="404" t="e">
        <f t="shared" si="55"/>
        <v>#N/A</v>
      </c>
      <c r="AI172" s="538"/>
      <c r="AJ172" s="404"/>
      <c r="AK172" s="404"/>
      <c r="AL172" s="404"/>
      <c r="AM172" s="404" t="e">
        <f t="shared" si="57"/>
        <v>#N/A</v>
      </c>
      <c r="AN172" s="538"/>
      <c r="AO172" s="404"/>
      <c r="AP172" s="404"/>
      <c r="AQ172" s="404"/>
      <c r="AR172" s="404" t="e">
        <f t="shared" si="59"/>
        <v>#N/A</v>
      </c>
      <c r="AS172" s="538"/>
      <c r="AT172" s="404"/>
      <c r="AU172" s="404"/>
      <c r="AV172" s="404"/>
      <c r="AW172" s="404" t="e">
        <f t="shared" si="61"/>
        <v>#N/A</v>
      </c>
      <c r="AX172" s="538"/>
    </row>
    <row r="173" spans="2:50">
      <c r="B173" s="533"/>
      <c r="C173" s="404">
        <v>27</v>
      </c>
      <c r="D173" s="404"/>
      <c r="E173" s="404"/>
      <c r="F173" s="404"/>
      <c r="G173" s="404"/>
      <c r="H173" s="538"/>
      <c r="I173" s="202"/>
      <c r="J173" s="202"/>
      <c r="K173" s="202"/>
      <c r="L173" s="588"/>
      <c r="M173" s="408" t="e">
        <f>RANK(K173, K$147:$K$176)</f>
        <v>#N/A</v>
      </c>
      <c r="N173" s="544"/>
      <c r="O173" s="544"/>
      <c r="P173" s="404"/>
      <c r="Q173" s="404"/>
      <c r="R173" s="404"/>
      <c r="S173" s="404" t="e">
        <f t="shared" si="64"/>
        <v>#N/A</v>
      </c>
      <c r="T173" s="538"/>
      <c r="U173" s="404"/>
      <c r="V173" s="404"/>
      <c r="W173" s="404"/>
      <c r="X173" s="404" t="e">
        <f t="shared" si="51"/>
        <v>#N/A</v>
      </c>
      <c r="Y173" s="538"/>
      <c r="Z173" s="404"/>
      <c r="AA173" s="404"/>
      <c r="AB173" s="404"/>
      <c r="AC173" s="404" t="e">
        <f t="shared" si="53"/>
        <v>#N/A</v>
      </c>
      <c r="AD173" s="538"/>
      <c r="AE173" s="404"/>
      <c r="AF173" s="404"/>
      <c r="AG173" s="404"/>
      <c r="AH173" s="404" t="e">
        <f t="shared" si="55"/>
        <v>#N/A</v>
      </c>
      <c r="AI173" s="538"/>
      <c r="AJ173" s="404"/>
      <c r="AK173" s="404"/>
      <c r="AL173" s="404"/>
      <c r="AM173" s="404" t="e">
        <f t="shared" si="57"/>
        <v>#N/A</v>
      </c>
      <c r="AN173" s="538"/>
      <c r="AO173" s="404"/>
      <c r="AP173" s="404"/>
      <c r="AQ173" s="404"/>
      <c r="AR173" s="404" t="e">
        <f t="shared" si="59"/>
        <v>#N/A</v>
      </c>
      <c r="AS173" s="538"/>
      <c r="AT173" s="404"/>
      <c r="AU173" s="404"/>
      <c r="AV173" s="404"/>
      <c r="AW173" s="404" t="e">
        <f t="shared" si="61"/>
        <v>#N/A</v>
      </c>
      <c r="AX173" s="538"/>
    </row>
    <row r="174" spans="2:50">
      <c r="B174" s="533"/>
      <c r="C174" s="404">
        <v>28</v>
      </c>
      <c r="D174" s="404"/>
      <c r="E174" s="404"/>
      <c r="F174" s="404"/>
      <c r="G174" s="404"/>
      <c r="H174" s="538"/>
      <c r="I174" s="202"/>
      <c r="J174" s="202"/>
      <c r="K174" s="202"/>
      <c r="L174" s="588"/>
      <c r="M174" s="408" t="e">
        <f>RANK(K174, K$147:$K$176)</f>
        <v>#N/A</v>
      </c>
      <c r="N174" s="544"/>
      <c r="O174" s="544"/>
      <c r="P174" s="404"/>
      <c r="Q174" s="404"/>
      <c r="R174" s="404"/>
      <c r="S174" s="404" t="e">
        <f t="shared" si="64"/>
        <v>#N/A</v>
      </c>
      <c r="T174" s="538"/>
      <c r="U174" s="404"/>
      <c r="V174" s="404"/>
      <c r="W174" s="404"/>
      <c r="X174" s="404" t="e">
        <f t="shared" si="51"/>
        <v>#N/A</v>
      </c>
      <c r="Y174" s="538"/>
      <c r="Z174" s="404"/>
      <c r="AA174" s="404"/>
      <c r="AB174" s="404"/>
      <c r="AC174" s="404" t="e">
        <f t="shared" si="53"/>
        <v>#N/A</v>
      </c>
      <c r="AD174" s="538"/>
      <c r="AE174" s="404"/>
      <c r="AF174" s="404"/>
      <c r="AG174" s="404"/>
      <c r="AH174" s="404" t="e">
        <f t="shared" si="55"/>
        <v>#N/A</v>
      </c>
      <c r="AI174" s="538"/>
      <c r="AJ174" s="404"/>
      <c r="AK174" s="404"/>
      <c r="AL174" s="404"/>
      <c r="AM174" s="404" t="e">
        <f t="shared" si="57"/>
        <v>#N/A</v>
      </c>
      <c r="AN174" s="538"/>
      <c r="AO174" s="404"/>
      <c r="AP174" s="404"/>
      <c r="AQ174" s="404"/>
      <c r="AR174" s="404" t="e">
        <f t="shared" si="59"/>
        <v>#N/A</v>
      </c>
      <c r="AS174" s="538"/>
      <c r="AT174" s="404"/>
      <c r="AU174" s="404"/>
      <c r="AV174" s="404"/>
      <c r="AW174" s="404" t="e">
        <f t="shared" si="61"/>
        <v>#N/A</v>
      </c>
      <c r="AX174" s="538"/>
    </row>
    <row r="175" spans="2:50">
      <c r="B175" s="533"/>
      <c r="C175" s="404">
        <v>29</v>
      </c>
      <c r="D175" s="404"/>
      <c r="E175" s="404"/>
      <c r="F175" s="404"/>
      <c r="G175" s="404"/>
      <c r="H175" s="538"/>
      <c r="I175" s="202"/>
      <c r="J175" s="202"/>
      <c r="K175" s="202"/>
      <c r="L175" s="588"/>
      <c r="M175" s="408" t="e">
        <f>RANK(K175, K$147:$K$176)</f>
        <v>#N/A</v>
      </c>
      <c r="N175" s="544"/>
      <c r="O175" s="544"/>
      <c r="P175" s="404"/>
      <c r="Q175" s="404"/>
      <c r="R175" s="404"/>
      <c r="S175" s="404" t="e">
        <f t="shared" si="64"/>
        <v>#N/A</v>
      </c>
      <c r="T175" s="538"/>
      <c r="U175" s="404"/>
      <c r="V175" s="404"/>
      <c r="W175" s="404"/>
      <c r="X175" s="404" t="e">
        <f t="shared" si="51"/>
        <v>#N/A</v>
      </c>
      <c r="Y175" s="538"/>
      <c r="Z175" s="404"/>
      <c r="AA175" s="404"/>
      <c r="AB175" s="404"/>
      <c r="AC175" s="404" t="e">
        <f t="shared" si="53"/>
        <v>#N/A</v>
      </c>
      <c r="AD175" s="538"/>
      <c r="AE175" s="404"/>
      <c r="AF175" s="404"/>
      <c r="AG175" s="404"/>
      <c r="AH175" s="404" t="e">
        <f t="shared" si="55"/>
        <v>#N/A</v>
      </c>
      <c r="AI175" s="538"/>
      <c r="AJ175" s="404"/>
      <c r="AK175" s="404"/>
      <c r="AL175" s="404"/>
      <c r="AM175" s="404" t="e">
        <f t="shared" si="57"/>
        <v>#N/A</v>
      </c>
      <c r="AN175" s="538"/>
      <c r="AO175" s="404"/>
      <c r="AP175" s="404"/>
      <c r="AQ175" s="404"/>
      <c r="AR175" s="404" t="e">
        <f t="shared" si="59"/>
        <v>#N/A</v>
      </c>
      <c r="AS175" s="538"/>
      <c r="AT175" s="404"/>
      <c r="AU175" s="404"/>
      <c r="AV175" s="404"/>
      <c r="AW175" s="404" t="e">
        <f t="shared" si="61"/>
        <v>#N/A</v>
      </c>
      <c r="AX175" s="538"/>
    </row>
    <row r="176" spans="2:50">
      <c r="B176" s="533"/>
      <c r="C176" s="404">
        <v>30</v>
      </c>
      <c r="D176" s="404"/>
      <c r="E176" s="404"/>
      <c r="F176" s="404"/>
      <c r="G176" s="404"/>
      <c r="H176" s="539"/>
      <c r="I176" s="202"/>
      <c r="J176" s="202"/>
      <c r="K176" s="202"/>
      <c r="L176" s="589"/>
      <c r="M176" s="408" t="e">
        <f>RANK(K176, K$147:$K$176)</f>
        <v>#N/A</v>
      </c>
      <c r="N176" s="544"/>
      <c r="O176" s="544"/>
      <c r="P176" s="404"/>
      <c r="Q176" s="404"/>
      <c r="R176" s="404"/>
      <c r="S176" s="404" t="e">
        <f t="shared" si="64"/>
        <v>#N/A</v>
      </c>
      <c r="T176" s="539"/>
      <c r="U176" s="404"/>
      <c r="V176" s="404"/>
      <c r="W176" s="404"/>
      <c r="X176" s="404" t="e">
        <f t="shared" si="51"/>
        <v>#N/A</v>
      </c>
      <c r="Y176" s="539"/>
      <c r="Z176" s="404"/>
      <c r="AA176" s="404"/>
      <c r="AB176" s="404"/>
      <c r="AC176" s="404" t="e">
        <f t="shared" si="53"/>
        <v>#N/A</v>
      </c>
      <c r="AD176" s="539"/>
      <c r="AE176" s="404"/>
      <c r="AF176" s="404"/>
      <c r="AG176" s="404"/>
      <c r="AH176" s="404" t="e">
        <f t="shared" si="55"/>
        <v>#N/A</v>
      </c>
      <c r="AI176" s="539"/>
      <c r="AJ176" s="404"/>
      <c r="AK176" s="404"/>
      <c r="AL176" s="404"/>
      <c r="AM176" s="404" t="e">
        <f t="shared" si="57"/>
        <v>#N/A</v>
      </c>
      <c r="AN176" s="539"/>
      <c r="AO176" s="404"/>
      <c r="AP176" s="404"/>
      <c r="AQ176" s="404"/>
      <c r="AR176" s="404" t="e">
        <f t="shared" si="59"/>
        <v>#N/A</v>
      </c>
      <c r="AS176" s="539"/>
      <c r="AT176" s="404"/>
      <c r="AU176" s="404"/>
      <c r="AV176" s="404"/>
      <c r="AW176" s="404" t="e">
        <f t="shared" si="61"/>
        <v>#N/A</v>
      </c>
      <c r="AX176" s="539"/>
    </row>
    <row r="177" spans="2:50" ht="15.5">
      <c r="B177" s="555" t="s">
        <v>163</v>
      </c>
      <c r="C177" s="556"/>
      <c r="D177" s="556"/>
      <c r="E177" s="556"/>
      <c r="F177" s="556"/>
      <c r="G177" s="556"/>
      <c r="H177" s="557"/>
      <c r="I177" s="208"/>
      <c r="J177" s="208"/>
      <c r="K177" s="208"/>
      <c r="L177" s="208"/>
      <c r="M177" s="207"/>
      <c r="N177" s="559" t="s">
        <v>156</v>
      </c>
      <c r="O177" s="559" t="s">
        <v>105</v>
      </c>
      <c r="P177" s="554">
        <f>P142+7</f>
        <v>46386</v>
      </c>
      <c r="Q177" s="533"/>
      <c r="R177" s="533"/>
      <c r="S177" s="533"/>
      <c r="T177" s="533"/>
      <c r="U177" s="551">
        <f>P177+1</f>
        <v>46387</v>
      </c>
      <c r="V177" s="552"/>
      <c r="W177" s="552"/>
      <c r="X177" s="552"/>
      <c r="Y177" s="553"/>
      <c r="Z177" s="551">
        <f>U177+1</f>
        <v>46388</v>
      </c>
      <c r="AA177" s="552"/>
      <c r="AB177" s="552"/>
      <c r="AC177" s="552"/>
      <c r="AD177" s="553"/>
      <c r="AE177" s="551">
        <f>Z177+1</f>
        <v>46389</v>
      </c>
      <c r="AF177" s="552"/>
      <c r="AG177" s="552"/>
      <c r="AH177" s="552"/>
      <c r="AI177" s="553"/>
      <c r="AJ177" s="551">
        <f>AE177+1</f>
        <v>46390</v>
      </c>
      <c r="AK177" s="552"/>
      <c r="AL177" s="552"/>
      <c r="AM177" s="552"/>
      <c r="AN177" s="553"/>
      <c r="AO177" s="551">
        <f>AJ177+1</f>
        <v>46391</v>
      </c>
      <c r="AP177" s="552"/>
      <c r="AQ177" s="552"/>
      <c r="AR177" s="552"/>
      <c r="AS177" s="553"/>
      <c r="AT177" s="551">
        <f>AO177+1</f>
        <v>46392</v>
      </c>
      <c r="AU177" s="552"/>
      <c r="AV177" s="552"/>
      <c r="AW177" s="552"/>
      <c r="AX177" s="553"/>
    </row>
    <row r="178" spans="2:50" ht="15.5">
      <c r="B178" s="558"/>
      <c r="C178" s="558"/>
      <c r="D178" s="558"/>
      <c r="E178" s="558"/>
      <c r="F178" s="558"/>
      <c r="G178" s="558"/>
      <c r="H178" s="558"/>
      <c r="I178" s="205"/>
      <c r="J178" s="205"/>
      <c r="K178" s="205"/>
      <c r="L178" s="205"/>
      <c r="M178" s="206"/>
      <c r="N178" s="560"/>
      <c r="O178" s="560"/>
      <c r="P178" s="554" t="s">
        <v>158</v>
      </c>
      <c r="Q178" s="533"/>
      <c r="R178" s="533"/>
      <c r="S178" s="533"/>
      <c r="T178" s="533"/>
      <c r="U178" s="554" t="s">
        <v>114</v>
      </c>
      <c r="V178" s="533"/>
      <c r="W178" s="533"/>
      <c r="X178" s="533"/>
      <c r="Y178" s="533"/>
      <c r="Z178" s="554" t="s">
        <v>159</v>
      </c>
      <c r="AA178" s="533"/>
      <c r="AB178" s="533"/>
      <c r="AC178" s="533"/>
      <c r="AD178" s="533"/>
      <c r="AE178" s="554" t="s">
        <v>157</v>
      </c>
      <c r="AF178" s="533"/>
      <c r="AG178" s="533"/>
      <c r="AH178" s="533"/>
      <c r="AI178" s="533"/>
      <c r="AJ178" s="554" t="s">
        <v>160</v>
      </c>
      <c r="AK178" s="533"/>
      <c r="AL178" s="533"/>
      <c r="AM178" s="533"/>
      <c r="AN178" s="533"/>
      <c r="AO178" s="554" t="s">
        <v>115</v>
      </c>
      <c r="AP178" s="533"/>
      <c r="AQ178" s="533"/>
      <c r="AR178" s="533"/>
      <c r="AS178" s="533"/>
      <c r="AT178" s="554" t="s">
        <v>162</v>
      </c>
      <c r="AU178" s="533"/>
      <c r="AV178" s="533"/>
      <c r="AW178" s="533"/>
      <c r="AX178" s="533"/>
    </row>
    <row r="179" spans="2:50">
      <c r="B179" s="544" t="s">
        <v>886</v>
      </c>
      <c r="C179" s="544" t="s">
        <v>887</v>
      </c>
      <c r="D179" s="544"/>
      <c r="E179" s="544" t="s">
        <v>888</v>
      </c>
      <c r="F179" s="544"/>
      <c r="G179" s="544"/>
      <c r="H179" s="561" t="s">
        <v>889</v>
      </c>
      <c r="I179" s="544" t="s">
        <v>890</v>
      </c>
      <c r="J179" s="544"/>
      <c r="K179" s="544"/>
      <c r="L179" s="561" t="s">
        <v>889</v>
      </c>
      <c r="M179" s="559" t="s">
        <v>891</v>
      </c>
      <c r="N179" s="544"/>
      <c r="O179" s="544" t="s">
        <v>892</v>
      </c>
      <c r="P179" s="548" t="s">
        <v>893</v>
      </c>
      <c r="Q179" s="549"/>
      <c r="R179" s="549"/>
      <c r="S179" s="550"/>
      <c r="T179" s="544" t="s">
        <v>889</v>
      </c>
      <c r="U179" s="548" t="s">
        <v>893</v>
      </c>
      <c r="V179" s="549"/>
      <c r="W179" s="549"/>
      <c r="X179" s="550"/>
      <c r="Y179" s="544" t="s">
        <v>889</v>
      </c>
      <c r="Z179" s="548" t="s">
        <v>423</v>
      </c>
      <c r="AA179" s="549"/>
      <c r="AB179" s="549"/>
      <c r="AC179" s="550"/>
      <c r="AD179" s="544" t="s">
        <v>421</v>
      </c>
      <c r="AE179" s="548" t="s">
        <v>423</v>
      </c>
      <c r="AF179" s="549"/>
      <c r="AG179" s="549"/>
      <c r="AH179" s="550"/>
      <c r="AI179" s="544" t="s">
        <v>421</v>
      </c>
      <c r="AJ179" s="548" t="s">
        <v>423</v>
      </c>
      <c r="AK179" s="549"/>
      <c r="AL179" s="549"/>
      <c r="AM179" s="550"/>
      <c r="AN179" s="544" t="s">
        <v>421</v>
      </c>
      <c r="AO179" s="548" t="s">
        <v>423</v>
      </c>
      <c r="AP179" s="549"/>
      <c r="AQ179" s="549"/>
      <c r="AR179" s="550"/>
      <c r="AS179" s="544" t="s">
        <v>421</v>
      </c>
      <c r="AT179" s="548" t="s">
        <v>423</v>
      </c>
      <c r="AU179" s="549"/>
      <c r="AV179" s="549"/>
      <c r="AW179" s="550"/>
      <c r="AX179" s="544" t="s">
        <v>421</v>
      </c>
    </row>
    <row r="180" spans="2:50">
      <c r="B180" s="544"/>
      <c r="C180" s="544"/>
      <c r="D180" s="544"/>
      <c r="E180" s="544" t="s">
        <v>894</v>
      </c>
      <c r="F180" s="544"/>
      <c r="G180" s="544"/>
      <c r="H180" s="562"/>
      <c r="I180" s="544" t="s">
        <v>894</v>
      </c>
      <c r="J180" s="544"/>
      <c r="K180" s="544"/>
      <c r="L180" s="562"/>
      <c r="M180" s="564"/>
      <c r="N180" s="544"/>
      <c r="O180" s="544"/>
      <c r="P180" s="548" t="s">
        <v>895</v>
      </c>
      <c r="Q180" s="549"/>
      <c r="R180" s="549"/>
      <c r="S180" s="550"/>
      <c r="T180" s="544"/>
      <c r="U180" s="548" t="s">
        <v>895</v>
      </c>
      <c r="V180" s="549"/>
      <c r="W180" s="549"/>
      <c r="X180" s="550"/>
      <c r="Y180" s="544"/>
      <c r="Z180" s="548" t="s">
        <v>429</v>
      </c>
      <c r="AA180" s="549"/>
      <c r="AB180" s="549"/>
      <c r="AC180" s="550"/>
      <c r="AD180" s="544"/>
      <c r="AE180" s="548" t="s">
        <v>429</v>
      </c>
      <c r="AF180" s="549"/>
      <c r="AG180" s="549"/>
      <c r="AH180" s="550"/>
      <c r="AI180" s="544"/>
      <c r="AJ180" s="548" t="s">
        <v>429</v>
      </c>
      <c r="AK180" s="549"/>
      <c r="AL180" s="549"/>
      <c r="AM180" s="550"/>
      <c r="AN180" s="544"/>
      <c r="AO180" s="548" t="s">
        <v>429</v>
      </c>
      <c r="AP180" s="549"/>
      <c r="AQ180" s="549"/>
      <c r="AR180" s="550"/>
      <c r="AS180" s="544"/>
      <c r="AT180" s="548" t="s">
        <v>429</v>
      </c>
      <c r="AU180" s="549"/>
      <c r="AV180" s="549"/>
      <c r="AW180" s="550"/>
      <c r="AX180" s="544"/>
    </row>
    <row r="181" spans="2:50">
      <c r="B181" s="544"/>
      <c r="C181" s="544"/>
      <c r="D181" s="544"/>
      <c r="E181" s="426" t="s">
        <v>896</v>
      </c>
      <c r="F181" s="426" t="s">
        <v>897</v>
      </c>
      <c r="G181" s="426" t="s">
        <v>898</v>
      </c>
      <c r="H181" s="563"/>
      <c r="I181" s="426" t="s">
        <v>896</v>
      </c>
      <c r="J181" s="426" t="s">
        <v>897</v>
      </c>
      <c r="K181" s="426" t="s">
        <v>898</v>
      </c>
      <c r="L181" s="563"/>
      <c r="M181" s="560"/>
      <c r="N181" s="544"/>
      <c r="O181" s="544"/>
      <c r="P181" s="426" t="s">
        <v>896</v>
      </c>
      <c r="Q181" s="426" t="s">
        <v>897</v>
      </c>
      <c r="R181" s="426" t="s">
        <v>898</v>
      </c>
      <c r="S181" s="426" t="s">
        <v>891</v>
      </c>
      <c r="T181" s="544"/>
      <c r="U181" s="426" t="s">
        <v>896</v>
      </c>
      <c r="V181" s="426" t="s">
        <v>897</v>
      </c>
      <c r="W181" s="426" t="s">
        <v>898</v>
      </c>
      <c r="X181" s="426" t="s">
        <v>891</v>
      </c>
      <c r="Y181" s="544"/>
      <c r="Z181" s="305" t="s">
        <v>430</v>
      </c>
      <c r="AA181" s="305" t="s">
        <v>431</v>
      </c>
      <c r="AB181" s="305" t="s">
        <v>432</v>
      </c>
      <c r="AC181" s="305" t="s">
        <v>422</v>
      </c>
      <c r="AD181" s="544"/>
      <c r="AE181" s="305" t="s">
        <v>430</v>
      </c>
      <c r="AF181" s="305" t="s">
        <v>431</v>
      </c>
      <c r="AG181" s="305" t="s">
        <v>432</v>
      </c>
      <c r="AH181" s="305" t="s">
        <v>422</v>
      </c>
      <c r="AI181" s="544"/>
      <c r="AJ181" s="305" t="s">
        <v>430</v>
      </c>
      <c r="AK181" s="305" t="s">
        <v>431</v>
      </c>
      <c r="AL181" s="305" t="s">
        <v>432</v>
      </c>
      <c r="AM181" s="305" t="s">
        <v>422</v>
      </c>
      <c r="AN181" s="544"/>
      <c r="AO181" s="305" t="s">
        <v>430</v>
      </c>
      <c r="AP181" s="305" t="s">
        <v>431</v>
      </c>
      <c r="AQ181" s="305" t="s">
        <v>432</v>
      </c>
      <c r="AR181" s="305" t="s">
        <v>422</v>
      </c>
      <c r="AS181" s="544"/>
      <c r="AT181" s="305" t="s">
        <v>430</v>
      </c>
      <c r="AU181" s="305" t="s">
        <v>431</v>
      </c>
      <c r="AV181" s="305" t="s">
        <v>432</v>
      </c>
      <c r="AW181" s="305" t="s">
        <v>422</v>
      </c>
      <c r="AX181" s="544"/>
    </row>
    <row r="182" spans="2:50">
      <c r="B182" s="532" t="s">
        <v>899</v>
      </c>
      <c r="C182" s="463">
        <v>1</v>
      </c>
      <c r="D182" s="463" t="s">
        <v>359</v>
      </c>
      <c r="E182" s="464">
        <v>4</v>
      </c>
      <c r="F182" s="464">
        <v>2200</v>
      </c>
      <c r="G182" s="464">
        <v>550</v>
      </c>
      <c r="H182" s="546">
        <f>AVERAGE(G182:G211)</f>
        <v>859.12698412698421</v>
      </c>
      <c r="I182" s="464">
        <f>AVERAGE(P182,U182,Z182,AE182,AJ182,AO182,AT182)</f>
        <v>3</v>
      </c>
      <c r="J182" s="464">
        <f>AVERAGE(Q182,V182,AA182,AF182,AK182,AP182,AU182)</f>
        <v>3308.3318425760262</v>
      </c>
      <c r="K182" s="465">
        <f>AVERAGE(R182,W182,AB182,AG182,AL182,AQ182,AV182)</f>
        <v>1102.7772808586756</v>
      </c>
      <c r="L182" s="536">
        <f>AVERAGE(K182:K211)</f>
        <v>811.42718830160254</v>
      </c>
      <c r="M182" s="464">
        <f>RANK(K182, K$182:$K$211)</f>
        <v>1</v>
      </c>
      <c r="N182" s="544"/>
      <c r="O182" s="544"/>
      <c r="P182" s="463">
        <v>3</v>
      </c>
      <c r="Q182" s="464">
        <v>3340.3846153846116</v>
      </c>
      <c r="R182" s="464">
        <v>1113.4615384615372</v>
      </c>
      <c r="S182" s="463">
        <f>RANK(R182, R$182:R$211)</f>
        <v>1</v>
      </c>
      <c r="T182" s="536">
        <f>AVERAGE(R182:R211)</f>
        <v>805.83876063013827</v>
      </c>
      <c r="U182" s="463">
        <v>3</v>
      </c>
      <c r="V182" s="464">
        <v>3276.2790697674413</v>
      </c>
      <c r="W182" s="465">
        <v>1092.0930232558137</v>
      </c>
      <c r="X182" s="463">
        <f>RANK(W182, W$182:W$211)</f>
        <v>1</v>
      </c>
      <c r="Y182" s="536">
        <f>AVERAGE(W182:W211)</f>
        <v>810.48809663799454</v>
      </c>
      <c r="Z182" s="182"/>
      <c r="AA182" s="182"/>
      <c r="AB182" s="319"/>
      <c r="AC182" s="318" t="e">
        <f>RANK(AB182, AB$182:AB$211)</f>
        <v>#N/A</v>
      </c>
      <c r="AD182" s="537" t="e">
        <f>AVERAGE(AB182:AB211)</f>
        <v>#DIV/0!</v>
      </c>
      <c r="AE182" s="182"/>
      <c r="AF182" s="182"/>
      <c r="AG182" s="319"/>
      <c r="AH182" s="318" t="e">
        <f>RANK(AG182, AG$182:AG$211)</f>
        <v>#N/A</v>
      </c>
      <c r="AI182" s="537" t="e">
        <f>AVERAGE(AG182:AG211)</f>
        <v>#DIV/0!</v>
      </c>
      <c r="AJ182" s="182"/>
      <c r="AK182" s="182"/>
      <c r="AL182" s="319"/>
      <c r="AM182" s="318" t="e">
        <f>RANK(AL182, AL$182:AL$211)</f>
        <v>#N/A</v>
      </c>
      <c r="AN182" s="537" t="e">
        <f>AVERAGE(AL182:AL211)</f>
        <v>#DIV/0!</v>
      </c>
      <c r="AO182" s="182"/>
      <c r="AP182" s="182"/>
      <c r="AQ182" s="319"/>
      <c r="AR182" s="318" t="e">
        <f>RANK(AQ182, AQ$182:AQ$211)</f>
        <v>#N/A</v>
      </c>
      <c r="AS182" s="537" t="e">
        <f>AVERAGE(AQ182:AQ211)</f>
        <v>#DIV/0!</v>
      </c>
      <c r="AT182" s="182"/>
      <c r="AU182" s="182"/>
      <c r="AV182" s="319"/>
      <c r="AW182" s="318" t="e">
        <f>RANK(AV182, AV$182:AV$211)</f>
        <v>#N/A</v>
      </c>
      <c r="AX182" s="537" t="e">
        <f>AVERAGE(AV182:AV211)</f>
        <v>#DIV/0!</v>
      </c>
    </row>
    <row r="183" spans="2:50">
      <c r="B183" s="565"/>
      <c r="C183" s="463">
        <v>2</v>
      </c>
      <c r="D183" s="463" t="s">
        <v>360</v>
      </c>
      <c r="E183" s="464">
        <v>3</v>
      </c>
      <c r="F183" s="464">
        <v>2700</v>
      </c>
      <c r="G183" s="464">
        <v>900</v>
      </c>
      <c r="H183" s="547"/>
      <c r="I183" s="464">
        <f t="shared" ref="I183:K198" si="66">AVERAGE(P183,U183,Z183,AE183,AJ183,AO183,AT183)</f>
        <v>3</v>
      </c>
      <c r="J183" s="464">
        <f t="shared" si="66"/>
        <v>2876.0000000000009</v>
      </c>
      <c r="K183" s="465">
        <f t="shared" si="66"/>
        <v>958.66666666666697</v>
      </c>
      <c r="L183" s="536"/>
      <c r="M183" s="464">
        <f>RANK(K183, K$182:$K$211)</f>
        <v>5</v>
      </c>
      <c r="N183" s="544"/>
      <c r="O183" s="544"/>
      <c r="P183" s="463">
        <v>3</v>
      </c>
      <c r="Q183" s="464">
        <v>2899.9999999999991</v>
      </c>
      <c r="R183" s="464">
        <v>966.6666666666664</v>
      </c>
      <c r="S183" s="463">
        <f t="shared" ref="S183:S211" si="67">RANK(R183, R$182:R$211)</f>
        <v>3</v>
      </c>
      <c r="T183" s="536"/>
      <c r="U183" s="463">
        <v>3</v>
      </c>
      <c r="V183" s="464">
        <v>2852.0000000000027</v>
      </c>
      <c r="W183" s="465">
        <v>950.66666666666754</v>
      </c>
      <c r="X183" s="463">
        <f t="shared" ref="X183:X211" si="68">RANK(W183, W$182:W$211)</f>
        <v>6</v>
      </c>
      <c r="Y183" s="536"/>
      <c r="Z183" s="318"/>
      <c r="AA183" s="182"/>
      <c r="AB183" s="319"/>
      <c r="AC183" s="318" t="e">
        <f t="shared" ref="AC183:AC211" si="69">RANK(AB183, AB$182:AB$211)</f>
        <v>#N/A</v>
      </c>
      <c r="AD183" s="538"/>
      <c r="AE183" s="318"/>
      <c r="AF183" s="182"/>
      <c r="AG183" s="319"/>
      <c r="AH183" s="318" t="e">
        <f t="shared" ref="AH183:AH211" si="70">RANK(AG183, AG$182:AG$211)</f>
        <v>#N/A</v>
      </c>
      <c r="AI183" s="538"/>
      <c r="AJ183" s="318"/>
      <c r="AK183" s="182"/>
      <c r="AL183" s="319"/>
      <c r="AM183" s="318" t="e">
        <f t="shared" ref="AM183:AM211" si="71">RANK(AL183, AL$182:AL$211)</f>
        <v>#N/A</v>
      </c>
      <c r="AN183" s="538"/>
      <c r="AO183" s="318"/>
      <c r="AP183" s="182"/>
      <c r="AQ183" s="319"/>
      <c r="AR183" s="318" t="e">
        <f t="shared" ref="AR183:AR211" si="72">RANK(AQ183, AQ$182:AQ$211)</f>
        <v>#N/A</v>
      </c>
      <c r="AS183" s="538"/>
      <c r="AT183" s="318"/>
      <c r="AU183" s="182"/>
      <c r="AV183" s="319"/>
      <c r="AW183" s="318" t="e">
        <f t="shared" ref="AW183:AW211" si="73">RANK(AV183, AV$182:AV$211)</f>
        <v>#N/A</v>
      </c>
      <c r="AX183" s="538"/>
    </row>
    <row r="184" spans="2:50">
      <c r="B184" s="565"/>
      <c r="C184" s="463">
        <v>3</v>
      </c>
      <c r="D184" s="463" t="s">
        <v>346</v>
      </c>
      <c r="E184" s="464">
        <v>4</v>
      </c>
      <c r="F184" s="464">
        <v>3600</v>
      </c>
      <c r="G184" s="464">
        <v>900</v>
      </c>
      <c r="H184" s="547"/>
      <c r="I184" s="464">
        <f t="shared" si="66"/>
        <v>4</v>
      </c>
      <c r="J184" s="464">
        <f t="shared" si="66"/>
        <v>3360.090909090909</v>
      </c>
      <c r="K184" s="465">
        <f t="shared" si="66"/>
        <v>840.02272727272725</v>
      </c>
      <c r="L184" s="536"/>
      <c r="M184" s="464">
        <f>RANK(K184, K$182:$K$211)</f>
        <v>11</v>
      </c>
      <c r="N184" s="544"/>
      <c r="O184" s="544"/>
      <c r="P184" s="463">
        <v>4</v>
      </c>
      <c r="Q184" s="464">
        <v>3308.1818181818239</v>
      </c>
      <c r="R184" s="464">
        <v>827.04545454545598</v>
      </c>
      <c r="S184" s="463">
        <f t="shared" si="67"/>
        <v>10</v>
      </c>
      <c r="T184" s="536"/>
      <c r="U184" s="463">
        <v>4</v>
      </c>
      <c r="V184" s="464">
        <v>3411.9999999999941</v>
      </c>
      <c r="W184" s="465">
        <v>852.99999999999852</v>
      </c>
      <c r="X184" s="463">
        <f t="shared" si="68"/>
        <v>11</v>
      </c>
      <c r="Y184" s="536"/>
      <c r="Z184" s="318"/>
      <c r="AA184" s="182"/>
      <c r="AB184" s="319"/>
      <c r="AC184" s="318" t="e">
        <f t="shared" si="69"/>
        <v>#N/A</v>
      </c>
      <c r="AD184" s="538"/>
      <c r="AE184" s="318"/>
      <c r="AF184" s="182"/>
      <c r="AG184" s="319"/>
      <c r="AH184" s="318" t="e">
        <f t="shared" si="70"/>
        <v>#N/A</v>
      </c>
      <c r="AI184" s="538"/>
      <c r="AJ184" s="318"/>
      <c r="AK184" s="182"/>
      <c r="AL184" s="319"/>
      <c r="AM184" s="318" t="e">
        <f t="shared" si="71"/>
        <v>#N/A</v>
      </c>
      <c r="AN184" s="538"/>
      <c r="AO184" s="318"/>
      <c r="AP184" s="182"/>
      <c r="AQ184" s="319"/>
      <c r="AR184" s="318" t="e">
        <f t="shared" si="72"/>
        <v>#N/A</v>
      </c>
      <c r="AS184" s="538"/>
      <c r="AT184" s="318"/>
      <c r="AU184" s="182"/>
      <c r="AV184" s="319"/>
      <c r="AW184" s="318" t="e">
        <f t="shared" si="73"/>
        <v>#N/A</v>
      </c>
      <c r="AX184" s="538"/>
    </row>
    <row r="185" spans="2:50">
      <c r="B185" s="565"/>
      <c r="C185" s="463">
        <v>4</v>
      </c>
      <c r="D185" s="463" t="s">
        <v>362</v>
      </c>
      <c r="E185" s="464">
        <v>3</v>
      </c>
      <c r="F185" s="464">
        <v>3600</v>
      </c>
      <c r="G185" s="464">
        <v>1200</v>
      </c>
      <c r="H185" s="547"/>
      <c r="I185" s="464">
        <f t="shared" si="66"/>
        <v>3</v>
      </c>
      <c r="J185" s="464">
        <f t="shared" si="66"/>
        <v>3257.4827586206875</v>
      </c>
      <c r="K185" s="465">
        <f t="shared" si="66"/>
        <v>1085.8275862068958</v>
      </c>
      <c r="L185" s="536"/>
      <c r="M185" s="464">
        <f>RANK(K185, K$182:$K$211)</f>
        <v>2</v>
      </c>
      <c r="N185" s="544"/>
      <c r="O185" s="544"/>
      <c r="P185" s="463">
        <v>3</v>
      </c>
      <c r="Q185" s="464">
        <v>3275.9999999999977</v>
      </c>
      <c r="R185" s="464">
        <v>1091.9999999999993</v>
      </c>
      <c r="S185" s="463">
        <f t="shared" si="67"/>
        <v>2</v>
      </c>
      <c r="T185" s="536"/>
      <c r="U185" s="463">
        <v>3</v>
      </c>
      <c r="V185" s="464">
        <v>3238.9655172413773</v>
      </c>
      <c r="W185" s="465">
        <v>1079.6551724137923</v>
      </c>
      <c r="X185" s="463">
        <f t="shared" si="68"/>
        <v>2</v>
      </c>
      <c r="Y185" s="536"/>
      <c r="Z185" s="318"/>
      <c r="AA185" s="182"/>
      <c r="AB185" s="319"/>
      <c r="AC185" s="318" t="e">
        <f t="shared" si="69"/>
        <v>#N/A</v>
      </c>
      <c r="AD185" s="538"/>
      <c r="AE185" s="318"/>
      <c r="AF185" s="182"/>
      <c r="AG185" s="319"/>
      <c r="AH185" s="318" t="e">
        <f t="shared" si="70"/>
        <v>#N/A</v>
      </c>
      <c r="AI185" s="538"/>
      <c r="AJ185" s="318"/>
      <c r="AK185" s="182"/>
      <c r="AL185" s="319"/>
      <c r="AM185" s="318" t="e">
        <f t="shared" si="71"/>
        <v>#N/A</v>
      </c>
      <c r="AN185" s="538"/>
      <c r="AO185" s="318"/>
      <c r="AP185" s="182"/>
      <c r="AQ185" s="319"/>
      <c r="AR185" s="318" t="e">
        <f t="shared" si="72"/>
        <v>#N/A</v>
      </c>
      <c r="AS185" s="538"/>
      <c r="AT185" s="318"/>
      <c r="AU185" s="182"/>
      <c r="AV185" s="319"/>
      <c r="AW185" s="318" t="e">
        <f t="shared" si="73"/>
        <v>#N/A</v>
      </c>
      <c r="AX185" s="538"/>
    </row>
    <row r="186" spans="2:50">
      <c r="B186" s="565"/>
      <c r="C186" s="463">
        <v>5</v>
      </c>
      <c r="D186" s="463" t="s">
        <v>363</v>
      </c>
      <c r="E186" s="464">
        <v>3</v>
      </c>
      <c r="F186" s="464">
        <v>3600</v>
      </c>
      <c r="G186" s="464">
        <v>1200</v>
      </c>
      <c r="H186" s="547"/>
      <c r="I186" s="464">
        <f t="shared" si="66"/>
        <v>4</v>
      </c>
      <c r="J186" s="464">
        <f t="shared" si="66"/>
        <v>3286.1029411764662</v>
      </c>
      <c r="K186" s="465">
        <f t="shared" si="66"/>
        <v>821.52573529411654</v>
      </c>
      <c r="L186" s="536"/>
      <c r="M186" s="464">
        <f>RANK(K186, K$182:$K$211)</f>
        <v>12</v>
      </c>
      <c r="N186" s="544"/>
      <c r="O186" s="544"/>
      <c r="P186" s="463">
        <v>4</v>
      </c>
      <c r="Q186" s="464">
        <v>3264.7058823529369</v>
      </c>
      <c r="R186" s="464">
        <v>816.17647058823422</v>
      </c>
      <c r="S186" s="463">
        <f t="shared" si="67"/>
        <v>11</v>
      </c>
      <c r="T186" s="536"/>
      <c r="U186" s="463">
        <v>4</v>
      </c>
      <c r="V186" s="464">
        <v>3307.4999999999955</v>
      </c>
      <c r="W186" s="465">
        <v>826.87499999999886</v>
      </c>
      <c r="X186" s="463">
        <f t="shared" si="68"/>
        <v>12</v>
      </c>
      <c r="Y186" s="536"/>
      <c r="Z186" s="318"/>
      <c r="AA186" s="182"/>
      <c r="AB186" s="319"/>
      <c r="AC186" s="318" t="e">
        <f t="shared" si="69"/>
        <v>#N/A</v>
      </c>
      <c r="AD186" s="538"/>
      <c r="AE186" s="318"/>
      <c r="AF186" s="182"/>
      <c r="AG186" s="319"/>
      <c r="AH186" s="318" t="e">
        <f t="shared" si="70"/>
        <v>#N/A</v>
      </c>
      <c r="AI186" s="538"/>
      <c r="AJ186" s="318"/>
      <c r="AK186" s="182"/>
      <c r="AL186" s="319"/>
      <c r="AM186" s="318" t="e">
        <f t="shared" si="71"/>
        <v>#N/A</v>
      </c>
      <c r="AN186" s="538"/>
      <c r="AO186" s="318"/>
      <c r="AP186" s="182"/>
      <c r="AQ186" s="319"/>
      <c r="AR186" s="318" t="e">
        <f t="shared" si="72"/>
        <v>#N/A</v>
      </c>
      <c r="AS186" s="538"/>
      <c r="AT186" s="318"/>
      <c r="AU186" s="182"/>
      <c r="AV186" s="319"/>
      <c r="AW186" s="318" t="e">
        <f t="shared" si="73"/>
        <v>#N/A</v>
      </c>
      <c r="AX186" s="538"/>
    </row>
    <row r="187" spans="2:50">
      <c r="B187" s="565"/>
      <c r="C187" s="463">
        <v>6</v>
      </c>
      <c r="D187" s="463" t="s">
        <v>361</v>
      </c>
      <c r="E187" s="464">
        <v>4</v>
      </c>
      <c r="F187" s="464">
        <v>3600</v>
      </c>
      <c r="G187" s="464">
        <v>900</v>
      </c>
      <c r="H187" s="547"/>
      <c r="I187" s="464">
        <f t="shared" si="66"/>
        <v>4</v>
      </c>
      <c r="J187" s="464">
        <f t="shared" si="66"/>
        <v>3456.2566844919766</v>
      </c>
      <c r="K187" s="465">
        <f t="shared" si="66"/>
        <v>864.06417112299414</v>
      </c>
      <c r="L187" s="536"/>
      <c r="M187" s="464">
        <f>RANK(K187, K$182:$K$211)</f>
        <v>10</v>
      </c>
      <c r="N187" s="544"/>
      <c r="O187" s="544"/>
      <c r="P187" s="463">
        <v>4</v>
      </c>
      <c r="Q187" s="464">
        <v>3367.0588235294076</v>
      </c>
      <c r="R187" s="464">
        <v>841.7647058823519</v>
      </c>
      <c r="S187" s="463">
        <f t="shared" si="67"/>
        <v>9</v>
      </c>
      <c r="T187" s="536"/>
      <c r="U187" s="463">
        <v>4</v>
      </c>
      <c r="V187" s="464">
        <v>3545.4545454545455</v>
      </c>
      <c r="W187" s="465">
        <v>886.36363636363637</v>
      </c>
      <c r="X187" s="463">
        <f t="shared" si="68"/>
        <v>10</v>
      </c>
      <c r="Y187" s="536"/>
      <c r="Z187" s="318"/>
      <c r="AA187" s="182"/>
      <c r="AB187" s="319"/>
      <c r="AC187" s="318" t="e">
        <f t="shared" si="69"/>
        <v>#N/A</v>
      </c>
      <c r="AD187" s="538"/>
      <c r="AE187" s="318"/>
      <c r="AF187" s="182"/>
      <c r="AG187" s="319"/>
      <c r="AH187" s="318" t="e">
        <f t="shared" si="70"/>
        <v>#N/A</v>
      </c>
      <c r="AI187" s="538"/>
      <c r="AJ187" s="318"/>
      <c r="AK187" s="182"/>
      <c r="AL187" s="319"/>
      <c r="AM187" s="318" t="e">
        <f t="shared" si="71"/>
        <v>#N/A</v>
      </c>
      <c r="AN187" s="538"/>
      <c r="AO187" s="318"/>
      <c r="AP187" s="182"/>
      <c r="AQ187" s="319"/>
      <c r="AR187" s="318" t="e">
        <f t="shared" si="72"/>
        <v>#N/A</v>
      </c>
      <c r="AS187" s="538"/>
      <c r="AT187" s="318"/>
      <c r="AU187" s="182"/>
      <c r="AV187" s="319"/>
      <c r="AW187" s="318" t="e">
        <f t="shared" si="73"/>
        <v>#N/A</v>
      </c>
      <c r="AX187" s="538"/>
    </row>
    <row r="188" spans="2:50">
      <c r="B188" s="565"/>
      <c r="C188" s="463">
        <v>7</v>
      </c>
      <c r="D188" s="463" t="s">
        <v>469</v>
      </c>
      <c r="E188" s="464">
        <v>4</v>
      </c>
      <c r="F188" s="464">
        <v>3600</v>
      </c>
      <c r="G188" s="464">
        <v>900</v>
      </c>
      <c r="H188" s="547"/>
      <c r="I188" s="464">
        <f t="shared" si="66"/>
        <v>4</v>
      </c>
      <c r="J188" s="464">
        <f t="shared" si="66"/>
        <v>3593.2500000000127</v>
      </c>
      <c r="K188" s="465">
        <f t="shared" si="66"/>
        <v>898.31250000000318</v>
      </c>
      <c r="L188" s="536"/>
      <c r="M188" s="464">
        <f>RANK(K188, K$182:$K$211)</f>
        <v>8</v>
      </c>
      <c r="N188" s="544"/>
      <c r="O188" s="544"/>
      <c r="P188" s="463">
        <v>4</v>
      </c>
      <c r="Q188" s="464">
        <v>3502.5000000000123</v>
      </c>
      <c r="R188" s="464">
        <v>875.62500000000307</v>
      </c>
      <c r="S188" s="463">
        <f t="shared" si="67"/>
        <v>7</v>
      </c>
      <c r="T188" s="536"/>
      <c r="U188" s="463">
        <v>4</v>
      </c>
      <c r="V188" s="464">
        <v>3684.0000000000132</v>
      </c>
      <c r="W188" s="465">
        <v>921.0000000000033</v>
      </c>
      <c r="X188" s="463">
        <f t="shared" si="68"/>
        <v>9</v>
      </c>
      <c r="Y188" s="536"/>
      <c r="Z188" s="318"/>
      <c r="AA188" s="182"/>
      <c r="AB188" s="319"/>
      <c r="AC188" s="318" t="e">
        <f t="shared" si="69"/>
        <v>#N/A</v>
      </c>
      <c r="AD188" s="538"/>
      <c r="AE188" s="318"/>
      <c r="AF188" s="182"/>
      <c r="AG188" s="319"/>
      <c r="AH188" s="318" t="e">
        <f t="shared" si="70"/>
        <v>#N/A</v>
      </c>
      <c r="AI188" s="538"/>
      <c r="AJ188" s="318"/>
      <c r="AK188" s="182"/>
      <c r="AL188" s="319"/>
      <c r="AM188" s="318" t="e">
        <f t="shared" si="71"/>
        <v>#N/A</v>
      </c>
      <c r="AN188" s="538"/>
      <c r="AO188" s="318"/>
      <c r="AP188" s="182"/>
      <c r="AQ188" s="319"/>
      <c r="AR188" s="318" t="e">
        <f t="shared" si="72"/>
        <v>#N/A</v>
      </c>
      <c r="AS188" s="538"/>
      <c r="AT188" s="318"/>
      <c r="AU188" s="182"/>
      <c r="AV188" s="319"/>
      <c r="AW188" s="318" t="e">
        <f t="shared" si="73"/>
        <v>#N/A</v>
      </c>
      <c r="AX188" s="538"/>
    </row>
    <row r="189" spans="2:50">
      <c r="B189" s="565"/>
      <c r="C189" s="463">
        <v>8</v>
      </c>
      <c r="D189" s="463" t="s">
        <v>364</v>
      </c>
      <c r="E189" s="464">
        <v>4</v>
      </c>
      <c r="F189" s="464">
        <v>3300</v>
      </c>
      <c r="G189" s="464">
        <v>825</v>
      </c>
      <c r="H189" s="547"/>
      <c r="I189" s="464">
        <f t="shared" si="66"/>
        <v>4</v>
      </c>
      <c r="J189" s="464">
        <f t="shared" si="66"/>
        <v>2954.0000000000009</v>
      </c>
      <c r="K189" s="465">
        <f t="shared" si="66"/>
        <v>738.50000000000023</v>
      </c>
      <c r="L189" s="536"/>
      <c r="M189" s="464">
        <f>RANK(K189, K$182:$K$211)</f>
        <v>14</v>
      </c>
      <c r="N189" s="544"/>
      <c r="O189" s="544"/>
      <c r="P189" s="463">
        <v>4</v>
      </c>
      <c r="Q189" s="464">
        <v>2944.0000000000027</v>
      </c>
      <c r="R189" s="464">
        <v>736.00000000000068</v>
      </c>
      <c r="S189" s="463">
        <f t="shared" si="67"/>
        <v>13</v>
      </c>
      <c r="T189" s="536"/>
      <c r="U189" s="463">
        <v>4</v>
      </c>
      <c r="V189" s="464">
        <v>2963.9999999999991</v>
      </c>
      <c r="W189" s="465">
        <v>740.99999999999977</v>
      </c>
      <c r="X189" s="463">
        <f t="shared" si="68"/>
        <v>13</v>
      </c>
      <c r="Y189" s="536"/>
      <c r="Z189" s="318"/>
      <c r="AA189" s="182"/>
      <c r="AB189" s="319"/>
      <c r="AC189" s="318" t="e">
        <f t="shared" si="69"/>
        <v>#N/A</v>
      </c>
      <c r="AD189" s="538"/>
      <c r="AE189" s="318"/>
      <c r="AF189" s="182"/>
      <c r="AG189" s="319"/>
      <c r="AH189" s="318" t="e">
        <f t="shared" si="70"/>
        <v>#N/A</v>
      </c>
      <c r="AI189" s="538"/>
      <c r="AJ189" s="318"/>
      <c r="AK189" s="182"/>
      <c r="AL189" s="319"/>
      <c r="AM189" s="318" t="e">
        <f t="shared" si="71"/>
        <v>#N/A</v>
      </c>
      <c r="AN189" s="538"/>
      <c r="AO189" s="318"/>
      <c r="AP189" s="182"/>
      <c r="AQ189" s="319"/>
      <c r="AR189" s="318" t="e">
        <f t="shared" si="72"/>
        <v>#N/A</v>
      </c>
      <c r="AS189" s="538"/>
      <c r="AT189" s="318"/>
      <c r="AU189" s="182"/>
      <c r="AV189" s="319"/>
      <c r="AW189" s="318" t="e">
        <f t="shared" si="73"/>
        <v>#N/A</v>
      </c>
      <c r="AX189" s="538"/>
    </row>
    <row r="190" spans="2:50">
      <c r="B190" s="565"/>
      <c r="C190" s="463">
        <v>9</v>
      </c>
      <c r="D190" s="463" t="s">
        <v>365</v>
      </c>
      <c r="E190" s="464">
        <v>3</v>
      </c>
      <c r="F190" s="464">
        <v>3300</v>
      </c>
      <c r="G190" s="464">
        <v>1100</v>
      </c>
      <c r="H190" s="547"/>
      <c r="I190" s="464">
        <f t="shared" si="66"/>
        <v>3</v>
      </c>
      <c r="J190" s="464">
        <f t="shared" si="66"/>
        <v>2883.7062937062938</v>
      </c>
      <c r="K190" s="465">
        <f t="shared" si="66"/>
        <v>961.23543123543118</v>
      </c>
      <c r="L190" s="536"/>
      <c r="M190" s="464">
        <f>RANK(K190, K$182:$K$211)</f>
        <v>4</v>
      </c>
      <c r="N190" s="544"/>
      <c r="O190" s="544"/>
      <c r="P190" s="463">
        <v>3</v>
      </c>
      <c r="Q190" s="464">
        <v>2878.1818181818212</v>
      </c>
      <c r="R190" s="464">
        <v>959.3939393939404</v>
      </c>
      <c r="S190" s="463">
        <f t="shared" si="67"/>
        <v>4</v>
      </c>
      <c r="T190" s="536"/>
      <c r="U190" s="463">
        <v>3</v>
      </c>
      <c r="V190" s="464">
        <v>2889.2307692307663</v>
      </c>
      <c r="W190" s="465">
        <v>963.07692307692207</v>
      </c>
      <c r="X190" s="463">
        <f t="shared" si="68"/>
        <v>5</v>
      </c>
      <c r="Y190" s="536"/>
      <c r="Z190" s="318"/>
      <c r="AA190" s="182"/>
      <c r="AB190" s="319"/>
      <c r="AC190" s="318" t="e">
        <f t="shared" si="69"/>
        <v>#N/A</v>
      </c>
      <c r="AD190" s="538"/>
      <c r="AE190" s="318"/>
      <c r="AF190" s="182"/>
      <c r="AG190" s="319"/>
      <c r="AH190" s="318" t="e">
        <f t="shared" si="70"/>
        <v>#N/A</v>
      </c>
      <c r="AI190" s="538"/>
      <c r="AJ190" s="318"/>
      <c r="AK190" s="182"/>
      <c r="AL190" s="319"/>
      <c r="AM190" s="318" t="e">
        <f t="shared" si="71"/>
        <v>#N/A</v>
      </c>
      <c r="AN190" s="538"/>
      <c r="AO190" s="318"/>
      <c r="AP190" s="182"/>
      <c r="AQ190" s="319"/>
      <c r="AR190" s="318" t="e">
        <f t="shared" si="72"/>
        <v>#N/A</v>
      </c>
      <c r="AS190" s="538"/>
      <c r="AT190" s="318"/>
      <c r="AU190" s="182"/>
      <c r="AV190" s="319"/>
      <c r="AW190" s="318" t="e">
        <f t="shared" si="73"/>
        <v>#N/A</v>
      </c>
      <c r="AX190" s="538"/>
    </row>
    <row r="191" spans="2:50">
      <c r="B191" s="565"/>
      <c r="C191" s="463">
        <v>10</v>
      </c>
      <c r="D191" s="463" t="s">
        <v>366</v>
      </c>
      <c r="E191" s="464">
        <v>3</v>
      </c>
      <c r="F191" s="464">
        <v>3300</v>
      </c>
      <c r="G191" s="464">
        <v>1100</v>
      </c>
      <c r="H191" s="547"/>
      <c r="I191" s="464">
        <f t="shared" si="66"/>
        <v>3</v>
      </c>
      <c r="J191" s="464">
        <f t="shared" si="66"/>
        <v>2919.4736842105276</v>
      </c>
      <c r="K191" s="465">
        <f t="shared" si="66"/>
        <v>973.15789473684242</v>
      </c>
      <c r="L191" s="536"/>
      <c r="M191" s="464">
        <f>RANK(K191, K$182:$K$211)</f>
        <v>3</v>
      </c>
      <c r="N191" s="544"/>
      <c r="O191" s="544"/>
      <c r="P191" s="463">
        <v>3</v>
      </c>
      <c r="Q191" s="464">
        <v>2868.947368421057</v>
      </c>
      <c r="R191" s="464">
        <v>956.31578947368564</v>
      </c>
      <c r="S191" s="463">
        <f t="shared" si="67"/>
        <v>5</v>
      </c>
      <c r="T191" s="536"/>
      <c r="U191" s="463">
        <v>3</v>
      </c>
      <c r="V191" s="464">
        <v>2969.9999999999977</v>
      </c>
      <c r="W191" s="465">
        <v>989.9999999999992</v>
      </c>
      <c r="X191" s="463">
        <f t="shared" si="68"/>
        <v>3</v>
      </c>
      <c r="Y191" s="536"/>
      <c r="Z191" s="318"/>
      <c r="AA191" s="182"/>
      <c r="AB191" s="319"/>
      <c r="AC191" s="318" t="e">
        <f t="shared" si="69"/>
        <v>#N/A</v>
      </c>
      <c r="AD191" s="538"/>
      <c r="AE191" s="318"/>
      <c r="AF191" s="182"/>
      <c r="AG191" s="319"/>
      <c r="AH191" s="318" t="e">
        <f t="shared" si="70"/>
        <v>#N/A</v>
      </c>
      <c r="AI191" s="538"/>
      <c r="AJ191" s="318"/>
      <c r="AK191" s="182"/>
      <c r="AL191" s="319"/>
      <c r="AM191" s="318" t="e">
        <f t="shared" si="71"/>
        <v>#N/A</v>
      </c>
      <c r="AN191" s="538"/>
      <c r="AO191" s="318"/>
      <c r="AP191" s="182"/>
      <c r="AQ191" s="319"/>
      <c r="AR191" s="318" t="e">
        <f t="shared" si="72"/>
        <v>#N/A</v>
      </c>
      <c r="AS191" s="538"/>
      <c r="AT191" s="318"/>
      <c r="AU191" s="182"/>
      <c r="AV191" s="319"/>
      <c r="AW191" s="318" t="e">
        <f t="shared" si="73"/>
        <v>#N/A</v>
      </c>
      <c r="AX191" s="538"/>
    </row>
    <row r="192" spans="2:50">
      <c r="B192" s="565"/>
      <c r="C192" s="463">
        <v>11</v>
      </c>
      <c r="D192" s="463" t="s">
        <v>367</v>
      </c>
      <c r="E192" s="464">
        <v>4</v>
      </c>
      <c r="F192" s="464">
        <v>3300</v>
      </c>
      <c r="G192" s="464">
        <v>825</v>
      </c>
      <c r="H192" s="547"/>
      <c r="I192" s="464">
        <f t="shared" si="66"/>
        <v>4</v>
      </c>
      <c r="J192" s="464">
        <f t="shared" si="66"/>
        <v>2870.9302325581402</v>
      </c>
      <c r="K192" s="465">
        <f t="shared" si="66"/>
        <v>717.73255813953506</v>
      </c>
      <c r="L192" s="536"/>
      <c r="M192" s="464">
        <f>RANK(K192, K$182:$K$211)</f>
        <v>15</v>
      </c>
      <c r="N192" s="544"/>
      <c r="O192" s="544"/>
      <c r="P192" s="463">
        <v>4</v>
      </c>
      <c r="Q192" s="464">
        <v>2820.0000000000023</v>
      </c>
      <c r="R192" s="464">
        <v>705.00000000000057</v>
      </c>
      <c r="S192" s="463">
        <f t="shared" si="67"/>
        <v>15</v>
      </c>
      <c r="T192" s="536"/>
      <c r="U192" s="463">
        <v>4</v>
      </c>
      <c r="V192" s="464">
        <v>2921.8604651162786</v>
      </c>
      <c r="W192" s="465">
        <v>730.46511627906966</v>
      </c>
      <c r="X192" s="463">
        <f t="shared" si="68"/>
        <v>14</v>
      </c>
      <c r="Y192" s="536"/>
      <c r="Z192" s="318"/>
      <c r="AA192" s="182"/>
      <c r="AB192" s="319"/>
      <c r="AC192" s="318" t="e">
        <f t="shared" si="69"/>
        <v>#N/A</v>
      </c>
      <c r="AD192" s="538"/>
      <c r="AE192" s="318"/>
      <c r="AF192" s="182"/>
      <c r="AG192" s="319"/>
      <c r="AH192" s="318" t="e">
        <f t="shared" si="70"/>
        <v>#N/A</v>
      </c>
      <c r="AI192" s="538"/>
      <c r="AJ192" s="318"/>
      <c r="AK192" s="182"/>
      <c r="AL192" s="319"/>
      <c r="AM192" s="318" t="e">
        <f t="shared" si="71"/>
        <v>#N/A</v>
      </c>
      <c r="AN192" s="538"/>
      <c r="AO192" s="318"/>
      <c r="AP192" s="182"/>
      <c r="AQ192" s="319"/>
      <c r="AR192" s="318" t="e">
        <f t="shared" si="72"/>
        <v>#N/A</v>
      </c>
      <c r="AS192" s="538"/>
      <c r="AT192" s="318"/>
      <c r="AU192" s="182"/>
      <c r="AV192" s="319"/>
      <c r="AW192" s="318" t="e">
        <f t="shared" si="73"/>
        <v>#N/A</v>
      </c>
      <c r="AX192" s="538"/>
    </row>
    <row r="193" spans="2:50">
      <c r="B193" s="565"/>
      <c r="C193" s="463">
        <v>12</v>
      </c>
      <c r="D193" s="463" t="s">
        <v>368</v>
      </c>
      <c r="E193" s="464">
        <v>4</v>
      </c>
      <c r="F193" s="464">
        <v>3300</v>
      </c>
      <c r="G193" s="464">
        <v>825</v>
      </c>
      <c r="H193" s="547"/>
      <c r="I193" s="464">
        <f t="shared" si="66"/>
        <v>4</v>
      </c>
      <c r="J193" s="464">
        <f t="shared" si="66"/>
        <v>2830.3454545454529</v>
      </c>
      <c r="K193" s="465">
        <f t="shared" si="66"/>
        <v>707.58636363636322</v>
      </c>
      <c r="L193" s="536"/>
      <c r="M193" s="464">
        <f>RANK(K193, K$182:$K$211)</f>
        <v>17</v>
      </c>
      <c r="N193" s="544"/>
      <c r="O193" s="544"/>
      <c r="P193" s="463">
        <v>4</v>
      </c>
      <c r="Q193" s="464">
        <v>2819.090909090909</v>
      </c>
      <c r="R193" s="464">
        <v>704.77272727272725</v>
      </c>
      <c r="S193" s="463">
        <f t="shared" si="67"/>
        <v>16</v>
      </c>
      <c r="T193" s="536"/>
      <c r="U193" s="463">
        <v>4</v>
      </c>
      <c r="V193" s="464">
        <v>2841.5999999999967</v>
      </c>
      <c r="W193" s="465">
        <v>710.39999999999918</v>
      </c>
      <c r="X193" s="463">
        <f t="shared" si="68"/>
        <v>17</v>
      </c>
      <c r="Y193" s="536"/>
      <c r="Z193" s="318"/>
      <c r="AA193" s="182"/>
      <c r="AB193" s="319"/>
      <c r="AC193" s="318" t="e">
        <f t="shared" si="69"/>
        <v>#N/A</v>
      </c>
      <c r="AD193" s="538"/>
      <c r="AE193" s="318"/>
      <c r="AF193" s="182"/>
      <c r="AG193" s="319"/>
      <c r="AH193" s="318" t="e">
        <f t="shared" si="70"/>
        <v>#N/A</v>
      </c>
      <c r="AI193" s="538"/>
      <c r="AJ193" s="318"/>
      <c r="AK193" s="182"/>
      <c r="AL193" s="319"/>
      <c r="AM193" s="318" t="e">
        <f t="shared" si="71"/>
        <v>#N/A</v>
      </c>
      <c r="AN193" s="538"/>
      <c r="AO193" s="318"/>
      <c r="AP193" s="182"/>
      <c r="AQ193" s="319"/>
      <c r="AR193" s="318" t="e">
        <f t="shared" si="72"/>
        <v>#N/A</v>
      </c>
      <c r="AS193" s="538"/>
      <c r="AT193" s="318"/>
      <c r="AU193" s="182"/>
      <c r="AV193" s="319"/>
      <c r="AW193" s="318" t="e">
        <f t="shared" si="73"/>
        <v>#N/A</v>
      </c>
      <c r="AX193" s="538"/>
    </row>
    <row r="194" spans="2:50">
      <c r="B194" s="565"/>
      <c r="C194" s="463">
        <v>13</v>
      </c>
      <c r="D194" s="463" t="s">
        <v>570</v>
      </c>
      <c r="E194" s="464">
        <v>4</v>
      </c>
      <c r="F194" s="464">
        <v>2800</v>
      </c>
      <c r="G194" s="464">
        <v>700</v>
      </c>
      <c r="H194" s="547"/>
      <c r="I194" s="464">
        <f t="shared" si="66"/>
        <v>4</v>
      </c>
      <c r="J194" s="464">
        <f t="shared" si="66"/>
        <v>2847.3750000000009</v>
      </c>
      <c r="K194" s="465">
        <f t="shared" si="66"/>
        <v>711.84375000000023</v>
      </c>
      <c r="L194" s="536"/>
      <c r="M194" s="464">
        <f>RANK(K194, K$182:$K$211)</f>
        <v>16</v>
      </c>
      <c r="N194" s="544"/>
      <c r="O194" s="544"/>
      <c r="P194" s="463">
        <v>4</v>
      </c>
      <c r="Q194" s="464">
        <v>2818.4999999999986</v>
      </c>
      <c r="R194" s="464">
        <v>704.62499999999966</v>
      </c>
      <c r="S194" s="463">
        <f t="shared" si="67"/>
        <v>17</v>
      </c>
      <c r="T194" s="536"/>
      <c r="U194" s="463">
        <v>4</v>
      </c>
      <c r="V194" s="464">
        <v>2876.2500000000032</v>
      </c>
      <c r="W194" s="465">
        <v>719.0625000000008</v>
      </c>
      <c r="X194" s="463">
        <f t="shared" si="68"/>
        <v>16</v>
      </c>
      <c r="Y194" s="536"/>
      <c r="Z194" s="318"/>
      <c r="AA194" s="182"/>
      <c r="AB194" s="319"/>
      <c r="AC194" s="318" t="e">
        <f t="shared" si="69"/>
        <v>#N/A</v>
      </c>
      <c r="AD194" s="538"/>
      <c r="AE194" s="318"/>
      <c r="AF194" s="182"/>
      <c r="AG194" s="319"/>
      <c r="AH194" s="318" t="e">
        <f t="shared" si="70"/>
        <v>#N/A</v>
      </c>
      <c r="AI194" s="538"/>
      <c r="AJ194" s="318"/>
      <c r="AK194" s="182"/>
      <c r="AL194" s="319"/>
      <c r="AM194" s="318" t="e">
        <f t="shared" si="71"/>
        <v>#N/A</v>
      </c>
      <c r="AN194" s="538"/>
      <c r="AO194" s="318"/>
      <c r="AP194" s="182"/>
      <c r="AQ194" s="319"/>
      <c r="AR194" s="318" t="e">
        <f t="shared" si="72"/>
        <v>#N/A</v>
      </c>
      <c r="AS194" s="538"/>
      <c r="AT194" s="318"/>
      <c r="AU194" s="182"/>
      <c r="AV194" s="319"/>
      <c r="AW194" s="318" t="e">
        <f t="shared" si="73"/>
        <v>#N/A</v>
      </c>
      <c r="AX194" s="538"/>
    </row>
    <row r="195" spans="2:50">
      <c r="B195" s="565"/>
      <c r="C195" s="463">
        <v>14</v>
      </c>
      <c r="D195" s="463" t="s">
        <v>369</v>
      </c>
      <c r="E195" s="464">
        <v>4</v>
      </c>
      <c r="F195" s="464">
        <v>3600</v>
      </c>
      <c r="G195" s="464">
        <v>900</v>
      </c>
      <c r="H195" s="547"/>
      <c r="I195" s="464">
        <f t="shared" si="66"/>
        <v>4</v>
      </c>
      <c r="J195" s="464">
        <f t="shared" si="66"/>
        <v>2741.9999999999882</v>
      </c>
      <c r="K195" s="465">
        <f t="shared" si="66"/>
        <v>685.49999999999704</v>
      </c>
      <c r="L195" s="536"/>
      <c r="M195" s="464">
        <f>RANK(K195, K$182:$K$211)</f>
        <v>18</v>
      </c>
      <c r="N195" s="544"/>
      <c r="O195" s="544"/>
      <c r="P195" s="463">
        <v>4</v>
      </c>
      <c r="Q195" s="464">
        <v>2888.9999999999873</v>
      </c>
      <c r="R195" s="464">
        <v>722.24999999999682</v>
      </c>
      <c r="S195" s="463">
        <f t="shared" si="67"/>
        <v>14</v>
      </c>
      <c r="T195" s="536"/>
      <c r="U195" s="463">
        <v>4</v>
      </c>
      <c r="V195" s="464">
        <v>2594.9999999999886</v>
      </c>
      <c r="W195" s="465">
        <v>648.74999999999716</v>
      </c>
      <c r="X195" s="463">
        <f t="shared" si="68"/>
        <v>18</v>
      </c>
      <c r="Y195" s="536"/>
      <c r="Z195" s="318"/>
      <c r="AA195" s="182"/>
      <c r="AB195" s="319"/>
      <c r="AC195" s="318" t="e">
        <f t="shared" si="69"/>
        <v>#N/A</v>
      </c>
      <c r="AD195" s="538"/>
      <c r="AE195" s="318"/>
      <c r="AF195" s="182"/>
      <c r="AG195" s="319"/>
      <c r="AH195" s="318" t="e">
        <f t="shared" si="70"/>
        <v>#N/A</v>
      </c>
      <c r="AI195" s="538"/>
      <c r="AJ195" s="318"/>
      <c r="AK195" s="182"/>
      <c r="AL195" s="319"/>
      <c r="AM195" s="318" t="e">
        <f t="shared" si="71"/>
        <v>#N/A</v>
      </c>
      <c r="AN195" s="538"/>
      <c r="AO195" s="318"/>
      <c r="AP195" s="182"/>
      <c r="AQ195" s="319"/>
      <c r="AR195" s="318" t="e">
        <f t="shared" si="72"/>
        <v>#N/A</v>
      </c>
      <c r="AS195" s="538"/>
      <c r="AT195" s="318"/>
      <c r="AU195" s="182"/>
      <c r="AV195" s="319"/>
      <c r="AW195" s="318" t="e">
        <f t="shared" si="73"/>
        <v>#N/A</v>
      </c>
      <c r="AX195" s="538"/>
    </row>
    <row r="196" spans="2:50">
      <c r="B196" s="565"/>
      <c r="C196" s="463">
        <v>15</v>
      </c>
      <c r="D196" s="463" t="s">
        <v>370</v>
      </c>
      <c r="E196" s="464">
        <v>4</v>
      </c>
      <c r="F196" s="464">
        <v>3600</v>
      </c>
      <c r="G196" s="464">
        <v>900</v>
      </c>
      <c r="H196" s="547"/>
      <c r="I196" s="464">
        <f t="shared" si="66"/>
        <v>3.5</v>
      </c>
      <c r="J196" s="464">
        <f t="shared" si="66"/>
        <v>2303.0000000000082</v>
      </c>
      <c r="K196" s="465">
        <f t="shared" si="66"/>
        <v>662.41666666666902</v>
      </c>
      <c r="L196" s="536"/>
      <c r="M196" s="464">
        <f>RANK(K196, K$182:$K$211)</f>
        <v>19</v>
      </c>
      <c r="N196" s="544"/>
      <c r="O196" s="544"/>
      <c r="P196" s="463">
        <v>3</v>
      </c>
      <c r="Q196" s="464">
        <v>2080.0000000000077</v>
      </c>
      <c r="R196" s="464">
        <v>693.33333333333587</v>
      </c>
      <c r="S196" s="463">
        <f t="shared" si="67"/>
        <v>18</v>
      </c>
      <c r="T196" s="536"/>
      <c r="U196" s="463">
        <v>4</v>
      </c>
      <c r="V196" s="464">
        <v>2526.0000000000091</v>
      </c>
      <c r="W196" s="465">
        <v>631.50000000000227</v>
      </c>
      <c r="X196" s="463">
        <f t="shared" si="68"/>
        <v>19</v>
      </c>
      <c r="Y196" s="536"/>
      <c r="Z196" s="318"/>
      <c r="AA196" s="182"/>
      <c r="AB196" s="319"/>
      <c r="AC196" s="318" t="e">
        <f t="shared" si="69"/>
        <v>#N/A</v>
      </c>
      <c r="AD196" s="538"/>
      <c r="AE196" s="318"/>
      <c r="AF196" s="182"/>
      <c r="AG196" s="319"/>
      <c r="AH196" s="318" t="e">
        <f t="shared" si="70"/>
        <v>#N/A</v>
      </c>
      <c r="AI196" s="538"/>
      <c r="AJ196" s="318"/>
      <c r="AK196" s="182"/>
      <c r="AL196" s="319"/>
      <c r="AM196" s="318" t="e">
        <f t="shared" si="71"/>
        <v>#N/A</v>
      </c>
      <c r="AN196" s="538"/>
      <c r="AO196" s="318"/>
      <c r="AP196" s="182"/>
      <c r="AQ196" s="319"/>
      <c r="AR196" s="318" t="e">
        <f t="shared" si="72"/>
        <v>#N/A</v>
      </c>
      <c r="AS196" s="538"/>
      <c r="AT196" s="318"/>
      <c r="AU196" s="182"/>
      <c r="AV196" s="319"/>
      <c r="AW196" s="318" t="e">
        <f t="shared" si="73"/>
        <v>#N/A</v>
      </c>
      <c r="AX196" s="538"/>
    </row>
    <row r="197" spans="2:50">
      <c r="B197" s="565"/>
      <c r="C197" s="463">
        <v>16</v>
      </c>
      <c r="D197" s="463" t="s">
        <v>481</v>
      </c>
      <c r="E197" s="464">
        <v>4</v>
      </c>
      <c r="F197" s="464">
        <v>3300</v>
      </c>
      <c r="G197" s="464">
        <v>825</v>
      </c>
      <c r="H197" s="547"/>
      <c r="I197" s="464">
        <f t="shared" si="66"/>
        <v>3</v>
      </c>
      <c r="J197" s="464">
        <f t="shared" si="66"/>
        <v>2870.9523809523762</v>
      </c>
      <c r="K197" s="465">
        <f t="shared" si="66"/>
        <v>956.98412698412528</v>
      </c>
      <c r="L197" s="536"/>
      <c r="M197" s="464">
        <f>RANK(K197, K$182:$K$211)</f>
        <v>6</v>
      </c>
      <c r="N197" s="544"/>
      <c r="O197" s="544"/>
      <c r="P197" s="463">
        <v>3</v>
      </c>
      <c r="Q197" s="464">
        <v>2833.3333333333348</v>
      </c>
      <c r="R197" s="464">
        <v>944.44444444444491</v>
      </c>
      <c r="S197" s="463">
        <f t="shared" si="67"/>
        <v>6</v>
      </c>
      <c r="T197" s="536"/>
      <c r="U197" s="463">
        <v>3</v>
      </c>
      <c r="V197" s="464">
        <v>2908.5714285714171</v>
      </c>
      <c r="W197" s="465">
        <v>969.52380952380565</v>
      </c>
      <c r="X197" s="463">
        <f t="shared" si="68"/>
        <v>4</v>
      </c>
      <c r="Y197" s="536"/>
      <c r="Z197" s="318"/>
      <c r="AA197" s="182"/>
      <c r="AB197" s="319"/>
      <c r="AC197" s="318" t="e">
        <f t="shared" si="69"/>
        <v>#N/A</v>
      </c>
      <c r="AD197" s="538"/>
      <c r="AE197" s="318"/>
      <c r="AF197" s="182"/>
      <c r="AG197" s="319"/>
      <c r="AH197" s="318" t="e">
        <f t="shared" si="70"/>
        <v>#N/A</v>
      </c>
      <c r="AI197" s="538"/>
      <c r="AJ197" s="318"/>
      <c r="AK197" s="182"/>
      <c r="AL197" s="319"/>
      <c r="AM197" s="318" t="e">
        <f t="shared" si="71"/>
        <v>#N/A</v>
      </c>
      <c r="AN197" s="538"/>
      <c r="AO197" s="318"/>
      <c r="AP197" s="182"/>
      <c r="AQ197" s="319"/>
      <c r="AR197" s="318" t="e">
        <f t="shared" si="72"/>
        <v>#N/A</v>
      </c>
      <c r="AS197" s="538"/>
      <c r="AT197" s="318"/>
      <c r="AU197" s="182"/>
      <c r="AV197" s="319"/>
      <c r="AW197" s="318" t="e">
        <f t="shared" si="73"/>
        <v>#N/A</v>
      </c>
      <c r="AX197" s="538"/>
    </row>
    <row r="198" spans="2:50">
      <c r="B198" s="565"/>
      <c r="C198" s="463">
        <v>17</v>
      </c>
      <c r="D198" s="463" t="s">
        <v>567</v>
      </c>
      <c r="E198" s="464">
        <v>3</v>
      </c>
      <c r="F198" s="464">
        <v>2800</v>
      </c>
      <c r="G198" s="464">
        <v>933.33333333333337</v>
      </c>
      <c r="H198" s="547"/>
      <c r="I198" s="464">
        <f t="shared" si="66"/>
        <v>3</v>
      </c>
      <c r="J198" s="464">
        <f t="shared" si="66"/>
        <v>2678.8571428571395</v>
      </c>
      <c r="K198" s="465">
        <f t="shared" si="66"/>
        <v>892.95238095237971</v>
      </c>
      <c r="L198" s="536"/>
      <c r="M198" s="464">
        <f>RANK(K198, K$182:$K$211)</f>
        <v>9</v>
      </c>
      <c r="N198" s="544"/>
      <c r="O198" s="544"/>
      <c r="P198" s="463">
        <v>3</v>
      </c>
      <c r="Q198" s="464">
        <v>2581.7142857142831</v>
      </c>
      <c r="R198" s="464">
        <v>860.57142857142765</v>
      </c>
      <c r="S198" s="463">
        <f t="shared" si="67"/>
        <v>8</v>
      </c>
      <c r="T198" s="536"/>
      <c r="U198" s="463">
        <v>3</v>
      </c>
      <c r="V198" s="464">
        <v>2775.9999999999955</v>
      </c>
      <c r="W198" s="465">
        <v>925.33333333333178</v>
      </c>
      <c r="X198" s="463">
        <f t="shared" si="68"/>
        <v>8</v>
      </c>
      <c r="Y198" s="536"/>
      <c r="Z198" s="318"/>
      <c r="AA198" s="182"/>
      <c r="AB198" s="319"/>
      <c r="AC198" s="318" t="e">
        <f t="shared" si="69"/>
        <v>#N/A</v>
      </c>
      <c r="AD198" s="538"/>
      <c r="AE198" s="318"/>
      <c r="AF198" s="182"/>
      <c r="AG198" s="319"/>
      <c r="AH198" s="318" t="e">
        <f t="shared" si="70"/>
        <v>#N/A</v>
      </c>
      <c r="AI198" s="538"/>
      <c r="AJ198" s="318"/>
      <c r="AK198" s="182"/>
      <c r="AL198" s="319"/>
      <c r="AM198" s="318" t="e">
        <f t="shared" si="71"/>
        <v>#N/A</v>
      </c>
      <c r="AN198" s="538"/>
      <c r="AO198" s="318"/>
      <c r="AP198" s="182"/>
      <c r="AQ198" s="319"/>
      <c r="AR198" s="318" t="e">
        <f t="shared" si="72"/>
        <v>#N/A</v>
      </c>
      <c r="AS198" s="538"/>
      <c r="AT198" s="318"/>
      <c r="AU198" s="182"/>
      <c r="AV198" s="319"/>
      <c r="AW198" s="318" t="e">
        <f t="shared" si="73"/>
        <v>#N/A</v>
      </c>
      <c r="AX198" s="538"/>
    </row>
    <row r="199" spans="2:50">
      <c r="B199" s="565"/>
      <c r="C199" s="463">
        <v>18</v>
      </c>
      <c r="D199" s="463" t="s">
        <v>640</v>
      </c>
      <c r="E199" s="464">
        <v>4</v>
      </c>
      <c r="F199" s="464">
        <v>3000</v>
      </c>
      <c r="G199" s="464">
        <v>750</v>
      </c>
      <c r="H199" s="547"/>
      <c r="I199" s="464">
        <f t="shared" ref="I199:K202" si="74">AVERAGE(P199,U199,Z199,AE199,AJ199,AO199,AT199)</f>
        <v>3</v>
      </c>
      <c r="J199" s="464">
        <f t="shared" si="74"/>
        <v>2295.8181818181833</v>
      </c>
      <c r="K199" s="465">
        <f t="shared" si="74"/>
        <v>765.27272727272782</v>
      </c>
      <c r="L199" s="536"/>
      <c r="M199" s="464">
        <f>RANK(K199, K$182:$K$211)</f>
        <v>13</v>
      </c>
      <c r="N199" s="544"/>
      <c r="O199" s="544"/>
      <c r="P199" s="463">
        <v>3</v>
      </c>
      <c r="Q199" s="464">
        <v>2402.1818181818198</v>
      </c>
      <c r="R199" s="464">
        <v>800.72727272727332</v>
      </c>
      <c r="S199" s="463">
        <f t="shared" si="67"/>
        <v>12</v>
      </c>
      <c r="T199" s="536"/>
      <c r="U199" s="463">
        <v>3</v>
      </c>
      <c r="V199" s="464">
        <v>2189.4545454545469</v>
      </c>
      <c r="W199" s="465">
        <v>729.81818181818232</v>
      </c>
      <c r="X199" s="463">
        <f t="shared" si="68"/>
        <v>15</v>
      </c>
      <c r="Y199" s="536"/>
      <c r="Z199" s="318"/>
      <c r="AA199" s="182"/>
      <c r="AB199" s="319"/>
      <c r="AC199" s="318" t="e">
        <f t="shared" si="69"/>
        <v>#N/A</v>
      </c>
      <c r="AD199" s="538"/>
      <c r="AE199" s="318"/>
      <c r="AF199" s="182"/>
      <c r="AG199" s="319"/>
      <c r="AH199" s="318" t="e">
        <f t="shared" si="70"/>
        <v>#N/A</v>
      </c>
      <c r="AI199" s="538"/>
      <c r="AJ199" s="318"/>
      <c r="AK199" s="182"/>
      <c r="AL199" s="319"/>
      <c r="AM199" s="318" t="e">
        <f t="shared" si="71"/>
        <v>#N/A</v>
      </c>
      <c r="AN199" s="538"/>
      <c r="AO199" s="318"/>
      <c r="AP199" s="182"/>
      <c r="AQ199" s="319"/>
      <c r="AR199" s="318" t="e">
        <f t="shared" si="72"/>
        <v>#N/A</v>
      </c>
      <c r="AS199" s="538"/>
      <c r="AT199" s="318"/>
      <c r="AU199" s="182"/>
      <c r="AV199" s="319"/>
      <c r="AW199" s="318" t="e">
        <f t="shared" si="73"/>
        <v>#N/A</v>
      </c>
      <c r="AX199" s="538"/>
    </row>
    <row r="200" spans="2:50">
      <c r="B200" s="565"/>
      <c r="C200" s="463">
        <v>19</v>
      </c>
      <c r="D200" s="463" t="s">
        <v>577</v>
      </c>
      <c r="E200" s="464">
        <v>12</v>
      </c>
      <c r="F200" s="464">
        <v>1500</v>
      </c>
      <c r="G200" s="464">
        <v>125</v>
      </c>
      <c r="H200" s="547"/>
      <c r="I200" s="464">
        <f t="shared" si="74"/>
        <v>8</v>
      </c>
      <c r="J200" s="464">
        <f t="shared" si="74"/>
        <v>1530.9512195121947</v>
      </c>
      <c r="K200" s="465">
        <f t="shared" si="74"/>
        <v>191.36890243902434</v>
      </c>
      <c r="L200" s="536"/>
      <c r="M200" s="464">
        <f>RANK(K200, K$182:$K$211)</f>
        <v>21</v>
      </c>
      <c r="N200" s="544"/>
      <c r="O200" s="544"/>
      <c r="P200" s="463">
        <v>8</v>
      </c>
      <c r="Q200" s="464">
        <v>1513.9024390243906</v>
      </c>
      <c r="R200" s="464">
        <v>189.23780487804882</v>
      </c>
      <c r="S200" s="463">
        <f t="shared" si="67"/>
        <v>20</v>
      </c>
      <c r="T200" s="536"/>
      <c r="U200" s="463">
        <v>8</v>
      </c>
      <c r="V200" s="464">
        <v>1547.9999999999991</v>
      </c>
      <c r="W200" s="465">
        <v>193.49999999999989</v>
      </c>
      <c r="X200" s="463">
        <f t="shared" si="68"/>
        <v>21</v>
      </c>
      <c r="Y200" s="536"/>
      <c r="Z200" s="318"/>
      <c r="AA200" s="182"/>
      <c r="AB200" s="319"/>
      <c r="AC200" s="318" t="e">
        <f t="shared" si="69"/>
        <v>#N/A</v>
      </c>
      <c r="AD200" s="538"/>
      <c r="AE200" s="318"/>
      <c r="AF200" s="182"/>
      <c r="AG200" s="319"/>
      <c r="AH200" s="318" t="e">
        <f t="shared" si="70"/>
        <v>#N/A</v>
      </c>
      <c r="AI200" s="538"/>
      <c r="AJ200" s="318"/>
      <c r="AK200" s="182"/>
      <c r="AL200" s="319"/>
      <c r="AM200" s="318" t="e">
        <f t="shared" si="71"/>
        <v>#N/A</v>
      </c>
      <c r="AN200" s="538"/>
      <c r="AO200" s="318"/>
      <c r="AP200" s="182"/>
      <c r="AQ200" s="319"/>
      <c r="AR200" s="318" t="e">
        <f t="shared" si="72"/>
        <v>#N/A</v>
      </c>
      <c r="AS200" s="538"/>
      <c r="AT200" s="318"/>
      <c r="AU200" s="182"/>
      <c r="AV200" s="319"/>
      <c r="AW200" s="318" t="e">
        <f t="shared" si="73"/>
        <v>#N/A</v>
      </c>
      <c r="AX200" s="538"/>
    </row>
    <row r="201" spans="2:50">
      <c r="B201" s="565"/>
      <c r="C201" s="463">
        <v>20</v>
      </c>
      <c r="D201" s="463" t="s">
        <v>662</v>
      </c>
      <c r="E201" s="464">
        <v>4</v>
      </c>
      <c r="F201" s="464">
        <v>3000</v>
      </c>
      <c r="G201" s="464">
        <v>750</v>
      </c>
      <c r="H201" s="547"/>
      <c r="I201" s="464">
        <f t="shared" si="74"/>
        <v>4</v>
      </c>
      <c r="J201" s="464">
        <f t="shared" si="74"/>
        <v>2245.2272727272684</v>
      </c>
      <c r="K201" s="465">
        <f t="shared" si="74"/>
        <v>561.30681818181711</v>
      </c>
      <c r="L201" s="536"/>
      <c r="M201" s="464">
        <f>RANK(K201, K$182:$K$211)</f>
        <v>20</v>
      </c>
      <c r="N201" s="544"/>
      <c r="O201" s="544"/>
      <c r="P201" s="463">
        <v>4</v>
      </c>
      <c r="Q201" s="464">
        <v>2429.45454545454</v>
      </c>
      <c r="R201" s="464">
        <v>607.36363636363501</v>
      </c>
      <c r="S201" s="463">
        <f t="shared" si="67"/>
        <v>19</v>
      </c>
      <c r="T201" s="536"/>
      <c r="U201" s="463">
        <v>4</v>
      </c>
      <c r="V201" s="464">
        <v>2060.9999999999964</v>
      </c>
      <c r="W201" s="465">
        <v>515.24999999999909</v>
      </c>
      <c r="X201" s="463">
        <f t="shared" si="68"/>
        <v>20</v>
      </c>
      <c r="Y201" s="536"/>
      <c r="Z201" s="318"/>
      <c r="AA201" s="182"/>
      <c r="AB201" s="319"/>
      <c r="AC201" s="318" t="e">
        <f t="shared" si="69"/>
        <v>#N/A</v>
      </c>
      <c r="AD201" s="538"/>
      <c r="AE201" s="318"/>
      <c r="AF201" s="182"/>
      <c r="AG201" s="319"/>
      <c r="AH201" s="318" t="e">
        <f t="shared" si="70"/>
        <v>#N/A</v>
      </c>
      <c r="AI201" s="538"/>
      <c r="AJ201" s="318"/>
      <c r="AK201" s="182"/>
      <c r="AL201" s="319"/>
      <c r="AM201" s="318" t="e">
        <f t="shared" si="71"/>
        <v>#N/A</v>
      </c>
      <c r="AN201" s="538"/>
      <c r="AO201" s="318"/>
      <c r="AP201" s="182"/>
      <c r="AQ201" s="319"/>
      <c r="AR201" s="318" t="e">
        <f t="shared" si="72"/>
        <v>#N/A</v>
      </c>
      <c r="AS201" s="538"/>
      <c r="AT201" s="318"/>
      <c r="AU201" s="182"/>
      <c r="AV201" s="319"/>
      <c r="AW201" s="318" t="e">
        <f t="shared" si="73"/>
        <v>#N/A</v>
      </c>
      <c r="AX201" s="538"/>
    </row>
    <row r="202" spans="2:50">
      <c r="B202" s="565"/>
      <c r="C202" s="463">
        <v>21</v>
      </c>
      <c r="D202" s="466" t="s">
        <v>900</v>
      </c>
      <c r="E202" s="464">
        <v>3</v>
      </c>
      <c r="F202" s="464">
        <v>2800</v>
      </c>
      <c r="G202" s="464">
        <v>933.33333333333337</v>
      </c>
      <c r="H202" s="547"/>
      <c r="I202" s="464">
        <f t="shared" si="74"/>
        <v>3</v>
      </c>
      <c r="J202" s="464">
        <f t="shared" si="74"/>
        <v>2828.7499999999959</v>
      </c>
      <c r="K202" s="465">
        <f t="shared" si="74"/>
        <v>942.91666666666526</v>
      </c>
      <c r="L202" s="536"/>
      <c r="M202" s="464">
        <f>RANK(K202, K$182:$K$211)</f>
        <v>7</v>
      </c>
      <c r="N202" s="544"/>
      <c r="O202" s="544"/>
      <c r="P202" s="463"/>
      <c r="Q202" s="464"/>
      <c r="R202" s="464"/>
      <c r="S202" s="463" t="e">
        <f t="shared" si="67"/>
        <v>#N/A</v>
      </c>
      <c r="T202" s="536"/>
      <c r="U202" s="463">
        <v>3</v>
      </c>
      <c r="V202" s="464">
        <v>2828.7499999999959</v>
      </c>
      <c r="W202" s="465">
        <v>942.91666666666526</v>
      </c>
      <c r="X202" s="463">
        <f t="shared" si="68"/>
        <v>7</v>
      </c>
      <c r="Y202" s="536"/>
      <c r="Z202" s="318"/>
      <c r="AA202" s="182"/>
      <c r="AB202" s="319"/>
      <c r="AC202" s="318" t="e">
        <f t="shared" si="69"/>
        <v>#N/A</v>
      </c>
      <c r="AD202" s="538"/>
      <c r="AE202" s="318"/>
      <c r="AF202" s="182"/>
      <c r="AG202" s="319"/>
      <c r="AH202" s="318" t="e">
        <f t="shared" si="70"/>
        <v>#N/A</v>
      </c>
      <c r="AI202" s="538"/>
      <c r="AJ202" s="318"/>
      <c r="AK202" s="182"/>
      <c r="AL202" s="319"/>
      <c r="AM202" s="318" t="e">
        <f t="shared" si="71"/>
        <v>#N/A</v>
      </c>
      <c r="AN202" s="538"/>
      <c r="AO202" s="318"/>
      <c r="AP202" s="182"/>
      <c r="AQ202" s="319"/>
      <c r="AR202" s="318" t="e">
        <f t="shared" si="72"/>
        <v>#N/A</v>
      </c>
      <c r="AS202" s="538"/>
      <c r="AT202" s="318"/>
      <c r="AU202" s="182"/>
      <c r="AV202" s="319"/>
      <c r="AW202" s="318" t="e">
        <f t="shared" si="73"/>
        <v>#N/A</v>
      </c>
      <c r="AX202" s="538"/>
    </row>
    <row r="203" spans="2:50">
      <c r="B203" s="565"/>
      <c r="C203" s="463">
        <v>22</v>
      </c>
      <c r="D203" s="463"/>
      <c r="E203" s="464" t="str">
        <f>IFERROR(VLOOKUP($D203,[1]ST總表!$A$2:$D$133,2,0),"")</f>
        <v/>
      </c>
      <c r="F203" s="464" t="str">
        <f>IFERROR(VLOOKUP($D203,[1]ST總表!$A$2:$D$133,3,0),"")</f>
        <v/>
      </c>
      <c r="G203" s="464" t="str">
        <f>IFERROR(VLOOKUP($D203,[1]ST總表!$A$2:$D$133,4,0),"")</f>
        <v/>
      </c>
      <c r="H203" s="547"/>
      <c r="I203" s="464"/>
      <c r="J203" s="464"/>
      <c r="K203" s="465"/>
      <c r="L203" s="536"/>
      <c r="M203" s="464" t="e">
        <f>RANK(K203, K$182:$K$211)</f>
        <v>#N/A</v>
      </c>
      <c r="N203" s="544"/>
      <c r="O203" s="544"/>
      <c r="P203" s="463"/>
      <c r="Q203" s="464"/>
      <c r="R203" s="464"/>
      <c r="S203" s="463" t="e">
        <f t="shared" si="67"/>
        <v>#N/A</v>
      </c>
      <c r="T203" s="536"/>
      <c r="U203" s="463"/>
      <c r="V203" s="464"/>
      <c r="W203" s="465"/>
      <c r="X203" s="463" t="e">
        <f t="shared" si="68"/>
        <v>#N/A</v>
      </c>
      <c r="Y203" s="536"/>
      <c r="Z203" s="318"/>
      <c r="AA203" s="182"/>
      <c r="AB203" s="319"/>
      <c r="AC203" s="318" t="e">
        <f t="shared" si="69"/>
        <v>#N/A</v>
      </c>
      <c r="AD203" s="538"/>
      <c r="AE203" s="318"/>
      <c r="AF203" s="182"/>
      <c r="AG203" s="319"/>
      <c r="AH203" s="318" t="e">
        <f t="shared" si="70"/>
        <v>#N/A</v>
      </c>
      <c r="AI203" s="538"/>
      <c r="AJ203" s="318"/>
      <c r="AK203" s="182"/>
      <c r="AL203" s="319"/>
      <c r="AM203" s="318" t="e">
        <f t="shared" si="71"/>
        <v>#N/A</v>
      </c>
      <c r="AN203" s="538"/>
      <c r="AO203" s="318"/>
      <c r="AP203" s="182"/>
      <c r="AQ203" s="319"/>
      <c r="AR203" s="318" t="e">
        <f t="shared" si="72"/>
        <v>#N/A</v>
      </c>
      <c r="AS203" s="538"/>
      <c r="AT203" s="318"/>
      <c r="AU203" s="182"/>
      <c r="AV203" s="319"/>
      <c r="AW203" s="318" t="e">
        <f t="shared" si="73"/>
        <v>#N/A</v>
      </c>
      <c r="AX203" s="538"/>
    </row>
    <row r="204" spans="2:50">
      <c r="B204" s="565"/>
      <c r="C204" s="463">
        <v>23</v>
      </c>
      <c r="D204" s="463"/>
      <c r="E204" s="464" t="str">
        <f>IFERROR(VLOOKUP($D204,[1]ST總表!$A$2:$D$133,2,0),"")</f>
        <v/>
      </c>
      <c r="F204" s="464" t="str">
        <f>IFERROR(VLOOKUP($D204,[1]ST總表!$A$2:$D$133,3,0),"")</f>
        <v/>
      </c>
      <c r="G204" s="464" t="str">
        <f>IFERROR(VLOOKUP($D204,[1]ST總表!$A$2:$D$133,4,0),"")</f>
        <v/>
      </c>
      <c r="H204" s="547"/>
      <c r="I204" s="464"/>
      <c r="J204" s="464"/>
      <c r="K204" s="465"/>
      <c r="L204" s="536"/>
      <c r="M204" s="464" t="e">
        <f>RANK(K204, K$182:$K$211)</f>
        <v>#N/A</v>
      </c>
      <c r="N204" s="544"/>
      <c r="O204" s="544"/>
      <c r="P204" s="463"/>
      <c r="Q204" s="464"/>
      <c r="R204" s="464"/>
      <c r="S204" s="463" t="e">
        <f t="shared" si="67"/>
        <v>#N/A</v>
      </c>
      <c r="T204" s="536"/>
      <c r="U204" s="463"/>
      <c r="V204" s="464"/>
      <c r="W204" s="465"/>
      <c r="X204" s="463" t="e">
        <f t="shared" si="68"/>
        <v>#N/A</v>
      </c>
      <c r="Y204" s="536"/>
      <c r="Z204" s="318"/>
      <c r="AA204" s="182"/>
      <c r="AB204" s="319"/>
      <c r="AC204" s="318" t="e">
        <f t="shared" si="69"/>
        <v>#N/A</v>
      </c>
      <c r="AD204" s="538"/>
      <c r="AE204" s="318"/>
      <c r="AF204" s="182"/>
      <c r="AG204" s="319"/>
      <c r="AH204" s="318" t="e">
        <f t="shared" si="70"/>
        <v>#N/A</v>
      </c>
      <c r="AI204" s="538"/>
      <c r="AJ204" s="318"/>
      <c r="AK204" s="182"/>
      <c r="AL204" s="319"/>
      <c r="AM204" s="318" t="e">
        <f t="shared" si="71"/>
        <v>#N/A</v>
      </c>
      <c r="AN204" s="538"/>
      <c r="AO204" s="318"/>
      <c r="AP204" s="182"/>
      <c r="AQ204" s="319"/>
      <c r="AR204" s="318" t="e">
        <f t="shared" si="72"/>
        <v>#N/A</v>
      </c>
      <c r="AS204" s="538"/>
      <c r="AT204" s="318"/>
      <c r="AU204" s="182"/>
      <c r="AV204" s="319"/>
      <c r="AW204" s="318" t="e">
        <f t="shared" si="73"/>
        <v>#N/A</v>
      </c>
      <c r="AX204" s="538"/>
    </row>
    <row r="205" spans="2:50">
      <c r="B205" s="565"/>
      <c r="C205" s="463">
        <v>24</v>
      </c>
      <c r="D205" s="426"/>
      <c r="E205" s="464" t="str">
        <f>IFERROR(VLOOKUP($D205,[1]ST總表!$A$2:$D$133,2,0),"")</f>
        <v/>
      </c>
      <c r="F205" s="464" t="str">
        <f>IFERROR(VLOOKUP($D205,[1]ST總表!$A$2:$D$133,3,0),"")</f>
        <v/>
      </c>
      <c r="G205" s="464" t="str">
        <f>IFERROR(VLOOKUP($D205,[1]ST總表!$A$2:$D$133,4,0),"")</f>
        <v/>
      </c>
      <c r="H205" s="547"/>
      <c r="I205" s="464"/>
      <c r="J205" s="464"/>
      <c r="K205" s="465"/>
      <c r="L205" s="536"/>
      <c r="M205" s="464" t="e">
        <f>RANK(K205, K$182:$K$211)</f>
        <v>#N/A</v>
      </c>
      <c r="N205" s="544"/>
      <c r="O205" s="544"/>
      <c r="P205" s="463"/>
      <c r="Q205" s="464"/>
      <c r="R205" s="464"/>
      <c r="S205" s="463" t="e">
        <f t="shared" si="67"/>
        <v>#N/A</v>
      </c>
      <c r="T205" s="536"/>
      <c r="U205" s="463"/>
      <c r="V205" s="464"/>
      <c r="W205" s="464"/>
      <c r="X205" s="463" t="e">
        <f t="shared" si="68"/>
        <v>#N/A</v>
      </c>
      <c r="Y205" s="536"/>
      <c r="Z205" s="318"/>
      <c r="AA205" s="318"/>
      <c r="AB205" s="318"/>
      <c r="AC205" s="318" t="e">
        <f t="shared" si="69"/>
        <v>#N/A</v>
      </c>
      <c r="AD205" s="538"/>
      <c r="AE205" s="318"/>
      <c r="AF205" s="318"/>
      <c r="AG205" s="318"/>
      <c r="AH205" s="318" t="e">
        <f t="shared" si="70"/>
        <v>#N/A</v>
      </c>
      <c r="AI205" s="538"/>
      <c r="AJ205" s="318"/>
      <c r="AK205" s="318"/>
      <c r="AL205" s="318"/>
      <c r="AM205" s="318" t="e">
        <f t="shared" si="71"/>
        <v>#N/A</v>
      </c>
      <c r="AN205" s="538"/>
      <c r="AO205" s="318"/>
      <c r="AP205" s="318"/>
      <c r="AQ205" s="318"/>
      <c r="AR205" s="318" t="e">
        <f t="shared" si="72"/>
        <v>#N/A</v>
      </c>
      <c r="AS205" s="538"/>
      <c r="AT205" s="318"/>
      <c r="AU205" s="318"/>
      <c r="AV205" s="318"/>
      <c r="AW205" s="318" t="e">
        <f t="shared" si="73"/>
        <v>#N/A</v>
      </c>
      <c r="AX205" s="538"/>
    </row>
    <row r="206" spans="2:50">
      <c r="B206" s="565"/>
      <c r="C206" s="463">
        <v>25</v>
      </c>
      <c r="D206" s="463"/>
      <c r="E206" s="464" t="str">
        <f>IFERROR(VLOOKUP($D206,[1]ST總表!$A$2:$D$133,2,0),"")</f>
        <v/>
      </c>
      <c r="F206" s="464" t="str">
        <f>IFERROR(VLOOKUP($D206,[1]ST總表!$A$2:$D$133,3,0),"")</f>
        <v/>
      </c>
      <c r="G206" s="464" t="str">
        <f>IFERROR(VLOOKUP($D206,[1]ST總表!$A$2:$D$133,4,0),"")</f>
        <v/>
      </c>
      <c r="H206" s="547"/>
      <c r="I206" s="464"/>
      <c r="J206" s="464"/>
      <c r="K206" s="465"/>
      <c r="L206" s="536"/>
      <c r="M206" s="464" t="e">
        <f>RANK(K206, K$182:$K$211)</f>
        <v>#N/A</v>
      </c>
      <c r="N206" s="544"/>
      <c r="O206" s="544"/>
      <c r="P206" s="463"/>
      <c r="Q206" s="464"/>
      <c r="R206" s="464"/>
      <c r="S206" s="463" t="e">
        <f t="shared" si="67"/>
        <v>#N/A</v>
      </c>
      <c r="T206" s="536"/>
      <c r="U206" s="463"/>
      <c r="V206" s="463"/>
      <c r="W206" s="463"/>
      <c r="X206" s="463" t="e">
        <f t="shared" si="68"/>
        <v>#N/A</v>
      </c>
      <c r="Y206" s="536"/>
      <c r="Z206" s="318"/>
      <c r="AA206" s="318"/>
      <c r="AB206" s="318"/>
      <c r="AC206" s="318" t="e">
        <f t="shared" si="69"/>
        <v>#N/A</v>
      </c>
      <c r="AD206" s="538"/>
      <c r="AE206" s="318"/>
      <c r="AF206" s="318"/>
      <c r="AG206" s="318"/>
      <c r="AH206" s="318" t="e">
        <f t="shared" si="70"/>
        <v>#N/A</v>
      </c>
      <c r="AI206" s="538"/>
      <c r="AJ206" s="318"/>
      <c r="AK206" s="318"/>
      <c r="AL206" s="318"/>
      <c r="AM206" s="318" t="e">
        <f t="shared" si="71"/>
        <v>#N/A</v>
      </c>
      <c r="AN206" s="538"/>
      <c r="AO206" s="318"/>
      <c r="AP206" s="318"/>
      <c r="AQ206" s="318"/>
      <c r="AR206" s="318" t="e">
        <f t="shared" si="72"/>
        <v>#N/A</v>
      </c>
      <c r="AS206" s="538"/>
      <c r="AT206" s="318"/>
      <c r="AU206" s="318"/>
      <c r="AV206" s="318"/>
      <c r="AW206" s="318" t="e">
        <f t="shared" si="73"/>
        <v>#N/A</v>
      </c>
      <c r="AX206" s="538"/>
    </row>
    <row r="207" spans="2:50">
      <c r="B207" s="565"/>
      <c r="C207" s="463">
        <v>26</v>
      </c>
      <c r="D207" s="463"/>
      <c r="E207" s="464" t="str">
        <f>IFERROR(VLOOKUP($D207,[1]ST總表!$A$2:$D$133,2,0),"")</f>
        <v/>
      </c>
      <c r="F207" s="464" t="str">
        <f>IFERROR(VLOOKUP($D207,[1]ST總表!$A$2:$D$133,3,0),"")</f>
        <v/>
      </c>
      <c r="G207" s="464" t="str">
        <f>IFERROR(VLOOKUP($D207,[1]ST總表!$A$2:$D$133,4,0),"")</f>
        <v/>
      </c>
      <c r="H207" s="547"/>
      <c r="I207" s="464"/>
      <c r="J207" s="464"/>
      <c r="K207" s="465"/>
      <c r="L207" s="536"/>
      <c r="M207" s="464" t="e">
        <f>RANK(K207, K$182:$K$211)</f>
        <v>#N/A</v>
      </c>
      <c r="N207" s="544"/>
      <c r="O207" s="544"/>
      <c r="P207" s="463"/>
      <c r="Q207" s="464"/>
      <c r="R207" s="464"/>
      <c r="S207" s="463" t="e">
        <f t="shared" si="67"/>
        <v>#N/A</v>
      </c>
      <c r="T207" s="536"/>
      <c r="U207" s="463"/>
      <c r="V207" s="463"/>
      <c r="W207" s="463"/>
      <c r="X207" s="463" t="e">
        <f t="shared" si="68"/>
        <v>#N/A</v>
      </c>
      <c r="Y207" s="536"/>
      <c r="Z207" s="318"/>
      <c r="AA207" s="318"/>
      <c r="AB207" s="318"/>
      <c r="AC207" s="318" t="e">
        <f t="shared" si="69"/>
        <v>#N/A</v>
      </c>
      <c r="AD207" s="538"/>
      <c r="AE207" s="318"/>
      <c r="AF207" s="318"/>
      <c r="AG207" s="318"/>
      <c r="AH207" s="318" t="e">
        <f t="shared" si="70"/>
        <v>#N/A</v>
      </c>
      <c r="AI207" s="538"/>
      <c r="AJ207" s="318"/>
      <c r="AK207" s="318"/>
      <c r="AL207" s="318"/>
      <c r="AM207" s="318" t="e">
        <f t="shared" si="71"/>
        <v>#N/A</v>
      </c>
      <c r="AN207" s="538"/>
      <c r="AO207" s="318"/>
      <c r="AP207" s="318"/>
      <c r="AQ207" s="318"/>
      <c r="AR207" s="318" t="e">
        <f t="shared" si="72"/>
        <v>#N/A</v>
      </c>
      <c r="AS207" s="538"/>
      <c r="AT207" s="318"/>
      <c r="AU207" s="318"/>
      <c r="AV207" s="318"/>
      <c r="AW207" s="318" t="e">
        <f t="shared" si="73"/>
        <v>#N/A</v>
      </c>
      <c r="AX207" s="538"/>
    </row>
    <row r="208" spans="2:50">
      <c r="B208" s="565"/>
      <c r="C208" s="463">
        <v>27</v>
      </c>
      <c r="D208" s="463"/>
      <c r="E208" s="464" t="str">
        <f>IFERROR(VLOOKUP($D208,[1]ST總表!$A$2:$D$133,2,0),"")</f>
        <v/>
      </c>
      <c r="F208" s="464" t="str">
        <f>IFERROR(VLOOKUP($D208,[1]ST總表!$A$2:$D$133,3,0),"")</f>
        <v/>
      </c>
      <c r="G208" s="464" t="str">
        <f>IFERROR(VLOOKUP($D208,[1]ST總表!$A$2:$D$133,4,0),"")</f>
        <v/>
      </c>
      <c r="H208" s="547"/>
      <c r="I208" s="464"/>
      <c r="J208" s="464"/>
      <c r="K208" s="465"/>
      <c r="L208" s="536"/>
      <c r="M208" s="464" t="e">
        <f>RANK(K208, K$182:$K$211)</f>
        <v>#N/A</v>
      </c>
      <c r="N208" s="544"/>
      <c r="O208" s="544"/>
      <c r="P208" s="463"/>
      <c r="Q208" s="464"/>
      <c r="R208" s="464"/>
      <c r="S208" s="463" t="e">
        <f t="shared" si="67"/>
        <v>#N/A</v>
      </c>
      <c r="T208" s="536"/>
      <c r="U208" s="463"/>
      <c r="V208" s="463"/>
      <c r="W208" s="463"/>
      <c r="X208" s="463" t="e">
        <f t="shared" si="68"/>
        <v>#N/A</v>
      </c>
      <c r="Y208" s="536"/>
      <c r="Z208" s="318"/>
      <c r="AA208" s="318"/>
      <c r="AB208" s="318"/>
      <c r="AC208" s="318" t="e">
        <f t="shared" si="69"/>
        <v>#N/A</v>
      </c>
      <c r="AD208" s="538"/>
      <c r="AE208" s="318"/>
      <c r="AF208" s="318"/>
      <c r="AG208" s="318"/>
      <c r="AH208" s="318" t="e">
        <f t="shared" si="70"/>
        <v>#N/A</v>
      </c>
      <c r="AI208" s="538"/>
      <c r="AJ208" s="318"/>
      <c r="AK208" s="318"/>
      <c r="AL208" s="318"/>
      <c r="AM208" s="318" t="e">
        <f t="shared" si="71"/>
        <v>#N/A</v>
      </c>
      <c r="AN208" s="538"/>
      <c r="AO208" s="318"/>
      <c r="AP208" s="318"/>
      <c r="AQ208" s="318"/>
      <c r="AR208" s="318" t="e">
        <f t="shared" si="72"/>
        <v>#N/A</v>
      </c>
      <c r="AS208" s="538"/>
      <c r="AT208" s="318"/>
      <c r="AU208" s="318"/>
      <c r="AV208" s="318"/>
      <c r="AW208" s="318" t="e">
        <f t="shared" si="73"/>
        <v>#N/A</v>
      </c>
      <c r="AX208" s="538"/>
    </row>
    <row r="209" spans="2:50">
      <c r="B209" s="565"/>
      <c r="C209" s="463">
        <v>28</v>
      </c>
      <c r="D209" s="463"/>
      <c r="E209" s="464" t="str">
        <f>IFERROR(VLOOKUP($D209,[1]ST總表!$A$2:$D$133,2,0),"")</f>
        <v/>
      </c>
      <c r="F209" s="464" t="str">
        <f>IFERROR(VLOOKUP($D209,[1]ST總表!$A$2:$D$133,3,0),"")</f>
        <v/>
      </c>
      <c r="G209" s="464" t="str">
        <f>IFERROR(VLOOKUP($D209,[1]ST總表!$A$2:$D$133,4,0),"")</f>
        <v/>
      </c>
      <c r="H209" s="547"/>
      <c r="I209" s="464"/>
      <c r="J209" s="464"/>
      <c r="K209" s="465"/>
      <c r="L209" s="536"/>
      <c r="M209" s="464" t="e">
        <f>RANK(K209, K$182:$K$211)</f>
        <v>#N/A</v>
      </c>
      <c r="N209" s="544"/>
      <c r="O209" s="544"/>
      <c r="P209" s="463"/>
      <c r="Q209" s="464"/>
      <c r="R209" s="464"/>
      <c r="S209" s="463" t="e">
        <f t="shared" si="67"/>
        <v>#N/A</v>
      </c>
      <c r="T209" s="536"/>
      <c r="U209" s="463"/>
      <c r="V209" s="463"/>
      <c r="W209" s="463"/>
      <c r="X209" s="463" t="e">
        <f t="shared" si="68"/>
        <v>#N/A</v>
      </c>
      <c r="Y209" s="536"/>
      <c r="Z209" s="318"/>
      <c r="AA209" s="318"/>
      <c r="AB209" s="318"/>
      <c r="AC209" s="318" t="e">
        <f t="shared" si="69"/>
        <v>#N/A</v>
      </c>
      <c r="AD209" s="538"/>
      <c r="AE209" s="318"/>
      <c r="AF209" s="318"/>
      <c r="AG209" s="318"/>
      <c r="AH209" s="318" t="e">
        <f t="shared" si="70"/>
        <v>#N/A</v>
      </c>
      <c r="AI209" s="538"/>
      <c r="AJ209" s="318"/>
      <c r="AK209" s="318"/>
      <c r="AL209" s="318"/>
      <c r="AM209" s="318" t="e">
        <f t="shared" si="71"/>
        <v>#N/A</v>
      </c>
      <c r="AN209" s="538"/>
      <c r="AO209" s="318"/>
      <c r="AP209" s="318"/>
      <c r="AQ209" s="318"/>
      <c r="AR209" s="318" t="e">
        <f t="shared" si="72"/>
        <v>#N/A</v>
      </c>
      <c r="AS209" s="538"/>
      <c r="AT209" s="318"/>
      <c r="AU209" s="318"/>
      <c r="AV209" s="318"/>
      <c r="AW209" s="318" t="e">
        <f t="shared" si="73"/>
        <v>#N/A</v>
      </c>
      <c r="AX209" s="538"/>
    </row>
    <row r="210" spans="2:50">
      <c r="B210" s="565"/>
      <c r="C210" s="463">
        <v>29</v>
      </c>
      <c r="D210" s="463"/>
      <c r="E210" s="464" t="str">
        <f>IFERROR(VLOOKUP($D210,[1]ST總表!$A$2:$D$133,2,0),"")</f>
        <v/>
      </c>
      <c r="F210" s="464" t="str">
        <f>IFERROR(VLOOKUP($D210,[1]ST總表!$A$2:$D$133,3,0),"")</f>
        <v/>
      </c>
      <c r="G210" s="464" t="str">
        <f>IFERROR(VLOOKUP($D210,[1]ST總表!$A$2:$D$133,4,0),"")</f>
        <v/>
      </c>
      <c r="H210" s="547"/>
      <c r="I210" s="464"/>
      <c r="J210" s="464"/>
      <c r="K210" s="465"/>
      <c r="L210" s="536"/>
      <c r="M210" s="464" t="e">
        <f>RANK(K210, K$182:$K$211)</f>
        <v>#N/A</v>
      </c>
      <c r="N210" s="544"/>
      <c r="O210" s="544"/>
      <c r="P210" s="463"/>
      <c r="Q210" s="464"/>
      <c r="R210" s="464"/>
      <c r="S210" s="463" t="e">
        <f t="shared" si="67"/>
        <v>#N/A</v>
      </c>
      <c r="T210" s="536"/>
      <c r="U210" s="463"/>
      <c r="V210" s="463"/>
      <c r="W210" s="463"/>
      <c r="X210" s="463" t="e">
        <f t="shared" si="68"/>
        <v>#N/A</v>
      </c>
      <c r="Y210" s="536"/>
      <c r="Z210" s="318"/>
      <c r="AA210" s="318"/>
      <c r="AB210" s="318"/>
      <c r="AC210" s="318" t="e">
        <f t="shared" si="69"/>
        <v>#N/A</v>
      </c>
      <c r="AD210" s="538"/>
      <c r="AE210" s="318"/>
      <c r="AF210" s="318"/>
      <c r="AG210" s="318"/>
      <c r="AH210" s="318" t="e">
        <f t="shared" si="70"/>
        <v>#N/A</v>
      </c>
      <c r="AI210" s="538"/>
      <c r="AJ210" s="318"/>
      <c r="AK210" s="318"/>
      <c r="AL210" s="318"/>
      <c r="AM210" s="318" t="e">
        <f t="shared" si="71"/>
        <v>#N/A</v>
      </c>
      <c r="AN210" s="538"/>
      <c r="AO210" s="318"/>
      <c r="AP210" s="318"/>
      <c r="AQ210" s="318"/>
      <c r="AR210" s="318" t="e">
        <f t="shared" si="72"/>
        <v>#N/A</v>
      </c>
      <c r="AS210" s="538"/>
      <c r="AT210" s="318"/>
      <c r="AU210" s="318"/>
      <c r="AV210" s="318"/>
      <c r="AW210" s="318" t="e">
        <f t="shared" si="73"/>
        <v>#N/A</v>
      </c>
      <c r="AX210" s="538"/>
    </row>
    <row r="211" spans="2:50">
      <c r="B211" s="565"/>
      <c r="C211" s="463">
        <v>30</v>
      </c>
      <c r="D211" s="463"/>
      <c r="E211" s="464" t="str">
        <f>IFERROR(VLOOKUP($D211,[1]ST總表!$A$2:$D$133,2,0),"")</f>
        <v/>
      </c>
      <c r="F211" s="464" t="str">
        <f>IFERROR(VLOOKUP($D211,[1]ST總表!$A$2:$D$133,3,0),"")</f>
        <v/>
      </c>
      <c r="G211" s="464" t="str">
        <f>IFERROR(VLOOKUP($D211,[1]ST總表!$A$2:$D$133,4,0),"")</f>
        <v/>
      </c>
      <c r="H211" s="547"/>
      <c r="I211" s="464"/>
      <c r="J211" s="464"/>
      <c r="K211" s="465"/>
      <c r="L211" s="536"/>
      <c r="M211" s="464" t="e">
        <f>RANK(K211, K$182:$K$211)</f>
        <v>#N/A</v>
      </c>
      <c r="N211" s="544"/>
      <c r="O211" s="544"/>
      <c r="P211" s="463"/>
      <c r="Q211" s="464"/>
      <c r="R211" s="464"/>
      <c r="S211" s="463" t="e">
        <f t="shared" si="67"/>
        <v>#N/A</v>
      </c>
      <c r="T211" s="536"/>
      <c r="U211" s="463"/>
      <c r="V211" s="463"/>
      <c r="W211" s="463"/>
      <c r="X211" s="463" t="e">
        <f t="shared" si="68"/>
        <v>#N/A</v>
      </c>
      <c r="Y211" s="536"/>
      <c r="Z211" s="318"/>
      <c r="AA211" s="318"/>
      <c r="AB211" s="318"/>
      <c r="AC211" s="318" t="e">
        <f t="shared" si="69"/>
        <v>#N/A</v>
      </c>
      <c r="AD211" s="539"/>
      <c r="AE211" s="318"/>
      <c r="AF211" s="318"/>
      <c r="AG211" s="318"/>
      <c r="AH211" s="318" t="e">
        <f t="shared" si="70"/>
        <v>#N/A</v>
      </c>
      <c r="AI211" s="539"/>
      <c r="AJ211" s="318"/>
      <c r="AK211" s="318"/>
      <c r="AL211" s="318"/>
      <c r="AM211" s="318" t="e">
        <f t="shared" si="71"/>
        <v>#N/A</v>
      </c>
      <c r="AN211" s="539"/>
      <c r="AO211" s="318"/>
      <c r="AP211" s="318"/>
      <c r="AQ211" s="318"/>
      <c r="AR211" s="318" t="e">
        <f t="shared" si="72"/>
        <v>#N/A</v>
      </c>
      <c r="AS211" s="539"/>
      <c r="AT211" s="318"/>
      <c r="AU211" s="318"/>
      <c r="AV211" s="318"/>
      <c r="AW211" s="318" t="e">
        <f t="shared" si="73"/>
        <v>#N/A</v>
      </c>
      <c r="AX211" s="539"/>
    </row>
    <row r="213" spans="2:50" ht="15.5">
      <c r="B213" s="540" t="s">
        <v>485</v>
      </c>
      <c r="C213" s="541"/>
      <c r="D213" s="541"/>
      <c r="E213" s="541"/>
      <c r="F213" s="541"/>
      <c r="G213" s="541"/>
      <c r="H213" s="542"/>
      <c r="I213" s="308"/>
      <c r="J213" s="308"/>
      <c r="K213" s="308"/>
      <c r="L213" s="308"/>
      <c r="M213" s="309"/>
    </row>
    <row r="214" spans="2:50" ht="15.5">
      <c r="B214" s="543"/>
      <c r="C214" s="543"/>
      <c r="D214" s="543"/>
      <c r="E214" s="543"/>
      <c r="F214" s="543"/>
      <c r="G214" s="543"/>
      <c r="H214" s="543"/>
      <c r="I214" s="310"/>
      <c r="J214" s="310"/>
      <c r="K214" s="310"/>
      <c r="L214" s="310"/>
      <c r="M214" s="311"/>
    </row>
    <row r="215" spans="2:50">
      <c r="B215" s="544" t="s">
        <v>486</v>
      </c>
      <c r="C215" s="544" t="s">
        <v>487</v>
      </c>
      <c r="D215" s="544"/>
      <c r="E215" s="544" t="s">
        <v>488</v>
      </c>
      <c r="F215" s="544"/>
      <c r="G215" s="544"/>
      <c r="H215" s="544" t="s">
        <v>489</v>
      </c>
      <c r="I215" s="545" t="s">
        <v>490</v>
      </c>
      <c r="J215" s="545"/>
      <c r="K215" s="545"/>
      <c r="L215" s="545" t="s">
        <v>489</v>
      </c>
      <c r="M215" s="545" t="s">
        <v>491</v>
      </c>
    </row>
    <row r="216" spans="2:50">
      <c r="B216" s="544"/>
      <c r="C216" s="544"/>
      <c r="D216" s="544"/>
      <c r="E216" s="544" t="s">
        <v>492</v>
      </c>
      <c r="F216" s="544"/>
      <c r="G216" s="544"/>
      <c r="H216" s="544"/>
      <c r="I216" s="545" t="s">
        <v>492</v>
      </c>
      <c r="J216" s="545"/>
      <c r="K216" s="545"/>
      <c r="L216" s="545"/>
      <c r="M216" s="545"/>
    </row>
    <row r="217" spans="2:50">
      <c r="B217" s="544"/>
      <c r="C217" s="544"/>
      <c r="D217" s="544"/>
      <c r="E217" s="305" t="s">
        <v>493</v>
      </c>
      <c r="F217" s="305" t="s">
        <v>494</v>
      </c>
      <c r="G217" s="305" t="s">
        <v>495</v>
      </c>
      <c r="H217" s="544"/>
      <c r="I217" s="312" t="s">
        <v>493</v>
      </c>
      <c r="J217" s="312" t="s">
        <v>494</v>
      </c>
      <c r="K217" s="312" t="s">
        <v>495</v>
      </c>
      <c r="L217" s="545"/>
      <c r="M217" s="545"/>
    </row>
    <row r="218" spans="2:50">
      <c r="B218" s="532" t="s">
        <v>496</v>
      </c>
      <c r="C218" s="304">
        <v>1</v>
      </c>
      <c r="D218" s="469" t="s">
        <v>1008</v>
      </c>
      <c r="E218" s="304">
        <v>4</v>
      </c>
      <c r="F218" s="304">
        <v>2200</v>
      </c>
      <c r="G218" s="304">
        <v>550</v>
      </c>
      <c r="H218" s="534">
        <f>AVERAGE(G218:G247)</f>
        <v>859.12698412698421</v>
      </c>
      <c r="I218" s="199">
        <f t="shared" ref="I218:K238" si="75">AVERAGEIF($D$7:$D$211,$D218,I$7:I$211)</f>
        <v>3.3333333333333335</v>
      </c>
      <c r="J218" s="199">
        <f t="shared" si="75"/>
        <v>3196.2924833166398</v>
      </c>
      <c r="K218" s="468">
        <f>AVERAGEIF($D$7:$D$211,$D218,K$7:K$211)</f>
        <v>977.48144674981506</v>
      </c>
      <c r="L218" s="535">
        <f>AVERAGE(K218:K247)</f>
        <v>787.2849251532964</v>
      </c>
      <c r="M218" s="199">
        <f>RANK(K218, K$218:$K$247)</f>
        <v>2</v>
      </c>
    </row>
    <row r="219" spans="2:50">
      <c r="B219" s="533"/>
      <c r="C219" s="304">
        <v>2</v>
      </c>
      <c r="D219" s="304" t="s">
        <v>360</v>
      </c>
      <c r="E219" s="304">
        <v>3</v>
      </c>
      <c r="F219" s="304">
        <v>2700</v>
      </c>
      <c r="G219" s="304">
        <v>900</v>
      </c>
      <c r="H219" s="534"/>
      <c r="I219" s="199">
        <f t="shared" si="75"/>
        <v>3</v>
      </c>
      <c r="J219" s="199">
        <f t="shared" si="75"/>
        <v>2842.6469618150309</v>
      </c>
      <c r="K219" s="468">
        <f t="shared" si="75"/>
        <v>947.54898727167676</v>
      </c>
      <c r="L219" s="535"/>
      <c r="M219" s="199">
        <f>RANK(K219, K$218:$K$247)</f>
        <v>5</v>
      </c>
    </row>
    <row r="220" spans="2:50">
      <c r="B220" s="533"/>
      <c r="C220" s="304">
        <v>3</v>
      </c>
      <c r="D220" s="304" t="s">
        <v>346</v>
      </c>
      <c r="E220" s="304">
        <v>4</v>
      </c>
      <c r="F220" s="304">
        <v>3600</v>
      </c>
      <c r="G220" s="304">
        <v>900</v>
      </c>
      <c r="H220" s="534"/>
      <c r="I220" s="199">
        <f t="shared" si="75"/>
        <v>4</v>
      </c>
      <c r="J220" s="199">
        <f t="shared" si="75"/>
        <v>3222.9140249241646</v>
      </c>
      <c r="K220" s="468">
        <f t="shared" si="75"/>
        <v>805.72850623104114</v>
      </c>
      <c r="L220" s="535"/>
      <c r="M220" s="199">
        <f>RANK(K220, K$218:$K$247)</f>
        <v>10</v>
      </c>
    </row>
    <row r="221" spans="2:50">
      <c r="B221" s="533"/>
      <c r="C221" s="304">
        <v>4</v>
      </c>
      <c r="D221" s="469" t="s">
        <v>1006</v>
      </c>
      <c r="E221" s="304">
        <v>3</v>
      </c>
      <c r="F221" s="304">
        <v>3600</v>
      </c>
      <c r="G221" s="304">
        <v>1200</v>
      </c>
      <c r="H221" s="534"/>
      <c r="I221" s="199">
        <f t="shared" si="75"/>
        <v>3</v>
      </c>
      <c r="J221" s="199">
        <f t="shared" si="75"/>
        <v>3096.9516638129894</v>
      </c>
      <c r="K221" s="468">
        <f t="shared" si="75"/>
        <v>1032.3172212709965</v>
      </c>
      <c r="L221" s="535"/>
      <c r="M221" s="199">
        <f>RANK(K221, K$218:$K$247)</f>
        <v>1</v>
      </c>
    </row>
    <row r="222" spans="2:50">
      <c r="B222" s="533"/>
      <c r="C222" s="304">
        <v>5</v>
      </c>
      <c r="D222" s="304" t="s">
        <v>363</v>
      </c>
      <c r="E222" s="304">
        <v>3</v>
      </c>
      <c r="F222" s="304">
        <v>3600</v>
      </c>
      <c r="G222" s="304">
        <v>1200</v>
      </c>
      <c r="H222" s="534"/>
      <c r="I222" s="199">
        <f t="shared" si="75"/>
        <v>4</v>
      </c>
      <c r="J222" s="199">
        <f t="shared" si="75"/>
        <v>3186.3212933502832</v>
      </c>
      <c r="K222" s="468">
        <f t="shared" si="75"/>
        <v>796.5803233375708</v>
      </c>
      <c r="L222" s="535"/>
      <c r="M222" s="199">
        <f>RANK(K222, K$218:$K$247)</f>
        <v>12</v>
      </c>
    </row>
    <row r="223" spans="2:50">
      <c r="B223" s="533"/>
      <c r="C223" s="304">
        <v>6</v>
      </c>
      <c r="D223" s="304" t="s">
        <v>361</v>
      </c>
      <c r="E223" s="304">
        <v>4</v>
      </c>
      <c r="F223" s="304">
        <v>3600</v>
      </c>
      <c r="G223" s="304">
        <v>900</v>
      </c>
      <c r="H223" s="534"/>
      <c r="I223" s="199">
        <f t="shared" si="75"/>
        <v>4</v>
      </c>
      <c r="J223" s="199">
        <f t="shared" si="75"/>
        <v>3243.1163178558127</v>
      </c>
      <c r="K223" s="468">
        <f t="shared" si="75"/>
        <v>810.77907946395317</v>
      </c>
      <c r="L223" s="535"/>
      <c r="M223" s="199">
        <f>RANK(K223, K$218:$K$247)</f>
        <v>9</v>
      </c>
    </row>
    <row r="224" spans="2:50">
      <c r="B224" s="533"/>
      <c r="C224" s="304">
        <v>7</v>
      </c>
      <c r="D224" s="304" t="s">
        <v>469</v>
      </c>
      <c r="E224" s="304">
        <v>4</v>
      </c>
      <c r="F224" s="304">
        <v>3600</v>
      </c>
      <c r="G224" s="304">
        <v>900</v>
      </c>
      <c r="H224" s="534"/>
      <c r="I224" s="199">
        <f t="shared" si="75"/>
        <v>4</v>
      </c>
      <c r="J224" s="199">
        <f t="shared" si="75"/>
        <v>3204.6342249020818</v>
      </c>
      <c r="K224" s="468">
        <f t="shared" si="75"/>
        <v>801.15855622552044</v>
      </c>
      <c r="L224" s="535"/>
      <c r="M224" s="199">
        <f>RANK(K224, K$218:$K$247)</f>
        <v>11</v>
      </c>
    </row>
    <row r="225" spans="2:13">
      <c r="B225" s="533"/>
      <c r="C225" s="304">
        <v>8</v>
      </c>
      <c r="D225" s="304" t="s">
        <v>364</v>
      </c>
      <c r="E225" s="304">
        <v>4</v>
      </c>
      <c r="F225" s="304">
        <v>3300</v>
      </c>
      <c r="G225" s="304">
        <v>825</v>
      </c>
      <c r="H225" s="534"/>
      <c r="I225" s="199">
        <f t="shared" si="75"/>
        <v>4</v>
      </c>
      <c r="J225" s="199">
        <f t="shared" si="75"/>
        <v>2761.862135413608</v>
      </c>
      <c r="K225" s="468">
        <f t="shared" si="75"/>
        <v>690.46553385340201</v>
      </c>
      <c r="L225" s="535"/>
      <c r="M225" s="199">
        <f>RANK(K225, K$218:$K$247)</f>
        <v>18</v>
      </c>
    </row>
    <row r="226" spans="2:13">
      <c r="B226" s="533"/>
      <c r="C226" s="304">
        <v>9</v>
      </c>
      <c r="D226" s="304" t="s">
        <v>365</v>
      </c>
      <c r="E226" s="304">
        <v>3</v>
      </c>
      <c r="F226" s="304">
        <v>3300</v>
      </c>
      <c r="G226" s="304">
        <v>1100</v>
      </c>
      <c r="H226" s="534"/>
      <c r="I226" s="199">
        <f t="shared" si="75"/>
        <v>3</v>
      </c>
      <c r="J226" s="199">
        <f t="shared" si="75"/>
        <v>2850.8496506940805</v>
      </c>
      <c r="K226" s="468">
        <f t="shared" si="75"/>
        <v>950.28321689802669</v>
      </c>
      <c r="L226" s="535"/>
      <c r="M226" s="199">
        <f>RANK(K226, K$218:$K$247)</f>
        <v>3</v>
      </c>
    </row>
    <row r="227" spans="2:13">
      <c r="B227" s="533"/>
      <c r="C227" s="304">
        <v>10</v>
      </c>
      <c r="D227" s="304" t="s">
        <v>366</v>
      </c>
      <c r="E227" s="304">
        <v>3</v>
      </c>
      <c r="F227" s="304">
        <v>3300</v>
      </c>
      <c r="G227" s="304">
        <v>1100</v>
      </c>
      <c r="H227" s="534"/>
      <c r="I227" s="199">
        <f t="shared" si="75"/>
        <v>3</v>
      </c>
      <c r="J227" s="199">
        <f t="shared" si="75"/>
        <v>2847.4949644419089</v>
      </c>
      <c r="K227" s="468">
        <f t="shared" si="75"/>
        <v>949.16498814730301</v>
      </c>
      <c r="L227" s="535"/>
      <c r="M227" s="199">
        <f>RANK(K227, K$218:$K$247)</f>
        <v>4</v>
      </c>
    </row>
    <row r="228" spans="2:13">
      <c r="B228" s="533"/>
      <c r="C228" s="304">
        <v>11</v>
      </c>
      <c r="D228" s="304" t="s">
        <v>367</v>
      </c>
      <c r="E228" s="304">
        <v>4</v>
      </c>
      <c r="F228" s="304">
        <v>3300</v>
      </c>
      <c r="G228" s="304">
        <v>825</v>
      </c>
      <c r="H228" s="534"/>
      <c r="I228" s="199">
        <f t="shared" si="75"/>
        <v>4</v>
      </c>
      <c r="J228" s="199">
        <f t="shared" si="75"/>
        <v>2809.3272170320274</v>
      </c>
      <c r="K228" s="468">
        <f t="shared" si="75"/>
        <v>702.33180425800685</v>
      </c>
      <c r="L228" s="535"/>
      <c r="M228" s="199">
        <f>RANK(K228, K$218:$K$247)</f>
        <v>17</v>
      </c>
    </row>
    <row r="229" spans="2:13">
      <c r="B229" s="533"/>
      <c r="C229" s="304">
        <v>12</v>
      </c>
      <c r="D229" s="304" t="s">
        <v>368</v>
      </c>
      <c r="E229" s="304">
        <v>4</v>
      </c>
      <c r="F229" s="304">
        <v>3300</v>
      </c>
      <c r="G229" s="304">
        <v>825</v>
      </c>
      <c r="H229" s="534"/>
      <c r="I229" s="199">
        <f t="shared" si="75"/>
        <v>4</v>
      </c>
      <c r="J229" s="199">
        <f t="shared" si="75"/>
        <v>2811.4355533041817</v>
      </c>
      <c r="K229" s="468">
        <f t="shared" si="75"/>
        <v>702.85888832604542</v>
      </c>
      <c r="L229" s="535"/>
      <c r="M229" s="199">
        <f>RANK(K229, K$218:$K$247)</f>
        <v>16</v>
      </c>
    </row>
    <row r="230" spans="2:13">
      <c r="B230" s="533"/>
      <c r="C230" s="304">
        <v>13</v>
      </c>
      <c r="D230" s="304" t="s">
        <v>570</v>
      </c>
      <c r="E230" s="304">
        <v>4</v>
      </c>
      <c r="F230" s="304">
        <v>2800</v>
      </c>
      <c r="G230" s="304">
        <v>700</v>
      </c>
      <c r="H230" s="534"/>
      <c r="I230" s="199">
        <f t="shared" si="75"/>
        <v>4</v>
      </c>
      <c r="J230" s="199">
        <f t="shared" si="75"/>
        <v>2827.9530512595479</v>
      </c>
      <c r="K230" s="468">
        <f t="shared" si="75"/>
        <v>706.98826281488698</v>
      </c>
      <c r="L230" s="535"/>
      <c r="M230" s="199">
        <f>RANK(K230, K$218:$K$247)</f>
        <v>15</v>
      </c>
    </row>
    <row r="231" spans="2:13">
      <c r="B231" s="533"/>
      <c r="C231" s="304">
        <v>14</v>
      </c>
      <c r="D231" s="304" t="s">
        <v>369</v>
      </c>
      <c r="E231" s="304">
        <v>4</v>
      </c>
      <c r="F231" s="304">
        <v>3600</v>
      </c>
      <c r="G231" s="304">
        <v>900</v>
      </c>
      <c r="H231" s="534"/>
      <c r="I231" s="199">
        <f t="shared" si="75"/>
        <v>4</v>
      </c>
      <c r="J231" s="199">
        <f t="shared" si="75"/>
        <v>2697.4644712430327</v>
      </c>
      <c r="K231" s="468">
        <f t="shared" si="75"/>
        <v>674.36611781075817</v>
      </c>
      <c r="L231" s="535"/>
      <c r="M231" s="199">
        <f>RANK(K231, K$218:$K$247)</f>
        <v>19</v>
      </c>
    </row>
    <row r="232" spans="2:13">
      <c r="B232" s="533"/>
      <c r="C232" s="304">
        <v>15</v>
      </c>
      <c r="D232" s="304" t="s">
        <v>370</v>
      </c>
      <c r="E232" s="304">
        <v>4</v>
      </c>
      <c r="F232" s="304">
        <v>3600</v>
      </c>
      <c r="G232" s="304">
        <v>900</v>
      </c>
      <c r="H232" s="534"/>
      <c r="I232" s="199">
        <f t="shared" si="75"/>
        <v>3.7976190476190474</v>
      </c>
      <c r="J232" s="199">
        <f t="shared" si="75"/>
        <v>2753.1794871794987</v>
      </c>
      <c r="K232" s="468">
        <f t="shared" si="75"/>
        <v>729.60439560439863</v>
      </c>
      <c r="L232" s="535"/>
      <c r="M232" s="199">
        <f>RANK(K232, K$218:$K$247)</f>
        <v>14</v>
      </c>
    </row>
    <row r="233" spans="2:13">
      <c r="B233" s="533"/>
      <c r="C233" s="304">
        <v>16</v>
      </c>
      <c r="D233" s="304" t="s">
        <v>481</v>
      </c>
      <c r="E233" s="304">
        <v>4</v>
      </c>
      <c r="F233" s="304">
        <v>3300</v>
      </c>
      <c r="G233" s="304">
        <v>825</v>
      </c>
      <c r="H233" s="534"/>
      <c r="I233" s="199">
        <f t="shared" si="75"/>
        <v>3</v>
      </c>
      <c r="J233" s="199">
        <f t="shared" si="75"/>
        <v>2826.424187273356</v>
      </c>
      <c r="K233" s="468">
        <f t="shared" si="75"/>
        <v>942.14139575778518</v>
      </c>
      <c r="L233" s="535"/>
      <c r="M233" s="199">
        <f>RANK(K233, K$218:$K$247)</f>
        <v>7</v>
      </c>
    </row>
    <row r="234" spans="2:13">
      <c r="B234" s="533"/>
      <c r="C234" s="304">
        <v>17</v>
      </c>
      <c r="D234" s="304" t="s">
        <v>567</v>
      </c>
      <c r="E234" s="304">
        <v>3</v>
      </c>
      <c r="F234" s="304">
        <v>2800</v>
      </c>
      <c r="G234" s="304">
        <v>933.33333333333337</v>
      </c>
      <c r="H234" s="534"/>
      <c r="I234" s="199">
        <f t="shared" si="75"/>
        <v>3</v>
      </c>
      <c r="J234" s="199">
        <f t="shared" si="75"/>
        <v>2748.0618165013852</v>
      </c>
      <c r="K234" s="468">
        <f t="shared" si="75"/>
        <v>916.0206055004619</v>
      </c>
      <c r="L234" s="535"/>
      <c r="M234" s="199">
        <f>RANK(K234, K$218:$K$247)</f>
        <v>8</v>
      </c>
    </row>
    <row r="235" spans="2:13">
      <c r="B235" s="533"/>
      <c r="C235" s="304">
        <v>18</v>
      </c>
      <c r="D235" s="304" t="s">
        <v>640</v>
      </c>
      <c r="E235" s="304">
        <v>4</v>
      </c>
      <c r="F235" s="304">
        <v>3000</v>
      </c>
      <c r="G235" s="304">
        <v>750</v>
      </c>
      <c r="H235" s="534"/>
      <c r="I235" s="199">
        <f t="shared" si="75"/>
        <v>3.0238095238095237</v>
      </c>
      <c r="J235" s="199">
        <f t="shared" si="75"/>
        <v>2243.5617935796513</v>
      </c>
      <c r="K235" s="468">
        <f t="shared" si="75"/>
        <v>743.62922881226461</v>
      </c>
      <c r="L235" s="535"/>
      <c r="M235" s="199">
        <f>RANK(K235, K$218:$K$247)</f>
        <v>13</v>
      </c>
    </row>
    <row r="236" spans="2:13">
      <c r="B236" s="533"/>
      <c r="C236" s="304">
        <v>19</v>
      </c>
      <c r="D236" s="469" t="s">
        <v>1007</v>
      </c>
      <c r="E236" s="304">
        <v>12</v>
      </c>
      <c r="F236" s="304">
        <v>1500</v>
      </c>
      <c r="G236" s="304">
        <v>125</v>
      </c>
      <c r="H236" s="534"/>
      <c r="I236" s="199">
        <f t="shared" si="75"/>
        <v>10.190476190476192</v>
      </c>
      <c r="J236" s="199">
        <f t="shared" si="75"/>
        <v>1496.2555408473229</v>
      </c>
      <c r="K236" s="468">
        <f t="shared" si="75"/>
        <v>151.86576815371441</v>
      </c>
      <c r="L236" s="535"/>
      <c r="M236" s="199">
        <f>RANK(K236, K$218:$K$247)</f>
        <v>21</v>
      </c>
    </row>
    <row r="237" spans="2:13">
      <c r="B237" s="533"/>
      <c r="C237" s="304">
        <v>20</v>
      </c>
      <c r="D237" s="304" t="s">
        <v>662</v>
      </c>
      <c r="E237" s="304">
        <v>4</v>
      </c>
      <c r="F237" s="304">
        <v>3000</v>
      </c>
      <c r="G237" s="304">
        <v>750</v>
      </c>
      <c r="H237" s="534"/>
      <c r="I237" s="199">
        <f t="shared" si="75"/>
        <v>4</v>
      </c>
      <c r="J237" s="199">
        <f t="shared" si="75"/>
        <v>2235.0097402597366</v>
      </c>
      <c r="K237" s="468">
        <f t="shared" si="75"/>
        <v>558.75243506493416</v>
      </c>
      <c r="L237" s="535"/>
      <c r="M237" s="199">
        <f>RANK(K237, K$218:$K$247)</f>
        <v>20</v>
      </c>
    </row>
    <row r="238" spans="2:13">
      <c r="B238" s="533"/>
      <c r="C238" s="304">
        <v>21</v>
      </c>
      <c r="D238" s="304" t="s">
        <v>900</v>
      </c>
      <c r="E238" s="304">
        <v>3</v>
      </c>
      <c r="F238" s="304">
        <v>2800</v>
      </c>
      <c r="G238" s="304">
        <v>933.33333333333337</v>
      </c>
      <c r="H238" s="534"/>
      <c r="I238" s="199">
        <f t="shared" si="75"/>
        <v>3</v>
      </c>
      <c r="J238" s="199">
        <f t="shared" si="75"/>
        <v>2828.7499999999959</v>
      </c>
      <c r="K238" s="468">
        <f t="shared" si="75"/>
        <v>942.91666666666526</v>
      </c>
      <c r="L238" s="535"/>
      <c r="M238" s="199">
        <f>RANK(K238, K$218:$K$247)</f>
        <v>6</v>
      </c>
    </row>
    <row r="239" spans="2:13">
      <c r="B239" s="533"/>
      <c r="C239" s="304">
        <v>22</v>
      </c>
      <c r="D239" s="304"/>
      <c r="E239" s="304"/>
      <c r="F239" s="304"/>
      <c r="G239" s="304"/>
      <c r="H239" s="534"/>
      <c r="I239" s="199"/>
      <c r="J239" s="199"/>
      <c r="K239" s="468"/>
      <c r="L239" s="535"/>
      <c r="M239" s="199" t="e">
        <f>RANK(K239, K$218:$K$247)</f>
        <v>#N/A</v>
      </c>
    </row>
    <row r="240" spans="2:13">
      <c r="B240" s="533"/>
      <c r="C240" s="304">
        <v>23</v>
      </c>
      <c r="D240" s="304"/>
      <c r="E240" s="304"/>
      <c r="F240" s="304"/>
      <c r="G240" s="304"/>
      <c r="H240" s="534"/>
      <c r="I240" s="199"/>
      <c r="J240" s="199"/>
      <c r="K240" s="468"/>
      <c r="L240" s="535"/>
      <c r="M240" s="199" t="e">
        <f>RANK(K240, K$218:$K$247)</f>
        <v>#N/A</v>
      </c>
    </row>
    <row r="241" spans="2:13">
      <c r="B241" s="533"/>
      <c r="C241" s="304">
        <v>24</v>
      </c>
      <c r="D241" s="304"/>
      <c r="E241" s="304"/>
      <c r="F241" s="304"/>
      <c r="G241" s="304"/>
      <c r="H241" s="534"/>
      <c r="I241" s="199"/>
      <c r="J241" s="199"/>
      <c r="K241" s="468"/>
      <c r="L241" s="535"/>
      <c r="M241" s="199" t="e">
        <f>RANK(K241, K$218:$K$247)</f>
        <v>#N/A</v>
      </c>
    </row>
    <row r="242" spans="2:13">
      <c r="B242" s="533"/>
      <c r="C242" s="304">
        <v>25</v>
      </c>
      <c r="D242" s="304"/>
      <c r="E242" s="304"/>
      <c r="F242" s="304"/>
      <c r="G242" s="304"/>
      <c r="H242" s="534"/>
      <c r="I242" s="199"/>
      <c r="J242" s="199"/>
      <c r="K242" s="468"/>
      <c r="L242" s="535"/>
      <c r="M242" s="199" t="e">
        <f>RANK(K242, K$218:$K$247)</f>
        <v>#N/A</v>
      </c>
    </row>
    <row r="243" spans="2:13">
      <c r="B243" s="533"/>
      <c r="C243" s="304">
        <v>26</v>
      </c>
      <c r="D243" s="304"/>
      <c r="E243" s="304"/>
      <c r="F243" s="304"/>
      <c r="G243" s="304"/>
      <c r="H243" s="534"/>
      <c r="I243" s="199"/>
      <c r="J243" s="199"/>
      <c r="K243" s="468"/>
      <c r="L243" s="535"/>
      <c r="M243" s="199" t="e">
        <f>RANK(K243, K$218:$K$247)</f>
        <v>#N/A</v>
      </c>
    </row>
    <row r="244" spans="2:13">
      <c r="B244" s="533"/>
      <c r="C244" s="304">
        <v>27</v>
      </c>
      <c r="D244" s="304"/>
      <c r="E244" s="304"/>
      <c r="F244" s="304"/>
      <c r="G244" s="304"/>
      <c r="H244" s="534"/>
      <c r="I244" s="199"/>
      <c r="J244" s="199"/>
      <c r="K244" s="468"/>
      <c r="L244" s="535"/>
      <c r="M244" s="199" t="e">
        <f>RANK(K244, K$218:$K$247)</f>
        <v>#N/A</v>
      </c>
    </row>
    <row r="245" spans="2:13">
      <c r="B245" s="533"/>
      <c r="C245" s="304">
        <v>28</v>
      </c>
      <c r="D245" s="304"/>
      <c r="E245" s="304"/>
      <c r="F245" s="304"/>
      <c r="G245" s="304"/>
      <c r="H245" s="534"/>
      <c r="I245" s="199"/>
      <c r="J245" s="199"/>
      <c r="K245" s="468"/>
      <c r="L245" s="535"/>
      <c r="M245" s="199" t="e">
        <f>RANK(K245, K$218:$K$247)</f>
        <v>#N/A</v>
      </c>
    </row>
    <row r="246" spans="2:13">
      <c r="B246" s="533"/>
      <c r="C246" s="304">
        <v>29</v>
      </c>
      <c r="D246" s="304"/>
      <c r="E246" s="304"/>
      <c r="F246" s="304"/>
      <c r="G246" s="304"/>
      <c r="H246" s="534"/>
      <c r="I246" s="199"/>
      <c r="J246" s="199"/>
      <c r="K246" s="468"/>
      <c r="L246" s="535"/>
      <c r="M246" s="199" t="e">
        <f>RANK(K246, K$218:$K$247)</f>
        <v>#N/A</v>
      </c>
    </row>
    <row r="247" spans="2:13">
      <c r="B247" s="533"/>
      <c r="C247" s="304">
        <v>30</v>
      </c>
      <c r="D247" s="304"/>
      <c r="E247" s="304"/>
      <c r="F247" s="304"/>
      <c r="G247" s="304"/>
      <c r="H247" s="534"/>
      <c r="I247" s="199"/>
      <c r="J247" s="199"/>
      <c r="K247" s="468"/>
      <c r="L247" s="535"/>
      <c r="M247" s="199" t="e">
        <f>RANK(K247, K$218:$K$247)</f>
        <v>#N/A</v>
      </c>
    </row>
  </sheetData>
  <mergeCells count="367">
    <mergeCell ref="L112:L141"/>
    <mergeCell ref="I144:K144"/>
    <mergeCell ref="L144:L146"/>
    <mergeCell ref="I145:K145"/>
    <mergeCell ref="L147:L176"/>
    <mergeCell ref="I39:K39"/>
    <mergeCell ref="L39:L41"/>
    <mergeCell ref="I40:K40"/>
    <mergeCell ref="L42:L71"/>
    <mergeCell ref="I74:K74"/>
    <mergeCell ref="L74:L76"/>
    <mergeCell ref="I75:K75"/>
    <mergeCell ref="L77:L106"/>
    <mergeCell ref="I109:K109"/>
    <mergeCell ref="L109:L111"/>
    <mergeCell ref="I110:K110"/>
    <mergeCell ref="AJ110:AM110"/>
    <mergeCell ref="AO110:AR110"/>
    <mergeCell ref="AT110:AW110"/>
    <mergeCell ref="T109:T111"/>
    <mergeCell ref="Y109:Y111"/>
    <mergeCell ref="I4:K4"/>
    <mergeCell ref="L4:L6"/>
    <mergeCell ref="I5:K5"/>
    <mergeCell ref="L7:L36"/>
    <mergeCell ref="AN39:AN41"/>
    <mergeCell ref="AO109:AR109"/>
    <mergeCell ref="AT109:AW109"/>
    <mergeCell ref="P110:S110"/>
    <mergeCell ref="U110:X110"/>
    <mergeCell ref="Z110:AC110"/>
    <mergeCell ref="AE110:AH110"/>
    <mergeCell ref="AE72:AI72"/>
    <mergeCell ref="AE107:AI107"/>
    <mergeCell ref="AS74:AS76"/>
    <mergeCell ref="AE74:AH74"/>
    <mergeCell ref="AI74:AI76"/>
    <mergeCell ref="AN74:AN76"/>
    <mergeCell ref="AJ74:AM74"/>
    <mergeCell ref="AE108:AI108"/>
    <mergeCell ref="AO144:AR144"/>
    <mergeCell ref="AT144:AW144"/>
    <mergeCell ref="P145:S145"/>
    <mergeCell ref="U145:X145"/>
    <mergeCell ref="Z145:AC145"/>
    <mergeCell ref="AE145:AH145"/>
    <mergeCell ref="AJ145:AM145"/>
    <mergeCell ref="AO145:AR145"/>
    <mergeCell ref="AT145:AW145"/>
    <mergeCell ref="P144:S144"/>
    <mergeCell ref="U144:X144"/>
    <mergeCell ref="AD144:AD146"/>
    <mergeCell ref="AI144:AI146"/>
    <mergeCell ref="AN144:AN146"/>
    <mergeCell ref="Z144:AC144"/>
    <mergeCell ref="AE144:AH144"/>
    <mergeCell ref="AJ144:AM144"/>
    <mergeCell ref="M144:M146"/>
    <mergeCell ref="AO75:AR75"/>
    <mergeCell ref="AT75:AW75"/>
    <mergeCell ref="AE39:AH39"/>
    <mergeCell ref="AJ39:AM39"/>
    <mergeCell ref="AO39:AR39"/>
    <mergeCell ref="AT39:AW39"/>
    <mergeCell ref="P40:S40"/>
    <mergeCell ref="U40:X40"/>
    <mergeCell ref="Z40:AC40"/>
    <mergeCell ref="AE40:AH40"/>
    <mergeCell ref="AJ40:AM40"/>
    <mergeCell ref="AO40:AR40"/>
    <mergeCell ref="P73:T73"/>
    <mergeCell ref="U73:Y73"/>
    <mergeCell ref="AO74:AR74"/>
    <mergeCell ref="AT74:AW74"/>
    <mergeCell ref="AS39:AS41"/>
    <mergeCell ref="AN42:AN71"/>
    <mergeCell ref="AS42:AS71"/>
    <mergeCell ref="T42:T71"/>
    <mergeCell ref="Y42:Y71"/>
    <mergeCell ref="AD42:AD71"/>
    <mergeCell ref="AI42:AI71"/>
    <mergeCell ref="B147:B176"/>
    <mergeCell ref="H147:H176"/>
    <mergeCell ref="P5:S5"/>
    <mergeCell ref="P4:S4"/>
    <mergeCell ref="U4:X4"/>
    <mergeCell ref="U5:X5"/>
    <mergeCell ref="P39:S39"/>
    <mergeCell ref="U39:X39"/>
    <mergeCell ref="P74:S74"/>
    <mergeCell ref="U74:X74"/>
    <mergeCell ref="B112:B141"/>
    <mergeCell ref="H112:H141"/>
    <mergeCell ref="B142:H143"/>
    <mergeCell ref="B144:B146"/>
    <mergeCell ref="C144:D146"/>
    <mergeCell ref="E144:G144"/>
    <mergeCell ref="H144:H146"/>
    <mergeCell ref="E145:G145"/>
    <mergeCell ref="P75:S75"/>
    <mergeCell ref="U75:X75"/>
    <mergeCell ref="M39:M41"/>
    <mergeCell ref="M74:M76"/>
    <mergeCell ref="M109:M111"/>
    <mergeCell ref="C39:D41"/>
    <mergeCell ref="E39:G39"/>
    <mergeCell ref="H39:H41"/>
    <mergeCell ref="E40:G40"/>
    <mergeCell ref="N72:N73"/>
    <mergeCell ref="O72:O73"/>
    <mergeCell ref="P72:T72"/>
    <mergeCell ref="U72:Y72"/>
    <mergeCell ref="Z72:AD72"/>
    <mergeCell ref="Z143:AD143"/>
    <mergeCell ref="Z75:AC75"/>
    <mergeCell ref="Z107:AD107"/>
    <mergeCell ref="Z74:AC74"/>
    <mergeCell ref="AD74:AD76"/>
    <mergeCell ref="N74:N106"/>
    <mergeCell ref="O74:O106"/>
    <mergeCell ref="T74:T76"/>
    <mergeCell ref="Y74:Y76"/>
    <mergeCell ref="T77:T106"/>
    <mergeCell ref="Y77:Y106"/>
    <mergeCell ref="P108:T108"/>
    <mergeCell ref="U108:Y108"/>
    <mergeCell ref="Z108:AD108"/>
    <mergeCell ref="N39:N71"/>
    <mergeCell ref="O39:O71"/>
    <mergeCell ref="AE143:AI143"/>
    <mergeCell ref="AJ143:AN143"/>
    <mergeCell ref="AO143:AS143"/>
    <mergeCell ref="AD112:AD141"/>
    <mergeCell ref="AI112:AI141"/>
    <mergeCell ref="AT2:AX2"/>
    <mergeCell ref="AT3:AX3"/>
    <mergeCell ref="AX4:AX6"/>
    <mergeCell ref="AX7:AX36"/>
    <mergeCell ref="AT4:AW4"/>
    <mergeCell ref="AT5:AW5"/>
    <mergeCell ref="AO2:AS2"/>
    <mergeCell ref="AO3:AS3"/>
    <mergeCell ref="AS4:AS6"/>
    <mergeCell ref="AS7:AS36"/>
    <mergeCell ref="AO4:AR4"/>
    <mergeCell ref="AO5:AR5"/>
    <mergeCell ref="AE4:AH4"/>
    <mergeCell ref="AE5:AH5"/>
    <mergeCell ref="AJ4:AM4"/>
    <mergeCell ref="AJ5:AM5"/>
    <mergeCell ref="AE75:AH75"/>
    <mergeCell ref="AT37:AX37"/>
    <mergeCell ref="AT38:AX38"/>
    <mergeCell ref="AX39:AX41"/>
    <mergeCell ref="AX42:AX71"/>
    <mergeCell ref="AT40:AW40"/>
    <mergeCell ref="B77:B106"/>
    <mergeCell ref="H77:H106"/>
    <mergeCell ref="B107:H108"/>
    <mergeCell ref="B109:B111"/>
    <mergeCell ref="C109:D111"/>
    <mergeCell ref="E109:G109"/>
    <mergeCell ref="H109:H111"/>
    <mergeCell ref="E110:G110"/>
    <mergeCell ref="B42:B71"/>
    <mergeCell ref="H42:H71"/>
    <mergeCell ref="B72:H73"/>
    <mergeCell ref="B74:B76"/>
    <mergeCell ref="C74:D76"/>
    <mergeCell ref="E74:G74"/>
    <mergeCell ref="H74:H76"/>
    <mergeCell ref="E75:G75"/>
    <mergeCell ref="AJ75:AM75"/>
    <mergeCell ref="N107:N108"/>
    <mergeCell ref="O107:O108"/>
    <mergeCell ref="P107:T107"/>
    <mergeCell ref="U107:Y107"/>
    <mergeCell ref="B37:H38"/>
    <mergeCell ref="B39:B41"/>
    <mergeCell ref="AX144:AX146"/>
    <mergeCell ref="AX147:AX176"/>
    <mergeCell ref="AT107:AX107"/>
    <mergeCell ref="AT108:AX108"/>
    <mergeCell ref="AX109:AX111"/>
    <mergeCell ref="AX112:AX141"/>
    <mergeCell ref="AT72:AX72"/>
    <mergeCell ref="AT73:AX73"/>
    <mergeCell ref="AX74:AX76"/>
    <mergeCell ref="AX77:AX106"/>
    <mergeCell ref="AT142:AX142"/>
    <mergeCell ref="AT143:AX143"/>
    <mergeCell ref="N144:N176"/>
    <mergeCell ref="O144:O176"/>
    <mergeCell ref="T144:T146"/>
    <mergeCell ref="Y144:Y146"/>
    <mergeCell ref="T147:T176"/>
    <mergeCell ref="Y147:Y176"/>
    <mergeCell ref="T112:T141"/>
    <mergeCell ref="Y112:Y141"/>
    <mergeCell ref="P143:T143"/>
    <mergeCell ref="U143:Y143"/>
    <mergeCell ref="AJ2:AN2"/>
    <mergeCell ref="AJ3:AN3"/>
    <mergeCell ref="AN4:AN6"/>
    <mergeCell ref="AN7:AN36"/>
    <mergeCell ref="AD147:AD176"/>
    <mergeCell ref="AI147:AI176"/>
    <mergeCell ref="AN147:AN176"/>
    <mergeCell ref="AS147:AS176"/>
    <mergeCell ref="AS144:AS146"/>
    <mergeCell ref="AJ142:AN142"/>
    <mergeCell ref="AO142:AS142"/>
    <mergeCell ref="AJ107:AN107"/>
    <mergeCell ref="AO107:AS107"/>
    <mergeCell ref="AJ72:AN72"/>
    <mergeCell ref="AO72:AS72"/>
    <mergeCell ref="Z73:AD73"/>
    <mergeCell ref="AE73:AI73"/>
    <mergeCell ref="AJ73:AN73"/>
    <mergeCell ref="AO73:AS73"/>
    <mergeCell ref="AJ37:AN37"/>
    <mergeCell ref="AO37:AS37"/>
    <mergeCell ref="AJ38:AN38"/>
    <mergeCell ref="AO38:AS38"/>
    <mergeCell ref="AE37:AI37"/>
    <mergeCell ref="AN112:AN141"/>
    <mergeCell ref="AS112:AS141"/>
    <mergeCell ref="AO108:AS108"/>
    <mergeCell ref="AD77:AD106"/>
    <mergeCell ref="AI77:AI106"/>
    <mergeCell ref="AN77:AN106"/>
    <mergeCell ref="AS77:AS106"/>
    <mergeCell ref="N142:N143"/>
    <mergeCell ref="O142:O143"/>
    <mergeCell ref="P142:T142"/>
    <mergeCell ref="U142:Y142"/>
    <mergeCell ref="Z142:AD142"/>
    <mergeCell ref="AE142:AI142"/>
    <mergeCell ref="AS109:AS111"/>
    <mergeCell ref="P109:S109"/>
    <mergeCell ref="U109:X109"/>
    <mergeCell ref="AD109:AD111"/>
    <mergeCell ref="AI109:AI111"/>
    <mergeCell ref="AN109:AN111"/>
    <mergeCell ref="Z109:AC109"/>
    <mergeCell ref="AE109:AH109"/>
    <mergeCell ref="AJ109:AM109"/>
    <mergeCell ref="N109:N141"/>
    <mergeCell ref="O109:O141"/>
    <mergeCell ref="AJ108:AN108"/>
    <mergeCell ref="Y39:Y41"/>
    <mergeCell ref="AD39:AD41"/>
    <mergeCell ref="AI39:AI41"/>
    <mergeCell ref="Z39:AC39"/>
    <mergeCell ref="P38:T38"/>
    <mergeCell ref="U38:Y38"/>
    <mergeCell ref="Z38:AD38"/>
    <mergeCell ref="AE38:AI38"/>
    <mergeCell ref="T39:T41"/>
    <mergeCell ref="U3:Y3"/>
    <mergeCell ref="Z3:AD3"/>
    <mergeCell ref="AE3:AI3"/>
    <mergeCell ref="N37:N38"/>
    <mergeCell ref="O37:O38"/>
    <mergeCell ref="P37:T37"/>
    <mergeCell ref="U37:Y37"/>
    <mergeCell ref="Z37:AD37"/>
    <mergeCell ref="Z2:AD2"/>
    <mergeCell ref="AD4:AD6"/>
    <mergeCell ref="AD7:AD36"/>
    <mergeCell ref="AE2:AI2"/>
    <mergeCell ref="AI4:AI6"/>
    <mergeCell ref="AI7:AI36"/>
    <mergeCell ref="P2:T2"/>
    <mergeCell ref="Z4:AC4"/>
    <mergeCell ref="Z5:AC5"/>
    <mergeCell ref="U2:Y2"/>
    <mergeCell ref="Y4:Y6"/>
    <mergeCell ref="Y7:Y36"/>
    <mergeCell ref="N2:N3"/>
    <mergeCell ref="B2:H3"/>
    <mergeCell ref="B7:B36"/>
    <mergeCell ref="B4:B6"/>
    <mergeCell ref="C4:D6"/>
    <mergeCell ref="H4:H6"/>
    <mergeCell ref="H7:H36"/>
    <mergeCell ref="E5:G5"/>
    <mergeCell ref="M4:M6"/>
    <mergeCell ref="T4:T6"/>
    <mergeCell ref="T7:T36"/>
    <mergeCell ref="N4:N36"/>
    <mergeCell ref="O4:O36"/>
    <mergeCell ref="E4:G4"/>
    <mergeCell ref="O2:O3"/>
    <mergeCell ref="P3:T3"/>
    <mergeCell ref="B177:H178"/>
    <mergeCell ref="N177:N178"/>
    <mergeCell ref="O177:O178"/>
    <mergeCell ref="P177:T177"/>
    <mergeCell ref="U177:Y177"/>
    <mergeCell ref="Z177:AD177"/>
    <mergeCell ref="B179:B181"/>
    <mergeCell ref="C179:D181"/>
    <mergeCell ref="E179:G179"/>
    <mergeCell ref="H179:H181"/>
    <mergeCell ref="I179:K179"/>
    <mergeCell ref="L179:L181"/>
    <mergeCell ref="M179:M181"/>
    <mergeCell ref="N179:N211"/>
    <mergeCell ref="O179:O211"/>
    <mergeCell ref="P179:S179"/>
    <mergeCell ref="T179:T181"/>
    <mergeCell ref="U179:X179"/>
    <mergeCell ref="Y179:Y181"/>
    <mergeCell ref="Z179:AC179"/>
    <mergeCell ref="AD179:AD181"/>
    <mergeCell ref="E180:G180"/>
    <mergeCell ref="I180:K180"/>
    <mergeCell ref="B182:B211"/>
    <mergeCell ref="AE177:AI177"/>
    <mergeCell ref="AJ177:AN177"/>
    <mergeCell ref="AO177:AS177"/>
    <mergeCell ref="AT177:AX177"/>
    <mergeCell ref="P178:T178"/>
    <mergeCell ref="U178:Y178"/>
    <mergeCell ref="Z178:AD178"/>
    <mergeCell ref="AE178:AI178"/>
    <mergeCell ref="AJ178:AN178"/>
    <mergeCell ref="AO178:AS178"/>
    <mergeCell ref="AT178:AX178"/>
    <mergeCell ref="AE179:AH179"/>
    <mergeCell ref="AI179:AI181"/>
    <mergeCell ref="AJ179:AM179"/>
    <mergeCell ref="AN179:AN181"/>
    <mergeCell ref="AO179:AR179"/>
    <mergeCell ref="AS179:AS181"/>
    <mergeCell ref="AT179:AW179"/>
    <mergeCell ref="AX179:AX181"/>
    <mergeCell ref="P180:S180"/>
    <mergeCell ref="U180:X180"/>
    <mergeCell ref="Z180:AC180"/>
    <mergeCell ref="AE180:AH180"/>
    <mergeCell ref="AJ180:AM180"/>
    <mergeCell ref="AO180:AR180"/>
    <mergeCell ref="AT180:AW180"/>
    <mergeCell ref="AX182:AX211"/>
    <mergeCell ref="B213:H214"/>
    <mergeCell ref="B215:B217"/>
    <mergeCell ref="C215:D217"/>
    <mergeCell ref="E215:G215"/>
    <mergeCell ref="H215:H217"/>
    <mergeCell ref="I215:K215"/>
    <mergeCell ref="L215:L217"/>
    <mergeCell ref="M215:M217"/>
    <mergeCell ref="E216:G216"/>
    <mergeCell ref="I216:K216"/>
    <mergeCell ref="H182:H211"/>
    <mergeCell ref="L182:L211"/>
    <mergeCell ref="B218:B247"/>
    <mergeCell ref="H218:H247"/>
    <mergeCell ref="L218:L247"/>
    <mergeCell ref="T182:T211"/>
    <mergeCell ref="Y182:Y211"/>
    <mergeCell ref="AD182:AD211"/>
    <mergeCell ref="AI182:AI211"/>
    <mergeCell ref="AN182:AN211"/>
    <mergeCell ref="AS182:AS211"/>
  </mergeCells>
  <phoneticPr fontId="11"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142"/>
  <sheetViews>
    <sheetView topLeftCell="A109" zoomScale="70" zoomScaleNormal="70" workbookViewId="0">
      <pane xSplit="15" topLeftCell="P1" activePane="topRight" state="frozen"/>
      <selection activeCell="B144" sqref="B144:AX176"/>
      <selection pane="topRight" activeCell="D132" sqref="D132"/>
    </sheetView>
  </sheetViews>
  <sheetFormatPr defaultColWidth="8.81640625" defaultRowHeight="12.5"/>
  <cols>
    <col min="1" max="1" width="5.54296875" style="108" customWidth="1"/>
    <col min="2" max="2" width="12.453125" style="108" customWidth="1"/>
    <col min="3" max="3" width="8.81640625" style="107"/>
    <col min="4" max="4" width="26.453125" style="107" customWidth="1"/>
    <col min="5" max="7" width="8.453125" style="107" customWidth="1"/>
    <col min="8" max="8" width="11.1796875" style="107" bestFit="1" customWidth="1"/>
    <col min="9" max="12" width="11.1796875" style="107" customWidth="1"/>
    <col min="13" max="13" width="13.54296875" style="107" customWidth="1"/>
    <col min="14" max="14" width="9.81640625" style="107" customWidth="1"/>
    <col min="15" max="15" width="7.1796875" style="107" customWidth="1"/>
    <col min="16" max="18" width="12.81640625" style="107" customWidth="1"/>
    <col min="19" max="19" width="5.453125" style="107" customWidth="1"/>
    <col min="20" max="20" width="12.81640625" style="107" customWidth="1"/>
    <col min="21" max="23" width="12.81640625" style="108" customWidth="1"/>
    <col min="24" max="24" width="5.453125" style="107" customWidth="1"/>
    <col min="25" max="28" width="12.81640625" style="108" customWidth="1"/>
    <col min="29" max="29" width="5.453125" style="107" customWidth="1"/>
    <col min="30" max="30" width="12.81640625" style="108" customWidth="1"/>
    <col min="31" max="33" width="12.54296875" style="108" customWidth="1"/>
    <col min="34" max="34" width="5.453125" style="107" customWidth="1"/>
    <col min="35" max="35" width="13" style="108" customWidth="1"/>
    <col min="36" max="38" width="12.54296875" style="108" customWidth="1"/>
    <col min="39" max="39" width="5.453125" style="107" customWidth="1"/>
    <col min="40" max="40" width="13" style="108" customWidth="1"/>
    <col min="41" max="43" width="13.1796875" style="108" customWidth="1"/>
    <col min="44" max="44" width="5.453125" style="108" customWidth="1"/>
    <col min="45" max="48" width="13.1796875" style="108" customWidth="1"/>
    <col min="49" max="49" width="5.453125" style="108" customWidth="1"/>
    <col min="50" max="50" width="13.1796875" style="108" customWidth="1"/>
    <col min="51" max="16384" width="8.81640625" style="108"/>
  </cols>
  <sheetData>
    <row r="1" spans="1:54" ht="21">
      <c r="A1" s="75"/>
      <c r="B1" s="221" t="s">
        <v>330</v>
      </c>
      <c r="C1" s="220">
        <f>AVERAGE(L7,L27,L47,L67,L87,L107)</f>
        <v>184.98535195239651</v>
      </c>
    </row>
    <row r="2" spans="1:54" ht="15.5">
      <c r="A2" s="81"/>
      <c r="B2" s="555" t="s">
        <v>163</v>
      </c>
      <c r="C2" s="555"/>
      <c r="D2" s="555"/>
      <c r="E2" s="555"/>
      <c r="F2" s="555"/>
      <c r="G2" s="555"/>
      <c r="H2" s="555"/>
      <c r="I2" s="287"/>
      <c r="J2" s="287"/>
      <c r="K2" s="287"/>
      <c r="L2" s="287"/>
      <c r="M2" s="197"/>
      <c r="N2" s="559" t="s">
        <v>156</v>
      </c>
      <c r="O2" s="559" t="s">
        <v>155</v>
      </c>
      <c r="P2" s="607"/>
      <c r="Q2" s="608"/>
      <c r="R2" s="608"/>
      <c r="S2" s="608"/>
      <c r="T2" s="609"/>
      <c r="U2" s="554"/>
      <c r="V2" s="533"/>
      <c r="W2" s="533"/>
      <c r="X2" s="533"/>
      <c r="Y2" s="533"/>
      <c r="Z2" s="554"/>
      <c r="AA2" s="533"/>
      <c r="AB2" s="533"/>
      <c r="AC2" s="533"/>
      <c r="AD2" s="533"/>
      <c r="AE2" s="554"/>
      <c r="AF2" s="533"/>
      <c r="AG2" s="533"/>
      <c r="AH2" s="533"/>
      <c r="AI2" s="533"/>
      <c r="AJ2" s="554">
        <v>45962</v>
      </c>
      <c r="AK2" s="533"/>
      <c r="AL2" s="533"/>
      <c r="AM2" s="533"/>
      <c r="AN2" s="533"/>
      <c r="AO2" s="554">
        <f>AJ2+1</f>
        <v>45963</v>
      </c>
      <c r="AP2" s="533"/>
      <c r="AQ2" s="533"/>
      <c r="AR2" s="533"/>
      <c r="AS2" s="533"/>
      <c r="AT2" s="554">
        <v>46357</v>
      </c>
      <c r="AU2" s="533"/>
      <c r="AV2" s="533"/>
      <c r="AW2" s="533"/>
      <c r="AX2" s="533"/>
    </row>
    <row r="3" spans="1:54" ht="15.5">
      <c r="A3" s="81"/>
      <c r="B3" s="566"/>
      <c r="C3" s="566"/>
      <c r="D3" s="566"/>
      <c r="E3" s="566"/>
      <c r="F3" s="566"/>
      <c r="G3" s="566"/>
      <c r="H3" s="566"/>
      <c r="I3" s="288"/>
      <c r="J3" s="288"/>
      <c r="K3" s="288"/>
      <c r="L3" s="288"/>
      <c r="M3" s="198"/>
      <c r="N3" s="560"/>
      <c r="O3" s="560"/>
      <c r="P3" s="554"/>
      <c r="Q3" s="533"/>
      <c r="R3" s="533"/>
      <c r="S3" s="533"/>
      <c r="T3" s="533"/>
      <c r="U3" s="554"/>
      <c r="V3" s="533"/>
      <c r="W3" s="533"/>
      <c r="X3" s="533"/>
      <c r="Y3" s="533"/>
      <c r="Z3" s="554"/>
      <c r="AA3" s="533"/>
      <c r="AB3" s="533"/>
      <c r="AC3" s="533"/>
      <c r="AD3" s="533"/>
      <c r="AE3" s="554"/>
      <c r="AF3" s="533"/>
      <c r="AG3" s="533"/>
      <c r="AH3" s="533"/>
      <c r="AI3" s="533"/>
      <c r="AJ3" s="554" t="s">
        <v>160</v>
      </c>
      <c r="AK3" s="533"/>
      <c r="AL3" s="533"/>
      <c r="AM3" s="533"/>
      <c r="AN3" s="533"/>
      <c r="AO3" s="554" t="s">
        <v>115</v>
      </c>
      <c r="AP3" s="533"/>
      <c r="AQ3" s="533"/>
      <c r="AR3" s="533"/>
      <c r="AS3" s="533"/>
      <c r="AT3" s="554" t="s">
        <v>162</v>
      </c>
      <c r="AU3" s="533"/>
      <c r="AV3" s="533"/>
      <c r="AW3" s="533"/>
      <c r="AX3" s="533"/>
    </row>
    <row r="4" spans="1:54">
      <c r="A4" s="81"/>
      <c r="B4" s="544" t="s">
        <v>649</v>
      </c>
      <c r="C4" s="544" t="s">
        <v>650</v>
      </c>
      <c r="D4" s="544"/>
      <c r="E4" s="544" t="s">
        <v>651</v>
      </c>
      <c r="F4" s="544"/>
      <c r="G4" s="544"/>
      <c r="H4" s="561" t="s">
        <v>652</v>
      </c>
      <c r="I4" s="583" t="s">
        <v>653</v>
      </c>
      <c r="J4" s="583"/>
      <c r="K4" s="583"/>
      <c r="L4" s="584" t="s">
        <v>652</v>
      </c>
      <c r="M4" s="567" t="s">
        <v>654</v>
      </c>
      <c r="N4" s="544"/>
      <c r="O4" s="544" t="s">
        <v>655</v>
      </c>
      <c r="P4" s="548" t="s">
        <v>656</v>
      </c>
      <c r="Q4" s="549"/>
      <c r="R4" s="549"/>
      <c r="S4" s="550"/>
      <c r="T4" s="544" t="s">
        <v>652</v>
      </c>
      <c r="U4" s="548" t="s">
        <v>656</v>
      </c>
      <c r="V4" s="549"/>
      <c r="W4" s="549"/>
      <c r="X4" s="550"/>
      <c r="Y4" s="544" t="s">
        <v>652</v>
      </c>
      <c r="Z4" s="548" t="s">
        <v>656</v>
      </c>
      <c r="AA4" s="549"/>
      <c r="AB4" s="549"/>
      <c r="AC4" s="550"/>
      <c r="AD4" s="544" t="s">
        <v>652</v>
      </c>
      <c r="AE4" s="548" t="s">
        <v>656</v>
      </c>
      <c r="AF4" s="549"/>
      <c r="AG4" s="549"/>
      <c r="AH4" s="550"/>
      <c r="AI4" s="544" t="s">
        <v>652</v>
      </c>
      <c r="AJ4" s="548" t="s">
        <v>656</v>
      </c>
      <c r="AK4" s="549"/>
      <c r="AL4" s="549"/>
      <c r="AM4" s="550"/>
      <c r="AN4" s="544" t="s">
        <v>652</v>
      </c>
      <c r="AO4" s="548" t="s">
        <v>656</v>
      </c>
      <c r="AP4" s="549"/>
      <c r="AQ4" s="549"/>
      <c r="AR4" s="550"/>
      <c r="AS4" s="544" t="s">
        <v>652</v>
      </c>
      <c r="AT4" s="548" t="s">
        <v>656</v>
      </c>
      <c r="AU4" s="549"/>
      <c r="AV4" s="549"/>
      <c r="AW4" s="550"/>
      <c r="AX4" s="544" t="s">
        <v>652</v>
      </c>
    </row>
    <row r="5" spans="1:54">
      <c r="A5" s="81"/>
      <c r="B5" s="544"/>
      <c r="C5" s="544"/>
      <c r="D5" s="544"/>
      <c r="E5" s="544" t="s">
        <v>657</v>
      </c>
      <c r="F5" s="544"/>
      <c r="G5" s="544"/>
      <c r="H5" s="562"/>
      <c r="I5" s="583" t="s">
        <v>657</v>
      </c>
      <c r="J5" s="583"/>
      <c r="K5" s="583"/>
      <c r="L5" s="585"/>
      <c r="M5" s="568"/>
      <c r="N5" s="544"/>
      <c r="O5" s="544"/>
      <c r="P5" s="548" t="s">
        <v>658</v>
      </c>
      <c r="Q5" s="549"/>
      <c r="R5" s="549"/>
      <c r="S5" s="550"/>
      <c r="T5" s="544"/>
      <c r="U5" s="548" t="s">
        <v>658</v>
      </c>
      <c r="V5" s="549"/>
      <c r="W5" s="549"/>
      <c r="X5" s="550"/>
      <c r="Y5" s="544"/>
      <c r="Z5" s="548" t="s">
        <v>658</v>
      </c>
      <c r="AA5" s="549"/>
      <c r="AB5" s="549"/>
      <c r="AC5" s="550"/>
      <c r="AD5" s="544"/>
      <c r="AE5" s="548" t="s">
        <v>658</v>
      </c>
      <c r="AF5" s="549"/>
      <c r="AG5" s="549"/>
      <c r="AH5" s="550"/>
      <c r="AI5" s="544"/>
      <c r="AJ5" s="548" t="s">
        <v>658</v>
      </c>
      <c r="AK5" s="549"/>
      <c r="AL5" s="549"/>
      <c r="AM5" s="550"/>
      <c r="AN5" s="544"/>
      <c r="AO5" s="548" t="s">
        <v>658</v>
      </c>
      <c r="AP5" s="549"/>
      <c r="AQ5" s="549"/>
      <c r="AR5" s="550"/>
      <c r="AS5" s="544"/>
      <c r="AT5" s="548" t="s">
        <v>658</v>
      </c>
      <c r="AU5" s="549"/>
      <c r="AV5" s="549"/>
      <c r="AW5" s="550"/>
      <c r="AX5" s="544"/>
    </row>
    <row r="6" spans="1:54">
      <c r="A6" s="79"/>
      <c r="B6" s="544"/>
      <c r="C6" s="544"/>
      <c r="D6" s="544"/>
      <c r="E6" s="403" t="s">
        <v>659</v>
      </c>
      <c r="F6" s="403" t="s">
        <v>660</v>
      </c>
      <c r="G6" s="403" t="s">
        <v>661</v>
      </c>
      <c r="H6" s="563"/>
      <c r="I6" s="402" t="s">
        <v>659</v>
      </c>
      <c r="J6" s="402" t="s">
        <v>660</v>
      </c>
      <c r="K6" s="402" t="s">
        <v>661</v>
      </c>
      <c r="L6" s="586"/>
      <c r="M6" s="569"/>
      <c r="N6" s="544"/>
      <c r="O6" s="544"/>
      <c r="P6" s="403" t="s">
        <v>659</v>
      </c>
      <c r="Q6" s="403" t="s">
        <v>660</v>
      </c>
      <c r="R6" s="403" t="s">
        <v>661</v>
      </c>
      <c r="S6" s="403" t="s">
        <v>654</v>
      </c>
      <c r="T6" s="544"/>
      <c r="U6" s="403" t="s">
        <v>659</v>
      </c>
      <c r="V6" s="403" t="s">
        <v>660</v>
      </c>
      <c r="W6" s="403" t="s">
        <v>661</v>
      </c>
      <c r="X6" s="403" t="s">
        <v>654</v>
      </c>
      <c r="Y6" s="544"/>
      <c r="Z6" s="403" t="s">
        <v>659</v>
      </c>
      <c r="AA6" s="403" t="s">
        <v>660</v>
      </c>
      <c r="AB6" s="403" t="s">
        <v>661</v>
      </c>
      <c r="AC6" s="403" t="s">
        <v>654</v>
      </c>
      <c r="AD6" s="544"/>
      <c r="AE6" s="403" t="s">
        <v>659</v>
      </c>
      <c r="AF6" s="403" t="s">
        <v>660</v>
      </c>
      <c r="AG6" s="403" t="s">
        <v>661</v>
      </c>
      <c r="AH6" s="403" t="s">
        <v>654</v>
      </c>
      <c r="AI6" s="544"/>
      <c r="AJ6" s="403" t="s">
        <v>659</v>
      </c>
      <c r="AK6" s="403" t="s">
        <v>660</v>
      </c>
      <c r="AL6" s="403" t="s">
        <v>661</v>
      </c>
      <c r="AM6" s="403" t="s">
        <v>654</v>
      </c>
      <c r="AN6" s="544"/>
      <c r="AO6" s="403" t="s">
        <v>659</v>
      </c>
      <c r="AP6" s="403" t="s">
        <v>660</v>
      </c>
      <c r="AQ6" s="403" t="s">
        <v>661</v>
      </c>
      <c r="AR6" s="403" t="s">
        <v>654</v>
      </c>
      <c r="AS6" s="544"/>
      <c r="AT6" s="403" t="s">
        <v>659</v>
      </c>
      <c r="AU6" s="403" t="s">
        <v>660</v>
      </c>
      <c r="AV6" s="403" t="s">
        <v>661</v>
      </c>
      <c r="AW6" s="403" t="s">
        <v>654</v>
      </c>
      <c r="AX6" s="544"/>
    </row>
    <row r="7" spans="1:54">
      <c r="A7" s="81"/>
      <c r="B7" s="596" t="s">
        <v>663</v>
      </c>
      <c r="C7" s="404">
        <v>1</v>
      </c>
      <c r="D7" s="404" t="s">
        <v>371</v>
      </c>
      <c r="E7" s="404">
        <v>10</v>
      </c>
      <c r="F7" s="404">
        <v>1500</v>
      </c>
      <c r="G7" s="182">
        <v>150</v>
      </c>
      <c r="H7" s="597">
        <f>AVERAGE(G7:G21)</f>
        <v>181.25</v>
      </c>
      <c r="I7" s="408">
        <f>AVERAGE(P7,U7,Z7,AE7,AJ7,AO7,AT7)</f>
        <v>10</v>
      </c>
      <c r="J7" s="408">
        <f>AVERAGE(Q7,V7,AA7,AF7,AK7,AP7,AU7)</f>
        <v>1019.9999999999998</v>
      </c>
      <c r="K7" s="406">
        <f>AVERAGE(R7,W7,AB7,AG7,AL7,AQ7,AV7)</f>
        <v>101.99999999999997</v>
      </c>
      <c r="L7" s="587">
        <f>IFERROR(AVERAGE(K7:K21),"-")</f>
        <v>190.40508466089253</v>
      </c>
      <c r="M7" s="407">
        <f>RANK(K7, $K$7:K$21)</f>
        <v>6</v>
      </c>
      <c r="N7" s="544"/>
      <c r="O7" s="544"/>
      <c r="P7" s="182"/>
      <c r="Q7" s="182"/>
      <c r="R7" s="182"/>
      <c r="S7" s="404" t="e">
        <f>RANK(R7, R$7:R$21)</f>
        <v>#N/A</v>
      </c>
      <c r="T7" s="534" t="e">
        <f>AVERAGE(R7:R21)</f>
        <v>#DIV/0!</v>
      </c>
      <c r="U7" s="182"/>
      <c r="V7" s="182"/>
      <c r="W7" s="182"/>
      <c r="X7" s="404" t="e">
        <f t="shared" ref="X7:X21" si="0">RANK(W7, W$7:W$21)</f>
        <v>#N/A</v>
      </c>
      <c r="Y7" s="534" t="e">
        <f t="shared" ref="Y7" si="1">AVERAGE(W7:W21)</f>
        <v>#DIV/0!</v>
      </c>
      <c r="Z7" s="182"/>
      <c r="AA7" s="182"/>
      <c r="AB7" s="182"/>
      <c r="AC7" s="404" t="e">
        <f t="shared" ref="AC7:AC21" si="2">RANK(AB7, AB$7:AB$21)</f>
        <v>#N/A</v>
      </c>
      <c r="AD7" s="534" t="e">
        <f t="shared" ref="AD7" si="3">AVERAGE(AB7:AB21)</f>
        <v>#DIV/0!</v>
      </c>
      <c r="AE7" s="182"/>
      <c r="AF7" s="182"/>
      <c r="AG7" s="182"/>
      <c r="AH7" s="404" t="e">
        <f t="shared" ref="AH7:AH21" si="4">RANK(AG7, AG$7:AG$21)</f>
        <v>#N/A</v>
      </c>
      <c r="AI7" s="534" t="e">
        <f t="shared" ref="AI7" si="5">AVERAGE(AG7:AG21)</f>
        <v>#DIV/0!</v>
      </c>
      <c r="AJ7" s="182"/>
      <c r="AK7" s="182"/>
      <c r="AL7" s="182"/>
      <c r="AM7" s="404" t="e">
        <f t="shared" ref="AM7:AM21" si="6">RANK(AL7, AL$7:AL$21)</f>
        <v>#N/A</v>
      </c>
      <c r="AN7" s="534" t="e">
        <f t="shared" ref="AN7" si="7">AVERAGE(AL7:AL21)</f>
        <v>#DIV/0!</v>
      </c>
      <c r="AO7" s="182"/>
      <c r="AP7" s="182"/>
      <c r="AQ7" s="182"/>
      <c r="AR7" s="404" t="e">
        <f t="shared" ref="AR7:AR21" si="8">RANK(AQ7, AQ$7:AQ$21)</f>
        <v>#N/A</v>
      </c>
      <c r="AS7" s="534" t="e">
        <f t="shared" ref="AS7" si="9">AVERAGE(AQ7:AQ21)</f>
        <v>#DIV/0!</v>
      </c>
      <c r="AT7" s="182">
        <v>10</v>
      </c>
      <c r="AU7" s="182">
        <v>1019.9999999999998</v>
      </c>
      <c r="AV7" s="405">
        <v>101.99999999999997</v>
      </c>
      <c r="AW7" s="404">
        <f>RANK(AV7, AV$7:AV$21)</f>
        <v>6</v>
      </c>
      <c r="AX7" s="534">
        <f>AVERAGE(AV7:AV21)</f>
        <v>190.40508466089253</v>
      </c>
      <c r="AZ7" s="321" t="e">
        <f>RANK(AX7, $K$7:AX$21)</f>
        <v>#N/A</v>
      </c>
      <c r="BB7" s="318" t="e">
        <f>RANK(BA7, BA$7:BA$21)</f>
        <v>#N/A</v>
      </c>
    </row>
    <row r="8" spans="1:54" ht="15" customHeight="1">
      <c r="A8" s="81"/>
      <c r="B8" s="533"/>
      <c r="C8" s="404">
        <v>2</v>
      </c>
      <c r="D8" s="404" t="s">
        <v>372</v>
      </c>
      <c r="E8" s="404">
        <v>15</v>
      </c>
      <c r="F8" s="404">
        <v>1800</v>
      </c>
      <c r="G8" s="182">
        <v>120</v>
      </c>
      <c r="H8" s="598"/>
      <c r="I8" s="408">
        <f t="shared" ref="I8:K14" si="10">AVERAGE(P8,U8,Z8,AE8,AJ8,AO8,AT8)</f>
        <v>12</v>
      </c>
      <c r="J8" s="408">
        <f t="shared" si="10"/>
        <v>1744.8979591836742</v>
      </c>
      <c r="K8" s="406">
        <f t="shared" si="10"/>
        <v>145.40816326530617</v>
      </c>
      <c r="L8" s="588"/>
      <c r="M8" s="407">
        <f>RANK(K8, $K$7:K$21)</f>
        <v>5</v>
      </c>
      <c r="N8" s="544"/>
      <c r="O8" s="544"/>
      <c r="P8" s="182"/>
      <c r="Q8" s="182"/>
      <c r="R8" s="182"/>
      <c r="S8" s="404" t="e">
        <f t="shared" ref="S8:S21" si="11">RANK(R8, R$7:R$21)</f>
        <v>#N/A</v>
      </c>
      <c r="T8" s="534"/>
      <c r="U8" s="182"/>
      <c r="V8" s="182"/>
      <c r="W8" s="182"/>
      <c r="X8" s="404" t="e">
        <f t="shared" si="0"/>
        <v>#N/A</v>
      </c>
      <c r="Y8" s="534"/>
      <c r="Z8" s="182"/>
      <c r="AA8" s="182"/>
      <c r="AB8" s="182"/>
      <c r="AC8" s="404" t="e">
        <f t="shared" si="2"/>
        <v>#N/A</v>
      </c>
      <c r="AD8" s="534"/>
      <c r="AE8" s="182"/>
      <c r="AF8" s="182"/>
      <c r="AG8" s="182"/>
      <c r="AH8" s="404" t="e">
        <f t="shared" si="4"/>
        <v>#N/A</v>
      </c>
      <c r="AI8" s="534"/>
      <c r="AJ8" s="182"/>
      <c r="AK8" s="182"/>
      <c r="AL8" s="182"/>
      <c r="AM8" s="404" t="e">
        <f t="shared" si="6"/>
        <v>#N/A</v>
      </c>
      <c r="AN8" s="534"/>
      <c r="AO8" s="182"/>
      <c r="AP8" s="182"/>
      <c r="AQ8" s="182"/>
      <c r="AR8" s="404" t="e">
        <f t="shared" si="8"/>
        <v>#N/A</v>
      </c>
      <c r="AS8" s="534"/>
      <c r="AT8" s="404">
        <v>12</v>
      </c>
      <c r="AU8" s="182">
        <v>1744.8979591836742</v>
      </c>
      <c r="AV8" s="405">
        <v>145.40816326530617</v>
      </c>
      <c r="AW8" s="404">
        <f t="shared" ref="AW8:AW21" si="12">RANK(AV8, AV$7:AV$21)</f>
        <v>5</v>
      </c>
      <c r="AX8" s="534"/>
      <c r="AZ8" s="321" t="e">
        <f>RANK(AX8, $K$7:AX$21)</f>
        <v>#N/A</v>
      </c>
      <c r="BB8" s="318" t="e">
        <f t="shared" ref="BB8:BB21" si="13">RANK(BA8, BA$7:BA$21)</f>
        <v>#N/A</v>
      </c>
    </row>
    <row r="9" spans="1:54">
      <c r="A9" s="81"/>
      <c r="B9" s="533"/>
      <c r="C9" s="404">
        <v>3</v>
      </c>
      <c r="D9" s="404" t="s">
        <v>373</v>
      </c>
      <c r="E9" s="404">
        <v>15</v>
      </c>
      <c r="F9" s="404">
        <v>1800</v>
      </c>
      <c r="G9" s="182">
        <v>120</v>
      </c>
      <c r="H9" s="598"/>
      <c r="I9" s="408">
        <f t="shared" si="10"/>
        <v>12</v>
      </c>
      <c r="J9" s="408">
        <f t="shared" si="10"/>
        <v>1771.9148936170216</v>
      </c>
      <c r="K9" s="406">
        <f t="shared" si="10"/>
        <v>147.65957446808514</v>
      </c>
      <c r="L9" s="588"/>
      <c r="M9" s="407">
        <f>RANK(K9, $K$7:K$21)</f>
        <v>4</v>
      </c>
      <c r="N9" s="544"/>
      <c r="O9" s="544"/>
      <c r="P9" s="182"/>
      <c r="Q9" s="182"/>
      <c r="R9" s="182"/>
      <c r="S9" s="404" t="e">
        <f t="shared" si="11"/>
        <v>#N/A</v>
      </c>
      <c r="T9" s="534"/>
      <c r="U9" s="182"/>
      <c r="V9" s="182"/>
      <c r="W9" s="182"/>
      <c r="X9" s="404" t="e">
        <f t="shared" si="0"/>
        <v>#N/A</v>
      </c>
      <c r="Y9" s="534"/>
      <c r="Z9" s="182"/>
      <c r="AA9" s="182"/>
      <c r="AB9" s="182"/>
      <c r="AC9" s="404" t="e">
        <f t="shared" si="2"/>
        <v>#N/A</v>
      </c>
      <c r="AD9" s="534"/>
      <c r="AE9" s="182"/>
      <c r="AF9" s="182"/>
      <c r="AG9" s="182"/>
      <c r="AH9" s="404" t="e">
        <f t="shared" si="4"/>
        <v>#N/A</v>
      </c>
      <c r="AI9" s="534"/>
      <c r="AJ9" s="182"/>
      <c r="AK9" s="182"/>
      <c r="AL9" s="182"/>
      <c r="AM9" s="404" t="e">
        <f t="shared" si="6"/>
        <v>#N/A</v>
      </c>
      <c r="AN9" s="534"/>
      <c r="AO9" s="182"/>
      <c r="AP9" s="182"/>
      <c r="AQ9" s="182"/>
      <c r="AR9" s="404" t="e">
        <f t="shared" si="8"/>
        <v>#N/A</v>
      </c>
      <c r="AS9" s="534"/>
      <c r="AT9" s="404">
        <v>12</v>
      </c>
      <c r="AU9" s="182">
        <v>1771.9148936170216</v>
      </c>
      <c r="AV9" s="405">
        <v>147.65957446808514</v>
      </c>
      <c r="AW9" s="404">
        <f t="shared" si="12"/>
        <v>4</v>
      </c>
      <c r="AX9" s="534"/>
      <c r="AZ9" s="321" t="e">
        <f>RANK(AX9, $K$7:AX$21)</f>
        <v>#N/A</v>
      </c>
      <c r="BB9" s="318" t="e">
        <f t="shared" si="13"/>
        <v>#N/A</v>
      </c>
    </row>
    <row r="10" spans="1:54">
      <c r="A10" s="81"/>
      <c r="B10" s="533"/>
      <c r="C10" s="404">
        <v>4</v>
      </c>
      <c r="D10" s="404" t="s">
        <v>571</v>
      </c>
      <c r="E10" s="404">
        <v>5</v>
      </c>
      <c r="F10" s="404">
        <v>1500</v>
      </c>
      <c r="G10" s="182">
        <v>300</v>
      </c>
      <c r="H10" s="598"/>
      <c r="I10" s="408">
        <f t="shared" si="10"/>
        <v>6</v>
      </c>
      <c r="J10" s="408">
        <f t="shared" si="10"/>
        <v>1525.4545454545471</v>
      </c>
      <c r="K10" s="406">
        <f t="shared" si="10"/>
        <v>254.24242424242451</v>
      </c>
      <c r="L10" s="588"/>
      <c r="M10" s="407">
        <f>RANK(K10, $K$7:K$21)</f>
        <v>3</v>
      </c>
      <c r="N10" s="544"/>
      <c r="O10" s="544"/>
      <c r="P10" s="182"/>
      <c r="Q10" s="182"/>
      <c r="R10" s="182"/>
      <c r="S10" s="404" t="e">
        <f t="shared" si="11"/>
        <v>#N/A</v>
      </c>
      <c r="T10" s="534"/>
      <c r="U10" s="182"/>
      <c r="V10" s="182"/>
      <c r="W10" s="182"/>
      <c r="X10" s="404" t="e">
        <f t="shared" si="0"/>
        <v>#N/A</v>
      </c>
      <c r="Y10" s="534"/>
      <c r="Z10" s="182"/>
      <c r="AA10" s="182"/>
      <c r="AB10" s="182"/>
      <c r="AC10" s="404" t="e">
        <f t="shared" si="2"/>
        <v>#N/A</v>
      </c>
      <c r="AD10" s="534"/>
      <c r="AE10" s="182"/>
      <c r="AF10" s="182"/>
      <c r="AG10" s="182"/>
      <c r="AH10" s="404" t="e">
        <f t="shared" si="4"/>
        <v>#N/A</v>
      </c>
      <c r="AI10" s="534"/>
      <c r="AJ10" s="182"/>
      <c r="AK10" s="182"/>
      <c r="AL10" s="182"/>
      <c r="AM10" s="404" t="e">
        <f t="shared" si="6"/>
        <v>#N/A</v>
      </c>
      <c r="AN10" s="534"/>
      <c r="AO10" s="182"/>
      <c r="AP10" s="182"/>
      <c r="AQ10" s="182"/>
      <c r="AR10" s="404" t="e">
        <f t="shared" si="8"/>
        <v>#N/A</v>
      </c>
      <c r="AS10" s="534"/>
      <c r="AT10" s="404">
        <v>6</v>
      </c>
      <c r="AU10" s="182">
        <v>1525.4545454545471</v>
      </c>
      <c r="AV10" s="405">
        <v>254.24242424242451</v>
      </c>
      <c r="AW10" s="404">
        <f t="shared" si="12"/>
        <v>3</v>
      </c>
      <c r="AX10" s="534"/>
      <c r="AZ10" s="321" t="e">
        <f>RANK(AX10, $K$7:AX$21)</f>
        <v>#N/A</v>
      </c>
      <c r="BB10" s="318" t="e">
        <f t="shared" si="13"/>
        <v>#N/A</v>
      </c>
    </row>
    <row r="11" spans="1:54">
      <c r="A11" s="81"/>
      <c r="B11" s="533"/>
      <c r="C11" s="404">
        <v>5</v>
      </c>
      <c r="D11" s="404" t="s">
        <v>505</v>
      </c>
      <c r="E11" s="404">
        <v>5</v>
      </c>
      <c r="F11" s="404">
        <v>1500</v>
      </c>
      <c r="G11" s="182">
        <v>300</v>
      </c>
      <c r="H11" s="598"/>
      <c r="I11" s="408">
        <f t="shared" si="10"/>
        <v>5</v>
      </c>
      <c r="J11" s="408">
        <f t="shared" si="10"/>
        <v>1522.7027027027034</v>
      </c>
      <c r="K11" s="406">
        <f t="shared" si="10"/>
        <v>304.54054054054069</v>
      </c>
      <c r="L11" s="588"/>
      <c r="M11" s="407">
        <f>RANK(K11, $K$7:K$21)</f>
        <v>1</v>
      </c>
      <c r="N11" s="544"/>
      <c r="O11" s="544"/>
      <c r="P11" s="182"/>
      <c r="Q11" s="182"/>
      <c r="R11" s="182"/>
      <c r="S11" s="404" t="e">
        <f t="shared" si="11"/>
        <v>#N/A</v>
      </c>
      <c r="T11" s="534"/>
      <c r="U11" s="182"/>
      <c r="V11" s="182"/>
      <c r="W11" s="182"/>
      <c r="X11" s="404" t="e">
        <f t="shared" si="0"/>
        <v>#N/A</v>
      </c>
      <c r="Y11" s="534"/>
      <c r="Z11" s="182"/>
      <c r="AA11" s="182"/>
      <c r="AB11" s="182"/>
      <c r="AC11" s="404" t="e">
        <f t="shared" si="2"/>
        <v>#N/A</v>
      </c>
      <c r="AD11" s="534"/>
      <c r="AE11" s="182"/>
      <c r="AF11" s="182"/>
      <c r="AG11" s="182"/>
      <c r="AH11" s="404" t="e">
        <f t="shared" si="4"/>
        <v>#N/A</v>
      </c>
      <c r="AI11" s="534"/>
      <c r="AJ11" s="182"/>
      <c r="AK11" s="182"/>
      <c r="AL11" s="182"/>
      <c r="AM11" s="404" t="e">
        <f t="shared" si="6"/>
        <v>#N/A</v>
      </c>
      <c r="AN11" s="534"/>
      <c r="AO11" s="182"/>
      <c r="AP11" s="182"/>
      <c r="AQ11" s="182"/>
      <c r="AR11" s="404" t="e">
        <f t="shared" si="8"/>
        <v>#N/A</v>
      </c>
      <c r="AS11" s="534"/>
      <c r="AT11" s="404">
        <v>5</v>
      </c>
      <c r="AU11" s="182">
        <v>1522.7027027027034</v>
      </c>
      <c r="AV11" s="405">
        <v>304.54054054054069</v>
      </c>
      <c r="AW11" s="404">
        <f t="shared" si="12"/>
        <v>1</v>
      </c>
      <c r="AX11" s="534"/>
      <c r="AZ11" s="321" t="e">
        <f>RANK(AX11, $K$7:AX$21)</f>
        <v>#N/A</v>
      </c>
      <c r="BB11" s="318" t="e">
        <f t="shared" si="13"/>
        <v>#N/A</v>
      </c>
    </row>
    <row r="12" spans="1:54">
      <c r="A12" s="81"/>
      <c r="B12" s="533"/>
      <c r="C12" s="404">
        <v>6</v>
      </c>
      <c r="D12" s="404" t="s">
        <v>480</v>
      </c>
      <c r="E12" s="404">
        <v>5</v>
      </c>
      <c r="F12" s="404">
        <v>1500</v>
      </c>
      <c r="G12" s="182">
        <v>300</v>
      </c>
      <c r="H12" s="598"/>
      <c r="I12" s="408">
        <f t="shared" si="10"/>
        <v>5</v>
      </c>
      <c r="J12" s="408">
        <f t="shared" si="10"/>
        <v>1452.8571428571481</v>
      </c>
      <c r="K12" s="406">
        <f t="shared" si="10"/>
        <v>290.57142857142964</v>
      </c>
      <c r="L12" s="588"/>
      <c r="M12" s="407">
        <f>RANK(K12, $K$7:K$21)</f>
        <v>2</v>
      </c>
      <c r="N12" s="544"/>
      <c r="O12" s="544"/>
      <c r="P12" s="182"/>
      <c r="Q12" s="182"/>
      <c r="R12" s="182"/>
      <c r="S12" s="404" t="e">
        <f t="shared" si="11"/>
        <v>#N/A</v>
      </c>
      <c r="T12" s="534"/>
      <c r="U12" s="182"/>
      <c r="V12" s="182"/>
      <c r="W12" s="182"/>
      <c r="X12" s="404" t="e">
        <f t="shared" si="0"/>
        <v>#N/A</v>
      </c>
      <c r="Y12" s="534"/>
      <c r="Z12" s="182"/>
      <c r="AA12" s="182"/>
      <c r="AB12" s="182"/>
      <c r="AC12" s="404" t="e">
        <f t="shared" si="2"/>
        <v>#N/A</v>
      </c>
      <c r="AD12" s="534"/>
      <c r="AE12" s="182"/>
      <c r="AF12" s="182"/>
      <c r="AG12" s="182"/>
      <c r="AH12" s="404" t="e">
        <f t="shared" si="4"/>
        <v>#N/A</v>
      </c>
      <c r="AI12" s="534"/>
      <c r="AJ12" s="182"/>
      <c r="AK12" s="182"/>
      <c r="AL12" s="182"/>
      <c r="AM12" s="404" t="e">
        <f t="shared" si="6"/>
        <v>#N/A</v>
      </c>
      <c r="AN12" s="534"/>
      <c r="AO12" s="182"/>
      <c r="AP12" s="182"/>
      <c r="AQ12" s="182"/>
      <c r="AR12" s="404" t="e">
        <f t="shared" si="8"/>
        <v>#N/A</v>
      </c>
      <c r="AS12" s="534"/>
      <c r="AT12" s="404">
        <v>5</v>
      </c>
      <c r="AU12" s="182">
        <v>1452.8571428571481</v>
      </c>
      <c r="AV12" s="405">
        <v>290.57142857142964</v>
      </c>
      <c r="AW12" s="404">
        <f t="shared" si="12"/>
        <v>2</v>
      </c>
      <c r="AX12" s="534"/>
      <c r="AZ12" s="321" t="e">
        <f>RANK(AX12, $K$7:AX$21)</f>
        <v>#N/A</v>
      </c>
      <c r="BB12" s="318" t="e">
        <f t="shared" si="13"/>
        <v>#N/A</v>
      </c>
    </row>
    <row r="13" spans="1:54">
      <c r="A13" s="81"/>
      <c r="B13" s="533"/>
      <c r="C13" s="404">
        <v>7</v>
      </c>
      <c r="D13" s="404" t="s">
        <v>572</v>
      </c>
      <c r="E13" s="404">
        <v>15</v>
      </c>
      <c r="F13" s="404">
        <v>1200</v>
      </c>
      <c r="G13" s="182">
        <v>80</v>
      </c>
      <c r="H13" s="598"/>
      <c r="I13" s="408"/>
      <c r="J13" s="408"/>
      <c r="K13" s="406"/>
      <c r="L13" s="588"/>
      <c r="M13" s="407" t="e">
        <f>RANK(K13, $K$7:K$21)</f>
        <v>#N/A</v>
      </c>
      <c r="N13" s="544"/>
      <c r="O13" s="544"/>
      <c r="P13" s="182"/>
      <c r="Q13" s="182"/>
      <c r="R13" s="182"/>
      <c r="S13" s="404" t="e">
        <f t="shared" si="11"/>
        <v>#N/A</v>
      </c>
      <c r="T13" s="534"/>
      <c r="U13" s="182"/>
      <c r="V13" s="182"/>
      <c r="W13" s="182"/>
      <c r="X13" s="404" t="e">
        <f t="shared" si="0"/>
        <v>#N/A</v>
      </c>
      <c r="Y13" s="534"/>
      <c r="Z13" s="182"/>
      <c r="AA13" s="182"/>
      <c r="AB13" s="182"/>
      <c r="AC13" s="404" t="e">
        <f t="shared" si="2"/>
        <v>#N/A</v>
      </c>
      <c r="AD13" s="534"/>
      <c r="AE13" s="182"/>
      <c r="AF13" s="182"/>
      <c r="AG13" s="182"/>
      <c r="AH13" s="404" t="e">
        <f t="shared" si="4"/>
        <v>#N/A</v>
      </c>
      <c r="AI13" s="534"/>
      <c r="AJ13" s="182"/>
      <c r="AK13" s="182"/>
      <c r="AL13" s="182"/>
      <c r="AM13" s="404" t="e">
        <f t="shared" si="6"/>
        <v>#N/A</v>
      </c>
      <c r="AN13" s="534"/>
      <c r="AO13" s="182"/>
      <c r="AP13" s="182"/>
      <c r="AQ13" s="182"/>
      <c r="AR13" s="404" t="e">
        <f t="shared" si="8"/>
        <v>#N/A</v>
      </c>
      <c r="AS13" s="534"/>
      <c r="AT13" s="404"/>
      <c r="AU13" s="182"/>
      <c r="AV13" s="405"/>
      <c r="AW13" s="404" t="e">
        <f t="shared" si="12"/>
        <v>#N/A</v>
      </c>
      <c r="AX13" s="534"/>
      <c r="AZ13" s="321" t="e">
        <f>RANK(AX13, $K$7:AX$21)</f>
        <v>#N/A</v>
      </c>
      <c r="BB13" s="318" t="e">
        <f t="shared" si="13"/>
        <v>#N/A</v>
      </c>
    </row>
    <row r="14" spans="1:54">
      <c r="A14" s="81"/>
      <c r="B14" s="533"/>
      <c r="C14" s="404">
        <v>8</v>
      </c>
      <c r="D14" s="404" t="s">
        <v>574</v>
      </c>
      <c r="E14" s="404">
        <v>15</v>
      </c>
      <c r="F14" s="404">
        <v>1200</v>
      </c>
      <c r="G14" s="182">
        <v>80</v>
      </c>
      <c r="H14" s="598"/>
      <c r="I14" s="408">
        <f t="shared" si="10"/>
        <v>13</v>
      </c>
      <c r="J14" s="408">
        <f t="shared" si="10"/>
        <v>1149.3750000000014</v>
      </c>
      <c r="K14" s="406">
        <f t="shared" si="10"/>
        <v>88.413461538461647</v>
      </c>
      <c r="L14" s="588"/>
      <c r="M14" s="407">
        <f>RANK(K14, $K$7:K$21)</f>
        <v>7</v>
      </c>
      <c r="N14" s="544"/>
      <c r="O14" s="544"/>
      <c r="P14" s="182"/>
      <c r="Q14" s="182"/>
      <c r="R14" s="182"/>
      <c r="S14" s="404" t="e">
        <f t="shared" si="11"/>
        <v>#N/A</v>
      </c>
      <c r="T14" s="534"/>
      <c r="U14" s="182"/>
      <c r="V14" s="182"/>
      <c r="W14" s="182"/>
      <c r="X14" s="404" t="e">
        <f t="shared" si="0"/>
        <v>#N/A</v>
      </c>
      <c r="Y14" s="534"/>
      <c r="Z14" s="182"/>
      <c r="AA14" s="182"/>
      <c r="AB14" s="182"/>
      <c r="AC14" s="404" t="e">
        <f t="shared" si="2"/>
        <v>#N/A</v>
      </c>
      <c r="AD14" s="534"/>
      <c r="AE14" s="182"/>
      <c r="AF14" s="182"/>
      <c r="AG14" s="182"/>
      <c r="AH14" s="404" t="e">
        <f t="shared" si="4"/>
        <v>#N/A</v>
      </c>
      <c r="AI14" s="534"/>
      <c r="AJ14" s="182"/>
      <c r="AK14" s="182"/>
      <c r="AL14" s="182"/>
      <c r="AM14" s="404" t="e">
        <f t="shared" si="6"/>
        <v>#N/A</v>
      </c>
      <c r="AN14" s="534"/>
      <c r="AO14" s="182"/>
      <c r="AP14" s="182"/>
      <c r="AQ14" s="182"/>
      <c r="AR14" s="404" t="e">
        <f t="shared" si="8"/>
        <v>#N/A</v>
      </c>
      <c r="AS14" s="534"/>
      <c r="AT14" s="404">
        <v>13</v>
      </c>
      <c r="AU14" s="182">
        <v>1149.3750000000014</v>
      </c>
      <c r="AV14" s="405">
        <v>88.413461538461647</v>
      </c>
      <c r="AW14" s="404">
        <f t="shared" si="12"/>
        <v>7</v>
      </c>
      <c r="AX14" s="534"/>
      <c r="AZ14" s="321" t="e">
        <f>RANK(AX14, $K$7:AX$21)</f>
        <v>#N/A</v>
      </c>
      <c r="BB14" s="318" t="e">
        <f t="shared" si="13"/>
        <v>#N/A</v>
      </c>
    </row>
    <row r="15" spans="1:54">
      <c r="A15" s="81"/>
      <c r="B15" s="533"/>
      <c r="C15" s="404">
        <v>9</v>
      </c>
      <c r="D15" s="404"/>
      <c r="E15" s="404"/>
      <c r="F15" s="404"/>
      <c r="G15" s="404"/>
      <c r="H15" s="598"/>
      <c r="I15" s="408"/>
      <c r="J15" s="408"/>
      <c r="K15" s="406"/>
      <c r="L15" s="588"/>
      <c r="M15" s="407" t="e">
        <f>RANK(K15, $K$7:K$21)</f>
        <v>#N/A</v>
      </c>
      <c r="N15" s="544"/>
      <c r="O15" s="544"/>
      <c r="P15" s="404"/>
      <c r="Q15" s="182"/>
      <c r="R15" s="405"/>
      <c r="S15" s="404" t="e">
        <f t="shared" si="11"/>
        <v>#N/A</v>
      </c>
      <c r="T15" s="534"/>
      <c r="U15" s="404"/>
      <c r="V15" s="182"/>
      <c r="W15" s="405"/>
      <c r="X15" s="404" t="e">
        <f t="shared" si="0"/>
        <v>#N/A</v>
      </c>
      <c r="Y15" s="534"/>
      <c r="Z15" s="404"/>
      <c r="AA15" s="182"/>
      <c r="AB15" s="405"/>
      <c r="AC15" s="404" t="e">
        <f t="shared" si="2"/>
        <v>#N/A</v>
      </c>
      <c r="AD15" s="534"/>
      <c r="AE15" s="404"/>
      <c r="AF15" s="182"/>
      <c r="AG15" s="405"/>
      <c r="AH15" s="404" t="e">
        <f t="shared" si="4"/>
        <v>#N/A</v>
      </c>
      <c r="AI15" s="534"/>
      <c r="AJ15" s="404"/>
      <c r="AK15" s="182"/>
      <c r="AL15" s="405"/>
      <c r="AM15" s="404" t="e">
        <f t="shared" si="6"/>
        <v>#N/A</v>
      </c>
      <c r="AN15" s="534"/>
      <c r="AO15" s="404"/>
      <c r="AP15" s="182"/>
      <c r="AQ15" s="405"/>
      <c r="AR15" s="404" t="e">
        <f t="shared" si="8"/>
        <v>#N/A</v>
      </c>
      <c r="AS15" s="534"/>
      <c r="AT15" s="404"/>
      <c r="AU15" s="182"/>
      <c r="AV15" s="405"/>
      <c r="AW15" s="404" t="e">
        <f t="shared" si="12"/>
        <v>#N/A</v>
      </c>
      <c r="AX15" s="534"/>
      <c r="AZ15" s="321" t="e">
        <f>RANK(AX15, $K$7:AX$21)</f>
        <v>#N/A</v>
      </c>
      <c r="BB15" s="318" t="e">
        <f t="shared" si="13"/>
        <v>#N/A</v>
      </c>
    </row>
    <row r="16" spans="1:54">
      <c r="A16" s="81"/>
      <c r="B16" s="533"/>
      <c r="C16" s="404">
        <v>10</v>
      </c>
      <c r="D16" s="404"/>
      <c r="E16" s="404"/>
      <c r="F16" s="404"/>
      <c r="G16" s="404"/>
      <c r="H16" s="598"/>
      <c r="I16" s="408"/>
      <c r="J16" s="408"/>
      <c r="K16" s="406"/>
      <c r="L16" s="588"/>
      <c r="M16" s="407" t="e">
        <f>RANK(K16, $K$7:K$21)</f>
        <v>#N/A</v>
      </c>
      <c r="N16" s="544"/>
      <c r="O16" s="544"/>
      <c r="P16" s="404"/>
      <c r="Q16" s="182"/>
      <c r="R16" s="405"/>
      <c r="S16" s="404" t="e">
        <f t="shared" si="11"/>
        <v>#N/A</v>
      </c>
      <c r="T16" s="534"/>
      <c r="U16" s="404"/>
      <c r="V16" s="182"/>
      <c r="W16" s="405"/>
      <c r="X16" s="404" t="e">
        <f t="shared" si="0"/>
        <v>#N/A</v>
      </c>
      <c r="Y16" s="534"/>
      <c r="Z16" s="404"/>
      <c r="AA16" s="182"/>
      <c r="AB16" s="405"/>
      <c r="AC16" s="404" t="e">
        <f t="shared" si="2"/>
        <v>#N/A</v>
      </c>
      <c r="AD16" s="534"/>
      <c r="AE16" s="404"/>
      <c r="AF16" s="182"/>
      <c r="AG16" s="405"/>
      <c r="AH16" s="404" t="e">
        <f t="shared" si="4"/>
        <v>#N/A</v>
      </c>
      <c r="AI16" s="534"/>
      <c r="AJ16" s="404"/>
      <c r="AK16" s="182"/>
      <c r="AL16" s="405"/>
      <c r="AM16" s="404" t="e">
        <f t="shared" si="6"/>
        <v>#N/A</v>
      </c>
      <c r="AN16" s="534"/>
      <c r="AO16" s="404"/>
      <c r="AP16" s="182"/>
      <c r="AQ16" s="405"/>
      <c r="AR16" s="404" t="e">
        <f t="shared" si="8"/>
        <v>#N/A</v>
      </c>
      <c r="AS16" s="534"/>
      <c r="AT16" s="404"/>
      <c r="AU16" s="182"/>
      <c r="AV16" s="405"/>
      <c r="AW16" s="404" t="e">
        <f t="shared" si="12"/>
        <v>#N/A</v>
      </c>
      <c r="AX16" s="534"/>
      <c r="AZ16" s="321" t="e">
        <f>RANK(AX16, $K$7:AX$21)</f>
        <v>#N/A</v>
      </c>
      <c r="BB16" s="318" t="e">
        <f t="shared" si="13"/>
        <v>#N/A</v>
      </c>
    </row>
    <row r="17" spans="2:54">
      <c r="B17" s="533"/>
      <c r="C17" s="404">
        <v>11</v>
      </c>
      <c r="D17" s="404"/>
      <c r="E17" s="404"/>
      <c r="F17" s="404"/>
      <c r="G17" s="404"/>
      <c r="H17" s="598"/>
      <c r="I17" s="202"/>
      <c r="J17" s="202"/>
      <c r="K17" s="202"/>
      <c r="L17" s="588"/>
      <c r="M17" s="407" t="e">
        <f>RANK(K17, $K$7:K$21)</f>
        <v>#N/A</v>
      </c>
      <c r="N17" s="544"/>
      <c r="O17" s="544"/>
      <c r="P17" s="404"/>
      <c r="Q17" s="404"/>
      <c r="R17" s="404"/>
      <c r="S17" s="404" t="e">
        <f t="shared" si="11"/>
        <v>#N/A</v>
      </c>
      <c r="T17" s="534"/>
      <c r="U17" s="404"/>
      <c r="V17" s="404"/>
      <c r="W17" s="404"/>
      <c r="X17" s="404" t="e">
        <f t="shared" si="0"/>
        <v>#N/A</v>
      </c>
      <c r="Y17" s="534"/>
      <c r="Z17" s="404"/>
      <c r="AA17" s="404"/>
      <c r="AB17" s="404"/>
      <c r="AC17" s="404" t="e">
        <f t="shared" si="2"/>
        <v>#N/A</v>
      </c>
      <c r="AD17" s="534"/>
      <c r="AE17" s="404"/>
      <c r="AF17" s="404"/>
      <c r="AG17" s="404"/>
      <c r="AH17" s="404" t="e">
        <f t="shared" si="4"/>
        <v>#N/A</v>
      </c>
      <c r="AI17" s="534"/>
      <c r="AJ17" s="404"/>
      <c r="AK17" s="404"/>
      <c r="AL17" s="404"/>
      <c r="AM17" s="404" t="e">
        <f t="shared" si="6"/>
        <v>#N/A</v>
      </c>
      <c r="AN17" s="534"/>
      <c r="AO17" s="404"/>
      <c r="AP17" s="404"/>
      <c r="AQ17" s="404"/>
      <c r="AR17" s="404" t="e">
        <f t="shared" si="8"/>
        <v>#N/A</v>
      </c>
      <c r="AS17" s="534"/>
      <c r="AT17" s="404"/>
      <c r="AU17" s="404"/>
      <c r="AV17" s="404"/>
      <c r="AW17" s="404" t="e">
        <f t="shared" si="12"/>
        <v>#N/A</v>
      </c>
      <c r="AX17" s="534"/>
      <c r="AZ17" s="321" t="e">
        <f>RANK(AX17, $K$7:AX$21)</f>
        <v>#N/A</v>
      </c>
      <c r="BB17" s="318" t="e">
        <f t="shared" si="13"/>
        <v>#N/A</v>
      </c>
    </row>
    <row r="18" spans="2:54">
      <c r="B18" s="533"/>
      <c r="C18" s="404">
        <v>12</v>
      </c>
      <c r="D18" s="404"/>
      <c r="E18" s="404"/>
      <c r="F18" s="404"/>
      <c r="G18" s="404"/>
      <c r="H18" s="598"/>
      <c r="I18" s="202"/>
      <c r="J18" s="202"/>
      <c r="K18" s="202"/>
      <c r="L18" s="588"/>
      <c r="M18" s="407" t="e">
        <f>RANK(K18, $K$7:K$21)</f>
        <v>#N/A</v>
      </c>
      <c r="N18" s="544"/>
      <c r="O18" s="544"/>
      <c r="P18" s="404"/>
      <c r="Q18" s="404"/>
      <c r="R18" s="404"/>
      <c r="S18" s="404" t="e">
        <f t="shared" si="11"/>
        <v>#N/A</v>
      </c>
      <c r="T18" s="534"/>
      <c r="U18" s="404"/>
      <c r="V18" s="404"/>
      <c r="W18" s="404"/>
      <c r="X18" s="404" t="e">
        <f t="shared" si="0"/>
        <v>#N/A</v>
      </c>
      <c r="Y18" s="534"/>
      <c r="Z18" s="404"/>
      <c r="AA18" s="404"/>
      <c r="AB18" s="404"/>
      <c r="AC18" s="404" t="e">
        <f t="shared" si="2"/>
        <v>#N/A</v>
      </c>
      <c r="AD18" s="534"/>
      <c r="AE18" s="404"/>
      <c r="AF18" s="404"/>
      <c r="AG18" s="404"/>
      <c r="AH18" s="404" t="e">
        <f t="shared" si="4"/>
        <v>#N/A</v>
      </c>
      <c r="AI18" s="534"/>
      <c r="AJ18" s="404"/>
      <c r="AK18" s="404"/>
      <c r="AL18" s="404"/>
      <c r="AM18" s="404" t="e">
        <f t="shared" si="6"/>
        <v>#N/A</v>
      </c>
      <c r="AN18" s="534"/>
      <c r="AO18" s="404"/>
      <c r="AP18" s="404"/>
      <c r="AQ18" s="404"/>
      <c r="AR18" s="404" t="e">
        <f t="shared" si="8"/>
        <v>#N/A</v>
      </c>
      <c r="AS18" s="534"/>
      <c r="AT18" s="404"/>
      <c r="AU18" s="404"/>
      <c r="AV18" s="404"/>
      <c r="AW18" s="404" t="e">
        <f t="shared" si="12"/>
        <v>#N/A</v>
      </c>
      <c r="AX18" s="534"/>
      <c r="AZ18" s="321" t="e">
        <f>RANK(AX18, $K$7:AX$21)</f>
        <v>#N/A</v>
      </c>
      <c r="BB18" s="318" t="e">
        <f t="shared" si="13"/>
        <v>#N/A</v>
      </c>
    </row>
    <row r="19" spans="2:54">
      <c r="B19" s="533"/>
      <c r="C19" s="404">
        <v>13</v>
      </c>
      <c r="D19" s="404"/>
      <c r="E19" s="404"/>
      <c r="F19" s="404"/>
      <c r="G19" s="404"/>
      <c r="H19" s="598"/>
      <c r="I19" s="202"/>
      <c r="J19" s="202"/>
      <c r="K19" s="202"/>
      <c r="L19" s="588"/>
      <c r="M19" s="407" t="e">
        <f>RANK(K19, $K$7:K$21)</f>
        <v>#N/A</v>
      </c>
      <c r="N19" s="544"/>
      <c r="O19" s="544"/>
      <c r="P19" s="404"/>
      <c r="Q19" s="404"/>
      <c r="R19" s="404"/>
      <c r="S19" s="404" t="e">
        <f t="shared" si="11"/>
        <v>#N/A</v>
      </c>
      <c r="T19" s="534"/>
      <c r="U19" s="404"/>
      <c r="V19" s="404"/>
      <c r="W19" s="404"/>
      <c r="X19" s="404" t="e">
        <f t="shared" si="0"/>
        <v>#N/A</v>
      </c>
      <c r="Y19" s="534"/>
      <c r="Z19" s="404"/>
      <c r="AA19" s="404"/>
      <c r="AB19" s="404"/>
      <c r="AC19" s="404" t="e">
        <f t="shared" si="2"/>
        <v>#N/A</v>
      </c>
      <c r="AD19" s="534"/>
      <c r="AE19" s="404"/>
      <c r="AF19" s="404"/>
      <c r="AG19" s="404"/>
      <c r="AH19" s="404" t="e">
        <f t="shared" si="4"/>
        <v>#N/A</v>
      </c>
      <c r="AI19" s="534"/>
      <c r="AJ19" s="404"/>
      <c r="AK19" s="404"/>
      <c r="AL19" s="404"/>
      <c r="AM19" s="404" t="e">
        <f t="shared" si="6"/>
        <v>#N/A</v>
      </c>
      <c r="AN19" s="534"/>
      <c r="AO19" s="404"/>
      <c r="AP19" s="404"/>
      <c r="AQ19" s="404"/>
      <c r="AR19" s="404" t="e">
        <f t="shared" si="8"/>
        <v>#N/A</v>
      </c>
      <c r="AS19" s="534"/>
      <c r="AT19" s="404"/>
      <c r="AU19" s="404"/>
      <c r="AV19" s="404"/>
      <c r="AW19" s="404" t="e">
        <f t="shared" si="12"/>
        <v>#N/A</v>
      </c>
      <c r="AX19" s="534"/>
      <c r="AZ19" s="321" t="e">
        <f>RANK(AX19, $K$7:AX$21)</f>
        <v>#N/A</v>
      </c>
      <c r="BB19" s="318" t="e">
        <f t="shared" si="13"/>
        <v>#N/A</v>
      </c>
    </row>
    <row r="20" spans="2:54">
      <c r="B20" s="533"/>
      <c r="C20" s="404">
        <v>14</v>
      </c>
      <c r="D20" s="404"/>
      <c r="E20" s="404"/>
      <c r="F20" s="404"/>
      <c r="G20" s="404"/>
      <c r="H20" s="598"/>
      <c r="I20" s="202"/>
      <c r="J20" s="202"/>
      <c r="K20" s="202"/>
      <c r="L20" s="588"/>
      <c r="M20" s="407" t="e">
        <f>RANK(K20, $K$7:K$21)</f>
        <v>#N/A</v>
      </c>
      <c r="N20" s="544"/>
      <c r="O20" s="544"/>
      <c r="P20" s="404"/>
      <c r="Q20" s="404"/>
      <c r="R20" s="404"/>
      <c r="S20" s="404" t="e">
        <f t="shared" si="11"/>
        <v>#N/A</v>
      </c>
      <c r="T20" s="534"/>
      <c r="U20" s="404"/>
      <c r="V20" s="404"/>
      <c r="W20" s="404"/>
      <c r="X20" s="404" t="e">
        <f t="shared" si="0"/>
        <v>#N/A</v>
      </c>
      <c r="Y20" s="534"/>
      <c r="Z20" s="404"/>
      <c r="AA20" s="404"/>
      <c r="AB20" s="404"/>
      <c r="AC20" s="404" t="e">
        <f t="shared" si="2"/>
        <v>#N/A</v>
      </c>
      <c r="AD20" s="534"/>
      <c r="AE20" s="404"/>
      <c r="AF20" s="404"/>
      <c r="AG20" s="404"/>
      <c r="AH20" s="404" t="e">
        <f t="shared" si="4"/>
        <v>#N/A</v>
      </c>
      <c r="AI20" s="534"/>
      <c r="AJ20" s="404"/>
      <c r="AK20" s="404"/>
      <c r="AL20" s="404"/>
      <c r="AM20" s="404" t="e">
        <f t="shared" si="6"/>
        <v>#N/A</v>
      </c>
      <c r="AN20" s="534"/>
      <c r="AO20" s="404"/>
      <c r="AP20" s="404"/>
      <c r="AQ20" s="404"/>
      <c r="AR20" s="404" t="e">
        <f t="shared" si="8"/>
        <v>#N/A</v>
      </c>
      <c r="AS20" s="534"/>
      <c r="AT20" s="404"/>
      <c r="AU20" s="404"/>
      <c r="AV20" s="404"/>
      <c r="AW20" s="404" t="e">
        <f t="shared" si="12"/>
        <v>#N/A</v>
      </c>
      <c r="AX20" s="534"/>
      <c r="AZ20" s="321" t="e">
        <f>RANK(AX20, $K$7:AX$21)</f>
        <v>#N/A</v>
      </c>
      <c r="BB20" s="318" t="e">
        <f t="shared" si="13"/>
        <v>#N/A</v>
      </c>
    </row>
    <row r="21" spans="2:54">
      <c r="B21" s="533"/>
      <c r="C21" s="404">
        <v>15</v>
      </c>
      <c r="D21" s="404"/>
      <c r="E21" s="404"/>
      <c r="F21" s="404"/>
      <c r="G21" s="404"/>
      <c r="H21" s="599"/>
      <c r="I21" s="202"/>
      <c r="J21" s="202"/>
      <c r="K21" s="202"/>
      <c r="L21" s="589"/>
      <c r="M21" s="408" t="e">
        <f>RANK(K21, $K$7:K$21)</f>
        <v>#N/A</v>
      </c>
      <c r="N21" s="544"/>
      <c r="O21" s="544"/>
      <c r="P21" s="404"/>
      <c r="Q21" s="404"/>
      <c r="R21" s="404"/>
      <c r="S21" s="404" t="e">
        <f t="shared" si="11"/>
        <v>#N/A</v>
      </c>
      <c r="T21" s="534"/>
      <c r="U21" s="404"/>
      <c r="V21" s="404"/>
      <c r="W21" s="404"/>
      <c r="X21" s="404" t="e">
        <f t="shared" si="0"/>
        <v>#N/A</v>
      </c>
      <c r="Y21" s="534"/>
      <c r="Z21" s="404"/>
      <c r="AA21" s="404"/>
      <c r="AB21" s="404"/>
      <c r="AC21" s="404" t="e">
        <f t="shared" si="2"/>
        <v>#N/A</v>
      </c>
      <c r="AD21" s="534"/>
      <c r="AE21" s="404"/>
      <c r="AF21" s="404"/>
      <c r="AG21" s="404"/>
      <c r="AH21" s="404" t="e">
        <f t="shared" si="4"/>
        <v>#N/A</v>
      </c>
      <c r="AI21" s="534"/>
      <c r="AJ21" s="404"/>
      <c r="AK21" s="404"/>
      <c r="AL21" s="404"/>
      <c r="AM21" s="404" t="e">
        <f t="shared" si="6"/>
        <v>#N/A</v>
      </c>
      <c r="AN21" s="534"/>
      <c r="AO21" s="404"/>
      <c r="AP21" s="404"/>
      <c r="AQ21" s="404"/>
      <c r="AR21" s="404" t="e">
        <f t="shared" si="8"/>
        <v>#N/A</v>
      </c>
      <c r="AS21" s="534"/>
      <c r="AT21" s="404"/>
      <c r="AU21" s="404"/>
      <c r="AV21" s="404"/>
      <c r="AW21" s="404" t="e">
        <f t="shared" si="12"/>
        <v>#N/A</v>
      </c>
      <c r="AX21" s="534"/>
      <c r="AZ21" s="320" t="e">
        <f>RANK(AX21, $K$7:AX$21)</f>
        <v>#N/A</v>
      </c>
      <c r="BB21" s="318" t="e">
        <f t="shared" si="13"/>
        <v>#N/A</v>
      </c>
    </row>
    <row r="22" spans="2:54" ht="15.5">
      <c r="B22" s="575" t="s">
        <v>163</v>
      </c>
      <c r="C22" s="576"/>
      <c r="D22" s="576"/>
      <c r="E22" s="576"/>
      <c r="F22" s="576"/>
      <c r="G22" s="576"/>
      <c r="H22" s="576"/>
      <c r="I22" s="203"/>
      <c r="J22" s="203"/>
      <c r="K22" s="203"/>
      <c r="L22" s="203"/>
      <c r="M22" s="204"/>
      <c r="N22" s="559" t="s">
        <v>156</v>
      </c>
      <c r="O22" s="559" t="s">
        <v>105</v>
      </c>
      <c r="P22" s="610">
        <f>AT2+1</f>
        <v>46358</v>
      </c>
      <c r="Q22" s="611"/>
      <c r="R22" s="611"/>
      <c r="S22" s="611"/>
      <c r="T22" s="611"/>
      <c r="U22" s="554">
        <f>P22+1</f>
        <v>46359</v>
      </c>
      <c r="V22" s="533"/>
      <c r="W22" s="533"/>
      <c r="X22" s="533"/>
      <c r="Y22" s="533"/>
      <c r="Z22" s="554">
        <f>U22+1</f>
        <v>46360</v>
      </c>
      <c r="AA22" s="533"/>
      <c r="AB22" s="533"/>
      <c r="AC22" s="533"/>
      <c r="AD22" s="533"/>
      <c r="AE22" s="554">
        <f>Z22+1</f>
        <v>46361</v>
      </c>
      <c r="AF22" s="533"/>
      <c r="AG22" s="533"/>
      <c r="AH22" s="533"/>
      <c r="AI22" s="533"/>
      <c r="AJ22" s="554">
        <f>AE22+1</f>
        <v>46362</v>
      </c>
      <c r="AK22" s="533"/>
      <c r="AL22" s="533"/>
      <c r="AM22" s="533"/>
      <c r="AN22" s="533"/>
      <c r="AO22" s="554">
        <f>AJ22+1</f>
        <v>46363</v>
      </c>
      <c r="AP22" s="533"/>
      <c r="AQ22" s="533"/>
      <c r="AR22" s="533"/>
      <c r="AS22" s="533"/>
      <c r="AT22" s="554">
        <f>AO22+1</f>
        <v>46364</v>
      </c>
      <c r="AU22" s="533"/>
      <c r="AV22" s="533"/>
      <c r="AW22" s="533"/>
      <c r="AX22" s="533"/>
    </row>
    <row r="23" spans="2:54" ht="15.5">
      <c r="B23" s="558"/>
      <c r="C23" s="558"/>
      <c r="D23" s="558"/>
      <c r="E23" s="558"/>
      <c r="F23" s="558"/>
      <c r="G23" s="558"/>
      <c r="H23" s="558"/>
      <c r="I23" s="205"/>
      <c r="J23" s="205"/>
      <c r="K23" s="205"/>
      <c r="L23" s="205"/>
      <c r="M23" s="206"/>
      <c r="N23" s="560"/>
      <c r="O23" s="560"/>
      <c r="P23" s="554" t="s">
        <v>334</v>
      </c>
      <c r="Q23" s="533"/>
      <c r="R23" s="533"/>
      <c r="S23" s="533"/>
      <c r="T23" s="533"/>
      <c r="U23" s="554" t="s">
        <v>335</v>
      </c>
      <c r="V23" s="533"/>
      <c r="W23" s="533"/>
      <c r="X23" s="533"/>
      <c r="Y23" s="533"/>
      <c r="Z23" s="554" t="s">
        <v>336</v>
      </c>
      <c r="AA23" s="533"/>
      <c r="AB23" s="533"/>
      <c r="AC23" s="533"/>
      <c r="AD23" s="533"/>
      <c r="AE23" s="554" t="s">
        <v>337</v>
      </c>
      <c r="AF23" s="533"/>
      <c r="AG23" s="533"/>
      <c r="AH23" s="533"/>
      <c r="AI23" s="533"/>
      <c r="AJ23" s="554" t="s">
        <v>338</v>
      </c>
      <c r="AK23" s="533"/>
      <c r="AL23" s="533"/>
      <c r="AM23" s="533"/>
      <c r="AN23" s="533"/>
      <c r="AO23" s="554" t="s">
        <v>339</v>
      </c>
      <c r="AP23" s="533"/>
      <c r="AQ23" s="533"/>
      <c r="AR23" s="533"/>
      <c r="AS23" s="533"/>
      <c r="AT23" s="554" t="s">
        <v>340</v>
      </c>
      <c r="AU23" s="533"/>
      <c r="AV23" s="533"/>
      <c r="AW23" s="533"/>
      <c r="AX23" s="533"/>
    </row>
    <row r="24" spans="2:54">
      <c r="B24" s="544" t="s">
        <v>649</v>
      </c>
      <c r="C24" s="544" t="s">
        <v>650</v>
      </c>
      <c r="D24" s="544"/>
      <c r="E24" s="544" t="s">
        <v>651</v>
      </c>
      <c r="F24" s="544"/>
      <c r="G24" s="544"/>
      <c r="H24" s="561" t="s">
        <v>652</v>
      </c>
      <c r="I24" s="583" t="s">
        <v>653</v>
      </c>
      <c r="J24" s="583"/>
      <c r="K24" s="583"/>
      <c r="L24" s="584" t="s">
        <v>652</v>
      </c>
      <c r="M24" s="567" t="s">
        <v>654</v>
      </c>
      <c r="N24" s="544"/>
      <c r="O24" s="544" t="s">
        <v>655</v>
      </c>
      <c r="P24" s="548" t="s">
        <v>656</v>
      </c>
      <c r="Q24" s="549"/>
      <c r="R24" s="549"/>
      <c r="S24" s="550"/>
      <c r="T24" s="544" t="s">
        <v>652</v>
      </c>
      <c r="U24" s="548" t="s">
        <v>656</v>
      </c>
      <c r="V24" s="549"/>
      <c r="W24" s="549"/>
      <c r="X24" s="550"/>
      <c r="Y24" s="544" t="s">
        <v>652</v>
      </c>
      <c r="Z24" s="548" t="s">
        <v>656</v>
      </c>
      <c r="AA24" s="549"/>
      <c r="AB24" s="549"/>
      <c r="AC24" s="550"/>
      <c r="AD24" s="544" t="s">
        <v>652</v>
      </c>
      <c r="AE24" s="548" t="s">
        <v>656</v>
      </c>
      <c r="AF24" s="549"/>
      <c r="AG24" s="549"/>
      <c r="AH24" s="550"/>
      <c r="AI24" s="544" t="s">
        <v>652</v>
      </c>
      <c r="AJ24" s="548" t="s">
        <v>656</v>
      </c>
      <c r="AK24" s="549"/>
      <c r="AL24" s="549"/>
      <c r="AM24" s="550"/>
      <c r="AN24" s="544" t="s">
        <v>652</v>
      </c>
      <c r="AO24" s="548" t="s">
        <v>656</v>
      </c>
      <c r="AP24" s="549"/>
      <c r="AQ24" s="549"/>
      <c r="AR24" s="550"/>
      <c r="AS24" s="544" t="s">
        <v>652</v>
      </c>
      <c r="AT24" s="548" t="s">
        <v>656</v>
      </c>
      <c r="AU24" s="549"/>
      <c r="AV24" s="549"/>
      <c r="AW24" s="550"/>
      <c r="AX24" s="544" t="s">
        <v>652</v>
      </c>
    </row>
    <row r="25" spans="2:54">
      <c r="B25" s="544"/>
      <c r="C25" s="544"/>
      <c r="D25" s="544"/>
      <c r="E25" s="544" t="s">
        <v>657</v>
      </c>
      <c r="F25" s="544"/>
      <c r="G25" s="544"/>
      <c r="H25" s="562"/>
      <c r="I25" s="583" t="s">
        <v>657</v>
      </c>
      <c r="J25" s="583"/>
      <c r="K25" s="583"/>
      <c r="L25" s="585"/>
      <c r="M25" s="568"/>
      <c r="N25" s="544"/>
      <c r="O25" s="544"/>
      <c r="P25" s="548" t="s">
        <v>658</v>
      </c>
      <c r="Q25" s="549"/>
      <c r="R25" s="549"/>
      <c r="S25" s="550"/>
      <c r="T25" s="544"/>
      <c r="U25" s="548" t="s">
        <v>658</v>
      </c>
      <c r="V25" s="549"/>
      <c r="W25" s="549"/>
      <c r="X25" s="550"/>
      <c r="Y25" s="544"/>
      <c r="Z25" s="548" t="s">
        <v>658</v>
      </c>
      <c r="AA25" s="549"/>
      <c r="AB25" s="549"/>
      <c r="AC25" s="550"/>
      <c r="AD25" s="544"/>
      <c r="AE25" s="548" t="s">
        <v>658</v>
      </c>
      <c r="AF25" s="549"/>
      <c r="AG25" s="549"/>
      <c r="AH25" s="550"/>
      <c r="AI25" s="544"/>
      <c r="AJ25" s="548" t="s">
        <v>658</v>
      </c>
      <c r="AK25" s="549"/>
      <c r="AL25" s="549"/>
      <c r="AM25" s="550"/>
      <c r="AN25" s="544"/>
      <c r="AO25" s="548" t="s">
        <v>658</v>
      </c>
      <c r="AP25" s="549"/>
      <c r="AQ25" s="549"/>
      <c r="AR25" s="550"/>
      <c r="AS25" s="544"/>
      <c r="AT25" s="548" t="s">
        <v>658</v>
      </c>
      <c r="AU25" s="549"/>
      <c r="AV25" s="549"/>
      <c r="AW25" s="550"/>
      <c r="AX25" s="544"/>
    </row>
    <row r="26" spans="2:54">
      <c r="B26" s="544"/>
      <c r="C26" s="544"/>
      <c r="D26" s="544"/>
      <c r="E26" s="403" t="s">
        <v>659</v>
      </c>
      <c r="F26" s="403" t="s">
        <v>660</v>
      </c>
      <c r="G26" s="403" t="s">
        <v>661</v>
      </c>
      <c r="H26" s="563"/>
      <c r="I26" s="402" t="s">
        <v>659</v>
      </c>
      <c r="J26" s="402" t="s">
        <v>660</v>
      </c>
      <c r="K26" s="402" t="s">
        <v>661</v>
      </c>
      <c r="L26" s="586"/>
      <c r="M26" s="569"/>
      <c r="N26" s="544"/>
      <c r="O26" s="544"/>
      <c r="P26" s="403" t="s">
        <v>659</v>
      </c>
      <c r="Q26" s="403" t="s">
        <v>660</v>
      </c>
      <c r="R26" s="403" t="s">
        <v>661</v>
      </c>
      <c r="S26" s="403" t="s">
        <v>654</v>
      </c>
      <c r="T26" s="544"/>
      <c r="U26" s="403" t="s">
        <v>659</v>
      </c>
      <c r="V26" s="403" t="s">
        <v>660</v>
      </c>
      <c r="W26" s="403" t="s">
        <v>661</v>
      </c>
      <c r="X26" s="403" t="s">
        <v>654</v>
      </c>
      <c r="Y26" s="544"/>
      <c r="Z26" s="403" t="s">
        <v>659</v>
      </c>
      <c r="AA26" s="403" t="s">
        <v>660</v>
      </c>
      <c r="AB26" s="403" t="s">
        <v>661</v>
      </c>
      <c r="AC26" s="403" t="s">
        <v>654</v>
      </c>
      <c r="AD26" s="544"/>
      <c r="AE26" s="403" t="s">
        <v>659</v>
      </c>
      <c r="AF26" s="403" t="s">
        <v>660</v>
      </c>
      <c r="AG26" s="403" t="s">
        <v>661</v>
      </c>
      <c r="AH26" s="403" t="s">
        <v>654</v>
      </c>
      <c r="AI26" s="544"/>
      <c r="AJ26" s="403" t="s">
        <v>659</v>
      </c>
      <c r="AK26" s="403" t="s">
        <v>660</v>
      </c>
      <c r="AL26" s="403" t="s">
        <v>661</v>
      </c>
      <c r="AM26" s="403" t="s">
        <v>654</v>
      </c>
      <c r="AN26" s="544"/>
      <c r="AO26" s="403" t="s">
        <v>659</v>
      </c>
      <c r="AP26" s="403" t="s">
        <v>660</v>
      </c>
      <c r="AQ26" s="403" t="s">
        <v>661</v>
      </c>
      <c r="AR26" s="403" t="s">
        <v>654</v>
      </c>
      <c r="AS26" s="544"/>
      <c r="AT26" s="403" t="s">
        <v>659</v>
      </c>
      <c r="AU26" s="403" t="s">
        <v>660</v>
      </c>
      <c r="AV26" s="403" t="s">
        <v>661</v>
      </c>
      <c r="AW26" s="403" t="s">
        <v>654</v>
      </c>
      <c r="AX26" s="544"/>
    </row>
    <row r="27" spans="2:54">
      <c r="B27" s="596" t="s">
        <v>663</v>
      </c>
      <c r="C27" s="404">
        <v>1</v>
      </c>
      <c r="D27" s="404" t="s">
        <v>371</v>
      </c>
      <c r="E27" s="404">
        <v>10</v>
      </c>
      <c r="F27" s="404">
        <v>1500</v>
      </c>
      <c r="G27" s="182">
        <v>150</v>
      </c>
      <c r="H27" s="597">
        <f>AVERAGE(G27:G41)</f>
        <v>195.71428571428572</v>
      </c>
      <c r="I27" s="408">
        <f>AVERAGE(P27,U27,Z27,AE27,AJ27,AO27,AT27)</f>
        <v>10</v>
      </c>
      <c r="J27" s="408">
        <f>AVERAGE(Q27,V27,AA27,AF27,AK27,AP27,AU27)</f>
        <v>1521.3714285714252</v>
      </c>
      <c r="K27" s="406">
        <f>AVERAGE(R27,W27,AB27,AG27,AL27,AQ27,AV27)</f>
        <v>152.13714285714249</v>
      </c>
      <c r="L27" s="587">
        <f>IFERROR(AVERAGE(K27:K41),"-")</f>
        <v>200.62060435743257</v>
      </c>
      <c r="M27" s="407">
        <f>RANK(K27, K$27:$K$41)</f>
        <v>4</v>
      </c>
      <c r="N27" s="544"/>
      <c r="O27" s="544"/>
      <c r="P27" s="182">
        <v>10</v>
      </c>
      <c r="Q27" s="182">
        <v>1625.9999999999927</v>
      </c>
      <c r="R27" s="405">
        <v>162.59999999999928</v>
      </c>
      <c r="S27" s="404">
        <f t="shared" ref="S27:S41" si="14">RANK(R27, R$27:R$41)</f>
        <v>5</v>
      </c>
      <c r="T27" s="534">
        <f>AVERAGE(R27:R41)</f>
        <v>212.57725885225881</v>
      </c>
      <c r="U27" s="182">
        <v>10</v>
      </c>
      <c r="V27" s="182">
        <v>1655.9999999999927</v>
      </c>
      <c r="W27" s="405">
        <v>165.59999999999928</v>
      </c>
      <c r="X27" s="404">
        <f t="shared" ref="X27:X41" si="15">RANK(W27, W$27:W$41)</f>
        <v>4</v>
      </c>
      <c r="Y27" s="534">
        <f t="shared" ref="Y27" si="16">AVERAGE(W27:W41)</f>
        <v>206.97732118758441</v>
      </c>
      <c r="Z27" s="182">
        <v>10</v>
      </c>
      <c r="AA27" s="182">
        <v>1541.9999999999995</v>
      </c>
      <c r="AB27" s="405">
        <v>154.19999999999996</v>
      </c>
      <c r="AC27" s="404">
        <f t="shared" ref="AC27:AC41" si="17">RANK(AB27, AB$27:AB$41)</f>
        <v>4</v>
      </c>
      <c r="AD27" s="534">
        <f t="shared" ref="AD27" si="18">AVERAGE(AB27:AB41)</f>
        <v>200.31893958575986</v>
      </c>
      <c r="AE27" s="182">
        <v>10</v>
      </c>
      <c r="AF27" s="182">
        <v>1290.0000000000048</v>
      </c>
      <c r="AG27" s="405">
        <v>129.00000000000048</v>
      </c>
      <c r="AH27" s="404">
        <f t="shared" ref="AH27:AH41" si="19">RANK(AG27, AG$27:AG$41)</f>
        <v>6</v>
      </c>
      <c r="AI27" s="534">
        <f t="shared" ref="AI27" si="20">AVERAGE(AG27:AG41)</f>
        <v>192.66459096459099</v>
      </c>
      <c r="AJ27" s="182">
        <v>10</v>
      </c>
      <c r="AK27" s="182">
        <v>1687.999999999997</v>
      </c>
      <c r="AL27" s="405">
        <v>168.7999999999997</v>
      </c>
      <c r="AM27" s="404">
        <f t="shared" ref="AM27:AM41" si="21">RANK(AL27, AL$27:AL$41)</f>
        <v>4</v>
      </c>
      <c r="AN27" s="534">
        <f t="shared" ref="AN27" si="22">AVERAGE(AL27:AL41)</f>
        <v>198.02254412254408</v>
      </c>
      <c r="AO27" s="182">
        <v>10</v>
      </c>
      <c r="AP27" s="182">
        <v>1281.5999999999963</v>
      </c>
      <c r="AQ27" s="405">
        <v>128.15999999999963</v>
      </c>
      <c r="AR27" s="404">
        <f t="shared" ref="AR27:AR41" si="23">RANK(AQ27, AQ$27:AQ$41)</f>
        <v>6</v>
      </c>
      <c r="AS27" s="534">
        <f t="shared" ref="AS27" si="24">AVERAGE(AQ27:AQ41)</f>
        <v>195.45509157509164</v>
      </c>
      <c r="AT27" s="182">
        <v>10</v>
      </c>
      <c r="AU27" s="182">
        <v>1565.999999999993</v>
      </c>
      <c r="AV27" s="405">
        <v>156.59999999999928</v>
      </c>
      <c r="AW27" s="404">
        <f t="shared" ref="AW27:AW41" si="25">RANK(AV27, AV$27:AV$41)</f>
        <v>4</v>
      </c>
      <c r="AX27" s="534">
        <f t="shared" ref="AX27" si="26">AVERAGE(AV27:AV41)</f>
        <v>198.32848421419826</v>
      </c>
    </row>
    <row r="28" spans="2:54">
      <c r="B28" s="533"/>
      <c r="C28" s="404">
        <v>2</v>
      </c>
      <c r="D28" s="404" t="s">
        <v>372</v>
      </c>
      <c r="E28" s="404">
        <v>15</v>
      </c>
      <c r="F28" s="404">
        <v>1800</v>
      </c>
      <c r="G28" s="182">
        <v>120</v>
      </c>
      <c r="H28" s="598"/>
      <c r="I28" s="408">
        <f t="shared" ref="I28:K33" si="27">AVERAGE(P28,U28,Z28,AE28,AJ28,AO28,AT28)</f>
        <v>12.142857142857142</v>
      </c>
      <c r="J28" s="408">
        <f t="shared" si="27"/>
        <v>1767.8666666666666</v>
      </c>
      <c r="K28" s="406">
        <f t="shared" si="27"/>
        <v>145.75299145299144</v>
      </c>
      <c r="L28" s="588"/>
      <c r="M28" s="407">
        <f>RANK(K28, K$27:$K$41)</f>
        <v>6</v>
      </c>
      <c r="N28" s="544"/>
      <c r="O28" s="544"/>
      <c r="P28" s="404">
        <v>12</v>
      </c>
      <c r="Q28" s="182">
        <v>1798.6666666666667</v>
      </c>
      <c r="R28" s="405">
        <v>149.88888888888889</v>
      </c>
      <c r="S28" s="404">
        <f t="shared" si="14"/>
        <v>6</v>
      </c>
      <c r="T28" s="534"/>
      <c r="U28" s="404">
        <v>12</v>
      </c>
      <c r="V28" s="182">
        <v>1836</v>
      </c>
      <c r="W28" s="405">
        <v>153</v>
      </c>
      <c r="X28" s="404">
        <f t="shared" si="15"/>
        <v>6</v>
      </c>
      <c r="Y28" s="534"/>
      <c r="Z28" s="404">
        <v>13</v>
      </c>
      <c r="AA28" s="182">
        <v>1713.6000000000033</v>
      </c>
      <c r="AB28" s="405">
        <v>131.81538461538486</v>
      </c>
      <c r="AC28" s="404">
        <f t="shared" si="17"/>
        <v>6</v>
      </c>
      <c r="AD28" s="534"/>
      <c r="AE28" s="404">
        <v>12</v>
      </c>
      <c r="AF28" s="182">
        <v>1741.4999999999957</v>
      </c>
      <c r="AG28" s="405">
        <v>145.12499999999963</v>
      </c>
      <c r="AH28" s="404">
        <f t="shared" si="19"/>
        <v>5</v>
      </c>
      <c r="AI28" s="534"/>
      <c r="AJ28" s="404">
        <v>12</v>
      </c>
      <c r="AK28" s="182">
        <v>1672.4999999999993</v>
      </c>
      <c r="AL28" s="405">
        <v>139.37499999999994</v>
      </c>
      <c r="AM28" s="404">
        <f t="shared" si="21"/>
        <v>5</v>
      </c>
      <c r="AN28" s="534"/>
      <c r="AO28" s="404">
        <v>12</v>
      </c>
      <c r="AP28" s="182">
        <v>1780.8000000000004</v>
      </c>
      <c r="AQ28" s="405">
        <v>148.40000000000003</v>
      </c>
      <c r="AR28" s="404">
        <f t="shared" si="23"/>
        <v>4</v>
      </c>
      <c r="AS28" s="534"/>
      <c r="AT28" s="404">
        <v>12</v>
      </c>
      <c r="AU28" s="182">
        <v>1832</v>
      </c>
      <c r="AV28" s="405">
        <v>152.66666666666666</v>
      </c>
      <c r="AW28" s="404">
        <f t="shared" si="25"/>
        <v>6</v>
      </c>
      <c r="AX28" s="534"/>
    </row>
    <row r="29" spans="2:54">
      <c r="B29" s="533"/>
      <c r="C29" s="404">
        <v>3</v>
      </c>
      <c r="D29" s="404" t="s">
        <v>373</v>
      </c>
      <c r="E29" s="404">
        <v>15</v>
      </c>
      <c r="F29" s="404">
        <v>1800</v>
      </c>
      <c r="G29" s="182">
        <v>120</v>
      </c>
      <c r="H29" s="598"/>
      <c r="I29" s="408">
        <f t="shared" si="27"/>
        <v>12.142857142857142</v>
      </c>
      <c r="J29" s="408">
        <f t="shared" si="27"/>
        <v>1792.7476190476179</v>
      </c>
      <c r="K29" s="406">
        <f t="shared" si="27"/>
        <v>147.82310744810738</v>
      </c>
      <c r="L29" s="588"/>
      <c r="M29" s="407">
        <f>RANK(K29, K$27:$K$41)</f>
        <v>5</v>
      </c>
      <c r="N29" s="544"/>
      <c r="O29" s="544"/>
      <c r="P29" s="404">
        <v>12</v>
      </c>
      <c r="Q29" s="182">
        <v>1993.5000000000032</v>
      </c>
      <c r="R29" s="405">
        <v>166.12500000000026</v>
      </c>
      <c r="S29" s="404">
        <f t="shared" si="14"/>
        <v>4</v>
      </c>
      <c r="T29" s="534"/>
      <c r="U29" s="404">
        <v>12</v>
      </c>
      <c r="V29" s="182">
        <v>1840</v>
      </c>
      <c r="W29" s="405">
        <v>153.33333333333334</v>
      </c>
      <c r="X29" s="404">
        <f t="shared" si="15"/>
        <v>5</v>
      </c>
      <c r="Y29" s="534"/>
      <c r="Z29" s="404">
        <v>13</v>
      </c>
      <c r="AA29" s="182">
        <v>1717.1999999999978</v>
      </c>
      <c r="AB29" s="405">
        <v>132.09230769230751</v>
      </c>
      <c r="AC29" s="404">
        <f t="shared" si="17"/>
        <v>5</v>
      </c>
      <c r="AD29" s="534"/>
      <c r="AE29" s="404">
        <v>12</v>
      </c>
      <c r="AF29" s="182">
        <v>1744.4999999999957</v>
      </c>
      <c r="AG29" s="405">
        <v>145.37499999999963</v>
      </c>
      <c r="AH29" s="404">
        <f t="shared" si="19"/>
        <v>4</v>
      </c>
      <c r="AI29" s="534"/>
      <c r="AJ29" s="404">
        <v>12</v>
      </c>
      <c r="AK29" s="182">
        <v>1645.4999999999993</v>
      </c>
      <c r="AL29" s="405">
        <v>137.12499999999994</v>
      </c>
      <c r="AM29" s="404">
        <f t="shared" si="21"/>
        <v>6</v>
      </c>
      <c r="AN29" s="534"/>
      <c r="AO29" s="404">
        <v>12</v>
      </c>
      <c r="AP29" s="182">
        <v>1759.1999999999978</v>
      </c>
      <c r="AQ29" s="405">
        <v>146.59999999999982</v>
      </c>
      <c r="AR29" s="404">
        <f t="shared" si="23"/>
        <v>5</v>
      </c>
      <c r="AS29" s="534"/>
      <c r="AT29" s="404">
        <v>12</v>
      </c>
      <c r="AU29" s="182">
        <v>1849.3333333333335</v>
      </c>
      <c r="AV29" s="405">
        <v>154.11111111111111</v>
      </c>
      <c r="AW29" s="404">
        <f t="shared" si="25"/>
        <v>5</v>
      </c>
      <c r="AX29" s="534"/>
    </row>
    <row r="30" spans="2:54">
      <c r="B30" s="533"/>
      <c r="C30" s="404">
        <v>4</v>
      </c>
      <c r="D30" s="404" t="s">
        <v>571</v>
      </c>
      <c r="E30" s="404">
        <v>5</v>
      </c>
      <c r="F30" s="404">
        <v>1500</v>
      </c>
      <c r="G30" s="182">
        <v>300</v>
      </c>
      <c r="H30" s="598"/>
      <c r="I30" s="408">
        <f t="shared" si="27"/>
        <v>5.5714285714285712</v>
      </c>
      <c r="J30" s="408">
        <f t="shared" si="27"/>
        <v>1503.6597507331387</v>
      </c>
      <c r="K30" s="406">
        <f t="shared" si="27"/>
        <v>271.75740469208222</v>
      </c>
      <c r="L30" s="588"/>
      <c r="M30" s="407">
        <f>RANK(K30, K$27:$K$41)</f>
        <v>3</v>
      </c>
      <c r="N30" s="544"/>
      <c r="O30" s="544"/>
      <c r="P30" s="404">
        <v>5</v>
      </c>
      <c r="Q30" s="182">
        <v>1468.0000000000014</v>
      </c>
      <c r="R30" s="405">
        <v>293.60000000000025</v>
      </c>
      <c r="S30" s="404">
        <f t="shared" si="14"/>
        <v>3</v>
      </c>
      <c r="T30" s="534"/>
      <c r="U30" s="404">
        <v>5</v>
      </c>
      <c r="V30" s="182">
        <v>1498.1249999999982</v>
      </c>
      <c r="W30" s="405">
        <v>299.62499999999966</v>
      </c>
      <c r="X30" s="404">
        <f t="shared" si="15"/>
        <v>1</v>
      </c>
      <c r="Y30" s="534"/>
      <c r="Z30" s="404">
        <v>5</v>
      </c>
      <c r="AA30" s="182">
        <v>1474.8387096774206</v>
      </c>
      <c r="AB30" s="405">
        <v>294.96774193548413</v>
      </c>
      <c r="AC30" s="404">
        <f t="shared" si="17"/>
        <v>3</v>
      </c>
      <c r="AD30" s="534"/>
      <c r="AE30" s="404">
        <v>6</v>
      </c>
      <c r="AF30" s="182">
        <v>1507.2000000000005</v>
      </c>
      <c r="AG30" s="405">
        <v>251.20000000000007</v>
      </c>
      <c r="AH30" s="404">
        <f t="shared" si="19"/>
        <v>3</v>
      </c>
      <c r="AI30" s="534"/>
      <c r="AJ30" s="404">
        <v>6</v>
      </c>
      <c r="AK30" s="182">
        <v>1565.4545454545482</v>
      </c>
      <c r="AL30" s="405">
        <v>260.90909090909139</v>
      </c>
      <c r="AM30" s="404">
        <f t="shared" si="21"/>
        <v>3</v>
      </c>
      <c r="AN30" s="534"/>
      <c r="AO30" s="404">
        <v>6</v>
      </c>
      <c r="AP30" s="182">
        <v>1544.0000000000016</v>
      </c>
      <c r="AQ30" s="405">
        <v>257.3333333333336</v>
      </c>
      <c r="AR30" s="404">
        <f t="shared" si="23"/>
        <v>3</v>
      </c>
      <c r="AS30" s="534"/>
      <c r="AT30" s="404">
        <v>6</v>
      </c>
      <c r="AU30" s="182">
        <v>1467.9999999999993</v>
      </c>
      <c r="AV30" s="405">
        <v>244.66666666666654</v>
      </c>
      <c r="AW30" s="404">
        <f t="shared" si="25"/>
        <v>3</v>
      </c>
      <c r="AX30" s="534"/>
    </row>
    <row r="31" spans="2:54">
      <c r="B31" s="533"/>
      <c r="C31" s="404">
        <v>5</v>
      </c>
      <c r="D31" s="404" t="s">
        <v>505</v>
      </c>
      <c r="E31" s="404">
        <v>5</v>
      </c>
      <c r="F31" s="404">
        <v>1500</v>
      </c>
      <c r="G31" s="182">
        <v>300</v>
      </c>
      <c r="H31" s="598"/>
      <c r="I31" s="408">
        <f t="shared" si="27"/>
        <v>5</v>
      </c>
      <c r="J31" s="408">
        <f t="shared" si="27"/>
        <v>1487.2276272182296</v>
      </c>
      <c r="K31" s="406">
        <f t="shared" si="27"/>
        <v>297.44552544364586</v>
      </c>
      <c r="L31" s="588"/>
      <c r="M31" s="407">
        <f>RANK(K31, K$27:$K$41)</f>
        <v>2</v>
      </c>
      <c r="N31" s="544"/>
      <c r="O31" s="544"/>
      <c r="P31" s="404">
        <v>5</v>
      </c>
      <c r="Q31" s="182">
        <v>1563.7499999999995</v>
      </c>
      <c r="R31" s="405">
        <v>312.74999999999989</v>
      </c>
      <c r="S31" s="404">
        <f t="shared" si="14"/>
        <v>1</v>
      </c>
      <c r="T31" s="534"/>
      <c r="U31" s="404">
        <v>5</v>
      </c>
      <c r="V31" s="182">
        <v>1427.3684210526321</v>
      </c>
      <c r="W31" s="405">
        <v>285.47368421052641</v>
      </c>
      <c r="X31" s="404">
        <f t="shared" si="15"/>
        <v>3</v>
      </c>
      <c r="Y31" s="534"/>
      <c r="Z31" s="404">
        <v>5</v>
      </c>
      <c r="AA31" s="182">
        <v>1498.2857142857144</v>
      </c>
      <c r="AB31" s="405">
        <v>299.6571428571429</v>
      </c>
      <c r="AC31" s="404">
        <f t="shared" si="17"/>
        <v>1</v>
      </c>
      <c r="AD31" s="534"/>
      <c r="AE31" s="404">
        <v>5</v>
      </c>
      <c r="AF31" s="182">
        <v>1482.2222222222231</v>
      </c>
      <c r="AG31" s="405">
        <v>296.44444444444463</v>
      </c>
      <c r="AH31" s="404">
        <f t="shared" si="19"/>
        <v>1</v>
      </c>
      <c r="AI31" s="534"/>
      <c r="AJ31" s="404">
        <v>5</v>
      </c>
      <c r="AK31" s="182">
        <v>1451.5384615384646</v>
      </c>
      <c r="AL31" s="405">
        <v>290.30769230769295</v>
      </c>
      <c r="AM31" s="404">
        <f t="shared" si="21"/>
        <v>2</v>
      </c>
      <c r="AN31" s="534"/>
      <c r="AO31" s="404">
        <v>5</v>
      </c>
      <c r="AP31" s="182">
        <v>1520.000000000002</v>
      </c>
      <c r="AQ31" s="405">
        <v>304.0000000000004</v>
      </c>
      <c r="AR31" s="404">
        <f t="shared" si="23"/>
        <v>1</v>
      </c>
      <c r="AS31" s="534"/>
      <c r="AT31" s="404">
        <v>5</v>
      </c>
      <c r="AU31" s="182">
        <v>1467.4285714285697</v>
      </c>
      <c r="AV31" s="405">
        <v>293.48571428571393</v>
      </c>
      <c r="AW31" s="404">
        <f t="shared" si="25"/>
        <v>1</v>
      </c>
      <c r="AX31" s="534"/>
    </row>
    <row r="32" spans="2:54">
      <c r="B32" s="533"/>
      <c r="C32" s="404">
        <v>6</v>
      </c>
      <c r="D32" s="404" t="s">
        <v>480</v>
      </c>
      <c r="E32" s="404">
        <v>5</v>
      </c>
      <c r="F32" s="404">
        <v>1500</v>
      </c>
      <c r="G32" s="182">
        <v>300</v>
      </c>
      <c r="H32" s="598"/>
      <c r="I32" s="408">
        <f t="shared" si="27"/>
        <v>5</v>
      </c>
      <c r="J32" s="408">
        <f t="shared" si="27"/>
        <v>1490.2556776556778</v>
      </c>
      <c r="K32" s="406">
        <f t="shared" si="27"/>
        <v>298.05113553113551</v>
      </c>
      <c r="L32" s="588"/>
      <c r="M32" s="407">
        <f>RANK(K32, K$27:$K$41)</f>
        <v>1</v>
      </c>
      <c r="N32" s="544"/>
      <c r="O32" s="544"/>
      <c r="P32" s="404">
        <v>5</v>
      </c>
      <c r="Q32" s="182">
        <v>1560</v>
      </c>
      <c r="R32" s="405">
        <v>312</v>
      </c>
      <c r="S32" s="404">
        <f t="shared" si="14"/>
        <v>2</v>
      </c>
      <c r="T32" s="534"/>
      <c r="U32" s="404">
        <v>5</v>
      </c>
      <c r="V32" s="182">
        <v>1495.2000000000053</v>
      </c>
      <c r="W32" s="405">
        <v>299.04000000000104</v>
      </c>
      <c r="X32" s="404">
        <f t="shared" si="15"/>
        <v>2</v>
      </c>
      <c r="Y32" s="534"/>
      <c r="Z32" s="404">
        <v>5</v>
      </c>
      <c r="AA32" s="182">
        <v>1490.0000000000005</v>
      </c>
      <c r="AB32" s="405">
        <v>298.00000000000011</v>
      </c>
      <c r="AC32" s="404">
        <f t="shared" si="17"/>
        <v>2</v>
      </c>
      <c r="AD32" s="534"/>
      <c r="AE32" s="404">
        <v>5</v>
      </c>
      <c r="AF32" s="182">
        <v>1460.9999999999995</v>
      </c>
      <c r="AG32" s="405">
        <v>292.19999999999993</v>
      </c>
      <c r="AH32" s="404">
        <f t="shared" si="19"/>
        <v>2</v>
      </c>
      <c r="AI32" s="534"/>
      <c r="AJ32" s="404">
        <v>5</v>
      </c>
      <c r="AK32" s="182">
        <v>1466.6666666666622</v>
      </c>
      <c r="AL32" s="405">
        <v>293.33333333333246</v>
      </c>
      <c r="AM32" s="404">
        <f t="shared" si="21"/>
        <v>1</v>
      </c>
      <c r="AN32" s="534"/>
      <c r="AO32" s="404">
        <v>5</v>
      </c>
      <c r="AP32" s="182">
        <v>1506.9230769230776</v>
      </c>
      <c r="AQ32" s="405">
        <v>301.38461538461553</v>
      </c>
      <c r="AR32" s="404">
        <f t="shared" si="23"/>
        <v>2</v>
      </c>
      <c r="AS32" s="534"/>
      <c r="AT32" s="404">
        <v>5</v>
      </c>
      <c r="AU32" s="182">
        <v>1451.999999999998</v>
      </c>
      <c r="AV32" s="405">
        <v>290.39999999999958</v>
      </c>
      <c r="AW32" s="404">
        <f t="shared" si="25"/>
        <v>2</v>
      </c>
      <c r="AX32" s="534"/>
    </row>
    <row r="33" spans="2:50">
      <c r="B33" s="533"/>
      <c r="C33" s="404">
        <v>7</v>
      </c>
      <c r="D33" s="404" t="s">
        <v>574</v>
      </c>
      <c r="E33" s="404">
        <v>15</v>
      </c>
      <c r="F33" s="404">
        <v>1200</v>
      </c>
      <c r="G33" s="182">
        <v>80</v>
      </c>
      <c r="H33" s="598"/>
      <c r="I33" s="408">
        <f t="shared" si="27"/>
        <v>12.857142857142858</v>
      </c>
      <c r="J33" s="408">
        <f t="shared" si="27"/>
        <v>1174.8285714285714</v>
      </c>
      <c r="K33" s="406">
        <f t="shared" si="27"/>
        <v>91.376923076923077</v>
      </c>
      <c r="L33" s="588"/>
      <c r="M33" s="407">
        <f>RANK(K33, K$27:$K$41)</f>
        <v>7</v>
      </c>
      <c r="N33" s="544"/>
      <c r="O33" s="544"/>
      <c r="P33" s="404">
        <v>13</v>
      </c>
      <c r="Q33" s="182">
        <v>1184.0000000000011</v>
      </c>
      <c r="R33" s="405">
        <v>91.076923076923165</v>
      </c>
      <c r="S33" s="404">
        <f t="shared" si="14"/>
        <v>7</v>
      </c>
      <c r="T33" s="534"/>
      <c r="U33" s="404">
        <v>13</v>
      </c>
      <c r="V33" s="182">
        <v>1206.0000000000011</v>
      </c>
      <c r="W33" s="405">
        <v>92.769230769230859</v>
      </c>
      <c r="X33" s="404">
        <f t="shared" si="15"/>
        <v>7</v>
      </c>
      <c r="Y33" s="534"/>
      <c r="Z33" s="404">
        <v>12</v>
      </c>
      <c r="AA33" s="182">
        <v>1097.9999999999982</v>
      </c>
      <c r="AB33" s="405">
        <v>91.499999999999844</v>
      </c>
      <c r="AC33" s="404">
        <f t="shared" si="17"/>
        <v>7</v>
      </c>
      <c r="AD33" s="534"/>
      <c r="AE33" s="404">
        <v>13</v>
      </c>
      <c r="AF33" s="182">
        <v>1160.9999999999995</v>
      </c>
      <c r="AG33" s="405">
        <v>89.307692307692278</v>
      </c>
      <c r="AH33" s="404">
        <f t="shared" si="19"/>
        <v>7</v>
      </c>
      <c r="AI33" s="534"/>
      <c r="AJ33" s="404">
        <v>13</v>
      </c>
      <c r="AK33" s="182">
        <v>1251.9999999999977</v>
      </c>
      <c r="AL33" s="405">
        <v>96.307692307692136</v>
      </c>
      <c r="AM33" s="404">
        <f t="shared" si="21"/>
        <v>7</v>
      </c>
      <c r="AN33" s="534"/>
      <c r="AO33" s="404">
        <v>13</v>
      </c>
      <c r="AP33" s="182">
        <v>1070.0000000000009</v>
      </c>
      <c r="AQ33" s="405">
        <v>82.307692307692378</v>
      </c>
      <c r="AR33" s="404">
        <f t="shared" si="23"/>
        <v>7</v>
      </c>
      <c r="AS33" s="534"/>
      <c r="AT33" s="404">
        <v>13</v>
      </c>
      <c r="AU33" s="182">
        <v>1252.8000000000004</v>
      </c>
      <c r="AV33" s="405">
        <v>96.369230769230796</v>
      </c>
      <c r="AW33" s="404">
        <f t="shared" si="25"/>
        <v>7</v>
      </c>
      <c r="AX33" s="534"/>
    </row>
    <row r="34" spans="2:50">
      <c r="B34" s="533"/>
      <c r="C34" s="404">
        <v>8</v>
      </c>
      <c r="D34" s="404"/>
      <c r="E34" s="404"/>
      <c r="F34" s="404"/>
      <c r="G34" s="182"/>
      <c r="H34" s="598"/>
      <c r="I34" s="408"/>
      <c r="J34" s="408"/>
      <c r="K34" s="406"/>
      <c r="L34" s="588"/>
      <c r="M34" s="407" t="e">
        <f>RANK(K34, K$27:$K$41)</f>
        <v>#N/A</v>
      </c>
      <c r="N34" s="544"/>
      <c r="O34" s="544"/>
      <c r="P34" s="404"/>
      <c r="Q34" s="182"/>
      <c r="R34" s="405"/>
      <c r="S34" s="404" t="e">
        <f t="shared" si="14"/>
        <v>#N/A</v>
      </c>
      <c r="T34" s="534"/>
      <c r="U34" s="404"/>
      <c r="V34" s="182"/>
      <c r="W34" s="405"/>
      <c r="X34" s="404" t="e">
        <f t="shared" si="15"/>
        <v>#N/A</v>
      </c>
      <c r="Y34" s="534"/>
      <c r="Z34" s="404"/>
      <c r="AA34" s="182"/>
      <c r="AB34" s="405"/>
      <c r="AC34" s="404" t="e">
        <f t="shared" si="17"/>
        <v>#N/A</v>
      </c>
      <c r="AD34" s="534"/>
      <c r="AE34" s="404"/>
      <c r="AF34" s="182"/>
      <c r="AG34" s="405"/>
      <c r="AH34" s="404" t="e">
        <f t="shared" si="19"/>
        <v>#N/A</v>
      </c>
      <c r="AI34" s="534"/>
      <c r="AJ34" s="404"/>
      <c r="AK34" s="182"/>
      <c r="AL34" s="405"/>
      <c r="AM34" s="404" t="e">
        <f t="shared" si="21"/>
        <v>#N/A</v>
      </c>
      <c r="AN34" s="534"/>
      <c r="AO34" s="404"/>
      <c r="AP34" s="182"/>
      <c r="AQ34" s="405"/>
      <c r="AR34" s="404" t="e">
        <f t="shared" si="23"/>
        <v>#N/A</v>
      </c>
      <c r="AS34" s="534"/>
      <c r="AT34" s="404"/>
      <c r="AU34" s="182"/>
      <c r="AV34" s="405"/>
      <c r="AW34" s="404" t="e">
        <f t="shared" si="25"/>
        <v>#N/A</v>
      </c>
      <c r="AX34" s="534"/>
    </row>
    <row r="35" spans="2:50">
      <c r="B35" s="533"/>
      <c r="C35" s="404">
        <v>9</v>
      </c>
      <c r="D35" s="404"/>
      <c r="E35" s="404"/>
      <c r="F35" s="404"/>
      <c r="G35" s="182"/>
      <c r="H35" s="598"/>
      <c r="I35" s="408"/>
      <c r="J35" s="408"/>
      <c r="K35" s="406"/>
      <c r="L35" s="588"/>
      <c r="M35" s="407" t="e">
        <f>RANK(K35, K$27:$K$41)</f>
        <v>#N/A</v>
      </c>
      <c r="N35" s="544"/>
      <c r="O35" s="544"/>
      <c r="P35" s="404"/>
      <c r="Q35" s="182"/>
      <c r="R35" s="405"/>
      <c r="S35" s="404" t="e">
        <f t="shared" si="14"/>
        <v>#N/A</v>
      </c>
      <c r="T35" s="534"/>
      <c r="U35" s="404"/>
      <c r="V35" s="182"/>
      <c r="W35" s="405"/>
      <c r="X35" s="404" t="e">
        <f t="shared" si="15"/>
        <v>#N/A</v>
      </c>
      <c r="Y35" s="534"/>
      <c r="Z35" s="404"/>
      <c r="AA35" s="182"/>
      <c r="AB35" s="405"/>
      <c r="AC35" s="404" t="e">
        <f t="shared" si="17"/>
        <v>#N/A</v>
      </c>
      <c r="AD35" s="534"/>
      <c r="AE35" s="404"/>
      <c r="AF35" s="182"/>
      <c r="AG35" s="405"/>
      <c r="AH35" s="404" t="e">
        <f t="shared" si="19"/>
        <v>#N/A</v>
      </c>
      <c r="AI35" s="534"/>
      <c r="AJ35" s="404"/>
      <c r="AK35" s="182"/>
      <c r="AL35" s="405"/>
      <c r="AM35" s="404" t="e">
        <f t="shared" si="21"/>
        <v>#N/A</v>
      </c>
      <c r="AN35" s="534"/>
      <c r="AO35" s="404"/>
      <c r="AP35" s="182"/>
      <c r="AQ35" s="405"/>
      <c r="AR35" s="404" t="e">
        <f t="shared" si="23"/>
        <v>#N/A</v>
      </c>
      <c r="AS35" s="534"/>
      <c r="AT35" s="404"/>
      <c r="AU35" s="182"/>
      <c r="AV35" s="405"/>
      <c r="AW35" s="404" t="e">
        <f t="shared" si="25"/>
        <v>#N/A</v>
      </c>
      <c r="AX35" s="534"/>
    </row>
    <row r="36" spans="2:50">
      <c r="B36" s="533"/>
      <c r="C36" s="404">
        <v>10</v>
      </c>
      <c r="D36" s="404"/>
      <c r="E36" s="404"/>
      <c r="F36" s="404"/>
      <c r="G36" s="182"/>
      <c r="H36" s="598"/>
      <c r="I36" s="408"/>
      <c r="J36" s="408"/>
      <c r="K36" s="406"/>
      <c r="L36" s="588"/>
      <c r="M36" s="407" t="e">
        <f>RANK(K36, K$27:$K$41)</f>
        <v>#N/A</v>
      </c>
      <c r="N36" s="544"/>
      <c r="O36" s="544"/>
      <c r="P36" s="404"/>
      <c r="Q36" s="182"/>
      <c r="R36" s="405"/>
      <c r="S36" s="404" t="e">
        <f t="shared" si="14"/>
        <v>#N/A</v>
      </c>
      <c r="T36" s="534"/>
      <c r="U36" s="404"/>
      <c r="V36" s="182"/>
      <c r="W36" s="405"/>
      <c r="X36" s="404" t="e">
        <f t="shared" si="15"/>
        <v>#N/A</v>
      </c>
      <c r="Y36" s="534"/>
      <c r="Z36" s="404"/>
      <c r="AA36" s="182"/>
      <c r="AB36" s="405"/>
      <c r="AC36" s="404" t="e">
        <f t="shared" si="17"/>
        <v>#N/A</v>
      </c>
      <c r="AD36" s="534"/>
      <c r="AE36" s="404"/>
      <c r="AF36" s="182"/>
      <c r="AG36" s="405"/>
      <c r="AH36" s="404" t="e">
        <f t="shared" si="19"/>
        <v>#N/A</v>
      </c>
      <c r="AI36" s="534"/>
      <c r="AJ36" s="404"/>
      <c r="AK36" s="182"/>
      <c r="AL36" s="405"/>
      <c r="AM36" s="404" t="e">
        <f t="shared" si="21"/>
        <v>#N/A</v>
      </c>
      <c r="AN36" s="534"/>
      <c r="AO36" s="404"/>
      <c r="AP36" s="182"/>
      <c r="AQ36" s="405"/>
      <c r="AR36" s="404" t="e">
        <f t="shared" si="23"/>
        <v>#N/A</v>
      </c>
      <c r="AS36" s="534"/>
      <c r="AT36" s="404"/>
      <c r="AU36" s="182"/>
      <c r="AV36" s="405"/>
      <c r="AW36" s="404" t="e">
        <f t="shared" si="25"/>
        <v>#N/A</v>
      </c>
      <c r="AX36" s="534"/>
    </row>
    <row r="37" spans="2:50">
      <c r="B37" s="533"/>
      <c r="C37" s="404">
        <v>11</v>
      </c>
      <c r="D37" s="404"/>
      <c r="E37" s="404"/>
      <c r="F37" s="404"/>
      <c r="G37" s="182"/>
      <c r="H37" s="598"/>
      <c r="I37" s="202"/>
      <c r="J37" s="202"/>
      <c r="K37" s="202"/>
      <c r="L37" s="588"/>
      <c r="M37" s="407" t="e">
        <f>RANK(K37, K$27:$K$41)</f>
        <v>#N/A</v>
      </c>
      <c r="N37" s="544"/>
      <c r="O37" s="544"/>
      <c r="P37" s="404"/>
      <c r="Q37" s="404"/>
      <c r="R37" s="404"/>
      <c r="S37" s="404" t="e">
        <f t="shared" si="14"/>
        <v>#N/A</v>
      </c>
      <c r="T37" s="534"/>
      <c r="U37" s="404"/>
      <c r="V37" s="404"/>
      <c r="W37" s="404"/>
      <c r="X37" s="404" t="e">
        <f t="shared" si="15"/>
        <v>#N/A</v>
      </c>
      <c r="Y37" s="534"/>
      <c r="Z37" s="404"/>
      <c r="AA37" s="404"/>
      <c r="AB37" s="404"/>
      <c r="AC37" s="404" t="e">
        <f t="shared" si="17"/>
        <v>#N/A</v>
      </c>
      <c r="AD37" s="534"/>
      <c r="AE37" s="404"/>
      <c r="AF37" s="404"/>
      <c r="AG37" s="404"/>
      <c r="AH37" s="404" t="e">
        <f t="shared" si="19"/>
        <v>#N/A</v>
      </c>
      <c r="AI37" s="534"/>
      <c r="AJ37" s="404"/>
      <c r="AK37" s="404"/>
      <c r="AL37" s="404"/>
      <c r="AM37" s="404" t="e">
        <f t="shared" si="21"/>
        <v>#N/A</v>
      </c>
      <c r="AN37" s="534"/>
      <c r="AO37" s="404"/>
      <c r="AP37" s="404"/>
      <c r="AQ37" s="404"/>
      <c r="AR37" s="404" t="e">
        <f t="shared" si="23"/>
        <v>#N/A</v>
      </c>
      <c r="AS37" s="534"/>
      <c r="AT37" s="404"/>
      <c r="AU37" s="404"/>
      <c r="AV37" s="404"/>
      <c r="AW37" s="404" t="e">
        <f t="shared" si="25"/>
        <v>#N/A</v>
      </c>
      <c r="AX37" s="534"/>
    </row>
    <row r="38" spans="2:50">
      <c r="B38" s="533"/>
      <c r="C38" s="404">
        <v>12</v>
      </c>
      <c r="D38" s="404"/>
      <c r="E38" s="404"/>
      <c r="F38" s="404"/>
      <c r="G38" s="182"/>
      <c r="H38" s="598"/>
      <c r="I38" s="202"/>
      <c r="J38" s="202"/>
      <c r="K38" s="202"/>
      <c r="L38" s="588"/>
      <c r="M38" s="407" t="e">
        <f>RANK(K38, K$27:$K$41)</f>
        <v>#N/A</v>
      </c>
      <c r="N38" s="544"/>
      <c r="O38" s="544"/>
      <c r="P38" s="404"/>
      <c r="Q38" s="404"/>
      <c r="R38" s="404"/>
      <c r="S38" s="404" t="e">
        <f t="shared" si="14"/>
        <v>#N/A</v>
      </c>
      <c r="T38" s="534"/>
      <c r="U38" s="404"/>
      <c r="V38" s="404"/>
      <c r="W38" s="404"/>
      <c r="X38" s="404" t="e">
        <f t="shared" si="15"/>
        <v>#N/A</v>
      </c>
      <c r="Y38" s="534"/>
      <c r="Z38" s="404"/>
      <c r="AA38" s="404"/>
      <c r="AB38" s="404"/>
      <c r="AC38" s="404" t="e">
        <f t="shared" si="17"/>
        <v>#N/A</v>
      </c>
      <c r="AD38" s="534"/>
      <c r="AE38" s="404"/>
      <c r="AF38" s="404"/>
      <c r="AG38" s="404"/>
      <c r="AH38" s="404" t="e">
        <f t="shared" si="19"/>
        <v>#N/A</v>
      </c>
      <c r="AI38" s="534"/>
      <c r="AJ38" s="404"/>
      <c r="AK38" s="404"/>
      <c r="AL38" s="404"/>
      <c r="AM38" s="404" t="e">
        <f t="shared" si="21"/>
        <v>#N/A</v>
      </c>
      <c r="AN38" s="534"/>
      <c r="AO38" s="404"/>
      <c r="AP38" s="404"/>
      <c r="AQ38" s="404"/>
      <c r="AR38" s="404" t="e">
        <f t="shared" si="23"/>
        <v>#N/A</v>
      </c>
      <c r="AS38" s="534"/>
      <c r="AT38" s="404"/>
      <c r="AU38" s="404"/>
      <c r="AV38" s="404"/>
      <c r="AW38" s="404" t="e">
        <f t="shared" si="25"/>
        <v>#N/A</v>
      </c>
      <c r="AX38" s="534"/>
    </row>
    <row r="39" spans="2:50">
      <c r="B39" s="533"/>
      <c r="C39" s="404">
        <v>13</v>
      </c>
      <c r="D39" s="404"/>
      <c r="E39" s="404"/>
      <c r="F39" s="404"/>
      <c r="G39" s="182"/>
      <c r="H39" s="598"/>
      <c r="I39" s="202"/>
      <c r="J39" s="202"/>
      <c r="K39" s="202"/>
      <c r="L39" s="588"/>
      <c r="M39" s="407" t="e">
        <f>RANK(K39, K$27:$K$41)</f>
        <v>#N/A</v>
      </c>
      <c r="N39" s="544"/>
      <c r="O39" s="544"/>
      <c r="P39" s="404"/>
      <c r="Q39" s="404"/>
      <c r="R39" s="404"/>
      <c r="S39" s="404" t="e">
        <f t="shared" si="14"/>
        <v>#N/A</v>
      </c>
      <c r="T39" s="534"/>
      <c r="U39" s="404"/>
      <c r="V39" s="404"/>
      <c r="W39" s="404"/>
      <c r="X39" s="404" t="e">
        <f t="shared" si="15"/>
        <v>#N/A</v>
      </c>
      <c r="Y39" s="534"/>
      <c r="Z39" s="404"/>
      <c r="AA39" s="404"/>
      <c r="AB39" s="404"/>
      <c r="AC39" s="404" t="e">
        <f t="shared" si="17"/>
        <v>#N/A</v>
      </c>
      <c r="AD39" s="534"/>
      <c r="AE39" s="404"/>
      <c r="AF39" s="404"/>
      <c r="AG39" s="404"/>
      <c r="AH39" s="404" t="e">
        <f t="shared" si="19"/>
        <v>#N/A</v>
      </c>
      <c r="AI39" s="534"/>
      <c r="AJ39" s="404"/>
      <c r="AK39" s="404"/>
      <c r="AL39" s="404"/>
      <c r="AM39" s="404" t="e">
        <f t="shared" si="21"/>
        <v>#N/A</v>
      </c>
      <c r="AN39" s="534"/>
      <c r="AO39" s="404"/>
      <c r="AP39" s="404"/>
      <c r="AQ39" s="404"/>
      <c r="AR39" s="404" t="e">
        <f t="shared" si="23"/>
        <v>#N/A</v>
      </c>
      <c r="AS39" s="534"/>
      <c r="AT39" s="404"/>
      <c r="AU39" s="404"/>
      <c r="AV39" s="404"/>
      <c r="AW39" s="404" t="e">
        <f t="shared" si="25"/>
        <v>#N/A</v>
      </c>
      <c r="AX39" s="534"/>
    </row>
    <row r="40" spans="2:50">
      <c r="B40" s="533"/>
      <c r="C40" s="404">
        <v>14</v>
      </c>
      <c r="D40" s="404"/>
      <c r="E40" s="404"/>
      <c r="F40" s="404"/>
      <c r="G40" s="182"/>
      <c r="H40" s="598"/>
      <c r="I40" s="202"/>
      <c r="J40" s="202"/>
      <c r="K40" s="202"/>
      <c r="L40" s="588"/>
      <c r="M40" s="407" t="e">
        <f>RANK(K40, K$27:$K$41)</f>
        <v>#N/A</v>
      </c>
      <c r="N40" s="544"/>
      <c r="O40" s="544"/>
      <c r="P40" s="404"/>
      <c r="Q40" s="404"/>
      <c r="R40" s="404"/>
      <c r="S40" s="404" t="e">
        <f t="shared" si="14"/>
        <v>#N/A</v>
      </c>
      <c r="T40" s="534"/>
      <c r="U40" s="404"/>
      <c r="V40" s="404"/>
      <c r="W40" s="404"/>
      <c r="X40" s="404" t="e">
        <f t="shared" si="15"/>
        <v>#N/A</v>
      </c>
      <c r="Y40" s="534"/>
      <c r="Z40" s="404"/>
      <c r="AA40" s="404"/>
      <c r="AB40" s="404"/>
      <c r="AC40" s="404" t="e">
        <f t="shared" si="17"/>
        <v>#N/A</v>
      </c>
      <c r="AD40" s="534"/>
      <c r="AE40" s="404"/>
      <c r="AF40" s="404"/>
      <c r="AG40" s="404"/>
      <c r="AH40" s="404" t="e">
        <f t="shared" si="19"/>
        <v>#N/A</v>
      </c>
      <c r="AI40" s="534"/>
      <c r="AJ40" s="404"/>
      <c r="AK40" s="404"/>
      <c r="AL40" s="404"/>
      <c r="AM40" s="404" t="e">
        <f t="shared" si="21"/>
        <v>#N/A</v>
      </c>
      <c r="AN40" s="534"/>
      <c r="AO40" s="404"/>
      <c r="AP40" s="404"/>
      <c r="AQ40" s="404"/>
      <c r="AR40" s="404" t="e">
        <f t="shared" si="23"/>
        <v>#N/A</v>
      </c>
      <c r="AS40" s="534"/>
      <c r="AT40" s="404"/>
      <c r="AU40" s="404"/>
      <c r="AV40" s="404"/>
      <c r="AW40" s="404" t="e">
        <f t="shared" si="25"/>
        <v>#N/A</v>
      </c>
      <c r="AX40" s="534"/>
    </row>
    <row r="41" spans="2:50">
      <c r="B41" s="533"/>
      <c r="C41" s="404">
        <v>15</v>
      </c>
      <c r="D41" s="404"/>
      <c r="E41" s="404"/>
      <c r="F41" s="404"/>
      <c r="G41" s="404"/>
      <c r="H41" s="599"/>
      <c r="I41" s="202"/>
      <c r="J41" s="202"/>
      <c r="K41" s="202"/>
      <c r="L41" s="589"/>
      <c r="M41" s="408" t="e">
        <f>RANK(K41, K$27:$K$41)</f>
        <v>#N/A</v>
      </c>
      <c r="N41" s="544"/>
      <c r="O41" s="544"/>
      <c r="P41" s="404"/>
      <c r="Q41" s="404"/>
      <c r="R41" s="404"/>
      <c r="S41" s="404" t="e">
        <f t="shared" si="14"/>
        <v>#N/A</v>
      </c>
      <c r="T41" s="534"/>
      <c r="U41" s="404"/>
      <c r="V41" s="404"/>
      <c r="W41" s="404"/>
      <c r="X41" s="404" t="e">
        <f t="shared" si="15"/>
        <v>#N/A</v>
      </c>
      <c r="Y41" s="534"/>
      <c r="Z41" s="404"/>
      <c r="AA41" s="404"/>
      <c r="AB41" s="404"/>
      <c r="AC41" s="404" t="e">
        <f t="shared" si="17"/>
        <v>#N/A</v>
      </c>
      <c r="AD41" s="534"/>
      <c r="AE41" s="404"/>
      <c r="AF41" s="404"/>
      <c r="AG41" s="404"/>
      <c r="AH41" s="404" t="e">
        <f t="shared" si="19"/>
        <v>#N/A</v>
      </c>
      <c r="AI41" s="534"/>
      <c r="AJ41" s="404"/>
      <c r="AK41" s="404"/>
      <c r="AL41" s="404"/>
      <c r="AM41" s="404" t="e">
        <f t="shared" si="21"/>
        <v>#N/A</v>
      </c>
      <c r="AN41" s="534"/>
      <c r="AO41" s="404"/>
      <c r="AP41" s="404"/>
      <c r="AQ41" s="404"/>
      <c r="AR41" s="404" t="e">
        <f t="shared" si="23"/>
        <v>#N/A</v>
      </c>
      <c r="AS41" s="534"/>
      <c r="AT41" s="404"/>
      <c r="AU41" s="404"/>
      <c r="AV41" s="404"/>
      <c r="AW41" s="404" t="e">
        <f t="shared" si="25"/>
        <v>#N/A</v>
      </c>
      <c r="AX41" s="534"/>
    </row>
    <row r="42" spans="2:50" ht="15.5">
      <c r="B42" s="575" t="s">
        <v>163</v>
      </c>
      <c r="C42" s="576"/>
      <c r="D42" s="576"/>
      <c r="E42" s="576"/>
      <c r="F42" s="576"/>
      <c r="G42" s="576"/>
      <c r="H42" s="576"/>
      <c r="I42" s="208"/>
      <c r="J42" s="203"/>
      <c r="K42" s="208"/>
      <c r="L42" s="208"/>
      <c r="M42" s="204"/>
      <c r="N42" s="559" t="s">
        <v>156</v>
      </c>
      <c r="O42" s="559" t="s">
        <v>105</v>
      </c>
      <c r="P42" s="554">
        <f>P22+7</f>
        <v>46365</v>
      </c>
      <c r="Q42" s="533"/>
      <c r="R42" s="533"/>
      <c r="S42" s="533"/>
      <c r="T42" s="533"/>
      <c r="U42" s="551">
        <f>P42+1</f>
        <v>46366</v>
      </c>
      <c r="V42" s="552"/>
      <c r="W42" s="552"/>
      <c r="X42" s="552"/>
      <c r="Y42" s="553"/>
      <c r="Z42" s="551">
        <f>U42+1</f>
        <v>46367</v>
      </c>
      <c r="AA42" s="552"/>
      <c r="AB42" s="552"/>
      <c r="AC42" s="552"/>
      <c r="AD42" s="553"/>
      <c r="AE42" s="551">
        <f>Z42+1</f>
        <v>46368</v>
      </c>
      <c r="AF42" s="552"/>
      <c r="AG42" s="552"/>
      <c r="AH42" s="552"/>
      <c r="AI42" s="553"/>
      <c r="AJ42" s="551">
        <f>AE42+1</f>
        <v>46369</v>
      </c>
      <c r="AK42" s="552"/>
      <c r="AL42" s="552"/>
      <c r="AM42" s="552"/>
      <c r="AN42" s="553"/>
      <c r="AO42" s="551">
        <f>AJ42+1</f>
        <v>46370</v>
      </c>
      <c r="AP42" s="552"/>
      <c r="AQ42" s="552"/>
      <c r="AR42" s="552"/>
      <c r="AS42" s="553"/>
      <c r="AT42" s="551">
        <f>AO42+1</f>
        <v>46371</v>
      </c>
      <c r="AU42" s="552"/>
      <c r="AV42" s="552"/>
      <c r="AW42" s="552"/>
      <c r="AX42" s="553"/>
    </row>
    <row r="43" spans="2:50" ht="15.5">
      <c r="B43" s="558"/>
      <c r="C43" s="558"/>
      <c r="D43" s="558"/>
      <c r="E43" s="558"/>
      <c r="F43" s="558"/>
      <c r="G43" s="558"/>
      <c r="H43" s="558"/>
      <c r="I43" s="205"/>
      <c r="J43" s="205"/>
      <c r="K43" s="205"/>
      <c r="L43" s="205"/>
      <c r="M43" s="206"/>
      <c r="N43" s="560"/>
      <c r="O43" s="560"/>
      <c r="P43" s="554" t="s">
        <v>334</v>
      </c>
      <c r="Q43" s="533"/>
      <c r="R43" s="533"/>
      <c r="S43" s="533"/>
      <c r="T43" s="533"/>
      <c r="U43" s="554" t="s">
        <v>335</v>
      </c>
      <c r="V43" s="533"/>
      <c r="W43" s="533"/>
      <c r="X43" s="533"/>
      <c r="Y43" s="533"/>
      <c r="Z43" s="554" t="s">
        <v>336</v>
      </c>
      <c r="AA43" s="533"/>
      <c r="AB43" s="533"/>
      <c r="AC43" s="533"/>
      <c r="AD43" s="533"/>
      <c r="AE43" s="554" t="s">
        <v>337</v>
      </c>
      <c r="AF43" s="533"/>
      <c r="AG43" s="533"/>
      <c r="AH43" s="533"/>
      <c r="AI43" s="533"/>
      <c r="AJ43" s="554" t="s">
        <v>338</v>
      </c>
      <c r="AK43" s="533"/>
      <c r="AL43" s="533"/>
      <c r="AM43" s="533"/>
      <c r="AN43" s="533"/>
      <c r="AO43" s="554" t="s">
        <v>339</v>
      </c>
      <c r="AP43" s="533"/>
      <c r="AQ43" s="533"/>
      <c r="AR43" s="533"/>
      <c r="AS43" s="533"/>
      <c r="AT43" s="554" t="s">
        <v>340</v>
      </c>
      <c r="AU43" s="533"/>
      <c r="AV43" s="533"/>
      <c r="AW43" s="533"/>
      <c r="AX43" s="533"/>
    </row>
    <row r="44" spans="2:50">
      <c r="B44" s="544" t="s">
        <v>649</v>
      </c>
      <c r="C44" s="544" t="s">
        <v>650</v>
      </c>
      <c r="D44" s="544"/>
      <c r="E44" s="544" t="s">
        <v>651</v>
      </c>
      <c r="F44" s="544"/>
      <c r="G44" s="544"/>
      <c r="H44" s="561" t="s">
        <v>652</v>
      </c>
      <c r="I44" s="583" t="s">
        <v>653</v>
      </c>
      <c r="J44" s="583"/>
      <c r="K44" s="583"/>
      <c r="L44" s="584" t="s">
        <v>652</v>
      </c>
      <c r="M44" s="567" t="s">
        <v>654</v>
      </c>
      <c r="N44" s="544"/>
      <c r="O44" s="544" t="s">
        <v>655</v>
      </c>
      <c r="P44" s="548" t="s">
        <v>656</v>
      </c>
      <c r="Q44" s="549"/>
      <c r="R44" s="549"/>
      <c r="S44" s="550"/>
      <c r="T44" s="544" t="s">
        <v>652</v>
      </c>
      <c r="U44" s="548" t="s">
        <v>656</v>
      </c>
      <c r="V44" s="549"/>
      <c r="W44" s="549"/>
      <c r="X44" s="550"/>
      <c r="Y44" s="544" t="s">
        <v>652</v>
      </c>
      <c r="Z44" s="548" t="s">
        <v>656</v>
      </c>
      <c r="AA44" s="549"/>
      <c r="AB44" s="549"/>
      <c r="AC44" s="550"/>
      <c r="AD44" s="544" t="s">
        <v>652</v>
      </c>
      <c r="AE44" s="548" t="s">
        <v>656</v>
      </c>
      <c r="AF44" s="549"/>
      <c r="AG44" s="549"/>
      <c r="AH44" s="550"/>
      <c r="AI44" s="544" t="s">
        <v>652</v>
      </c>
      <c r="AJ44" s="548" t="s">
        <v>656</v>
      </c>
      <c r="AK44" s="549"/>
      <c r="AL44" s="549"/>
      <c r="AM44" s="550"/>
      <c r="AN44" s="544" t="s">
        <v>652</v>
      </c>
      <c r="AO44" s="548" t="s">
        <v>656</v>
      </c>
      <c r="AP44" s="549"/>
      <c r="AQ44" s="549"/>
      <c r="AR44" s="550"/>
      <c r="AS44" s="544" t="s">
        <v>652</v>
      </c>
      <c r="AT44" s="548" t="s">
        <v>656</v>
      </c>
      <c r="AU44" s="549"/>
      <c r="AV44" s="549"/>
      <c r="AW44" s="550"/>
      <c r="AX44" s="544" t="s">
        <v>652</v>
      </c>
    </row>
    <row r="45" spans="2:50">
      <c r="B45" s="544"/>
      <c r="C45" s="544"/>
      <c r="D45" s="544"/>
      <c r="E45" s="544" t="s">
        <v>657</v>
      </c>
      <c r="F45" s="544"/>
      <c r="G45" s="544"/>
      <c r="H45" s="562"/>
      <c r="I45" s="583" t="s">
        <v>657</v>
      </c>
      <c r="J45" s="583"/>
      <c r="K45" s="583"/>
      <c r="L45" s="585"/>
      <c r="M45" s="568"/>
      <c r="N45" s="544"/>
      <c r="O45" s="544"/>
      <c r="P45" s="548" t="s">
        <v>658</v>
      </c>
      <c r="Q45" s="549"/>
      <c r="R45" s="549"/>
      <c r="S45" s="550"/>
      <c r="T45" s="544"/>
      <c r="U45" s="548" t="s">
        <v>658</v>
      </c>
      <c r="V45" s="549"/>
      <c r="W45" s="549"/>
      <c r="X45" s="550"/>
      <c r="Y45" s="544"/>
      <c r="Z45" s="548" t="s">
        <v>658</v>
      </c>
      <c r="AA45" s="549"/>
      <c r="AB45" s="549"/>
      <c r="AC45" s="550"/>
      <c r="AD45" s="544"/>
      <c r="AE45" s="548" t="s">
        <v>658</v>
      </c>
      <c r="AF45" s="549"/>
      <c r="AG45" s="549"/>
      <c r="AH45" s="550"/>
      <c r="AI45" s="544"/>
      <c r="AJ45" s="548" t="s">
        <v>658</v>
      </c>
      <c r="AK45" s="549"/>
      <c r="AL45" s="549"/>
      <c r="AM45" s="550"/>
      <c r="AN45" s="544"/>
      <c r="AO45" s="548" t="s">
        <v>658</v>
      </c>
      <c r="AP45" s="549"/>
      <c r="AQ45" s="549"/>
      <c r="AR45" s="550"/>
      <c r="AS45" s="544"/>
      <c r="AT45" s="548" t="s">
        <v>658</v>
      </c>
      <c r="AU45" s="549"/>
      <c r="AV45" s="549"/>
      <c r="AW45" s="550"/>
      <c r="AX45" s="544"/>
    </row>
    <row r="46" spans="2:50">
      <c r="B46" s="544"/>
      <c r="C46" s="544"/>
      <c r="D46" s="544"/>
      <c r="E46" s="403" t="s">
        <v>659</v>
      </c>
      <c r="F46" s="403" t="s">
        <v>660</v>
      </c>
      <c r="G46" s="403" t="s">
        <v>661</v>
      </c>
      <c r="H46" s="563"/>
      <c r="I46" s="402" t="s">
        <v>659</v>
      </c>
      <c r="J46" s="402" t="s">
        <v>660</v>
      </c>
      <c r="K46" s="402" t="s">
        <v>661</v>
      </c>
      <c r="L46" s="586"/>
      <c r="M46" s="569"/>
      <c r="N46" s="544"/>
      <c r="O46" s="544"/>
      <c r="P46" s="403" t="s">
        <v>659</v>
      </c>
      <c r="Q46" s="403" t="s">
        <v>660</v>
      </c>
      <c r="R46" s="403" t="s">
        <v>661</v>
      </c>
      <c r="S46" s="403" t="s">
        <v>654</v>
      </c>
      <c r="T46" s="544"/>
      <c r="U46" s="403" t="s">
        <v>659</v>
      </c>
      <c r="V46" s="403" t="s">
        <v>660</v>
      </c>
      <c r="W46" s="403" t="s">
        <v>661</v>
      </c>
      <c r="X46" s="403" t="s">
        <v>654</v>
      </c>
      <c r="Y46" s="544"/>
      <c r="Z46" s="403" t="s">
        <v>659</v>
      </c>
      <c r="AA46" s="403" t="s">
        <v>660</v>
      </c>
      <c r="AB46" s="403" t="s">
        <v>661</v>
      </c>
      <c r="AC46" s="403" t="s">
        <v>654</v>
      </c>
      <c r="AD46" s="544"/>
      <c r="AE46" s="403" t="s">
        <v>659</v>
      </c>
      <c r="AF46" s="403" t="s">
        <v>660</v>
      </c>
      <c r="AG46" s="403" t="s">
        <v>661</v>
      </c>
      <c r="AH46" s="403" t="s">
        <v>654</v>
      </c>
      <c r="AI46" s="544"/>
      <c r="AJ46" s="403" t="s">
        <v>659</v>
      </c>
      <c r="AK46" s="403" t="s">
        <v>660</v>
      </c>
      <c r="AL46" s="403" t="s">
        <v>661</v>
      </c>
      <c r="AM46" s="403" t="s">
        <v>654</v>
      </c>
      <c r="AN46" s="544"/>
      <c r="AO46" s="403" t="s">
        <v>659</v>
      </c>
      <c r="AP46" s="403" t="s">
        <v>660</v>
      </c>
      <c r="AQ46" s="403" t="s">
        <v>661</v>
      </c>
      <c r="AR46" s="403" t="s">
        <v>654</v>
      </c>
      <c r="AS46" s="544"/>
      <c r="AT46" s="403" t="s">
        <v>659</v>
      </c>
      <c r="AU46" s="403" t="s">
        <v>660</v>
      </c>
      <c r="AV46" s="403" t="s">
        <v>664</v>
      </c>
      <c r="AW46" s="403" t="s">
        <v>654</v>
      </c>
      <c r="AX46" s="544"/>
    </row>
    <row r="47" spans="2:50">
      <c r="B47" s="596" t="s">
        <v>663</v>
      </c>
      <c r="C47" s="404">
        <v>1</v>
      </c>
      <c r="D47" s="404" t="s">
        <v>371</v>
      </c>
      <c r="E47" s="404">
        <v>10</v>
      </c>
      <c r="F47" s="404">
        <v>1500</v>
      </c>
      <c r="G47" s="182">
        <v>150</v>
      </c>
      <c r="H47" s="597">
        <f>AVERAGE(G47:G61)</f>
        <v>195.71428571428572</v>
      </c>
      <c r="I47" s="408">
        <f>AVERAGE(P47,U47,Z47,AE47,AJ47,AO47,AT47)</f>
        <v>10</v>
      </c>
      <c r="J47" s="408">
        <f>AVERAGE(Q47,V47,AA47,AF47,AK47,AP47,AU47)</f>
        <v>1382.828571428571</v>
      </c>
      <c r="K47" s="406">
        <f>AVERAGE(R47,W47,AB47,AG47,AL47,AQ47,AV47)</f>
        <v>138.2828571428571</v>
      </c>
      <c r="L47" s="587">
        <f>IFERROR(AVERAGE(K47:K61),"-")</f>
        <v>197.06572036461128</v>
      </c>
      <c r="M47" s="407">
        <f>RANK(K47, K$47:$K$61)</f>
        <v>6</v>
      </c>
      <c r="N47" s="544"/>
      <c r="O47" s="544"/>
      <c r="P47" s="182">
        <v>10</v>
      </c>
      <c r="Q47" s="182">
        <v>1442.4000000000051</v>
      </c>
      <c r="R47" s="405">
        <v>144.24000000000052</v>
      </c>
      <c r="S47" s="404">
        <f>RANK(R47, R$47:R$61)</f>
        <v>6</v>
      </c>
      <c r="T47" s="534">
        <f>AVERAGE(R47:R61)</f>
        <v>200.06690237298946</v>
      </c>
      <c r="U47" s="182">
        <v>10</v>
      </c>
      <c r="V47" s="182">
        <v>1502.3999999999958</v>
      </c>
      <c r="W47" s="405">
        <v>150.23999999999958</v>
      </c>
      <c r="X47" s="404">
        <f t="shared" ref="X47:X61" si="28">RANK(W47, W$47:W$61)</f>
        <v>4</v>
      </c>
      <c r="Y47" s="534">
        <f t="shared" ref="Y47" si="29">AVERAGE(W47:W61)</f>
        <v>193.45451143451143</v>
      </c>
      <c r="Z47" s="182">
        <v>10</v>
      </c>
      <c r="AA47" s="182">
        <v>1413.6000000000004</v>
      </c>
      <c r="AB47" s="405">
        <v>141.36000000000004</v>
      </c>
      <c r="AC47" s="404">
        <f t="shared" ref="AC47:AC61" si="30">RANK(AB47, AB$47:AB$61)</f>
        <v>5</v>
      </c>
      <c r="AD47" s="534">
        <f t="shared" ref="AD47" si="31">AVERAGE(AB47:AB61)</f>
        <v>193.59641229141226</v>
      </c>
      <c r="AE47" s="182">
        <v>10</v>
      </c>
      <c r="AF47" s="182">
        <v>1343.9999999999995</v>
      </c>
      <c r="AG47" s="405">
        <v>134.39999999999995</v>
      </c>
      <c r="AH47" s="404">
        <f t="shared" ref="AH47:AH61" si="32">RANK(AG47, AG$47:AG$61)</f>
        <v>6</v>
      </c>
      <c r="AI47" s="534">
        <f t="shared" ref="AI47" si="33">AVERAGE(AG47:AG61)</f>
        <v>192.90481859410426</v>
      </c>
      <c r="AJ47" s="182">
        <v>10</v>
      </c>
      <c r="AK47" s="182">
        <v>1274.9999999999943</v>
      </c>
      <c r="AL47" s="405">
        <v>127.49999999999943</v>
      </c>
      <c r="AM47" s="404">
        <f t="shared" ref="AM47:AM61" si="34">RANK(AL47, AL$47:AL$61)</f>
        <v>6</v>
      </c>
      <c r="AN47" s="534">
        <f t="shared" ref="AN47" si="35">AVERAGE(AL47:AL61)</f>
        <v>202.81020408163275</v>
      </c>
      <c r="AO47" s="182">
        <v>10</v>
      </c>
      <c r="AP47" s="182">
        <v>1260.0000000000014</v>
      </c>
      <c r="AQ47" s="405">
        <v>126.00000000000014</v>
      </c>
      <c r="AR47" s="404">
        <f t="shared" ref="AR47:AR61" si="36">RANK(AQ47, AQ$47:AQ$61)</f>
        <v>5</v>
      </c>
      <c r="AS47" s="534">
        <f t="shared" ref="AS47" si="37">AVERAGE(AQ47:AQ61)</f>
        <v>181.54159159159167</v>
      </c>
      <c r="AT47" s="182">
        <v>10</v>
      </c>
      <c r="AU47" s="182">
        <v>1442.4000000000003</v>
      </c>
      <c r="AV47" s="405">
        <v>144.24000000000004</v>
      </c>
      <c r="AW47" s="404">
        <f t="shared" ref="AW47:AW61" si="38">RANK(AV47, AV$47:AV$61)</f>
        <v>5</v>
      </c>
      <c r="AX47" s="534">
        <f t="shared" ref="AX47" si="39">AVERAGE(AV47:AV61)</f>
        <v>185.00636636636645</v>
      </c>
    </row>
    <row r="48" spans="2:50">
      <c r="B48" s="533"/>
      <c r="C48" s="404">
        <v>2</v>
      </c>
      <c r="D48" s="404" t="s">
        <v>372</v>
      </c>
      <c r="E48" s="404">
        <v>15</v>
      </c>
      <c r="F48" s="404">
        <v>1800</v>
      </c>
      <c r="G48" s="182">
        <v>120</v>
      </c>
      <c r="H48" s="598"/>
      <c r="I48" s="408">
        <f t="shared" ref="I48:K53" si="40">AVERAGE(P48,U48,Z48,AE48,AJ48,AO48,AT48)</f>
        <v>12</v>
      </c>
      <c r="J48" s="408">
        <f t="shared" si="40"/>
        <v>1734.7639455782321</v>
      </c>
      <c r="K48" s="406">
        <f t="shared" si="40"/>
        <v>144.56366213151935</v>
      </c>
      <c r="L48" s="588"/>
      <c r="M48" s="407">
        <f>RANK(K48, K$47:$K$61)</f>
        <v>5</v>
      </c>
      <c r="N48" s="544"/>
      <c r="O48" s="544"/>
      <c r="P48" s="404">
        <v>12</v>
      </c>
      <c r="Q48" s="182">
        <v>1837.3333333333335</v>
      </c>
      <c r="R48" s="405">
        <v>153.11111111111111</v>
      </c>
      <c r="S48" s="404">
        <f t="shared" ref="S48:S61" si="41">RANK(R48, R$47:R$61)</f>
        <v>4</v>
      </c>
      <c r="T48" s="534"/>
      <c r="U48" s="404">
        <v>12</v>
      </c>
      <c r="V48" s="182">
        <v>1708.8000000000034</v>
      </c>
      <c r="W48" s="405">
        <v>142.40000000000029</v>
      </c>
      <c r="X48" s="404">
        <f t="shared" si="28"/>
        <v>6</v>
      </c>
      <c r="Y48" s="534"/>
      <c r="Z48" s="404">
        <v>12</v>
      </c>
      <c r="AA48" s="182">
        <v>1446.9999999999993</v>
      </c>
      <c r="AB48" s="405">
        <v>120.58333333333327</v>
      </c>
      <c r="AC48" s="404">
        <f t="shared" si="30"/>
        <v>6</v>
      </c>
      <c r="AD48" s="534"/>
      <c r="AE48" s="404">
        <v>12</v>
      </c>
      <c r="AF48" s="182">
        <v>1714.5000000000027</v>
      </c>
      <c r="AG48" s="405">
        <v>142.87500000000023</v>
      </c>
      <c r="AH48" s="404">
        <f t="shared" si="32"/>
        <v>5</v>
      </c>
      <c r="AI48" s="534"/>
      <c r="AJ48" s="404">
        <v>12</v>
      </c>
      <c r="AK48" s="182">
        <v>1837.7142857142878</v>
      </c>
      <c r="AL48" s="405">
        <v>153.14285714285731</v>
      </c>
      <c r="AM48" s="404">
        <f t="shared" si="34"/>
        <v>4</v>
      </c>
      <c r="AN48" s="534"/>
      <c r="AO48" s="404">
        <v>12</v>
      </c>
      <c r="AP48" s="182">
        <v>1769.9999999999977</v>
      </c>
      <c r="AQ48" s="405">
        <v>147.4999999999998</v>
      </c>
      <c r="AR48" s="404">
        <f t="shared" si="36"/>
        <v>3</v>
      </c>
      <c r="AS48" s="534"/>
      <c r="AT48" s="404">
        <v>12</v>
      </c>
      <c r="AU48" s="182">
        <v>1828</v>
      </c>
      <c r="AV48" s="405">
        <v>152.33333333333334</v>
      </c>
      <c r="AW48" s="404">
        <f t="shared" si="38"/>
        <v>4</v>
      </c>
      <c r="AX48" s="534"/>
    </row>
    <row r="49" spans="2:50">
      <c r="B49" s="533"/>
      <c r="C49" s="404">
        <v>3</v>
      </c>
      <c r="D49" s="404" t="s">
        <v>373</v>
      </c>
      <c r="E49" s="404">
        <v>15</v>
      </c>
      <c r="F49" s="404">
        <v>1800</v>
      </c>
      <c r="G49" s="182">
        <v>120</v>
      </c>
      <c r="H49" s="598"/>
      <c r="I49" s="408">
        <f t="shared" si="40"/>
        <v>12</v>
      </c>
      <c r="J49" s="408">
        <f t="shared" si="40"/>
        <v>1765.3442176870744</v>
      </c>
      <c r="K49" s="406">
        <f t="shared" si="40"/>
        <v>147.11201814058953</v>
      </c>
      <c r="L49" s="588"/>
      <c r="M49" s="407">
        <f>RANK(K49, K$47:$K$61)</f>
        <v>4</v>
      </c>
      <c r="N49" s="544"/>
      <c r="O49" s="544"/>
      <c r="P49" s="404">
        <v>12</v>
      </c>
      <c r="Q49" s="182">
        <v>1830.6666666666667</v>
      </c>
      <c r="R49" s="405">
        <v>152.55555555555557</v>
      </c>
      <c r="S49" s="404">
        <f t="shared" si="41"/>
        <v>5</v>
      </c>
      <c r="T49" s="534"/>
      <c r="U49" s="404">
        <v>12</v>
      </c>
      <c r="V49" s="182">
        <v>1709.999999999995</v>
      </c>
      <c r="W49" s="405">
        <v>142.49999999999957</v>
      </c>
      <c r="X49" s="404">
        <f t="shared" si="28"/>
        <v>5</v>
      </c>
      <c r="Y49" s="534"/>
      <c r="Z49" s="404">
        <v>12</v>
      </c>
      <c r="AA49" s="182">
        <v>1747.2000000000005</v>
      </c>
      <c r="AB49" s="405">
        <v>145.60000000000005</v>
      </c>
      <c r="AC49" s="404">
        <f t="shared" si="30"/>
        <v>4</v>
      </c>
      <c r="AD49" s="534"/>
      <c r="AE49" s="404">
        <v>12</v>
      </c>
      <c r="AF49" s="182">
        <v>1722.0000000000027</v>
      </c>
      <c r="AG49" s="405">
        <v>143.50000000000023</v>
      </c>
      <c r="AH49" s="404">
        <f t="shared" si="32"/>
        <v>4</v>
      </c>
      <c r="AI49" s="534"/>
      <c r="AJ49" s="404">
        <v>12</v>
      </c>
      <c r="AK49" s="182">
        <v>1769.1428571428553</v>
      </c>
      <c r="AL49" s="405">
        <v>147.42857142857127</v>
      </c>
      <c r="AM49" s="404">
        <f t="shared" si="34"/>
        <v>5</v>
      </c>
      <c r="AN49" s="534"/>
      <c r="AO49" s="404">
        <v>12</v>
      </c>
      <c r="AP49" s="182">
        <v>1742.4000000000005</v>
      </c>
      <c r="AQ49" s="405">
        <v>145.20000000000005</v>
      </c>
      <c r="AR49" s="404">
        <f t="shared" si="36"/>
        <v>4</v>
      </c>
      <c r="AS49" s="534"/>
      <c r="AT49" s="404">
        <v>12</v>
      </c>
      <c r="AU49" s="182">
        <v>1836</v>
      </c>
      <c r="AV49" s="405">
        <v>153</v>
      </c>
      <c r="AW49" s="404">
        <f t="shared" si="38"/>
        <v>3</v>
      </c>
      <c r="AX49" s="534"/>
    </row>
    <row r="50" spans="2:50">
      <c r="B50" s="533"/>
      <c r="C50" s="404">
        <v>4</v>
      </c>
      <c r="D50" s="404" t="s">
        <v>571</v>
      </c>
      <c r="E50" s="404">
        <v>5</v>
      </c>
      <c r="F50" s="404">
        <v>1500</v>
      </c>
      <c r="G50" s="182">
        <v>300</v>
      </c>
      <c r="H50" s="598"/>
      <c r="I50" s="408">
        <f t="shared" si="40"/>
        <v>6</v>
      </c>
      <c r="J50" s="408">
        <f t="shared" si="40"/>
        <v>1505.1519274376424</v>
      </c>
      <c r="K50" s="406">
        <f t="shared" si="40"/>
        <v>250.85865457294037</v>
      </c>
      <c r="L50" s="588"/>
      <c r="M50" s="407">
        <f>RANK(K50, K$47:$K$61)</f>
        <v>3</v>
      </c>
      <c r="N50" s="544"/>
      <c r="O50" s="544"/>
      <c r="P50" s="404">
        <v>6</v>
      </c>
      <c r="Q50" s="182">
        <v>1360.0000000000014</v>
      </c>
      <c r="R50" s="405">
        <v>226.66666666666688</v>
      </c>
      <c r="S50" s="404">
        <f t="shared" si="41"/>
        <v>3</v>
      </c>
      <c r="T50" s="534"/>
      <c r="U50" s="404">
        <v>6</v>
      </c>
      <c r="V50" s="182">
        <v>1482.0000000000014</v>
      </c>
      <c r="W50" s="405">
        <v>247.00000000000023</v>
      </c>
      <c r="X50" s="404">
        <f t="shared" si="28"/>
        <v>3</v>
      </c>
      <c r="Y50" s="534"/>
      <c r="Z50" s="404">
        <v>6</v>
      </c>
      <c r="AA50" s="182">
        <v>1557.7777777777785</v>
      </c>
      <c r="AB50" s="405">
        <v>259.62962962962973</v>
      </c>
      <c r="AC50" s="404">
        <f t="shared" si="30"/>
        <v>3</v>
      </c>
      <c r="AD50" s="534"/>
      <c r="AE50" s="404">
        <v>6</v>
      </c>
      <c r="AF50" s="182">
        <v>1574.2857142857138</v>
      </c>
      <c r="AG50" s="405">
        <v>262.38095238095229</v>
      </c>
      <c r="AH50" s="404">
        <f t="shared" si="32"/>
        <v>3</v>
      </c>
      <c r="AI50" s="534"/>
      <c r="AJ50" s="404">
        <v>6</v>
      </c>
      <c r="AK50" s="182">
        <v>1487.9999999999993</v>
      </c>
      <c r="AL50" s="405">
        <v>247.99999999999989</v>
      </c>
      <c r="AM50" s="404">
        <f t="shared" si="34"/>
        <v>3</v>
      </c>
      <c r="AN50" s="534"/>
      <c r="AO50" s="404">
        <v>6</v>
      </c>
      <c r="AP50" s="182">
        <v>1574.0000000000016</v>
      </c>
      <c r="AQ50" s="405">
        <v>262.3333333333336</v>
      </c>
      <c r="AR50" s="404">
        <f t="shared" si="36"/>
        <v>2</v>
      </c>
      <c r="AS50" s="534"/>
      <c r="AT50" s="404">
        <v>6</v>
      </c>
      <c r="AU50" s="182">
        <v>1500.0000000000016</v>
      </c>
      <c r="AV50" s="405">
        <v>250.00000000000026</v>
      </c>
      <c r="AW50" s="404">
        <f t="shared" si="38"/>
        <v>2</v>
      </c>
      <c r="AX50" s="534"/>
    </row>
    <row r="51" spans="2:50">
      <c r="B51" s="533"/>
      <c r="C51" s="404">
        <v>5</v>
      </c>
      <c r="D51" s="404" t="s">
        <v>505</v>
      </c>
      <c r="E51" s="404">
        <v>5</v>
      </c>
      <c r="F51" s="404">
        <v>1500</v>
      </c>
      <c r="G51" s="182">
        <v>300</v>
      </c>
      <c r="H51" s="598"/>
      <c r="I51" s="408">
        <f t="shared" si="40"/>
        <v>5</v>
      </c>
      <c r="J51" s="408">
        <f t="shared" si="40"/>
        <v>1569.1390497640502</v>
      </c>
      <c r="K51" s="406">
        <f t="shared" si="40"/>
        <v>313.82780995281001</v>
      </c>
      <c r="L51" s="588"/>
      <c r="M51" s="407">
        <f>RANK(K51, K$47:$K$61)</f>
        <v>1</v>
      </c>
      <c r="N51" s="544"/>
      <c r="O51" s="544"/>
      <c r="P51" s="404">
        <v>5</v>
      </c>
      <c r="Q51" s="182">
        <v>1604.9999999999995</v>
      </c>
      <c r="R51" s="405">
        <v>320.99999999999989</v>
      </c>
      <c r="S51" s="404">
        <f t="shared" si="41"/>
        <v>1</v>
      </c>
      <c r="T51" s="534"/>
      <c r="U51" s="404">
        <v>5</v>
      </c>
      <c r="V51" s="182">
        <v>1474.0540540540546</v>
      </c>
      <c r="W51" s="405">
        <v>294.81081081081095</v>
      </c>
      <c r="X51" s="404">
        <f t="shared" si="28"/>
        <v>1</v>
      </c>
      <c r="Y51" s="534"/>
      <c r="Z51" s="404">
        <v>5</v>
      </c>
      <c r="AA51" s="182">
        <v>1550.624999999998</v>
      </c>
      <c r="AB51" s="405">
        <v>310.1249999999996</v>
      </c>
      <c r="AC51" s="404">
        <f t="shared" si="30"/>
        <v>1</v>
      </c>
      <c r="AD51" s="534"/>
      <c r="AE51" s="404">
        <v>5</v>
      </c>
      <c r="AF51" s="182">
        <v>1508.8888888888898</v>
      </c>
      <c r="AG51" s="405">
        <v>301.77777777777794</v>
      </c>
      <c r="AH51" s="404">
        <f t="shared" si="32"/>
        <v>1</v>
      </c>
      <c r="AI51" s="534"/>
      <c r="AJ51" s="404">
        <v>5</v>
      </c>
      <c r="AK51" s="182">
        <v>1860.000000000003</v>
      </c>
      <c r="AL51" s="405">
        <v>372.00000000000057</v>
      </c>
      <c r="AM51" s="404">
        <f t="shared" si="34"/>
        <v>1</v>
      </c>
      <c r="AN51" s="534"/>
      <c r="AO51" s="404">
        <v>5</v>
      </c>
      <c r="AP51" s="182">
        <v>1521.0810810810817</v>
      </c>
      <c r="AQ51" s="405">
        <v>304.21621621621637</v>
      </c>
      <c r="AR51" s="404">
        <f t="shared" si="36"/>
        <v>1</v>
      </c>
      <c r="AS51" s="534"/>
      <c r="AT51" s="404">
        <v>5</v>
      </c>
      <c r="AU51" s="182">
        <v>1464.3243243243248</v>
      </c>
      <c r="AV51" s="405">
        <v>292.86486486486496</v>
      </c>
      <c r="AW51" s="404">
        <f t="shared" si="38"/>
        <v>1</v>
      </c>
      <c r="AX51" s="534"/>
    </row>
    <row r="52" spans="2:50">
      <c r="B52" s="533"/>
      <c r="C52" s="404">
        <v>6</v>
      </c>
      <c r="D52" s="404" t="s">
        <v>480</v>
      </c>
      <c r="E52" s="404">
        <v>5</v>
      </c>
      <c r="F52" s="404">
        <v>1500</v>
      </c>
      <c r="G52" s="182">
        <v>300</v>
      </c>
      <c r="H52" s="598"/>
      <c r="I52" s="408">
        <f t="shared" si="40"/>
        <v>5</v>
      </c>
      <c r="J52" s="408">
        <f t="shared" si="40"/>
        <v>1442.7565217391304</v>
      </c>
      <c r="K52" s="406">
        <f t="shared" si="40"/>
        <v>288.55130434782615</v>
      </c>
      <c r="L52" s="588"/>
      <c r="M52" s="407">
        <f>RANK(K52, K$47:$K$61)</f>
        <v>2</v>
      </c>
      <c r="N52" s="544"/>
      <c r="O52" s="544"/>
      <c r="P52" s="404">
        <v>5</v>
      </c>
      <c r="Q52" s="182">
        <v>1554.7826086956522</v>
      </c>
      <c r="R52" s="405">
        <v>310.95652173913044</v>
      </c>
      <c r="S52" s="404">
        <f t="shared" si="41"/>
        <v>2</v>
      </c>
      <c r="T52" s="534"/>
      <c r="U52" s="404">
        <v>5</v>
      </c>
      <c r="V52" s="182">
        <v>1470.0000000000011</v>
      </c>
      <c r="W52" s="405">
        <v>294.00000000000023</v>
      </c>
      <c r="X52" s="404">
        <f t="shared" si="28"/>
        <v>2</v>
      </c>
      <c r="Y52" s="534"/>
      <c r="Z52" s="404">
        <v>5</v>
      </c>
      <c r="AA52" s="182">
        <v>1450.0000000000005</v>
      </c>
      <c r="AB52" s="405">
        <v>290.00000000000011</v>
      </c>
      <c r="AC52" s="404">
        <f t="shared" si="30"/>
        <v>2</v>
      </c>
      <c r="AD52" s="534"/>
      <c r="AE52" s="404">
        <v>5</v>
      </c>
      <c r="AF52" s="182">
        <v>1436.9999999999964</v>
      </c>
      <c r="AG52" s="405">
        <v>287.3999999999993</v>
      </c>
      <c r="AH52" s="404">
        <f t="shared" si="32"/>
        <v>2</v>
      </c>
      <c r="AI52" s="534"/>
      <c r="AJ52" s="404">
        <v>5</v>
      </c>
      <c r="AK52" s="182">
        <v>1302.000000000002</v>
      </c>
      <c r="AL52" s="405">
        <v>260.40000000000043</v>
      </c>
      <c r="AM52" s="404">
        <f t="shared" si="34"/>
        <v>2</v>
      </c>
      <c r="AN52" s="534"/>
      <c r="AO52" s="404"/>
      <c r="AP52" s="182"/>
      <c r="AQ52" s="405"/>
      <c r="AR52" s="404" t="e">
        <f t="shared" si="36"/>
        <v>#N/A</v>
      </c>
      <c r="AS52" s="534"/>
      <c r="AT52" s="404"/>
      <c r="AU52" s="182"/>
      <c r="AV52" s="405"/>
      <c r="AW52" s="404" t="e">
        <f t="shared" si="38"/>
        <v>#N/A</v>
      </c>
      <c r="AX52" s="534"/>
    </row>
    <row r="53" spans="2:50">
      <c r="B53" s="533"/>
      <c r="C53" s="404">
        <v>7</v>
      </c>
      <c r="D53" s="404" t="s">
        <v>574</v>
      </c>
      <c r="E53" s="404">
        <v>15</v>
      </c>
      <c r="F53" s="404">
        <v>1200</v>
      </c>
      <c r="G53" s="182">
        <v>80</v>
      </c>
      <c r="H53" s="598"/>
      <c r="I53" s="408">
        <f t="shared" si="40"/>
        <v>11.714285714285714</v>
      </c>
      <c r="J53" s="408">
        <f t="shared" si="40"/>
        <v>1108.800000000002</v>
      </c>
      <c r="K53" s="406">
        <f t="shared" si="40"/>
        <v>96.263736263736433</v>
      </c>
      <c r="L53" s="588"/>
      <c r="M53" s="407">
        <f>RANK(K53, K$47:$K$61)</f>
        <v>7</v>
      </c>
      <c r="N53" s="544"/>
      <c r="O53" s="544"/>
      <c r="P53" s="404">
        <v>13</v>
      </c>
      <c r="Q53" s="182">
        <v>1195.2000000000041</v>
      </c>
      <c r="R53" s="405">
        <v>91.938461538461851</v>
      </c>
      <c r="S53" s="404">
        <f t="shared" si="41"/>
        <v>7</v>
      </c>
      <c r="T53" s="534"/>
      <c r="U53" s="404">
        <v>13</v>
      </c>
      <c r="V53" s="182">
        <v>1082.0000000000009</v>
      </c>
      <c r="W53" s="405">
        <v>83.230769230769297</v>
      </c>
      <c r="X53" s="404">
        <f t="shared" si="28"/>
        <v>7</v>
      </c>
      <c r="Y53" s="534"/>
      <c r="Z53" s="404">
        <v>13</v>
      </c>
      <c r="AA53" s="182">
        <v>1142.400000000004</v>
      </c>
      <c r="AB53" s="405">
        <v>87.876923076923376</v>
      </c>
      <c r="AC53" s="404">
        <f t="shared" si="30"/>
        <v>7</v>
      </c>
      <c r="AD53" s="534"/>
      <c r="AE53" s="404">
        <v>13</v>
      </c>
      <c r="AF53" s="182">
        <v>1013.9999999999997</v>
      </c>
      <c r="AG53" s="405">
        <v>77.999999999999972</v>
      </c>
      <c r="AH53" s="404">
        <f t="shared" si="32"/>
        <v>7</v>
      </c>
      <c r="AI53" s="534"/>
      <c r="AJ53" s="404">
        <v>10</v>
      </c>
      <c r="AK53" s="182">
        <v>1112.0000000000039</v>
      </c>
      <c r="AL53" s="405">
        <v>111.20000000000039</v>
      </c>
      <c r="AM53" s="404">
        <f t="shared" si="34"/>
        <v>7</v>
      </c>
      <c r="AN53" s="534"/>
      <c r="AO53" s="404">
        <v>10</v>
      </c>
      <c r="AP53" s="182">
        <v>1040.0000000000009</v>
      </c>
      <c r="AQ53" s="405">
        <v>104.00000000000009</v>
      </c>
      <c r="AR53" s="404">
        <f t="shared" si="36"/>
        <v>6</v>
      </c>
      <c r="AS53" s="534"/>
      <c r="AT53" s="404">
        <v>10</v>
      </c>
      <c r="AU53" s="182">
        <v>1176.0000000000002</v>
      </c>
      <c r="AV53" s="405">
        <v>117.60000000000002</v>
      </c>
      <c r="AW53" s="404">
        <f t="shared" si="38"/>
        <v>6</v>
      </c>
      <c r="AX53" s="534"/>
    </row>
    <row r="54" spans="2:50">
      <c r="B54" s="533"/>
      <c r="C54" s="404">
        <v>8</v>
      </c>
      <c r="D54" s="404"/>
      <c r="E54" s="404"/>
      <c r="F54" s="404"/>
      <c r="G54" s="182"/>
      <c r="H54" s="598"/>
      <c r="I54" s="408"/>
      <c r="J54" s="408"/>
      <c r="K54" s="406"/>
      <c r="L54" s="588"/>
      <c r="M54" s="407" t="e">
        <f>RANK(K54, K$47:$K$61)</f>
        <v>#N/A</v>
      </c>
      <c r="N54" s="544"/>
      <c r="O54" s="544"/>
      <c r="P54" s="404"/>
      <c r="Q54" s="182"/>
      <c r="R54" s="405"/>
      <c r="S54" s="404" t="e">
        <f t="shared" si="41"/>
        <v>#N/A</v>
      </c>
      <c r="T54" s="534"/>
      <c r="U54" s="404"/>
      <c r="V54" s="182"/>
      <c r="W54" s="405"/>
      <c r="X54" s="404" t="e">
        <f t="shared" si="28"/>
        <v>#N/A</v>
      </c>
      <c r="Y54" s="534"/>
      <c r="Z54" s="404"/>
      <c r="AA54" s="182"/>
      <c r="AB54" s="405"/>
      <c r="AC54" s="404" t="e">
        <f t="shared" si="30"/>
        <v>#N/A</v>
      </c>
      <c r="AD54" s="534"/>
      <c r="AE54" s="404"/>
      <c r="AF54" s="182"/>
      <c r="AG54" s="405"/>
      <c r="AH54" s="404" t="e">
        <f t="shared" si="32"/>
        <v>#N/A</v>
      </c>
      <c r="AI54" s="534"/>
      <c r="AJ54" s="404"/>
      <c r="AK54" s="182"/>
      <c r="AL54" s="405"/>
      <c r="AM54" s="404" t="e">
        <f t="shared" si="34"/>
        <v>#N/A</v>
      </c>
      <c r="AN54" s="534"/>
      <c r="AO54" s="404"/>
      <c r="AP54" s="182"/>
      <c r="AQ54" s="405"/>
      <c r="AR54" s="404" t="e">
        <f t="shared" si="36"/>
        <v>#N/A</v>
      </c>
      <c r="AS54" s="534"/>
      <c r="AT54" s="404"/>
      <c r="AU54" s="182"/>
      <c r="AV54" s="405"/>
      <c r="AW54" s="404" t="e">
        <f t="shared" si="38"/>
        <v>#N/A</v>
      </c>
      <c r="AX54" s="534"/>
    </row>
    <row r="55" spans="2:50">
      <c r="B55" s="533"/>
      <c r="C55" s="404">
        <v>9</v>
      </c>
      <c r="D55" s="404"/>
      <c r="E55" s="404"/>
      <c r="F55" s="404"/>
      <c r="G55" s="182"/>
      <c r="H55" s="598"/>
      <c r="I55" s="408"/>
      <c r="J55" s="408"/>
      <c r="K55" s="406"/>
      <c r="L55" s="588"/>
      <c r="M55" s="407" t="e">
        <f>RANK(K55, K$47:$K$61)</f>
        <v>#N/A</v>
      </c>
      <c r="N55" s="544"/>
      <c r="O55" s="544"/>
      <c r="P55" s="404"/>
      <c r="Q55" s="182"/>
      <c r="R55" s="405"/>
      <c r="S55" s="404" t="e">
        <f t="shared" si="41"/>
        <v>#N/A</v>
      </c>
      <c r="T55" s="534"/>
      <c r="U55" s="404"/>
      <c r="V55" s="182"/>
      <c r="W55" s="405"/>
      <c r="X55" s="404" t="e">
        <f t="shared" si="28"/>
        <v>#N/A</v>
      </c>
      <c r="Y55" s="534"/>
      <c r="Z55" s="404"/>
      <c r="AA55" s="182"/>
      <c r="AB55" s="405"/>
      <c r="AC55" s="404" t="e">
        <f t="shared" si="30"/>
        <v>#N/A</v>
      </c>
      <c r="AD55" s="534"/>
      <c r="AE55" s="404"/>
      <c r="AF55" s="182"/>
      <c r="AG55" s="405"/>
      <c r="AH55" s="404" t="e">
        <f t="shared" si="32"/>
        <v>#N/A</v>
      </c>
      <c r="AI55" s="534"/>
      <c r="AJ55" s="404"/>
      <c r="AK55" s="182"/>
      <c r="AL55" s="405"/>
      <c r="AM55" s="404" t="e">
        <f t="shared" si="34"/>
        <v>#N/A</v>
      </c>
      <c r="AN55" s="534"/>
      <c r="AO55" s="404"/>
      <c r="AP55" s="182"/>
      <c r="AQ55" s="405"/>
      <c r="AR55" s="404" t="e">
        <f t="shared" si="36"/>
        <v>#N/A</v>
      </c>
      <c r="AS55" s="534"/>
      <c r="AT55" s="404"/>
      <c r="AU55" s="182"/>
      <c r="AV55" s="405"/>
      <c r="AW55" s="404" t="e">
        <f t="shared" si="38"/>
        <v>#N/A</v>
      </c>
      <c r="AX55" s="534"/>
    </row>
    <row r="56" spans="2:50">
      <c r="B56" s="533"/>
      <c r="C56" s="404">
        <v>10</v>
      </c>
      <c r="D56" s="404"/>
      <c r="E56" s="404"/>
      <c r="F56" s="404"/>
      <c r="G56" s="182"/>
      <c r="H56" s="598"/>
      <c r="I56" s="408"/>
      <c r="J56" s="408"/>
      <c r="K56" s="406"/>
      <c r="L56" s="588"/>
      <c r="M56" s="407" t="e">
        <f>RANK(K56, K$47:$K$61)</f>
        <v>#N/A</v>
      </c>
      <c r="N56" s="544"/>
      <c r="O56" s="544"/>
      <c r="P56" s="404"/>
      <c r="Q56" s="182"/>
      <c r="R56" s="405"/>
      <c r="S56" s="404" t="e">
        <f t="shared" si="41"/>
        <v>#N/A</v>
      </c>
      <c r="T56" s="534"/>
      <c r="U56" s="404"/>
      <c r="V56" s="182"/>
      <c r="W56" s="405"/>
      <c r="X56" s="404" t="e">
        <f t="shared" si="28"/>
        <v>#N/A</v>
      </c>
      <c r="Y56" s="534"/>
      <c r="Z56" s="404"/>
      <c r="AA56" s="182"/>
      <c r="AB56" s="405"/>
      <c r="AC56" s="404" t="e">
        <f t="shared" si="30"/>
        <v>#N/A</v>
      </c>
      <c r="AD56" s="534"/>
      <c r="AE56" s="404"/>
      <c r="AF56" s="182"/>
      <c r="AG56" s="405"/>
      <c r="AH56" s="404" t="e">
        <f t="shared" si="32"/>
        <v>#N/A</v>
      </c>
      <c r="AI56" s="534"/>
      <c r="AJ56" s="404"/>
      <c r="AK56" s="182"/>
      <c r="AL56" s="405"/>
      <c r="AM56" s="404" t="e">
        <f t="shared" si="34"/>
        <v>#N/A</v>
      </c>
      <c r="AN56" s="534"/>
      <c r="AO56" s="404"/>
      <c r="AP56" s="182"/>
      <c r="AQ56" s="405"/>
      <c r="AR56" s="404" t="e">
        <f t="shared" si="36"/>
        <v>#N/A</v>
      </c>
      <c r="AS56" s="534"/>
      <c r="AT56" s="404"/>
      <c r="AU56" s="182"/>
      <c r="AV56" s="405"/>
      <c r="AW56" s="404" t="e">
        <f t="shared" si="38"/>
        <v>#N/A</v>
      </c>
      <c r="AX56" s="534"/>
    </row>
    <row r="57" spans="2:50">
      <c r="B57" s="533"/>
      <c r="C57" s="404">
        <v>11</v>
      </c>
      <c r="D57" s="404"/>
      <c r="E57" s="404"/>
      <c r="F57" s="404"/>
      <c r="G57" s="182"/>
      <c r="H57" s="598"/>
      <c r="I57" s="202"/>
      <c r="J57" s="202"/>
      <c r="K57" s="202"/>
      <c r="L57" s="588"/>
      <c r="M57" s="407" t="e">
        <f>RANK(K57, K$47:$K$61)</f>
        <v>#N/A</v>
      </c>
      <c r="N57" s="544"/>
      <c r="O57" s="544"/>
      <c r="P57" s="404"/>
      <c r="Q57" s="404"/>
      <c r="R57" s="404"/>
      <c r="S57" s="404" t="e">
        <f t="shared" si="41"/>
        <v>#N/A</v>
      </c>
      <c r="T57" s="534"/>
      <c r="U57" s="404"/>
      <c r="V57" s="404"/>
      <c r="W57" s="404"/>
      <c r="X57" s="404" t="e">
        <f t="shared" si="28"/>
        <v>#N/A</v>
      </c>
      <c r="Y57" s="534"/>
      <c r="Z57" s="404"/>
      <c r="AA57" s="404"/>
      <c r="AB57" s="404"/>
      <c r="AC57" s="404" t="e">
        <f t="shared" si="30"/>
        <v>#N/A</v>
      </c>
      <c r="AD57" s="534"/>
      <c r="AE57" s="404"/>
      <c r="AF57" s="404"/>
      <c r="AG57" s="404"/>
      <c r="AH57" s="404" t="e">
        <f t="shared" si="32"/>
        <v>#N/A</v>
      </c>
      <c r="AI57" s="534"/>
      <c r="AJ57" s="404"/>
      <c r="AK57" s="404"/>
      <c r="AL57" s="404"/>
      <c r="AM57" s="404" t="e">
        <f t="shared" si="34"/>
        <v>#N/A</v>
      </c>
      <c r="AN57" s="534"/>
      <c r="AO57" s="404"/>
      <c r="AP57" s="404"/>
      <c r="AQ57" s="404"/>
      <c r="AR57" s="404" t="e">
        <f t="shared" si="36"/>
        <v>#N/A</v>
      </c>
      <c r="AS57" s="534"/>
      <c r="AT57" s="404"/>
      <c r="AU57" s="404"/>
      <c r="AV57" s="404"/>
      <c r="AW57" s="404" t="e">
        <f t="shared" si="38"/>
        <v>#N/A</v>
      </c>
      <c r="AX57" s="534"/>
    </row>
    <row r="58" spans="2:50">
      <c r="B58" s="533"/>
      <c r="C58" s="404">
        <v>12</v>
      </c>
      <c r="D58" s="404"/>
      <c r="E58" s="404"/>
      <c r="F58" s="404"/>
      <c r="G58" s="182"/>
      <c r="H58" s="598"/>
      <c r="I58" s="202"/>
      <c r="J58" s="202"/>
      <c r="K58" s="202"/>
      <c r="L58" s="588"/>
      <c r="M58" s="407" t="e">
        <f>RANK(K58, K$47:$K$61)</f>
        <v>#N/A</v>
      </c>
      <c r="N58" s="544"/>
      <c r="O58" s="544"/>
      <c r="P58" s="404"/>
      <c r="Q58" s="404"/>
      <c r="R58" s="404"/>
      <c r="S58" s="404" t="e">
        <f t="shared" si="41"/>
        <v>#N/A</v>
      </c>
      <c r="T58" s="534"/>
      <c r="U58" s="404"/>
      <c r="V58" s="404"/>
      <c r="W58" s="404"/>
      <c r="X58" s="404" t="e">
        <f t="shared" si="28"/>
        <v>#N/A</v>
      </c>
      <c r="Y58" s="534"/>
      <c r="Z58" s="404"/>
      <c r="AA58" s="404"/>
      <c r="AB58" s="404"/>
      <c r="AC58" s="404" t="e">
        <f t="shared" si="30"/>
        <v>#N/A</v>
      </c>
      <c r="AD58" s="534"/>
      <c r="AE58" s="404"/>
      <c r="AF58" s="404"/>
      <c r="AG58" s="404"/>
      <c r="AH58" s="404" t="e">
        <f t="shared" si="32"/>
        <v>#N/A</v>
      </c>
      <c r="AI58" s="534"/>
      <c r="AJ58" s="404"/>
      <c r="AK58" s="404"/>
      <c r="AL58" s="404"/>
      <c r="AM58" s="404" t="e">
        <f t="shared" si="34"/>
        <v>#N/A</v>
      </c>
      <c r="AN58" s="534"/>
      <c r="AO58" s="404"/>
      <c r="AP58" s="404"/>
      <c r="AQ58" s="404"/>
      <c r="AR58" s="404" t="e">
        <f t="shared" si="36"/>
        <v>#N/A</v>
      </c>
      <c r="AS58" s="534"/>
      <c r="AT58" s="404"/>
      <c r="AU58" s="404"/>
      <c r="AV58" s="404"/>
      <c r="AW58" s="404" t="e">
        <f t="shared" si="38"/>
        <v>#N/A</v>
      </c>
      <c r="AX58" s="534"/>
    </row>
    <row r="59" spans="2:50">
      <c r="B59" s="533"/>
      <c r="C59" s="404">
        <v>13</v>
      </c>
      <c r="D59" s="404"/>
      <c r="E59" s="404"/>
      <c r="F59" s="404"/>
      <c r="G59" s="182"/>
      <c r="H59" s="598"/>
      <c r="I59" s="202"/>
      <c r="J59" s="202"/>
      <c r="K59" s="202"/>
      <c r="L59" s="588"/>
      <c r="M59" s="407" t="e">
        <f>RANK(K59, K$47:$K$61)</f>
        <v>#N/A</v>
      </c>
      <c r="N59" s="544"/>
      <c r="O59" s="544"/>
      <c r="P59" s="404"/>
      <c r="Q59" s="404"/>
      <c r="R59" s="404"/>
      <c r="S59" s="404" t="e">
        <f t="shared" si="41"/>
        <v>#N/A</v>
      </c>
      <c r="T59" s="534"/>
      <c r="U59" s="404"/>
      <c r="V59" s="404"/>
      <c r="W59" s="404"/>
      <c r="X59" s="404" t="e">
        <f t="shared" si="28"/>
        <v>#N/A</v>
      </c>
      <c r="Y59" s="534"/>
      <c r="Z59" s="404"/>
      <c r="AA59" s="404"/>
      <c r="AB59" s="404"/>
      <c r="AC59" s="404" t="e">
        <f t="shared" si="30"/>
        <v>#N/A</v>
      </c>
      <c r="AD59" s="534"/>
      <c r="AE59" s="404"/>
      <c r="AF59" s="404"/>
      <c r="AG59" s="404"/>
      <c r="AH59" s="404" t="e">
        <f t="shared" si="32"/>
        <v>#N/A</v>
      </c>
      <c r="AI59" s="534"/>
      <c r="AJ59" s="404"/>
      <c r="AK59" s="404"/>
      <c r="AL59" s="404"/>
      <c r="AM59" s="404" t="e">
        <f t="shared" si="34"/>
        <v>#N/A</v>
      </c>
      <c r="AN59" s="534"/>
      <c r="AO59" s="404"/>
      <c r="AP59" s="404"/>
      <c r="AQ59" s="404"/>
      <c r="AR59" s="404" t="e">
        <f t="shared" si="36"/>
        <v>#N/A</v>
      </c>
      <c r="AS59" s="534"/>
      <c r="AT59" s="404"/>
      <c r="AU59" s="404"/>
      <c r="AV59" s="404"/>
      <c r="AW59" s="404" t="e">
        <f t="shared" si="38"/>
        <v>#N/A</v>
      </c>
      <c r="AX59" s="534"/>
    </row>
    <row r="60" spans="2:50">
      <c r="B60" s="533"/>
      <c r="C60" s="404">
        <v>14</v>
      </c>
      <c r="D60" s="404"/>
      <c r="E60" s="404"/>
      <c r="F60" s="404"/>
      <c r="G60" s="182"/>
      <c r="H60" s="598"/>
      <c r="I60" s="202"/>
      <c r="J60" s="202"/>
      <c r="K60" s="202"/>
      <c r="L60" s="588"/>
      <c r="M60" s="407" t="e">
        <f>RANK(K60, K$47:$K$61)</f>
        <v>#N/A</v>
      </c>
      <c r="N60" s="544"/>
      <c r="O60" s="544"/>
      <c r="P60" s="404"/>
      <c r="Q60" s="404"/>
      <c r="R60" s="404"/>
      <c r="S60" s="404" t="e">
        <f t="shared" si="41"/>
        <v>#N/A</v>
      </c>
      <c r="T60" s="534"/>
      <c r="U60" s="404"/>
      <c r="V60" s="404"/>
      <c r="W60" s="404"/>
      <c r="X60" s="404" t="e">
        <f t="shared" si="28"/>
        <v>#N/A</v>
      </c>
      <c r="Y60" s="534"/>
      <c r="Z60" s="404"/>
      <c r="AA60" s="404"/>
      <c r="AB60" s="404"/>
      <c r="AC60" s="404" t="e">
        <f t="shared" si="30"/>
        <v>#N/A</v>
      </c>
      <c r="AD60" s="534"/>
      <c r="AE60" s="404"/>
      <c r="AF60" s="404"/>
      <c r="AG60" s="404"/>
      <c r="AH60" s="404" t="e">
        <f t="shared" si="32"/>
        <v>#N/A</v>
      </c>
      <c r="AI60" s="534"/>
      <c r="AJ60" s="404"/>
      <c r="AK60" s="404"/>
      <c r="AL60" s="404"/>
      <c r="AM60" s="404" t="e">
        <f t="shared" si="34"/>
        <v>#N/A</v>
      </c>
      <c r="AN60" s="534"/>
      <c r="AO60" s="404"/>
      <c r="AP60" s="404"/>
      <c r="AQ60" s="404"/>
      <c r="AR60" s="404" t="e">
        <f t="shared" si="36"/>
        <v>#N/A</v>
      </c>
      <c r="AS60" s="534"/>
      <c r="AT60" s="404"/>
      <c r="AU60" s="404"/>
      <c r="AV60" s="404"/>
      <c r="AW60" s="404" t="e">
        <f t="shared" si="38"/>
        <v>#N/A</v>
      </c>
      <c r="AX60" s="534"/>
    </row>
    <row r="61" spans="2:50">
      <c r="B61" s="533"/>
      <c r="C61" s="404">
        <v>15</v>
      </c>
      <c r="D61" s="404"/>
      <c r="E61" s="404"/>
      <c r="F61" s="404"/>
      <c r="G61" s="404"/>
      <c r="H61" s="599"/>
      <c r="I61" s="202"/>
      <c r="J61" s="202"/>
      <c r="K61" s="202"/>
      <c r="L61" s="589"/>
      <c r="M61" s="407" t="e">
        <f>RANK(K61, K$47:$K$61)</f>
        <v>#N/A</v>
      </c>
      <c r="N61" s="544"/>
      <c r="O61" s="544"/>
      <c r="P61" s="404"/>
      <c r="Q61" s="404"/>
      <c r="R61" s="404"/>
      <c r="S61" s="404" t="e">
        <f t="shared" si="41"/>
        <v>#N/A</v>
      </c>
      <c r="T61" s="534"/>
      <c r="U61" s="404"/>
      <c r="V61" s="404"/>
      <c r="W61" s="404"/>
      <c r="X61" s="404" t="e">
        <f t="shared" si="28"/>
        <v>#N/A</v>
      </c>
      <c r="Y61" s="534"/>
      <c r="Z61" s="404"/>
      <c r="AA61" s="404"/>
      <c r="AB61" s="404"/>
      <c r="AC61" s="404" t="e">
        <f t="shared" si="30"/>
        <v>#N/A</v>
      </c>
      <c r="AD61" s="534"/>
      <c r="AE61" s="404"/>
      <c r="AF61" s="404"/>
      <c r="AG61" s="404"/>
      <c r="AH61" s="404" t="e">
        <f t="shared" si="32"/>
        <v>#N/A</v>
      </c>
      <c r="AI61" s="534"/>
      <c r="AJ61" s="404"/>
      <c r="AK61" s="404"/>
      <c r="AL61" s="404"/>
      <c r="AM61" s="404" t="e">
        <f t="shared" si="34"/>
        <v>#N/A</v>
      </c>
      <c r="AN61" s="534"/>
      <c r="AO61" s="404"/>
      <c r="AP61" s="404"/>
      <c r="AQ61" s="404"/>
      <c r="AR61" s="404" t="e">
        <f t="shared" si="36"/>
        <v>#N/A</v>
      </c>
      <c r="AS61" s="534"/>
      <c r="AT61" s="404"/>
      <c r="AU61" s="404"/>
      <c r="AV61" s="404"/>
      <c r="AW61" s="404" t="e">
        <f t="shared" si="38"/>
        <v>#N/A</v>
      </c>
      <c r="AX61" s="534"/>
    </row>
    <row r="62" spans="2:50" ht="15.5">
      <c r="B62" s="555" t="s">
        <v>163</v>
      </c>
      <c r="C62" s="556"/>
      <c r="D62" s="556"/>
      <c r="E62" s="556"/>
      <c r="F62" s="556"/>
      <c r="G62" s="556"/>
      <c r="H62" s="557"/>
      <c r="I62" s="208"/>
      <c r="J62" s="208"/>
      <c r="K62" s="208"/>
      <c r="L62" s="208"/>
      <c r="M62" s="207"/>
      <c r="N62" s="559" t="s">
        <v>156</v>
      </c>
      <c r="O62" s="559" t="s">
        <v>105</v>
      </c>
      <c r="P62" s="554">
        <f>P42+7</f>
        <v>46372</v>
      </c>
      <c r="Q62" s="533"/>
      <c r="R62" s="533"/>
      <c r="S62" s="533"/>
      <c r="T62" s="533"/>
      <c r="U62" s="551">
        <f>P62+1</f>
        <v>46373</v>
      </c>
      <c r="V62" s="552"/>
      <c r="W62" s="552"/>
      <c r="X62" s="552"/>
      <c r="Y62" s="553"/>
      <c r="Z62" s="551">
        <f>U62+1</f>
        <v>46374</v>
      </c>
      <c r="AA62" s="552"/>
      <c r="AB62" s="552"/>
      <c r="AC62" s="552"/>
      <c r="AD62" s="553"/>
      <c r="AE62" s="551">
        <f>Z62+1</f>
        <v>46375</v>
      </c>
      <c r="AF62" s="552"/>
      <c r="AG62" s="552"/>
      <c r="AH62" s="552"/>
      <c r="AI62" s="553"/>
      <c r="AJ62" s="551">
        <f>AE62+1</f>
        <v>46376</v>
      </c>
      <c r="AK62" s="552"/>
      <c r="AL62" s="552"/>
      <c r="AM62" s="552"/>
      <c r="AN62" s="553"/>
      <c r="AO62" s="551">
        <f>AJ62+1</f>
        <v>46377</v>
      </c>
      <c r="AP62" s="552"/>
      <c r="AQ62" s="552"/>
      <c r="AR62" s="552"/>
      <c r="AS62" s="553"/>
      <c r="AT62" s="551">
        <f>AO62+1</f>
        <v>46378</v>
      </c>
      <c r="AU62" s="552"/>
      <c r="AV62" s="552"/>
      <c r="AW62" s="552"/>
      <c r="AX62" s="553"/>
    </row>
    <row r="63" spans="2:50" ht="15.5">
      <c r="B63" s="558"/>
      <c r="C63" s="558"/>
      <c r="D63" s="558"/>
      <c r="E63" s="558"/>
      <c r="F63" s="558"/>
      <c r="G63" s="558"/>
      <c r="H63" s="558"/>
      <c r="I63" s="205"/>
      <c r="J63" s="205"/>
      <c r="K63" s="205"/>
      <c r="L63" s="205"/>
      <c r="M63" s="206"/>
      <c r="N63" s="560"/>
      <c r="O63" s="560"/>
      <c r="P63" s="554" t="s">
        <v>334</v>
      </c>
      <c r="Q63" s="533"/>
      <c r="R63" s="533"/>
      <c r="S63" s="533"/>
      <c r="T63" s="533"/>
      <c r="U63" s="554" t="s">
        <v>335</v>
      </c>
      <c r="V63" s="533"/>
      <c r="W63" s="533"/>
      <c r="X63" s="533"/>
      <c r="Y63" s="533"/>
      <c r="Z63" s="554" t="s">
        <v>336</v>
      </c>
      <c r="AA63" s="533"/>
      <c r="AB63" s="533"/>
      <c r="AC63" s="533"/>
      <c r="AD63" s="533"/>
      <c r="AE63" s="554" t="s">
        <v>337</v>
      </c>
      <c r="AF63" s="533"/>
      <c r="AG63" s="533"/>
      <c r="AH63" s="533"/>
      <c r="AI63" s="533"/>
      <c r="AJ63" s="554" t="s">
        <v>338</v>
      </c>
      <c r="AK63" s="533"/>
      <c r="AL63" s="533"/>
      <c r="AM63" s="533"/>
      <c r="AN63" s="533"/>
      <c r="AO63" s="554" t="s">
        <v>339</v>
      </c>
      <c r="AP63" s="533"/>
      <c r="AQ63" s="533"/>
      <c r="AR63" s="533"/>
      <c r="AS63" s="533"/>
      <c r="AT63" s="554" t="s">
        <v>340</v>
      </c>
      <c r="AU63" s="533"/>
      <c r="AV63" s="533"/>
      <c r="AW63" s="533"/>
      <c r="AX63" s="533"/>
    </row>
    <row r="64" spans="2:50">
      <c r="B64" s="544" t="s">
        <v>649</v>
      </c>
      <c r="C64" s="544" t="s">
        <v>650</v>
      </c>
      <c r="D64" s="544"/>
      <c r="E64" s="544" t="s">
        <v>651</v>
      </c>
      <c r="F64" s="544"/>
      <c r="G64" s="544"/>
      <c r="H64" s="561" t="s">
        <v>652</v>
      </c>
      <c r="I64" s="583" t="s">
        <v>653</v>
      </c>
      <c r="J64" s="583"/>
      <c r="K64" s="583"/>
      <c r="L64" s="584" t="s">
        <v>652</v>
      </c>
      <c r="M64" s="567" t="s">
        <v>654</v>
      </c>
      <c r="N64" s="544"/>
      <c r="O64" s="544" t="s">
        <v>655</v>
      </c>
      <c r="P64" s="548" t="s">
        <v>656</v>
      </c>
      <c r="Q64" s="549"/>
      <c r="R64" s="549"/>
      <c r="S64" s="550"/>
      <c r="T64" s="544" t="s">
        <v>652</v>
      </c>
      <c r="U64" s="548" t="s">
        <v>656</v>
      </c>
      <c r="V64" s="549"/>
      <c r="W64" s="549"/>
      <c r="X64" s="550"/>
      <c r="Y64" s="544" t="s">
        <v>652</v>
      </c>
      <c r="Z64" s="548" t="s">
        <v>656</v>
      </c>
      <c r="AA64" s="549"/>
      <c r="AB64" s="549"/>
      <c r="AC64" s="550"/>
      <c r="AD64" s="544" t="s">
        <v>652</v>
      </c>
      <c r="AE64" s="548" t="s">
        <v>656</v>
      </c>
      <c r="AF64" s="549"/>
      <c r="AG64" s="549"/>
      <c r="AH64" s="550"/>
      <c r="AI64" s="544" t="s">
        <v>652</v>
      </c>
      <c r="AJ64" s="548" t="s">
        <v>656</v>
      </c>
      <c r="AK64" s="549"/>
      <c r="AL64" s="549"/>
      <c r="AM64" s="550"/>
      <c r="AN64" s="544" t="s">
        <v>652</v>
      </c>
      <c r="AO64" s="548" t="s">
        <v>656</v>
      </c>
      <c r="AP64" s="549"/>
      <c r="AQ64" s="549"/>
      <c r="AR64" s="550"/>
      <c r="AS64" s="544" t="s">
        <v>652</v>
      </c>
      <c r="AT64" s="548" t="s">
        <v>656</v>
      </c>
      <c r="AU64" s="549"/>
      <c r="AV64" s="549"/>
      <c r="AW64" s="550"/>
      <c r="AX64" s="544" t="s">
        <v>652</v>
      </c>
    </row>
    <row r="65" spans="2:50">
      <c r="B65" s="544"/>
      <c r="C65" s="544"/>
      <c r="D65" s="544"/>
      <c r="E65" s="544" t="s">
        <v>657</v>
      </c>
      <c r="F65" s="544"/>
      <c r="G65" s="544"/>
      <c r="H65" s="562"/>
      <c r="I65" s="583" t="s">
        <v>657</v>
      </c>
      <c r="J65" s="583"/>
      <c r="K65" s="583"/>
      <c r="L65" s="585"/>
      <c r="M65" s="568"/>
      <c r="N65" s="544"/>
      <c r="O65" s="544"/>
      <c r="P65" s="548" t="s">
        <v>658</v>
      </c>
      <c r="Q65" s="549"/>
      <c r="R65" s="549"/>
      <c r="S65" s="550"/>
      <c r="T65" s="544"/>
      <c r="U65" s="548" t="s">
        <v>658</v>
      </c>
      <c r="V65" s="549"/>
      <c r="W65" s="549"/>
      <c r="X65" s="550"/>
      <c r="Y65" s="544"/>
      <c r="Z65" s="548" t="s">
        <v>658</v>
      </c>
      <c r="AA65" s="549"/>
      <c r="AB65" s="549"/>
      <c r="AC65" s="550"/>
      <c r="AD65" s="544"/>
      <c r="AE65" s="548" t="s">
        <v>658</v>
      </c>
      <c r="AF65" s="549"/>
      <c r="AG65" s="549"/>
      <c r="AH65" s="550"/>
      <c r="AI65" s="544"/>
      <c r="AJ65" s="548" t="s">
        <v>658</v>
      </c>
      <c r="AK65" s="549"/>
      <c r="AL65" s="549"/>
      <c r="AM65" s="550"/>
      <c r="AN65" s="544"/>
      <c r="AO65" s="548" t="s">
        <v>658</v>
      </c>
      <c r="AP65" s="549"/>
      <c r="AQ65" s="549"/>
      <c r="AR65" s="550"/>
      <c r="AS65" s="544"/>
      <c r="AT65" s="548" t="s">
        <v>658</v>
      </c>
      <c r="AU65" s="549"/>
      <c r="AV65" s="549"/>
      <c r="AW65" s="550"/>
      <c r="AX65" s="544"/>
    </row>
    <row r="66" spans="2:50">
      <c r="B66" s="544"/>
      <c r="C66" s="544"/>
      <c r="D66" s="544"/>
      <c r="E66" s="403" t="s">
        <v>659</v>
      </c>
      <c r="F66" s="403" t="s">
        <v>660</v>
      </c>
      <c r="G66" s="403" t="s">
        <v>661</v>
      </c>
      <c r="H66" s="563"/>
      <c r="I66" s="402" t="s">
        <v>659</v>
      </c>
      <c r="J66" s="402" t="s">
        <v>660</v>
      </c>
      <c r="K66" s="402" t="s">
        <v>661</v>
      </c>
      <c r="L66" s="586"/>
      <c r="M66" s="569"/>
      <c r="N66" s="544"/>
      <c r="O66" s="544"/>
      <c r="P66" s="403" t="s">
        <v>659</v>
      </c>
      <c r="Q66" s="403" t="s">
        <v>660</v>
      </c>
      <c r="R66" s="403" t="s">
        <v>661</v>
      </c>
      <c r="S66" s="403" t="s">
        <v>654</v>
      </c>
      <c r="T66" s="544"/>
      <c r="U66" s="403" t="s">
        <v>659</v>
      </c>
      <c r="V66" s="403" t="s">
        <v>660</v>
      </c>
      <c r="W66" s="403" t="s">
        <v>661</v>
      </c>
      <c r="X66" s="403" t="s">
        <v>654</v>
      </c>
      <c r="Y66" s="544"/>
      <c r="Z66" s="403" t="s">
        <v>659</v>
      </c>
      <c r="AA66" s="403" t="s">
        <v>660</v>
      </c>
      <c r="AB66" s="403" t="s">
        <v>661</v>
      </c>
      <c r="AC66" s="403" t="s">
        <v>654</v>
      </c>
      <c r="AD66" s="544"/>
      <c r="AE66" s="403" t="s">
        <v>659</v>
      </c>
      <c r="AF66" s="403" t="s">
        <v>660</v>
      </c>
      <c r="AG66" s="403" t="s">
        <v>661</v>
      </c>
      <c r="AH66" s="403" t="s">
        <v>654</v>
      </c>
      <c r="AI66" s="544"/>
      <c r="AJ66" s="403" t="s">
        <v>659</v>
      </c>
      <c r="AK66" s="403" t="s">
        <v>660</v>
      </c>
      <c r="AL66" s="403" t="s">
        <v>661</v>
      </c>
      <c r="AM66" s="403" t="s">
        <v>654</v>
      </c>
      <c r="AN66" s="544"/>
      <c r="AO66" s="403" t="s">
        <v>659</v>
      </c>
      <c r="AP66" s="403" t="s">
        <v>660</v>
      </c>
      <c r="AQ66" s="403" t="s">
        <v>661</v>
      </c>
      <c r="AR66" s="403" t="s">
        <v>654</v>
      </c>
      <c r="AS66" s="544"/>
      <c r="AT66" s="403" t="s">
        <v>659</v>
      </c>
      <c r="AU66" s="403" t="s">
        <v>660</v>
      </c>
      <c r="AV66" s="403" t="s">
        <v>661</v>
      </c>
      <c r="AW66" s="403" t="s">
        <v>654</v>
      </c>
      <c r="AX66" s="544"/>
    </row>
    <row r="67" spans="2:50">
      <c r="B67" s="596" t="s">
        <v>663</v>
      </c>
      <c r="C67" s="404">
        <v>1</v>
      </c>
      <c r="D67" s="404" t="s">
        <v>371</v>
      </c>
      <c r="E67" s="404">
        <v>10</v>
      </c>
      <c r="F67" s="404">
        <v>1500</v>
      </c>
      <c r="G67" s="182">
        <v>150</v>
      </c>
      <c r="H67" s="597">
        <f>AVERAGE(G67:G81)</f>
        <v>178.33333333333334</v>
      </c>
      <c r="I67" s="408">
        <f>AVERAGE(P67,U67,Z67,AE67,AJ67,AO67,AT67)</f>
        <v>10</v>
      </c>
      <c r="J67" s="408">
        <f>AVERAGE(Q67,V67,AA67,AF67,AK67,AP67,AU67)</f>
        <v>1462.7999999999995</v>
      </c>
      <c r="K67" s="406">
        <f>AVERAGE(R67,W67,AB67,AG67,AL67,AQ67,AV67)</f>
        <v>146.27999999999994</v>
      </c>
      <c r="L67" s="587">
        <f>IFERROR(AVERAGE(K67:K81),"-")</f>
        <v>184.45442375761152</v>
      </c>
      <c r="M67" s="407">
        <f>RANK(K67, K$67:$K$81)</f>
        <v>3</v>
      </c>
      <c r="N67" s="544"/>
      <c r="O67" s="544"/>
      <c r="P67" s="182">
        <v>10</v>
      </c>
      <c r="Q67" s="182">
        <v>1464.0000000000005</v>
      </c>
      <c r="R67" s="405">
        <v>146.40000000000003</v>
      </c>
      <c r="S67" s="404">
        <f>RANK(R67, R$67:R$81)</f>
        <v>4</v>
      </c>
      <c r="T67" s="534">
        <f>AVERAGE(R67:R81)</f>
        <v>185.08516507457679</v>
      </c>
      <c r="U67" s="182">
        <v>10</v>
      </c>
      <c r="V67" s="182">
        <v>1511.9999999999957</v>
      </c>
      <c r="W67" s="405">
        <v>151.19999999999956</v>
      </c>
      <c r="X67" s="404">
        <f t="shared" ref="X67:X81" si="42">RANK(W67, W$67:W$81)</f>
        <v>5</v>
      </c>
      <c r="Y67" s="534">
        <f t="shared" ref="Y67" si="43">AVERAGE(W67:W81)</f>
        <v>186.86534391534383</v>
      </c>
      <c r="Z67" s="182">
        <v>10</v>
      </c>
      <c r="AA67" s="182">
        <v>1444.8000000000004</v>
      </c>
      <c r="AB67" s="405">
        <v>144.48000000000005</v>
      </c>
      <c r="AC67" s="404">
        <f t="shared" ref="AC67:AC81" si="44">RANK(AB67, AB$67:AB$81)</f>
        <v>5</v>
      </c>
      <c r="AD67" s="534">
        <f t="shared" ref="AD67" si="45">AVERAGE(AB67:AB81)</f>
        <v>193.08956790123463</v>
      </c>
      <c r="AE67" s="182">
        <v>10</v>
      </c>
      <c r="AF67" s="182">
        <v>1421.9999999999995</v>
      </c>
      <c r="AG67" s="405">
        <v>142.19999999999996</v>
      </c>
      <c r="AH67" s="404">
        <f t="shared" ref="AH67:AH81" si="46">RANK(AG67, AG$67:AG$81)</f>
        <v>4</v>
      </c>
      <c r="AI67" s="534">
        <f t="shared" ref="AI67" si="47">AVERAGE(AG67:AG81)</f>
        <v>185.42795031055905</v>
      </c>
      <c r="AJ67" s="182">
        <v>10</v>
      </c>
      <c r="AK67" s="182">
        <v>1346.9999999999995</v>
      </c>
      <c r="AL67" s="405">
        <v>134.69999999999996</v>
      </c>
      <c r="AM67" s="404">
        <f t="shared" ref="AM67:AM81" si="48">RANK(AL67, AL$67:AL$81)</f>
        <v>5</v>
      </c>
      <c r="AN67" s="534">
        <f t="shared" ref="AN67" si="49">AVERAGE(AL67:AL81)</f>
        <v>174.84259259259241</v>
      </c>
      <c r="AO67" s="182">
        <v>10</v>
      </c>
      <c r="AP67" s="182">
        <v>1384.7999999999961</v>
      </c>
      <c r="AQ67" s="405">
        <v>138.47999999999962</v>
      </c>
      <c r="AR67" s="404">
        <f t="shared" ref="AR67:AR81" si="50">RANK(AQ67, AQ$67:AQ$81)</f>
        <v>3</v>
      </c>
      <c r="AS67" s="534">
        <f t="shared" ref="AS67" si="51">AVERAGE(AQ67:AQ81)</f>
        <v>175.62611992945313</v>
      </c>
      <c r="AT67" s="182">
        <v>10</v>
      </c>
      <c r="AU67" s="182">
        <v>1665.0000000000059</v>
      </c>
      <c r="AV67" s="405">
        <v>166.5000000000006</v>
      </c>
      <c r="AW67" s="404">
        <f t="shared" ref="AW67:AW81" si="52">RANK(AV67, AV$67:AV$81)</f>
        <v>3</v>
      </c>
      <c r="AX67" s="534">
        <f t="shared" ref="AX67" si="53">AVERAGE(AV67:AV81)</f>
        <v>190.24422657952081</v>
      </c>
    </row>
    <row r="68" spans="2:50">
      <c r="B68" s="533"/>
      <c r="C68" s="404">
        <v>2</v>
      </c>
      <c r="D68" s="404" t="s">
        <v>372</v>
      </c>
      <c r="E68" s="404">
        <v>15</v>
      </c>
      <c r="F68" s="404">
        <v>1800</v>
      </c>
      <c r="G68" s="182">
        <v>120</v>
      </c>
      <c r="H68" s="598"/>
      <c r="I68" s="408">
        <f t="shared" ref="I68:K72" si="54">AVERAGE(P68,U68,Z68,AE68,AJ68,AO68,AT68)</f>
        <v>12.285714285714286</v>
      </c>
      <c r="J68" s="408">
        <f t="shared" si="54"/>
        <v>1761.6476190476192</v>
      </c>
      <c r="K68" s="406">
        <f t="shared" si="54"/>
        <v>143.95498866213151</v>
      </c>
      <c r="L68" s="588"/>
      <c r="M68" s="407">
        <f>RANK(K68, K$67:$K$81)</f>
        <v>5</v>
      </c>
      <c r="N68" s="544"/>
      <c r="O68" s="544"/>
      <c r="P68" s="404">
        <v>12</v>
      </c>
      <c r="Q68" s="182">
        <v>1778.6666666666667</v>
      </c>
      <c r="R68" s="405">
        <v>148.22222222222223</v>
      </c>
      <c r="S68" s="404">
        <f t="shared" ref="S68:S81" si="55">RANK(R68, R$67:R$81)</f>
        <v>3</v>
      </c>
      <c r="T68" s="534"/>
      <c r="U68" s="404">
        <v>12</v>
      </c>
      <c r="V68" s="182">
        <v>1828</v>
      </c>
      <c r="W68" s="405">
        <v>152.33333333333334</v>
      </c>
      <c r="X68" s="404">
        <f t="shared" si="42"/>
        <v>3</v>
      </c>
      <c r="Y68" s="534"/>
      <c r="Z68" s="404">
        <v>12</v>
      </c>
      <c r="AA68" s="182">
        <v>1849.3333333333335</v>
      </c>
      <c r="AB68" s="405">
        <v>154.11111111111111</v>
      </c>
      <c r="AC68" s="404">
        <f t="shared" si="44"/>
        <v>3</v>
      </c>
      <c r="AD68" s="534"/>
      <c r="AE68" s="404">
        <v>12</v>
      </c>
      <c r="AF68" s="182">
        <v>1704.0000000000027</v>
      </c>
      <c r="AG68" s="405">
        <v>142.00000000000023</v>
      </c>
      <c r="AH68" s="404">
        <f t="shared" si="46"/>
        <v>5</v>
      </c>
      <c r="AI68" s="534"/>
      <c r="AJ68" s="404">
        <v>12</v>
      </c>
      <c r="AK68" s="182">
        <v>1718.9999999999957</v>
      </c>
      <c r="AL68" s="405">
        <v>143.24999999999963</v>
      </c>
      <c r="AM68" s="404">
        <f t="shared" si="48"/>
        <v>3</v>
      </c>
      <c r="AN68" s="534"/>
      <c r="AO68" s="404">
        <v>14</v>
      </c>
      <c r="AP68" s="182">
        <v>1675.2000000000032</v>
      </c>
      <c r="AQ68" s="405">
        <v>119.65714285714309</v>
      </c>
      <c r="AR68" s="404">
        <f t="shared" si="50"/>
        <v>5</v>
      </c>
      <c r="AS68" s="534"/>
      <c r="AT68" s="404">
        <v>12</v>
      </c>
      <c r="AU68" s="182">
        <v>1777.3333333333335</v>
      </c>
      <c r="AV68" s="405">
        <v>148.11111111111111</v>
      </c>
      <c r="AW68" s="404">
        <f t="shared" si="52"/>
        <v>4</v>
      </c>
      <c r="AX68" s="534"/>
    </row>
    <row r="69" spans="2:50">
      <c r="B69" s="533"/>
      <c r="C69" s="404">
        <v>3</v>
      </c>
      <c r="D69" s="404" t="s">
        <v>373</v>
      </c>
      <c r="E69" s="404">
        <v>15</v>
      </c>
      <c r="F69" s="404">
        <v>1800</v>
      </c>
      <c r="G69" s="182">
        <v>120</v>
      </c>
      <c r="H69" s="598"/>
      <c r="I69" s="408">
        <f t="shared" si="54"/>
        <v>12.285714285714286</v>
      </c>
      <c r="J69" s="408">
        <f t="shared" si="54"/>
        <v>1763.6122448979586</v>
      </c>
      <c r="K69" s="406">
        <f t="shared" si="54"/>
        <v>144.05952380952377</v>
      </c>
      <c r="L69" s="588"/>
      <c r="M69" s="407">
        <f>RANK(K69, K$67:$K$81)</f>
        <v>4</v>
      </c>
      <c r="N69" s="544"/>
      <c r="O69" s="544"/>
      <c r="P69" s="404">
        <v>12</v>
      </c>
      <c r="Q69" s="182">
        <v>1734.6666666666667</v>
      </c>
      <c r="R69" s="405">
        <v>144.55555555555557</v>
      </c>
      <c r="S69" s="404">
        <f t="shared" si="55"/>
        <v>5</v>
      </c>
      <c r="T69" s="534"/>
      <c r="U69" s="404">
        <v>12</v>
      </c>
      <c r="V69" s="182">
        <v>1817.3333333333301</v>
      </c>
      <c r="W69" s="405">
        <v>151.44444444444417</v>
      </c>
      <c r="X69" s="404">
        <f t="shared" si="42"/>
        <v>4</v>
      </c>
      <c r="Y69" s="534"/>
      <c r="Z69" s="404">
        <v>12</v>
      </c>
      <c r="AA69" s="182">
        <v>1846.6666666666667</v>
      </c>
      <c r="AB69" s="405">
        <v>153.88888888888889</v>
      </c>
      <c r="AC69" s="404">
        <f t="shared" si="44"/>
        <v>4</v>
      </c>
      <c r="AD69" s="534"/>
      <c r="AE69" s="404">
        <v>12</v>
      </c>
      <c r="AF69" s="182">
        <v>1846.2857142857165</v>
      </c>
      <c r="AG69" s="405">
        <v>153.85714285714303</v>
      </c>
      <c r="AH69" s="404">
        <f t="shared" si="46"/>
        <v>3</v>
      </c>
      <c r="AI69" s="534"/>
      <c r="AJ69" s="404">
        <v>12</v>
      </c>
      <c r="AK69" s="182">
        <v>1664.9999999999959</v>
      </c>
      <c r="AL69" s="405">
        <v>138.74999999999966</v>
      </c>
      <c r="AM69" s="404">
        <f t="shared" si="48"/>
        <v>4</v>
      </c>
      <c r="AN69" s="534"/>
      <c r="AO69" s="404">
        <v>14</v>
      </c>
      <c r="AP69" s="182">
        <v>1710.0000000000005</v>
      </c>
      <c r="AQ69" s="405">
        <v>122.14285714285718</v>
      </c>
      <c r="AR69" s="404">
        <f t="shared" si="50"/>
        <v>4</v>
      </c>
      <c r="AS69" s="534"/>
      <c r="AT69" s="404">
        <v>12</v>
      </c>
      <c r="AU69" s="182">
        <v>1725.3333333333335</v>
      </c>
      <c r="AV69" s="405">
        <v>143.7777777777778</v>
      </c>
      <c r="AW69" s="404">
        <f t="shared" si="52"/>
        <v>5</v>
      </c>
      <c r="AX69" s="534"/>
    </row>
    <row r="70" spans="2:50">
      <c r="B70" s="533"/>
      <c r="C70" s="404">
        <v>4</v>
      </c>
      <c r="D70" s="404" t="s">
        <v>571</v>
      </c>
      <c r="E70" s="404">
        <v>5</v>
      </c>
      <c r="F70" s="404">
        <v>1500</v>
      </c>
      <c r="G70" s="182">
        <v>300</v>
      </c>
      <c r="H70" s="598"/>
      <c r="I70" s="408">
        <f t="shared" si="54"/>
        <v>6</v>
      </c>
      <c r="J70" s="408">
        <f t="shared" si="54"/>
        <v>1525.6186790435245</v>
      </c>
      <c r="K70" s="406">
        <f t="shared" si="54"/>
        <v>254.2697798405874</v>
      </c>
      <c r="L70" s="588"/>
      <c r="M70" s="407">
        <f>RANK(K70, K$67:$K$81)</f>
        <v>2</v>
      </c>
      <c r="N70" s="544"/>
      <c r="O70" s="544"/>
      <c r="P70" s="404">
        <v>6</v>
      </c>
      <c r="Q70" s="182">
        <v>1523.0769230769238</v>
      </c>
      <c r="R70" s="405">
        <v>253.84615384615395</v>
      </c>
      <c r="S70" s="404">
        <f t="shared" si="55"/>
        <v>2</v>
      </c>
      <c r="T70" s="534"/>
      <c r="U70" s="404">
        <v>6</v>
      </c>
      <c r="V70" s="182">
        <v>1549.2857142857154</v>
      </c>
      <c r="W70" s="405">
        <v>258.21428571428589</v>
      </c>
      <c r="X70" s="404">
        <f t="shared" si="42"/>
        <v>2</v>
      </c>
      <c r="Y70" s="534"/>
      <c r="Z70" s="404">
        <v>6</v>
      </c>
      <c r="AA70" s="182">
        <v>1544.4444444444453</v>
      </c>
      <c r="AB70" s="405">
        <v>257.40740740740756</v>
      </c>
      <c r="AC70" s="404">
        <f t="shared" si="44"/>
        <v>2</v>
      </c>
      <c r="AD70" s="534"/>
      <c r="AE70" s="404">
        <v>6</v>
      </c>
      <c r="AF70" s="182">
        <v>1510.4347826086957</v>
      </c>
      <c r="AG70" s="405">
        <v>251.73913043478262</v>
      </c>
      <c r="AH70" s="404">
        <f t="shared" si="46"/>
        <v>2</v>
      </c>
      <c r="AI70" s="534"/>
      <c r="AJ70" s="404">
        <v>6</v>
      </c>
      <c r="AK70" s="182">
        <v>1459.9999999999995</v>
      </c>
      <c r="AL70" s="405">
        <v>243.33333333333326</v>
      </c>
      <c r="AM70" s="404">
        <f t="shared" si="48"/>
        <v>2</v>
      </c>
      <c r="AN70" s="534"/>
      <c r="AO70" s="404">
        <v>6</v>
      </c>
      <c r="AP70" s="182">
        <v>1548.8888888888896</v>
      </c>
      <c r="AQ70" s="405">
        <v>258.14814814814827</v>
      </c>
      <c r="AR70" s="404">
        <f t="shared" si="50"/>
        <v>2</v>
      </c>
      <c r="AS70" s="534"/>
      <c r="AT70" s="404">
        <v>6</v>
      </c>
      <c r="AU70" s="182">
        <v>1543.2000000000003</v>
      </c>
      <c r="AV70" s="405">
        <v>257.20000000000005</v>
      </c>
      <c r="AW70" s="404">
        <f t="shared" si="52"/>
        <v>2</v>
      </c>
      <c r="AX70" s="534"/>
    </row>
    <row r="71" spans="2:50">
      <c r="B71" s="533"/>
      <c r="C71" s="404">
        <v>5</v>
      </c>
      <c r="D71" s="404" t="s">
        <v>505</v>
      </c>
      <c r="E71" s="404">
        <v>5</v>
      </c>
      <c r="F71" s="404">
        <v>1500</v>
      </c>
      <c r="G71" s="182">
        <v>300</v>
      </c>
      <c r="H71" s="598"/>
      <c r="I71" s="408">
        <f t="shared" si="54"/>
        <v>5</v>
      </c>
      <c r="J71" s="408">
        <f t="shared" si="54"/>
        <v>1524.0683940242757</v>
      </c>
      <c r="K71" s="406">
        <f t="shared" si="54"/>
        <v>304.81367880485504</v>
      </c>
      <c r="L71" s="588"/>
      <c r="M71" s="407">
        <f>RANK(K71, K$67:$K$81)</f>
        <v>1</v>
      </c>
      <c r="N71" s="544"/>
      <c r="O71" s="544"/>
      <c r="P71" s="404">
        <v>5</v>
      </c>
      <c r="Q71" s="182">
        <v>1528.235294117645</v>
      </c>
      <c r="R71" s="405">
        <v>305.64705882352899</v>
      </c>
      <c r="S71" s="404">
        <f t="shared" si="55"/>
        <v>1</v>
      </c>
      <c r="T71" s="534"/>
      <c r="U71" s="404">
        <v>5</v>
      </c>
      <c r="V71" s="182">
        <v>1560.0000000000002</v>
      </c>
      <c r="W71" s="405">
        <v>312.00000000000006</v>
      </c>
      <c r="X71" s="404">
        <f t="shared" si="42"/>
        <v>1</v>
      </c>
      <c r="Y71" s="534"/>
      <c r="Z71" s="404">
        <v>5</v>
      </c>
      <c r="AA71" s="182">
        <v>1586.249999999998</v>
      </c>
      <c r="AB71" s="405">
        <v>317.2499999999996</v>
      </c>
      <c r="AC71" s="404">
        <f t="shared" si="44"/>
        <v>1</v>
      </c>
      <c r="AD71" s="534"/>
      <c r="AE71" s="404">
        <v>5</v>
      </c>
      <c r="AF71" s="182">
        <v>1497.857142857144</v>
      </c>
      <c r="AG71" s="405">
        <v>299.57142857142878</v>
      </c>
      <c r="AH71" s="404">
        <f t="shared" si="46"/>
        <v>1</v>
      </c>
      <c r="AI71" s="534"/>
      <c r="AJ71" s="404">
        <v>5</v>
      </c>
      <c r="AK71" s="182">
        <v>1451.1111111111118</v>
      </c>
      <c r="AL71" s="405">
        <v>290.22222222222234</v>
      </c>
      <c r="AM71" s="404">
        <f t="shared" si="48"/>
        <v>1</v>
      </c>
      <c r="AN71" s="534"/>
      <c r="AO71" s="404">
        <v>5</v>
      </c>
      <c r="AP71" s="182">
        <v>1529.1428571428555</v>
      </c>
      <c r="AQ71" s="405">
        <v>305.82857142857108</v>
      </c>
      <c r="AR71" s="404">
        <f t="shared" si="50"/>
        <v>1</v>
      </c>
      <c r="AS71" s="534"/>
      <c r="AT71" s="404">
        <v>5</v>
      </c>
      <c r="AU71" s="182">
        <v>1515.8823529411745</v>
      </c>
      <c r="AV71" s="405">
        <v>303.17647058823491</v>
      </c>
      <c r="AW71" s="404">
        <f t="shared" si="52"/>
        <v>1</v>
      </c>
      <c r="AX71" s="534"/>
    </row>
    <row r="72" spans="2:50">
      <c r="B72" s="533"/>
      <c r="C72" s="404">
        <v>6</v>
      </c>
      <c r="D72" s="404" t="s">
        <v>574</v>
      </c>
      <c r="E72" s="404">
        <v>15</v>
      </c>
      <c r="F72" s="404">
        <v>1200</v>
      </c>
      <c r="G72" s="182">
        <v>80</v>
      </c>
      <c r="H72" s="598"/>
      <c r="I72" s="408">
        <f t="shared" si="54"/>
        <v>10.571428571428571</v>
      </c>
      <c r="J72" s="408">
        <f t="shared" si="54"/>
        <v>1192.2000000000003</v>
      </c>
      <c r="K72" s="406">
        <f t="shared" si="54"/>
        <v>113.34857142857145</v>
      </c>
      <c r="L72" s="588"/>
      <c r="M72" s="407">
        <f>RANK(K72, K$67:$K$81)</f>
        <v>6</v>
      </c>
      <c r="N72" s="544"/>
      <c r="O72" s="544"/>
      <c r="P72" s="404">
        <v>10</v>
      </c>
      <c r="Q72" s="182">
        <v>1118.4000000000003</v>
      </c>
      <c r="R72" s="405">
        <v>111.84000000000003</v>
      </c>
      <c r="S72" s="404">
        <f t="shared" si="55"/>
        <v>6</v>
      </c>
      <c r="T72" s="534"/>
      <c r="U72" s="404">
        <v>12</v>
      </c>
      <c r="V72" s="182">
        <v>1152.0000000000005</v>
      </c>
      <c r="W72" s="405">
        <v>96.000000000000043</v>
      </c>
      <c r="X72" s="404">
        <f t="shared" si="42"/>
        <v>6</v>
      </c>
      <c r="Y72" s="534"/>
      <c r="Z72" s="404">
        <v>10</v>
      </c>
      <c r="AA72" s="182">
        <v>1314.0000000000045</v>
      </c>
      <c r="AB72" s="405">
        <v>131.40000000000046</v>
      </c>
      <c r="AC72" s="404">
        <f t="shared" si="44"/>
        <v>6</v>
      </c>
      <c r="AD72" s="534"/>
      <c r="AE72" s="404">
        <v>10</v>
      </c>
      <c r="AF72" s="182">
        <v>1231.9999999999977</v>
      </c>
      <c r="AG72" s="405">
        <v>123.19999999999978</v>
      </c>
      <c r="AH72" s="404">
        <f t="shared" si="46"/>
        <v>6</v>
      </c>
      <c r="AI72" s="534"/>
      <c r="AJ72" s="404">
        <v>10</v>
      </c>
      <c r="AK72" s="182">
        <v>987.99999999999818</v>
      </c>
      <c r="AL72" s="405">
        <v>98.799999999999812</v>
      </c>
      <c r="AM72" s="404">
        <f t="shared" si="48"/>
        <v>6</v>
      </c>
      <c r="AN72" s="534"/>
      <c r="AO72" s="404">
        <v>12</v>
      </c>
      <c r="AP72" s="182">
        <v>1313.9999999999941</v>
      </c>
      <c r="AQ72" s="405">
        <v>109.4999999999995</v>
      </c>
      <c r="AR72" s="404">
        <f t="shared" si="50"/>
        <v>6</v>
      </c>
      <c r="AS72" s="534"/>
      <c r="AT72" s="404">
        <v>10</v>
      </c>
      <c r="AU72" s="182">
        <v>1227.0000000000045</v>
      </c>
      <c r="AV72" s="405">
        <v>122.70000000000046</v>
      </c>
      <c r="AW72" s="404">
        <f t="shared" si="52"/>
        <v>6</v>
      </c>
      <c r="AX72" s="534"/>
    </row>
    <row r="73" spans="2:50">
      <c r="B73" s="533"/>
      <c r="C73" s="404">
        <v>7</v>
      </c>
      <c r="D73" s="404"/>
      <c r="E73" s="404"/>
      <c r="F73" s="404"/>
      <c r="G73" s="182"/>
      <c r="H73" s="598"/>
      <c r="I73" s="408"/>
      <c r="J73" s="408"/>
      <c r="K73" s="406"/>
      <c r="L73" s="588"/>
      <c r="M73" s="407" t="e">
        <f>RANK(K73, K$67:$K$81)</f>
        <v>#N/A</v>
      </c>
      <c r="N73" s="544"/>
      <c r="O73" s="544"/>
      <c r="P73" s="404"/>
      <c r="Q73" s="182"/>
      <c r="R73" s="405"/>
      <c r="S73" s="404" t="e">
        <f t="shared" si="55"/>
        <v>#N/A</v>
      </c>
      <c r="T73" s="534"/>
      <c r="U73" s="404"/>
      <c r="V73" s="182"/>
      <c r="W73" s="405"/>
      <c r="X73" s="404" t="e">
        <f t="shared" si="42"/>
        <v>#N/A</v>
      </c>
      <c r="Y73" s="534"/>
      <c r="Z73" s="404"/>
      <c r="AA73" s="182"/>
      <c r="AB73" s="405"/>
      <c r="AC73" s="404" t="e">
        <f t="shared" si="44"/>
        <v>#N/A</v>
      </c>
      <c r="AD73" s="534"/>
      <c r="AE73" s="404"/>
      <c r="AF73" s="182"/>
      <c r="AG73" s="405"/>
      <c r="AH73" s="404" t="e">
        <f t="shared" si="46"/>
        <v>#N/A</v>
      </c>
      <c r="AI73" s="534"/>
      <c r="AJ73" s="404"/>
      <c r="AK73" s="182"/>
      <c r="AL73" s="405"/>
      <c r="AM73" s="404" t="e">
        <f t="shared" si="48"/>
        <v>#N/A</v>
      </c>
      <c r="AN73" s="534"/>
      <c r="AO73" s="404"/>
      <c r="AP73" s="182"/>
      <c r="AQ73" s="405"/>
      <c r="AR73" s="404" t="e">
        <f t="shared" si="50"/>
        <v>#N/A</v>
      </c>
      <c r="AS73" s="534"/>
      <c r="AT73" s="404"/>
      <c r="AU73" s="182"/>
      <c r="AV73" s="405"/>
      <c r="AW73" s="404" t="e">
        <f t="shared" si="52"/>
        <v>#N/A</v>
      </c>
      <c r="AX73" s="534"/>
    </row>
    <row r="74" spans="2:50">
      <c r="B74" s="533"/>
      <c r="C74" s="404">
        <v>8</v>
      </c>
      <c r="D74" s="404"/>
      <c r="E74" s="404"/>
      <c r="F74" s="404"/>
      <c r="G74" s="182"/>
      <c r="H74" s="598"/>
      <c r="I74" s="408"/>
      <c r="J74" s="408"/>
      <c r="K74" s="406"/>
      <c r="L74" s="588"/>
      <c r="M74" s="407" t="e">
        <f>RANK(K74, K$67:$K$81)</f>
        <v>#N/A</v>
      </c>
      <c r="N74" s="544"/>
      <c r="O74" s="544"/>
      <c r="P74" s="404"/>
      <c r="Q74" s="182"/>
      <c r="R74" s="405"/>
      <c r="S74" s="404" t="e">
        <f t="shared" si="55"/>
        <v>#N/A</v>
      </c>
      <c r="T74" s="534"/>
      <c r="U74" s="404"/>
      <c r="V74" s="182"/>
      <c r="W74" s="405"/>
      <c r="X74" s="404" t="e">
        <f t="shared" si="42"/>
        <v>#N/A</v>
      </c>
      <c r="Y74" s="534"/>
      <c r="Z74" s="404"/>
      <c r="AA74" s="182"/>
      <c r="AB74" s="405"/>
      <c r="AC74" s="404" t="e">
        <f t="shared" si="44"/>
        <v>#N/A</v>
      </c>
      <c r="AD74" s="534"/>
      <c r="AE74" s="404"/>
      <c r="AF74" s="182"/>
      <c r="AG74" s="405"/>
      <c r="AH74" s="404" t="e">
        <f t="shared" si="46"/>
        <v>#N/A</v>
      </c>
      <c r="AI74" s="534"/>
      <c r="AJ74" s="404"/>
      <c r="AK74" s="182"/>
      <c r="AL74" s="405"/>
      <c r="AM74" s="404" t="e">
        <f t="shared" si="48"/>
        <v>#N/A</v>
      </c>
      <c r="AN74" s="534"/>
      <c r="AO74" s="404"/>
      <c r="AP74" s="182"/>
      <c r="AQ74" s="405"/>
      <c r="AR74" s="404" t="e">
        <f t="shared" si="50"/>
        <v>#N/A</v>
      </c>
      <c r="AS74" s="534"/>
      <c r="AT74" s="404"/>
      <c r="AU74" s="182"/>
      <c r="AV74" s="405"/>
      <c r="AW74" s="404" t="e">
        <f t="shared" si="52"/>
        <v>#N/A</v>
      </c>
      <c r="AX74" s="534"/>
    </row>
    <row r="75" spans="2:50">
      <c r="B75" s="533"/>
      <c r="C75" s="404">
        <v>9</v>
      </c>
      <c r="D75" s="404"/>
      <c r="E75" s="404"/>
      <c r="F75" s="404"/>
      <c r="G75" s="182"/>
      <c r="H75" s="598"/>
      <c r="I75" s="408"/>
      <c r="J75" s="408"/>
      <c r="K75" s="406"/>
      <c r="L75" s="588"/>
      <c r="M75" s="407" t="e">
        <f>RANK(K75, K$67:$K$81)</f>
        <v>#N/A</v>
      </c>
      <c r="N75" s="544"/>
      <c r="O75" s="544"/>
      <c r="P75" s="404"/>
      <c r="Q75" s="182"/>
      <c r="R75" s="405"/>
      <c r="S75" s="404" t="e">
        <f t="shared" si="55"/>
        <v>#N/A</v>
      </c>
      <c r="T75" s="534"/>
      <c r="U75" s="404"/>
      <c r="V75" s="182"/>
      <c r="W75" s="405"/>
      <c r="X75" s="404" t="e">
        <f t="shared" si="42"/>
        <v>#N/A</v>
      </c>
      <c r="Y75" s="534"/>
      <c r="Z75" s="404"/>
      <c r="AA75" s="182"/>
      <c r="AB75" s="405"/>
      <c r="AC75" s="404" t="e">
        <f t="shared" si="44"/>
        <v>#N/A</v>
      </c>
      <c r="AD75" s="534"/>
      <c r="AE75" s="404"/>
      <c r="AF75" s="182"/>
      <c r="AG75" s="405"/>
      <c r="AH75" s="404" t="e">
        <f t="shared" si="46"/>
        <v>#N/A</v>
      </c>
      <c r="AI75" s="534"/>
      <c r="AJ75" s="404"/>
      <c r="AK75" s="182"/>
      <c r="AL75" s="405"/>
      <c r="AM75" s="404" t="e">
        <f t="shared" si="48"/>
        <v>#N/A</v>
      </c>
      <c r="AN75" s="534"/>
      <c r="AO75" s="404"/>
      <c r="AP75" s="182"/>
      <c r="AQ75" s="405"/>
      <c r="AR75" s="404" t="e">
        <f t="shared" si="50"/>
        <v>#N/A</v>
      </c>
      <c r="AS75" s="534"/>
      <c r="AT75" s="404"/>
      <c r="AU75" s="182"/>
      <c r="AV75" s="405"/>
      <c r="AW75" s="404" t="e">
        <f t="shared" si="52"/>
        <v>#N/A</v>
      </c>
      <c r="AX75" s="534"/>
    </row>
    <row r="76" spans="2:50">
      <c r="B76" s="533"/>
      <c r="C76" s="404">
        <v>10</v>
      </c>
      <c r="D76" s="404"/>
      <c r="E76" s="404"/>
      <c r="F76" s="404"/>
      <c r="G76" s="182"/>
      <c r="H76" s="598"/>
      <c r="I76" s="408"/>
      <c r="J76" s="408"/>
      <c r="K76" s="406"/>
      <c r="L76" s="588"/>
      <c r="M76" s="407" t="e">
        <f>RANK(K76, K$67:$K$81)</f>
        <v>#N/A</v>
      </c>
      <c r="N76" s="544"/>
      <c r="O76" s="544"/>
      <c r="P76" s="404"/>
      <c r="Q76" s="182"/>
      <c r="R76" s="405"/>
      <c r="S76" s="404" t="e">
        <f t="shared" si="55"/>
        <v>#N/A</v>
      </c>
      <c r="T76" s="534"/>
      <c r="U76" s="404"/>
      <c r="V76" s="182"/>
      <c r="W76" s="405"/>
      <c r="X76" s="404" t="e">
        <f t="shared" si="42"/>
        <v>#N/A</v>
      </c>
      <c r="Y76" s="534"/>
      <c r="Z76" s="404"/>
      <c r="AA76" s="182"/>
      <c r="AB76" s="405"/>
      <c r="AC76" s="404" t="e">
        <f t="shared" si="44"/>
        <v>#N/A</v>
      </c>
      <c r="AD76" s="534"/>
      <c r="AE76" s="404"/>
      <c r="AF76" s="182"/>
      <c r="AG76" s="405"/>
      <c r="AH76" s="404" t="e">
        <f t="shared" si="46"/>
        <v>#N/A</v>
      </c>
      <c r="AI76" s="534"/>
      <c r="AJ76" s="404"/>
      <c r="AK76" s="182"/>
      <c r="AL76" s="405"/>
      <c r="AM76" s="404" t="e">
        <f t="shared" si="48"/>
        <v>#N/A</v>
      </c>
      <c r="AN76" s="534"/>
      <c r="AO76" s="404"/>
      <c r="AP76" s="182"/>
      <c r="AQ76" s="405"/>
      <c r="AR76" s="404" t="e">
        <f t="shared" si="50"/>
        <v>#N/A</v>
      </c>
      <c r="AS76" s="534"/>
      <c r="AT76" s="404"/>
      <c r="AU76" s="182"/>
      <c r="AV76" s="405"/>
      <c r="AW76" s="404" t="e">
        <f t="shared" si="52"/>
        <v>#N/A</v>
      </c>
      <c r="AX76" s="534"/>
    </row>
    <row r="77" spans="2:50">
      <c r="B77" s="533"/>
      <c r="C77" s="404">
        <v>11</v>
      </c>
      <c r="D77" s="404"/>
      <c r="E77" s="404"/>
      <c r="F77" s="404"/>
      <c r="G77" s="182"/>
      <c r="H77" s="598"/>
      <c r="I77" s="202"/>
      <c r="J77" s="202"/>
      <c r="K77" s="202"/>
      <c r="L77" s="588"/>
      <c r="M77" s="407" t="e">
        <f>RANK(K77, K$67:$K$81)</f>
        <v>#N/A</v>
      </c>
      <c r="N77" s="544"/>
      <c r="O77" s="544"/>
      <c r="P77" s="404"/>
      <c r="Q77" s="404"/>
      <c r="R77" s="404"/>
      <c r="S77" s="404" t="e">
        <f t="shared" si="55"/>
        <v>#N/A</v>
      </c>
      <c r="T77" s="534"/>
      <c r="U77" s="404"/>
      <c r="V77" s="404"/>
      <c r="W77" s="404"/>
      <c r="X77" s="404" t="e">
        <f t="shared" si="42"/>
        <v>#N/A</v>
      </c>
      <c r="Y77" s="534"/>
      <c r="Z77" s="404"/>
      <c r="AA77" s="404"/>
      <c r="AB77" s="404"/>
      <c r="AC77" s="404" t="e">
        <f t="shared" si="44"/>
        <v>#N/A</v>
      </c>
      <c r="AD77" s="534"/>
      <c r="AE77" s="404"/>
      <c r="AF77" s="404"/>
      <c r="AG77" s="404"/>
      <c r="AH77" s="404" t="e">
        <f t="shared" si="46"/>
        <v>#N/A</v>
      </c>
      <c r="AI77" s="534"/>
      <c r="AJ77" s="404"/>
      <c r="AK77" s="404"/>
      <c r="AL77" s="404"/>
      <c r="AM77" s="404" t="e">
        <f t="shared" si="48"/>
        <v>#N/A</v>
      </c>
      <c r="AN77" s="534"/>
      <c r="AO77" s="404"/>
      <c r="AP77" s="404"/>
      <c r="AQ77" s="404"/>
      <c r="AR77" s="404" t="e">
        <f t="shared" si="50"/>
        <v>#N/A</v>
      </c>
      <c r="AS77" s="534"/>
      <c r="AT77" s="404"/>
      <c r="AU77" s="404"/>
      <c r="AV77" s="404"/>
      <c r="AW77" s="404" t="e">
        <f t="shared" si="52"/>
        <v>#N/A</v>
      </c>
      <c r="AX77" s="534"/>
    </row>
    <row r="78" spans="2:50">
      <c r="B78" s="533"/>
      <c r="C78" s="404">
        <v>12</v>
      </c>
      <c r="D78" s="404"/>
      <c r="E78" s="404"/>
      <c r="F78" s="404"/>
      <c r="G78" s="182"/>
      <c r="H78" s="598"/>
      <c r="I78" s="202"/>
      <c r="J78" s="202"/>
      <c r="K78" s="202"/>
      <c r="L78" s="588"/>
      <c r="M78" s="407" t="e">
        <f>RANK(K78, K$67:$K$81)</f>
        <v>#N/A</v>
      </c>
      <c r="N78" s="544"/>
      <c r="O78" s="544"/>
      <c r="P78" s="404"/>
      <c r="Q78" s="404"/>
      <c r="R78" s="404"/>
      <c r="S78" s="404" t="e">
        <f t="shared" si="55"/>
        <v>#N/A</v>
      </c>
      <c r="T78" s="534"/>
      <c r="U78" s="404"/>
      <c r="V78" s="404"/>
      <c r="W78" s="404"/>
      <c r="X78" s="404" t="e">
        <f t="shared" si="42"/>
        <v>#N/A</v>
      </c>
      <c r="Y78" s="534"/>
      <c r="Z78" s="404"/>
      <c r="AA78" s="404"/>
      <c r="AB78" s="404"/>
      <c r="AC78" s="404" t="e">
        <f t="shared" si="44"/>
        <v>#N/A</v>
      </c>
      <c r="AD78" s="534"/>
      <c r="AE78" s="404"/>
      <c r="AF78" s="404"/>
      <c r="AG78" s="404"/>
      <c r="AH78" s="404" t="e">
        <f t="shared" si="46"/>
        <v>#N/A</v>
      </c>
      <c r="AI78" s="534"/>
      <c r="AJ78" s="404"/>
      <c r="AK78" s="404"/>
      <c r="AL78" s="404"/>
      <c r="AM78" s="404" t="e">
        <f t="shared" si="48"/>
        <v>#N/A</v>
      </c>
      <c r="AN78" s="534"/>
      <c r="AO78" s="404"/>
      <c r="AP78" s="404"/>
      <c r="AQ78" s="404"/>
      <c r="AR78" s="404" t="e">
        <f t="shared" si="50"/>
        <v>#N/A</v>
      </c>
      <c r="AS78" s="534"/>
      <c r="AT78" s="404"/>
      <c r="AU78" s="404"/>
      <c r="AV78" s="404"/>
      <c r="AW78" s="404" t="e">
        <f t="shared" si="52"/>
        <v>#N/A</v>
      </c>
      <c r="AX78" s="534"/>
    </row>
    <row r="79" spans="2:50">
      <c r="B79" s="533"/>
      <c r="C79" s="404">
        <v>13</v>
      </c>
      <c r="D79" s="404"/>
      <c r="E79" s="404"/>
      <c r="F79" s="404"/>
      <c r="G79" s="182"/>
      <c r="H79" s="598"/>
      <c r="I79" s="202"/>
      <c r="J79" s="202"/>
      <c r="K79" s="202"/>
      <c r="L79" s="588"/>
      <c r="M79" s="407" t="e">
        <f>RANK(K79, K$67:$K$81)</f>
        <v>#N/A</v>
      </c>
      <c r="N79" s="544"/>
      <c r="O79" s="544"/>
      <c r="P79" s="404"/>
      <c r="Q79" s="404"/>
      <c r="R79" s="404"/>
      <c r="S79" s="404" t="e">
        <f t="shared" si="55"/>
        <v>#N/A</v>
      </c>
      <c r="T79" s="534"/>
      <c r="U79" s="404"/>
      <c r="V79" s="404"/>
      <c r="W79" s="404"/>
      <c r="X79" s="404" t="e">
        <f t="shared" si="42"/>
        <v>#N/A</v>
      </c>
      <c r="Y79" s="534"/>
      <c r="Z79" s="404"/>
      <c r="AA79" s="404"/>
      <c r="AB79" s="404"/>
      <c r="AC79" s="404" t="e">
        <f t="shared" si="44"/>
        <v>#N/A</v>
      </c>
      <c r="AD79" s="534"/>
      <c r="AE79" s="404"/>
      <c r="AF79" s="404"/>
      <c r="AG79" s="404"/>
      <c r="AH79" s="404" t="e">
        <f t="shared" si="46"/>
        <v>#N/A</v>
      </c>
      <c r="AI79" s="534"/>
      <c r="AJ79" s="404"/>
      <c r="AK79" s="404"/>
      <c r="AL79" s="404"/>
      <c r="AM79" s="404" t="e">
        <f t="shared" si="48"/>
        <v>#N/A</v>
      </c>
      <c r="AN79" s="534"/>
      <c r="AO79" s="404"/>
      <c r="AP79" s="404"/>
      <c r="AQ79" s="404"/>
      <c r="AR79" s="404" t="e">
        <f t="shared" si="50"/>
        <v>#N/A</v>
      </c>
      <c r="AS79" s="534"/>
      <c r="AT79" s="404"/>
      <c r="AU79" s="404"/>
      <c r="AV79" s="404"/>
      <c r="AW79" s="404" t="e">
        <f t="shared" si="52"/>
        <v>#N/A</v>
      </c>
      <c r="AX79" s="534"/>
    </row>
    <row r="80" spans="2:50">
      <c r="B80" s="533"/>
      <c r="C80" s="404">
        <v>14</v>
      </c>
      <c r="D80" s="404"/>
      <c r="E80" s="404"/>
      <c r="F80" s="404"/>
      <c r="G80" s="182"/>
      <c r="H80" s="598"/>
      <c r="I80" s="202"/>
      <c r="J80" s="202"/>
      <c r="K80" s="202"/>
      <c r="L80" s="588"/>
      <c r="M80" s="407" t="e">
        <f>RANK(K80, K$67:$K$81)</f>
        <v>#N/A</v>
      </c>
      <c r="N80" s="544"/>
      <c r="O80" s="544"/>
      <c r="P80" s="404"/>
      <c r="Q80" s="404"/>
      <c r="R80" s="404"/>
      <c r="S80" s="404" t="e">
        <f t="shared" si="55"/>
        <v>#N/A</v>
      </c>
      <c r="T80" s="534"/>
      <c r="U80" s="404"/>
      <c r="V80" s="404"/>
      <c r="W80" s="404"/>
      <c r="X80" s="404" t="e">
        <f t="shared" si="42"/>
        <v>#N/A</v>
      </c>
      <c r="Y80" s="534"/>
      <c r="Z80" s="404"/>
      <c r="AA80" s="404"/>
      <c r="AB80" s="404"/>
      <c r="AC80" s="404" t="e">
        <f t="shared" si="44"/>
        <v>#N/A</v>
      </c>
      <c r="AD80" s="534"/>
      <c r="AE80" s="404"/>
      <c r="AF80" s="404"/>
      <c r="AG80" s="404"/>
      <c r="AH80" s="404" t="e">
        <f t="shared" si="46"/>
        <v>#N/A</v>
      </c>
      <c r="AI80" s="534"/>
      <c r="AJ80" s="404"/>
      <c r="AK80" s="404"/>
      <c r="AL80" s="404"/>
      <c r="AM80" s="404" t="e">
        <f t="shared" si="48"/>
        <v>#N/A</v>
      </c>
      <c r="AN80" s="534"/>
      <c r="AO80" s="404"/>
      <c r="AP80" s="404"/>
      <c r="AQ80" s="404"/>
      <c r="AR80" s="404" t="e">
        <f t="shared" si="50"/>
        <v>#N/A</v>
      </c>
      <c r="AS80" s="534"/>
      <c r="AT80" s="404"/>
      <c r="AU80" s="404"/>
      <c r="AV80" s="404"/>
      <c r="AW80" s="404" t="e">
        <f t="shared" si="52"/>
        <v>#N/A</v>
      </c>
      <c r="AX80" s="534"/>
    </row>
    <row r="81" spans="2:50">
      <c r="B81" s="533"/>
      <c r="C81" s="404">
        <v>15</v>
      </c>
      <c r="D81" s="404"/>
      <c r="E81" s="404"/>
      <c r="F81" s="404"/>
      <c r="G81" s="404"/>
      <c r="H81" s="599"/>
      <c r="I81" s="202"/>
      <c r="J81" s="202"/>
      <c r="K81" s="202"/>
      <c r="L81" s="589"/>
      <c r="M81" s="407" t="e">
        <f>RANK(K81, K$67:$K$81)</f>
        <v>#N/A</v>
      </c>
      <c r="N81" s="544"/>
      <c r="O81" s="544"/>
      <c r="P81" s="404"/>
      <c r="Q81" s="404"/>
      <c r="R81" s="404"/>
      <c r="S81" s="404" t="e">
        <f t="shared" si="55"/>
        <v>#N/A</v>
      </c>
      <c r="T81" s="534"/>
      <c r="U81" s="404"/>
      <c r="V81" s="404"/>
      <c r="W81" s="404"/>
      <c r="X81" s="404" t="e">
        <f t="shared" si="42"/>
        <v>#N/A</v>
      </c>
      <c r="Y81" s="534"/>
      <c r="Z81" s="404"/>
      <c r="AA81" s="404"/>
      <c r="AB81" s="404"/>
      <c r="AC81" s="404" t="e">
        <f t="shared" si="44"/>
        <v>#N/A</v>
      </c>
      <c r="AD81" s="534"/>
      <c r="AE81" s="404"/>
      <c r="AF81" s="404"/>
      <c r="AG81" s="404"/>
      <c r="AH81" s="404" t="e">
        <f t="shared" si="46"/>
        <v>#N/A</v>
      </c>
      <c r="AI81" s="534"/>
      <c r="AJ81" s="404"/>
      <c r="AK81" s="404"/>
      <c r="AL81" s="404"/>
      <c r="AM81" s="404" t="e">
        <f t="shared" si="48"/>
        <v>#N/A</v>
      </c>
      <c r="AN81" s="534"/>
      <c r="AO81" s="404"/>
      <c r="AP81" s="404"/>
      <c r="AQ81" s="404"/>
      <c r="AR81" s="404" t="e">
        <f t="shared" si="50"/>
        <v>#N/A</v>
      </c>
      <c r="AS81" s="534"/>
      <c r="AT81" s="404"/>
      <c r="AU81" s="404"/>
      <c r="AV81" s="404"/>
      <c r="AW81" s="404" t="e">
        <f t="shared" si="52"/>
        <v>#N/A</v>
      </c>
      <c r="AX81" s="534"/>
    </row>
    <row r="82" spans="2:50" ht="15.5">
      <c r="B82" s="555" t="s">
        <v>163</v>
      </c>
      <c r="C82" s="556"/>
      <c r="D82" s="556"/>
      <c r="E82" s="556"/>
      <c r="F82" s="556"/>
      <c r="G82" s="556"/>
      <c r="H82" s="557"/>
      <c r="I82" s="208"/>
      <c r="J82" s="208"/>
      <c r="K82" s="208"/>
      <c r="L82" s="208"/>
      <c r="M82" s="207"/>
      <c r="N82" s="559" t="s">
        <v>156</v>
      </c>
      <c r="O82" s="559" t="s">
        <v>105</v>
      </c>
      <c r="P82" s="554">
        <f>P62+7</f>
        <v>46379</v>
      </c>
      <c r="Q82" s="533"/>
      <c r="R82" s="533"/>
      <c r="S82" s="533"/>
      <c r="T82" s="533"/>
      <c r="U82" s="551">
        <f>P82+1</f>
        <v>46380</v>
      </c>
      <c r="V82" s="552"/>
      <c r="W82" s="552"/>
      <c r="X82" s="552"/>
      <c r="Y82" s="553"/>
      <c r="Z82" s="551">
        <f>U82+1</f>
        <v>46381</v>
      </c>
      <c r="AA82" s="552"/>
      <c r="AB82" s="552"/>
      <c r="AC82" s="552"/>
      <c r="AD82" s="553"/>
      <c r="AE82" s="551">
        <f>Z82+1</f>
        <v>46382</v>
      </c>
      <c r="AF82" s="552"/>
      <c r="AG82" s="552"/>
      <c r="AH82" s="552"/>
      <c r="AI82" s="553"/>
      <c r="AJ82" s="551">
        <f>AE82+1</f>
        <v>46383</v>
      </c>
      <c r="AK82" s="552"/>
      <c r="AL82" s="552"/>
      <c r="AM82" s="552"/>
      <c r="AN82" s="553"/>
      <c r="AO82" s="551">
        <f>AJ82+1</f>
        <v>46384</v>
      </c>
      <c r="AP82" s="552"/>
      <c r="AQ82" s="552"/>
      <c r="AR82" s="552"/>
      <c r="AS82" s="553"/>
      <c r="AT82" s="551"/>
      <c r="AU82" s="552"/>
      <c r="AV82" s="552"/>
      <c r="AW82" s="552"/>
      <c r="AX82" s="553"/>
    </row>
    <row r="83" spans="2:50" ht="15.5">
      <c r="B83" s="558"/>
      <c r="C83" s="558"/>
      <c r="D83" s="558"/>
      <c r="E83" s="558"/>
      <c r="F83" s="558"/>
      <c r="G83" s="558"/>
      <c r="H83" s="558"/>
      <c r="I83" s="205"/>
      <c r="J83" s="205"/>
      <c r="K83" s="205"/>
      <c r="L83" s="205"/>
      <c r="M83" s="206"/>
      <c r="N83" s="560"/>
      <c r="O83" s="560"/>
      <c r="P83" s="554" t="s">
        <v>334</v>
      </c>
      <c r="Q83" s="533"/>
      <c r="R83" s="533"/>
      <c r="S83" s="533"/>
      <c r="T83" s="533"/>
      <c r="U83" s="554" t="s">
        <v>335</v>
      </c>
      <c r="V83" s="533"/>
      <c r="W83" s="533"/>
      <c r="X83" s="533"/>
      <c r="Y83" s="533"/>
      <c r="Z83" s="554" t="s">
        <v>336</v>
      </c>
      <c r="AA83" s="533"/>
      <c r="AB83" s="533"/>
      <c r="AC83" s="533"/>
      <c r="AD83" s="533"/>
      <c r="AE83" s="554" t="s">
        <v>337</v>
      </c>
      <c r="AF83" s="533"/>
      <c r="AG83" s="533"/>
      <c r="AH83" s="533"/>
      <c r="AI83" s="533"/>
      <c r="AJ83" s="554" t="s">
        <v>338</v>
      </c>
      <c r="AK83" s="533"/>
      <c r="AL83" s="533"/>
      <c r="AM83" s="533"/>
      <c r="AN83" s="533"/>
      <c r="AO83" s="554" t="s">
        <v>339</v>
      </c>
      <c r="AP83" s="533"/>
      <c r="AQ83" s="533"/>
      <c r="AR83" s="533"/>
      <c r="AS83" s="533"/>
      <c r="AT83" s="554"/>
      <c r="AU83" s="533"/>
      <c r="AV83" s="533"/>
      <c r="AW83" s="533"/>
      <c r="AX83" s="533"/>
    </row>
    <row r="84" spans="2:50">
      <c r="B84" s="544" t="s">
        <v>649</v>
      </c>
      <c r="C84" s="544" t="s">
        <v>650</v>
      </c>
      <c r="D84" s="544"/>
      <c r="E84" s="544" t="s">
        <v>651</v>
      </c>
      <c r="F84" s="544"/>
      <c r="G84" s="544"/>
      <c r="H84" s="561" t="s">
        <v>652</v>
      </c>
      <c r="I84" s="583" t="s">
        <v>653</v>
      </c>
      <c r="J84" s="583"/>
      <c r="K84" s="583"/>
      <c r="L84" s="584" t="s">
        <v>652</v>
      </c>
      <c r="M84" s="567" t="s">
        <v>654</v>
      </c>
      <c r="N84" s="544"/>
      <c r="O84" s="544" t="s">
        <v>655</v>
      </c>
      <c r="P84" s="548" t="s">
        <v>656</v>
      </c>
      <c r="Q84" s="549"/>
      <c r="R84" s="549"/>
      <c r="S84" s="550"/>
      <c r="T84" s="544" t="s">
        <v>652</v>
      </c>
      <c r="U84" s="548" t="s">
        <v>656</v>
      </c>
      <c r="V84" s="549"/>
      <c r="W84" s="549"/>
      <c r="X84" s="550"/>
      <c r="Y84" s="544" t="s">
        <v>652</v>
      </c>
      <c r="Z84" s="548" t="s">
        <v>656</v>
      </c>
      <c r="AA84" s="549"/>
      <c r="AB84" s="549"/>
      <c r="AC84" s="550"/>
      <c r="AD84" s="544" t="s">
        <v>652</v>
      </c>
      <c r="AE84" s="548" t="s">
        <v>656</v>
      </c>
      <c r="AF84" s="549"/>
      <c r="AG84" s="549"/>
      <c r="AH84" s="550"/>
      <c r="AI84" s="544" t="s">
        <v>652</v>
      </c>
      <c r="AJ84" s="548" t="s">
        <v>656</v>
      </c>
      <c r="AK84" s="549"/>
      <c r="AL84" s="549"/>
      <c r="AM84" s="550"/>
      <c r="AN84" s="544" t="s">
        <v>652</v>
      </c>
      <c r="AO84" s="548" t="s">
        <v>656</v>
      </c>
      <c r="AP84" s="549"/>
      <c r="AQ84" s="549"/>
      <c r="AR84" s="550"/>
      <c r="AS84" s="544" t="s">
        <v>652</v>
      </c>
      <c r="AT84" s="548" t="s">
        <v>656</v>
      </c>
      <c r="AU84" s="549"/>
      <c r="AV84" s="549"/>
      <c r="AW84" s="550"/>
      <c r="AX84" s="544" t="s">
        <v>652</v>
      </c>
    </row>
    <row r="85" spans="2:50">
      <c r="B85" s="544"/>
      <c r="C85" s="544"/>
      <c r="D85" s="544"/>
      <c r="E85" s="544" t="s">
        <v>657</v>
      </c>
      <c r="F85" s="544"/>
      <c r="G85" s="544"/>
      <c r="H85" s="562"/>
      <c r="I85" s="583" t="s">
        <v>657</v>
      </c>
      <c r="J85" s="583"/>
      <c r="K85" s="583"/>
      <c r="L85" s="585"/>
      <c r="M85" s="568"/>
      <c r="N85" s="544"/>
      <c r="O85" s="544"/>
      <c r="P85" s="548" t="s">
        <v>658</v>
      </c>
      <c r="Q85" s="549"/>
      <c r="R85" s="549"/>
      <c r="S85" s="550"/>
      <c r="T85" s="544"/>
      <c r="U85" s="548" t="s">
        <v>658</v>
      </c>
      <c r="V85" s="549"/>
      <c r="W85" s="549"/>
      <c r="X85" s="550"/>
      <c r="Y85" s="544"/>
      <c r="Z85" s="548" t="s">
        <v>658</v>
      </c>
      <c r="AA85" s="549"/>
      <c r="AB85" s="549"/>
      <c r="AC85" s="550"/>
      <c r="AD85" s="544"/>
      <c r="AE85" s="548" t="s">
        <v>658</v>
      </c>
      <c r="AF85" s="549"/>
      <c r="AG85" s="549"/>
      <c r="AH85" s="550"/>
      <c r="AI85" s="544"/>
      <c r="AJ85" s="548" t="s">
        <v>658</v>
      </c>
      <c r="AK85" s="549"/>
      <c r="AL85" s="549"/>
      <c r="AM85" s="550"/>
      <c r="AN85" s="544"/>
      <c r="AO85" s="548" t="s">
        <v>658</v>
      </c>
      <c r="AP85" s="549"/>
      <c r="AQ85" s="549"/>
      <c r="AR85" s="550"/>
      <c r="AS85" s="544"/>
      <c r="AT85" s="548" t="s">
        <v>658</v>
      </c>
      <c r="AU85" s="549"/>
      <c r="AV85" s="549"/>
      <c r="AW85" s="550"/>
      <c r="AX85" s="544"/>
    </row>
    <row r="86" spans="2:50">
      <c r="B86" s="544"/>
      <c r="C86" s="544"/>
      <c r="D86" s="544"/>
      <c r="E86" s="403" t="s">
        <v>659</v>
      </c>
      <c r="F86" s="403" t="s">
        <v>660</v>
      </c>
      <c r="G86" s="403" t="s">
        <v>661</v>
      </c>
      <c r="H86" s="563"/>
      <c r="I86" s="402" t="s">
        <v>659</v>
      </c>
      <c r="J86" s="402" t="s">
        <v>660</v>
      </c>
      <c r="K86" s="402" t="s">
        <v>661</v>
      </c>
      <c r="L86" s="586"/>
      <c r="M86" s="569"/>
      <c r="N86" s="544"/>
      <c r="O86" s="544"/>
      <c r="P86" s="403" t="s">
        <v>659</v>
      </c>
      <c r="Q86" s="403" t="s">
        <v>660</v>
      </c>
      <c r="R86" s="403" t="s">
        <v>661</v>
      </c>
      <c r="S86" s="403" t="s">
        <v>654</v>
      </c>
      <c r="T86" s="544"/>
      <c r="U86" s="403" t="s">
        <v>659</v>
      </c>
      <c r="V86" s="403" t="s">
        <v>660</v>
      </c>
      <c r="W86" s="403" t="s">
        <v>661</v>
      </c>
      <c r="X86" s="403" t="s">
        <v>654</v>
      </c>
      <c r="Y86" s="544"/>
      <c r="Z86" s="403" t="s">
        <v>659</v>
      </c>
      <c r="AA86" s="403" t="s">
        <v>660</v>
      </c>
      <c r="AB86" s="403" t="s">
        <v>661</v>
      </c>
      <c r="AC86" s="403" t="s">
        <v>654</v>
      </c>
      <c r="AD86" s="544"/>
      <c r="AE86" s="403" t="s">
        <v>659</v>
      </c>
      <c r="AF86" s="403" t="s">
        <v>660</v>
      </c>
      <c r="AG86" s="403" t="s">
        <v>661</v>
      </c>
      <c r="AH86" s="403" t="s">
        <v>654</v>
      </c>
      <c r="AI86" s="544"/>
      <c r="AJ86" s="403" t="s">
        <v>659</v>
      </c>
      <c r="AK86" s="403" t="s">
        <v>660</v>
      </c>
      <c r="AL86" s="403" t="s">
        <v>661</v>
      </c>
      <c r="AM86" s="403" t="s">
        <v>654</v>
      </c>
      <c r="AN86" s="544"/>
      <c r="AO86" s="403" t="s">
        <v>659</v>
      </c>
      <c r="AP86" s="403" t="s">
        <v>660</v>
      </c>
      <c r="AQ86" s="403" t="s">
        <v>661</v>
      </c>
      <c r="AR86" s="403" t="s">
        <v>654</v>
      </c>
      <c r="AS86" s="544"/>
      <c r="AT86" s="403" t="s">
        <v>659</v>
      </c>
      <c r="AU86" s="403" t="s">
        <v>660</v>
      </c>
      <c r="AV86" s="403" t="s">
        <v>661</v>
      </c>
      <c r="AW86" s="403" t="s">
        <v>654</v>
      </c>
      <c r="AX86" s="544"/>
    </row>
    <row r="87" spans="2:50">
      <c r="B87" s="596" t="s">
        <v>663</v>
      </c>
      <c r="C87" s="404">
        <v>1</v>
      </c>
      <c r="D87" s="404" t="s">
        <v>371</v>
      </c>
      <c r="E87" s="404">
        <v>10</v>
      </c>
      <c r="F87" s="404">
        <v>1500</v>
      </c>
      <c r="G87" s="182">
        <v>150</v>
      </c>
      <c r="H87" s="597">
        <f>AVERAGE(G87:G101)</f>
        <v>167.14285714285714</v>
      </c>
      <c r="I87" s="408">
        <f>AVERAGE(P87,U87,Z87,AE87,AJ87,AO87,AT87)</f>
        <v>10</v>
      </c>
      <c r="J87" s="408">
        <f>AVERAGE(Q87,V87,AA87,AF87,AK87,AP87,AU87)</f>
        <v>1401.6857142857141</v>
      </c>
      <c r="K87" s="406">
        <f>AVERAGE(R87,W87,AB87,AG87,AL87,AQ87,AV87)</f>
        <v>140.16857142857143</v>
      </c>
      <c r="L87" s="587">
        <f>IFERROR(AVERAGE(K87:K101),"-")</f>
        <v>168.27661046416284</v>
      </c>
      <c r="M87" s="407">
        <f>RANK(K87, K$87:$K$101)</f>
        <v>5</v>
      </c>
      <c r="N87" s="544"/>
      <c r="O87" s="544"/>
      <c r="P87" s="182">
        <v>10</v>
      </c>
      <c r="Q87" s="182">
        <v>1411.200000000005</v>
      </c>
      <c r="R87" s="405">
        <v>141.12000000000052</v>
      </c>
      <c r="S87" s="404">
        <f>RANK(R87, R$87:R$101)</f>
        <v>5</v>
      </c>
      <c r="T87" s="534">
        <f>AVERAGE(R87:R101)</f>
        <v>171.9079076479079</v>
      </c>
      <c r="U87" s="182">
        <v>10</v>
      </c>
      <c r="V87" s="182">
        <v>1535.9999999999932</v>
      </c>
      <c r="W87" s="405">
        <v>153.59999999999931</v>
      </c>
      <c r="X87" s="404">
        <f t="shared" ref="X87:X101" si="56">RANK(W87, W$87:W$101)</f>
        <v>3</v>
      </c>
      <c r="Y87" s="534">
        <f t="shared" ref="Y87" si="57">AVERAGE(W87:W101)</f>
        <v>170.85176434676424</v>
      </c>
      <c r="Z87" s="182">
        <v>10</v>
      </c>
      <c r="AA87" s="182">
        <v>1365.599999999996</v>
      </c>
      <c r="AB87" s="405">
        <v>136.5599999999996</v>
      </c>
      <c r="AC87" s="404">
        <f t="shared" ref="AC87:AC101" si="58">RANK(AB87, AB$87:AB$101)</f>
        <v>5</v>
      </c>
      <c r="AD87" s="534">
        <f t="shared" ref="AD87" si="59">AVERAGE(AB87:AB101)</f>
        <v>171.01174603174596</v>
      </c>
      <c r="AE87" s="182">
        <v>10</v>
      </c>
      <c r="AF87" s="182">
        <v>1313.9999999999995</v>
      </c>
      <c r="AG87" s="405">
        <v>131.39999999999995</v>
      </c>
      <c r="AH87" s="404">
        <f t="shared" ref="AH87:AH101" si="60">RANK(AG87, AG$87:AG$101)</f>
        <v>6</v>
      </c>
      <c r="AI87" s="534">
        <f t="shared" ref="AI87" si="61">AVERAGE(AG87:AG101)</f>
        <v>166.27428571428575</v>
      </c>
      <c r="AJ87" s="182">
        <v>10</v>
      </c>
      <c r="AK87" s="182">
        <v>1208.9999999999995</v>
      </c>
      <c r="AL87" s="405">
        <v>120.89999999999995</v>
      </c>
      <c r="AM87" s="404">
        <f t="shared" ref="AM87:AM101" si="62">RANK(AL87, AL$87:AL$101)</f>
        <v>5</v>
      </c>
      <c r="AN87" s="534">
        <f t="shared" ref="AN87" si="63">AVERAGE(AL87:AL101)</f>
        <v>170.76457128305884</v>
      </c>
      <c r="AO87" s="182">
        <v>10</v>
      </c>
      <c r="AP87" s="182">
        <v>1380.0000000000005</v>
      </c>
      <c r="AQ87" s="405">
        <v>138.00000000000006</v>
      </c>
      <c r="AR87" s="404">
        <f t="shared" ref="AR87:AR101" si="64">RANK(AQ87, AQ$87:AQ$101)</f>
        <v>3</v>
      </c>
      <c r="AS87" s="534">
        <f t="shared" ref="AS87" si="65">AVERAGE(AQ87:AQ101)</f>
        <v>159.99589618456085</v>
      </c>
      <c r="AT87" s="182">
        <v>10</v>
      </c>
      <c r="AU87" s="182">
        <v>1596.0000000000057</v>
      </c>
      <c r="AV87" s="405">
        <v>159.60000000000056</v>
      </c>
      <c r="AW87" s="404">
        <f t="shared" ref="AW87:AW101" si="66">RANK(AV87, AV$87:AV$101)</f>
        <v>5</v>
      </c>
      <c r="AX87" s="534">
        <f t="shared" ref="AX87" si="67">AVERAGE(AV87:AV101)</f>
        <v>167.13010204081641</v>
      </c>
    </row>
    <row r="88" spans="2:50">
      <c r="B88" s="533"/>
      <c r="C88" s="404">
        <v>2</v>
      </c>
      <c r="D88" s="404" t="s">
        <v>372</v>
      </c>
      <c r="E88" s="404">
        <v>15</v>
      </c>
      <c r="F88" s="404">
        <v>1800</v>
      </c>
      <c r="G88" s="182">
        <v>120</v>
      </c>
      <c r="H88" s="598"/>
      <c r="I88" s="408">
        <f t="shared" ref="I88:K93" si="68">AVERAGE(P88,U88,Z88,AE88,AJ88,AO88,AT88)</f>
        <v>12.285714285714286</v>
      </c>
      <c r="J88" s="408">
        <f t="shared" si="68"/>
        <v>1808.4217687074827</v>
      </c>
      <c r="K88" s="406">
        <f t="shared" si="68"/>
        <v>147.59977324263036</v>
      </c>
      <c r="L88" s="588"/>
      <c r="M88" s="407">
        <f>RANK(K88, K$87:$K$101)</f>
        <v>3</v>
      </c>
      <c r="N88" s="544"/>
      <c r="O88" s="544"/>
      <c r="P88" s="404">
        <v>12</v>
      </c>
      <c r="Q88" s="182">
        <v>1830.6666666666667</v>
      </c>
      <c r="R88" s="405">
        <v>152.55555555555557</v>
      </c>
      <c r="S88" s="404">
        <f t="shared" ref="S88:S101" si="69">RANK(R88, R$87:R$101)</f>
        <v>3</v>
      </c>
      <c r="T88" s="534"/>
      <c r="U88" s="404">
        <v>12</v>
      </c>
      <c r="V88" s="182">
        <v>1696</v>
      </c>
      <c r="W88" s="405">
        <v>141.33333333333334</v>
      </c>
      <c r="X88" s="404">
        <f t="shared" si="56"/>
        <v>4</v>
      </c>
      <c r="Y88" s="534"/>
      <c r="Z88" s="404">
        <v>12</v>
      </c>
      <c r="AA88" s="182">
        <v>1880</v>
      </c>
      <c r="AB88" s="405">
        <v>156.66666666666666</v>
      </c>
      <c r="AC88" s="404">
        <f t="shared" si="58"/>
        <v>3</v>
      </c>
      <c r="AD88" s="534"/>
      <c r="AE88" s="404">
        <v>12</v>
      </c>
      <c r="AF88" s="182">
        <v>1673.9999999999995</v>
      </c>
      <c r="AG88" s="405">
        <v>139.49999999999997</v>
      </c>
      <c r="AH88" s="404">
        <f t="shared" si="60"/>
        <v>4</v>
      </c>
      <c r="AI88" s="534"/>
      <c r="AJ88" s="404">
        <v>12</v>
      </c>
      <c r="AK88" s="182">
        <v>1834.2857142857124</v>
      </c>
      <c r="AL88" s="405">
        <v>152.85714285714269</v>
      </c>
      <c r="AM88" s="404">
        <f t="shared" si="62"/>
        <v>3</v>
      </c>
      <c r="AN88" s="534"/>
      <c r="AO88" s="404">
        <v>14</v>
      </c>
      <c r="AP88" s="182">
        <v>1823.9999999999968</v>
      </c>
      <c r="AQ88" s="405">
        <v>130.28571428571405</v>
      </c>
      <c r="AR88" s="404">
        <f t="shared" si="64"/>
        <v>4</v>
      </c>
      <c r="AS88" s="534"/>
      <c r="AT88" s="404">
        <v>12</v>
      </c>
      <c r="AU88" s="182">
        <v>1920.000000000003</v>
      </c>
      <c r="AV88" s="405">
        <v>160.00000000000026</v>
      </c>
      <c r="AW88" s="404">
        <f t="shared" si="66"/>
        <v>3</v>
      </c>
      <c r="AX88" s="534"/>
    </row>
    <row r="89" spans="2:50">
      <c r="B89" s="533"/>
      <c r="C89" s="404">
        <v>3</v>
      </c>
      <c r="D89" s="404" t="s">
        <v>373</v>
      </c>
      <c r="E89" s="404">
        <v>15</v>
      </c>
      <c r="F89" s="404">
        <v>1800</v>
      </c>
      <c r="G89" s="182">
        <v>120</v>
      </c>
      <c r="H89" s="598"/>
      <c r="I89" s="408">
        <f t="shared" si="68"/>
        <v>12.285714285714286</v>
      </c>
      <c r="J89" s="408">
        <f t="shared" si="68"/>
        <v>1781.4863945578234</v>
      </c>
      <c r="K89" s="406">
        <f t="shared" si="68"/>
        <v>145.38010204081635</v>
      </c>
      <c r="L89" s="588"/>
      <c r="M89" s="407">
        <f>RANK(K89, K$87:$K$101)</f>
        <v>4</v>
      </c>
      <c r="N89" s="544"/>
      <c r="O89" s="544"/>
      <c r="P89" s="404">
        <v>12</v>
      </c>
      <c r="Q89" s="182">
        <v>1814.6666666666665</v>
      </c>
      <c r="R89" s="405">
        <v>151.2222222222222</v>
      </c>
      <c r="S89" s="404">
        <f t="shared" si="69"/>
        <v>4</v>
      </c>
      <c r="T89" s="534"/>
      <c r="U89" s="404">
        <v>12</v>
      </c>
      <c r="V89" s="182">
        <v>1686.6666666666636</v>
      </c>
      <c r="W89" s="405">
        <v>140.55555555555529</v>
      </c>
      <c r="X89" s="404">
        <f t="shared" si="56"/>
        <v>5</v>
      </c>
      <c r="Y89" s="534"/>
      <c r="Z89" s="404">
        <v>12</v>
      </c>
      <c r="AA89" s="182">
        <v>1878.6666666666665</v>
      </c>
      <c r="AB89" s="405">
        <v>156.55555555555554</v>
      </c>
      <c r="AC89" s="404">
        <f t="shared" si="58"/>
        <v>4</v>
      </c>
      <c r="AD89" s="534"/>
      <c r="AE89" s="404">
        <v>12</v>
      </c>
      <c r="AF89" s="182">
        <v>1592.9999999999993</v>
      </c>
      <c r="AG89" s="405">
        <v>132.74999999999994</v>
      </c>
      <c r="AH89" s="404">
        <f t="shared" si="60"/>
        <v>5</v>
      </c>
      <c r="AI89" s="534"/>
      <c r="AJ89" s="404">
        <v>12</v>
      </c>
      <c r="AK89" s="182">
        <v>1772.5714285714307</v>
      </c>
      <c r="AL89" s="405">
        <v>147.71428571428589</v>
      </c>
      <c r="AM89" s="404">
        <f t="shared" si="62"/>
        <v>4</v>
      </c>
      <c r="AN89" s="534"/>
      <c r="AO89" s="404">
        <v>14</v>
      </c>
      <c r="AP89" s="182">
        <v>1809.3333333333333</v>
      </c>
      <c r="AQ89" s="405">
        <v>129.23809523809524</v>
      </c>
      <c r="AR89" s="404">
        <f t="shared" si="64"/>
        <v>5</v>
      </c>
      <c r="AS89" s="534"/>
      <c r="AT89" s="404">
        <v>12</v>
      </c>
      <c r="AU89" s="182">
        <v>1915.500000000003</v>
      </c>
      <c r="AV89" s="405">
        <v>159.62500000000026</v>
      </c>
      <c r="AW89" s="404">
        <f t="shared" si="66"/>
        <v>4</v>
      </c>
      <c r="AX89" s="534"/>
    </row>
    <row r="90" spans="2:50">
      <c r="B90" s="533"/>
      <c r="C90" s="404">
        <v>4</v>
      </c>
      <c r="D90" s="404" t="s">
        <v>571</v>
      </c>
      <c r="E90" s="404">
        <v>5</v>
      </c>
      <c r="F90" s="404">
        <v>1500</v>
      </c>
      <c r="G90" s="182">
        <v>300</v>
      </c>
      <c r="H90" s="598"/>
      <c r="I90" s="408">
        <f t="shared" si="68"/>
        <v>6</v>
      </c>
      <c r="J90" s="408">
        <f t="shared" si="68"/>
        <v>1501.2145593536904</v>
      </c>
      <c r="K90" s="406">
        <f t="shared" si="68"/>
        <v>250.20242655894842</v>
      </c>
      <c r="L90" s="588"/>
      <c r="M90" s="407">
        <f>RANK(K90, K$87:$K$101)</f>
        <v>2</v>
      </c>
      <c r="N90" s="544"/>
      <c r="O90" s="544"/>
      <c r="P90" s="404">
        <v>6</v>
      </c>
      <c r="Q90" s="182">
        <v>1573.6363636363665</v>
      </c>
      <c r="R90" s="405">
        <v>262.27272727272776</v>
      </c>
      <c r="S90" s="404">
        <f t="shared" si="69"/>
        <v>2</v>
      </c>
      <c r="T90" s="534"/>
      <c r="U90" s="404">
        <v>6</v>
      </c>
      <c r="V90" s="182">
        <v>1509.23076923077</v>
      </c>
      <c r="W90" s="405">
        <v>251.53846153846166</v>
      </c>
      <c r="X90" s="404">
        <f t="shared" si="56"/>
        <v>2</v>
      </c>
      <c r="Y90" s="534"/>
      <c r="Z90" s="404">
        <v>6</v>
      </c>
      <c r="AA90" s="182">
        <v>1509.6000000000004</v>
      </c>
      <c r="AB90" s="405">
        <v>251.60000000000005</v>
      </c>
      <c r="AC90" s="404">
        <f t="shared" si="58"/>
        <v>2</v>
      </c>
      <c r="AD90" s="534"/>
      <c r="AE90" s="404">
        <v>6</v>
      </c>
      <c r="AF90" s="182">
        <v>1463.9999999999995</v>
      </c>
      <c r="AG90" s="405">
        <v>243.99999999999991</v>
      </c>
      <c r="AH90" s="404">
        <f t="shared" si="60"/>
        <v>2</v>
      </c>
      <c r="AI90" s="534"/>
      <c r="AJ90" s="404">
        <v>6</v>
      </c>
      <c r="AK90" s="182">
        <v>1600.0000000000016</v>
      </c>
      <c r="AL90" s="405">
        <v>266.66666666666691</v>
      </c>
      <c r="AM90" s="404">
        <f t="shared" si="62"/>
        <v>2</v>
      </c>
      <c r="AN90" s="534"/>
      <c r="AO90" s="404">
        <v>6</v>
      </c>
      <c r="AP90" s="182">
        <v>1510.4347826086957</v>
      </c>
      <c r="AQ90" s="405">
        <v>251.73913043478262</v>
      </c>
      <c r="AR90" s="404">
        <f t="shared" si="64"/>
        <v>2</v>
      </c>
      <c r="AS90" s="534"/>
      <c r="AT90" s="404">
        <v>6</v>
      </c>
      <c r="AU90" s="182">
        <v>1341.6000000000004</v>
      </c>
      <c r="AV90" s="405">
        <v>223.60000000000005</v>
      </c>
      <c r="AW90" s="404">
        <f t="shared" si="66"/>
        <v>2</v>
      </c>
      <c r="AX90" s="534"/>
    </row>
    <row r="91" spans="2:50">
      <c r="B91" s="533"/>
      <c r="C91" s="404">
        <v>5</v>
      </c>
      <c r="D91" s="404" t="s">
        <v>505</v>
      </c>
      <c r="E91" s="404">
        <v>5</v>
      </c>
      <c r="F91" s="404">
        <v>1500</v>
      </c>
      <c r="G91" s="182">
        <v>300</v>
      </c>
      <c r="H91" s="598"/>
      <c r="I91" s="408">
        <f t="shared" si="68"/>
        <v>5</v>
      </c>
      <c r="J91" s="408">
        <f t="shared" si="68"/>
        <v>1484.8774582560313</v>
      </c>
      <c r="K91" s="406">
        <f t="shared" si="68"/>
        <v>296.9754916512062</v>
      </c>
      <c r="L91" s="588"/>
      <c r="M91" s="407">
        <f>RANK(K91, K$87:$K$101)</f>
        <v>1</v>
      </c>
      <c r="N91" s="544"/>
      <c r="O91" s="544"/>
      <c r="P91" s="404">
        <v>5</v>
      </c>
      <c r="Q91" s="182">
        <v>1528.0000000000036</v>
      </c>
      <c r="R91" s="405">
        <v>305.6000000000007</v>
      </c>
      <c r="S91" s="404">
        <f t="shared" si="69"/>
        <v>1</v>
      </c>
      <c r="T91" s="534"/>
      <c r="U91" s="404">
        <v>5</v>
      </c>
      <c r="V91" s="182">
        <v>1501.8750000000018</v>
      </c>
      <c r="W91" s="405">
        <v>300.37500000000034</v>
      </c>
      <c r="X91" s="404">
        <f t="shared" si="56"/>
        <v>1</v>
      </c>
      <c r="Y91" s="534"/>
      <c r="Z91" s="404">
        <v>5</v>
      </c>
      <c r="AA91" s="182">
        <v>1552.0000000000016</v>
      </c>
      <c r="AB91" s="405">
        <v>310.40000000000032</v>
      </c>
      <c r="AC91" s="404">
        <f t="shared" si="58"/>
        <v>1</v>
      </c>
      <c r="AD91" s="534"/>
      <c r="AE91" s="404">
        <v>5</v>
      </c>
      <c r="AF91" s="182">
        <v>1473.6000000000004</v>
      </c>
      <c r="AG91" s="405">
        <v>294.72000000000008</v>
      </c>
      <c r="AH91" s="404">
        <f t="shared" si="60"/>
        <v>1</v>
      </c>
      <c r="AI91" s="534"/>
      <c r="AJ91" s="404">
        <v>5</v>
      </c>
      <c r="AK91" s="182">
        <v>1546.3636363636392</v>
      </c>
      <c r="AL91" s="405">
        <v>309.27272727272782</v>
      </c>
      <c r="AM91" s="404">
        <f t="shared" si="62"/>
        <v>1</v>
      </c>
      <c r="AN91" s="534"/>
      <c r="AO91" s="404">
        <v>5</v>
      </c>
      <c r="AP91" s="182">
        <v>1516.8750000000018</v>
      </c>
      <c r="AQ91" s="405">
        <v>303.37500000000034</v>
      </c>
      <c r="AR91" s="404">
        <f t="shared" si="64"/>
        <v>1</v>
      </c>
      <c r="AS91" s="534"/>
      <c r="AT91" s="404">
        <v>5</v>
      </c>
      <c r="AU91" s="182">
        <v>1275.4285714285702</v>
      </c>
      <c r="AV91" s="405">
        <v>255.08571428571403</v>
      </c>
      <c r="AW91" s="404">
        <f t="shared" si="66"/>
        <v>1</v>
      </c>
      <c r="AX91" s="534"/>
    </row>
    <row r="92" spans="2:50">
      <c r="B92" s="533"/>
      <c r="C92" s="404">
        <v>6</v>
      </c>
      <c r="D92" s="404" t="s">
        <v>574</v>
      </c>
      <c r="E92" s="404">
        <v>15</v>
      </c>
      <c r="F92" s="404">
        <v>1200</v>
      </c>
      <c r="G92" s="182">
        <v>80</v>
      </c>
      <c r="H92" s="598"/>
      <c r="I92" s="408">
        <f t="shared" si="68"/>
        <v>10.285714285714286</v>
      </c>
      <c r="J92" s="408">
        <f t="shared" si="68"/>
        <v>1215.4285714285722</v>
      </c>
      <c r="K92" s="406">
        <f t="shared" si="68"/>
        <v>119.02857142857148</v>
      </c>
      <c r="L92" s="588"/>
      <c r="M92" s="407">
        <f>RANK(K92, K$87:$K$101)</f>
        <v>6</v>
      </c>
      <c r="N92" s="544"/>
      <c r="O92" s="544"/>
      <c r="P92" s="404">
        <v>10</v>
      </c>
      <c r="Q92" s="182">
        <v>1100.9999999999995</v>
      </c>
      <c r="R92" s="405">
        <v>110.09999999999995</v>
      </c>
      <c r="S92" s="404">
        <f t="shared" si="69"/>
        <v>6</v>
      </c>
      <c r="T92" s="534"/>
      <c r="U92" s="404">
        <v>10</v>
      </c>
      <c r="V92" s="182">
        <v>1289.9999999999995</v>
      </c>
      <c r="W92" s="405">
        <v>128.99999999999994</v>
      </c>
      <c r="X92" s="404">
        <f t="shared" si="56"/>
        <v>6</v>
      </c>
      <c r="Y92" s="534"/>
      <c r="Z92" s="404">
        <v>10</v>
      </c>
      <c r="AA92" s="182">
        <v>1088.9999999999952</v>
      </c>
      <c r="AB92" s="405">
        <v>108.89999999999952</v>
      </c>
      <c r="AC92" s="404">
        <f t="shared" si="58"/>
        <v>6</v>
      </c>
      <c r="AD92" s="534"/>
      <c r="AE92" s="404">
        <v>10</v>
      </c>
      <c r="AF92" s="182">
        <v>1434.000000000005</v>
      </c>
      <c r="AG92" s="405">
        <v>143.40000000000049</v>
      </c>
      <c r="AH92" s="404">
        <f t="shared" si="60"/>
        <v>3</v>
      </c>
      <c r="AI92" s="534"/>
      <c r="AJ92" s="404">
        <v>10</v>
      </c>
      <c r="AK92" s="182">
        <v>1194.0000000000041</v>
      </c>
      <c r="AL92" s="405">
        <v>119.4000000000004</v>
      </c>
      <c r="AM92" s="404">
        <f t="shared" si="62"/>
        <v>6</v>
      </c>
      <c r="AN92" s="534"/>
      <c r="AO92" s="404">
        <v>12</v>
      </c>
      <c r="AP92" s="182">
        <v>1056.0000000000036</v>
      </c>
      <c r="AQ92" s="405">
        <v>88.000000000000298</v>
      </c>
      <c r="AR92" s="404">
        <f t="shared" si="64"/>
        <v>6</v>
      </c>
      <c r="AS92" s="534"/>
      <c r="AT92" s="404">
        <v>10</v>
      </c>
      <c r="AU92" s="182">
        <v>1343.9999999999975</v>
      </c>
      <c r="AV92" s="405">
        <v>134.39999999999975</v>
      </c>
      <c r="AW92" s="404">
        <f t="shared" si="66"/>
        <v>6</v>
      </c>
      <c r="AX92" s="534"/>
    </row>
    <row r="93" spans="2:50">
      <c r="B93" s="533"/>
      <c r="C93" s="404">
        <v>7</v>
      </c>
      <c r="D93" s="404" t="s">
        <v>665</v>
      </c>
      <c r="E93" s="404">
        <v>13</v>
      </c>
      <c r="F93" s="404">
        <v>1300</v>
      </c>
      <c r="G93" s="182">
        <v>100</v>
      </c>
      <c r="H93" s="598"/>
      <c r="I93" s="408">
        <f t="shared" si="68"/>
        <v>15</v>
      </c>
      <c r="J93" s="408">
        <f t="shared" si="68"/>
        <v>1178.7200534759359</v>
      </c>
      <c r="K93" s="406">
        <f t="shared" si="68"/>
        <v>78.581336898395719</v>
      </c>
      <c r="L93" s="588"/>
      <c r="M93" s="407">
        <f>RANK(K93, K$87:$K$101)</f>
        <v>7</v>
      </c>
      <c r="N93" s="544"/>
      <c r="O93" s="544"/>
      <c r="P93" s="404">
        <v>15</v>
      </c>
      <c r="Q93" s="182">
        <v>1207.2727272727268</v>
      </c>
      <c r="R93" s="405">
        <v>80.484848484848456</v>
      </c>
      <c r="S93" s="404">
        <f t="shared" si="69"/>
        <v>7</v>
      </c>
      <c r="T93" s="534"/>
      <c r="U93" s="404">
        <v>15</v>
      </c>
      <c r="V93" s="182">
        <v>1193.3999999999994</v>
      </c>
      <c r="W93" s="405">
        <v>79.55999999999996</v>
      </c>
      <c r="X93" s="404">
        <f t="shared" si="56"/>
        <v>7</v>
      </c>
      <c r="Y93" s="534"/>
      <c r="Z93" s="404">
        <v>15</v>
      </c>
      <c r="AA93" s="182">
        <v>1145.9999999999995</v>
      </c>
      <c r="AB93" s="405">
        <v>76.399999999999963</v>
      </c>
      <c r="AC93" s="404">
        <f t="shared" si="58"/>
        <v>7</v>
      </c>
      <c r="AD93" s="534"/>
      <c r="AE93" s="404">
        <v>15</v>
      </c>
      <c r="AF93" s="182">
        <v>1172.2499999999995</v>
      </c>
      <c r="AG93" s="405">
        <v>78.149999999999963</v>
      </c>
      <c r="AH93" s="404">
        <f t="shared" si="60"/>
        <v>7</v>
      </c>
      <c r="AI93" s="534"/>
      <c r="AJ93" s="404">
        <v>15</v>
      </c>
      <c r="AK93" s="182">
        <v>1178.1176470588234</v>
      </c>
      <c r="AL93" s="405">
        <v>78.541176470588226</v>
      </c>
      <c r="AM93" s="404">
        <f t="shared" si="62"/>
        <v>7</v>
      </c>
      <c r="AN93" s="534"/>
      <c r="AO93" s="404">
        <v>15</v>
      </c>
      <c r="AP93" s="182">
        <v>1189.9999999999995</v>
      </c>
      <c r="AQ93" s="405">
        <v>79.3333333333333</v>
      </c>
      <c r="AR93" s="404">
        <f t="shared" si="64"/>
        <v>7</v>
      </c>
      <c r="AS93" s="534"/>
      <c r="AT93" s="404">
        <v>15</v>
      </c>
      <c r="AU93" s="182">
        <v>1164.0000000000014</v>
      </c>
      <c r="AV93" s="405">
        <v>77.600000000000094</v>
      </c>
      <c r="AW93" s="404">
        <f t="shared" si="66"/>
        <v>7</v>
      </c>
      <c r="AX93" s="534"/>
    </row>
    <row r="94" spans="2:50">
      <c r="B94" s="533"/>
      <c r="C94" s="404">
        <v>8</v>
      </c>
      <c r="D94" s="404"/>
      <c r="E94" s="404"/>
      <c r="F94" s="404"/>
      <c r="G94" s="182"/>
      <c r="H94" s="598"/>
      <c r="I94" s="408"/>
      <c r="J94" s="408"/>
      <c r="K94" s="406"/>
      <c r="L94" s="588"/>
      <c r="M94" s="407" t="e">
        <f>RANK(K94, K$87:$K$101)</f>
        <v>#N/A</v>
      </c>
      <c r="N94" s="544"/>
      <c r="O94" s="544"/>
      <c r="P94" s="404"/>
      <c r="Q94" s="182"/>
      <c r="R94" s="405"/>
      <c r="S94" s="404" t="e">
        <f t="shared" si="69"/>
        <v>#N/A</v>
      </c>
      <c r="T94" s="534"/>
      <c r="U94" s="404"/>
      <c r="V94" s="182"/>
      <c r="W94" s="405"/>
      <c r="X94" s="404" t="e">
        <f t="shared" si="56"/>
        <v>#N/A</v>
      </c>
      <c r="Y94" s="534"/>
      <c r="Z94" s="404"/>
      <c r="AA94" s="182"/>
      <c r="AB94" s="405"/>
      <c r="AC94" s="404" t="e">
        <f t="shared" si="58"/>
        <v>#N/A</v>
      </c>
      <c r="AD94" s="534"/>
      <c r="AE94" s="404"/>
      <c r="AF94" s="182"/>
      <c r="AG94" s="405"/>
      <c r="AH94" s="404" t="e">
        <f t="shared" si="60"/>
        <v>#N/A</v>
      </c>
      <c r="AI94" s="534"/>
      <c r="AJ94" s="404"/>
      <c r="AK94" s="182"/>
      <c r="AL94" s="405"/>
      <c r="AM94" s="404" t="e">
        <f t="shared" si="62"/>
        <v>#N/A</v>
      </c>
      <c r="AN94" s="534"/>
      <c r="AO94" s="404"/>
      <c r="AP94" s="182"/>
      <c r="AQ94" s="405"/>
      <c r="AR94" s="404" t="e">
        <f t="shared" si="64"/>
        <v>#N/A</v>
      </c>
      <c r="AS94" s="534"/>
      <c r="AT94" s="404"/>
      <c r="AU94" s="182"/>
      <c r="AV94" s="405"/>
      <c r="AW94" s="404" t="e">
        <f t="shared" si="66"/>
        <v>#N/A</v>
      </c>
      <c r="AX94" s="534"/>
    </row>
    <row r="95" spans="2:50">
      <c r="B95" s="533"/>
      <c r="C95" s="404">
        <v>9</v>
      </c>
      <c r="D95" s="404"/>
      <c r="E95" s="404"/>
      <c r="F95" s="404"/>
      <c r="G95" s="182"/>
      <c r="H95" s="598"/>
      <c r="I95" s="408"/>
      <c r="J95" s="408"/>
      <c r="K95" s="406"/>
      <c r="L95" s="588"/>
      <c r="M95" s="407" t="e">
        <f>RANK(K95, K$87:$K$101)</f>
        <v>#N/A</v>
      </c>
      <c r="N95" s="544"/>
      <c r="O95" s="544"/>
      <c r="P95" s="404"/>
      <c r="Q95" s="182"/>
      <c r="R95" s="405"/>
      <c r="S95" s="404" t="e">
        <f t="shared" si="69"/>
        <v>#N/A</v>
      </c>
      <c r="T95" s="534"/>
      <c r="U95" s="404"/>
      <c r="V95" s="182"/>
      <c r="W95" s="405"/>
      <c r="X95" s="404" t="e">
        <f t="shared" si="56"/>
        <v>#N/A</v>
      </c>
      <c r="Y95" s="534"/>
      <c r="Z95" s="404"/>
      <c r="AA95" s="182"/>
      <c r="AB95" s="405"/>
      <c r="AC95" s="404" t="e">
        <f t="shared" si="58"/>
        <v>#N/A</v>
      </c>
      <c r="AD95" s="534"/>
      <c r="AE95" s="404"/>
      <c r="AF95" s="182"/>
      <c r="AG95" s="405"/>
      <c r="AH95" s="404" t="e">
        <f t="shared" si="60"/>
        <v>#N/A</v>
      </c>
      <c r="AI95" s="534"/>
      <c r="AJ95" s="404"/>
      <c r="AK95" s="182"/>
      <c r="AL95" s="405"/>
      <c r="AM95" s="404" t="e">
        <f t="shared" si="62"/>
        <v>#N/A</v>
      </c>
      <c r="AN95" s="534"/>
      <c r="AO95" s="404"/>
      <c r="AP95" s="182"/>
      <c r="AQ95" s="405"/>
      <c r="AR95" s="404" t="e">
        <f t="shared" si="64"/>
        <v>#N/A</v>
      </c>
      <c r="AS95" s="534"/>
      <c r="AT95" s="404"/>
      <c r="AU95" s="182"/>
      <c r="AV95" s="405"/>
      <c r="AW95" s="404" t="e">
        <f t="shared" si="66"/>
        <v>#N/A</v>
      </c>
      <c r="AX95" s="534"/>
    </row>
    <row r="96" spans="2:50">
      <c r="B96" s="533"/>
      <c r="C96" s="404">
        <v>10</v>
      </c>
      <c r="D96" s="404"/>
      <c r="E96" s="404"/>
      <c r="F96" s="404"/>
      <c r="G96" s="182"/>
      <c r="H96" s="598"/>
      <c r="I96" s="408"/>
      <c r="J96" s="408"/>
      <c r="K96" s="406"/>
      <c r="L96" s="588"/>
      <c r="M96" s="407" t="e">
        <f>RANK(K96, K$87:$K$101)</f>
        <v>#N/A</v>
      </c>
      <c r="N96" s="544"/>
      <c r="O96" s="544"/>
      <c r="P96" s="404"/>
      <c r="Q96" s="182"/>
      <c r="R96" s="405"/>
      <c r="S96" s="404" t="e">
        <f t="shared" si="69"/>
        <v>#N/A</v>
      </c>
      <c r="T96" s="534"/>
      <c r="U96" s="404"/>
      <c r="V96" s="182"/>
      <c r="W96" s="405"/>
      <c r="X96" s="404" t="e">
        <f t="shared" si="56"/>
        <v>#N/A</v>
      </c>
      <c r="Y96" s="534"/>
      <c r="Z96" s="404"/>
      <c r="AA96" s="182"/>
      <c r="AB96" s="405"/>
      <c r="AC96" s="404" t="e">
        <f t="shared" si="58"/>
        <v>#N/A</v>
      </c>
      <c r="AD96" s="534"/>
      <c r="AE96" s="404"/>
      <c r="AF96" s="182"/>
      <c r="AG96" s="405"/>
      <c r="AH96" s="404" t="e">
        <f t="shared" si="60"/>
        <v>#N/A</v>
      </c>
      <c r="AI96" s="534"/>
      <c r="AJ96" s="404"/>
      <c r="AK96" s="182"/>
      <c r="AL96" s="405"/>
      <c r="AM96" s="404" t="e">
        <f t="shared" si="62"/>
        <v>#N/A</v>
      </c>
      <c r="AN96" s="534"/>
      <c r="AO96" s="404"/>
      <c r="AP96" s="182"/>
      <c r="AQ96" s="405"/>
      <c r="AR96" s="404" t="e">
        <f t="shared" si="64"/>
        <v>#N/A</v>
      </c>
      <c r="AS96" s="534"/>
      <c r="AT96" s="404"/>
      <c r="AU96" s="182"/>
      <c r="AV96" s="405"/>
      <c r="AW96" s="404" t="e">
        <f t="shared" si="66"/>
        <v>#N/A</v>
      </c>
      <c r="AX96" s="534"/>
    </row>
    <row r="97" spans="2:50">
      <c r="B97" s="533"/>
      <c r="C97" s="404">
        <v>11</v>
      </c>
      <c r="D97" s="404"/>
      <c r="E97" s="404"/>
      <c r="F97" s="404"/>
      <c r="G97" s="182"/>
      <c r="H97" s="598"/>
      <c r="I97" s="202"/>
      <c r="J97" s="202"/>
      <c r="K97" s="202"/>
      <c r="L97" s="588"/>
      <c r="M97" s="407" t="e">
        <f>RANK(K97, K$87:$K$101)</f>
        <v>#N/A</v>
      </c>
      <c r="N97" s="544"/>
      <c r="O97" s="544"/>
      <c r="P97" s="404"/>
      <c r="Q97" s="404"/>
      <c r="R97" s="404"/>
      <c r="S97" s="404" t="e">
        <f t="shared" si="69"/>
        <v>#N/A</v>
      </c>
      <c r="T97" s="534"/>
      <c r="U97" s="404"/>
      <c r="V97" s="404"/>
      <c r="W97" s="404"/>
      <c r="X97" s="404" t="e">
        <f t="shared" si="56"/>
        <v>#N/A</v>
      </c>
      <c r="Y97" s="534"/>
      <c r="Z97" s="404"/>
      <c r="AA97" s="404"/>
      <c r="AB97" s="404"/>
      <c r="AC97" s="404" t="e">
        <f t="shared" si="58"/>
        <v>#N/A</v>
      </c>
      <c r="AD97" s="534"/>
      <c r="AE97" s="404"/>
      <c r="AF97" s="404"/>
      <c r="AG97" s="404"/>
      <c r="AH97" s="404" t="e">
        <f t="shared" si="60"/>
        <v>#N/A</v>
      </c>
      <c r="AI97" s="534"/>
      <c r="AJ97" s="404"/>
      <c r="AK97" s="404"/>
      <c r="AL97" s="404"/>
      <c r="AM97" s="404" t="e">
        <f t="shared" si="62"/>
        <v>#N/A</v>
      </c>
      <c r="AN97" s="534"/>
      <c r="AO97" s="404"/>
      <c r="AP97" s="404"/>
      <c r="AQ97" s="404"/>
      <c r="AR97" s="404" t="e">
        <f t="shared" si="64"/>
        <v>#N/A</v>
      </c>
      <c r="AS97" s="534"/>
      <c r="AT97" s="404"/>
      <c r="AU97" s="404"/>
      <c r="AV97" s="404"/>
      <c r="AW97" s="404" t="e">
        <f t="shared" si="66"/>
        <v>#N/A</v>
      </c>
      <c r="AX97" s="534"/>
    </row>
    <row r="98" spans="2:50">
      <c r="B98" s="533"/>
      <c r="C98" s="404">
        <v>12</v>
      </c>
      <c r="D98" s="404"/>
      <c r="E98" s="404"/>
      <c r="F98" s="404"/>
      <c r="G98" s="182"/>
      <c r="H98" s="598"/>
      <c r="I98" s="202"/>
      <c r="J98" s="202"/>
      <c r="K98" s="202"/>
      <c r="L98" s="588"/>
      <c r="M98" s="407" t="e">
        <f>RANK(K98, K$87:$K$101)</f>
        <v>#N/A</v>
      </c>
      <c r="N98" s="544"/>
      <c r="O98" s="544"/>
      <c r="P98" s="404"/>
      <c r="Q98" s="404"/>
      <c r="R98" s="404"/>
      <c r="S98" s="404" t="e">
        <f t="shared" si="69"/>
        <v>#N/A</v>
      </c>
      <c r="T98" s="534"/>
      <c r="U98" s="404"/>
      <c r="V98" s="404"/>
      <c r="W98" s="404"/>
      <c r="X98" s="404" t="e">
        <f t="shared" si="56"/>
        <v>#N/A</v>
      </c>
      <c r="Y98" s="534"/>
      <c r="Z98" s="404"/>
      <c r="AA98" s="404"/>
      <c r="AB98" s="404"/>
      <c r="AC98" s="404" t="e">
        <f t="shared" si="58"/>
        <v>#N/A</v>
      </c>
      <c r="AD98" s="534"/>
      <c r="AE98" s="404"/>
      <c r="AF98" s="404"/>
      <c r="AG98" s="404"/>
      <c r="AH98" s="404" t="e">
        <f t="shared" si="60"/>
        <v>#N/A</v>
      </c>
      <c r="AI98" s="534"/>
      <c r="AJ98" s="404"/>
      <c r="AK98" s="404"/>
      <c r="AL98" s="404"/>
      <c r="AM98" s="404" t="e">
        <f t="shared" si="62"/>
        <v>#N/A</v>
      </c>
      <c r="AN98" s="534"/>
      <c r="AO98" s="404"/>
      <c r="AP98" s="404"/>
      <c r="AQ98" s="404"/>
      <c r="AR98" s="404" t="e">
        <f t="shared" si="64"/>
        <v>#N/A</v>
      </c>
      <c r="AS98" s="534"/>
      <c r="AT98" s="404"/>
      <c r="AU98" s="404"/>
      <c r="AV98" s="404"/>
      <c r="AW98" s="404" t="e">
        <f t="shared" si="66"/>
        <v>#N/A</v>
      </c>
      <c r="AX98" s="534"/>
    </row>
    <row r="99" spans="2:50">
      <c r="B99" s="533"/>
      <c r="C99" s="404">
        <v>13</v>
      </c>
      <c r="D99" s="404"/>
      <c r="E99" s="404"/>
      <c r="F99" s="404"/>
      <c r="G99" s="182"/>
      <c r="H99" s="598"/>
      <c r="I99" s="202"/>
      <c r="J99" s="202"/>
      <c r="K99" s="202"/>
      <c r="L99" s="588"/>
      <c r="M99" s="407" t="e">
        <f>RANK(K99, K$87:$K$101)</f>
        <v>#N/A</v>
      </c>
      <c r="N99" s="544"/>
      <c r="O99" s="544"/>
      <c r="P99" s="404"/>
      <c r="Q99" s="404"/>
      <c r="R99" s="404"/>
      <c r="S99" s="404" t="e">
        <f t="shared" si="69"/>
        <v>#N/A</v>
      </c>
      <c r="T99" s="534"/>
      <c r="U99" s="404"/>
      <c r="V99" s="404"/>
      <c r="W99" s="404"/>
      <c r="X99" s="404" t="e">
        <f t="shared" si="56"/>
        <v>#N/A</v>
      </c>
      <c r="Y99" s="534"/>
      <c r="Z99" s="404"/>
      <c r="AA99" s="404"/>
      <c r="AB99" s="404"/>
      <c r="AC99" s="404" t="e">
        <f t="shared" si="58"/>
        <v>#N/A</v>
      </c>
      <c r="AD99" s="534"/>
      <c r="AE99" s="404"/>
      <c r="AF99" s="404"/>
      <c r="AG99" s="404"/>
      <c r="AH99" s="404" t="e">
        <f t="shared" si="60"/>
        <v>#N/A</v>
      </c>
      <c r="AI99" s="534"/>
      <c r="AJ99" s="404"/>
      <c r="AK99" s="404"/>
      <c r="AL99" s="404"/>
      <c r="AM99" s="404" t="e">
        <f t="shared" si="62"/>
        <v>#N/A</v>
      </c>
      <c r="AN99" s="534"/>
      <c r="AO99" s="404"/>
      <c r="AP99" s="404"/>
      <c r="AQ99" s="404"/>
      <c r="AR99" s="404" t="e">
        <f t="shared" si="64"/>
        <v>#N/A</v>
      </c>
      <c r="AS99" s="534"/>
      <c r="AT99" s="404"/>
      <c r="AU99" s="404"/>
      <c r="AV99" s="404"/>
      <c r="AW99" s="404" t="e">
        <f t="shared" si="66"/>
        <v>#N/A</v>
      </c>
      <c r="AX99" s="534"/>
    </row>
    <row r="100" spans="2:50">
      <c r="B100" s="533"/>
      <c r="C100" s="404">
        <v>14</v>
      </c>
      <c r="D100" s="404"/>
      <c r="E100" s="404"/>
      <c r="F100" s="404"/>
      <c r="G100" s="182"/>
      <c r="H100" s="598"/>
      <c r="I100" s="202"/>
      <c r="J100" s="202"/>
      <c r="K100" s="202"/>
      <c r="L100" s="588"/>
      <c r="M100" s="407" t="e">
        <f>RANK(K100, K$87:$K$101)</f>
        <v>#N/A</v>
      </c>
      <c r="N100" s="544"/>
      <c r="O100" s="544"/>
      <c r="P100" s="404"/>
      <c r="Q100" s="404"/>
      <c r="R100" s="404"/>
      <c r="S100" s="404" t="e">
        <f t="shared" si="69"/>
        <v>#N/A</v>
      </c>
      <c r="T100" s="534"/>
      <c r="U100" s="404"/>
      <c r="V100" s="404"/>
      <c r="W100" s="404"/>
      <c r="X100" s="404" t="e">
        <f t="shared" si="56"/>
        <v>#N/A</v>
      </c>
      <c r="Y100" s="534"/>
      <c r="Z100" s="404"/>
      <c r="AA100" s="404"/>
      <c r="AB100" s="404"/>
      <c r="AC100" s="404" t="e">
        <f t="shared" si="58"/>
        <v>#N/A</v>
      </c>
      <c r="AD100" s="534"/>
      <c r="AE100" s="404"/>
      <c r="AF100" s="404"/>
      <c r="AG100" s="404"/>
      <c r="AH100" s="404" t="e">
        <f t="shared" si="60"/>
        <v>#N/A</v>
      </c>
      <c r="AI100" s="534"/>
      <c r="AJ100" s="404"/>
      <c r="AK100" s="404"/>
      <c r="AL100" s="404"/>
      <c r="AM100" s="404" t="e">
        <f t="shared" si="62"/>
        <v>#N/A</v>
      </c>
      <c r="AN100" s="534"/>
      <c r="AO100" s="404"/>
      <c r="AP100" s="404"/>
      <c r="AQ100" s="404"/>
      <c r="AR100" s="404" t="e">
        <f t="shared" si="64"/>
        <v>#N/A</v>
      </c>
      <c r="AS100" s="534"/>
      <c r="AT100" s="404"/>
      <c r="AU100" s="404"/>
      <c r="AV100" s="404"/>
      <c r="AW100" s="404" t="e">
        <f t="shared" si="66"/>
        <v>#N/A</v>
      </c>
      <c r="AX100" s="534"/>
    </row>
    <row r="101" spans="2:50">
      <c r="B101" s="533"/>
      <c r="C101" s="404">
        <v>15</v>
      </c>
      <c r="D101" s="404"/>
      <c r="E101" s="404"/>
      <c r="F101" s="404"/>
      <c r="G101" s="404"/>
      <c r="H101" s="599"/>
      <c r="I101" s="202"/>
      <c r="J101" s="202"/>
      <c r="K101" s="202"/>
      <c r="L101" s="589"/>
      <c r="M101" s="408" t="e">
        <f>RANK(K101, K$87:$K$101)</f>
        <v>#N/A</v>
      </c>
      <c r="N101" s="544"/>
      <c r="O101" s="544"/>
      <c r="P101" s="404"/>
      <c r="Q101" s="404"/>
      <c r="R101" s="404"/>
      <c r="S101" s="404" t="e">
        <f t="shared" si="69"/>
        <v>#N/A</v>
      </c>
      <c r="T101" s="534"/>
      <c r="U101" s="404"/>
      <c r="V101" s="404"/>
      <c r="W101" s="404"/>
      <c r="X101" s="404" t="e">
        <f t="shared" si="56"/>
        <v>#N/A</v>
      </c>
      <c r="Y101" s="534"/>
      <c r="Z101" s="404"/>
      <c r="AA101" s="404"/>
      <c r="AB101" s="404"/>
      <c r="AC101" s="404" t="e">
        <f t="shared" si="58"/>
        <v>#N/A</v>
      </c>
      <c r="AD101" s="534"/>
      <c r="AE101" s="404"/>
      <c r="AF101" s="404"/>
      <c r="AG101" s="404"/>
      <c r="AH101" s="404" t="e">
        <f t="shared" si="60"/>
        <v>#N/A</v>
      </c>
      <c r="AI101" s="534"/>
      <c r="AJ101" s="404"/>
      <c r="AK101" s="404"/>
      <c r="AL101" s="404"/>
      <c r="AM101" s="404" t="e">
        <f t="shared" si="62"/>
        <v>#N/A</v>
      </c>
      <c r="AN101" s="534"/>
      <c r="AO101" s="404"/>
      <c r="AP101" s="404"/>
      <c r="AQ101" s="404"/>
      <c r="AR101" s="404" t="e">
        <f t="shared" si="64"/>
        <v>#N/A</v>
      </c>
      <c r="AS101" s="534"/>
      <c r="AT101" s="404"/>
      <c r="AU101" s="404"/>
      <c r="AV101" s="404"/>
      <c r="AW101" s="404" t="e">
        <f t="shared" si="66"/>
        <v>#N/A</v>
      </c>
      <c r="AX101" s="534"/>
    </row>
    <row r="102" spans="2:50" ht="15.5">
      <c r="B102" s="555" t="s">
        <v>163</v>
      </c>
      <c r="C102" s="556"/>
      <c r="D102" s="556"/>
      <c r="E102" s="556"/>
      <c r="F102" s="556"/>
      <c r="G102" s="556"/>
      <c r="H102" s="557"/>
      <c r="I102" s="208"/>
      <c r="J102" s="208"/>
      <c r="K102" s="208"/>
      <c r="L102" s="208"/>
      <c r="M102" s="207"/>
      <c r="N102" s="559" t="s">
        <v>156</v>
      </c>
      <c r="O102" s="559" t="s">
        <v>105</v>
      </c>
      <c r="P102" s="554">
        <f>P82+7</f>
        <v>46386</v>
      </c>
      <c r="Q102" s="533"/>
      <c r="R102" s="533"/>
      <c r="S102" s="533"/>
      <c r="T102" s="533"/>
      <c r="U102" s="551">
        <f>P102+1</f>
        <v>46387</v>
      </c>
      <c r="V102" s="552"/>
      <c r="W102" s="552"/>
      <c r="X102" s="552"/>
      <c r="Y102" s="553"/>
      <c r="Z102" s="551">
        <f>U102+1</f>
        <v>46388</v>
      </c>
      <c r="AA102" s="552"/>
      <c r="AB102" s="552"/>
      <c r="AC102" s="552"/>
      <c r="AD102" s="553"/>
      <c r="AE102" s="551">
        <f>Z102+1</f>
        <v>46389</v>
      </c>
      <c r="AF102" s="552"/>
      <c r="AG102" s="552"/>
      <c r="AH102" s="552"/>
      <c r="AI102" s="553"/>
      <c r="AJ102" s="551">
        <f>AE102+1</f>
        <v>46390</v>
      </c>
      <c r="AK102" s="552"/>
      <c r="AL102" s="552"/>
      <c r="AM102" s="552"/>
      <c r="AN102" s="553"/>
      <c r="AO102" s="551">
        <f>AJ102+1</f>
        <v>46391</v>
      </c>
      <c r="AP102" s="552"/>
      <c r="AQ102" s="552"/>
      <c r="AR102" s="552"/>
      <c r="AS102" s="553"/>
      <c r="AT102" s="551">
        <f>AO102+1</f>
        <v>46392</v>
      </c>
      <c r="AU102" s="552"/>
      <c r="AV102" s="552"/>
      <c r="AW102" s="552"/>
      <c r="AX102" s="553"/>
    </row>
    <row r="103" spans="2:50" ht="15.5">
      <c r="B103" s="558"/>
      <c r="C103" s="558"/>
      <c r="D103" s="558"/>
      <c r="E103" s="558"/>
      <c r="F103" s="558"/>
      <c r="G103" s="558"/>
      <c r="H103" s="558"/>
      <c r="I103" s="205"/>
      <c r="J103" s="205"/>
      <c r="K103" s="205"/>
      <c r="L103" s="205"/>
      <c r="M103" s="206"/>
      <c r="N103" s="560"/>
      <c r="O103" s="560"/>
      <c r="P103" s="554" t="s">
        <v>158</v>
      </c>
      <c r="Q103" s="533"/>
      <c r="R103" s="533"/>
      <c r="S103" s="533"/>
      <c r="T103" s="533"/>
      <c r="U103" s="554" t="s">
        <v>114</v>
      </c>
      <c r="V103" s="533"/>
      <c r="W103" s="533"/>
      <c r="X103" s="533"/>
      <c r="Y103" s="533"/>
      <c r="Z103" s="554" t="s">
        <v>159</v>
      </c>
      <c r="AA103" s="533"/>
      <c r="AB103" s="533"/>
      <c r="AC103" s="533"/>
      <c r="AD103" s="533"/>
      <c r="AE103" s="554" t="s">
        <v>157</v>
      </c>
      <c r="AF103" s="533"/>
      <c r="AG103" s="533"/>
      <c r="AH103" s="533"/>
      <c r="AI103" s="533"/>
      <c r="AJ103" s="554" t="s">
        <v>160</v>
      </c>
      <c r="AK103" s="533"/>
      <c r="AL103" s="533"/>
      <c r="AM103" s="533"/>
      <c r="AN103" s="533"/>
      <c r="AO103" s="554" t="s">
        <v>115</v>
      </c>
      <c r="AP103" s="533"/>
      <c r="AQ103" s="533"/>
      <c r="AR103" s="533"/>
      <c r="AS103" s="533"/>
      <c r="AT103" s="554" t="s">
        <v>162</v>
      </c>
      <c r="AU103" s="533"/>
      <c r="AV103" s="533"/>
      <c r="AW103" s="533"/>
      <c r="AX103" s="533"/>
    </row>
    <row r="104" spans="2:50">
      <c r="B104" s="544" t="s">
        <v>886</v>
      </c>
      <c r="C104" s="544" t="s">
        <v>887</v>
      </c>
      <c r="D104" s="544"/>
      <c r="E104" s="544" t="s">
        <v>888</v>
      </c>
      <c r="F104" s="544"/>
      <c r="G104" s="544"/>
      <c r="H104" s="561" t="s">
        <v>889</v>
      </c>
      <c r="I104" s="544" t="s">
        <v>890</v>
      </c>
      <c r="J104" s="544"/>
      <c r="K104" s="544"/>
      <c r="L104" s="561" t="s">
        <v>889</v>
      </c>
      <c r="M104" s="559" t="s">
        <v>891</v>
      </c>
      <c r="N104" s="544"/>
      <c r="O104" s="544" t="s">
        <v>892</v>
      </c>
      <c r="P104" s="548" t="s">
        <v>893</v>
      </c>
      <c r="Q104" s="549"/>
      <c r="R104" s="549"/>
      <c r="S104" s="550"/>
      <c r="T104" s="544" t="s">
        <v>889</v>
      </c>
      <c r="U104" s="548" t="s">
        <v>893</v>
      </c>
      <c r="V104" s="549"/>
      <c r="W104" s="549"/>
      <c r="X104" s="550"/>
      <c r="Y104" s="544" t="s">
        <v>889</v>
      </c>
      <c r="Z104" s="548" t="s">
        <v>423</v>
      </c>
      <c r="AA104" s="549"/>
      <c r="AB104" s="549"/>
      <c r="AC104" s="550"/>
      <c r="AD104" s="544" t="s">
        <v>421</v>
      </c>
      <c r="AE104" s="548" t="s">
        <v>423</v>
      </c>
      <c r="AF104" s="549"/>
      <c r="AG104" s="549"/>
      <c r="AH104" s="550"/>
      <c r="AI104" s="544" t="s">
        <v>421</v>
      </c>
      <c r="AJ104" s="548" t="s">
        <v>423</v>
      </c>
      <c r="AK104" s="549"/>
      <c r="AL104" s="549"/>
      <c r="AM104" s="550"/>
      <c r="AN104" s="544" t="s">
        <v>421</v>
      </c>
      <c r="AO104" s="548" t="s">
        <v>423</v>
      </c>
      <c r="AP104" s="549"/>
      <c r="AQ104" s="549"/>
      <c r="AR104" s="550"/>
      <c r="AS104" s="544" t="s">
        <v>421</v>
      </c>
      <c r="AT104" s="548" t="s">
        <v>423</v>
      </c>
      <c r="AU104" s="549"/>
      <c r="AV104" s="549"/>
      <c r="AW104" s="550"/>
      <c r="AX104" s="544" t="s">
        <v>421</v>
      </c>
    </row>
    <row r="105" spans="2:50">
      <c r="B105" s="544"/>
      <c r="C105" s="544"/>
      <c r="D105" s="544"/>
      <c r="E105" s="544" t="s">
        <v>894</v>
      </c>
      <c r="F105" s="544"/>
      <c r="G105" s="544"/>
      <c r="H105" s="562"/>
      <c r="I105" s="544" t="s">
        <v>894</v>
      </c>
      <c r="J105" s="544"/>
      <c r="K105" s="544"/>
      <c r="L105" s="562"/>
      <c r="M105" s="564"/>
      <c r="N105" s="544"/>
      <c r="O105" s="544"/>
      <c r="P105" s="548" t="s">
        <v>895</v>
      </c>
      <c r="Q105" s="549"/>
      <c r="R105" s="549"/>
      <c r="S105" s="550"/>
      <c r="T105" s="544"/>
      <c r="U105" s="548" t="s">
        <v>895</v>
      </c>
      <c r="V105" s="549"/>
      <c r="W105" s="549"/>
      <c r="X105" s="550"/>
      <c r="Y105" s="544"/>
      <c r="Z105" s="548" t="s">
        <v>429</v>
      </c>
      <c r="AA105" s="549"/>
      <c r="AB105" s="549"/>
      <c r="AC105" s="550"/>
      <c r="AD105" s="544"/>
      <c r="AE105" s="548" t="s">
        <v>429</v>
      </c>
      <c r="AF105" s="549"/>
      <c r="AG105" s="549"/>
      <c r="AH105" s="550"/>
      <c r="AI105" s="544"/>
      <c r="AJ105" s="548" t="s">
        <v>429</v>
      </c>
      <c r="AK105" s="549"/>
      <c r="AL105" s="549"/>
      <c r="AM105" s="550"/>
      <c r="AN105" s="544"/>
      <c r="AO105" s="548" t="s">
        <v>429</v>
      </c>
      <c r="AP105" s="549"/>
      <c r="AQ105" s="549"/>
      <c r="AR105" s="550"/>
      <c r="AS105" s="544"/>
      <c r="AT105" s="548" t="s">
        <v>429</v>
      </c>
      <c r="AU105" s="549"/>
      <c r="AV105" s="549"/>
      <c r="AW105" s="550"/>
      <c r="AX105" s="544"/>
    </row>
    <row r="106" spans="2:50">
      <c r="B106" s="544"/>
      <c r="C106" s="544"/>
      <c r="D106" s="544"/>
      <c r="E106" s="426" t="s">
        <v>896</v>
      </c>
      <c r="F106" s="426" t="s">
        <v>897</v>
      </c>
      <c r="G106" s="426" t="s">
        <v>898</v>
      </c>
      <c r="H106" s="563"/>
      <c r="I106" s="426" t="s">
        <v>896</v>
      </c>
      <c r="J106" s="426" t="s">
        <v>897</v>
      </c>
      <c r="K106" s="426" t="s">
        <v>898</v>
      </c>
      <c r="L106" s="563"/>
      <c r="M106" s="560"/>
      <c r="N106" s="544"/>
      <c r="O106" s="544"/>
      <c r="P106" s="426" t="s">
        <v>896</v>
      </c>
      <c r="Q106" s="426" t="s">
        <v>897</v>
      </c>
      <c r="R106" s="426" t="s">
        <v>898</v>
      </c>
      <c r="S106" s="426" t="s">
        <v>891</v>
      </c>
      <c r="T106" s="544"/>
      <c r="U106" s="426" t="s">
        <v>896</v>
      </c>
      <c r="V106" s="426" t="s">
        <v>897</v>
      </c>
      <c r="W106" s="426" t="s">
        <v>898</v>
      </c>
      <c r="X106" s="426" t="s">
        <v>891</v>
      </c>
      <c r="Y106" s="544"/>
      <c r="Z106" s="305" t="s">
        <v>430</v>
      </c>
      <c r="AA106" s="305" t="s">
        <v>431</v>
      </c>
      <c r="AB106" s="305" t="s">
        <v>432</v>
      </c>
      <c r="AC106" s="305" t="s">
        <v>422</v>
      </c>
      <c r="AD106" s="544"/>
      <c r="AE106" s="305" t="s">
        <v>430</v>
      </c>
      <c r="AF106" s="305" t="s">
        <v>431</v>
      </c>
      <c r="AG106" s="305" t="s">
        <v>432</v>
      </c>
      <c r="AH106" s="305" t="s">
        <v>422</v>
      </c>
      <c r="AI106" s="544"/>
      <c r="AJ106" s="305" t="s">
        <v>430</v>
      </c>
      <c r="AK106" s="305" t="s">
        <v>431</v>
      </c>
      <c r="AL106" s="305" t="s">
        <v>432</v>
      </c>
      <c r="AM106" s="305" t="s">
        <v>422</v>
      </c>
      <c r="AN106" s="544"/>
      <c r="AO106" s="305" t="s">
        <v>430</v>
      </c>
      <c r="AP106" s="305" t="s">
        <v>431</v>
      </c>
      <c r="AQ106" s="305" t="s">
        <v>432</v>
      </c>
      <c r="AR106" s="305" t="s">
        <v>422</v>
      </c>
      <c r="AS106" s="544"/>
      <c r="AT106" s="305" t="s">
        <v>430</v>
      </c>
      <c r="AU106" s="305" t="s">
        <v>431</v>
      </c>
      <c r="AV106" s="305" t="s">
        <v>432</v>
      </c>
      <c r="AW106" s="305" t="s">
        <v>422</v>
      </c>
      <c r="AX106" s="544"/>
    </row>
    <row r="107" spans="2:50">
      <c r="B107" s="596" t="s">
        <v>901</v>
      </c>
      <c r="C107" s="463">
        <v>1</v>
      </c>
      <c r="D107" s="467" t="s">
        <v>371</v>
      </c>
      <c r="E107" s="464">
        <v>10</v>
      </c>
      <c r="F107" s="464">
        <v>1500</v>
      </c>
      <c r="G107" s="464">
        <v>150</v>
      </c>
      <c r="H107" s="546">
        <f>AVERAGE(G107:G121)</f>
        <v>167.14285714285714</v>
      </c>
      <c r="I107" s="464">
        <f>AVERAGE(P107,U107,Z107,AE107,AJ107,AO107,AT107)</f>
        <v>10</v>
      </c>
      <c r="J107" s="464">
        <f>AVERAGE(Q107,V107,AA107,AF107,AK107,AP107,AU107)</f>
        <v>1388.1000000000022</v>
      </c>
      <c r="K107" s="465">
        <f>AVERAGE(R107,W107,AB107,AG107,AL107,AQ107,AV107)</f>
        <v>138.81000000000023</v>
      </c>
      <c r="L107" s="546">
        <f>AVERAGE(K107:K121)</f>
        <v>169.08966810966825</v>
      </c>
      <c r="M107" s="464">
        <f>RANK(K107, K$107:$K$121)</f>
        <v>5</v>
      </c>
      <c r="N107" s="544"/>
      <c r="O107" s="544"/>
      <c r="P107" s="463">
        <v>10</v>
      </c>
      <c r="Q107" s="464">
        <v>1411.200000000005</v>
      </c>
      <c r="R107" s="464">
        <v>141.12000000000052</v>
      </c>
      <c r="S107" s="463">
        <f>RANK(R107, R$107:R$121)</f>
        <v>5</v>
      </c>
      <c r="T107" s="536">
        <f>AVERAGE(R107:R121)</f>
        <v>171.9079076479079</v>
      </c>
      <c r="U107" s="463">
        <v>10</v>
      </c>
      <c r="V107" s="464">
        <v>1364.9999999999995</v>
      </c>
      <c r="W107" s="464">
        <v>136.49999999999994</v>
      </c>
      <c r="X107" s="463">
        <f>RANK(W107, W$107:W$121)</f>
        <v>5</v>
      </c>
      <c r="Y107" s="536">
        <f t="shared" ref="Y107" si="70">AVERAGE(W107:W121)</f>
        <v>166.27142857142854</v>
      </c>
      <c r="Z107" s="182"/>
      <c r="AA107" s="182"/>
      <c r="AB107" s="319"/>
      <c r="AC107" s="304" t="e">
        <f>RANK(AB107, AB$87:AB$101)</f>
        <v>#N/A</v>
      </c>
      <c r="AD107" s="534" t="e">
        <f>AVERAGE(AB107:AB121)</f>
        <v>#DIV/0!</v>
      </c>
      <c r="AE107" s="182"/>
      <c r="AF107" s="182"/>
      <c r="AG107" s="319"/>
      <c r="AH107" s="304" t="e">
        <f>RANK(AG107, AG$87:AG$101)</f>
        <v>#N/A</v>
      </c>
      <c r="AI107" s="534" t="e">
        <f>AVERAGE(AG107:AG121)</f>
        <v>#DIV/0!</v>
      </c>
      <c r="AJ107" s="182"/>
      <c r="AK107" s="182"/>
      <c r="AL107" s="319"/>
      <c r="AM107" s="304" t="e">
        <f>RANK(AL107, AL$87:AL$101)</f>
        <v>#N/A</v>
      </c>
      <c r="AN107" s="534" t="e">
        <f>AVERAGE(AL107:AL121)</f>
        <v>#DIV/0!</v>
      </c>
      <c r="AO107" s="182"/>
      <c r="AP107" s="182"/>
      <c r="AQ107" s="319"/>
      <c r="AR107" s="304" t="e">
        <f>RANK(AQ107, AQ$87:AQ$101)</f>
        <v>#N/A</v>
      </c>
      <c r="AS107" s="534" t="e">
        <f>AVERAGE(AQ107:AQ121)</f>
        <v>#DIV/0!</v>
      </c>
      <c r="AT107" s="182"/>
      <c r="AU107" s="182"/>
      <c r="AV107" s="319"/>
      <c r="AW107" s="304" t="e">
        <f>RANK(AV107, AV$87:AV$101)</f>
        <v>#N/A</v>
      </c>
      <c r="AX107" s="534" t="e">
        <f>AVERAGE(AV107:AV121)</f>
        <v>#DIV/0!</v>
      </c>
    </row>
    <row r="108" spans="2:50">
      <c r="B108" s="565"/>
      <c r="C108" s="463">
        <v>2</v>
      </c>
      <c r="D108" s="467" t="s">
        <v>372</v>
      </c>
      <c r="E108" s="464">
        <v>15</v>
      </c>
      <c r="F108" s="464">
        <v>1800</v>
      </c>
      <c r="G108" s="464">
        <v>120</v>
      </c>
      <c r="H108" s="547"/>
      <c r="I108" s="464">
        <f t="shared" ref="I108:K110" si="71">AVERAGE(P108,U108,Z108,AE108,AJ108,AO108,AT108)</f>
        <v>12</v>
      </c>
      <c r="J108" s="464">
        <f t="shared" si="71"/>
        <v>1759.833333333333</v>
      </c>
      <c r="K108" s="465">
        <f t="shared" si="71"/>
        <v>146.65277777777777</v>
      </c>
      <c r="L108" s="547"/>
      <c r="M108" s="464">
        <f>RANK(K108, K$107:$K$121)</f>
        <v>3</v>
      </c>
      <c r="N108" s="544"/>
      <c r="O108" s="544"/>
      <c r="P108" s="463">
        <v>12</v>
      </c>
      <c r="Q108" s="464">
        <v>1830.6666666666667</v>
      </c>
      <c r="R108" s="464">
        <v>152.55555555555557</v>
      </c>
      <c r="S108" s="463">
        <f t="shared" ref="S108:S121" si="72">RANK(R108, R$107:R$121)</f>
        <v>3</v>
      </c>
      <c r="T108" s="536"/>
      <c r="U108" s="463">
        <v>12</v>
      </c>
      <c r="V108" s="464">
        <v>1688.9999999999995</v>
      </c>
      <c r="W108" s="464">
        <v>140.74999999999997</v>
      </c>
      <c r="X108" s="463">
        <f t="shared" ref="X108:X121" si="73">RANK(W108, W$107:W$121)</f>
        <v>3</v>
      </c>
      <c r="Y108" s="536"/>
      <c r="Z108" s="318"/>
      <c r="AA108" s="182"/>
      <c r="AB108" s="319"/>
      <c r="AC108" s="304" t="e">
        <f t="shared" ref="AC108:AC121" si="74">RANK(AB108, AB$87:AB$101)</f>
        <v>#N/A</v>
      </c>
      <c r="AD108" s="534"/>
      <c r="AE108" s="318"/>
      <c r="AF108" s="182"/>
      <c r="AG108" s="319"/>
      <c r="AH108" s="304" t="e">
        <f t="shared" ref="AH108:AH121" si="75">RANK(AG108, AG$87:AG$101)</f>
        <v>#N/A</v>
      </c>
      <c r="AI108" s="534"/>
      <c r="AJ108" s="318"/>
      <c r="AK108" s="182"/>
      <c r="AL108" s="319"/>
      <c r="AM108" s="304" t="e">
        <f t="shared" ref="AM108:AM121" si="76">RANK(AL108, AL$87:AL$101)</f>
        <v>#N/A</v>
      </c>
      <c r="AN108" s="534"/>
      <c r="AO108" s="318"/>
      <c r="AP108" s="182"/>
      <c r="AQ108" s="319"/>
      <c r="AR108" s="304" t="e">
        <f t="shared" ref="AR108:AR121" si="77">RANK(AQ108, AQ$87:AQ$101)</f>
        <v>#N/A</v>
      </c>
      <c r="AS108" s="534"/>
      <c r="AT108" s="318"/>
      <c r="AU108" s="182"/>
      <c r="AV108" s="319"/>
      <c r="AW108" s="304" t="e">
        <f t="shared" ref="AW108:AW121" si="78">RANK(AV108, AV$87:AV$101)</f>
        <v>#N/A</v>
      </c>
      <c r="AX108" s="534"/>
    </row>
    <row r="109" spans="2:50">
      <c r="B109" s="565"/>
      <c r="C109" s="463">
        <v>3</v>
      </c>
      <c r="D109" s="467" t="s">
        <v>373</v>
      </c>
      <c r="E109" s="464">
        <v>15</v>
      </c>
      <c r="F109" s="464">
        <v>1800</v>
      </c>
      <c r="G109" s="464">
        <v>120</v>
      </c>
      <c r="H109" s="547"/>
      <c r="I109" s="464">
        <f t="shared" si="71"/>
        <v>12</v>
      </c>
      <c r="J109" s="464">
        <f t="shared" si="71"/>
        <v>1748.833333333333</v>
      </c>
      <c r="K109" s="465">
        <f t="shared" si="71"/>
        <v>145.73611111111109</v>
      </c>
      <c r="L109" s="547"/>
      <c r="M109" s="464">
        <f>RANK(K109, K$107:$K$121)</f>
        <v>4</v>
      </c>
      <c r="N109" s="544"/>
      <c r="O109" s="544"/>
      <c r="P109" s="463">
        <v>12</v>
      </c>
      <c r="Q109" s="464">
        <v>1814.6666666666665</v>
      </c>
      <c r="R109" s="464">
        <v>151.2222222222222</v>
      </c>
      <c r="S109" s="463">
        <f t="shared" si="72"/>
        <v>4</v>
      </c>
      <c r="T109" s="536"/>
      <c r="U109" s="463">
        <v>12</v>
      </c>
      <c r="V109" s="464">
        <v>1682.9999999999993</v>
      </c>
      <c r="W109" s="464">
        <v>140.24999999999994</v>
      </c>
      <c r="X109" s="463">
        <f t="shared" si="73"/>
        <v>4</v>
      </c>
      <c r="Y109" s="536"/>
      <c r="Z109" s="318"/>
      <c r="AA109" s="182"/>
      <c r="AB109" s="319"/>
      <c r="AC109" s="304" t="e">
        <f t="shared" si="74"/>
        <v>#N/A</v>
      </c>
      <c r="AD109" s="534"/>
      <c r="AE109" s="318"/>
      <c r="AF109" s="182"/>
      <c r="AG109" s="319"/>
      <c r="AH109" s="304" t="e">
        <f t="shared" si="75"/>
        <v>#N/A</v>
      </c>
      <c r="AI109" s="534"/>
      <c r="AJ109" s="318"/>
      <c r="AK109" s="182"/>
      <c r="AL109" s="319"/>
      <c r="AM109" s="304" t="e">
        <f t="shared" si="76"/>
        <v>#N/A</v>
      </c>
      <c r="AN109" s="534"/>
      <c r="AO109" s="318"/>
      <c r="AP109" s="182"/>
      <c r="AQ109" s="319"/>
      <c r="AR109" s="304" t="e">
        <f t="shared" si="77"/>
        <v>#N/A</v>
      </c>
      <c r="AS109" s="534"/>
      <c r="AT109" s="318"/>
      <c r="AU109" s="182"/>
      <c r="AV109" s="319"/>
      <c r="AW109" s="304" t="e">
        <f t="shared" si="78"/>
        <v>#N/A</v>
      </c>
      <c r="AX109" s="534"/>
    </row>
    <row r="110" spans="2:50">
      <c r="B110" s="565"/>
      <c r="C110" s="463">
        <v>4</v>
      </c>
      <c r="D110" s="467" t="s">
        <v>571</v>
      </c>
      <c r="E110" s="464">
        <v>5</v>
      </c>
      <c r="F110" s="464">
        <v>1500</v>
      </c>
      <c r="G110" s="464">
        <v>300</v>
      </c>
      <c r="H110" s="547"/>
      <c r="I110" s="464">
        <f t="shared" si="71"/>
        <v>6</v>
      </c>
      <c r="J110" s="464">
        <f t="shared" si="71"/>
        <v>1566.8181818181833</v>
      </c>
      <c r="K110" s="465">
        <f t="shared" si="71"/>
        <v>261.13636363636385</v>
      </c>
      <c r="L110" s="547"/>
      <c r="M110" s="464">
        <f>RANK(K110, K$107:$K$121)</f>
        <v>2</v>
      </c>
      <c r="N110" s="544"/>
      <c r="O110" s="544"/>
      <c r="P110" s="463">
        <v>6</v>
      </c>
      <c r="Q110" s="464">
        <v>1573.6363636363665</v>
      </c>
      <c r="R110" s="464">
        <v>262.27272727272776</v>
      </c>
      <c r="S110" s="463">
        <f t="shared" si="72"/>
        <v>2</v>
      </c>
      <c r="T110" s="536"/>
      <c r="U110" s="463">
        <v>6</v>
      </c>
      <c r="V110" s="464">
        <v>1560</v>
      </c>
      <c r="W110" s="464">
        <v>260</v>
      </c>
      <c r="X110" s="463">
        <f t="shared" si="73"/>
        <v>2</v>
      </c>
      <c r="Y110" s="536"/>
      <c r="Z110" s="318"/>
      <c r="AA110" s="182"/>
      <c r="AB110" s="319"/>
      <c r="AC110" s="304" t="e">
        <f t="shared" si="74"/>
        <v>#N/A</v>
      </c>
      <c r="AD110" s="534"/>
      <c r="AE110" s="318"/>
      <c r="AF110" s="182"/>
      <c r="AG110" s="319"/>
      <c r="AH110" s="304" t="e">
        <f t="shared" si="75"/>
        <v>#N/A</v>
      </c>
      <c r="AI110" s="534"/>
      <c r="AJ110" s="318"/>
      <c r="AK110" s="182"/>
      <c r="AL110" s="319"/>
      <c r="AM110" s="304" t="e">
        <f t="shared" si="76"/>
        <v>#N/A</v>
      </c>
      <c r="AN110" s="534"/>
      <c r="AO110" s="318"/>
      <c r="AP110" s="182"/>
      <c r="AQ110" s="319"/>
      <c r="AR110" s="304" t="e">
        <f t="shared" si="77"/>
        <v>#N/A</v>
      </c>
      <c r="AS110" s="534"/>
      <c r="AT110" s="318"/>
      <c r="AU110" s="182"/>
      <c r="AV110" s="319"/>
      <c r="AW110" s="304" t="e">
        <f t="shared" si="78"/>
        <v>#N/A</v>
      </c>
      <c r="AX110" s="534"/>
    </row>
    <row r="111" spans="2:50">
      <c r="B111" s="565"/>
      <c r="C111" s="463">
        <v>5</v>
      </c>
      <c r="D111" s="467" t="s">
        <v>505</v>
      </c>
      <c r="E111" s="464">
        <v>5</v>
      </c>
      <c r="F111" s="464">
        <v>1500</v>
      </c>
      <c r="G111" s="464">
        <v>300</v>
      </c>
      <c r="H111" s="547"/>
      <c r="I111" s="464">
        <f>AVERAGE(P111,U111,Z111,AE111,AJ111,AO111,AT111)</f>
        <v>5</v>
      </c>
      <c r="J111" s="464">
        <f>AVERAGE(Q111,V111,AA111,AF111,AK111,AP111,AU111)</f>
        <v>1513.0000000000025</v>
      </c>
      <c r="K111" s="465">
        <f>AVERAGE(R111,W111,AB111,AG111,AL111,AQ111,AV111)</f>
        <v>302.60000000000048</v>
      </c>
      <c r="L111" s="547"/>
      <c r="M111" s="464">
        <f>RANK(K111, K$107:$K$121)</f>
        <v>1</v>
      </c>
      <c r="N111" s="544"/>
      <c r="O111" s="544"/>
      <c r="P111" s="463">
        <v>5</v>
      </c>
      <c r="Q111" s="464">
        <v>1528.0000000000036</v>
      </c>
      <c r="R111" s="464">
        <v>305.6000000000007</v>
      </c>
      <c r="S111" s="463">
        <f t="shared" si="72"/>
        <v>1</v>
      </c>
      <c r="T111" s="536"/>
      <c r="U111" s="463">
        <v>5</v>
      </c>
      <c r="V111" s="464">
        <v>1498.0000000000014</v>
      </c>
      <c r="W111" s="464">
        <v>299.60000000000025</v>
      </c>
      <c r="X111" s="463">
        <f t="shared" si="73"/>
        <v>1</v>
      </c>
      <c r="Y111" s="536"/>
      <c r="Z111" s="318"/>
      <c r="AA111" s="182"/>
      <c r="AB111" s="319"/>
      <c r="AC111" s="304" t="e">
        <f t="shared" si="74"/>
        <v>#N/A</v>
      </c>
      <c r="AD111" s="534"/>
      <c r="AE111" s="318"/>
      <c r="AF111" s="182"/>
      <c r="AG111" s="319"/>
      <c r="AH111" s="304" t="e">
        <f t="shared" si="75"/>
        <v>#N/A</v>
      </c>
      <c r="AI111" s="534"/>
      <c r="AJ111" s="318"/>
      <c r="AK111" s="182"/>
      <c r="AL111" s="319"/>
      <c r="AM111" s="304" t="e">
        <f t="shared" si="76"/>
        <v>#N/A</v>
      </c>
      <c r="AN111" s="534"/>
      <c r="AO111" s="318"/>
      <c r="AP111" s="182"/>
      <c r="AQ111" s="319"/>
      <c r="AR111" s="304" t="e">
        <f t="shared" si="77"/>
        <v>#N/A</v>
      </c>
      <c r="AS111" s="534"/>
      <c r="AT111" s="318"/>
      <c r="AU111" s="182"/>
      <c r="AV111" s="319"/>
      <c r="AW111" s="304" t="e">
        <f t="shared" si="78"/>
        <v>#N/A</v>
      </c>
      <c r="AX111" s="534"/>
    </row>
    <row r="112" spans="2:50">
      <c r="B112" s="565"/>
      <c r="C112" s="463">
        <v>6</v>
      </c>
      <c r="D112" s="467" t="s">
        <v>574</v>
      </c>
      <c r="E112" s="464">
        <v>15</v>
      </c>
      <c r="F112" s="464">
        <v>1200</v>
      </c>
      <c r="G112" s="464">
        <v>80</v>
      </c>
      <c r="H112" s="547"/>
      <c r="I112" s="464">
        <f t="shared" ref="I112:K113" si="79">AVERAGE(P112,U112,Z112,AE112,AJ112,AO112,AT112)</f>
        <v>10</v>
      </c>
      <c r="J112" s="464">
        <f t="shared" si="79"/>
        <v>1075.4999999999995</v>
      </c>
      <c r="K112" s="465">
        <f t="shared" si="79"/>
        <v>107.54999999999995</v>
      </c>
      <c r="L112" s="547"/>
      <c r="M112" s="464">
        <f>RANK(K112, K$107:$K$121)</f>
        <v>6</v>
      </c>
      <c r="N112" s="544"/>
      <c r="O112" s="544"/>
      <c r="P112" s="463">
        <v>10</v>
      </c>
      <c r="Q112" s="464">
        <v>1100.9999999999995</v>
      </c>
      <c r="R112" s="464">
        <v>110.09999999999995</v>
      </c>
      <c r="S112" s="463">
        <f t="shared" si="72"/>
        <v>6</v>
      </c>
      <c r="T112" s="536"/>
      <c r="U112" s="463">
        <v>10</v>
      </c>
      <c r="V112" s="464">
        <v>1049.9999999999995</v>
      </c>
      <c r="W112" s="464">
        <v>104.99999999999996</v>
      </c>
      <c r="X112" s="463">
        <f t="shared" si="73"/>
        <v>6</v>
      </c>
      <c r="Y112" s="536"/>
      <c r="Z112" s="318"/>
      <c r="AA112" s="182"/>
      <c r="AB112" s="319"/>
      <c r="AC112" s="304" t="e">
        <f t="shared" si="74"/>
        <v>#N/A</v>
      </c>
      <c r="AD112" s="534"/>
      <c r="AE112" s="318"/>
      <c r="AF112" s="182"/>
      <c r="AG112" s="319"/>
      <c r="AH112" s="304" t="e">
        <f t="shared" si="75"/>
        <v>#N/A</v>
      </c>
      <c r="AI112" s="534"/>
      <c r="AJ112" s="318"/>
      <c r="AK112" s="182"/>
      <c r="AL112" s="319"/>
      <c r="AM112" s="304" t="e">
        <f t="shared" si="76"/>
        <v>#N/A</v>
      </c>
      <c r="AN112" s="534"/>
      <c r="AO112" s="318"/>
      <c r="AP112" s="182"/>
      <c r="AQ112" s="319"/>
      <c r="AR112" s="304" t="e">
        <f t="shared" si="77"/>
        <v>#N/A</v>
      </c>
      <c r="AS112" s="534"/>
      <c r="AT112" s="318"/>
      <c r="AU112" s="182"/>
      <c r="AV112" s="319"/>
      <c r="AW112" s="304" t="e">
        <f t="shared" si="78"/>
        <v>#N/A</v>
      </c>
      <c r="AX112" s="534"/>
    </row>
    <row r="113" spans="2:50">
      <c r="B113" s="565"/>
      <c r="C113" s="463">
        <v>7</v>
      </c>
      <c r="D113" s="467" t="s">
        <v>665</v>
      </c>
      <c r="E113" s="464">
        <v>13</v>
      </c>
      <c r="F113" s="464">
        <v>1300</v>
      </c>
      <c r="G113" s="464">
        <v>100</v>
      </c>
      <c r="H113" s="547"/>
      <c r="I113" s="464">
        <f t="shared" si="79"/>
        <v>15</v>
      </c>
      <c r="J113" s="464">
        <f t="shared" si="79"/>
        <v>1217.1363636363637</v>
      </c>
      <c r="K113" s="465">
        <f t="shared" si="79"/>
        <v>81.142424242424255</v>
      </c>
      <c r="L113" s="547"/>
      <c r="M113" s="464">
        <f>RANK(K113, K$107:$K$121)</f>
        <v>7</v>
      </c>
      <c r="N113" s="544"/>
      <c r="O113" s="544"/>
      <c r="P113" s="463">
        <v>15</v>
      </c>
      <c r="Q113" s="464">
        <v>1207.2727272727268</v>
      </c>
      <c r="R113" s="464">
        <v>80.484848484848456</v>
      </c>
      <c r="S113" s="463">
        <f t="shared" si="72"/>
        <v>7</v>
      </c>
      <c r="T113" s="536"/>
      <c r="U113" s="463">
        <v>15</v>
      </c>
      <c r="V113" s="464">
        <v>1227.0000000000007</v>
      </c>
      <c r="W113" s="464">
        <v>81.80000000000004</v>
      </c>
      <c r="X113" s="463">
        <f t="shared" si="73"/>
        <v>7</v>
      </c>
      <c r="Y113" s="536"/>
      <c r="Z113" s="318"/>
      <c r="AA113" s="182"/>
      <c r="AB113" s="319"/>
      <c r="AC113" s="304" t="e">
        <f t="shared" si="74"/>
        <v>#N/A</v>
      </c>
      <c r="AD113" s="534"/>
      <c r="AE113" s="318"/>
      <c r="AF113" s="182"/>
      <c r="AG113" s="319"/>
      <c r="AH113" s="304" t="e">
        <f t="shared" si="75"/>
        <v>#N/A</v>
      </c>
      <c r="AI113" s="534"/>
      <c r="AJ113" s="318"/>
      <c r="AK113" s="182"/>
      <c r="AL113" s="319"/>
      <c r="AM113" s="304" t="e">
        <f t="shared" si="76"/>
        <v>#N/A</v>
      </c>
      <c r="AN113" s="534"/>
      <c r="AO113" s="318"/>
      <c r="AP113" s="182"/>
      <c r="AQ113" s="319"/>
      <c r="AR113" s="304" t="e">
        <f t="shared" si="77"/>
        <v>#N/A</v>
      </c>
      <c r="AS113" s="534"/>
      <c r="AT113" s="318"/>
      <c r="AU113" s="182"/>
      <c r="AV113" s="319"/>
      <c r="AW113" s="304" t="e">
        <f t="shared" si="78"/>
        <v>#N/A</v>
      </c>
      <c r="AX113" s="534"/>
    </row>
    <row r="114" spans="2:50">
      <c r="B114" s="565"/>
      <c r="C114" s="463">
        <v>8</v>
      </c>
      <c r="D114" s="313"/>
      <c r="E114" s="464" t="s">
        <v>578</v>
      </c>
      <c r="F114" s="464" t="s">
        <v>578</v>
      </c>
      <c r="G114" s="464" t="s">
        <v>578</v>
      </c>
      <c r="H114" s="547"/>
      <c r="I114" s="464"/>
      <c r="J114" s="464"/>
      <c r="K114" s="465"/>
      <c r="L114" s="547"/>
      <c r="M114" s="464" t="e">
        <f>RANK(K114, K$107:$K$121)</f>
        <v>#N/A</v>
      </c>
      <c r="N114" s="544"/>
      <c r="O114" s="544"/>
      <c r="P114" s="463" t="s">
        <v>578</v>
      </c>
      <c r="Q114" s="464" t="s">
        <v>578</v>
      </c>
      <c r="R114" s="464" t="s">
        <v>578</v>
      </c>
      <c r="S114" s="463" t="e">
        <f t="shared" si="72"/>
        <v>#VALUE!</v>
      </c>
      <c r="T114" s="536"/>
      <c r="U114" s="463" t="s">
        <v>578</v>
      </c>
      <c r="V114" s="464" t="s">
        <v>578</v>
      </c>
      <c r="W114" s="464" t="s">
        <v>578</v>
      </c>
      <c r="X114" s="463" t="e">
        <f t="shared" si="73"/>
        <v>#VALUE!</v>
      </c>
      <c r="Y114" s="536"/>
      <c r="Z114" s="318"/>
      <c r="AA114" s="182"/>
      <c r="AB114" s="319"/>
      <c r="AC114" s="304" t="e">
        <f t="shared" si="74"/>
        <v>#N/A</v>
      </c>
      <c r="AD114" s="534"/>
      <c r="AE114" s="318"/>
      <c r="AF114" s="182"/>
      <c r="AG114" s="319"/>
      <c r="AH114" s="304" t="e">
        <f t="shared" si="75"/>
        <v>#N/A</v>
      </c>
      <c r="AI114" s="534"/>
      <c r="AJ114" s="318"/>
      <c r="AK114" s="182"/>
      <c r="AL114" s="319"/>
      <c r="AM114" s="304" t="e">
        <f t="shared" si="76"/>
        <v>#N/A</v>
      </c>
      <c r="AN114" s="534"/>
      <c r="AO114" s="318"/>
      <c r="AP114" s="182"/>
      <c r="AQ114" s="319"/>
      <c r="AR114" s="304" t="e">
        <f t="shared" si="77"/>
        <v>#N/A</v>
      </c>
      <c r="AS114" s="534"/>
      <c r="AT114" s="318"/>
      <c r="AU114" s="182"/>
      <c r="AV114" s="319"/>
      <c r="AW114" s="304" t="e">
        <f t="shared" si="78"/>
        <v>#N/A</v>
      </c>
      <c r="AX114" s="534"/>
    </row>
    <row r="115" spans="2:50">
      <c r="B115" s="565"/>
      <c r="C115" s="463">
        <v>9</v>
      </c>
      <c r="D115" s="467"/>
      <c r="E115" s="464" t="s">
        <v>578</v>
      </c>
      <c r="F115" s="464" t="s">
        <v>578</v>
      </c>
      <c r="G115" s="464" t="s">
        <v>578</v>
      </c>
      <c r="H115" s="547"/>
      <c r="I115" s="464"/>
      <c r="J115" s="464"/>
      <c r="K115" s="465"/>
      <c r="L115" s="547"/>
      <c r="M115" s="464" t="e">
        <f>RANK(K115, K$107:$K$121)</f>
        <v>#N/A</v>
      </c>
      <c r="N115" s="544"/>
      <c r="O115" s="544"/>
      <c r="P115" s="463" t="s">
        <v>578</v>
      </c>
      <c r="Q115" s="464" t="s">
        <v>578</v>
      </c>
      <c r="R115" s="464" t="s">
        <v>578</v>
      </c>
      <c r="S115" s="463" t="e">
        <f t="shared" si="72"/>
        <v>#VALUE!</v>
      </c>
      <c r="T115" s="536"/>
      <c r="U115" s="463" t="s">
        <v>578</v>
      </c>
      <c r="V115" s="464" t="s">
        <v>578</v>
      </c>
      <c r="W115" s="464" t="s">
        <v>578</v>
      </c>
      <c r="X115" s="463" t="e">
        <f t="shared" si="73"/>
        <v>#VALUE!</v>
      </c>
      <c r="Y115" s="536"/>
      <c r="Z115" s="318"/>
      <c r="AA115" s="182"/>
      <c r="AB115" s="319"/>
      <c r="AC115" s="304" t="e">
        <f t="shared" si="74"/>
        <v>#N/A</v>
      </c>
      <c r="AD115" s="534"/>
      <c r="AE115" s="318"/>
      <c r="AF115" s="182"/>
      <c r="AG115" s="319"/>
      <c r="AH115" s="304" t="e">
        <f t="shared" si="75"/>
        <v>#N/A</v>
      </c>
      <c r="AI115" s="534"/>
      <c r="AJ115" s="318"/>
      <c r="AK115" s="182"/>
      <c r="AL115" s="319"/>
      <c r="AM115" s="304" t="e">
        <f t="shared" si="76"/>
        <v>#N/A</v>
      </c>
      <c r="AN115" s="534"/>
      <c r="AO115" s="318"/>
      <c r="AP115" s="182"/>
      <c r="AQ115" s="319"/>
      <c r="AR115" s="304" t="e">
        <f t="shared" si="77"/>
        <v>#N/A</v>
      </c>
      <c r="AS115" s="534"/>
      <c r="AT115" s="318"/>
      <c r="AU115" s="182"/>
      <c r="AV115" s="319"/>
      <c r="AW115" s="304" t="e">
        <f t="shared" si="78"/>
        <v>#N/A</v>
      </c>
      <c r="AX115" s="534"/>
    </row>
    <row r="116" spans="2:50">
      <c r="B116" s="565"/>
      <c r="C116" s="463">
        <v>10</v>
      </c>
      <c r="D116" s="467"/>
      <c r="E116" s="464" t="s">
        <v>578</v>
      </c>
      <c r="F116" s="464" t="s">
        <v>578</v>
      </c>
      <c r="G116" s="464" t="s">
        <v>578</v>
      </c>
      <c r="H116" s="547"/>
      <c r="I116" s="464"/>
      <c r="J116" s="464"/>
      <c r="K116" s="465"/>
      <c r="L116" s="547"/>
      <c r="M116" s="464" t="e">
        <f>RANK(K116, K$107:$K$121)</f>
        <v>#N/A</v>
      </c>
      <c r="N116" s="544"/>
      <c r="O116" s="544"/>
      <c r="P116" s="463" t="s">
        <v>578</v>
      </c>
      <c r="Q116" s="464" t="s">
        <v>578</v>
      </c>
      <c r="R116" s="464" t="s">
        <v>578</v>
      </c>
      <c r="S116" s="463" t="e">
        <f t="shared" si="72"/>
        <v>#VALUE!</v>
      </c>
      <c r="T116" s="536"/>
      <c r="U116" s="463" t="s">
        <v>578</v>
      </c>
      <c r="V116" s="464" t="s">
        <v>578</v>
      </c>
      <c r="W116" s="464" t="s">
        <v>578</v>
      </c>
      <c r="X116" s="463" t="e">
        <f t="shared" si="73"/>
        <v>#VALUE!</v>
      </c>
      <c r="Y116" s="536"/>
      <c r="Z116" s="318"/>
      <c r="AA116" s="182"/>
      <c r="AB116" s="319"/>
      <c r="AC116" s="304" t="e">
        <f t="shared" si="74"/>
        <v>#N/A</v>
      </c>
      <c r="AD116" s="534"/>
      <c r="AE116" s="318"/>
      <c r="AF116" s="182"/>
      <c r="AG116" s="319"/>
      <c r="AH116" s="304" t="e">
        <f t="shared" si="75"/>
        <v>#N/A</v>
      </c>
      <c r="AI116" s="534"/>
      <c r="AJ116" s="318"/>
      <c r="AK116" s="182"/>
      <c r="AL116" s="319"/>
      <c r="AM116" s="304" t="e">
        <f t="shared" si="76"/>
        <v>#N/A</v>
      </c>
      <c r="AN116" s="534"/>
      <c r="AO116" s="318"/>
      <c r="AP116" s="182"/>
      <c r="AQ116" s="319"/>
      <c r="AR116" s="304" t="e">
        <f t="shared" si="77"/>
        <v>#N/A</v>
      </c>
      <c r="AS116" s="534"/>
      <c r="AT116" s="318"/>
      <c r="AU116" s="182"/>
      <c r="AV116" s="319"/>
      <c r="AW116" s="304" t="e">
        <f t="shared" si="78"/>
        <v>#N/A</v>
      </c>
      <c r="AX116" s="534"/>
    </row>
    <row r="117" spans="2:50">
      <c r="B117" s="565"/>
      <c r="C117" s="463">
        <v>11</v>
      </c>
      <c r="D117" s="467"/>
      <c r="E117" s="464" t="s">
        <v>578</v>
      </c>
      <c r="F117" s="464" t="s">
        <v>578</v>
      </c>
      <c r="G117" s="464" t="s">
        <v>578</v>
      </c>
      <c r="H117" s="547"/>
      <c r="I117" s="463"/>
      <c r="J117" s="463"/>
      <c r="K117" s="463"/>
      <c r="L117" s="547"/>
      <c r="M117" s="464" t="e">
        <f>RANK(K117, K$107:$K$121)</f>
        <v>#N/A</v>
      </c>
      <c r="N117" s="544"/>
      <c r="O117" s="544"/>
      <c r="P117" s="463" t="s">
        <v>578</v>
      </c>
      <c r="Q117" s="464" t="s">
        <v>578</v>
      </c>
      <c r="R117" s="464" t="s">
        <v>578</v>
      </c>
      <c r="S117" s="463" t="e">
        <f t="shared" si="72"/>
        <v>#VALUE!</v>
      </c>
      <c r="T117" s="536"/>
      <c r="U117" s="463" t="s">
        <v>578</v>
      </c>
      <c r="V117" s="464" t="s">
        <v>578</v>
      </c>
      <c r="W117" s="464" t="s">
        <v>578</v>
      </c>
      <c r="X117" s="463" t="e">
        <f t="shared" si="73"/>
        <v>#VALUE!</v>
      </c>
      <c r="Y117" s="536"/>
      <c r="Z117" s="318"/>
      <c r="AA117" s="318"/>
      <c r="AB117" s="318"/>
      <c r="AC117" s="304" t="e">
        <f t="shared" si="74"/>
        <v>#N/A</v>
      </c>
      <c r="AD117" s="534"/>
      <c r="AE117" s="318"/>
      <c r="AF117" s="318"/>
      <c r="AG117" s="318"/>
      <c r="AH117" s="304" t="e">
        <f t="shared" si="75"/>
        <v>#N/A</v>
      </c>
      <c r="AI117" s="534"/>
      <c r="AJ117" s="318"/>
      <c r="AK117" s="318"/>
      <c r="AL117" s="318"/>
      <c r="AM117" s="304" t="e">
        <f t="shared" si="76"/>
        <v>#N/A</v>
      </c>
      <c r="AN117" s="534"/>
      <c r="AO117" s="318"/>
      <c r="AP117" s="318"/>
      <c r="AQ117" s="318"/>
      <c r="AR117" s="304" t="e">
        <f t="shared" si="77"/>
        <v>#N/A</v>
      </c>
      <c r="AS117" s="534"/>
      <c r="AT117" s="318"/>
      <c r="AU117" s="318"/>
      <c r="AV117" s="318"/>
      <c r="AW117" s="304" t="e">
        <f t="shared" si="78"/>
        <v>#N/A</v>
      </c>
      <c r="AX117" s="534"/>
    </row>
    <row r="118" spans="2:50">
      <c r="B118" s="565"/>
      <c r="C118" s="463">
        <v>12</v>
      </c>
      <c r="D118" s="467"/>
      <c r="E118" s="464" t="s">
        <v>578</v>
      </c>
      <c r="F118" s="464" t="s">
        <v>578</v>
      </c>
      <c r="G118" s="464" t="s">
        <v>578</v>
      </c>
      <c r="H118" s="547"/>
      <c r="I118" s="463"/>
      <c r="J118" s="463"/>
      <c r="K118" s="463"/>
      <c r="L118" s="547"/>
      <c r="M118" s="464" t="e">
        <f>RANK(K118, K$107:$K$121)</f>
        <v>#N/A</v>
      </c>
      <c r="N118" s="544"/>
      <c r="O118" s="544"/>
      <c r="P118" s="463" t="s">
        <v>578</v>
      </c>
      <c r="Q118" s="464" t="s">
        <v>578</v>
      </c>
      <c r="R118" s="464" t="s">
        <v>578</v>
      </c>
      <c r="S118" s="463" t="e">
        <f t="shared" si="72"/>
        <v>#VALUE!</v>
      </c>
      <c r="T118" s="536"/>
      <c r="U118" s="463" t="s">
        <v>578</v>
      </c>
      <c r="V118" s="464" t="s">
        <v>578</v>
      </c>
      <c r="W118" s="464" t="s">
        <v>578</v>
      </c>
      <c r="X118" s="463" t="e">
        <f t="shared" si="73"/>
        <v>#VALUE!</v>
      </c>
      <c r="Y118" s="536"/>
      <c r="Z118" s="318"/>
      <c r="AA118" s="318"/>
      <c r="AB118" s="318"/>
      <c r="AC118" s="304" t="e">
        <f t="shared" si="74"/>
        <v>#N/A</v>
      </c>
      <c r="AD118" s="534"/>
      <c r="AE118" s="318"/>
      <c r="AF118" s="318"/>
      <c r="AG118" s="318"/>
      <c r="AH118" s="304" t="e">
        <f t="shared" si="75"/>
        <v>#N/A</v>
      </c>
      <c r="AI118" s="534"/>
      <c r="AJ118" s="318"/>
      <c r="AK118" s="318"/>
      <c r="AL118" s="318"/>
      <c r="AM118" s="304" t="e">
        <f t="shared" si="76"/>
        <v>#N/A</v>
      </c>
      <c r="AN118" s="534"/>
      <c r="AO118" s="318"/>
      <c r="AP118" s="318"/>
      <c r="AQ118" s="318"/>
      <c r="AR118" s="304" t="e">
        <f t="shared" si="77"/>
        <v>#N/A</v>
      </c>
      <c r="AS118" s="534"/>
      <c r="AT118" s="318"/>
      <c r="AU118" s="318"/>
      <c r="AV118" s="318"/>
      <c r="AW118" s="304" t="e">
        <f t="shared" si="78"/>
        <v>#N/A</v>
      </c>
      <c r="AX118" s="534"/>
    </row>
    <row r="119" spans="2:50">
      <c r="B119" s="565"/>
      <c r="C119" s="463">
        <v>13</v>
      </c>
      <c r="D119" s="467"/>
      <c r="E119" s="464" t="s">
        <v>578</v>
      </c>
      <c r="F119" s="464" t="s">
        <v>578</v>
      </c>
      <c r="G119" s="464" t="s">
        <v>578</v>
      </c>
      <c r="H119" s="547"/>
      <c r="I119" s="463"/>
      <c r="J119" s="463"/>
      <c r="K119" s="463"/>
      <c r="L119" s="547"/>
      <c r="M119" s="464" t="e">
        <f>RANK(K119, K$107:$K$121)</f>
        <v>#N/A</v>
      </c>
      <c r="N119" s="544"/>
      <c r="O119" s="544"/>
      <c r="P119" s="463" t="s">
        <v>578</v>
      </c>
      <c r="Q119" s="464" t="s">
        <v>578</v>
      </c>
      <c r="R119" s="464" t="s">
        <v>578</v>
      </c>
      <c r="S119" s="463" t="e">
        <f t="shared" si="72"/>
        <v>#VALUE!</v>
      </c>
      <c r="T119" s="536"/>
      <c r="U119" s="463" t="s">
        <v>578</v>
      </c>
      <c r="V119" s="464" t="s">
        <v>578</v>
      </c>
      <c r="W119" s="464" t="s">
        <v>578</v>
      </c>
      <c r="X119" s="463" t="e">
        <f t="shared" si="73"/>
        <v>#VALUE!</v>
      </c>
      <c r="Y119" s="536"/>
      <c r="Z119" s="318"/>
      <c r="AA119" s="318"/>
      <c r="AB119" s="318"/>
      <c r="AC119" s="304" t="e">
        <f t="shared" si="74"/>
        <v>#N/A</v>
      </c>
      <c r="AD119" s="534"/>
      <c r="AE119" s="318"/>
      <c r="AF119" s="318"/>
      <c r="AG119" s="318"/>
      <c r="AH119" s="304" t="e">
        <f t="shared" si="75"/>
        <v>#N/A</v>
      </c>
      <c r="AI119" s="534"/>
      <c r="AJ119" s="318"/>
      <c r="AK119" s="318"/>
      <c r="AL119" s="318"/>
      <c r="AM119" s="304" t="e">
        <f t="shared" si="76"/>
        <v>#N/A</v>
      </c>
      <c r="AN119" s="534"/>
      <c r="AO119" s="318"/>
      <c r="AP119" s="318"/>
      <c r="AQ119" s="318"/>
      <c r="AR119" s="304" t="e">
        <f t="shared" si="77"/>
        <v>#N/A</v>
      </c>
      <c r="AS119" s="534"/>
      <c r="AT119" s="318"/>
      <c r="AU119" s="318"/>
      <c r="AV119" s="318"/>
      <c r="AW119" s="304" t="e">
        <f t="shared" si="78"/>
        <v>#N/A</v>
      </c>
      <c r="AX119" s="534"/>
    </row>
    <row r="120" spans="2:50">
      <c r="B120" s="565"/>
      <c r="C120" s="463">
        <v>14</v>
      </c>
      <c r="D120" s="467"/>
      <c r="E120" s="464" t="s">
        <v>578</v>
      </c>
      <c r="F120" s="464" t="s">
        <v>578</v>
      </c>
      <c r="G120" s="464" t="s">
        <v>578</v>
      </c>
      <c r="H120" s="547"/>
      <c r="I120" s="463"/>
      <c r="J120" s="463"/>
      <c r="K120" s="463"/>
      <c r="L120" s="547"/>
      <c r="M120" s="464" t="e">
        <f>RANK(K120, K$107:$K$121)</f>
        <v>#N/A</v>
      </c>
      <c r="N120" s="544"/>
      <c r="O120" s="544"/>
      <c r="P120" s="463" t="s">
        <v>578</v>
      </c>
      <c r="Q120" s="464" t="s">
        <v>578</v>
      </c>
      <c r="R120" s="464" t="s">
        <v>578</v>
      </c>
      <c r="S120" s="463" t="e">
        <f t="shared" si="72"/>
        <v>#VALUE!</v>
      </c>
      <c r="T120" s="536"/>
      <c r="U120" s="463" t="s">
        <v>578</v>
      </c>
      <c r="V120" s="464" t="s">
        <v>578</v>
      </c>
      <c r="W120" s="464" t="s">
        <v>578</v>
      </c>
      <c r="X120" s="463" t="e">
        <f t="shared" si="73"/>
        <v>#VALUE!</v>
      </c>
      <c r="Y120" s="536"/>
      <c r="Z120" s="318"/>
      <c r="AA120" s="318"/>
      <c r="AB120" s="318"/>
      <c r="AC120" s="304" t="e">
        <f t="shared" si="74"/>
        <v>#N/A</v>
      </c>
      <c r="AD120" s="534"/>
      <c r="AE120" s="318"/>
      <c r="AF120" s="318"/>
      <c r="AG120" s="318"/>
      <c r="AH120" s="304" t="e">
        <f t="shared" si="75"/>
        <v>#N/A</v>
      </c>
      <c r="AI120" s="534"/>
      <c r="AJ120" s="318"/>
      <c r="AK120" s="318"/>
      <c r="AL120" s="318"/>
      <c r="AM120" s="304" t="e">
        <f t="shared" si="76"/>
        <v>#N/A</v>
      </c>
      <c r="AN120" s="534"/>
      <c r="AO120" s="318"/>
      <c r="AP120" s="318"/>
      <c r="AQ120" s="318"/>
      <c r="AR120" s="304" t="e">
        <f t="shared" si="77"/>
        <v>#N/A</v>
      </c>
      <c r="AS120" s="534"/>
      <c r="AT120" s="318"/>
      <c r="AU120" s="318"/>
      <c r="AV120" s="318"/>
      <c r="AW120" s="304" t="e">
        <f t="shared" si="78"/>
        <v>#N/A</v>
      </c>
      <c r="AX120" s="534"/>
    </row>
    <row r="121" spans="2:50">
      <c r="B121" s="565"/>
      <c r="C121" s="463">
        <v>15</v>
      </c>
      <c r="D121" s="467"/>
      <c r="E121" s="464" t="s">
        <v>578</v>
      </c>
      <c r="F121" s="464" t="s">
        <v>578</v>
      </c>
      <c r="G121" s="464" t="s">
        <v>578</v>
      </c>
      <c r="H121" s="606"/>
      <c r="I121" s="463"/>
      <c r="J121" s="463"/>
      <c r="K121" s="463"/>
      <c r="L121" s="606"/>
      <c r="M121" s="464" t="e">
        <f>RANK(K121, K$107:$K$121)</f>
        <v>#N/A</v>
      </c>
      <c r="N121" s="544"/>
      <c r="O121" s="544"/>
      <c r="P121" s="463" t="s">
        <v>578</v>
      </c>
      <c r="Q121" s="464" t="s">
        <v>578</v>
      </c>
      <c r="R121" s="464" t="s">
        <v>578</v>
      </c>
      <c r="S121" s="463" t="e">
        <f t="shared" si="72"/>
        <v>#VALUE!</v>
      </c>
      <c r="T121" s="536"/>
      <c r="U121" s="463" t="s">
        <v>578</v>
      </c>
      <c r="V121" s="464" t="s">
        <v>578</v>
      </c>
      <c r="W121" s="464" t="s">
        <v>578</v>
      </c>
      <c r="X121" s="463" t="e">
        <f t="shared" si="73"/>
        <v>#VALUE!</v>
      </c>
      <c r="Y121" s="536"/>
      <c r="Z121" s="318"/>
      <c r="AA121" s="318"/>
      <c r="AB121" s="318"/>
      <c r="AC121" s="304" t="e">
        <f t="shared" si="74"/>
        <v>#N/A</v>
      </c>
      <c r="AD121" s="534"/>
      <c r="AE121" s="318"/>
      <c r="AF121" s="318"/>
      <c r="AG121" s="318"/>
      <c r="AH121" s="304" t="e">
        <f t="shared" si="75"/>
        <v>#N/A</v>
      </c>
      <c r="AI121" s="534"/>
      <c r="AJ121" s="318"/>
      <c r="AK121" s="318"/>
      <c r="AL121" s="318"/>
      <c r="AM121" s="304" t="e">
        <f t="shared" si="76"/>
        <v>#N/A</v>
      </c>
      <c r="AN121" s="534"/>
      <c r="AO121" s="318"/>
      <c r="AP121" s="318"/>
      <c r="AQ121" s="318"/>
      <c r="AR121" s="304" t="e">
        <f t="shared" si="77"/>
        <v>#N/A</v>
      </c>
      <c r="AS121" s="534"/>
      <c r="AT121" s="318"/>
      <c r="AU121" s="318"/>
      <c r="AV121" s="318"/>
      <c r="AW121" s="304" t="e">
        <f t="shared" si="78"/>
        <v>#N/A</v>
      </c>
      <c r="AX121" s="534"/>
    </row>
    <row r="123" spans="2:50" ht="15.5">
      <c r="B123" s="540" t="s">
        <v>485</v>
      </c>
      <c r="C123" s="541"/>
      <c r="D123" s="541"/>
      <c r="E123" s="541"/>
      <c r="F123" s="541"/>
      <c r="G123" s="541"/>
      <c r="H123" s="542"/>
      <c r="I123" s="308"/>
      <c r="J123" s="308"/>
      <c r="K123" s="308"/>
      <c r="L123" s="308"/>
      <c r="M123" s="309"/>
    </row>
    <row r="124" spans="2:50" ht="15.5">
      <c r="B124" s="543"/>
      <c r="C124" s="543"/>
      <c r="D124" s="543"/>
      <c r="E124" s="543"/>
      <c r="F124" s="543"/>
      <c r="G124" s="543"/>
      <c r="H124" s="543"/>
      <c r="I124" s="310"/>
      <c r="J124" s="310"/>
      <c r="K124" s="310"/>
      <c r="L124" s="310"/>
      <c r="M124" s="311"/>
    </row>
    <row r="125" spans="2:50">
      <c r="B125" s="544" t="s">
        <v>486</v>
      </c>
      <c r="C125" s="544" t="s">
        <v>487</v>
      </c>
      <c r="D125" s="544"/>
      <c r="E125" s="544" t="s">
        <v>488</v>
      </c>
      <c r="F125" s="544"/>
      <c r="G125" s="544"/>
      <c r="H125" s="561" t="s">
        <v>489</v>
      </c>
      <c r="I125" s="545" t="s">
        <v>490</v>
      </c>
      <c r="J125" s="545"/>
      <c r="K125" s="545"/>
      <c r="L125" s="600" t="s">
        <v>489</v>
      </c>
      <c r="M125" s="603" t="s">
        <v>491</v>
      </c>
    </row>
    <row r="126" spans="2:50">
      <c r="B126" s="544"/>
      <c r="C126" s="544"/>
      <c r="D126" s="544"/>
      <c r="E126" s="544" t="s">
        <v>492</v>
      </c>
      <c r="F126" s="544"/>
      <c r="G126" s="544"/>
      <c r="H126" s="562"/>
      <c r="I126" s="545" t="s">
        <v>492</v>
      </c>
      <c r="J126" s="545"/>
      <c r="K126" s="545"/>
      <c r="L126" s="601"/>
      <c r="M126" s="604"/>
    </row>
    <row r="127" spans="2:50">
      <c r="B127" s="544"/>
      <c r="C127" s="544"/>
      <c r="D127" s="544"/>
      <c r="E127" s="305" t="s">
        <v>493</v>
      </c>
      <c r="F127" s="305" t="s">
        <v>494</v>
      </c>
      <c r="G127" s="305" t="s">
        <v>495</v>
      </c>
      <c r="H127" s="563"/>
      <c r="I127" s="312" t="s">
        <v>493</v>
      </c>
      <c r="J127" s="312" t="s">
        <v>494</v>
      </c>
      <c r="K127" s="312" t="s">
        <v>495</v>
      </c>
      <c r="L127" s="602"/>
      <c r="M127" s="605"/>
    </row>
    <row r="128" spans="2:50">
      <c r="B128" s="596" t="s">
        <v>497</v>
      </c>
      <c r="C128" s="304">
        <v>1</v>
      </c>
      <c r="D128" s="226" t="s">
        <v>371</v>
      </c>
      <c r="E128" s="182">
        <v>10</v>
      </c>
      <c r="F128" s="304">
        <v>1500</v>
      </c>
      <c r="G128" s="307">
        <v>150</v>
      </c>
      <c r="H128" s="597">
        <f>AVERAGE(G128:G142)</f>
        <v>167.14285714285714</v>
      </c>
      <c r="I128" s="199">
        <f t="shared" ref="I128:K134" si="80">AVERAGEIF($D$7:$D$121,$D128,I$7:I$121)</f>
        <v>10</v>
      </c>
      <c r="J128" s="199">
        <f t="shared" si="80"/>
        <v>1362.7976190476186</v>
      </c>
      <c r="K128" s="468">
        <f>AVERAGEIF($D$7:$D$121,$D128,K$7:K$121)</f>
        <v>136.27976190476184</v>
      </c>
      <c r="L128" s="587">
        <f>AVERAGE(K128:K134)</f>
        <v>167.31438123986405</v>
      </c>
      <c r="M128" s="199">
        <f>RANK(K128, K$128:$K$142)</f>
        <v>5</v>
      </c>
    </row>
    <row r="129" spans="2:13">
      <c r="B129" s="533"/>
      <c r="C129" s="304">
        <v>2</v>
      </c>
      <c r="D129" s="226" t="s">
        <v>372</v>
      </c>
      <c r="E129" s="182">
        <v>15</v>
      </c>
      <c r="F129" s="304">
        <v>1800</v>
      </c>
      <c r="G129" s="307">
        <v>120</v>
      </c>
      <c r="H129" s="598"/>
      <c r="I129" s="199">
        <f t="shared" si="80"/>
        <v>12.119047619047619</v>
      </c>
      <c r="J129" s="199">
        <f t="shared" si="80"/>
        <v>1762.9052154195015</v>
      </c>
      <c r="K129" s="468">
        <f t="shared" si="80"/>
        <v>145.65539275539277</v>
      </c>
      <c r="L129" s="588"/>
      <c r="M129" s="199">
        <f>RANK(K129, K$128:$K$142)</f>
        <v>4</v>
      </c>
    </row>
    <row r="130" spans="2:13">
      <c r="B130" s="533"/>
      <c r="C130" s="304">
        <v>3</v>
      </c>
      <c r="D130" s="226" t="s">
        <v>373</v>
      </c>
      <c r="E130" s="182">
        <v>15</v>
      </c>
      <c r="F130" s="304">
        <v>1800</v>
      </c>
      <c r="G130" s="307">
        <v>120</v>
      </c>
      <c r="H130" s="598"/>
      <c r="I130" s="199">
        <f t="shared" si="80"/>
        <v>12.119047619047619</v>
      </c>
      <c r="J130" s="199">
        <f t="shared" si="80"/>
        <v>1770.6564505234717</v>
      </c>
      <c r="K130" s="468">
        <f t="shared" si="80"/>
        <v>146.29507283637221</v>
      </c>
      <c r="L130" s="588"/>
      <c r="M130" s="199">
        <f>RANK(K130, K$128:$K$142)</f>
        <v>3</v>
      </c>
    </row>
    <row r="131" spans="2:13">
      <c r="B131" s="533"/>
      <c r="C131" s="304">
        <v>4</v>
      </c>
      <c r="D131" s="226" t="s">
        <v>571</v>
      </c>
      <c r="E131" s="182">
        <v>5</v>
      </c>
      <c r="F131" s="304">
        <v>1500</v>
      </c>
      <c r="G131" s="307">
        <v>300</v>
      </c>
      <c r="H131" s="598"/>
      <c r="I131" s="199">
        <f t="shared" si="80"/>
        <v>5.9285714285714279</v>
      </c>
      <c r="J131" s="199">
        <f t="shared" si="80"/>
        <v>1521.3196073067877</v>
      </c>
      <c r="K131" s="468">
        <f t="shared" si="80"/>
        <v>257.07784225722452</v>
      </c>
      <c r="L131" s="588"/>
      <c r="M131" s="199">
        <f>RANK(K131, K$128:$K$142)</f>
        <v>2</v>
      </c>
    </row>
    <row r="132" spans="2:13">
      <c r="B132" s="533"/>
      <c r="C132" s="304">
        <v>5</v>
      </c>
      <c r="D132" s="313" t="s">
        <v>1010</v>
      </c>
      <c r="E132" s="182">
        <v>5</v>
      </c>
      <c r="F132" s="304">
        <v>1500</v>
      </c>
      <c r="G132" s="307">
        <v>300</v>
      </c>
      <c r="H132" s="598"/>
      <c r="I132" s="199">
        <f t="shared" si="80"/>
        <v>5</v>
      </c>
      <c r="J132" s="199">
        <f t="shared" si="80"/>
        <v>1516.8358719942153</v>
      </c>
      <c r="K132" s="468">
        <f t="shared" si="80"/>
        <v>303.36717439884302</v>
      </c>
      <c r="L132" s="588"/>
      <c r="M132" s="199">
        <f>RANK(K132, K$128:$K$142)</f>
        <v>1</v>
      </c>
    </row>
    <row r="133" spans="2:13">
      <c r="B133" s="533"/>
      <c r="C133" s="304">
        <v>6</v>
      </c>
      <c r="D133" s="313" t="s">
        <v>574</v>
      </c>
      <c r="E133" s="182">
        <v>15</v>
      </c>
      <c r="F133" s="304">
        <v>1200</v>
      </c>
      <c r="G133" s="307">
        <v>80</v>
      </c>
      <c r="H133" s="598"/>
      <c r="I133" s="199">
        <f t="shared" si="80"/>
        <v>11.404761904761903</v>
      </c>
      <c r="J133" s="199">
        <f t="shared" si="80"/>
        <v>1152.6886904761914</v>
      </c>
      <c r="K133" s="468">
        <f t="shared" si="80"/>
        <v>102.66354395604401</v>
      </c>
      <c r="L133" s="588"/>
      <c r="M133" s="199">
        <f>RANK(K133, K$128:$K$142)</f>
        <v>6</v>
      </c>
    </row>
    <row r="134" spans="2:13">
      <c r="B134" s="533"/>
      <c r="C134" s="304">
        <v>7</v>
      </c>
      <c r="D134" s="313" t="s">
        <v>1009</v>
      </c>
      <c r="E134" s="182">
        <v>13</v>
      </c>
      <c r="F134" s="304">
        <v>1300</v>
      </c>
      <c r="G134" s="307">
        <v>100</v>
      </c>
      <c r="H134" s="598"/>
      <c r="I134" s="199">
        <f t="shared" si="80"/>
        <v>15</v>
      </c>
      <c r="J134" s="199">
        <f t="shared" si="80"/>
        <v>1197.9282085561499</v>
      </c>
      <c r="K134" s="468">
        <f t="shared" si="80"/>
        <v>79.861880570409994</v>
      </c>
      <c r="L134" s="588"/>
      <c r="M134" s="199">
        <f>RANK(K134, K$128:$K$142)</f>
        <v>7</v>
      </c>
    </row>
    <row r="135" spans="2:13">
      <c r="B135" s="533"/>
      <c r="C135" s="304">
        <v>8</v>
      </c>
      <c r="D135" s="226"/>
      <c r="E135" s="182"/>
      <c r="F135" s="304"/>
      <c r="G135" s="307"/>
      <c r="H135" s="598"/>
      <c r="I135" s="401"/>
      <c r="J135" s="401"/>
      <c r="K135" s="468"/>
      <c r="L135" s="588"/>
      <c r="M135" s="199" t="e">
        <f>RANK(K135, K$128:$K$142)</f>
        <v>#N/A</v>
      </c>
    </row>
    <row r="136" spans="2:13">
      <c r="B136" s="533"/>
      <c r="C136" s="304">
        <v>9</v>
      </c>
      <c r="D136" s="226"/>
      <c r="E136" s="304"/>
      <c r="F136" s="304"/>
      <c r="G136" s="304"/>
      <c r="H136" s="598"/>
      <c r="I136" s="199"/>
      <c r="J136" s="199"/>
      <c r="K136" s="468"/>
      <c r="L136" s="588"/>
      <c r="M136" s="199" t="e">
        <f>RANK(K136, K$128:$K$142)</f>
        <v>#N/A</v>
      </c>
    </row>
    <row r="137" spans="2:13">
      <c r="B137" s="533"/>
      <c r="C137" s="304">
        <v>10</v>
      </c>
      <c r="D137" s="226"/>
      <c r="E137" s="304"/>
      <c r="F137" s="304"/>
      <c r="G137" s="304"/>
      <c r="H137" s="598"/>
      <c r="I137" s="199"/>
      <c r="J137" s="199"/>
      <c r="K137" s="468"/>
      <c r="L137" s="588"/>
      <c r="M137" s="199" t="e">
        <f>RANK(K137, K$128:$K$142)</f>
        <v>#N/A</v>
      </c>
    </row>
    <row r="138" spans="2:13">
      <c r="B138" s="533"/>
      <c r="C138" s="304">
        <v>11</v>
      </c>
      <c r="D138" s="226"/>
      <c r="E138" s="304"/>
      <c r="F138" s="304"/>
      <c r="G138" s="304"/>
      <c r="H138" s="598"/>
      <c r="I138" s="199"/>
      <c r="J138" s="199"/>
      <c r="K138" s="468"/>
      <c r="L138" s="588"/>
      <c r="M138" s="199" t="e">
        <f>RANK(K138, K$128:$K$142)</f>
        <v>#N/A</v>
      </c>
    </row>
    <row r="139" spans="2:13">
      <c r="B139" s="533"/>
      <c r="C139" s="304">
        <v>12</v>
      </c>
      <c r="D139" s="226"/>
      <c r="E139" s="304"/>
      <c r="F139" s="304"/>
      <c r="G139" s="304"/>
      <c r="H139" s="598"/>
      <c r="I139" s="199"/>
      <c r="J139" s="199"/>
      <c r="K139" s="468"/>
      <c r="L139" s="588"/>
      <c r="M139" s="199" t="e">
        <f>RANK(K139, K$128:$K$142)</f>
        <v>#N/A</v>
      </c>
    </row>
    <row r="140" spans="2:13">
      <c r="B140" s="533"/>
      <c r="C140" s="304">
        <v>13</v>
      </c>
      <c r="D140" s="226"/>
      <c r="E140" s="304"/>
      <c r="F140" s="304"/>
      <c r="G140" s="304"/>
      <c r="H140" s="598"/>
      <c r="I140" s="199"/>
      <c r="J140" s="199"/>
      <c r="K140" s="468"/>
      <c r="L140" s="588"/>
      <c r="M140" s="199" t="e">
        <f>RANK(K140, K$128:$K$142)</f>
        <v>#N/A</v>
      </c>
    </row>
    <row r="141" spans="2:13">
      <c r="B141" s="533"/>
      <c r="C141" s="304">
        <v>14</v>
      </c>
      <c r="D141" s="226"/>
      <c r="E141" s="304"/>
      <c r="F141" s="304"/>
      <c r="G141" s="304"/>
      <c r="H141" s="598"/>
      <c r="I141" s="199"/>
      <c r="J141" s="199"/>
      <c r="K141" s="468"/>
      <c r="L141" s="588"/>
      <c r="M141" s="199" t="e">
        <f>RANK(K141, K$128:$K$142)</f>
        <v>#N/A</v>
      </c>
    </row>
    <row r="142" spans="2:13">
      <c r="B142" s="533"/>
      <c r="C142" s="304">
        <v>15</v>
      </c>
      <c r="D142" s="226"/>
      <c r="E142" s="304"/>
      <c r="F142" s="304"/>
      <c r="G142" s="304"/>
      <c r="H142" s="599"/>
      <c r="I142" s="199"/>
      <c r="J142" s="199"/>
      <c r="K142" s="468"/>
      <c r="L142" s="589"/>
      <c r="M142" s="199" t="e">
        <f>RANK(K142, K$128:$K$142)</f>
        <v>#N/A</v>
      </c>
    </row>
  </sheetData>
  <mergeCells count="367">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T22:AX22"/>
    <mergeCell ref="P23:T23"/>
    <mergeCell ref="U23:Y23"/>
    <mergeCell ref="Z23:AD23"/>
    <mergeCell ref="AE23:AI23"/>
    <mergeCell ref="AJ23:AN23"/>
    <mergeCell ref="AO23:AS23"/>
    <mergeCell ref="AT23:AX23"/>
    <mergeCell ref="AX7:AX21"/>
    <mergeCell ref="B22:H23"/>
    <mergeCell ref="N22:N23"/>
    <mergeCell ref="O22:O23"/>
    <mergeCell ref="P22:T22"/>
    <mergeCell ref="U22:Y22"/>
    <mergeCell ref="Z22:AD22"/>
    <mergeCell ref="AE22:AI22"/>
    <mergeCell ref="AJ22:AN22"/>
    <mergeCell ref="AO22:AS22"/>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102:H103"/>
    <mergeCell ref="N102:N103"/>
    <mergeCell ref="O102:O103"/>
    <mergeCell ref="P102:T102"/>
    <mergeCell ref="U102:Y102"/>
    <mergeCell ref="Z102:AD102"/>
    <mergeCell ref="AE102:AI102"/>
    <mergeCell ref="AJ102:AN102"/>
    <mergeCell ref="AO102:AS102"/>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s>
  <phoneticPr fontId="11"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142"/>
  <sheetViews>
    <sheetView topLeftCell="A120" zoomScaleNormal="100" workbookViewId="0">
      <pane xSplit="15" topLeftCell="P1" activePane="topRight" state="frozen"/>
      <selection activeCell="B144" sqref="B144:AX176"/>
      <selection pane="topRight" activeCell="E136" sqref="E136"/>
    </sheetView>
  </sheetViews>
  <sheetFormatPr defaultColWidth="8.81640625" defaultRowHeight="12.5"/>
  <cols>
    <col min="1" max="1" width="5.54296875" style="108" customWidth="1"/>
    <col min="2" max="2" width="12.453125" style="108" customWidth="1"/>
    <col min="3" max="3" width="8.81640625" style="107"/>
    <col min="4" max="4" width="26.453125" style="107" customWidth="1"/>
    <col min="5" max="7" width="8.453125" style="107" customWidth="1"/>
    <col min="8" max="8" width="11.1796875" style="107" bestFit="1" customWidth="1"/>
    <col min="9" max="12" width="11.1796875" style="107" customWidth="1"/>
    <col min="13" max="13" width="13.54296875" style="107" customWidth="1"/>
    <col min="14" max="14" width="9.81640625" style="107" customWidth="1"/>
    <col min="15" max="15" width="7.1796875" style="107" customWidth="1"/>
    <col min="16" max="18" width="12.81640625" style="107" customWidth="1"/>
    <col min="19" max="19" width="5.453125" style="107" customWidth="1"/>
    <col min="20" max="20" width="12.81640625" style="107" customWidth="1"/>
    <col min="21" max="23" width="12.81640625" style="108" customWidth="1"/>
    <col min="24" max="24" width="5.453125" style="107" customWidth="1"/>
    <col min="25" max="28" width="12.81640625" style="108" customWidth="1"/>
    <col min="29" max="29" width="5.453125" style="107" customWidth="1"/>
    <col min="30" max="30" width="12.81640625" style="108" customWidth="1"/>
    <col min="31" max="33" width="12.54296875" style="108" customWidth="1"/>
    <col min="34" max="34" width="5.453125" style="107" customWidth="1"/>
    <col min="35" max="35" width="13" style="108" customWidth="1"/>
    <col min="36" max="38" width="12.54296875" style="108" customWidth="1"/>
    <col min="39" max="39" width="5.453125" style="107" customWidth="1"/>
    <col min="40" max="40" width="13" style="108" customWidth="1"/>
    <col min="41" max="43" width="13.1796875" style="108" customWidth="1"/>
    <col min="44" max="44" width="5.453125" style="108" customWidth="1"/>
    <col min="45" max="48" width="13.1796875" style="108" customWidth="1"/>
    <col min="49" max="49" width="5.453125" style="108" customWidth="1"/>
    <col min="50" max="50" width="13.1796875" style="108" customWidth="1"/>
    <col min="51" max="16384" width="8.81640625" style="108"/>
  </cols>
  <sheetData>
    <row r="1" spans="1:54" ht="21">
      <c r="A1" s="75"/>
      <c r="B1" s="221" t="s">
        <v>330</v>
      </c>
      <c r="C1" s="220">
        <f>AVERAGE(L7,L27,L47,L67,L87,L107)</f>
        <v>269.01436619965523</v>
      </c>
    </row>
    <row r="2" spans="1:54" ht="15.5">
      <c r="A2" s="81"/>
      <c r="B2" s="555" t="s">
        <v>163</v>
      </c>
      <c r="C2" s="555"/>
      <c r="D2" s="555"/>
      <c r="E2" s="555"/>
      <c r="F2" s="555"/>
      <c r="G2" s="555"/>
      <c r="H2" s="555"/>
      <c r="I2" s="287"/>
      <c r="J2" s="287"/>
      <c r="K2" s="287"/>
      <c r="L2" s="287"/>
      <c r="M2" s="197"/>
      <c r="N2" s="559" t="s">
        <v>156</v>
      </c>
      <c r="O2" s="559" t="s">
        <v>155</v>
      </c>
      <c r="P2" s="607"/>
      <c r="Q2" s="608"/>
      <c r="R2" s="608"/>
      <c r="S2" s="608"/>
      <c r="T2" s="609"/>
      <c r="U2" s="554"/>
      <c r="V2" s="533"/>
      <c r="W2" s="533"/>
      <c r="X2" s="533"/>
      <c r="Y2" s="533"/>
      <c r="Z2" s="554"/>
      <c r="AA2" s="533"/>
      <c r="AB2" s="533"/>
      <c r="AC2" s="533"/>
      <c r="AD2" s="533"/>
      <c r="AE2" s="554"/>
      <c r="AF2" s="533"/>
      <c r="AG2" s="533"/>
      <c r="AH2" s="533"/>
      <c r="AI2" s="533"/>
      <c r="AJ2" s="554">
        <v>45962</v>
      </c>
      <c r="AK2" s="533"/>
      <c r="AL2" s="533"/>
      <c r="AM2" s="533"/>
      <c r="AN2" s="533"/>
      <c r="AO2" s="554">
        <f>AJ2+1</f>
        <v>45963</v>
      </c>
      <c r="AP2" s="533"/>
      <c r="AQ2" s="533"/>
      <c r="AR2" s="533"/>
      <c r="AS2" s="533"/>
      <c r="AT2" s="554">
        <v>46357</v>
      </c>
      <c r="AU2" s="533"/>
      <c r="AV2" s="533"/>
      <c r="AW2" s="533"/>
      <c r="AX2" s="533"/>
    </row>
    <row r="3" spans="1:54" ht="15.5">
      <c r="A3" s="81"/>
      <c r="B3" s="566"/>
      <c r="C3" s="566"/>
      <c r="D3" s="566"/>
      <c r="E3" s="566"/>
      <c r="F3" s="566"/>
      <c r="G3" s="566"/>
      <c r="H3" s="566"/>
      <c r="I3" s="288"/>
      <c r="J3" s="288"/>
      <c r="K3" s="288"/>
      <c r="L3" s="288"/>
      <c r="M3" s="198"/>
      <c r="N3" s="560"/>
      <c r="O3" s="560"/>
      <c r="P3" s="551"/>
      <c r="Q3" s="552"/>
      <c r="R3" s="552"/>
      <c r="S3" s="552"/>
      <c r="T3" s="553"/>
      <c r="U3" s="551"/>
      <c r="V3" s="552"/>
      <c r="W3" s="552"/>
      <c r="X3" s="552"/>
      <c r="Y3" s="553"/>
      <c r="Z3" s="551"/>
      <c r="AA3" s="552"/>
      <c r="AB3" s="552"/>
      <c r="AC3" s="552"/>
      <c r="AD3" s="553"/>
      <c r="AE3" s="551"/>
      <c r="AF3" s="552"/>
      <c r="AG3" s="552"/>
      <c r="AH3" s="552"/>
      <c r="AI3" s="553"/>
      <c r="AJ3" s="551" t="s">
        <v>160</v>
      </c>
      <c r="AK3" s="552"/>
      <c r="AL3" s="552"/>
      <c r="AM3" s="552"/>
      <c r="AN3" s="553"/>
      <c r="AO3" s="551" t="s">
        <v>161</v>
      </c>
      <c r="AP3" s="552"/>
      <c r="AQ3" s="552"/>
      <c r="AR3" s="552"/>
      <c r="AS3" s="553"/>
      <c r="AT3" s="551" t="s">
        <v>162</v>
      </c>
      <c r="AU3" s="552"/>
      <c r="AV3" s="552"/>
      <c r="AW3" s="552"/>
      <c r="AX3" s="553"/>
    </row>
    <row r="4" spans="1:54">
      <c r="A4" s="81"/>
      <c r="B4" s="544" t="s">
        <v>649</v>
      </c>
      <c r="C4" s="544" t="s">
        <v>650</v>
      </c>
      <c r="D4" s="544"/>
      <c r="E4" s="544" t="s">
        <v>651</v>
      </c>
      <c r="F4" s="544"/>
      <c r="G4" s="544"/>
      <c r="H4" s="561" t="s">
        <v>652</v>
      </c>
      <c r="I4" s="583" t="s">
        <v>653</v>
      </c>
      <c r="J4" s="583"/>
      <c r="K4" s="583"/>
      <c r="L4" s="584" t="s">
        <v>652</v>
      </c>
      <c r="M4" s="567" t="s">
        <v>654</v>
      </c>
      <c r="N4" s="544"/>
      <c r="O4" s="544" t="s">
        <v>655</v>
      </c>
      <c r="P4" s="548" t="s">
        <v>656</v>
      </c>
      <c r="Q4" s="549"/>
      <c r="R4" s="549"/>
      <c r="S4" s="550"/>
      <c r="T4" s="544" t="s">
        <v>652</v>
      </c>
      <c r="U4" s="548" t="s">
        <v>656</v>
      </c>
      <c r="V4" s="549"/>
      <c r="W4" s="549"/>
      <c r="X4" s="550"/>
      <c r="Y4" s="544" t="s">
        <v>652</v>
      </c>
      <c r="Z4" s="548" t="s">
        <v>656</v>
      </c>
      <c r="AA4" s="549"/>
      <c r="AB4" s="549"/>
      <c r="AC4" s="550"/>
      <c r="AD4" s="544" t="s">
        <v>652</v>
      </c>
      <c r="AE4" s="548" t="s">
        <v>656</v>
      </c>
      <c r="AF4" s="549"/>
      <c r="AG4" s="549"/>
      <c r="AH4" s="550"/>
      <c r="AI4" s="544" t="s">
        <v>652</v>
      </c>
      <c r="AJ4" s="548" t="s">
        <v>656</v>
      </c>
      <c r="AK4" s="549"/>
      <c r="AL4" s="549"/>
      <c r="AM4" s="550"/>
      <c r="AN4" s="544" t="s">
        <v>652</v>
      </c>
      <c r="AO4" s="548" t="s">
        <v>656</v>
      </c>
      <c r="AP4" s="549"/>
      <c r="AQ4" s="549"/>
      <c r="AR4" s="550"/>
      <c r="AS4" s="544" t="s">
        <v>652</v>
      </c>
      <c r="AT4" s="548" t="s">
        <v>656</v>
      </c>
      <c r="AU4" s="549"/>
      <c r="AV4" s="549"/>
      <c r="AW4" s="550"/>
      <c r="AX4" s="544" t="s">
        <v>652</v>
      </c>
    </row>
    <row r="5" spans="1:54">
      <c r="A5" s="81"/>
      <c r="B5" s="544"/>
      <c r="C5" s="544"/>
      <c r="D5" s="544"/>
      <c r="E5" s="544" t="s">
        <v>657</v>
      </c>
      <c r="F5" s="544"/>
      <c r="G5" s="544"/>
      <c r="H5" s="562"/>
      <c r="I5" s="583" t="s">
        <v>657</v>
      </c>
      <c r="J5" s="583"/>
      <c r="K5" s="583"/>
      <c r="L5" s="585"/>
      <c r="M5" s="568"/>
      <c r="N5" s="544"/>
      <c r="O5" s="544"/>
      <c r="P5" s="548" t="s">
        <v>658</v>
      </c>
      <c r="Q5" s="549"/>
      <c r="R5" s="549"/>
      <c r="S5" s="550"/>
      <c r="T5" s="544"/>
      <c r="U5" s="548" t="s">
        <v>658</v>
      </c>
      <c r="V5" s="549"/>
      <c r="W5" s="549"/>
      <c r="X5" s="550"/>
      <c r="Y5" s="544"/>
      <c r="Z5" s="548" t="s">
        <v>658</v>
      </c>
      <c r="AA5" s="549"/>
      <c r="AB5" s="549"/>
      <c r="AC5" s="550"/>
      <c r="AD5" s="544"/>
      <c r="AE5" s="548" t="s">
        <v>658</v>
      </c>
      <c r="AF5" s="549"/>
      <c r="AG5" s="549"/>
      <c r="AH5" s="550"/>
      <c r="AI5" s="544"/>
      <c r="AJ5" s="548" t="s">
        <v>658</v>
      </c>
      <c r="AK5" s="549"/>
      <c r="AL5" s="549"/>
      <c r="AM5" s="550"/>
      <c r="AN5" s="544"/>
      <c r="AO5" s="548" t="s">
        <v>658</v>
      </c>
      <c r="AP5" s="549"/>
      <c r="AQ5" s="549"/>
      <c r="AR5" s="550"/>
      <c r="AS5" s="544"/>
      <c r="AT5" s="548" t="s">
        <v>658</v>
      </c>
      <c r="AU5" s="549"/>
      <c r="AV5" s="549"/>
      <c r="AW5" s="550"/>
      <c r="AX5" s="544"/>
    </row>
    <row r="6" spans="1:54">
      <c r="A6" s="79"/>
      <c r="B6" s="544"/>
      <c r="C6" s="544"/>
      <c r="D6" s="544"/>
      <c r="E6" s="403" t="s">
        <v>659</v>
      </c>
      <c r="F6" s="403" t="s">
        <v>660</v>
      </c>
      <c r="G6" s="403" t="s">
        <v>661</v>
      </c>
      <c r="H6" s="563"/>
      <c r="I6" s="402" t="s">
        <v>659</v>
      </c>
      <c r="J6" s="402" t="s">
        <v>660</v>
      </c>
      <c r="K6" s="402" t="s">
        <v>661</v>
      </c>
      <c r="L6" s="586"/>
      <c r="M6" s="569"/>
      <c r="N6" s="544"/>
      <c r="O6" s="544"/>
      <c r="P6" s="403" t="s">
        <v>659</v>
      </c>
      <c r="Q6" s="403" t="s">
        <v>660</v>
      </c>
      <c r="R6" s="403" t="s">
        <v>661</v>
      </c>
      <c r="S6" s="403" t="s">
        <v>654</v>
      </c>
      <c r="T6" s="544"/>
      <c r="U6" s="403" t="s">
        <v>659</v>
      </c>
      <c r="V6" s="403" t="s">
        <v>660</v>
      </c>
      <c r="W6" s="403" t="s">
        <v>661</v>
      </c>
      <c r="X6" s="403" t="s">
        <v>654</v>
      </c>
      <c r="Y6" s="544"/>
      <c r="Z6" s="403" t="s">
        <v>659</v>
      </c>
      <c r="AA6" s="403" t="s">
        <v>660</v>
      </c>
      <c r="AB6" s="403" t="s">
        <v>661</v>
      </c>
      <c r="AC6" s="403" t="s">
        <v>654</v>
      </c>
      <c r="AD6" s="544"/>
      <c r="AE6" s="403" t="s">
        <v>659</v>
      </c>
      <c r="AF6" s="403" t="s">
        <v>660</v>
      </c>
      <c r="AG6" s="403" t="s">
        <v>661</v>
      </c>
      <c r="AH6" s="403" t="s">
        <v>654</v>
      </c>
      <c r="AI6" s="544"/>
      <c r="AJ6" s="403" t="s">
        <v>659</v>
      </c>
      <c r="AK6" s="403" t="s">
        <v>660</v>
      </c>
      <c r="AL6" s="403" t="s">
        <v>661</v>
      </c>
      <c r="AM6" s="403" t="s">
        <v>654</v>
      </c>
      <c r="AN6" s="544"/>
      <c r="AO6" s="403" t="s">
        <v>659</v>
      </c>
      <c r="AP6" s="403" t="s">
        <v>660</v>
      </c>
      <c r="AQ6" s="403" t="s">
        <v>661</v>
      </c>
      <c r="AR6" s="403" t="s">
        <v>654</v>
      </c>
      <c r="AS6" s="544"/>
      <c r="AT6" s="403" t="s">
        <v>659</v>
      </c>
      <c r="AU6" s="403" t="s">
        <v>660</v>
      </c>
      <c r="AV6" s="403" t="s">
        <v>661</v>
      </c>
      <c r="AW6" s="403" t="s">
        <v>654</v>
      </c>
      <c r="AX6" s="544"/>
    </row>
    <row r="7" spans="1:54">
      <c r="A7" s="81"/>
      <c r="B7" s="596" t="s">
        <v>666</v>
      </c>
      <c r="C7" s="404">
        <v>1</v>
      </c>
      <c r="D7" s="226" t="s">
        <v>403</v>
      </c>
      <c r="E7" s="182">
        <v>4</v>
      </c>
      <c r="F7" s="404">
        <v>2000</v>
      </c>
      <c r="G7" s="405">
        <v>500</v>
      </c>
      <c r="H7" s="597">
        <f>AVERAGE(G7:G21)</f>
        <v>261.8778943278943</v>
      </c>
      <c r="I7" s="408">
        <f>AVERAGE(P7,U7,Z7,AE7,AJ7,AO7,AT7)</f>
        <v>4</v>
      </c>
      <c r="J7" s="408">
        <f>AVERAGE(Q7,V7,AA7,AF7,AK7,AP7,AU7)</f>
        <v>2105.7142857142935</v>
      </c>
      <c r="K7" s="406">
        <f>AVERAGE(R7,W7,AB7,AG7,AL7,AQ7,AV7)</f>
        <v>526.42857142857338</v>
      </c>
      <c r="L7" s="587">
        <f>IFERROR(AVERAGE(K7:K21),"-")</f>
        <v>263.75908145621662</v>
      </c>
      <c r="M7" s="407">
        <f>RANK(K7, $K$7:K$21)</f>
        <v>2</v>
      </c>
      <c r="N7" s="544"/>
      <c r="O7" s="544"/>
      <c r="P7" s="182"/>
      <c r="Q7" s="182"/>
      <c r="R7" s="182"/>
      <c r="S7" s="404" t="e">
        <f>RANK(R7, R$7:R$21)</f>
        <v>#N/A</v>
      </c>
      <c r="T7" s="534" t="e">
        <f>AVERAGE(R7:R21)</f>
        <v>#DIV/0!</v>
      </c>
      <c r="U7" s="182"/>
      <c r="V7" s="182"/>
      <c r="W7" s="182"/>
      <c r="X7" s="404" t="e">
        <f t="shared" ref="X7:X21" si="0">RANK(W7, W$7:W$21)</f>
        <v>#N/A</v>
      </c>
      <c r="Y7" s="534" t="e">
        <f t="shared" ref="Y7" si="1">AVERAGE(W7:W21)</f>
        <v>#DIV/0!</v>
      </c>
      <c r="Z7" s="182"/>
      <c r="AA7" s="182"/>
      <c r="AB7" s="182"/>
      <c r="AC7" s="404" t="e">
        <f t="shared" ref="AC7:AC21" si="2">RANK(AB7, AB$7:AB$21)</f>
        <v>#N/A</v>
      </c>
      <c r="AD7" s="534" t="e">
        <f t="shared" ref="AD7" si="3">AVERAGE(AB7:AB21)</f>
        <v>#DIV/0!</v>
      </c>
      <c r="AE7" s="182"/>
      <c r="AF7" s="182"/>
      <c r="AG7" s="182"/>
      <c r="AH7" s="404" t="e">
        <f t="shared" ref="AH7:AH21" si="4">RANK(AG7, AG$7:AG$21)</f>
        <v>#N/A</v>
      </c>
      <c r="AI7" s="534" t="e">
        <f t="shared" ref="AI7" si="5">AVERAGE(AG7:AG21)</f>
        <v>#DIV/0!</v>
      </c>
      <c r="AJ7" s="182"/>
      <c r="AK7" s="182"/>
      <c r="AL7" s="182"/>
      <c r="AM7" s="404" t="e">
        <f t="shared" ref="AM7:AM21" si="6">RANK(AL7, AL$7:AL$21)</f>
        <v>#N/A</v>
      </c>
      <c r="AN7" s="534" t="e">
        <f t="shared" ref="AN7" si="7">AVERAGE(AL7:AL21)</f>
        <v>#DIV/0!</v>
      </c>
      <c r="AO7" s="182"/>
      <c r="AP7" s="182"/>
      <c r="AQ7" s="182"/>
      <c r="AR7" s="404" t="e">
        <f t="shared" ref="AR7:AR21" si="8">RANK(AQ7, AQ$7:AQ$21)</f>
        <v>#N/A</v>
      </c>
      <c r="AS7" s="534" t="e">
        <f t="shared" ref="AS7" si="9">AVERAGE(AQ7:AQ21)</f>
        <v>#DIV/0!</v>
      </c>
      <c r="AT7" s="182">
        <v>4</v>
      </c>
      <c r="AU7" s="182">
        <v>2105.7142857142935</v>
      </c>
      <c r="AV7" s="182">
        <v>526.42857142857338</v>
      </c>
      <c r="AW7" s="404">
        <f>RANK(AV7, AV$7:AV$21)</f>
        <v>2</v>
      </c>
      <c r="AX7" s="534">
        <f>AVERAGE(AV7:AV21)</f>
        <v>263.75908145621662</v>
      </c>
      <c r="AZ7" s="321" t="e">
        <f>RANK(AX7, $K$7:AX$21)</f>
        <v>#N/A</v>
      </c>
      <c r="BB7" s="318" t="e">
        <f>RANK(BA7, BA$7:BA$21)</f>
        <v>#N/A</v>
      </c>
    </row>
    <row r="8" spans="1:54" ht="15" customHeight="1">
      <c r="A8" s="81"/>
      <c r="B8" s="533"/>
      <c r="C8" s="404">
        <v>2</v>
      </c>
      <c r="D8" s="226" t="s">
        <v>465</v>
      </c>
      <c r="E8" s="182">
        <v>4</v>
      </c>
      <c r="F8" s="404">
        <v>2000</v>
      </c>
      <c r="G8" s="405">
        <v>500</v>
      </c>
      <c r="H8" s="598"/>
      <c r="I8" s="408">
        <f t="shared" ref="I8:K16" si="10">AVERAGE(P8,U8,Z8,AE8,AJ8,AO8,AT8)</f>
        <v>4</v>
      </c>
      <c r="J8" s="408">
        <f t="shared" si="10"/>
        <v>2109.599999999994</v>
      </c>
      <c r="K8" s="406">
        <f t="shared" si="10"/>
        <v>527.3999999999985</v>
      </c>
      <c r="L8" s="588"/>
      <c r="M8" s="407">
        <f>RANK(K8, $K$7:K$21)</f>
        <v>1</v>
      </c>
      <c r="N8" s="544"/>
      <c r="O8" s="544"/>
      <c r="P8" s="182"/>
      <c r="Q8" s="182"/>
      <c r="R8" s="182"/>
      <c r="S8" s="404" t="e">
        <f t="shared" ref="S8:S21" si="11">RANK(R8, R$7:R$21)</f>
        <v>#N/A</v>
      </c>
      <c r="T8" s="534"/>
      <c r="U8" s="182"/>
      <c r="V8" s="182"/>
      <c r="W8" s="182"/>
      <c r="X8" s="404" t="e">
        <f t="shared" si="0"/>
        <v>#N/A</v>
      </c>
      <c r="Y8" s="534"/>
      <c r="Z8" s="182"/>
      <c r="AA8" s="182"/>
      <c r="AB8" s="182"/>
      <c r="AC8" s="404" t="e">
        <f t="shared" si="2"/>
        <v>#N/A</v>
      </c>
      <c r="AD8" s="534"/>
      <c r="AE8" s="182"/>
      <c r="AF8" s="182"/>
      <c r="AG8" s="182"/>
      <c r="AH8" s="404" t="e">
        <f t="shared" si="4"/>
        <v>#N/A</v>
      </c>
      <c r="AI8" s="534"/>
      <c r="AJ8" s="182"/>
      <c r="AK8" s="182"/>
      <c r="AL8" s="182"/>
      <c r="AM8" s="404" t="e">
        <f t="shared" si="6"/>
        <v>#N/A</v>
      </c>
      <c r="AN8" s="534"/>
      <c r="AO8" s="182"/>
      <c r="AP8" s="182"/>
      <c r="AQ8" s="182"/>
      <c r="AR8" s="404" t="e">
        <f t="shared" si="8"/>
        <v>#N/A</v>
      </c>
      <c r="AS8" s="534"/>
      <c r="AT8" s="182">
        <v>4</v>
      </c>
      <c r="AU8" s="182">
        <v>2109.599999999994</v>
      </c>
      <c r="AV8" s="182">
        <v>527.3999999999985</v>
      </c>
      <c r="AW8" s="404">
        <f t="shared" ref="AW8:AW21" si="12">RANK(AV8, AV$7:AV$21)</f>
        <v>1</v>
      </c>
      <c r="AX8" s="534"/>
      <c r="AZ8" s="321" t="e">
        <f>RANK(AX8, $K$7:AX$21)</f>
        <v>#N/A</v>
      </c>
      <c r="BB8" s="318" t="e">
        <f t="shared" ref="BB8:BB21" si="13">RANK(BA8, BA$7:BA$21)</f>
        <v>#N/A</v>
      </c>
    </row>
    <row r="9" spans="1:54">
      <c r="A9" s="81"/>
      <c r="B9" s="533"/>
      <c r="C9" s="404">
        <v>3</v>
      </c>
      <c r="D9" s="226" t="s">
        <v>404</v>
      </c>
      <c r="E9" s="182">
        <v>12</v>
      </c>
      <c r="F9" s="404">
        <v>2250</v>
      </c>
      <c r="G9" s="405">
        <v>187.5</v>
      </c>
      <c r="H9" s="598"/>
      <c r="I9" s="408">
        <f t="shared" si="10"/>
        <v>12</v>
      </c>
      <c r="J9" s="408">
        <f t="shared" si="10"/>
        <v>2092.7272727272725</v>
      </c>
      <c r="K9" s="406">
        <f t="shared" si="10"/>
        <v>174.39393939393938</v>
      </c>
      <c r="L9" s="588"/>
      <c r="M9" s="407">
        <f>RANK(K9, $K$7:K$21)</f>
        <v>7</v>
      </c>
      <c r="N9" s="544"/>
      <c r="O9" s="544"/>
      <c r="P9" s="182"/>
      <c r="Q9" s="182"/>
      <c r="R9" s="182"/>
      <c r="S9" s="404" t="e">
        <f t="shared" si="11"/>
        <v>#N/A</v>
      </c>
      <c r="T9" s="534"/>
      <c r="U9" s="182"/>
      <c r="V9" s="182"/>
      <c r="W9" s="182"/>
      <c r="X9" s="404" t="e">
        <f t="shared" si="0"/>
        <v>#N/A</v>
      </c>
      <c r="Y9" s="534"/>
      <c r="Z9" s="182"/>
      <c r="AA9" s="182"/>
      <c r="AB9" s="182"/>
      <c r="AC9" s="404" t="e">
        <f t="shared" si="2"/>
        <v>#N/A</v>
      </c>
      <c r="AD9" s="534"/>
      <c r="AE9" s="182"/>
      <c r="AF9" s="182"/>
      <c r="AG9" s="182"/>
      <c r="AH9" s="404" t="e">
        <f t="shared" si="4"/>
        <v>#N/A</v>
      </c>
      <c r="AI9" s="534"/>
      <c r="AJ9" s="182"/>
      <c r="AK9" s="182"/>
      <c r="AL9" s="182"/>
      <c r="AM9" s="404" t="e">
        <f t="shared" si="6"/>
        <v>#N/A</v>
      </c>
      <c r="AN9" s="534"/>
      <c r="AO9" s="182"/>
      <c r="AP9" s="182"/>
      <c r="AQ9" s="182"/>
      <c r="AR9" s="404" t="e">
        <f t="shared" si="8"/>
        <v>#N/A</v>
      </c>
      <c r="AS9" s="534"/>
      <c r="AT9" s="182">
        <v>12</v>
      </c>
      <c r="AU9" s="182">
        <v>2092.7272727272725</v>
      </c>
      <c r="AV9" s="182">
        <v>174.39393939393938</v>
      </c>
      <c r="AW9" s="404">
        <f t="shared" si="12"/>
        <v>7</v>
      </c>
      <c r="AX9" s="534"/>
      <c r="AZ9" s="321" t="e">
        <f>RANK(AX9, $K$7:AX$21)</f>
        <v>#N/A</v>
      </c>
      <c r="BB9" s="318" t="e">
        <f t="shared" si="13"/>
        <v>#N/A</v>
      </c>
    </row>
    <row r="10" spans="1:54">
      <c r="A10" s="81"/>
      <c r="B10" s="533"/>
      <c r="C10" s="404">
        <v>4</v>
      </c>
      <c r="D10" s="226" t="s">
        <v>405</v>
      </c>
      <c r="E10" s="182">
        <v>11</v>
      </c>
      <c r="F10" s="404">
        <v>2118</v>
      </c>
      <c r="G10" s="405">
        <v>192.54545454545453</v>
      </c>
      <c r="H10" s="598"/>
      <c r="I10" s="408">
        <f t="shared" si="10"/>
        <v>11</v>
      </c>
      <c r="J10" s="408">
        <f t="shared" si="10"/>
        <v>2165.9259259259252</v>
      </c>
      <c r="K10" s="406">
        <f t="shared" si="10"/>
        <v>196.90235690235684</v>
      </c>
      <c r="L10" s="588"/>
      <c r="M10" s="407">
        <f>RANK(K10, $K$7:K$21)</f>
        <v>5</v>
      </c>
      <c r="N10" s="544"/>
      <c r="O10" s="544"/>
      <c r="P10" s="182"/>
      <c r="Q10" s="182"/>
      <c r="R10" s="182"/>
      <c r="S10" s="404" t="e">
        <f t="shared" si="11"/>
        <v>#N/A</v>
      </c>
      <c r="T10" s="534"/>
      <c r="U10" s="182"/>
      <c r="V10" s="182"/>
      <c r="W10" s="182"/>
      <c r="X10" s="404" t="e">
        <f t="shared" si="0"/>
        <v>#N/A</v>
      </c>
      <c r="Y10" s="534"/>
      <c r="Z10" s="182"/>
      <c r="AA10" s="182"/>
      <c r="AB10" s="182"/>
      <c r="AC10" s="404" t="e">
        <f t="shared" si="2"/>
        <v>#N/A</v>
      </c>
      <c r="AD10" s="534"/>
      <c r="AE10" s="182"/>
      <c r="AF10" s="182"/>
      <c r="AG10" s="182"/>
      <c r="AH10" s="404" t="e">
        <f t="shared" si="4"/>
        <v>#N/A</v>
      </c>
      <c r="AI10" s="534"/>
      <c r="AJ10" s="182"/>
      <c r="AK10" s="182"/>
      <c r="AL10" s="182"/>
      <c r="AM10" s="404" t="e">
        <f t="shared" si="6"/>
        <v>#N/A</v>
      </c>
      <c r="AN10" s="534"/>
      <c r="AO10" s="182"/>
      <c r="AP10" s="182"/>
      <c r="AQ10" s="182"/>
      <c r="AR10" s="404" t="e">
        <f t="shared" si="8"/>
        <v>#N/A</v>
      </c>
      <c r="AS10" s="534"/>
      <c r="AT10" s="182">
        <v>11</v>
      </c>
      <c r="AU10" s="182">
        <v>2165.9259259259252</v>
      </c>
      <c r="AV10" s="182">
        <v>196.90235690235684</v>
      </c>
      <c r="AW10" s="404">
        <f t="shared" si="12"/>
        <v>5</v>
      </c>
      <c r="AX10" s="534"/>
      <c r="AZ10" s="321" t="e">
        <f>RANK(AX10, $K$7:AX$21)</f>
        <v>#N/A</v>
      </c>
      <c r="BB10" s="318" t="e">
        <f t="shared" si="13"/>
        <v>#N/A</v>
      </c>
    </row>
    <row r="11" spans="1:54">
      <c r="A11" s="81"/>
      <c r="B11" s="533"/>
      <c r="C11" s="404">
        <v>5</v>
      </c>
      <c r="D11" s="226" t="s">
        <v>406</v>
      </c>
      <c r="E11" s="182">
        <v>11</v>
      </c>
      <c r="F11" s="404">
        <v>2250</v>
      </c>
      <c r="G11" s="405">
        <v>204.54545454545453</v>
      </c>
      <c r="H11" s="598"/>
      <c r="I11" s="408">
        <f t="shared" si="10"/>
        <v>11</v>
      </c>
      <c r="J11" s="408">
        <f t="shared" si="10"/>
        <v>2128.2352941176464</v>
      </c>
      <c r="K11" s="406">
        <f t="shared" si="10"/>
        <v>193.47593582887694</v>
      </c>
      <c r="L11" s="588"/>
      <c r="M11" s="407">
        <f>RANK(K11, $K$7:K$21)</f>
        <v>6</v>
      </c>
      <c r="N11" s="544"/>
      <c r="O11" s="544"/>
      <c r="P11" s="182"/>
      <c r="Q11" s="182"/>
      <c r="R11" s="182"/>
      <c r="S11" s="404" t="e">
        <f t="shared" si="11"/>
        <v>#N/A</v>
      </c>
      <c r="T11" s="534"/>
      <c r="U11" s="182"/>
      <c r="V11" s="182"/>
      <c r="W11" s="182"/>
      <c r="X11" s="404" t="e">
        <f t="shared" si="0"/>
        <v>#N/A</v>
      </c>
      <c r="Y11" s="534"/>
      <c r="Z11" s="182"/>
      <c r="AA11" s="182"/>
      <c r="AB11" s="182"/>
      <c r="AC11" s="404" t="e">
        <f t="shared" si="2"/>
        <v>#N/A</v>
      </c>
      <c r="AD11" s="534"/>
      <c r="AE11" s="182"/>
      <c r="AF11" s="182"/>
      <c r="AG11" s="182"/>
      <c r="AH11" s="404" t="e">
        <f t="shared" si="4"/>
        <v>#N/A</v>
      </c>
      <c r="AI11" s="534"/>
      <c r="AJ11" s="182"/>
      <c r="AK11" s="182"/>
      <c r="AL11" s="182"/>
      <c r="AM11" s="404" t="e">
        <f t="shared" si="6"/>
        <v>#N/A</v>
      </c>
      <c r="AN11" s="534"/>
      <c r="AO11" s="182"/>
      <c r="AP11" s="182"/>
      <c r="AQ11" s="182"/>
      <c r="AR11" s="404" t="e">
        <f t="shared" si="8"/>
        <v>#N/A</v>
      </c>
      <c r="AS11" s="534"/>
      <c r="AT11" s="182">
        <v>11</v>
      </c>
      <c r="AU11" s="182">
        <v>2128.2352941176464</v>
      </c>
      <c r="AV11" s="182">
        <v>193.47593582887694</v>
      </c>
      <c r="AW11" s="404">
        <f t="shared" si="12"/>
        <v>6</v>
      </c>
      <c r="AX11" s="534"/>
      <c r="AZ11" s="321" t="e">
        <f>RANK(AX11, $K$7:AX$21)</f>
        <v>#N/A</v>
      </c>
      <c r="BB11" s="318" t="e">
        <f t="shared" si="13"/>
        <v>#N/A</v>
      </c>
    </row>
    <row r="12" spans="1:54">
      <c r="A12" s="81"/>
      <c r="B12" s="533"/>
      <c r="C12" s="404">
        <v>6</v>
      </c>
      <c r="D12" s="226" t="s">
        <v>407</v>
      </c>
      <c r="E12" s="182">
        <v>13</v>
      </c>
      <c r="F12" s="404">
        <v>2250</v>
      </c>
      <c r="G12" s="405">
        <v>173.07692307692307</v>
      </c>
      <c r="H12" s="598"/>
      <c r="I12" s="408">
        <f t="shared" si="10"/>
        <v>13</v>
      </c>
      <c r="J12" s="408">
        <f t="shared" si="10"/>
        <v>1987.8260869565217</v>
      </c>
      <c r="K12" s="406">
        <f t="shared" si="10"/>
        <v>152.90969899665552</v>
      </c>
      <c r="L12" s="588"/>
      <c r="M12" s="407">
        <f>RANK(K12, $K$7:K$21)</f>
        <v>8</v>
      </c>
      <c r="N12" s="544"/>
      <c r="O12" s="544"/>
      <c r="P12" s="182"/>
      <c r="Q12" s="182"/>
      <c r="R12" s="182"/>
      <c r="S12" s="404" t="e">
        <f t="shared" si="11"/>
        <v>#N/A</v>
      </c>
      <c r="T12" s="534"/>
      <c r="U12" s="182"/>
      <c r="V12" s="182"/>
      <c r="W12" s="182"/>
      <c r="X12" s="404" t="e">
        <f t="shared" si="0"/>
        <v>#N/A</v>
      </c>
      <c r="Y12" s="534"/>
      <c r="Z12" s="182"/>
      <c r="AA12" s="182"/>
      <c r="AB12" s="182"/>
      <c r="AC12" s="404" t="e">
        <f t="shared" si="2"/>
        <v>#N/A</v>
      </c>
      <c r="AD12" s="534"/>
      <c r="AE12" s="182"/>
      <c r="AF12" s="182"/>
      <c r="AG12" s="182"/>
      <c r="AH12" s="404" t="e">
        <f t="shared" si="4"/>
        <v>#N/A</v>
      </c>
      <c r="AI12" s="534"/>
      <c r="AJ12" s="182"/>
      <c r="AK12" s="182"/>
      <c r="AL12" s="182"/>
      <c r="AM12" s="404" t="e">
        <f t="shared" si="6"/>
        <v>#N/A</v>
      </c>
      <c r="AN12" s="534"/>
      <c r="AO12" s="182"/>
      <c r="AP12" s="182"/>
      <c r="AQ12" s="182"/>
      <c r="AR12" s="404" t="e">
        <f t="shared" si="8"/>
        <v>#N/A</v>
      </c>
      <c r="AS12" s="534"/>
      <c r="AT12" s="182">
        <v>13</v>
      </c>
      <c r="AU12" s="182">
        <v>1987.8260869565217</v>
      </c>
      <c r="AV12" s="182">
        <v>152.90969899665552</v>
      </c>
      <c r="AW12" s="404">
        <f t="shared" si="12"/>
        <v>8</v>
      </c>
      <c r="AX12" s="534"/>
      <c r="AZ12" s="321" t="e">
        <f>RANK(AX12, $K$7:AX$21)</f>
        <v>#N/A</v>
      </c>
      <c r="BB12" s="318" t="e">
        <f t="shared" si="13"/>
        <v>#N/A</v>
      </c>
    </row>
    <row r="13" spans="1:54">
      <c r="A13" s="81"/>
      <c r="B13" s="533"/>
      <c r="C13" s="404">
        <v>7</v>
      </c>
      <c r="D13" s="226" t="s">
        <v>408</v>
      </c>
      <c r="E13" s="182">
        <v>10</v>
      </c>
      <c r="F13" s="404">
        <v>2250</v>
      </c>
      <c r="G13" s="405">
        <v>225</v>
      </c>
      <c r="H13" s="598"/>
      <c r="I13" s="408">
        <f t="shared" si="10"/>
        <v>9</v>
      </c>
      <c r="J13" s="408">
        <f t="shared" si="10"/>
        <v>2138.666666666667</v>
      </c>
      <c r="K13" s="406">
        <f t="shared" si="10"/>
        <v>237.62962962962968</v>
      </c>
      <c r="L13" s="588"/>
      <c r="M13" s="407">
        <f>RANK(K13, $K$7:K$21)</f>
        <v>4</v>
      </c>
      <c r="N13" s="544"/>
      <c r="O13" s="544"/>
      <c r="P13" s="182"/>
      <c r="Q13" s="182"/>
      <c r="R13" s="182"/>
      <c r="S13" s="404" t="e">
        <f t="shared" si="11"/>
        <v>#N/A</v>
      </c>
      <c r="T13" s="534"/>
      <c r="U13" s="182"/>
      <c r="V13" s="182"/>
      <c r="W13" s="182"/>
      <c r="X13" s="404" t="e">
        <f t="shared" si="0"/>
        <v>#N/A</v>
      </c>
      <c r="Y13" s="534"/>
      <c r="Z13" s="182"/>
      <c r="AA13" s="182"/>
      <c r="AB13" s="182"/>
      <c r="AC13" s="404" t="e">
        <f t="shared" si="2"/>
        <v>#N/A</v>
      </c>
      <c r="AD13" s="534"/>
      <c r="AE13" s="182"/>
      <c r="AF13" s="182"/>
      <c r="AG13" s="182"/>
      <c r="AH13" s="404" t="e">
        <f t="shared" si="4"/>
        <v>#N/A</v>
      </c>
      <c r="AI13" s="534"/>
      <c r="AJ13" s="182"/>
      <c r="AK13" s="182"/>
      <c r="AL13" s="182"/>
      <c r="AM13" s="404" t="e">
        <f t="shared" si="6"/>
        <v>#N/A</v>
      </c>
      <c r="AN13" s="534"/>
      <c r="AO13" s="182"/>
      <c r="AP13" s="182"/>
      <c r="AQ13" s="182"/>
      <c r="AR13" s="404" t="e">
        <f t="shared" si="8"/>
        <v>#N/A</v>
      </c>
      <c r="AS13" s="534"/>
      <c r="AT13" s="182">
        <v>9</v>
      </c>
      <c r="AU13" s="182">
        <v>2138.666666666667</v>
      </c>
      <c r="AV13" s="182">
        <v>237.62962962962968</v>
      </c>
      <c r="AW13" s="404">
        <f t="shared" si="12"/>
        <v>4</v>
      </c>
      <c r="AX13" s="534"/>
      <c r="AZ13" s="321" t="e">
        <f>RANK(AX13, $K$7:AX$21)</f>
        <v>#N/A</v>
      </c>
      <c r="BB13" s="318" t="e">
        <f t="shared" si="13"/>
        <v>#N/A</v>
      </c>
    </row>
    <row r="14" spans="1:54">
      <c r="A14" s="81"/>
      <c r="B14" s="533"/>
      <c r="C14" s="404">
        <v>8</v>
      </c>
      <c r="D14" s="226" t="s">
        <v>402</v>
      </c>
      <c r="E14" s="182">
        <v>18</v>
      </c>
      <c r="F14" s="404">
        <v>1200</v>
      </c>
      <c r="G14" s="405">
        <v>66.666666666666671</v>
      </c>
      <c r="H14" s="598"/>
      <c r="I14" s="408">
        <f t="shared" si="10"/>
        <v>13</v>
      </c>
      <c r="J14" s="408">
        <f t="shared" si="10"/>
        <v>1255.4838709677415</v>
      </c>
      <c r="K14" s="406">
        <f t="shared" si="10"/>
        <v>96.575682382133962</v>
      </c>
      <c r="L14" s="588"/>
      <c r="M14" s="407">
        <f>RANK(K14, $K$7:K$21)</f>
        <v>9</v>
      </c>
      <c r="N14" s="544"/>
      <c r="O14" s="544"/>
      <c r="P14" s="182"/>
      <c r="Q14" s="182"/>
      <c r="R14" s="182"/>
      <c r="S14" s="404" t="e">
        <f t="shared" si="11"/>
        <v>#N/A</v>
      </c>
      <c r="T14" s="534"/>
      <c r="U14" s="182"/>
      <c r="V14" s="182"/>
      <c r="W14" s="182"/>
      <c r="X14" s="404" t="e">
        <f t="shared" si="0"/>
        <v>#N/A</v>
      </c>
      <c r="Y14" s="534"/>
      <c r="Z14" s="182"/>
      <c r="AA14" s="182"/>
      <c r="AB14" s="182"/>
      <c r="AC14" s="404" t="e">
        <f t="shared" si="2"/>
        <v>#N/A</v>
      </c>
      <c r="AD14" s="534"/>
      <c r="AE14" s="182"/>
      <c r="AF14" s="182"/>
      <c r="AG14" s="182"/>
      <c r="AH14" s="404" t="e">
        <f t="shared" si="4"/>
        <v>#N/A</v>
      </c>
      <c r="AI14" s="534"/>
      <c r="AJ14" s="182"/>
      <c r="AK14" s="182"/>
      <c r="AL14" s="182"/>
      <c r="AM14" s="404" t="e">
        <f t="shared" si="6"/>
        <v>#N/A</v>
      </c>
      <c r="AN14" s="534"/>
      <c r="AO14" s="182"/>
      <c r="AP14" s="182"/>
      <c r="AQ14" s="182"/>
      <c r="AR14" s="404" t="e">
        <f t="shared" si="8"/>
        <v>#N/A</v>
      </c>
      <c r="AS14" s="534"/>
      <c r="AT14" s="182">
        <v>13</v>
      </c>
      <c r="AU14" s="182">
        <v>1255.4838709677415</v>
      </c>
      <c r="AV14" s="182">
        <v>96.575682382133962</v>
      </c>
      <c r="AW14" s="404">
        <f t="shared" si="12"/>
        <v>9</v>
      </c>
      <c r="AX14" s="534"/>
      <c r="AZ14" s="321" t="e">
        <f>RANK(AX14, $K$7:AX$21)</f>
        <v>#N/A</v>
      </c>
      <c r="BB14" s="318" t="e">
        <f t="shared" si="13"/>
        <v>#N/A</v>
      </c>
    </row>
    <row r="15" spans="1:54">
      <c r="A15" s="81"/>
      <c r="B15" s="533"/>
      <c r="C15" s="404">
        <v>9</v>
      </c>
      <c r="D15" s="226" t="s">
        <v>402</v>
      </c>
      <c r="E15" s="182">
        <v>18</v>
      </c>
      <c r="F15" s="404">
        <v>1250</v>
      </c>
      <c r="G15" s="405">
        <v>69.444444444444443</v>
      </c>
      <c r="H15" s="598"/>
      <c r="I15" s="408">
        <f t="shared" si="10"/>
        <v>18</v>
      </c>
      <c r="J15" s="408">
        <f t="shared" si="10"/>
        <v>1237.4999999999998</v>
      </c>
      <c r="K15" s="406">
        <f t="shared" si="10"/>
        <v>68.749999999999986</v>
      </c>
      <c r="L15" s="588"/>
      <c r="M15" s="407">
        <f>RANK(K15, $K$7:K$21)</f>
        <v>10</v>
      </c>
      <c r="N15" s="544"/>
      <c r="O15" s="544"/>
      <c r="P15" s="182"/>
      <c r="Q15" s="182"/>
      <c r="R15" s="182"/>
      <c r="S15" s="404" t="e">
        <f t="shared" si="11"/>
        <v>#N/A</v>
      </c>
      <c r="T15" s="534"/>
      <c r="U15" s="182"/>
      <c r="V15" s="182"/>
      <c r="W15" s="182"/>
      <c r="X15" s="404" t="e">
        <f t="shared" si="0"/>
        <v>#N/A</v>
      </c>
      <c r="Y15" s="534"/>
      <c r="Z15" s="182"/>
      <c r="AA15" s="182"/>
      <c r="AB15" s="182"/>
      <c r="AC15" s="404" t="e">
        <f t="shared" si="2"/>
        <v>#N/A</v>
      </c>
      <c r="AD15" s="534"/>
      <c r="AE15" s="182"/>
      <c r="AF15" s="182"/>
      <c r="AG15" s="182"/>
      <c r="AH15" s="404" t="e">
        <f t="shared" si="4"/>
        <v>#N/A</v>
      </c>
      <c r="AI15" s="534"/>
      <c r="AJ15" s="182"/>
      <c r="AK15" s="182"/>
      <c r="AL15" s="182"/>
      <c r="AM15" s="404" t="e">
        <f t="shared" si="6"/>
        <v>#N/A</v>
      </c>
      <c r="AN15" s="534"/>
      <c r="AO15" s="182"/>
      <c r="AP15" s="182"/>
      <c r="AQ15" s="182"/>
      <c r="AR15" s="404" t="e">
        <f t="shared" si="8"/>
        <v>#N/A</v>
      </c>
      <c r="AS15" s="534"/>
      <c r="AT15" s="182">
        <v>18</v>
      </c>
      <c r="AU15" s="182">
        <v>1237.4999999999998</v>
      </c>
      <c r="AV15" s="182">
        <v>68.749999999999986</v>
      </c>
      <c r="AW15" s="404">
        <f t="shared" si="12"/>
        <v>10</v>
      </c>
      <c r="AX15" s="534"/>
      <c r="AZ15" s="321" t="e">
        <f>RANK(AX15, $K$7:AX$21)</f>
        <v>#N/A</v>
      </c>
      <c r="BB15" s="318" t="e">
        <f t="shared" si="13"/>
        <v>#N/A</v>
      </c>
    </row>
    <row r="16" spans="1:54">
      <c r="A16" s="81"/>
      <c r="B16" s="533"/>
      <c r="C16" s="404">
        <v>10</v>
      </c>
      <c r="D16" s="226" t="s">
        <v>482</v>
      </c>
      <c r="E16" s="182">
        <v>4</v>
      </c>
      <c r="F16" s="404">
        <v>2000</v>
      </c>
      <c r="G16" s="405">
        <v>500</v>
      </c>
      <c r="H16" s="598"/>
      <c r="I16" s="408">
        <f t="shared" si="10"/>
        <v>4</v>
      </c>
      <c r="J16" s="408">
        <f t="shared" si="10"/>
        <v>1852.5000000000066</v>
      </c>
      <c r="K16" s="406">
        <f t="shared" si="10"/>
        <v>463.12500000000165</v>
      </c>
      <c r="L16" s="588"/>
      <c r="M16" s="407">
        <f>RANK(K16, $K$7:K$21)</f>
        <v>3</v>
      </c>
      <c r="N16" s="544"/>
      <c r="O16" s="544"/>
      <c r="P16" s="182"/>
      <c r="Q16" s="182"/>
      <c r="R16" s="182"/>
      <c r="S16" s="404" t="e">
        <f t="shared" si="11"/>
        <v>#N/A</v>
      </c>
      <c r="T16" s="534"/>
      <c r="U16" s="182"/>
      <c r="V16" s="182"/>
      <c r="W16" s="182"/>
      <c r="X16" s="404" t="e">
        <f t="shared" si="0"/>
        <v>#N/A</v>
      </c>
      <c r="Y16" s="534"/>
      <c r="Z16" s="182"/>
      <c r="AA16" s="182"/>
      <c r="AB16" s="182"/>
      <c r="AC16" s="404" t="e">
        <f t="shared" si="2"/>
        <v>#N/A</v>
      </c>
      <c r="AD16" s="534"/>
      <c r="AE16" s="182"/>
      <c r="AF16" s="182"/>
      <c r="AG16" s="182"/>
      <c r="AH16" s="404" t="e">
        <f t="shared" si="4"/>
        <v>#N/A</v>
      </c>
      <c r="AI16" s="534"/>
      <c r="AJ16" s="182"/>
      <c r="AK16" s="182"/>
      <c r="AL16" s="182"/>
      <c r="AM16" s="404" t="e">
        <f t="shared" si="6"/>
        <v>#N/A</v>
      </c>
      <c r="AN16" s="534"/>
      <c r="AO16" s="182"/>
      <c r="AP16" s="182"/>
      <c r="AQ16" s="182"/>
      <c r="AR16" s="404" t="e">
        <f t="shared" si="8"/>
        <v>#N/A</v>
      </c>
      <c r="AS16" s="534"/>
      <c r="AT16" s="182">
        <v>4</v>
      </c>
      <c r="AU16" s="182">
        <v>1852.5000000000066</v>
      </c>
      <c r="AV16" s="182">
        <v>463.12500000000165</v>
      </c>
      <c r="AW16" s="404">
        <f t="shared" si="12"/>
        <v>3</v>
      </c>
      <c r="AX16" s="534"/>
      <c r="AZ16" s="321" t="e">
        <f>RANK(AX16, $K$7:AX$21)</f>
        <v>#N/A</v>
      </c>
      <c r="BB16" s="318" t="e">
        <f t="shared" si="13"/>
        <v>#N/A</v>
      </c>
    </row>
    <row r="17" spans="2:54">
      <c r="B17" s="533"/>
      <c r="C17" s="404">
        <v>11</v>
      </c>
      <c r="D17" s="226"/>
      <c r="E17" s="182"/>
      <c r="F17" s="404"/>
      <c r="G17" s="405"/>
      <c r="H17" s="598"/>
      <c r="I17" s="408"/>
      <c r="J17" s="408"/>
      <c r="K17" s="406"/>
      <c r="L17" s="588"/>
      <c r="M17" s="407" t="e">
        <f>RANK(K17, $K$7:K$21)</f>
        <v>#N/A</v>
      </c>
      <c r="N17" s="544"/>
      <c r="O17" s="544"/>
      <c r="P17" s="182"/>
      <c r="Q17" s="182"/>
      <c r="R17" s="182"/>
      <c r="S17" s="404" t="e">
        <f t="shared" si="11"/>
        <v>#N/A</v>
      </c>
      <c r="T17" s="534"/>
      <c r="U17" s="182"/>
      <c r="V17" s="182"/>
      <c r="W17" s="182"/>
      <c r="X17" s="404" t="e">
        <f t="shared" si="0"/>
        <v>#N/A</v>
      </c>
      <c r="Y17" s="534"/>
      <c r="Z17" s="182"/>
      <c r="AA17" s="182"/>
      <c r="AB17" s="182"/>
      <c r="AC17" s="404" t="e">
        <f t="shared" si="2"/>
        <v>#N/A</v>
      </c>
      <c r="AD17" s="534"/>
      <c r="AE17" s="182"/>
      <c r="AF17" s="182"/>
      <c r="AG17" s="182"/>
      <c r="AH17" s="404" t="e">
        <f t="shared" si="4"/>
        <v>#N/A</v>
      </c>
      <c r="AI17" s="534"/>
      <c r="AJ17" s="182"/>
      <c r="AK17" s="182"/>
      <c r="AL17" s="182"/>
      <c r="AM17" s="404" t="e">
        <f t="shared" si="6"/>
        <v>#N/A</v>
      </c>
      <c r="AN17" s="534"/>
      <c r="AO17" s="182"/>
      <c r="AP17" s="182"/>
      <c r="AQ17" s="182"/>
      <c r="AR17" s="404" t="e">
        <f t="shared" si="8"/>
        <v>#N/A</v>
      </c>
      <c r="AS17" s="534"/>
      <c r="AT17" s="182" t="s">
        <v>578</v>
      </c>
      <c r="AU17" s="182" t="s">
        <v>578</v>
      </c>
      <c r="AV17" s="182" t="s">
        <v>578</v>
      </c>
      <c r="AW17" s="404" t="e">
        <f t="shared" si="12"/>
        <v>#VALUE!</v>
      </c>
      <c r="AX17" s="534"/>
      <c r="AZ17" s="321" t="e">
        <f>RANK(AX17, $K$7:AX$21)</f>
        <v>#N/A</v>
      </c>
      <c r="BB17" s="318" t="e">
        <f t="shared" si="13"/>
        <v>#N/A</v>
      </c>
    </row>
    <row r="18" spans="2:54">
      <c r="B18" s="533"/>
      <c r="C18" s="404">
        <v>12</v>
      </c>
      <c r="D18" s="226"/>
      <c r="E18" s="182"/>
      <c r="F18" s="404"/>
      <c r="G18" s="405"/>
      <c r="H18" s="598"/>
      <c r="I18" s="202"/>
      <c r="J18" s="202"/>
      <c r="K18" s="202"/>
      <c r="L18" s="588"/>
      <c r="M18" s="407" t="e">
        <f>RANK(K18, $K$7:K$21)</f>
        <v>#N/A</v>
      </c>
      <c r="N18" s="544"/>
      <c r="O18" s="544"/>
      <c r="P18" s="182"/>
      <c r="Q18" s="182"/>
      <c r="R18" s="182"/>
      <c r="S18" s="404" t="e">
        <f t="shared" si="11"/>
        <v>#N/A</v>
      </c>
      <c r="T18" s="534"/>
      <c r="U18" s="182"/>
      <c r="V18" s="182"/>
      <c r="W18" s="182"/>
      <c r="X18" s="404" t="e">
        <f t="shared" si="0"/>
        <v>#N/A</v>
      </c>
      <c r="Y18" s="534"/>
      <c r="Z18" s="182"/>
      <c r="AA18" s="182"/>
      <c r="AB18" s="182"/>
      <c r="AC18" s="404" t="e">
        <f t="shared" si="2"/>
        <v>#N/A</v>
      </c>
      <c r="AD18" s="534"/>
      <c r="AE18" s="182"/>
      <c r="AF18" s="182"/>
      <c r="AG18" s="182"/>
      <c r="AH18" s="404" t="e">
        <f t="shared" si="4"/>
        <v>#N/A</v>
      </c>
      <c r="AI18" s="534"/>
      <c r="AJ18" s="182"/>
      <c r="AK18" s="182"/>
      <c r="AL18" s="182"/>
      <c r="AM18" s="404" t="e">
        <f t="shared" si="6"/>
        <v>#N/A</v>
      </c>
      <c r="AN18" s="534"/>
      <c r="AO18" s="182"/>
      <c r="AP18" s="182"/>
      <c r="AQ18" s="182"/>
      <c r="AR18" s="404" t="e">
        <f t="shared" si="8"/>
        <v>#N/A</v>
      </c>
      <c r="AS18" s="534"/>
      <c r="AT18" s="182"/>
      <c r="AU18" s="182"/>
      <c r="AV18" s="182"/>
      <c r="AW18" s="404" t="e">
        <f t="shared" si="12"/>
        <v>#N/A</v>
      </c>
      <c r="AX18" s="534"/>
      <c r="AZ18" s="321" t="e">
        <f>RANK(AX18, $K$7:AX$21)</f>
        <v>#N/A</v>
      </c>
      <c r="BB18" s="318" t="e">
        <f t="shared" si="13"/>
        <v>#N/A</v>
      </c>
    </row>
    <row r="19" spans="2:54">
      <c r="B19" s="533"/>
      <c r="C19" s="404">
        <v>13</v>
      </c>
      <c r="D19" s="226"/>
      <c r="E19" s="182"/>
      <c r="F19" s="404"/>
      <c r="G19" s="405"/>
      <c r="H19" s="598"/>
      <c r="I19" s="202"/>
      <c r="J19" s="202"/>
      <c r="K19" s="202"/>
      <c r="L19" s="588"/>
      <c r="M19" s="407" t="e">
        <f>RANK(K19, $K$7:K$21)</f>
        <v>#N/A</v>
      </c>
      <c r="N19" s="544"/>
      <c r="O19" s="544"/>
      <c r="P19" s="182"/>
      <c r="Q19" s="182"/>
      <c r="R19" s="182"/>
      <c r="S19" s="404" t="e">
        <f t="shared" si="11"/>
        <v>#N/A</v>
      </c>
      <c r="T19" s="534"/>
      <c r="U19" s="182"/>
      <c r="V19" s="182"/>
      <c r="W19" s="182"/>
      <c r="X19" s="404" t="e">
        <f t="shared" si="0"/>
        <v>#N/A</v>
      </c>
      <c r="Y19" s="534"/>
      <c r="Z19" s="182"/>
      <c r="AA19" s="182"/>
      <c r="AB19" s="182"/>
      <c r="AC19" s="404" t="e">
        <f t="shared" si="2"/>
        <v>#N/A</v>
      </c>
      <c r="AD19" s="534"/>
      <c r="AE19" s="182"/>
      <c r="AF19" s="182"/>
      <c r="AG19" s="182"/>
      <c r="AH19" s="404" t="e">
        <f t="shared" si="4"/>
        <v>#N/A</v>
      </c>
      <c r="AI19" s="534"/>
      <c r="AJ19" s="182"/>
      <c r="AK19" s="182"/>
      <c r="AL19" s="182"/>
      <c r="AM19" s="404" t="e">
        <f t="shared" si="6"/>
        <v>#N/A</v>
      </c>
      <c r="AN19" s="534"/>
      <c r="AO19" s="182"/>
      <c r="AP19" s="182"/>
      <c r="AQ19" s="182"/>
      <c r="AR19" s="404" t="e">
        <f t="shared" si="8"/>
        <v>#N/A</v>
      </c>
      <c r="AS19" s="534"/>
      <c r="AT19" s="182"/>
      <c r="AU19" s="182"/>
      <c r="AV19" s="182"/>
      <c r="AW19" s="404" t="e">
        <f t="shared" si="12"/>
        <v>#N/A</v>
      </c>
      <c r="AX19" s="534"/>
      <c r="AZ19" s="321" t="e">
        <f>RANK(AX19, $K$7:AX$21)</f>
        <v>#N/A</v>
      </c>
      <c r="BB19" s="318" t="e">
        <f t="shared" si="13"/>
        <v>#N/A</v>
      </c>
    </row>
    <row r="20" spans="2:54">
      <c r="B20" s="533"/>
      <c r="C20" s="404">
        <v>14</v>
      </c>
      <c r="D20" s="226"/>
      <c r="E20" s="182"/>
      <c r="F20" s="404"/>
      <c r="G20" s="405"/>
      <c r="H20" s="598"/>
      <c r="I20" s="202"/>
      <c r="J20" s="202"/>
      <c r="K20" s="202"/>
      <c r="L20" s="588"/>
      <c r="M20" s="407" t="e">
        <f>RANK(K20, $K$7:K$21)</f>
        <v>#N/A</v>
      </c>
      <c r="N20" s="544"/>
      <c r="O20" s="544"/>
      <c r="P20" s="182"/>
      <c r="Q20" s="182"/>
      <c r="R20" s="182"/>
      <c r="S20" s="404" t="e">
        <f t="shared" si="11"/>
        <v>#N/A</v>
      </c>
      <c r="T20" s="534"/>
      <c r="U20" s="182"/>
      <c r="V20" s="182"/>
      <c r="W20" s="182"/>
      <c r="X20" s="404" t="e">
        <f t="shared" si="0"/>
        <v>#N/A</v>
      </c>
      <c r="Y20" s="534"/>
      <c r="Z20" s="182"/>
      <c r="AA20" s="182"/>
      <c r="AB20" s="182"/>
      <c r="AC20" s="404" t="e">
        <f t="shared" si="2"/>
        <v>#N/A</v>
      </c>
      <c r="AD20" s="534"/>
      <c r="AE20" s="182"/>
      <c r="AF20" s="182"/>
      <c r="AG20" s="182"/>
      <c r="AH20" s="404" t="e">
        <f t="shared" si="4"/>
        <v>#N/A</v>
      </c>
      <c r="AI20" s="534"/>
      <c r="AJ20" s="182"/>
      <c r="AK20" s="182"/>
      <c r="AL20" s="182"/>
      <c r="AM20" s="404" t="e">
        <f t="shared" si="6"/>
        <v>#N/A</v>
      </c>
      <c r="AN20" s="534"/>
      <c r="AO20" s="182"/>
      <c r="AP20" s="182"/>
      <c r="AQ20" s="182"/>
      <c r="AR20" s="404" t="e">
        <f t="shared" si="8"/>
        <v>#N/A</v>
      </c>
      <c r="AS20" s="534"/>
      <c r="AT20" s="182"/>
      <c r="AU20" s="182"/>
      <c r="AV20" s="182"/>
      <c r="AW20" s="404" t="e">
        <f t="shared" si="12"/>
        <v>#N/A</v>
      </c>
      <c r="AX20" s="534"/>
      <c r="AZ20" s="321" t="e">
        <f>RANK(AX20, $K$7:AX$21)</f>
        <v>#N/A</v>
      </c>
      <c r="BB20" s="318" t="e">
        <f t="shared" si="13"/>
        <v>#N/A</v>
      </c>
    </row>
    <row r="21" spans="2:54">
      <c r="B21" s="533"/>
      <c r="C21" s="404">
        <v>15</v>
      </c>
      <c r="D21" s="226"/>
      <c r="E21" s="182"/>
      <c r="F21" s="404"/>
      <c r="G21" s="405"/>
      <c r="H21" s="599"/>
      <c r="I21" s="202"/>
      <c r="J21" s="202"/>
      <c r="K21" s="202"/>
      <c r="L21" s="589"/>
      <c r="M21" s="408" t="e">
        <f>RANK(K21, $K$7:K$21)</f>
        <v>#N/A</v>
      </c>
      <c r="N21" s="544"/>
      <c r="O21" s="544"/>
      <c r="P21" s="182"/>
      <c r="Q21" s="182"/>
      <c r="R21" s="182"/>
      <c r="S21" s="404" t="e">
        <f t="shared" si="11"/>
        <v>#N/A</v>
      </c>
      <c r="T21" s="534"/>
      <c r="U21" s="182"/>
      <c r="V21" s="182"/>
      <c r="W21" s="182"/>
      <c r="X21" s="404" t="e">
        <f t="shared" si="0"/>
        <v>#N/A</v>
      </c>
      <c r="Y21" s="534"/>
      <c r="Z21" s="182"/>
      <c r="AA21" s="182"/>
      <c r="AB21" s="182"/>
      <c r="AC21" s="404" t="e">
        <f t="shared" si="2"/>
        <v>#N/A</v>
      </c>
      <c r="AD21" s="534"/>
      <c r="AE21" s="182"/>
      <c r="AF21" s="182"/>
      <c r="AG21" s="182"/>
      <c r="AH21" s="404" t="e">
        <f t="shared" si="4"/>
        <v>#N/A</v>
      </c>
      <c r="AI21" s="534"/>
      <c r="AJ21" s="182"/>
      <c r="AK21" s="182"/>
      <c r="AL21" s="182"/>
      <c r="AM21" s="404" t="e">
        <f t="shared" si="6"/>
        <v>#N/A</v>
      </c>
      <c r="AN21" s="534"/>
      <c r="AO21" s="182"/>
      <c r="AP21" s="182"/>
      <c r="AQ21" s="182"/>
      <c r="AR21" s="404" t="e">
        <f t="shared" si="8"/>
        <v>#N/A</v>
      </c>
      <c r="AS21" s="534"/>
      <c r="AT21" s="182"/>
      <c r="AU21" s="182"/>
      <c r="AV21" s="182"/>
      <c r="AW21" s="404" t="e">
        <f t="shared" si="12"/>
        <v>#N/A</v>
      </c>
      <c r="AX21" s="534"/>
      <c r="AZ21" s="320" t="e">
        <f>RANK(AX21, $K$7:AX$21)</f>
        <v>#N/A</v>
      </c>
      <c r="BB21" s="318" t="e">
        <f t="shared" si="13"/>
        <v>#N/A</v>
      </c>
    </row>
    <row r="22" spans="2:54" ht="15.5">
      <c r="B22" s="575" t="s">
        <v>163</v>
      </c>
      <c r="C22" s="576"/>
      <c r="D22" s="576"/>
      <c r="E22" s="576"/>
      <c r="F22" s="576"/>
      <c r="G22" s="576"/>
      <c r="H22" s="576"/>
      <c r="I22" s="203"/>
      <c r="J22" s="203"/>
      <c r="K22" s="203"/>
      <c r="L22" s="203"/>
      <c r="M22" s="204"/>
      <c r="N22" s="559" t="s">
        <v>156</v>
      </c>
      <c r="O22" s="559" t="s">
        <v>105</v>
      </c>
      <c r="P22" s="610">
        <f>AT2+1</f>
        <v>46358</v>
      </c>
      <c r="Q22" s="611"/>
      <c r="R22" s="611"/>
      <c r="S22" s="611"/>
      <c r="T22" s="611"/>
      <c r="U22" s="554">
        <f>P22+1</f>
        <v>46359</v>
      </c>
      <c r="V22" s="533"/>
      <c r="W22" s="533"/>
      <c r="X22" s="533"/>
      <c r="Y22" s="533"/>
      <c r="Z22" s="554">
        <f>U22+1</f>
        <v>46360</v>
      </c>
      <c r="AA22" s="533"/>
      <c r="AB22" s="533"/>
      <c r="AC22" s="533"/>
      <c r="AD22" s="533"/>
      <c r="AE22" s="554">
        <f>Z22+1</f>
        <v>46361</v>
      </c>
      <c r="AF22" s="533"/>
      <c r="AG22" s="533"/>
      <c r="AH22" s="533"/>
      <c r="AI22" s="533"/>
      <c r="AJ22" s="554">
        <f>AE22+1</f>
        <v>46362</v>
      </c>
      <c r="AK22" s="533"/>
      <c r="AL22" s="533"/>
      <c r="AM22" s="533"/>
      <c r="AN22" s="533"/>
      <c r="AO22" s="554">
        <f>AJ22+1</f>
        <v>46363</v>
      </c>
      <c r="AP22" s="533"/>
      <c r="AQ22" s="533"/>
      <c r="AR22" s="533"/>
      <c r="AS22" s="533"/>
      <c r="AT22" s="554">
        <f>AO22+1</f>
        <v>46364</v>
      </c>
      <c r="AU22" s="533"/>
      <c r="AV22" s="533"/>
      <c r="AW22" s="533"/>
      <c r="AX22" s="533"/>
    </row>
    <row r="23" spans="2:54" ht="15.5">
      <c r="B23" s="558"/>
      <c r="C23" s="558"/>
      <c r="D23" s="558"/>
      <c r="E23" s="558"/>
      <c r="F23" s="558"/>
      <c r="G23" s="558"/>
      <c r="H23" s="558"/>
      <c r="I23" s="205"/>
      <c r="J23" s="205"/>
      <c r="K23" s="205"/>
      <c r="L23" s="205"/>
      <c r="M23" s="206"/>
      <c r="N23" s="560"/>
      <c r="O23" s="560"/>
      <c r="P23" s="554" t="s">
        <v>334</v>
      </c>
      <c r="Q23" s="533"/>
      <c r="R23" s="533"/>
      <c r="S23" s="533"/>
      <c r="T23" s="533"/>
      <c r="U23" s="554" t="s">
        <v>335</v>
      </c>
      <c r="V23" s="533"/>
      <c r="W23" s="533"/>
      <c r="X23" s="533"/>
      <c r="Y23" s="533"/>
      <c r="Z23" s="554" t="s">
        <v>336</v>
      </c>
      <c r="AA23" s="533"/>
      <c r="AB23" s="533"/>
      <c r="AC23" s="533"/>
      <c r="AD23" s="533"/>
      <c r="AE23" s="554" t="s">
        <v>337</v>
      </c>
      <c r="AF23" s="533"/>
      <c r="AG23" s="533"/>
      <c r="AH23" s="533"/>
      <c r="AI23" s="533"/>
      <c r="AJ23" s="554" t="s">
        <v>338</v>
      </c>
      <c r="AK23" s="533"/>
      <c r="AL23" s="533"/>
      <c r="AM23" s="533"/>
      <c r="AN23" s="533"/>
      <c r="AO23" s="554" t="s">
        <v>339</v>
      </c>
      <c r="AP23" s="533"/>
      <c r="AQ23" s="533"/>
      <c r="AR23" s="533"/>
      <c r="AS23" s="533"/>
      <c r="AT23" s="554" t="s">
        <v>340</v>
      </c>
      <c r="AU23" s="533"/>
      <c r="AV23" s="533"/>
      <c r="AW23" s="533"/>
      <c r="AX23" s="533"/>
    </row>
    <row r="24" spans="2:54">
      <c r="B24" s="544" t="s">
        <v>649</v>
      </c>
      <c r="C24" s="544" t="s">
        <v>650</v>
      </c>
      <c r="D24" s="544"/>
      <c r="E24" s="544" t="s">
        <v>651</v>
      </c>
      <c r="F24" s="544"/>
      <c r="G24" s="544"/>
      <c r="H24" s="561" t="s">
        <v>652</v>
      </c>
      <c r="I24" s="583" t="s">
        <v>653</v>
      </c>
      <c r="J24" s="583"/>
      <c r="K24" s="583"/>
      <c r="L24" s="584" t="s">
        <v>652</v>
      </c>
      <c r="M24" s="567" t="s">
        <v>654</v>
      </c>
      <c r="N24" s="544"/>
      <c r="O24" s="544" t="s">
        <v>655</v>
      </c>
      <c r="P24" s="548" t="s">
        <v>656</v>
      </c>
      <c r="Q24" s="549"/>
      <c r="R24" s="549"/>
      <c r="S24" s="550"/>
      <c r="T24" s="544" t="s">
        <v>652</v>
      </c>
      <c r="U24" s="548" t="s">
        <v>656</v>
      </c>
      <c r="V24" s="549"/>
      <c r="W24" s="549"/>
      <c r="X24" s="550"/>
      <c r="Y24" s="544" t="s">
        <v>652</v>
      </c>
      <c r="Z24" s="548" t="s">
        <v>656</v>
      </c>
      <c r="AA24" s="549"/>
      <c r="AB24" s="549"/>
      <c r="AC24" s="550"/>
      <c r="AD24" s="544" t="s">
        <v>652</v>
      </c>
      <c r="AE24" s="548" t="s">
        <v>656</v>
      </c>
      <c r="AF24" s="549"/>
      <c r="AG24" s="549"/>
      <c r="AH24" s="550"/>
      <c r="AI24" s="544" t="s">
        <v>652</v>
      </c>
      <c r="AJ24" s="548" t="s">
        <v>656</v>
      </c>
      <c r="AK24" s="549"/>
      <c r="AL24" s="549"/>
      <c r="AM24" s="550"/>
      <c r="AN24" s="544" t="s">
        <v>652</v>
      </c>
      <c r="AO24" s="548" t="s">
        <v>656</v>
      </c>
      <c r="AP24" s="549"/>
      <c r="AQ24" s="549"/>
      <c r="AR24" s="550"/>
      <c r="AS24" s="544" t="s">
        <v>652</v>
      </c>
      <c r="AT24" s="548" t="s">
        <v>656</v>
      </c>
      <c r="AU24" s="549"/>
      <c r="AV24" s="549"/>
      <c r="AW24" s="550"/>
      <c r="AX24" s="544" t="s">
        <v>652</v>
      </c>
    </row>
    <row r="25" spans="2:54">
      <c r="B25" s="544"/>
      <c r="C25" s="544"/>
      <c r="D25" s="544"/>
      <c r="E25" s="544" t="s">
        <v>657</v>
      </c>
      <c r="F25" s="544"/>
      <c r="G25" s="544"/>
      <c r="H25" s="562"/>
      <c r="I25" s="583" t="s">
        <v>657</v>
      </c>
      <c r="J25" s="583"/>
      <c r="K25" s="583"/>
      <c r="L25" s="585"/>
      <c r="M25" s="568"/>
      <c r="N25" s="544"/>
      <c r="O25" s="544"/>
      <c r="P25" s="548" t="s">
        <v>658</v>
      </c>
      <c r="Q25" s="549"/>
      <c r="R25" s="549"/>
      <c r="S25" s="550"/>
      <c r="T25" s="544"/>
      <c r="U25" s="548" t="s">
        <v>658</v>
      </c>
      <c r="V25" s="549"/>
      <c r="W25" s="549"/>
      <c r="X25" s="550"/>
      <c r="Y25" s="544"/>
      <c r="Z25" s="548" t="s">
        <v>658</v>
      </c>
      <c r="AA25" s="549"/>
      <c r="AB25" s="549"/>
      <c r="AC25" s="550"/>
      <c r="AD25" s="544"/>
      <c r="AE25" s="548" t="s">
        <v>658</v>
      </c>
      <c r="AF25" s="549"/>
      <c r="AG25" s="549"/>
      <c r="AH25" s="550"/>
      <c r="AI25" s="544"/>
      <c r="AJ25" s="548" t="s">
        <v>658</v>
      </c>
      <c r="AK25" s="549"/>
      <c r="AL25" s="549"/>
      <c r="AM25" s="550"/>
      <c r="AN25" s="544"/>
      <c r="AO25" s="548" t="s">
        <v>658</v>
      </c>
      <c r="AP25" s="549"/>
      <c r="AQ25" s="549"/>
      <c r="AR25" s="550"/>
      <c r="AS25" s="544"/>
      <c r="AT25" s="548" t="s">
        <v>658</v>
      </c>
      <c r="AU25" s="549"/>
      <c r="AV25" s="549"/>
      <c r="AW25" s="550"/>
      <c r="AX25" s="544"/>
    </row>
    <row r="26" spans="2:54">
      <c r="B26" s="544"/>
      <c r="C26" s="544"/>
      <c r="D26" s="544"/>
      <c r="E26" s="403" t="s">
        <v>659</v>
      </c>
      <c r="F26" s="403" t="s">
        <v>660</v>
      </c>
      <c r="G26" s="403" t="s">
        <v>661</v>
      </c>
      <c r="H26" s="563"/>
      <c r="I26" s="402" t="s">
        <v>659</v>
      </c>
      <c r="J26" s="402" t="s">
        <v>660</v>
      </c>
      <c r="K26" s="402" t="s">
        <v>661</v>
      </c>
      <c r="L26" s="586"/>
      <c r="M26" s="569"/>
      <c r="N26" s="544"/>
      <c r="O26" s="544"/>
      <c r="P26" s="403" t="s">
        <v>659</v>
      </c>
      <c r="Q26" s="403" t="s">
        <v>660</v>
      </c>
      <c r="R26" s="403" t="s">
        <v>661</v>
      </c>
      <c r="S26" s="403" t="s">
        <v>654</v>
      </c>
      <c r="T26" s="544"/>
      <c r="U26" s="403" t="s">
        <v>659</v>
      </c>
      <c r="V26" s="403" t="s">
        <v>660</v>
      </c>
      <c r="W26" s="403" t="s">
        <v>661</v>
      </c>
      <c r="X26" s="403" t="s">
        <v>654</v>
      </c>
      <c r="Y26" s="544"/>
      <c r="Z26" s="403" t="s">
        <v>659</v>
      </c>
      <c r="AA26" s="403" t="s">
        <v>660</v>
      </c>
      <c r="AB26" s="403" t="s">
        <v>661</v>
      </c>
      <c r="AC26" s="403" t="s">
        <v>654</v>
      </c>
      <c r="AD26" s="544"/>
      <c r="AE26" s="403" t="s">
        <v>659</v>
      </c>
      <c r="AF26" s="403" t="s">
        <v>660</v>
      </c>
      <c r="AG26" s="403" t="s">
        <v>661</v>
      </c>
      <c r="AH26" s="403" t="s">
        <v>654</v>
      </c>
      <c r="AI26" s="544"/>
      <c r="AJ26" s="403" t="s">
        <v>659</v>
      </c>
      <c r="AK26" s="403" t="s">
        <v>660</v>
      </c>
      <c r="AL26" s="403" t="s">
        <v>661</v>
      </c>
      <c r="AM26" s="403" t="s">
        <v>654</v>
      </c>
      <c r="AN26" s="544"/>
      <c r="AO26" s="403" t="s">
        <v>659</v>
      </c>
      <c r="AP26" s="403" t="s">
        <v>660</v>
      </c>
      <c r="AQ26" s="403" t="s">
        <v>661</v>
      </c>
      <c r="AR26" s="403" t="s">
        <v>654</v>
      </c>
      <c r="AS26" s="544"/>
      <c r="AT26" s="403" t="s">
        <v>659</v>
      </c>
      <c r="AU26" s="403" t="s">
        <v>660</v>
      </c>
      <c r="AV26" s="403" t="s">
        <v>661</v>
      </c>
      <c r="AW26" s="403" t="s">
        <v>654</v>
      </c>
      <c r="AX26" s="544"/>
    </row>
    <row r="27" spans="2:54">
      <c r="B27" s="596" t="s">
        <v>666</v>
      </c>
      <c r="C27" s="404">
        <v>1</v>
      </c>
      <c r="D27" s="226" t="s">
        <v>403</v>
      </c>
      <c r="E27" s="182">
        <v>4</v>
      </c>
      <c r="F27" s="404">
        <v>2000</v>
      </c>
      <c r="G27" s="405">
        <v>500</v>
      </c>
      <c r="H27" s="597">
        <f>AVERAGE(G27:G41)</f>
        <v>298.24777777777774</v>
      </c>
      <c r="I27" s="408">
        <f>AVERAGE(P27,U27,Z27,AE27,AJ27,AO27,AT27)</f>
        <v>4</v>
      </c>
      <c r="J27" s="408">
        <f>AVERAGE(Q27,V27,AA27,AF27,AK27,AP27,AU27)</f>
        <v>2094.0615174299396</v>
      </c>
      <c r="K27" s="406">
        <f>AVERAGE(R27,W27,AB27,AG27,AL27,AQ27,AV27)</f>
        <v>523.5153793574849</v>
      </c>
      <c r="L27" s="587">
        <f>IFERROR(AVERAGE(K27:K41),"-")</f>
        <v>302.54331493234821</v>
      </c>
      <c r="M27" s="407">
        <f>RANK(K27, K$27:$K$41)</f>
        <v>3</v>
      </c>
      <c r="N27" s="544"/>
      <c r="O27" s="544"/>
      <c r="P27" s="182">
        <v>4</v>
      </c>
      <c r="Q27" s="182">
        <v>2102.7272727272803</v>
      </c>
      <c r="R27" s="182">
        <v>525.68181818182006</v>
      </c>
      <c r="S27" s="404">
        <f t="shared" ref="S27:S41" si="14">RANK(R27, R$27:R$41)</f>
        <v>3</v>
      </c>
      <c r="T27" s="534">
        <f>AVERAGE(R27:R41)</f>
        <v>302.58821490104987</v>
      </c>
      <c r="U27" s="182">
        <v>4</v>
      </c>
      <c r="V27" s="182">
        <v>2114.9999999999991</v>
      </c>
      <c r="W27" s="182">
        <v>528.74999999999977</v>
      </c>
      <c r="X27" s="404">
        <f t="shared" ref="X27:X41" si="15">RANK(W27, W$27:W$41)</f>
        <v>2</v>
      </c>
      <c r="Y27" s="534">
        <f t="shared" ref="Y27" si="16">AVERAGE(W27:W41)</f>
        <v>304.49982817783763</v>
      </c>
      <c r="Z27" s="182">
        <v>4</v>
      </c>
      <c r="AA27" s="182">
        <v>2084.9999999999991</v>
      </c>
      <c r="AB27" s="182">
        <v>521.24999999999977</v>
      </c>
      <c r="AC27" s="404">
        <f t="shared" ref="AC27:AC41" si="17">RANK(AB27, AB$27:AB$41)</f>
        <v>3</v>
      </c>
      <c r="AD27" s="534">
        <f t="shared" ref="AD27" si="18">AVERAGE(AB27:AB41)</f>
        <v>301.94876713257162</v>
      </c>
      <c r="AE27" s="182">
        <v>4</v>
      </c>
      <c r="AF27" s="182">
        <v>1834.7368421052618</v>
      </c>
      <c r="AG27" s="182">
        <v>458.68421052631544</v>
      </c>
      <c r="AH27" s="404">
        <f t="shared" ref="AH27:AH41" si="19">RANK(AG27, AG$27:AG$41)</f>
        <v>3</v>
      </c>
      <c r="AI27" s="534">
        <f t="shared" ref="AI27" si="20">AVERAGE(AG27:AG41)</f>
        <v>294.78550950507957</v>
      </c>
      <c r="AJ27" s="182">
        <v>4</v>
      </c>
      <c r="AK27" s="182">
        <v>2188.4210526315774</v>
      </c>
      <c r="AL27" s="182">
        <v>547.10526315789434</v>
      </c>
      <c r="AM27" s="404">
        <f t="shared" ref="AM27:AM41" si="21">RANK(AL27, AL$27:AL$41)</f>
        <v>1</v>
      </c>
      <c r="AN27" s="534">
        <f t="shared" ref="AN27" si="22">AVERAGE(AL27:AL41)</f>
        <v>306.06627375191226</v>
      </c>
      <c r="AO27" s="182">
        <v>4</v>
      </c>
      <c r="AP27" s="182">
        <v>2148.0000000000073</v>
      </c>
      <c r="AQ27" s="182">
        <v>537.00000000000182</v>
      </c>
      <c r="AR27" s="404">
        <f t="shared" ref="AR27:AR41" si="23">RANK(AQ27, AQ$27:AQ$41)</f>
        <v>1</v>
      </c>
      <c r="AS27" s="534">
        <f t="shared" ref="AS27" si="24">AVERAGE(AQ27:AQ41)</f>
        <v>302.15630461849452</v>
      </c>
      <c r="AT27" s="182">
        <v>4</v>
      </c>
      <c r="AU27" s="182">
        <v>2184.5454545454545</v>
      </c>
      <c r="AV27" s="182">
        <v>546.13636363636363</v>
      </c>
      <c r="AW27" s="404">
        <f t="shared" ref="AW27:AW41" si="25">RANK(AV27, AV$27:AV$41)</f>
        <v>2</v>
      </c>
      <c r="AX27" s="534">
        <f t="shared" ref="AX27" si="26">AVERAGE(AV27:AV41)</f>
        <v>305.75830643949229</v>
      </c>
    </row>
    <row r="28" spans="2:54">
      <c r="B28" s="533"/>
      <c r="C28" s="404">
        <v>2</v>
      </c>
      <c r="D28" s="226" t="s">
        <v>465</v>
      </c>
      <c r="E28" s="182">
        <v>4</v>
      </c>
      <c r="F28" s="404">
        <v>2000</v>
      </c>
      <c r="G28" s="405">
        <v>500</v>
      </c>
      <c r="H28" s="598"/>
      <c r="I28" s="408">
        <f t="shared" ref="I28:K36" si="27">AVERAGE(P28,U28,Z28,AE28,AJ28,AO28,AT28)</f>
        <v>4</v>
      </c>
      <c r="J28" s="408">
        <f t="shared" si="27"/>
        <v>2130.3408245889432</v>
      </c>
      <c r="K28" s="406">
        <f t="shared" si="27"/>
        <v>532.58520614723579</v>
      </c>
      <c r="L28" s="588"/>
      <c r="M28" s="407">
        <f>RANK(K28, K$27:$K$41)</f>
        <v>2</v>
      </c>
      <c r="N28" s="544"/>
      <c r="O28" s="544"/>
      <c r="P28" s="182">
        <v>4</v>
      </c>
      <c r="Q28" s="182">
        <v>2167.4999999999932</v>
      </c>
      <c r="R28" s="182">
        <v>541.87499999999829</v>
      </c>
      <c r="S28" s="404">
        <f t="shared" si="14"/>
        <v>1</v>
      </c>
      <c r="T28" s="534"/>
      <c r="U28" s="182">
        <v>4</v>
      </c>
      <c r="V28" s="182">
        <v>2177.1428571428646</v>
      </c>
      <c r="W28" s="182">
        <v>544.28571428571615</v>
      </c>
      <c r="X28" s="404">
        <f t="shared" si="15"/>
        <v>1</v>
      </c>
      <c r="Y28" s="534"/>
      <c r="Z28" s="182">
        <v>4</v>
      </c>
      <c r="AA28" s="182">
        <v>2091.818181818182</v>
      </c>
      <c r="AB28" s="182">
        <v>522.9545454545455</v>
      </c>
      <c r="AC28" s="404">
        <f t="shared" si="17"/>
        <v>2</v>
      </c>
      <c r="AD28" s="534"/>
      <c r="AE28" s="182">
        <v>4</v>
      </c>
      <c r="AF28" s="182">
        <v>2109.4736842105249</v>
      </c>
      <c r="AG28" s="182">
        <v>527.36842105263122</v>
      </c>
      <c r="AH28" s="404">
        <f t="shared" si="19"/>
        <v>2</v>
      </c>
      <c r="AI28" s="534"/>
      <c r="AJ28" s="182">
        <v>4</v>
      </c>
      <c r="AK28" s="182">
        <v>2168.181818181818</v>
      </c>
      <c r="AL28" s="182">
        <v>542.0454545454545</v>
      </c>
      <c r="AM28" s="404">
        <f t="shared" si="21"/>
        <v>2</v>
      </c>
      <c r="AN28" s="534"/>
      <c r="AO28" s="182">
        <v>4</v>
      </c>
      <c r="AP28" s="182">
        <v>2077.4999999999936</v>
      </c>
      <c r="AQ28" s="182">
        <v>519.37499999999841</v>
      </c>
      <c r="AR28" s="404">
        <f t="shared" si="23"/>
        <v>3</v>
      </c>
      <c r="AS28" s="534"/>
      <c r="AT28" s="182">
        <v>4</v>
      </c>
      <c r="AU28" s="182">
        <v>2120.769230769225</v>
      </c>
      <c r="AV28" s="182">
        <v>530.19230769230626</v>
      </c>
      <c r="AW28" s="404">
        <f t="shared" si="25"/>
        <v>3</v>
      </c>
      <c r="AX28" s="534"/>
    </row>
    <row r="29" spans="2:54">
      <c r="B29" s="533"/>
      <c r="C29" s="404">
        <v>3</v>
      </c>
      <c r="D29" s="226" t="s">
        <v>404</v>
      </c>
      <c r="E29" s="182">
        <v>12</v>
      </c>
      <c r="F29" s="404">
        <v>2250</v>
      </c>
      <c r="G29" s="405">
        <v>187.5</v>
      </c>
      <c r="H29" s="598"/>
      <c r="I29" s="408">
        <f t="shared" si="27"/>
        <v>12</v>
      </c>
      <c r="J29" s="408">
        <f t="shared" si="27"/>
        <v>2174.1035282529274</v>
      </c>
      <c r="K29" s="406">
        <f t="shared" si="27"/>
        <v>181.17529402107726</v>
      </c>
      <c r="L29" s="588"/>
      <c r="M29" s="407">
        <f>RANK(K29, K$27:$K$41)</f>
        <v>8</v>
      </c>
      <c r="N29" s="544"/>
      <c r="O29" s="544"/>
      <c r="P29" s="182">
        <v>12</v>
      </c>
      <c r="Q29" s="182">
        <v>2176.0000000000005</v>
      </c>
      <c r="R29" s="182">
        <v>181.33333333333337</v>
      </c>
      <c r="S29" s="404">
        <f t="shared" si="14"/>
        <v>8</v>
      </c>
      <c r="T29" s="534"/>
      <c r="U29" s="182">
        <v>12</v>
      </c>
      <c r="V29" s="182">
        <v>2210.8474576271192</v>
      </c>
      <c r="W29" s="182">
        <v>184.23728813559327</v>
      </c>
      <c r="X29" s="404">
        <f t="shared" si="15"/>
        <v>8</v>
      </c>
      <c r="Y29" s="534"/>
      <c r="Z29" s="182">
        <v>12</v>
      </c>
      <c r="AA29" s="182">
        <v>2140</v>
      </c>
      <c r="AB29" s="182">
        <v>178.33333333333334</v>
      </c>
      <c r="AC29" s="404">
        <f t="shared" si="17"/>
        <v>8</v>
      </c>
      <c r="AD29" s="534"/>
      <c r="AE29" s="182">
        <v>12</v>
      </c>
      <c r="AF29" s="182">
        <v>2166.2500000000009</v>
      </c>
      <c r="AG29" s="182">
        <v>180.5208333333334</v>
      </c>
      <c r="AH29" s="404">
        <f t="shared" si="19"/>
        <v>8</v>
      </c>
      <c r="AI29" s="534"/>
      <c r="AJ29" s="182">
        <v>12</v>
      </c>
      <c r="AK29" s="182">
        <v>2161.1111111111109</v>
      </c>
      <c r="AL29" s="182">
        <v>180.09259259259258</v>
      </c>
      <c r="AM29" s="404">
        <f t="shared" si="21"/>
        <v>8</v>
      </c>
      <c r="AN29" s="534"/>
      <c r="AO29" s="182">
        <v>12</v>
      </c>
      <c r="AP29" s="182">
        <v>2187.0967741935492</v>
      </c>
      <c r="AQ29" s="182">
        <v>182.25806451612911</v>
      </c>
      <c r="AR29" s="404">
        <f t="shared" si="23"/>
        <v>8</v>
      </c>
      <c r="AS29" s="534"/>
      <c r="AT29" s="182">
        <v>12</v>
      </c>
      <c r="AU29" s="182">
        <v>2177.4193548387107</v>
      </c>
      <c r="AV29" s="182">
        <v>181.45161290322588</v>
      </c>
      <c r="AW29" s="404">
        <f t="shared" si="25"/>
        <v>8</v>
      </c>
      <c r="AX29" s="534"/>
    </row>
    <row r="30" spans="2:54">
      <c r="B30" s="533"/>
      <c r="C30" s="404">
        <v>4</v>
      </c>
      <c r="D30" s="226" t="s">
        <v>405</v>
      </c>
      <c r="E30" s="182">
        <v>11</v>
      </c>
      <c r="F30" s="404">
        <v>2118</v>
      </c>
      <c r="G30" s="405">
        <v>192.5</v>
      </c>
      <c r="H30" s="598"/>
      <c r="I30" s="408">
        <f t="shared" si="27"/>
        <v>11</v>
      </c>
      <c r="J30" s="408">
        <f t="shared" si="27"/>
        <v>2152.8214426861668</v>
      </c>
      <c r="K30" s="406">
        <f t="shared" si="27"/>
        <v>195.71104024419699</v>
      </c>
      <c r="L30" s="588"/>
      <c r="M30" s="407">
        <f>RANK(K30, K$27:$K$41)</f>
        <v>7</v>
      </c>
      <c r="N30" s="544"/>
      <c r="O30" s="544"/>
      <c r="P30" s="182">
        <v>11</v>
      </c>
      <c r="Q30" s="182">
        <v>2144.8101265822784</v>
      </c>
      <c r="R30" s="182">
        <v>194.98273878020711</v>
      </c>
      <c r="S30" s="404">
        <f t="shared" si="14"/>
        <v>6</v>
      </c>
      <c r="T30" s="534"/>
      <c r="U30" s="182">
        <v>11</v>
      </c>
      <c r="V30" s="182">
        <v>2136.1538461538462</v>
      </c>
      <c r="W30" s="182">
        <v>194.19580419580419</v>
      </c>
      <c r="X30" s="404">
        <f t="shared" si="15"/>
        <v>6</v>
      </c>
      <c r="Y30" s="534"/>
      <c r="Z30" s="182">
        <v>11</v>
      </c>
      <c r="AA30" s="182">
        <v>2171.9999999999995</v>
      </c>
      <c r="AB30" s="182">
        <v>197.45454545454541</v>
      </c>
      <c r="AC30" s="404">
        <f t="shared" si="17"/>
        <v>7</v>
      </c>
      <c r="AD30" s="534"/>
      <c r="AE30" s="182">
        <v>11</v>
      </c>
      <c r="AF30" s="182">
        <v>2118.8059701492539</v>
      </c>
      <c r="AG30" s="182">
        <v>192.61872455902309</v>
      </c>
      <c r="AH30" s="404">
        <f t="shared" si="19"/>
        <v>7</v>
      </c>
      <c r="AI30" s="534"/>
      <c r="AJ30" s="182">
        <v>11</v>
      </c>
      <c r="AK30" s="182">
        <v>2213.8235294117662</v>
      </c>
      <c r="AL30" s="182">
        <v>201.25668449197875</v>
      </c>
      <c r="AM30" s="404">
        <f t="shared" si="21"/>
        <v>6</v>
      </c>
      <c r="AN30" s="534"/>
      <c r="AO30" s="182">
        <v>11</v>
      </c>
      <c r="AP30" s="182">
        <v>2135.0000000000005</v>
      </c>
      <c r="AQ30" s="182">
        <v>194.09090909090912</v>
      </c>
      <c r="AR30" s="404">
        <f t="shared" si="23"/>
        <v>7</v>
      </c>
      <c r="AS30" s="534"/>
      <c r="AT30" s="182">
        <v>11</v>
      </c>
      <c r="AU30" s="182">
        <v>2149.1566265060242</v>
      </c>
      <c r="AV30" s="182">
        <v>195.37787513691129</v>
      </c>
      <c r="AW30" s="404">
        <f t="shared" si="25"/>
        <v>6</v>
      </c>
      <c r="AX30" s="534"/>
    </row>
    <row r="31" spans="2:54">
      <c r="B31" s="533"/>
      <c r="C31" s="404">
        <v>5</v>
      </c>
      <c r="D31" s="226" t="s">
        <v>406</v>
      </c>
      <c r="E31" s="182">
        <v>11</v>
      </c>
      <c r="F31" s="404">
        <v>2250</v>
      </c>
      <c r="G31" s="405">
        <v>204.5</v>
      </c>
      <c r="H31" s="598"/>
      <c r="I31" s="408">
        <f t="shared" si="27"/>
        <v>11</v>
      </c>
      <c r="J31" s="408">
        <f t="shared" si="27"/>
        <v>2163.5922891300675</v>
      </c>
      <c r="K31" s="406">
        <f t="shared" si="27"/>
        <v>196.69020810273338</v>
      </c>
      <c r="L31" s="588"/>
      <c r="M31" s="407">
        <f>RANK(K31, K$27:$K$41)</f>
        <v>6</v>
      </c>
      <c r="N31" s="544"/>
      <c r="O31" s="544"/>
      <c r="P31" s="182">
        <v>11</v>
      </c>
      <c r="Q31" s="182">
        <v>2144.4705882352937</v>
      </c>
      <c r="R31" s="182">
        <v>194.95187165775397</v>
      </c>
      <c r="S31" s="404">
        <f t="shared" si="14"/>
        <v>7</v>
      </c>
      <c r="T31" s="534"/>
      <c r="U31" s="182">
        <v>11</v>
      </c>
      <c r="V31" s="182">
        <v>2121.7499999999995</v>
      </c>
      <c r="W31" s="182">
        <v>192.8863636363636</v>
      </c>
      <c r="X31" s="404">
        <f t="shared" si="15"/>
        <v>7</v>
      </c>
      <c r="Y31" s="534"/>
      <c r="Z31" s="182">
        <v>11</v>
      </c>
      <c r="AA31" s="182">
        <v>2226.6666666666674</v>
      </c>
      <c r="AB31" s="182">
        <v>202.42424242424249</v>
      </c>
      <c r="AC31" s="404">
        <f t="shared" si="17"/>
        <v>6</v>
      </c>
      <c r="AD31" s="534"/>
      <c r="AE31" s="182">
        <v>11</v>
      </c>
      <c r="AF31" s="182">
        <v>2201.1940298507461</v>
      </c>
      <c r="AG31" s="182">
        <v>200.10854816824965</v>
      </c>
      <c r="AH31" s="404">
        <f t="shared" si="19"/>
        <v>6</v>
      </c>
      <c r="AI31" s="534"/>
      <c r="AJ31" s="182">
        <v>11</v>
      </c>
      <c r="AK31" s="182">
        <v>2167.297297297298</v>
      </c>
      <c r="AL31" s="182">
        <v>197.02702702702709</v>
      </c>
      <c r="AM31" s="404">
        <f t="shared" si="21"/>
        <v>7</v>
      </c>
      <c r="AN31" s="534"/>
      <c r="AO31" s="182">
        <v>11</v>
      </c>
      <c r="AP31" s="182">
        <v>2144</v>
      </c>
      <c r="AQ31" s="182">
        <v>194.90909090909091</v>
      </c>
      <c r="AR31" s="404">
        <f t="shared" si="23"/>
        <v>6</v>
      </c>
      <c r="AS31" s="534"/>
      <c r="AT31" s="182">
        <v>11</v>
      </c>
      <c r="AU31" s="182">
        <v>2139.7674418604647</v>
      </c>
      <c r="AV31" s="182">
        <v>194.52431289640589</v>
      </c>
      <c r="AW31" s="404">
        <f t="shared" si="25"/>
        <v>7</v>
      </c>
      <c r="AX31" s="534"/>
    </row>
    <row r="32" spans="2:54">
      <c r="B32" s="533"/>
      <c r="C32" s="404">
        <v>6</v>
      </c>
      <c r="D32" s="226" t="s">
        <v>407</v>
      </c>
      <c r="E32" s="182">
        <v>12</v>
      </c>
      <c r="F32" s="404">
        <v>2250</v>
      </c>
      <c r="G32" s="405">
        <v>187.5</v>
      </c>
      <c r="H32" s="598"/>
      <c r="I32" s="408">
        <f t="shared" si="27"/>
        <v>12</v>
      </c>
      <c r="J32" s="408">
        <f t="shared" si="27"/>
        <v>1947.8688579319953</v>
      </c>
      <c r="K32" s="406">
        <f t="shared" si="27"/>
        <v>162.32240482766625</v>
      </c>
      <c r="L32" s="588"/>
      <c r="M32" s="407">
        <f>RANK(K32, K$27:$K$41)</f>
        <v>9</v>
      </c>
      <c r="N32" s="544"/>
      <c r="O32" s="544"/>
      <c r="P32" s="182">
        <v>12</v>
      </c>
      <c r="Q32" s="182">
        <v>1942.6666666666667</v>
      </c>
      <c r="R32" s="182">
        <v>161.88888888888889</v>
      </c>
      <c r="S32" s="404">
        <f t="shared" si="14"/>
        <v>9</v>
      </c>
      <c r="T32" s="534"/>
      <c r="U32" s="182">
        <v>12</v>
      </c>
      <c r="V32" s="182">
        <v>1932.5581395348834</v>
      </c>
      <c r="W32" s="182">
        <v>161.04651162790694</v>
      </c>
      <c r="X32" s="404">
        <f t="shared" si="15"/>
        <v>9</v>
      </c>
      <c r="Y32" s="534"/>
      <c r="Z32" s="182">
        <v>12</v>
      </c>
      <c r="AA32" s="182">
        <v>1968.5714285714278</v>
      </c>
      <c r="AB32" s="182">
        <v>164.04761904761898</v>
      </c>
      <c r="AC32" s="404">
        <f t="shared" si="17"/>
        <v>9</v>
      </c>
      <c r="AD32" s="534"/>
      <c r="AE32" s="182">
        <v>12</v>
      </c>
      <c r="AF32" s="182">
        <v>1969.4999999999993</v>
      </c>
      <c r="AG32" s="182">
        <v>164.12499999999994</v>
      </c>
      <c r="AH32" s="404">
        <f t="shared" si="19"/>
        <v>9</v>
      </c>
      <c r="AI32" s="534"/>
      <c r="AJ32" s="182">
        <v>12</v>
      </c>
      <c r="AK32" s="182">
        <v>1902.2727272727273</v>
      </c>
      <c r="AL32" s="182">
        <v>158.52272727272728</v>
      </c>
      <c r="AM32" s="404">
        <f t="shared" si="21"/>
        <v>9</v>
      </c>
      <c r="AN32" s="534"/>
      <c r="AO32" s="182">
        <v>12</v>
      </c>
      <c r="AP32" s="182">
        <v>1935.6000000000008</v>
      </c>
      <c r="AQ32" s="182">
        <v>161.30000000000007</v>
      </c>
      <c r="AR32" s="404">
        <f t="shared" si="23"/>
        <v>9</v>
      </c>
      <c r="AS32" s="534"/>
      <c r="AT32" s="182">
        <v>12</v>
      </c>
      <c r="AU32" s="182">
        <v>1983.913043478261</v>
      </c>
      <c r="AV32" s="182">
        <v>165.32608695652175</v>
      </c>
      <c r="AW32" s="404">
        <f t="shared" si="25"/>
        <v>9</v>
      </c>
      <c r="AX32" s="534"/>
    </row>
    <row r="33" spans="2:50">
      <c r="B33" s="533"/>
      <c r="C33" s="404">
        <v>7</v>
      </c>
      <c r="D33" s="226" t="s">
        <v>408</v>
      </c>
      <c r="E33" s="182">
        <v>9</v>
      </c>
      <c r="F33" s="404">
        <v>2769</v>
      </c>
      <c r="G33" s="405">
        <v>307.7</v>
      </c>
      <c r="H33" s="598"/>
      <c r="I33" s="408">
        <f t="shared" si="27"/>
        <v>9</v>
      </c>
      <c r="J33" s="408">
        <f t="shared" si="27"/>
        <v>2195.8538296821612</v>
      </c>
      <c r="K33" s="406">
        <f t="shared" si="27"/>
        <v>243.98375885357345</v>
      </c>
      <c r="L33" s="588"/>
      <c r="M33" s="407">
        <f>RANK(K33, K$27:$K$41)</f>
        <v>5</v>
      </c>
      <c r="N33" s="544"/>
      <c r="O33" s="544"/>
      <c r="P33" s="182">
        <v>9</v>
      </c>
      <c r="Q33" s="182">
        <v>2180.4395604395604</v>
      </c>
      <c r="R33" s="182">
        <v>242.27106227106228</v>
      </c>
      <c r="S33" s="404">
        <f t="shared" si="14"/>
        <v>5</v>
      </c>
      <c r="T33" s="534"/>
      <c r="U33" s="182">
        <v>9</v>
      </c>
      <c r="V33" s="182">
        <v>2241.2195121951236</v>
      </c>
      <c r="W33" s="182">
        <v>249.02439024390262</v>
      </c>
      <c r="X33" s="404">
        <f t="shared" si="15"/>
        <v>5</v>
      </c>
      <c r="Y33" s="534"/>
      <c r="Z33" s="182">
        <v>9</v>
      </c>
      <c r="AA33" s="182">
        <v>2217.0731707317063</v>
      </c>
      <c r="AB33" s="182">
        <v>246.34146341463403</v>
      </c>
      <c r="AC33" s="404">
        <f t="shared" si="17"/>
        <v>5</v>
      </c>
      <c r="AD33" s="534"/>
      <c r="AE33" s="182">
        <v>9</v>
      </c>
      <c r="AF33" s="182">
        <v>2191.1111111111122</v>
      </c>
      <c r="AG33" s="182">
        <v>243.45679012345693</v>
      </c>
      <c r="AH33" s="404">
        <f t="shared" si="19"/>
        <v>5</v>
      </c>
      <c r="AI33" s="534"/>
      <c r="AJ33" s="182">
        <v>9</v>
      </c>
      <c r="AK33" s="182">
        <v>2172.4137931034502</v>
      </c>
      <c r="AL33" s="182">
        <v>241.37931034482779</v>
      </c>
      <c r="AM33" s="404">
        <f t="shared" si="21"/>
        <v>5</v>
      </c>
      <c r="AN33" s="534"/>
      <c r="AO33" s="182">
        <v>9</v>
      </c>
      <c r="AP33" s="182">
        <v>2151.8446601941755</v>
      </c>
      <c r="AQ33" s="182">
        <v>239.09385113268615</v>
      </c>
      <c r="AR33" s="404">
        <f t="shared" si="23"/>
        <v>5</v>
      </c>
      <c r="AS33" s="534"/>
      <c r="AT33" s="182">
        <v>9</v>
      </c>
      <c r="AU33" s="182">
        <v>2216.8750000000009</v>
      </c>
      <c r="AV33" s="182">
        <v>246.31944444444454</v>
      </c>
      <c r="AW33" s="404">
        <f t="shared" si="25"/>
        <v>5</v>
      </c>
      <c r="AX33" s="534"/>
    </row>
    <row r="34" spans="2:50">
      <c r="B34" s="533"/>
      <c r="C34" s="404">
        <v>8</v>
      </c>
      <c r="D34" s="226" t="s">
        <v>402</v>
      </c>
      <c r="E34" s="182">
        <v>18</v>
      </c>
      <c r="F34" s="404">
        <v>1250</v>
      </c>
      <c r="G34" s="405">
        <v>69.444444444444443</v>
      </c>
      <c r="H34" s="598"/>
      <c r="I34" s="408">
        <f t="shared" si="27"/>
        <v>13.142857142857142</v>
      </c>
      <c r="J34" s="408">
        <f t="shared" si="27"/>
        <v>1248.9808176859265</v>
      </c>
      <c r="K34" s="406">
        <f t="shared" si="27"/>
        <v>95.103787595273701</v>
      </c>
      <c r="L34" s="588"/>
      <c r="M34" s="407">
        <f>RANK(K34, K$27:$K$41)</f>
        <v>10</v>
      </c>
      <c r="N34" s="544"/>
      <c r="O34" s="544"/>
      <c r="P34" s="182">
        <v>13</v>
      </c>
      <c r="Q34" s="182">
        <v>1242.6666666666667</v>
      </c>
      <c r="R34" s="182">
        <v>95.589743589743591</v>
      </c>
      <c r="S34" s="404">
        <f t="shared" si="14"/>
        <v>10</v>
      </c>
      <c r="T34" s="534"/>
      <c r="U34" s="182">
        <v>13</v>
      </c>
      <c r="V34" s="182">
        <v>1277.6470588235302</v>
      </c>
      <c r="W34" s="182">
        <v>98.280542986425402</v>
      </c>
      <c r="X34" s="404">
        <f t="shared" si="15"/>
        <v>10</v>
      </c>
      <c r="Y34" s="534"/>
      <c r="Z34" s="182">
        <v>14</v>
      </c>
      <c r="AA34" s="182">
        <v>1237.8947368421054</v>
      </c>
      <c r="AB34" s="182">
        <v>88.421052631578959</v>
      </c>
      <c r="AC34" s="404">
        <f t="shared" si="17"/>
        <v>10</v>
      </c>
      <c r="AD34" s="534"/>
      <c r="AE34" s="182">
        <v>13</v>
      </c>
      <c r="AF34" s="182">
        <v>1277.2500000000007</v>
      </c>
      <c r="AG34" s="182">
        <v>98.250000000000057</v>
      </c>
      <c r="AH34" s="404">
        <f t="shared" si="19"/>
        <v>10</v>
      </c>
      <c r="AI34" s="534"/>
      <c r="AJ34" s="182">
        <v>13</v>
      </c>
      <c r="AK34" s="182">
        <v>1214.8235294117655</v>
      </c>
      <c r="AL34" s="182">
        <v>93.447963800905043</v>
      </c>
      <c r="AM34" s="404">
        <f t="shared" si="21"/>
        <v>10</v>
      </c>
      <c r="AN34" s="534"/>
      <c r="AO34" s="182">
        <v>13</v>
      </c>
      <c r="AP34" s="182">
        <v>1237.636363636364</v>
      </c>
      <c r="AQ34" s="182">
        <v>95.202797202797228</v>
      </c>
      <c r="AR34" s="404">
        <f t="shared" si="23"/>
        <v>10</v>
      </c>
      <c r="AS34" s="534"/>
      <c r="AT34" s="182">
        <v>13</v>
      </c>
      <c r="AU34" s="182">
        <v>1254.9473684210529</v>
      </c>
      <c r="AV34" s="182">
        <v>96.534412955465612</v>
      </c>
      <c r="AW34" s="404">
        <f t="shared" si="25"/>
        <v>10</v>
      </c>
      <c r="AX34" s="534"/>
    </row>
    <row r="35" spans="2:50">
      <c r="B35" s="533"/>
      <c r="C35" s="404">
        <v>9</v>
      </c>
      <c r="D35" s="226" t="s">
        <v>619</v>
      </c>
      <c r="E35" s="182">
        <v>6</v>
      </c>
      <c r="F35" s="404">
        <v>2000</v>
      </c>
      <c r="G35" s="405">
        <v>333.33333333333331</v>
      </c>
      <c r="H35" s="598"/>
      <c r="I35" s="408">
        <f t="shared" si="27"/>
        <v>6</v>
      </c>
      <c r="J35" s="408">
        <f t="shared" si="27"/>
        <v>2156.2801173981284</v>
      </c>
      <c r="K35" s="406">
        <f t="shared" si="27"/>
        <v>359.38001956635475</v>
      </c>
      <c r="L35" s="588"/>
      <c r="M35" s="407">
        <f>RANK(K35, K$27:$K$41)</f>
        <v>4</v>
      </c>
      <c r="N35" s="544"/>
      <c r="O35" s="544"/>
      <c r="P35" s="182">
        <v>6</v>
      </c>
      <c r="Q35" s="182">
        <v>2083.8461538461484</v>
      </c>
      <c r="R35" s="182">
        <v>347.30769230769141</v>
      </c>
      <c r="S35" s="404">
        <f t="shared" si="14"/>
        <v>4</v>
      </c>
      <c r="T35" s="534"/>
      <c r="U35" s="182">
        <v>6</v>
      </c>
      <c r="V35" s="182">
        <v>2192.4999999999932</v>
      </c>
      <c r="W35" s="182">
        <v>365.41666666666555</v>
      </c>
      <c r="X35" s="404">
        <f t="shared" si="15"/>
        <v>4</v>
      </c>
      <c r="Y35" s="534"/>
      <c r="Z35" s="182">
        <v>6</v>
      </c>
      <c r="AA35" s="182">
        <v>2149.5652173913122</v>
      </c>
      <c r="AB35" s="182">
        <v>358.26086956521868</v>
      </c>
      <c r="AC35" s="404">
        <f t="shared" si="17"/>
        <v>4</v>
      </c>
      <c r="AD35" s="534"/>
      <c r="AE35" s="182">
        <v>6</v>
      </c>
      <c r="AF35" s="182">
        <v>2122.8571428571422</v>
      </c>
      <c r="AG35" s="182">
        <v>353.80952380952368</v>
      </c>
      <c r="AH35" s="404">
        <f t="shared" si="19"/>
        <v>4</v>
      </c>
      <c r="AI35" s="534"/>
      <c r="AJ35" s="182">
        <v>6</v>
      </c>
      <c r="AK35" s="182">
        <v>2205.0000000000077</v>
      </c>
      <c r="AL35" s="182">
        <v>367.50000000000131</v>
      </c>
      <c r="AM35" s="404">
        <f t="shared" si="21"/>
        <v>4</v>
      </c>
      <c r="AN35" s="534"/>
      <c r="AO35" s="182">
        <v>6</v>
      </c>
      <c r="AP35" s="182">
        <v>2212.4999999999932</v>
      </c>
      <c r="AQ35" s="182">
        <v>368.74999999999886</v>
      </c>
      <c r="AR35" s="404">
        <f t="shared" si="23"/>
        <v>4</v>
      </c>
      <c r="AS35" s="534"/>
      <c r="AT35" s="182">
        <v>6</v>
      </c>
      <c r="AU35" s="182">
        <v>2127.6923076923022</v>
      </c>
      <c r="AV35" s="182">
        <v>354.61538461538368</v>
      </c>
      <c r="AW35" s="404">
        <f t="shared" si="25"/>
        <v>4</v>
      </c>
      <c r="AX35" s="534"/>
    </row>
    <row r="36" spans="2:50">
      <c r="B36" s="533"/>
      <c r="C36" s="404">
        <v>10</v>
      </c>
      <c r="D36" s="226" t="s">
        <v>641</v>
      </c>
      <c r="E36" s="182">
        <v>4</v>
      </c>
      <c r="F36" s="404">
        <v>2000</v>
      </c>
      <c r="G36" s="405">
        <v>500</v>
      </c>
      <c r="H36" s="598"/>
      <c r="I36" s="408">
        <f t="shared" si="27"/>
        <v>4</v>
      </c>
      <c r="J36" s="408">
        <f t="shared" si="27"/>
        <v>2139.8642024315436</v>
      </c>
      <c r="K36" s="406">
        <f t="shared" si="27"/>
        <v>534.9660506078859</v>
      </c>
      <c r="L36" s="588"/>
      <c r="M36" s="407">
        <f>RANK(K36, K$27:$K$41)</f>
        <v>1</v>
      </c>
      <c r="N36" s="544"/>
      <c r="O36" s="544"/>
      <c r="P36" s="182">
        <v>4</v>
      </c>
      <c r="Q36" s="182">
        <v>2159.9999999999977</v>
      </c>
      <c r="R36" s="182">
        <v>539.99999999999943</v>
      </c>
      <c r="S36" s="404">
        <f t="shared" si="14"/>
        <v>2</v>
      </c>
      <c r="T36" s="534"/>
      <c r="U36" s="182">
        <v>4</v>
      </c>
      <c r="V36" s="182">
        <v>2107.4999999999968</v>
      </c>
      <c r="W36" s="182">
        <v>526.8749999999992</v>
      </c>
      <c r="X36" s="404">
        <f t="shared" si="15"/>
        <v>3</v>
      </c>
      <c r="Y36" s="534"/>
      <c r="Z36" s="182">
        <v>4</v>
      </c>
      <c r="AA36" s="182">
        <v>2159.9999999999973</v>
      </c>
      <c r="AB36" s="182">
        <v>539.99999999999932</v>
      </c>
      <c r="AC36" s="404">
        <f t="shared" si="17"/>
        <v>1</v>
      </c>
      <c r="AD36" s="534"/>
      <c r="AE36" s="182">
        <v>4</v>
      </c>
      <c r="AF36" s="182">
        <v>2115.6521739130471</v>
      </c>
      <c r="AG36" s="182">
        <v>528.91304347826178</v>
      </c>
      <c r="AH36" s="404">
        <f t="shared" si="19"/>
        <v>1</v>
      </c>
      <c r="AI36" s="534"/>
      <c r="AJ36" s="182">
        <v>4</v>
      </c>
      <c r="AK36" s="182">
        <v>2129.1428571428551</v>
      </c>
      <c r="AL36" s="182">
        <v>532.28571428571377</v>
      </c>
      <c r="AM36" s="404">
        <f t="shared" si="21"/>
        <v>3</v>
      </c>
      <c r="AN36" s="534"/>
      <c r="AO36" s="182">
        <v>4</v>
      </c>
      <c r="AP36" s="182">
        <v>2118.3333333333317</v>
      </c>
      <c r="AQ36" s="182">
        <v>529.58333333333292</v>
      </c>
      <c r="AR36" s="404">
        <f t="shared" si="23"/>
        <v>2</v>
      </c>
      <c r="AS36" s="534"/>
      <c r="AT36" s="182">
        <v>4</v>
      </c>
      <c r="AU36" s="182">
        <v>2188.4210526315774</v>
      </c>
      <c r="AV36" s="182">
        <v>547.10526315789434</v>
      </c>
      <c r="AW36" s="404">
        <f t="shared" si="25"/>
        <v>1</v>
      </c>
      <c r="AX36" s="534"/>
    </row>
    <row r="37" spans="2:50">
      <c r="B37" s="533"/>
      <c r="C37" s="404">
        <v>11</v>
      </c>
      <c r="D37" s="226"/>
      <c r="E37" s="182"/>
      <c r="F37" s="404"/>
      <c r="G37" s="405"/>
      <c r="H37" s="598"/>
      <c r="I37" s="408"/>
      <c r="J37" s="408"/>
      <c r="K37" s="406"/>
      <c r="L37" s="588"/>
      <c r="M37" s="407" t="e">
        <f>RANK(K37, K$27:$K$41)</f>
        <v>#N/A</v>
      </c>
      <c r="N37" s="544"/>
      <c r="O37" s="544"/>
      <c r="P37" s="182"/>
      <c r="Q37" s="182"/>
      <c r="R37" s="182"/>
      <c r="S37" s="404" t="e">
        <f t="shared" si="14"/>
        <v>#N/A</v>
      </c>
      <c r="T37" s="534"/>
      <c r="U37" s="182"/>
      <c r="V37" s="182"/>
      <c r="W37" s="182"/>
      <c r="X37" s="404" t="e">
        <f t="shared" si="15"/>
        <v>#N/A</v>
      </c>
      <c r="Y37" s="534"/>
      <c r="Z37" s="182"/>
      <c r="AA37" s="182"/>
      <c r="AB37" s="182"/>
      <c r="AC37" s="404" t="e">
        <f t="shared" si="17"/>
        <v>#N/A</v>
      </c>
      <c r="AD37" s="534"/>
      <c r="AE37" s="182"/>
      <c r="AF37" s="182"/>
      <c r="AG37" s="182"/>
      <c r="AH37" s="404" t="e">
        <f t="shared" si="19"/>
        <v>#N/A</v>
      </c>
      <c r="AI37" s="534"/>
      <c r="AJ37" s="182"/>
      <c r="AK37" s="182"/>
      <c r="AL37" s="182"/>
      <c r="AM37" s="404" t="e">
        <f t="shared" si="21"/>
        <v>#N/A</v>
      </c>
      <c r="AN37" s="534"/>
      <c r="AO37" s="182"/>
      <c r="AP37" s="182"/>
      <c r="AQ37" s="182"/>
      <c r="AR37" s="404" t="e">
        <f t="shared" si="23"/>
        <v>#N/A</v>
      </c>
      <c r="AS37" s="534"/>
      <c r="AT37" s="182"/>
      <c r="AU37" s="182"/>
      <c r="AV37" s="182"/>
      <c r="AW37" s="404" t="e">
        <f t="shared" si="25"/>
        <v>#N/A</v>
      </c>
      <c r="AX37" s="534"/>
    </row>
    <row r="38" spans="2:50">
      <c r="B38" s="533"/>
      <c r="C38" s="404">
        <v>12</v>
      </c>
      <c r="D38" s="226"/>
      <c r="E38" s="182"/>
      <c r="F38" s="404"/>
      <c r="G38" s="405"/>
      <c r="H38" s="598"/>
      <c r="I38" s="408"/>
      <c r="J38" s="408"/>
      <c r="K38" s="406"/>
      <c r="L38" s="588"/>
      <c r="M38" s="407" t="e">
        <f>RANK(K38, K$27:$K$41)</f>
        <v>#N/A</v>
      </c>
      <c r="N38" s="544"/>
      <c r="O38" s="544"/>
      <c r="P38" s="182"/>
      <c r="Q38" s="182"/>
      <c r="R38" s="182"/>
      <c r="S38" s="404" t="e">
        <f t="shared" si="14"/>
        <v>#N/A</v>
      </c>
      <c r="T38" s="534"/>
      <c r="U38" s="182"/>
      <c r="V38" s="182"/>
      <c r="W38" s="182"/>
      <c r="X38" s="404" t="e">
        <f t="shared" si="15"/>
        <v>#N/A</v>
      </c>
      <c r="Y38" s="534"/>
      <c r="Z38" s="182"/>
      <c r="AA38" s="182"/>
      <c r="AB38" s="182"/>
      <c r="AC38" s="404" t="e">
        <f t="shared" si="17"/>
        <v>#N/A</v>
      </c>
      <c r="AD38" s="534"/>
      <c r="AE38" s="182"/>
      <c r="AF38" s="182"/>
      <c r="AG38" s="182"/>
      <c r="AH38" s="404" t="e">
        <f t="shared" si="19"/>
        <v>#N/A</v>
      </c>
      <c r="AI38" s="534"/>
      <c r="AJ38" s="182"/>
      <c r="AK38" s="182"/>
      <c r="AL38" s="182"/>
      <c r="AM38" s="404" t="e">
        <f t="shared" si="21"/>
        <v>#N/A</v>
      </c>
      <c r="AN38" s="534"/>
      <c r="AO38" s="182"/>
      <c r="AP38" s="182"/>
      <c r="AQ38" s="182"/>
      <c r="AR38" s="404" t="e">
        <f t="shared" si="23"/>
        <v>#N/A</v>
      </c>
      <c r="AS38" s="534"/>
      <c r="AT38" s="182"/>
      <c r="AU38" s="182"/>
      <c r="AV38" s="182"/>
      <c r="AW38" s="404" t="e">
        <f t="shared" si="25"/>
        <v>#N/A</v>
      </c>
      <c r="AX38" s="534"/>
    </row>
    <row r="39" spans="2:50">
      <c r="B39" s="533"/>
      <c r="C39" s="404">
        <v>13</v>
      </c>
      <c r="D39" s="226"/>
      <c r="E39" s="182"/>
      <c r="F39" s="404"/>
      <c r="G39" s="405"/>
      <c r="H39" s="598"/>
      <c r="I39" s="202"/>
      <c r="J39" s="202"/>
      <c r="K39" s="202"/>
      <c r="L39" s="588"/>
      <c r="M39" s="407" t="e">
        <f>RANK(K39, K$27:$K$41)</f>
        <v>#N/A</v>
      </c>
      <c r="N39" s="544"/>
      <c r="O39" s="544"/>
      <c r="P39" s="182"/>
      <c r="Q39" s="182"/>
      <c r="R39" s="182"/>
      <c r="S39" s="404" t="e">
        <f t="shared" si="14"/>
        <v>#N/A</v>
      </c>
      <c r="T39" s="534"/>
      <c r="U39" s="182"/>
      <c r="V39" s="182"/>
      <c r="W39" s="182"/>
      <c r="X39" s="404" t="e">
        <f t="shared" si="15"/>
        <v>#N/A</v>
      </c>
      <c r="Y39" s="534"/>
      <c r="Z39" s="182"/>
      <c r="AA39" s="182"/>
      <c r="AB39" s="182"/>
      <c r="AC39" s="404" t="e">
        <f t="shared" si="17"/>
        <v>#N/A</v>
      </c>
      <c r="AD39" s="534"/>
      <c r="AE39" s="182"/>
      <c r="AF39" s="182"/>
      <c r="AG39" s="182"/>
      <c r="AH39" s="404" t="e">
        <f t="shared" si="19"/>
        <v>#N/A</v>
      </c>
      <c r="AI39" s="534"/>
      <c r="AJ39" s="182"/>
      <c r="AK39" s="182"/>
      <c r="AL39" s="182"/>
      <c r="AM39" s="404" t="e">
        <f t="shared" si="21"/>
        <v>#N/A</v>
      </c>
      <c r="AN39" s="534"/>
      <c r="AO39" s="182"/>
      <c r="AP39" s="182"/>
      <c r="AQ39" s="182"/>
      <c r="AR39" s="404" t="e">
        <f t="shared" si="23"/>
        <v>#N/A</v>
      </c>
      <c r="AS39" s="534"/>
      <c r="AT39" s="182"/>
      <c r="AU39" s="182"/>
      <c r="AV39" s="182"/>
      <c r="AW39" s="404" t="e">
        <f t="shared" si="25"/>
        <v>#N/A</v>
      </c>
      <c r="AX39" s="534"/>
    </row>
    <row r="40" spans="2:50">
      <c r="B40" s="533"/>
      <c r="C40" s="404">
        <v>14</v>
      </c>
      <c r="D40" s="226"/>
      <c r="E40" s="182"/>
      <c r="F40" s="404"/>
      <c r="G40" s="405"/>
      <c r="H40" s="598"/>
      <c r="I40" s="202"/>
      <c r="J40" s="202"/>
      <c r="K40" s="202"/>
      <c r="L40" s="588"/>
      <c r="M40" s="407" t="e">
        <f>RANK(K40, K$27:$K$41)</f>
        <v>#N/A</v>
      </c>
      <c r="N40" s="544"/>
      <c r="O40" s="544"/>
      <c r="P40" s="182"/>
      <c r="Q40" s="182"/>
      <c r="R40" s="182"/>
      <c r="S40" s="404" t="e">
        <f t="shared" si="14"/>
        <v>#N/A</v>
      </c>
      <c r="T40" s="534"/>
      <c r="U40" s="182"/>
      <c r="V40" s="182"/>
      <c r="W40" s="182"/>
      <c r="X40" s="404" t="e">
        <f t="shared" si="15"/>
        <v>#N/A</v>
      </c>
      <c r="Y40" s="534"/>
      <c r="Z40" s="182"/>
      <c r="AA40" s="182"/>
      <c r="AB40" s="182"/>
      <c r="AC40" s="404" t="e">
        <f t="shared" si="17"/>
        <v>#N/A</v>
      </c>
      <c r="AD40" s="534"/>
      <c r="AE40" s="182"/>
      <c r="AF40" s="182"/>
      <c r="AG40" s="182"/>
      <c r="AH40" s="404" t="e">
        <f t="shared" si="19"/>
        <v>#N/A</v>
      </c>
      <c r="AI40" s="534"/>
      <c r="AJ40" s="182"/>
      <c r="AK40" s="182"/>
      <c r="AL40" s="182"/>
      <c r="AM40" s="404" t="e">
        <f t="shared" si="21"/>
        <v>#N/A</v>
      </c>
      <c r="AN40" s="534"/>
      <c r="AO40" s="182"/>
      <c r="AP40" s="182"/>
      <c r="AQ40" s="182"/>
      <c r="AR40" s="404" t="e">
        <f t="shared" si="23"/>
        <v>#N/A</v>
      </c>
      <c r="AS40" s="534"/>
      <c r="AT40" s="182"/>
      <c r="AU40" s="182"/>
      <c r="AV40" s="182"/>
      <c r="AW40" s="404" t="e">
        <f t="shared" si="25"/>
        <v>#N/A</v>
      </c>
      <c r="AX40" s="534"/>
    </row>
    <row r="41" spans="2:50">
      <c r="B41" s="533"/>
      <c r="C41" s="404">
        <v>15</v>
      </c>
      <c r="D41" s="226"/>
      <c r="E41" s="182"/>
      <c r="F41" s="404"/>
      <c r="G41" s="405"/>
      <c r="H41" s="599"/>
      <c r="I41" s="202"/>
      <c r="J41" s="202"/>
      <c r="K41" s="202"/>
      <c r="L41" s="589"/>
      <c r="M41" s="408" t="e">
        <f>RANK(K41, K$27:$K$41)</f>
        <v>#N/A</v>
      </c>
      <c r="N41" s="544"/>
      <c r="O41" s="544"/>
      <c r="P41" s="182"/>
      <c r="Q41" s="182"/>
      <c r="R41" s="182"/>
      <c r="S41" s="404" t="e">
        <f t="shared" si="14"/>
        <v>#N/A</v>
      </c>
      <c r="T41" s="534"/>
      <c r="U41" s="182"/>
      <c r="V41" s="182"/>
      <c r="W41" s="182"/>
      <c r="X41" s="404" t="e">
        <f t="shared" si="15"/>
        <v>#N/A</v>
      </c>
      <c r="Y41" s="534"/>
      <c r="Z41" s="182"/>
      <c r="AA41" s="182"/>
      <c r="AB41" s="182"/>
      <c r="AC41" s="404" t="e">
        <f t="shared" si="17"/>
        <v>#N/A</v>
      </c>
      <c r="AD41" s="534"/>
      <c r="AE41" s="182"/>
      <c r="AF41" s="182"/>
      <c r="AG41" s="182"/>
      <c r="AH41" s="404" t="e">
        <f t="shared" si="19"/>
        <v>#N/A</v>
      </c>
      <c r="AI41" s="534"/>
      <c r="AJ41" s="182"/>
      <c r="AK41" s="182"/>
      <c r="AL41" s="182"/>
      <c r="AM41" s="404" t="e">
        <f t="shared" si="21"/>
        <v>#N/A</v>
      </c>
      <c r="AN41" s="534"/>
      <c r="AO41" s="182"/>
      <c r="AP41" s="182"/>
      <c r="AQ41" s="182"/>
      <c r="AR41" s="404" t="e">
        <f t="shared" si="23"/>
        <v>#N/A</v>
      </c>
      <c r="AS41" s="534"/>
      <c r="AT41" s="182"/>
      <c r="AU41" s="182"/>
      <c r="AV41" s="182"/>
      <c r="AW41" s="404" t="e">
        <f t="shared" si="25"/>
        <v>#N/A</v>
      </c>
      <c r="AX41" s="534"/>
    </row>
    <row r="42" spans="2:50" ht="15.5">
      <c r="B42" s="575" t="s">
        <v>163</v>
      </c>
      <c r="C42" s="576"/>
      <c r="D42" s="576"/>
      <c r="E42" s="576"/>
      <c r="F42" s="576"/>
      <c r="G42" s="576"/>
      <c r="H42" s="576"/>
      <c r="I42" s="208"/>
      <c r="J42" s="203"/>
      <c r="K42" s="208"/>
      <c r="L42" s="208"/>
      <c r="M42" s="204"/>
      <c r="N42" s="559" t="s">
        <v>156</v>
      </c>
      <c r="O42" s="559" t="s">
        <v>105</v>
      </c>
      <c r="P42" s="554">
        <f>P22+7</f>
        <v>46365</v>
      </c>
      <c r="Q42" s="533"/>
      <c r="R42" s="533"/>
      <c r="S42" s="533"/>
      <c r="T42" s="533"/>
      <c r="U42" s="551">
        <f>P42+1</f>
        <v>46366</v>
      </c>
      <c r="V42" s="552"/>
      <c r="W42" s="552"/>
      <c r="X42" s="552"/>
      <c r="Y42" s="553"/>
      <c r="Z42" s="551">
        <f>U42+1</f>
        <v>46367</v>
      </c>
      <c r="AA42" s="552"/>
      <c r="AB42" s="552"/>
      <c r="AC42" s="552"/>
      <c r="AD42" s="553"/>
      <c r="AE42" s="551">
        <f>Z42+1</f>
        <v>46368</v>
      </c>
      <c r="AF42" s="552"/>
      <c r="AG42" s="552"/>
      <c r="AH42" s="552"/>
      <c r="AI42" s="553"/>
      <c r="AJ42" s="551">
        <f>AE42+1</f>
        <v>46369</v>
      </c>
      <c r="AK42" s="552"/>
      <c r="AL42" s="552"/>
      <c r="AM42" s="552"/>
      <c r="AN42" s="553"/>
      <c r="AO42" s="551">
        <f>AJ42+1</f>
        <v>46370</v>
      </c>
      <c r="AP42" s="552"/>
      <c r="AQ42" s="552"/>
      <c r="AR42" s="552"/>
      <c r="AS42" s="553"/>
      <c r="AT42" s="551">
        <f>AO42+1</f>
        <v>46371</v>
      </c>
      <c r="AU42" s="552"/>
      <c r="AV42" s="552"/>
      <c r="AW42" s="552"/>
      <c r="AX42" s="553"/>
    </row>
    <row r="43" spans="2:50" ht="15.5">
      <c r="B43" s="558"/>
      <c r="C43" s="558"/>
      <c r="D43" s="558"/>
      <c r="E43" s="558"/>
      <c r="F43" s="558"/>
      <c r="G43" s="558"/>
      <c r="H43" s="558"/>
      <c r="I43" s="205"/>
      <c r="J43" s="205"/>
      <c r="K43" s="205"/>
      <c r="L43" s="205"/>
      <c r="M43" s="206"/>
      <c r="N43" s="560"/>
      <c r="O43" s="560"/>
      <c r="P43" s="554" t="s">
        <v>334</v>
      </c>
      <c r="Q43" s="533"/>
      <c r="R43" s="533"/>
      <c r="S43" s="533"/>
      <c r="T43" s="533"/>
      <c r="U43" s="554" t="s">
        <v>335</v>
      </c>
      <c r="V43" s="533"/>
      <c r="W43" s="533"/>
      <c r="X43" s="533"/>
      <c r="Y43" s="533"/>
      <c r="Z43" s="554" t="s">
        <v>336</v>
      </c>
      <c r="AA43" s="533"/>
      <c r="AB43" s="533"/>
      <c r="AC43" s="533"/>
      <c r="AD43" s="533"/>
      <c r="AE43" s="554" t="s">
        <v>337</v>
      </c>
      <c r="AF43" s="533"/>
      <c r="AG43" s="533"/>
      <c r="AH43" s="533"/>
      <c r="AI43" s="533"/>
      <c r="AJ43" s="554" t="s">
        <v>338</v>
      </c>
      <c r="AK43" s="533"/>
      <c r="AL43" s="533"/>
      <c r="AM43" s="533"/>
      <c r="AN43" s="533"/>
      <c r="AO43" s="554" t="s">
        <v>339</v>
      </c>
      <c r="AP43" s="533"/>
      <c r="AQ43" s="533"/>
      <c r="AR43" s="533"/>
      <c r="AS43" s="533"/>
      <c r="AT43" s="554" t="s">
        <v>340</v>
      </c>
      <c r="AU43" s="533"/>
      <c r="AV43" s="533"/>
      <c r="AW43" s="533"/>
      <c r="AX43" s="533"/>
    </row>
    <row r="44" spans="2:50">
      <c r="B44" s="544" t="s">
        <v>649</v>
      </c>
      <c r="C44" s="544" t="s">
        <v>650</v>
      </c>
      <c r="D44" s="544"/>
      <c r="E44" s="544" t="s">
        <v>651</v>
      </c>
      <c r="F44" s="544"/>
      <c r="G44" s="544"/>
      <c r="H44" s="561" t="s">
        <v>652</v>
      </c>
      <c r="I44" s="583" t="s">
        <v>653</v>
      </c>
      <c r="J44" s="583"/>
      <c r="K44" s="583"/>
      <c r="L44" s="584" t="s">
        <v>652</v>
      </c>
      <c r="M44" s="567" t="s">
        <v>654</v>
      </c>
      <c r="N44" s="544"/>
      <c r="O44" s="544" t="s">
        <v>655</v>
      </c>
      <c r="P44" s="548" t="s">
        <v>656</v>
      </c>
      <c r="Q44" s="549"/>
      <c r="R44" s="549"/>
      <c r="S44" s="550"/>
      <c r="T44" s="544" t="s">
        <v>652</v>
      </c>
      <c r="U44" s="548" t="s">
        <v>656</v>
      </c>
      <c r="V44" s="549"/>
      <c r="W44" s="549"/>
      <c r="X44" s="550"/>
      <c r="Y44" s="544" t="s">
        <v>652</v>
      </c>
      <c r="Z44" s="548" t="s">
        <v>656</v>
      </c>
      <c r="AA44" s="549"/>
      <c r="AB44" s="549"/>
      <c r="AC44" s="550"/>
      <c r="AD44" s="544" t="s">
        <v>652</v>
      </c>
      <c r="AE44" s="548" t="s">
        <v>656</v>
      </c>
      <c r="AF44" s="549"/>
      <c r="AG44" s="549"/>
      <c r="AH44" s="550"/>
      <c r="AI44" s="544" t="s">
        <v>652</v>
      </c>
      <c r="AJ44" s="548" t="s">
        <v>656</v>
      </c>
      <c r="AK44" s="549"/>
      <c r="AL44" s="549"/>
      <c r="AM44" s="550"/>
      <c r="AN44" s="544" t="s">
        <v>652</v>
      </c>
      <c r="AO44" s="548" t="s">
        <v>656</v>
      </c>
      <c r="AP44" s="549"/>
      <c r="AQ44" s="549"/>
      <c r="AR44" s="550"/>
      <c r="AS44" s="544" t="s">
        <v>652</v>
      </c>
      <c r="AT44" s="548" t="s">
        <v>656</v>
      </c>
      <c r="AU44" s="549"/>
      <c r="AV44" s="549"/>
      <c r="AW44" s="550"/>
      <c r="AX44" s="544" t="s">
        <v>652</v>
      </c>
    </row>
    <row r="45" spans="2:50">
      <c r="B45" s="544"/>
      <c r="C45" s="544"/>
      <c r="D45" s="544"/>
      <c r="E45" s="544" t="s">
        <v>657</v>
      </c>
      <c r="F45" s="544"/>
      <c r="G45" s="544"/>
      <c r="H45" s="562"/>
      <c r="I45" s="583" t="s">
        <v>657</v>
      </c>
      <c r="J45" s="583"/>
      <c r="K45" s="583"/>
      <c r="L45" s="585"/>
      <c r="M45" s="568"/>
      <c r="N45" s="544"/>
      <c r="O45" s="544"/>
      <c r="P45" s="548" t="s">
        <v>658</v>
      </c>
      <c r="Q45" s="549"/>
      <c r="R45" s="549"/>
      <c r="S45" s="550"/>
      <c r="T45" s="544"/>
      <c r="U45" s="548" t="s">
        <v>658</v>
      </c>
      <c r="V45" s="549"/>
      <c r="W45" s="549"/>
      <c r="X45" s="550"/>
      <c r="Y45" s="544"/>
      <c r="Z45" s="548" t="s">
        <v>658</v>
      </c>
      <c r="AA45" s="549"/>
      <c r="AB45" s="549"/>
      <c r="AC45" s="550"/>
      <c r="AD45" s="544"/>
      <c r="AE45" s="548" t="s">
        <v>658</v>
      </c>
      <c r="AF45" s="549"/>
      <c r="AG45" s="549"/>
      <c r="AH45" s="550"/>
      <c r="AI45" s="544"/>
      <c r="AJ45" s="548" t="s">
        <v>658</v>
      </c>
      <c r="AK45" s="549"/>
      <c r="AL45" s="549"/>
      <c r="AM45" s="550"/>
      <c r="AN45" s="544"/>
      <c r="AO45" s="548" t="s">
        <v>658</v>
      </c>
      <c r="AP45" s="549"/>
      <c r="AQ45" s="549"/>
      <c r="AR45" s="550"/>
      <c r="AS45" s="544"/>
      <c r="AT45" s="548" t="s">
        <v>658</v>
      </c>
      <c r="AU45" s="549"/>
      <c r="AV45" s="549"/>
      <c r="AW45" s="550"/>
      <c r="AX45" s="544"/>
    </row>
    <row r="46" spans="2:50">
      <c r="B46" s="544"/>
      <c r="C46" s="544"/>
      <c r="D46" s="544"/>
      <c r="E46" s="403" t="s">
        <v>659</v>
      </c>
      <c r="F46" s="403" t="s">
        <v>660</v>
      </c>
      <c r="G46" s="403" t="s">
        <v>661</v>
      </c>
      <c r="H46" s="563"/>
      <c r="I46" s="402" t="s">
        <v>659</v>
      </c>
      <c r="J46" s="402" t="s">
        <v>660</v>
      </c>
      <c r="K46" s="402" t="s">
        <v>661</v>
      </c>
      <c r="L46" s="586"/>
      <c r="M46" s="569"/>
      <c r="N46" s="544"/>
      <c r="O46" s="544"/>
      <c r="P46" s="403" t="s">
        <v>659</v>
      </c>
      <c r="Q46" s="403" t="s">
        <v>660</v>
      </c>
      <c r="R46" s="403" t="s">
        <v>661</v>
      </c>
      <c r="S46" s="403" t="s">
        <v>654</v>
      </c>
      <c r="T46" s="544"/>
      <c r="U46" s="403" t="s">
        <v>659</v>
      </c>
      <c r="V46" s="403" t="s">
        <v>660</v>
      </c>
      <c r="W46" s="403" t="s">
        <v>661</v>
      </c>
      <c r="X46" s="403" t="s">
        <v>654</v>
      </c>
      <c r="Y46" s="544"/>
      <c r="Z46" s="403" t="s">
        <v>659</v>
      </c>
      <c r="AA46" s="403" t="s">
        <v>660</v>
      </c>
      <c r="AB46" s="403" t="s">
        <v>661</v>
      </c>
      <c r="AC46" s="403" t="s">
        <v>654</v>
      </c>
      <c r="AD46" s="544"/>
      <c r="AE46" s="403" t="s">
        <v>659</v>
      </c>
      <c r="AF46" s="403" t="s">
        <v>660</v>
      </c>
      <c r="AG46" s="403" t="s">
        <v>661</v>
      </c>
      <c r="AH46" s="403" t="s">
        <v>654</v>
      </c>
      <c r="AI46" s="544"/>
      <c r="AJ46" s="403" t="s">
        <v>659</v>
      </c>
      <c r="AK46" s="403" t="s">
        <v>660</v>
      </c>
      <c r="AL46" s="403" t="s">
        <v>661</v>
      </c>
      <c r="AM46" s="403" t="s">
        <v>654</v>
      </c>
      <c r="AN46" s="544"/>
      <c r="AO46" s="403" t="s">
        <v>659</v>
      </c>
      <c r="AP46" s="403" t="s">
        <v>660</v>
      </c>
      <c r="AQ46" s="403" t="s">
        <v>661</v>
      </c>
      <c r="AR46" s="403" t="s">
        <v>654</v>
      </c>
      <c r="AS46" s="544"/>
      <c r="AT46" s="403" t="s">
        <v>659</v>
      </c>
      <c r="AU46" s="403" t="s">
        <v>660</v>
      </c>
      <c r="AV46" s="403" t="s">
        <v>661</v>
      </c>
      <c r="AW46" s="403" t="s">
        <v>654</v>
      </c>
      <c r="AX46" s="544"/>
    </row>
    <row r="47" spans="2:50">
      <c r="B47" s="596" t="s">
        <v>666</v>
      </c>
      <c r="C47" s="404">
        <v>1</v>
      </c>
      <c r="D47" s="226" t="s">
        <v>403</v>
      </c>
      <c r="E47" s="182">
        <v>4</v>
      </c>
      <c r="F47" s="404">
        <v>2000</v>
      </c>
      <c r="G47" s="405">
        <v>500</v>
      </c>
      <c r="H47" s="597">
        <f>AVERAGE(G47:G61)</f>
        <v>288.63434343434341</v>
      </c>
      <c r="I47" s="408">
        <f>AVERAGE(P47,U47,Z47,AE47,AJ47,AO47,AT47)</f>
        <v>4</v>
      </c>
      <c r="J47" s="408">
        <f>AVERAGE(Q47,V47,AA47,AF47,AK47,AP47,AU47)</f>
        <v>2068.8398268398259</v>
      </c>
      <c r="K47" s="406">
        <f>AVERAGE(R47,W47,AB47,AG47,AL47,AQ47,AV47)</f>
        <v>517.20995670995649</v>
      </c>
      <c r="L47" s="587">
        <f>IFERROR(AVERAGE(K47:K61),"-")</f>
        <v>277.40572473003152</v>
      </c>
      <c r="M47" s="407">
        <f>RANK(K47, K$47:$K$61)</f>
        <v>2</v>
      </c>
      <c r="N47" s="544"/>
      <c r="O47" s="544"/>
      <c r="P47" s="182">
        <v>4</v>
      </c>
      <c r="Q47" s="182">
        <v>2094.5454545454545</v>
      </c>
      <c r="R47" s="182">
        <v>523.63636363636363</v>
      </c>
      <c r="S47" s="404">
        <f>RANK(R47, R$47:R$61)</f>
        <v>2</v>
      </c>
      <c r="T47" s="534">
        <f>AVERAGE(R47:R61)</f>
        <v>280.11912760988707</v>
      </c>
      <c r="U47" s="182">
        <v>4</v>
      </c>
      <c r="V47" s="182">
        <v>2132.9999999999995</v>
      </c>
      <c r="W47" s="182">
        <v>533.24999999999989</v>
      </c>
      <c r="X47" s="404">
        <f t="shared" ref="X47:X61" si="28">RANK(W47, W$47:W$61)</f>
        <v>2</v>
      </c>
      <c r="Y47" s="534">
        <f t="shared" ref="Y47" si="29">AVERAGE(W47:W61)</f>
        <v>278.08178425418868</v>
      </c>
      <c r="Z47" s="182">
        <v>4</v>
      </c>
      <c r="AA47" s="182">
        <v>2126.9999999999991</v>
      </c>
      <c r="AB47" s="182">
        <v>531.74999999999977</v>
      </c>
      <c r="AC47" s="404">
        <f t="shared" ref="AC47:AC61" si="30">RANK(AB47, AB$47:AB$61)</f>
        <v>2</v>
      </c>
      <c r="AD47" s="534">
        <f t="shared" ref="AD47" si="31">AVERAGE(AB47:AB61)</f>
        <v>276.95517489808606</v>
      </c>
      <c r="AE47" s="182">
        <v>4</v>
      </c>
      <c r="AF47" s="182">
        <v>1739.9999999999986</v>
      </c>
      <c r="AG47" s="182">
        <v>434.99999999999966</v>
      </c>
      <c r="AH47" s="404">
        <f t="shared" ref="AH47:AH61" si="32">RANK(AG47, AG$47:AG$61)</f>
        <v>3</v>
      </c>
      <c r="AI47" s="534">
        <f t="shared" ref="AI47" si="33">AVERAGE(AG47:AG61)</f>
        <v>269.04350504250846</v>
      </c>
      <c r="AJ47" s="182">
        <v>4</v>
      </c>
      <c r="AK47" s="182">
        <v>2099.9999999999982</v>
      </c>
      <c r="AL47" s="182">
        <v>524.99999999999955</v>
      </c>
      <c r="AM47" s="404">
        <f t="shared" ref="AM47:AM61" si="34">RANK(AL47, AL$47:AL$61)</f>
        <v>2</v>
      </c>
      <c r="AN47" s="534">
        <f t="shared" ref="AN47" si="35">AVERAGE(AL47:AL61)</f>
        <v>277.46583051262888</v>
      </c>
      <c r="AO47" s="182">
        <v>4</v>
      </c>
      <c r="AP47" s="182">
        <v>2103.3333333333317</v>
      </c>
      <c r="AQ47" s="182">
        <v>525.83333333333292</v>
      </c>
      <c r="AR47" s="404">
        <f t="shared" ref="AR47:AR61" si="36">RANK(AQ47, AQ$47:AQ$61)</f>
        <v>2</v>
      </c>
      <c r="AS47" s="534">
        <f t="shared" ref="AS47" si="37">AVERAGE(AQ47:AQ61)</f>
        <v>277.09688738841481</v>
      </c>
      <c r="AT47" s="182">
        <v>4</v>
      </c>
      <c r="AU47" s="182">
        <v>2183.9999999999991</v>
      </c>
      <c r="AV47" s="182">
        <v>545.99999999999977</v>
      </c>
      <c r="AW47" s="404">
        <f t="shared" ref="AW47:AW61" si="38">RANK(AV47, AV$47:AV$61)</f>
        <v>1</v>
      </c>
      <c r="AX47" s="534">
        <f t="shared" ref="AX47" si="39">AVERAGE(AV47:AV61)</f>
        <v>283.07776340450692</v>
      </c>
    </row>
    <row r="48" spans="2:50">
      <c r="B48" s="533"/>
      <c r="C48" s="404">
        <v>2</v>
      </c>
      <c r="D48" s="226" t="s">
        <v>465</v>
      </c>
      <c r="E48" s="182">
        <v>4</v>
      </c>
      <c r="F48" s="404">
        <v>2000</v>
      </c>
      <c r="G48" s="405">
        <v>500</v>
      </c>
      <c r="H48" s="598"/>
      <c r="I48" s="408">
        <f t="shared" ref="I48:K57" si="40">AVERAGE(P48,U48,Z48,AE48,AJ48,AO48,AT48)</f>
        <v>4</v>
      </c>
      <c r="J48" s="408">
        <f t="shared" si="40"/>
        <v>2138.7938345298589</v>
      </c>
      <c r="K48" s="406">
        <f t="shared" si="40"/>
        <v>534.69845863246474</v>
      </c>
      <c r="L48" s="588"/>
      <c r="M48" s="407">
        <f>RANK(K48, K$47:$K$61)</f>
        <v>1</v>
      </c>
      <c r="N48" s="544"/>
      <c r="O48" s="544"/>
      <c r="P48" s="182">
        <v>4</v>
      </c>
      <c r="Q48" s="182">
        <v>2152.5000000000005</v>
      </c>
      <c r="R48" s="182">
        <v>538.12500000000011</v>
      </c>
      <c r="S48" s="404">
        <f t="shared" ref="S48:S61" si="41">RANK(R48, R$47:R$61)</f>
        <v>1</v>
      </c>
      <c r="T48" s="534"/>
      <c r="U48" s="182">
        <v>4</v>
      </c>
      <c r="V48" s="182">
        <v>2178.260869565217</v>
      </c>
      <c r="W48" s="182">
        <v>544.56521739130426</v>
      </c>
      <c r="X48" s="404">
        <f t="shared" si="28"/>
        <v>1</v>
      </c>
      <c r="Y48" s="534"/>
      <c r="Z48" s="182">
        <v>4</v>
      </c>
      <c r="AA48" s="182">
        <v>2165.7142857142849</v>
      </c>
      <c r="AB48" s="182">
        <v>541.42857142857122</v>
      </c>
      <c r="AC48" s="404">
        <f t="shared" si="30"/>
        <v>1</v>
      </c>
      <c r="AD48" s="534"/>
      <c r="AE48" s="182">
        <v>4</v>
      </c>
      <c r="AF48" s="182">
        <v>2036.6666666666649</v>
      </c>
      <c r="AG48" s="182">
        <v>509.16666666666623</v>
      </c>
      <c r="AH48" s="404">
        <f t="shared" si="32"/>
        <v>1</v>
      </c>
      <c r="AI48" s="534"/>
      <c r="AJ48" s="182">
        <v>4</v>
      </c>
      <c r="AK48" s="182">
        <v>2162.9999999999995</v>
      </c>
      <c r="AL48" s="182">
        <v>540.74999999999989</v>
      </c>
      <c r="AM48" s="404">
        <f t="shared" si="34"/>
        <v>1</v>
      </c>
      <c r="AN48" s="534"/>
      <c r="AO48" s="182">
        <v>4</v>
      </c>
      <c r="AP48" s="182">
        <v>2120.8695652173915</v>
      </c>
      <c r="AQ48" s="182">
        <v>530.21739130434787</v>
      </c>
      <c r="AR48" s="404">
        <f t="shared" si="36"/>
        <v>1</v>
      </c>
      <c r="AS48" s="534"/>
      <c r="AT48" s="182">
        <v>4</v>
      </c>
      <c r="AU48" s="182">
        <v>2154.5454545454545</v>
      </c>
      <c r="AV48" s="182">
        <v>538.63636363636363</v>
      </c>
      <c r="AW48" s="404">
        <f t="shared" si="38"/>
        <v>2</v>
      </c>
      <c r="AX48" s="534"/>
    </row>
    <row r="49" spans="2:50">
      <c r="B49" s="533"/>
      <c r="C49" s="404">
        <v>3</v>
      </c>
      <c r="D49" s="226" t="s">
        <v>404</v>
      </c>
      <c r="E49" s="182">
        <v>12</v>
      </c>
      <c r="F49" s="404">
        <v>2250</v>
      </c>
      <c r="G49" s="405">
        <v>187.5</v>
      </c>
      <c r="H49" s="598"/>
      <c r="I49" s="408">
        <f t="shared" si="40"/>
        <v>12</v>
      </c>
      <c r="J49" s="408">
        <f t="shared" si="40"/>
        <v>2184.626969275771</v>
      </c>
      <c r="K49" s="406">
        <f t="shared" si="40"/>
        <v>182.0522474396476</v>
      </c>
      <c r="L49" s="588"/>
      <c r="M49" s="407">
        <f>RANK(K49, K$47:$K$61)</f>
        <v>8</v>
      </c>
      <c r="N49" s="544"/>
      <c r="O49" s="544"/>
      <c r="P49" s="182">
        <v>12</v>
      </c>
      <c r="Q49" s="182">
        <v>2221.0000000000005</v>
      </c>
      <c r="R49" s="182">
        <v>185.08333333333337</v>
      </c>
      <c r="S49" s="404">
        <f t="shared" si="41"/>
        <v>8</v>
      </c>
      <c r="T49" s="534"/>
      <c r="U49" s="182">
        <v>12</v>
      </c>
      <c r="V49" s="182">
        <v>2165.0847457627119</v>
      </c>
      <c r="W49" s="182">
        <v>180.42372881355934</v>
      </c>
      <c r="X49" s="404">
        <f t="shared" si="28"/>
        <v>8</v>
      </c>
      <c r="Y49" s="534"/>
      <c r="Z49" s="182">
        <v>12</v>
      </c>
      <c r="AA49" s="182">
        <v>2157.894736842105</v>
      </c>
      <c r="AB49" s="182">
        <v>179.82456140350874</v>
      </c>
      <c r="AC49" s="404">
        <f t="shared" si="30"/>
        <v>8</v>
      </c>
      <c r="AD49" s="534"/>
      <c r="AE49" s="182">
        <v>12</v>
      </c>
      <c r="AF49" s="182">
        <v>2157.2093023255811</v>
      </c>
      <c r="AG49" s="182">
        <v>179.76744186046508</v>
      </c>
      <c r="AH49" s="404">
        <f t="shared" si="32"/>
        <v>9</v>
      </c>
      <c r="AI49" s="534"/>
      <c r="AJ49" s="182">
        <v>12</v>
      </c>
      <c r="AK49" s="182">
        <v>2191.1999999999989</v>
      </c>
      <c r="AL49" s="182">
        <v>182.59999999999991</v>
      </c>
      <c r="AM49" s="404">
        <f t="shared" si="34"/>
        <v>9</v>
      </c>
      <c r="AN49" s="534"/>
      <c r="AO49" s="182">
        <v>12</v>
      </c>
      <c r="AP49" s="182">
        <v>2158.0000000000005</v>
      </c>
      <c r="AQ49" s="182">
        <v>179.83333333333337</v>
      </c>
      <c r="AR49" s="404">
        <f t="shared" si="36"/>
        <v>9</v>
      </c>
      <c r="AS49" s="534"/>
      <c r="AT49" s="182">
        <v>12</v>
      </c>
      <c r="AU49" s="182">
        <v>2242.0000000000005</v>
      </c>
      <c r="AV49" s="182">
        <v>186.83333333333337</v>
      </c>
      <c r="AW49" s="404">
        <f t="shared" si="38"/>
        <v>8</v>
      </c>
      <c r="AX49" s="534"/>
    </row>
    <row r="50" spans="2:50">
      <c r="B50" s="533"/>
      <c r="C50" s="404">
        <v>4</v>
      </c>
      <c r="D50" s="226" t="s">
        <v>405</v>
      </c>
      <c r="E50" s="182">
        <v>11</v>
      </c>
      <c r="F50" s="404">
        <v>2118</v>
      </c>
      <c r="G50" s="405">
        <v>192.5</v>
      </c>
      <c r="H50" s="598"/>
      <c r="I50" s="408">
        <f t="shared" si="40"/>
        <v>11</v>
      </c>
      <c r="J50" s="408">
        <f t="shared" si="40"/>
        <v>2197.3858568182322</v>
      </c>
      <c r="K50" s="406">
        <f t="shared" si="40"/>
        <v>199.76235061983931</v>
      </c>
      <c r="L50" s="588"/>
      <c r="M50" s="407">
        <f>RANK(K50, K$47:$K$61)</f>
        <v>6</v>
      </c>
      <c r="N50" s="544"/>
      <c r="O50" s="544"/>
      <c r="P50" s="182">
        <v>11</v>
      </c>
      <c r="Q50" s="182">
        <v>2191.9999999999995</v>
      </c>
      <c r="R50" s="182">
        <v>199.27272727272722</v>
      </c>
      <c r="S50" s="404">
        <f t="shared" si="41"/>
        <v>7</v>
      </c>
      <c r="T50" s="534"/>
      <c r="U50" s="182">
        <v>11</v>
      </c>
      <c r="V50" s="182">
        <v>2163.1999999999998</v>
      </c>
      <c r="W50" s="182">
        <v>196.65454545454543</v>
      </c>
      <c r="X50" s="404">
        <f t="shared" si="28"/>
        <v>6</v>
      </c>
      <c r="Y50" s="534"/>
      <c r="Z50" s="182">
        <v>11</v>
      </c>
      <c r="AA50" s="182">
        <v>2206.0869565217381</v>
      </c>
      <c r="AB50" s="182">
        <v>200.55335968379438</v>
      </c>
      <c r="AC50" s="404">
        <f t="shared" si="30"/>
        <v>6</v>
      </c>
      <c r="AD50" s="534"/>
      <c r="AE50" s="182">
        <v>11</v>
      </c>
      <c r="AF50" s="182">
        <v>2123.1578947368407</v>
      </c>
      <c r="AG50" s="182">
        <v>193.01435406698553</v>
      </c>
      <c r="AH50" s="404">
        <f t="shared" si="32"/>
        <v>8</v>
      </c>
      <c r="AI50" s="534"/>
      <c r="AJ50" s="182">
        <v>11</v>
      </c>
      <c r="AK50" s="182">
        <v>2231.6129032258073</v>
      </c>
      <c r="AL50" s="182">
        <v>202.87390029325522</v>
      </c>
      <c r="AM50" s="404">
        <f t="shared" si="34"/>
        <v>5</v>
      </c>
      <c r="AN50" s="534"/>
      <c r="AO50" s="182">
        <v>11</v>
      </c>
      <c r="AP50" s="182">
        <v>2223.2432432432429</v>
      </c>
      <c r="AQ50" s="182">
        <v>202.11302211302208</v>
      </c>
      <c r="AR50" s="404">
        <f t="shared" si="36"/>
        <v>5</v>
      </c>
      <c r="AS50" s="534"/>
      <c r="AT50" s="182">
        <v>11</v>
      </c>
      <c r="AU50" s="182">
        <v>2242.3999999999996</v>
      </c>
      <c r="AV50" s="182">
        <v>203.85454545454542</v>
      </c>
      <c r="AW50" s="404">
        <f t="shared" si="38"/>
        <v>6</v>
      </c>
      <c r="AX50" s="534"/>
    </row>
    <row r="51" spans="2:50">
      <c r="B51" s="533"/>
      <c r="C51" s="404">
        <v>5</v>
      </c>
      <c r="D51" s="226" t="s">
        <v>406</v>
      </c>
      <c r="E51" s="182">
        <v>11</v>
      </c>
      <c r="F51" s="404">
        <v>2250</v>
      </c>
      <c r="G51" s="405">
        <v>204.5</v>
      </c>
      <c r="H51" s="598"/>
      <c r="I51" s="408">
        <f t="shared" si="40"/>
        <v>11</v>
      </c>
      <c r="J51" s="408">
        <f t="shared" si="40"/>
        <v>2212.116436947591</v>
      </c>
      <c r="K51" s="406">
        <f t="shared" si="40"/>
        <v>201.10149426796283</v>
      </c>
      <c r="L51" s="588"/>
      <c r="M51" s="407">
        <f>RANK(K51, K$47:$K$61)</f>
        <v>5</v>
      </c>
      <c r="N51" s="544"/>
      <c r="O51" s="544"/>
      <c r="P51" s="182">
        <v>11</v>
      </c>
      <c r="Q51" s="182">
        <v>2235.2000000000007</v>
      </c>
      <c r="R51" s="182">
        <v>203.20000000000007</v>
      </c>
      <c r="S51" s="404">
        <f t="shared" si="41"/>
        <v>6</v>
      </c>
      <c r="T51" s="534"/>
      <c r="U51" s="182">
        <v>11</v>
      </c>
      <c r="V51" s="182">
        <v>2207.8378378378388</v>
      </c>
      <c r="W51" s="182">
        <v>200.71253071253079</v>
      </c>
      <c r="X51" s="404">
        <f t="shared" si="28"/>
        <v>5</v>
      </c>
      <c r="Y51" s="534"/>
      <c r="Z51" s="182">
        <v>11</v>
      </c>
      <c r="AA51" s="182">
        <v>2207.3239436619724</v>
      </c>
      <c r="AB51" s="182">
        <v>200.66581306017932</v>
      </c>
      <c r="AC51" s="404">
        <f t="shared" si="30"/>
        <v>5</v>
      </c>
      <c r="AD51" s="534"/>
      <c r="AE51" s="182">
        <v>11</v>
      </c>
      <c r="AF51" s="182">
        <v>2208.6206896551712</v>
      </c>
      <c r="AG51" s="182">
        <v>200.78369905956103</v>
      </c>
      <c r="AH51" s="404">
        <f t="shared" si="32"/>
        <v>5</v>
      </c>
      <c r="AI51" s="534"/>
      <c r="AJ51" s="182">
        <v>11</v>
      </c>
      <c r="AK51" s="182">
        <v>2199.090909090909</v>
      </c>
      <c r="AL51" s="182">
        <v>199.91735537190081</v>
      </c>
      <c r="AM51" s="404">
        <f t="shared" si="34"/>
        <v>6</v>
      </c>
      <c r="AN51" s="534"/>
      <c r="AO51" s="182">
        <v>11</v>
      </c>
      <c r="AP51" s="182">
        <v>2203.703703703703</v>
      </c>
      <c r="AQ51" s="182">
        <v>200.33670033670026</v>
      </c>
      <c r="AR51" s="404">
        <f t="shared" si="36"/>
        <v>7</v>
      </c>
      <c r="AS51" s="534"/>
      <c r="AT51" s="182">
        <v>11</v>
      </c>
      <c r="AU51" s="182">
        <v>2223.0379746835429</v>
      </c>
      <c r="AV51" s="182">
        <v>202.09436133486753</v>
      </c>
      <c r="AW51" s="404">
        <f t="shared" si="38"/>
        <v>7</v>
      </c>
      <c r="AX51" s="534"/>
    </row>
    <row r="52" spans="2:50">
      <c r="B52" s="533"/>
      <c r="C52" s="404">
        <v>6</v>
      </c>
      <c r="D52" s="226" t="s">
        <v>407</v>
      </c>
      <c r="E52" s="182">
        <v>12</v>
      </c>
      <c r="F52" s="404">
        <v>2250</v>
      </c>
      <c r="G52" s="405">
        <v>187.5</v>
      </c>
      <c r="H52" s="598"/>
      <c r="I52" s="408">
        <f t="shared" si="40"/>
        <v>12</v>
      </c>
      <c r="J52" s="408">
        <f t="shared" si="40"/>
        <v>2127.740162877179</v>
      </c>
      <c r="K52" s="406">
        <f t="shared" si="40"/>
        <v>177.31168023976491</v>
      </c>
      <c r="L52" s="588"/>
      <c r="M52" s="407">
        <f>RANK(K52, K$47:$K$61)</f>
        <v>10</v>
      </c>
      <c r="N52" s="544"/>
      <c r="O52" s="544"/>
      <c r="P52" s="182">
        <v>12</v>
      </c>
      <c r="Q52" s="182">
        <v>2120.4878048780479</v>
      </c>
      <c r="R52" s="182">
        <v>176.70731707317066</v>
      </c>
      <c r="S52" s="404">
        <f t="shared" si="41"/>
        <v>9</v>
      </c>
      <c r="T52" s="534"/>
      <c r="U52" s="182">
        <v>12</v>
      </c>
      <c r="V52" s="182">
        <v>2127.6923076923067</v>
      </c>
      <c r="W52" s="182">
        <v>177.30769230769224</v>
      </c>
      <c r="X52" s="404">
        <f t="shared" si="28"/>
        <v>9</v>
      </c>
      <c r="Y52" s="534"/>
      <c r="Z52" s="182">
        <v>12</v>
      </c>
      <c r="AA52" s="182">
        <v>2137.2972972972957</v>
      </c>
      <c r="AB52" s="182">
        <v>178.10810810810798</v>
      </c>
      <c r="AC52" s="404">
        <f t="shared" si="30"/>
        <v>9</v>
      </c>
      <c r="AD52" s="534"/>
      <c r="AE52" s="182">
        <v>12</v>
      </c>
      <c r="AF52" s="182">
        <v>2101.7647058823554</v>
      </c>
      <c r="AG52" s="182">
        <v>175.14705882352962</v>
      </c>
      <c r="AH52" s="404">
        <f t="shared" si="32"/>
        <v>10</v>
      </c>
      <c r="AI52" s="534"/>
      <c r="AJ52" s="182">
        <v>12</v>
      </c>
      <c r="AK52" s="182">
        <v>2095.4999999999995</v>
      </c>
      <c r="AL52" s="182">
        <v>174.62499999999997</v>
      </c>
      <c r="AM52" s="404">
        <f t="shared" si="34"/>
        <v>10</v>
      </c>
      <c r="AN52" s="534"/>
      <c r="AO52" s="182">
        <v>12</v>
      </c>
      <c r="AP52" s="182">
        <v>2142.439024390243</v>
      </c>
      <c r="AQ52" s="182">
        <v>178.5365853658536</v>
      </c>
      <c r="AR52" s="404">
        <f t="shared" si="36"/>
        <v>10</v>
      </c>
      <c r="AS52" s="534"/>
      <c r="AT52" s="182">
        <v>12</v>
      </c>
      <c r="AU52" s="182">
        <v>2169.0000000000032</v>
      </c>
      <c r="AV52" s="182">
        <v>180.75000000000026</v>
      </c>
      <c r="AW52" s="404">
        <f t="shared" si="38"/>
        <v>9</v>
      </c>
      <c r="AX52" s="534"/>
    </row>
    <row r="53" spans="2:50">
      <c r="B53" s="533"/>
      <c r="C53" s="404">
        <v>7</v>
      </c>
      <c r="D53" s="226" t="s">
        <v>408</v>
      </c>
      <c r="E53" s="182">
        <v>9</v>
      </c>
      <c r="F53" s="404">
        <v>2769</v>
      </c>
      <c r="G53" s="405">
        <v>307.7</v>
      </c>
      <c r="H53" s="598"/>
      <c r="I53" s="408">
        <f t="shared" si="40"/>
        <v>10.857142857142858</v>
      </c>
      <c r="J53" s="408">
        <f t="shared" si="40"/>
        <v>2136.3687709712672</v>
      </c>
      <c r="K53" s="406">
        <f t="shared" si="40"/>
        <v>196.95316749089437</v>
      </c>
      <c r="L53" s="588"/>
      <c r="M53" s="407">
        <f>RANK(K53, K$47:$K$61)</f>
        <v>7</v>
      </c>
      <c r="N53" s="544"/>
      <c r="O53" s="544"/>
      <c r="P53" s="182">
        <v>10</v>
      </c>
      <c r="Q53" s="182">
        <v>2108.1250000000009</v>
      </c>
      <c r="R53" s="182">
        <v>210.81250000000009</v>
      </c>
      <c r="S53" s="404">
        <f t="shared" si="41"/>
        <v>5</v>
      </c>
      <c r="T53" s="534"/>
      <c r="U53" s="182">
        <v>11</v>
      </c>
      <c r="V53" s="182">
        <v>2034.7826086956486</v>
      </c>
      <c r="W53" s="182">
        <v>184.98023715414988</v>
      </c>
      <c r="X53" s="404">
        <f t="shared" si="28"/>
        <v>7</v>
      </c>
      <c r="Y53" s="534"/>
      <c r="Z53" s="182">
        <v>11</v>
      </c>
      <c r="AA53" s="182">
        <v>2002.7586206896549</v>
      </c>
      <c r="AB53" s="182">
        <v>182.06896551724137</v>
      </c>
      <c r="AC53" s="404">
        <f t="shared" si="30"/>
        <v>7</v>
      </c>
      <c r="AD53" s="534"/>
      <c r="AE53" s="182">
        <v>11</v>
      </c>
      <c r="AF53" s="182">
        <v>2175.789473684209</v>
      </c>
      <c r="AG53" s="182">
        <v>197.79904306220081</v>
      </c>
      <c r="AH53" s="404">
        <f t="shared" si="32"/>
        <v>6</v>
      </c>
      <c r="AI53" s="534"/>
      <c r="AJ53" s="182">
        <v>11</v>
      </c>
      <c r="AK53" s="182">
        <v>2173.7837837837824</v>
      </c>
      <c r="AL53" s="182">
        <v>197.61670761670749</v>
      </c>
      <c r="AM53" s="404">
        <f t="shared" si="34"/>
        <v>8</v>
      </c>
      <c r="AN53" s="534"/>
      <c r="AO53" s="182">
        <v>11</v>
      </c>
      <c r="AP53" s="182">
        <v>2199.5744680851067</v>
      </c>
      <c r="AQ53" s="182">
        <v>199.96131528046425</v>
      </c>
      <c r="AR53" s="404">
        <f t="shared" si="36"/>
        <v>8</v>
      </c>
      <c r="AS53" s="534"/>
      <c r="AT53" s="182">
        <v>11</v>
      </c>
      <c r="AU53" s="182">
        <v>2259.7674418604647</v>
      </c>
      <c r="AV53" s="182">
        <v>205.43340380549679</v>
      </c>
      <c r="AW53" s="404">
        <f t="shared" si="38"/>
        <v>5</v>
      </c>
      <c r="AX53" s="534"/>
    </row>
    <row r="54" spans="2:50">
      <c r="B54" s="533"/>
      <c r="C54" s="404">
        <v>8</v>
      </c>
      <c r="D54" s="226" t="s">
        <v>402</v>
      </c>
      <c r="E54" s="182">
        <v>18</v>
      </c>
      <c r="F54" s="404">
        <v>1250</v>
      </c>
      <c r="G54" s="405">
        <v>69.444444444444443</v>
      </c>
      <c r="H54" s="598"/>
      <c r="I54" s="408">
        <f t="shared" si="40"/>
        <v>13</v>
      </c>
      <c r="J54" s="408">
        <f t="shared" si="40"/>
        <v>1236.3789473684212</v>
      </c>
      <c r="K54" s="406">
        <f t="shared" si="40"/>
        <v>95.106072874493961</v>
      </c>
      <c r="L54" s="588"/>
      <c r="M54" s="407">
        <f>RANK(K54, K$47:$K$61)</f>
        <v>11</v>
      </c>
      <c r="N54" s="544"/>
      <c r="O54" s="544"/>
      <c r="P54" s="182">
        <v>13</v>
      </c>
      <c r="Q54" s="182">
        <v>1237.8000000000004</v>
      </c>
      <c r="R54" s="182">
        <v>95.21538461538465</v>
      </c>
      <c r="S54" s="404">
        <f t="shared" si="41"/>
        <v>11</v>
      </c>
      <c r="T54" s="534"/>
      <c r="U54" s="182">
        <v>13</v>
      </c>
      <c r="V54" s="182">
        <v>1251.3333333333333</v>
      </c>
      <c r="W54" s="182">
        <v>96.256410256410248</v>
      </c>
      <c r="X54" s="404">
        <f t="shared" si="28"/>
        <v>11</v>
      </c>
      <c r="Y54" s="534"/>
      <c r="Z54" s="182">
        <v>13</v>
      </c>
      <c r="AA54" s="182">
        <v>1274.6666666666665</v>
      </c>
      <c r="AB54" s="182">
        <v>98.051282051282044</v>
      </c>
      <c r="AC54" s="404">
        <f t="shared" si="30"/>
        <v>11</v>
      </c>
      <c r="AD54" s="534"/>
      <c r="AE54" s="182">
        <v>13</v>
      </c>
      <c r="AF54" s="182">
        <v>1200.0000000000005</v>
      </c>
      <c r="AG54" s="182">
        <v>92.307692307692349</v>
      </c>
      <c r="AH54" s="404">
        <f t="shared" si="32"/>
        <v>11</v>
      </c>
      <c r="AI54" s="534"/>
      <c r="AJ54" s="182">
        <v>13</v>
      </c>
      <c r="AK54" s="182">
        <v>1227.0000000000007</v>
      </c>
      <c r="AL54" s="182">
        <v>94.384615384615444</v>
      </c>
      <c r="AM54" s="404">
        <f t="shared" si="34"/>
        <v>11</v>
      </c>
      <c r="AN54" s="534"/>
      <c r="AO54" s="182">
        <v>13</v>
      </c>
      <c r="AP54" s="182">
        <v>1222.8000000000004</v>
      </c>
      <c r="AQ54" s="182">
        <v>94.06153846153849</v>
      </c>
      <c r="AR54" s="404">
        <f t="shared" si="36"/>
        <v>11</v>
      </c>
      <c r="AS54" s="534"/>
      <c r="AT54" s="182">
        <v>13</v>
      </c>
      <c r="AU54" s="182">
        <v>1241.0526315789475</v>
      </c>
      <c r="AV54" s="182">
        <v>95.465587044534431</v>
      </c>
      <c r="AW54" s="404">
        <f t="shared" si="38"/>
        <v>11</v>
      </c>
      <c r="AX54" s="534"/>
    </row>
    <row r="55" spans="2:50">
      <c r="B55" s="533"/>
      <c r="C55" s="404">
        <v>9</v>
      </c>
      <c r="D55" s="226" t="s">
        <v>619</v>
      </c>
      <c r="E55" s="182">
        <v>6</v>
      </c>
      <c r="F55" s="404">
        <v>2000</v>
      </c>
      <c r="G55" s="405">
        <v>333.33333333333331</v>
      </c>
      <c r="H55" s="598"/>
      <c r="I55" s="408">
        <f t="shared" si="40"/>
        <v>6</v>
      </c>
      <c r="J55" s="408">
        <f t="shared" si="40"/>
        <v>1976.3511299256577</v>
      </c>
      <c r="K55" s="406">
        <f t="shared" si="40"/>
        <v>329.39185498760969</v>
      </c>
      <c r="L55" s="588"/>
      <c r="M55" s="407">
        <f>RANK(K55, K$47:$K$61)</f>
        <v>4</v>
      </c>
      <c r="N55" s="544"/>
      <c r="O55" s="544"/>
      <c r="P55" s="182">
        <v>6</v>
      </c>
      <c r="Q55" s="182">
        <v>2108.5714285714362</v>
      </c>
      <c r="R55" s="182">
        <v>351.4285714285727</v>
      </c>
      <c r="S55" s="404">
        <f t="shared" si="41"/>
        <v>4</v>
      </c>
      <c r="T55" s="534"/>
      <c r="U55" s="182">
        <v>6</v>
      </c>
      <c r="V55" s="182">
        <v>2169.0000000000077</v>
      </c>
      <c r="W55" s="182">
        <v>361.50000000000131</v>
      </c>
      <c r="X55" s="404">
        <f t="shared" si="28"/>
        <v>4</v>
      </c>
      <c r="Y55" s="534"/>
      <c r="Z55" s="182">
        <v>6</v>
      </c>
      <c r="AA55" s="182">
        <v>2096.6666666666647</v>
      </c>
      <c r="AB55" s="182">
        <v>349.44444444444412</v>
      </c>
      <c r="AC55" s="404">
        <f t="shared" si="30"/>
        <v>4</v>
      </c>
      <c r="AD55" s="534"/>
      <c r="AE55" s="182">
        <v>6</v>
      </c>
      <c r="AF55" s="182">
        <v>1747.0588235294097</v>
      </c>
      <c r="AG55" s="182">
        <v>291.17647058823496</v>
      </c>
      <c r="AH55" s="404">
        <f t="shared" si="32"/>
        <v>4</v>
      </c>
      <c r="AI55" s="534"/>
      <c r="AJ55" s="182">
        <v>6</v>
      </c>
      <c r="AK55" s="182">
        <v>1803.5294117647036</v>
      </c>
      <c r="AL55" s="182">
        <v>300.58823529411728</v>
      </c>
      <c r="AM55" s="404">
        <f t="shared" si="34"/>
        <v>4</v>
      </c>
      <c r="AN55" s="534"/>
      <c r="AO55" s="182">
        <v>6</v>
      </c>
      <c r="AP55" s="182">
        <v>1797.0000000000064</v>
      </c>
      <c r="AQ55" s="182">
        <v>299.50000000000108</v>
      </c>
      <c r="AR55" s="404">
        <f t="shared" si="36"/>
        <v>4</v>
      </c>
      <c r="AS55" s="534"/>
      <c r="AT55" s="182">
        <v>6</v>
      </c>
      <c r="AU55" s="182">
        <v>2112.6315789473761</v>
      </c>
      <c r="AV55" s="182">
        <v>352.10526315789599</v>
      </c>
      <c r="AW55" s="404">
        <f t="shared" si="38"/>
        <v>4</v>
      </c>
      <c r="AX55" s="534"/>
    </row>
    <row r="56" spans="2:50">
      <c r="B56" s="533"/>
      <c r="C56" s="404">
        <v>10</v>
      </c>
      <c r="D56" s="226" t="s">
        <v>641</v>
      </c>
      <c r="E56" s="182">
        <v>4</v>
      </c>
      <c r="F56" s="404">
        <v>2000</v>
      </c>
      <c r="G56" s="405">
        <v>500</v>
      </c>
      <c r="H56" s="598"/>
      <c r="I56" s="408">
        <f t="shared" si="40"/>
        <v>4.8571428571428568</v>
      </c>
      <c r="J56" s="408">
        <f t="shared" si="40"/>
        <v>2123.4727580542672</v>
      </c>
      <c r="K56" s="406">
        <f t="shared" si="40"/>
        <v>438.70883732513909</v>
      </c>
      <c r="L56" s="588"/>
      <c r="M56" s="407">
        <f>RANK(K56, K$47:$K$61)</f>
        <v>3</v>
      </c>
      <c r="N56" s="544"/>
      <c r="O56" s="544"/>
      <c r="P56" s="182">
        <v>5</v>
      </c>
      <c r="Q56" s="182">
        <v>2162.3999999999942</v>
      </c>
      <c r="R56" s="182">
        <v>432.47999999999882</v>
      </c>
      <c r="S56" s="404">
        <f t="shared" si="41"/>
        <v>3</v>
      </c>
      <c r="T56" s="534"/>
      <c r="U56" s="182">
        <v>5</v>
      </c>
      <c r="V56" s="182">
        <v>2107.058823529409</v>
      </c>
      <c r="W56" s="182">
        <v>421.41176470588181</v>
      </c>
      <c r="X56" s="404">
        <f t="shared" si="28"/>
        <v>3</v>
      </c>
      <c r="Y56" s="534"/>
      <c r="Z56" s="182">
        <v>5</v>
      </c>
      <c r="AA56" s="182">
        <v>2090.9090909090883</v>
      </c>
      <c r="AB56" s="182">
        <v>418.18181818181768</v>
      </c>
      <c r="AC56" s="404">
        <f t="shared" si="30"/>
        <v>3</v>
      </c>
      <c r="AD56" s="534"/>
      <c r="AE56" s="182">
        <v>4</v>
      </c>
      <c r="AF56" s="182">
        <v>1961.9999999999964</v>
      </c>
      <c r="AG56" s="182">
        <v>490.49999999999909</v>
      </c>
      <c r="AH56" s="404">
        <f t="shared" si="32"/>
        <v>2</v>
      </c>
      <c r="AI56" s="534"/>
      <c r="AJ56" s="182">
        <v>5</v>
      </c>
      <c r="AK56" s="182">
        <v>2173.8461538461547</v>
      </c>
      <c r="AL56" s="182">
        <v>434.76923076923094</v>
      </c>
      <c r="AM56" s="404">
        <f t="shared" si="34"/>
        <v>3</v>
      </c>
      <c r="AN56" s="534"/>
      <c r="AO56" s="182">
        <v>5</v>
      </c>
      <c r="AP56" s="182">
        <v>2181.4285714285666</v>
      </c>
      <c r="AQ56" s="182">
        <v>436.28571428571331</v>
      </c>
      <c r="AR56" s="404">
        <f t="shared" si="36"/>
        <v>3</v>
      </c>
      <c r="AS56" s="534"/>
      <c r="AT56" s="182">
        <v>5</v>
      </c>
      <c r="AU56" s="182">
        <v>2186.6666666666615</v>
      </c>
      <c r="AV56" s="182">
        <v>437.33333333333229</v>
      </c>
      <c r="AW56" s="404">
        <f t="shared" si="38"/>
        <v>3</v>
      </c>
      <c r="AX56" s="534"/>
    </row>
    <row r="57" spans="2:50">
      <c r="B57" s="533"/>
      <c r="C57" s="404">
        <v>11</v>
      </c>
      <c r="D57" s="226" t="s">
        <v>667</v>
      </c>
      <c r="E57" s="182">
        <v>11</v>
      </c>
      <c r="F57" s="404">
        <v>2250</v>
      </c>
      <c r="G57" s="405">
        <v>192.5</v>
      </c>
      <c r="H57" s="598"/>
      <c r="I57" s="408">
        <f t="shared" si="40"/>
        <v>11.571428571428571</v>
      </c>
      <c r="J57" s="408">
        <f t="shared" si="40"/>
        <v>2064.9733533966596</v>
      </c>
      <c r="K57" s="406">
        <f t="shared" si="40"/>
        <v>179.16685144257403</v>
      </c>
      <c r="L57" s="588"/>
      <c r="M57" s="407">
        <f>RANK(K57, K$47:$K$61)</f>
        <v>9</v>
      </c>
      <c r="N57" s="544"/>
      <c r="O57" s="544"/>
      <c r="P57" s="182">
        <v>12</v>
      </c>
      <c r="Q57" s="182">
        <v>1984.1904761904784</v>
      </c>
      <c r="R57" s="182">
        <v>165.34920634920653</v>
      </c>
      <c r="S57" s="404">
        <f t="shared" si="41"/>
        <v>10</v>
      </c>
      <c r="T57" s="534"/>
      <c r="U57" s="182">
        <v>12</v>
      </c>
      <c r="V57" s="182">
        <v>1942.050000000002</v>
      </c>
      <c r="W57" s="182">
        <v>161.83750000000018</v>
      </c>
      <c r="X57" s="404">
        <f t="shared" si="28"/>
        <v>10</v>
      </c>
      <c r="Y57" s="534"/>
      <c r="Z57" s="182">
        <v>12</v>
      </c>
      <c r="AA57" s="182">
        <v>1997.1599999999992</v>
      </c>
      <c r="AB57" s="182">
        <v>166.42999999999992</v>
      </c>
      <c r="AC57" s="404">
        <f t="shared" si="30"/>
        <v>10</v>
      </c>
      <c r="AD57" s="534"/>
      <c r="AE57" s="182">
        <v>11</v>
      </c>
      <c r="AF57" s="182">
        <v>2142.9774193548392</v>
      </c>
      <c r="AG57" s="182">
        <v>194.81612903225812</v>
      </c>
      <c r="AH57" s="404">
        <f t="shared" si="32"/>
        <v>7</v>
      </c>
      <c r="AI57" s="534"/>
      <c r="AJ57" s="182">
        <v>11</v>
      </c>
      <c r="AK57" s="182">
        <v>2188.9900000000002</v>
      </c>
      <c r="AL57" s="182">
        <v>198.99909090909094</v>
      </c>
      <c r="AM57" s="404">
        <f t="shared" si="34"/>
        <v>7</v>
      </c>
      <c r="AN57" s="534"/>
      <c r="AO57" s="182">
        <v>11</v>
      </c>
      <c r="AP57" s="182">
        <v>2215.2551020408168</v>
      </c>
      <c r="AQ57" s="182">
        <v>201.38682745825608</v>
      </c>
      <c r="AR57" s="404">
        <f t="shared" si="36"/>
        <v>6</v>
      </c>
      <c r="AS57" s="534"/>
      <c r="AT57" s="182">
        <v>12</v>
      </c>
      <c r="AU57" s="182">
        <v>1984.1904761904784</v>
      </c>
      <c r="AV57" s="182">
        <v>165.34920634920653</v>
      </c>
      <c r="AW57" s="404">
        <f t="shared" si="38"/>
        <v>10</v>
      </c>
      <c r="AX57" s="534"/>
    </row>
    <row r="58" spans="2:50">
      <c r="B58" s="533"/>
      <c r="C58" s="404">
        <v>12</v>
      </c>
      <c r="D58" s="226"/>
      <c r="E58" s="182"/>
      <c r="F58" s="404"/>
      <c r="G58" s="405"/>
      <c r="H58" s="598"/>
      <c r="I58" s="202"/>
      <c r="J58" s="202"/>
      <c r="K58" s="202"/>
      <c r="L58" s="588"/>
      <c r="M58" s="407" t="e">
        <f>RANK(K58, K$47:$K$61)</f>
        <v>#N/A</v>
      </c>
      <c r="N58" s="544"/>
      <c r="O58" s="544"/>
      <c r="P58" s="182"/>
      <c r="Q58" s="182"/>
      <c r="R58" s="182"/>
      <c r="S58" s="404" t="e">
        <f t="shared" si="41"/>
        <v>#N/A</v>
      </c>
      <c r="T58" s="534"/>
      <c r="U58" s="182"/>
      <c r="V58" s="182"/>
      <c r="W58" s="182"/>
      <c r="X58" s="404" t="e">
        <f t="shared" si="28"/>
        <v>#N/A</v>
      </c>
      <c r="Y58" s="534"/>
      <c r="Z58" s="182"/>
      <c r="AA58" s="182"/>
      <c r="AB58" s="182"/>
      <c r="AC58" s="404" t="e">
        <f t="shared" si="30"/>
        <v>#N/A</v>
      </c>
      <c r="AD58" s="534"/>
      <c r="AE58" s="182"/>
      <c r="AF58" s="182"/>
      <c r="AG58" s="182"/>
      <c r="AH58" s="404" t="e">
        <f t="shared" si="32"/>
        <v>#N/A</v>
      </c>
      <c r="AI58" s="534"/>
      <c r="AJ58" s="182"/>
      <c r="AK58" s="182"/>
      <c r="AL58" s="182"/>
      <c r="AM58" s="404" t="e">
        <f t="shared" si="34"/>
        <v>#N/A</v>
      </c>
      <c r="AN58" s="534"/>
      <c r="AO58" s="182"/>
      <c r="AP58" s="182"/>
      <c r="AQ58" s="182"/>
      <c r="AR58" s="404" t="e">
        <f t="shared" si="36"/>
        <v>#N/A</v>
      </c>
      <c r="AS58" s="534"/>
      <c r="AT58" s="182"/>
      <c r="AU58" s="182"/>
      <c r="AV58" s="182"/>
      <c r="AW58" s="404" t="e">
        <f t="shared" si="38"/>
        <v>#N/A</v>
      </c>
      <c r="AX58" s="534"/>
    </row>
    <row r="59" spans="2:50">
      <c r="B59" s="533"/>
      <c r="C59" s="404">
        <v>13</v>
      </c>
      <c r="D59" s="226"/>
      <c r="E59" s="182"/>
      <c r="F59" s="404"/>
      <c r="G59" s="405"/>
      <c r="H59" s="598"/>
      <c r="I59" s="202"/>
      <c r="J59" s="202"/>
      <c r="K59" s="202"/>
      <c r="L59" s="588"/>
      <c r="M59" s="407" t="e">
        <f>RANK(K59, K$47:$K$61)</f>
        <v>#N/A</v>
      </c>
      <c r="N59" s="544"/>
      <c r="O59" s="544"/>
      <c r="P59" s="182"/>
      <c r="Q59" s="182"/>
      <c r="R59" s="182"/>
      <c r="S59" s="404" t="e">
        <f t="shared" si="41"/>
        <v>#N/A</v>
      </c>
      <c r="T59" s="534"/>
      <c r="U59" s="182"/>
      <c r="V59" s="182"/>
      <c r="W59" s="182"/>
      <c r="X59" s="404" t="e">
        <f t="shared" si="28"/>
        <v>#N/A</v>
      </c>
      <c r="Y59" s="534"/>
      <c r="Z59" s="182"/>
      <c r="AA59" s="182"/>
      <c r="AB59" s="182"/>
      <c r="AC59" s="404" t="e">
        <f t="shared" si="30"/>
        <v>#N/A</v>
      </c>
      <c r="AD59" s="534"/>
      <c r="AE59" s="182"/>
      <c r="AF59" s="182"/>
      <c r="AG59" s="182"/>
      <c r="AH59" s="404" t="e">
        <f t="shared" si="32"/>
        <v>#N/A</v>
      </c>
      <c r="AI59" s="534"/>
      <c r="AJ59" s="182"/>
      <c r="AK59" s="182"/>
      <c r="AL59" s="182"/>
      <c r="AM59" s="404" t="e">
        <f t="shared" si="34"/>
        <v>#N/A</v>
      </c>
      <c r="AN59" s="534"/>
      <c r="AO59" s="182"/>
      <c r="AP59" s="182"/>
      <c r="AQ59" s="182"/>
      <c r="AR59" s="404" t="e">
        <f t="shared" si="36"/>
        <v>#N/A</v>
      </c>
      <c r="AS59" s="534"/>
      <c r="AT59" s="182"/>
      <c r="AU59" s="182"/>
      <c r="AV59" s="182"/>
      <c r="AW59" s="404" t="e">
        <f t="shared" si="38"/>
        <v>#N/A</v>
      </c>
      <c r="AX59" s="534"/>
    </row>
    <row r="60" spans="2:50">
      <c r="B60" s="533"/>
      <c r="C60" s="404">
        <v>14</v>
      </c>
      <c r="D60" s="226"/>
      <c r="E60" s="182"/>
      <c r="F60" s="404"/>
      <c r="G60" s="405"/>
      <c r="H60" s="598"/>
      <c r="I60" s="202"/>
      <c r="J60" s="202"/>
      <c r="K60" s="202"/>
      <c r="L60" s="588"/>
      <c r="M60" s="407" t="e">
        <f>RANK(K60, K$47:$K$61)</f>
        <v>#N/A</v>
      </c>
      <c r="N60" s="544"/>
      <c r="O60" s="544"/>
      <c r="P60" s="182"/>
      <c r="Q60" s="182"/>
      <c r="R60" s="182"/>
      <c r="S60" s="404" t="e">
        <f t="shared" si="41"/>
        <v>#N/A</v>
      </c>
      <c r="T60" s="534"/>
      <c r="U60" s="182"/>
      <c r="V60" s="182"/>
      <c r="W60" s="182"/>
      <c r="X60" s="404" t="e">
        <f t="shared" si="28"/>
        <v>#N/A</v>
      </c>
      <c r="Y60" s="534"/>
      <c r="Z60" s="182"/>
      <c r="AA60" s="182"/>
      <c r="AB60" s="182"/>
      <c r="AC60" s="404" t="e">
        <f t="shared" si="30"/>
        <v>#N/A</v>
      </c>
      <c r="AD60" s="534"/>
      <c r="AE60" s="182"/>
      <c r="AF60" s="182"/>
      <c r="AG60" s="182"/>
      <c r="AH60" s="404" t="e">
        <f t="shared" si="32"/>
        <v>#N/A</v>
      </c>
      <c r="AI60" s="534"/>
      <c r="AJ60" s="182"/>
      <c r="AK60" s="182"/>
      <c r="AL60" s="182"/>
      <c r="AM60" s="404" t="e">
        <f t="shared" si="34"/>
        <v>#N/A</v>
      </c>
      <c r="AN60" s="534"/>
      <c r="AO60" s="182"/>
      <c r="AP60" s="182"/>
      <c r="AQ60" s="182"/>
      <c r="AR60" s="404" t="e">
        <f t="shared" si="36"/>
        <v>#N/A</v>
      </c>
      <c r="AS60" s="534"/>
      <c r="AT60" s="182"/>
      <c r="AU60" s="182"/>
      <c r="AV60" s="182"/>
      <c r="AW60" s="404" t="e">
        <f t="shared" si="38"/>
        <v>#N/A</v>
      </c>
      <c r="AX60" s="534"/>
    </row>
    <row r="61" spans="2:50">
      <c r="B61" s="533"/>
      <c r="C61" s="404">
        <v>15</v>
      </c>
      <c r="D61" s="226"/>
      <c r="E61" s="182"/>
      <c r="F61" s="404"/>
      <c r="G61" s="405"/>
      <c r="H61" s="599"/>
      <c r="I61" s="202"/>
      <c r="J61" s="202"/>
      <c r="K61" s="202"/>
      <c r="L61" s="589"/>
      <c r="M61" s="407" t="e">
        <f>RANK(K61, K$47:$K$61)</f>
        <v>#N/A</v>
      </c>
      <c r="N61" s="544"/>
      <c r="O61" s="544"/>
      <c r="P61" s="182"/>
      <c r="Q61" s="182"/>
      <c r="R61" s="182"/>
      <c r="S61" s="404" t="e">
        <f t="shared" si="41"/>
        <v>#N/A</v>
      </c>
      <c r="T61" s="534"/>
      <c r="U61" s="182"/>
      <c r="V61" s="182"/>
      <c r="W61" s="182"/>
      <c r="X61" s="404" t="e">
        <f t="shared" si="28"/>
        <v>#N/A</v>
      </c>
      <c r="Y61" s="534"/>
      <c r="Z61" s="182"/>
      <c r="AA61" s="182"/>
      <c r="AB61" s="182"/>
      <c r="AC61" s="404" t="e">
        <f t="shared" si="30"/>
        <v>#N/A</v>
      </c>
      <c r="AD61" s="534"/>
      <c r="AE61" s="182"/>
      <c r="AF61" s="182"/>
      <c r="AG61" s="182"/>
      <c r="AH61" s="404" t="e">
        <f t="shared" si="32"/>
        <v>#N/A</v>
      </c>
      <c r="AI61" s="534"/>
      <c r="AJ61" s="182"/>
      <c r="AK61" s="182"/>
      <c r="AL61" s="182"/>
      <c r="AM61" s="404" t="e">
        <f t="shared" si="34"/>
        <v>#N/A</v>
      </c>
      <c r="AN61" s="534"/>
      <c r="AO61" s="182"/>
      <c r="AP61" s="182"/>
      <c r="AQ61" s="182"/>
      <c r="AR61" s="404" t="e">
        <f t="shared" si="36"/>
        <v>#N/A</v>
      </c>
      <c r="AS61" s="534"/>
      <c r="AT61" s="182"/>
      <c r="AU61" s="182"/>
      <c r="AV61" s="182"/>
      <c r="AW61" s="404" t="e">
        <f t="shared" si="38"/>
        <v>#N/A</v>
      </c>
      <c r="AX61" s="534"/>
    </row>
    <row r="62" spans="2:50" ht="15.5">
      <c r="B62" s="555" t="s">
        <v>163</v>
      </c>
      <c r="C62" s="556"/>
      <c r="D62" s="556"/>
      <c r="E62" s="556"/>
      <c r="F62" s="556"/>
      <c r="G62" s="556"/>
      <c r="H62" s="557"/>
      <c r="I62" s="208"/>
      <c r="J62" s="208"/>
      <c r="K62" s="208"/>
      <c r="L62" s="208"/>
      <c r="M62" s="207"/>
      <c r="N62" s="559" t="s">
        <v>156</v>
      </c>
      <c r="O62" s="559" t="s">
        <v>105</v>
      </c>
      <c r="P62" s="554">
        <f>P42+7</f>
        <v>46372</v>
      </c>
      <c r="Q62" s="533"/>
      <c r="R62" s="533"/>
      <c r="S62" s="533"/>
      <c r="T62" s="533"/>
      <c r="U62" s="551">
        <f>P62+1</f>
        <v>46373</v>
      </c>
      <c r="V62" s="552"/>
      <c r="W62" s="552"/>
      <c r="X62" s="552"/>
      <c r="Y62" s="553"/>
      <c r="Z62" s="551">
        <f>U62+1</f>
        <v>46374</v>
      </c>
      <c r="AA62" s="552"/>
      <c r="AB62" s="552"/>
      <c r="AC62" s="552"/>
      <c r="AD62" s="553"/>
      <c r="AE62" s="551">
        <f>Z62+1</f>
        <v>46375</v>
      </c>
      <c r="AF62" s="552"/>
      <c r="AG62" s="552"/>
      <c r="AH62" s="552"/>
      <c r="AI62" s="553"/>
      <c r="AJ62" s="551">
        <f>AE62+1</f>
        <v>46376</v>
      </c>
      <c r="AK62" s="552"/>
      <c r="AL62" s="552"/>
      <c r="AM62" s="552"/>
      <c r="AN62" s="553"/>
      <c r="AO62" s="551">
        <f>AJ62+1</f>
        <v>46377</v>
      </c>
      <c r="AP62" s="552"/>
      <c r="AQ62" s="552"/>
      <c r="AR62" s="552"/>
      <c r="AS62" s="553"/>
      <c r="AT62" s="551">
        <f>AO62+1</f>
        <v>46378</v>
      </c>
      <c r="AU62" s="552"/>
      <c r="AV62" s="552"/>
      <c r="AW62" s="552"/>
      <c r="AX62" s="553"/>
    </row>
    <row r="63" spans="2:50" ht="15.5">
      <c r="B63" s="558"/>
      <c r="C63" s="558"/>
      <c r="D63" s="558"/>
      <c r="E63" s="558"/>
      <c r="F63" s="558"/>
      <c r="G63" s="558"/>
      <c r="H63" s="558"/>
      <c r="I63" s="205"/>
      <c r="J63" s="205"/>
      <c r="K63" s="205"/>
      <c r="L63" s="205"/>
      <c r="M63" s="206"/>
      <c r="N63" s="560"/>
      <c r="O63" s="560"/>
      <c r="P63" s="554" t="s">
        <v>334</v>
      </c>
      <c r="Q63" s="533"/>
      <c r="R63" s="533"/>
      <c r="S63" s="533"/>
      <c r="T63" s="533"/>
      <c r="U63" s="554" t="s">
        <v>335</v>
      </c>
      <c r="V63" s="533"/>
      <c r="W63" s="533"/>
      <c r="X63" s="533"/>
      <c r="Y63" s="533"/>
      <c r="Z63" s="554" t="s">
        <v>336</v>
      </c>
      <c r="AA63" s="533"/>
      <c r="AB63" s="533"/>
      <c r="AC63" s="533"/>
      <c r="AD63" s="533"/>
      <c r="AE63" s="554" t="s">
        <v>337</v>
      </c>
      <c r="AF63" s="533"/>
      <c r="AG63" s="533"/>
      <c r="AH63" s="533"/>
      <c r="AI63" s="533"/>
      <c r="AJ63" s="554" t="s">
        <v>338</v>
      </c>
      <c r="AK63" s="533"/>
      <c r="AL63" s="533"/>
      <c r="AM63" s="533"/>
      <c r="AN63" s="533"/>
      <c r="AO63" s="554" t="s">
        <v>339</v>
      </c>
      <c r="AP63" s="533"/>
      <c r="AQ63" s="533"/>
      <c r="AR63" s="533"/>
      <c r="AS63" s="533"/>
      <c r="AT63" s="554" t="s">
        <v>340</v>
      </c>
      <c r="AU63" s="533"/>
      <c r="AV63" s="533"/>
      <c r="AW63" s="533"/>
      <c r="AX63" s="533"/>
    </row>
    <row r="64" spans="2:50">
      <c r="B64" s="544" t="s">
        <v>649</v>
      </c>
      <c r="C64" s="544" t="s">
        <v>650</v>
      </c>
      <c r="D64" s="544"/>
      <c r="E64" s="544" t="s">
        <v>651</v>
      </c>
      <c r="F64" s="544"/>
      <c r="G64" s="544"/>
      <c r="H64" s="561" t="s">
        <v>652</v>
      </c>
      <c r="I64" s="583" t="s">
        <v>653</v>
      </c>
      <c r="J64" s="583"/>
      <c r="K64" s="583"/>
      <c r="L64" s="584" t="s">
        <v>652</v>
      </c>
      <c r="M64" s="567" t="s">
        <v>654</v>
      </c>
      <c r="N64" s="544"/>
      <c r="O64" s="544" t="s">
        <v>655</v>
      </c>
      <c r="P64" s="548" t="s">
        <v>656</v>
      </c>
      <c r="Q64" s="549"/>
      <c r="R64" s="549"/>
      <c r="S64" s="550"/>
      <c r="T64" s="544" t="s">
        <v>652</v>
      </c>
      <c r="U64" s="548" t="s">
        <v>656</v>
      </c>
      <c r="V64" s="549"/>
      <c r="W64" s="549"/>
      <c r="X64" s="550"/>
      <c r="Y64" s="544" t="s">
        <v>652</v>
      </c>
      <c r="Z64" s="548" t="s">
        <v>656</v>
      </c>
      <c r="AA64" s="549"/>
      <c r="AB64" s="549"/>
      <c r="AC64" s="550"/>
      <c r="AD64" s="544" t="s">
        <v>668</v>
      </c>
      <c r="AE64" s="548" t="s">
        <v>669</v>
      </c>
      <c r="AF64" s="549"/>
      <c r="AG64" s="549"/>
      <c r="AH64" s="550"/>
      <c r="AI64" s="544" t="s">
        <v>421</v>
      </c>
      <c r="AJ64" s="548" t="s">
        <v>670</v>
      </c>
      <c r="AK64" s="549"/>
      <c r="AL64" s="549"/>
      <c r="AM64" s="550"/>
      <c r="AN64" s="544" t="s">
        <v>671</v>
      </c>
      <c r="AO64" s="548" t="s">
        <v>457</v>
      </c>
      <c r="AP64" s="549"/>
      <c r="AQ64" s="549"/>
      <c r="AR64" s="550"/>
      <c r="AS64" s="544" t="s">
        <v>668</v>
      </c>
      <c r="AT64" s="548" t="s">
        <v>672</v>
      </c>
      <c r="AU64" s="549"/>
      <c r="AV64" s="549"/>
      <c r="AW64" s="550"/>
      <c r="AX64" s="544" t="s">
        <v>421</v>
      </c>
    </row>
    <row r="65" spans="2:50">
      <c r="B65" s="544"/>
      <c r="C65" s="544"/>
      <c r="D65" s="544"/>
      <c r="E65" s="544" t="s">
        <v>673</v>
      </c>
      <c r="F65" s="544"/>
      <c r="G65" s="544"/>
      <c r="H65" s="562"/>
      <c r="I65" s="583" t="s">
        <v>674</v>
      </c>
      <c r="J65" s="583"/>
      <c r="K65" s="583"/>
      <c r="L65" s="585"/>
      <c r="M65" s="568"/>
      <c r="N65" s="544"/>
      <c r="O65" s="544"/>
      <c r="P65" s="548" t="s">
        <v>459</v>
      </c>
      <c r="Q65" s="549"/>
      <c r="R65" s="549"/>
      <c r="S65" s="550"/>
      <c r="T65" s="544"/>
      <c r="U65" s="548" t="s">
        <v>675</v>
      </c>
      <c r="V65" s="549"/>
      <c r="W65" s="549"/>
      <c r="X65" s="550"/>
      <c r="Y65" s="544"/>
      <c r="Z65" s="548" t="s">
        <v>676</v>
      </c>
      <c r="AA65" s="549"/>
      <c r="AB65" s="549"/>
      <c r="AC65" s="550"/>
      <c r="AD65" s="544"/>
      <c r="AE65" s="548" t="s">
        <v>459</v>
      </c>
      <c r="AF65" s="549"/>
      <c r="AG65" s="549"/>
      <c r="AH65" s="550"/>
      <c r="AI65" s="544"/>
      <c r="AJ65" s="548" t="s">
        <v>675</v>
      </c>
      <c r="AK65" s="549"/>
      <c r="AL65" s="549"/>
      <c r="AM65" s="550"/>
      <c r="AN65" s="544"/>
      <c r="AO65" s="548" t="s">
        <v>676</v>
      </c>
      <c r="AP65" s="549"/>
      <c r="AQ65" s="549"/>
      <c r="AR65" s="550"/>
      <c r="AS65" s="544"/>
      <c r="AT65" s="548" t="s">
        <v>459</v>
      </c>
      <c r="AU65" s="549"/>
      <c r="AV65" s="549"/>
      <c r="AW65" s="550"/>
      <c r="AX65" s="544"/>
    </row>
    <row r="66" spans="2:50">
      <c r="B66" s="544"/>
      <c r="C66" s="544"/>
      <c r="D66" s="544"/>
      <c r="E66" s="403" t="s">
        <v>677</v>
      </c>
      <c r="F66" s="403" t="s">
        <v>678</v>
      </c>
      <c r="G66" s="403" t="s">
        <v>462</v>
      </c>
      <c r="H66" s="563"/>
      <c r="I66" s="402" t="s">
        <v>677</v>
      </c>
      <c r="J66" s="402" t="s">
        <v>678</v>
      </c>
      <c r="K66" s="402" t="s">
        <v>462</v>
      </c>
      <c r="L66" s="586"/>
      <c r="M66" s="569"/>
      <c r="N66" s="544"/>
      <c r="O66" s="544"/>
      <c r="P66" s="403" t="s">
        <v>677</v>
      </c>
      <c r="Q66" s="403" t="s">
        <v>678</v>
      </c>
      <c r="R66" s="403" t="s">
        <v>462</v>
      </c>
      <c r="S66" s="403" t="s">
        <v>679</v>
      </c>
      <c r="T66" s="544"/>
      <c r="U66" s="403" t="s">
        <v>680</v>
      </c>
      <c r="V66" s="403" t="s">
        <v>466</v>
      </c>
      <c r="W66" s="403" t="s">
        <v>681</v>
      </c>
      <c r="X66" s="403" t="s">
        <v>682</v>
      </c>
      <c r="Y66" s="544"/>
      <c r="Z66" s="403" t="s">
        <v>430</v>
      </c>
      <c r="AA66" s="403" t="s">
        <v>683</v>
      </c>
      <c r="AB66" s="403" t="s">
        <v>684</v>
      </c>
      <c r="AC66" s="403" t="s">
        <v>422</v>
      </c>
      <c r="AD66" s="544"/>
      <c r="AE66" s="403" t="s">
        <v>677</v>
      </c>
      <c r="AF66" s="403" t="s">
        <v>678</v>
      </c>
      <c r="AG66" s="403" t="s">
        <v>462</v>
      </c>
      <c r="AH66" s="403" t="s">
        <v>679</v>
      </c>
      <c r="AI66" s="544"/>
      <c r="AJ66" s="403" t="s">
        <v>680</v>
      </c>
      <c r="AK66" s="403" t="s">
        <v>466</v>
      </c>
      <c r="AL66" s="403" t="s">
        <v>681</v>
      </c>
      <c r="AM66" s="403" t="s">
        <v>685</v>
      </c>
      <c r="AN66" s="544"/>
      <c r="AO66" s="403" t="s">
        <v>430</v>
      </c>
      <c r="AP66" s="403" t="s">
        <v>683</v>
      </c>
      <c r="AQ66" s="403" t="s">
        <v>684</v>
      </c>
      <c r="AR66" s="403" t="s">
        <v>422</v>
      </c>
      <c r="AS66" s="544"/>
      <c r="AT66" s="403" t="s">
        <v>677</v>
      </c>
      <c r="AU66" s="403" t="s">
        <v>466</v>
      </c>
      <c r="AV66" s="403" t="s">
        <v>462</v>
      </c>
      <c r="AW66" s="403" t="s">
        <v>679</v>
      </c>
      <c r="AX66" s="544"/>
    </row>
    <row r="67" spans="2:50">
      <c r="B67" s="596" t="s">
        <v>686</v>
      </c>
      <c r="C67" s="404">
        <v>1</v>
      </c>
      <c r="D67" s="226" t="s">
        <v>403</v>
      </c>
      <c r="E67" s="182">
        <v>4</v>
      </c>
      <c r="F67" s="404">
        <v>2000</v>
      </c>
      <c r="G67" s="405">
        <v>500</v>
      </c>
      <c r="H67" s="597">
        <f>AVERAGE(G67:G81)</f>
        <v>272.17979797979797</v>
      </c>
      <c r="I67" s="408">
        <f>AVERAGE(P67,U67,Z67,AE67,AJ67,AO67,AT67)</f>
        <v>4</v>
      </c>
      <c r="J67" s="408">
        <f>AVERAGE(Q67,V67,AA67,AF67,AK67,AP67,AU67)</f>
        <v>1956.5797950912561</v>
      </c>
      <c r="K67" s="406">
        <f>AVERAGE(R67,W67,AB67,AG67,AL67,AQ67,AV67)</f>
        <v>489.14494877281402</v>
      </c>
      <c r="L67" s="587">
        <f>IFERROR(AVERAGE(K67:K81),"-")</f>
        <v>267.08676749363951</v>
      </c>
      <c r="M67" s="407">
        <f>RANK(K67, K$67:$K$81)</f>
        <v>3</v>
      </c>
      <c r="N67" s="544"/>
      <c r="O67" s="544"/>
      <c r="P67" s="182">
        <v>4</v>
      </c>
      <c r="Q67" s="182">
        <v>1942.5</v>
      </c>
      <c r="R67" s="182">
        <v>485.625</v>
      </c>
      <c r="S67" s="404">
        <f>RANK(R67, R$67:R$81)</f>
        <v>2</v>
      </c>
      <c r="T67" s="534">
        <f>AVERAGE(R67:R81)</f>
        <v>264.93057297740359</v>
      </c>
      <c r="U67" s="182">
        <v>4</v>
      </c>
      <c r="V67" s="182">
        <v>2000.4878048780492</v>
      </c>
      <c r="W67" s="182">
        <v>500.12195121951231</v>
      </c>
      <c r="X67" s="404">
        <f t="shared" ref="X67:X81" si="42">RANK(W67, W$67:W$81)</f>
        <v>1</v>
      </c>
      <c r="Y67" s="534">
        <f t="shared" ref="Y67" si="43">AVERAGE(W67:W81)</f>
        <v>266.66231239733833</v>
      </c>
      <c r="Z67" s="182">
        <v>4</v>
      </c>
      <c r="AA67" s="182">
        <v>1931.5662650602412</v>
      </c>
      <c r="AB67" s="182">
        <v>482.89156626506031</v>
      </c>
      <c r="AC67" s="404">
        <f t="shared" ref="AC67:AC81" si="44">RANK(AB67, AB$67:AB$81)</f>
        <v>3</v>
      </c>
      <c r="AD67" s="534">
        <f t="shared" ref="AD67" si="45">AVERAGE(AB67:AB81)</f>
        <v>267.70896261050103</v>
      </c>
      <c r="AE67" s="182">
        <v>4</v>
      </c>
      <c r="AF67" s="182">
        <v>1963.384615384615</v>
      </c>
      <c r="AG67" s="182">
        <v>490.84615384615375</v>
      </c>
      <c r="AH67" s="404">
        <f t="shared" ref="AH67:AH81" si="46">RANK(AG67, AG$67:AG$81)</f>
        <v>2</v>
      </c>
      <c r="AI67" s="534">
        <f t="shared" ref="AI67" si="47">AVERAGE(AG67:AG81)</f>
        <v>267.83746027486984</v>
      </c>
      <c r="AJ67" s="182">
        <v>4</v>
      </c>
      <c r="AK67" s="182">
        <v>1956.4864864864862</v>
      </c>
      <c r="AL67" s="182">
        <v>489.12162162162156</v>
      </c>
      <c r="AM67" s="404">
        <f t="shared" ref="AM67:AM81" si="48">RANK(AL67, AL$67:AL$81)</f>
        <v>3</v>
      </c>
      <c r="AN67" s="534">
        <f t="shared" ref="AN67" si="49">AVERAGE(AL67:AL81)</f>
        <v>266.04161954295654</v>
      </c>
      <c r="AO67" s="182">
        <v>4</v>
      </c>
      <c r="AP67" s="182">
        <v>1954.7368421052624</v>
      </c>
      <c r="AQ67" s="182">
        <v>488.68421052631561</v>
      </c>
      <c r="AR67" s="404">
        <f t="shared" ref="AR67:AR81" si="50">RANK(AQ67, AQ$67:AQ$81)</f>
        <v>2</v>
      </c>
      <c r="AS67" s="534">
        <f t="shared" ref="AS67" si="51">AVERAGE(AQ67:AQ81)</f>
        <v>266.40404064437445</v>
      </c>
      <c r="AT67" s="182">
        <v>4</v>
      </c>
      <c r="AU67" s="182">
        <v>1946.8965517241377</v>
      </c>
      <c r="AV67" s="182">
        <v>486.72413793103442</v>
      </c>
      <c r="AW67" s="404">
        <f t="shared" ref="AW67:AW81" si="52">RANK(AV67, AV$67:AV$81)</f>
        <v>3</v>
      </c>
      <c r="AX67" s="534">
        <f t="shared" ref="AX67" si="53">AVERAGE(AV67:AV81)</f>
        <v>270.02240400803282</v>
      </c>
    </row>
    <row r="68" spans="2:50">
      <c r="B68" s="533"/>
      <c r="C68" s="404">
        <v>2</v>
      </c>
      <c r="D68" s="226" t="s">
        <v>465</v>
      </c>
      <c r="E68" s="182">
        <v>4</v>
      </c>
      <c r="F68" s="404">
        <v>2000</v>
      </c>
      <c r="G68" s="405">
        <v>500</v>
      </c>
      <c r="H68" s="598"/>
      <c r="I68" s="408">
        <f t="shared" ref="I68:K77" si="54">AVERAGE(P68,U68,Z68,AE68,AJ68,AO68,AT68)</f>
        <v>4</v>
      </c>
      <c r="J68" s="408">
        <f t="shared" si="54"/>
        <v>1980.4135777674451</v>
      </c>
      <c r="K68" s="406">
        <f t="shared" si="54"/>
        <v>495.10339444186127</v>
      </c>
      <c r="L68" s="588"/>
      <c r="M68" s="407">
        <f>RANK(K68, K$67:$K$81)</f>
        <v>2</v>
      </c>
      <c r="N68" s="544"/>
      <c r="O68" s="544"/>
      <c r="P68" s="182">
        <v>4</v>
      </c>
      <c r="Q68" s="182">
        <v>1987.6923076923078</v>
      </c>
      <c r="R68" s="182">
        <v>496.92307692307696</v>
      </c>
      <c r="S68" s="404">
        <f t="shared" ref="S68:S81" si="55">RANK(R68, R$67:R$81)</f>
        <v>1</v>
      </c>
      <c r="T68" s="534"/>
      <c r="U68" s="182">
        <v>4</v>
      </c>
      <c r="V68" s="182">
        <v>1935.6164383561647</v>
      </c>
      <c r="W68" s="182">
        <v>483.90410958904118</v>
      </c>
      <c r="X68" s="404">
        <f t="shared" si="42"/>
        <v>3</v>
      </c>
      <c r="Y68" s="534"/>
      <c r="Z68" s="182">
        <v>4</v>
      </c>
      <c r="AA68" s="182">
        <v>1980.0000000000005</v>
      </c>
      <c r="AB68" s="182">
        <v>495.00000000000011</v>
      </c>
      <c r="AC68" s="404">
        <f t="shared" si="44"/>
        <v>2</v>
      </c>
      <c r="AD68" s="534"/>
      <c r="AE68" s="182">
        <v>4</v>
      </c>
      <c r="AF68" s="182">
        <v>1989.0000000000005</v>
      </c>
      <c r="AG68" s="182">
        <v>497.25000000000011</v>
      </c>
      <c r="AH68" s="404">
        <f t="shared" si="46"/>
        <v>1</v>
      </c>
      <c r="AI68" s="534"/>
      <c r="AJ68" s="182">
        <v>4</v>
      </c>
      <c r="AK68" s="182">
        <v>1991.2499999999995</v>
      </c>
      <c r="AL68" s="182">
        <v>497.81249999999989</v>
      </c>
      <c r="AM68" s="404">
        <f t="shared" si="48"/>
        <v>1</v>
      </c>
      <c r="AN68" s="534"/>
      <c r="AO68" s="182">
        <v>4</v>
      </c>
      <c r="AP68" s="182">
        <v>2005.8227848101278</v>
      </c>
      <c r="AQ68" s="182">
        <v>501.45569620253195</v>
      </c>
      <c r="AR68" s="404">
        <f t="shared" si="50"/>
        <v>1</v>
      </c>
      <c r="AS68" s="534"/>
      <c r="AT68" s="182">
        <v>4</v>
      </c>
      <c r="AU68" s="182">
        <v>1973.5135135135133</v>
      </c>
      <c r="AV68" s="182">
        <v>493.37837837837833</v>
      </c>
      <c r="AW68" s="404">
        <f t="shared" si="52"/>
        <v>2</v>
      </c>
      <c r="AX68" s="534"/>
    </row>
    <row r="69" spans="2:50">
      <c r="B69" s="533"/>
      <c r="C69" s="404">
        <v>3</v>
      </c>
      <c r="D69" s="226" t="s">
        <v>404</v>
      </c>
      <c r="E69" s="182">
        <v>14</v>
      </c>
      <c r="F69" s="404">
        <v>2118</v>
      </c>
      <c r="G69" s="405">
        <v>151.30000000000001</v>
      </c>
      <c r="H69" s="598"/>
      <c r="I69" s="408">
        <f t="shared" si="54"/>
        <v>14</v>
      </c>
      <c r="J69" s="408">
        <f t="shared" si="54"/>
        <v>2047.6635043711374</v>
      </c>
      <c r="K69" s="406">
        <f t="shared" si="54"/>
        <v>146.26167888365268</v>
      </c>
      <c r="L69" s="588"/>
      <c r="M69" s="407">
        <f>RANK(K69, K$67:$K$81)</f>
        <v>10</v>
      </c>
      <c r="N69" s="544"/>
      <c r="O69" s="544"/>
      <c r="P69" s="182">
        <v>14</v>
      </c>
      <c r="Q69" s="182">
        <v>2071.428571428572</v>
      </c>
      <c r="R69" s="182">
        <v>147.95918367346943</v>
      </c>
      <c r="S69" s="404">
        <f t="shared" si="55"/>
        <v>10</v>
      </c>
      <c r="T69" s="534"/>
      <c r="U69" s="182">
        <v>14</v>
      </c>
      <c r="V69" s="182">
        <v>2046.1016949152545</v>
      </c>
      <c r="W69" s="182">
        <v>146.15012106537532</v>
      </c>
      <c r="X69" s="404">
        <f t="shared" si="42"/>
        <v>10</v>
      </c>
      <c r="Y69" s="534"/>
      <c r="Z69" s="182">
        <v>14</v>
      </c>
      <c r="AA69" s="182">
        <v>2041.0526315789475</v>
      </c>
      <c r="AB69" s="182">
        <v>145.78947368421055</v>
      </c>
      <c r="AC69" s="404">
        <f t="shared" si="44"/>
        <v>10</v>
      </c>
      <c r="AD69" s="534"/>
      <c r="AE69" s="182">
        <v>14</v>
      </c>
      <c r="AF69" s="182">
        <v>2059.1489361702129</v>
      </c>
      <c r="AG69" s="182">
        <v>147.08206686930092</v>
      </c>
      <c r="AH69" s="404">
        <f t="shared" si="46"/>
        <v>10</v>
      </c>
      <c r="AI69" s="534"/>
      <c r="AJ69" s="182">
        <v>14</v>
      </c>
      <c r="AK69" s="182">
        <v>2029.0909090909088</v>
      </c>
      <c r="AL69" s="182">
        <v>144.9350649350649</v>
      </c>
      <c r="AM69" s="404">
        <f t="shared" si="48"/>
        <v>10</v>
      </c>
      <c r="AN69" s="534"/>
      <c r="AO69" s="182">
        <v>14</v>
      </c>
      <c r="AP69" s="182">
        <v>2043.8709677419363</v>
      </c>
      <c r="AQ69" s="182">
        <v>145.99078341013831</v>
      </c>
      <c r="AR69" s="404">
        <f t="shared" si="50"/>
        <v>10</v>
      </c>
      <c r="AS69" s="534"/>
      <c r="AT69" s="182">
        <v>14</v>
      </c>
      <c r="AU69" s="182">
        <v>2042.9508196721317</v>
      </c>
      <c r="AV69" s="182">
        <v>145.92505854800942</v>
      </c>
      <c r="AW69" s="404">
        <f t="shared" si="52"/>
        <v>10</v>
      </c>
      <c r="AX69" s="534"/>
    </row>
    <row r="70" spans="2:50">
      <c r="B70" s="533"/>
      <c r="C70" s="404">
        <v>4</v>
      </c>
      <c r="D70" s="226" t="s">
        <v>405</v>
      </c>
      <c r="E70" s="182">
        <v>13</v>
      </c>
      <c r="F70" s="404">
        <v>2118</v>
      </c>
      <c r="G70" s="405">
        <v>162.9</v>
      </c>
      <c r="H70" s="598"/>
      <c r="I70" s="408">
        <f t="shared" si="54"/>
        <v>13</v>
      </c>
      <c r="J70" s="408">
        <f t="shared" si="54"/>
        <v>2016.8556567076682</v>
      </c>
      <c r="K70" s="406">
        <f t="shared" si="54"/>
        <v>155.14274282366679</v>
      </c>
      <c r="L70" s="588"/>
      <c r="M70" s="407">
        <f>RANK(K70, K$67:$K$81)</f>
        <v>9</v>
      </c>
      <c r="N70" s="544"/>
      <c r="O70" s="544"/>
      <c r="P70" s="182">
        <v>13</v>
      </c>
      <c r="Q70" s="182">
        <v>2007.3417721518988</v>
      </c>
      <c r="R70" s="182">
        <v>154.41090555014605</v>
      </c>
      <c r="S70" s="404">
        <f t="shared" si="55"/>
        <v>9</v>
      </c>
      <c r="T70" s="534"/>
      <c r="U70" s="182">
        <v>13</v>
      </c>
      <c r="V70" s="182">
        <v>2071.1999999999998</v>
      </c>
      <c r="W70" s="182">
        <v>159.32307692307691</v>
      </c>
      <c r="X70" s="404">
        <f t="shared" si="42"/>
        <v>9</v>
      </c>
      <c r="Y70" s="534"/>
      <c r="Z70" s="182">
        <v>13</v>
      </c>
      <c r="AA70" s="182">
        <v>2022.3999999999999</v>
      </c>
      <c r="AB70" s="182">
        <v>155.56923076923076</v>
      </c>
      <c r="AC70" s="404">
        <f t="shared" si="44"/>
        <v>9</v>
      </c>
      <c r="AD70" s="534"/>
      <c r="AE70" s="182">
        <v>13</v>
      </c>
      <c r="AF70" s="182">
        <v>2001.5624999999995</v>
      </c>
      <c r="AG70" s="182">
        <v>153.96634615384613</v>
      </c>
      <c r="AH70" s="404">
        <f t="shared" si="46"/>
        <v>9</v>
      </c>
      <c r="AI70" s="534"/>
      <c r="AJ70" s="182">
        <v>13</v>
      </c>
      <c r="AK70" s="182">
        <v>1990.2857142857133</v>
      </c>
      <c r="AL70" s="182">
        <v>153.09890109890102</v>
      </c>
      <c r="AM70" s="404">
        <f t="shared" si="48"/>
        <v>9</v>
      </c>
      <c r="AN70" s="534"/>
      <c r="AO70" s="182">
        <v>13</v>
      </c>
      <c r="AP70" s="182">
        <v>1994.4303797468356</v>
      </c>
      <c r="AQ70" s="182">
        <v>153.41772151898735</v>
      </c>
      <c r="AR70" s="404">
        <f t="shared" si="50"/>
        <v>9</v>
      </c>
      <c r="AS70" s="534"/>
      <c r="AT70" s="182">
        <v>13</v>
      </c>
      <c r="AU70" s="182">
        <v>2030.7692307692307</v>
      </c>
      <c r="AV70" s="182">
        <v>156.2130177514793</v>
      </c>
      <c r="AW70" s="404">
        <f t="shared" si="52"/>
        <v>9</v>
      </c>
      <c r="AX70" s="534"/>
    </row>
    <row r="71" spans="2:50">
      <c r="B71" s="533"/>
      <c r="C71" s="404">
        <v>5</v>
      </c>
      <c r="D71" s="226" t="s">
        <v>406</v>
      </c>
      <c r="E71" s="182">
        <v>11</v>
      </c>
      <c r="F71" s="404">
        <v>2250</v>
      </c>
      <c r="G71" s="405">
        <v>204.5</v>
      </c>
      <c r="H71" s="598"/>
      <c r="I71" s="408">
        <f t="shared" si="54"/>
        <v>11</v>
      </c>
      <c r="J71" s="408">
        <f t="shared" si="54"/>
        <v>2209.1776725158693</v>
      </c>
      <c r="K71" s="406">
        <f t="shared" si="54"/>
        <v>200.83433386507906</v>
      </c>
      <c r="L71" s="588"/>
      <c r="M71" s="407">
        <f>RANK(K71, K$67:$K$81)</f>
        <v>6</v>
      </c>
      <c r="N71" s="544"/>
      <c r="O71" s="544"/>
      <c r="P71" s="182">
        <v>11</v>
      </c>
      <c r="Q71" s="182">
        <v>2211.428571428572</v>
      </c>
      <c r="R71" s="182">
        <v>201.03896103896111</v>
      </c>
      <c r="S71" s="404">
        <f t="shared" si="55"/>
        <v>5</v>
      </c>
      <c r="T71" s="534"/>
      <c r="U71" s="182">
        <v>11</v>
      </c>
      <c r="V71" s="182">
        <v>2205.8333333333335</v>
      </c>
      <c r="W71" s="182">
        <v>200.53030303030303</v>
      </c>
      <c r="X71" s="404">
        <f t="shared" si="42"/>
        <v>6</v>
      </c>
      <c r="Y71" s="534"/>
      <c r="Z71" s="182">
        <v>11</v>
      </c>
      <c r="AA71" s="182">
        <v>2233.5211267605637</v>
      </c>
      <c r="AB71" s="182">
        <v>203.04737516005125</v>
      </c>
      <c r="AC71" s="404">
        <f t="shared" si="44"/>
        <v>6</v>
      </c>
      <c r="AD71" s="534"/>
      <c r="AE71" s="182">
        <v>11</v>
      </c>
      <c r="AF71" s="182">
        <v>2173.1249999999995</v>
      </c>
      <c r="AG71" s="182">
        <v>197.55681818181813</v>
      </c>
      <c r="AH71" s="404">
        <f t="shared" si="46"/>
        <v>6</v>
      </c>
      <c r="AI71" s="534"/>
      <c r="AJ71" s="182">
        <v>11</v>
      </c>
      <c r="AK71" s="182">
        <v>2180.2941176470586</v>
      </c>
      <c r="AL71" s="182">
        <v>198.2085561497326</v>
      </c>
      <c r="AM71" s="404">
        <f t="shared" si="48"/>
        <v>6</v>
      </c>
      <c r="AN71" s="534"/>
      <c r="AO71" s="182">
        <v>11</v>
      </c>
      <c r="AP71" s="182">
        <v>2218.4415584415592</v>
      </c>
      <c r="AQ71" s="182">
        <v>201.67650531286901</v>
      </c>
      <c r="AR71" s="404">
        <f t="shared" si="50"/>
        <v>6</v>
      </c>
      <c r="AS71" s="534"/>
      <c r="AT71" s="182">
        <v>11</v>
      </c>
      <c r="AU71" s="182">
        <v>2241.6000000000008</v>
      </c>
      <c r="AV71" s="182">
        <v>203.78181818181827</v>
      </c>
      <c r="AW71" s="404">
        <f t="shared" si="52"/>
        <v>5</v>
      </c>
      <c r="AX71" s="534"/>
    </row>
    <row r="72" spans="2:50">
      <c r="B72" s="533"/>
      <c r="C72" s="404">
        <v>6</v>
      </c>
      <c r="D72" s="226" t="s">
        <v>407</v>
      </c>
      <c r="E72" s="182">
        <v>12</v>
      </c>
      <c r="F72" s="404">
        <v>2250</v>
      </c>
      <c r="G72" s="405">
        <v>187.5</v>
      </c>
      <c r="H72" s="598"/>
      <c r="I72" s="408">
        <f t="shared" si="54"/>
        <v>12</v>
      </c>
      <c r="J72" s="408">
        <f t="shared" si="54"/>
        <v>2110.4947553075394</v>
      </c>
      <c r="K72" s="406">
        <f t="shared" si="54"/>
        <v>175.87456294229494</v>
      </c>
      <c r="L72" s="588"/>
      <c r="M72" s="407">
        <f>RANK(K72, K$67:$K$81)</f>
        <v>8</v>
      </c>
      <c r="N72" s="544"/>
      <c r="O72" s="544"/>
      <c r="P72" s="182">
        <v>12</v>
      </c>
      <c r="Q72" s="182">
        <v>2123.3684210526317</v>
      </c>
      <c r="R72" s="182">
        <v>176.94736842105263</v>
      </c>
      <c r="S72" s="404">
        <f t="shared" si="55"/>
        <v>8</v>
      </c>
      <c r="T72" s="534"/>
      <c r="U72" s="182">
        <v>12</v>
      </c>
      <c r="V72" s="182">
        <v>2125.227272727273</v>
      </c>
      <c r="W72" s="182">
        <v>177.10227272727275</v>
      </c>
      <c r="X72" s="404">
        <f t="shared" si="42"/>
        <v>8</v>
      </c>
      <c r="Y72" s="534"/>
      <c r="Z72" s="182">
        <v>12</v>
      </c>
      <c r="AA72" s="182">
        <v>2095.7647058823563</v>
      </c>
      <c r="AB72" s="182">
        <v>174.6470588235297</v>
      </c>
      <c r="AC72" s="404">
        <f t="shared" si="44"/>
        <v>8</v>
      </c>
      <c r="AD72" s="534"/>
      <c r="AE72" s="182">
        <v>12</v>
      </c>
      <c r="AF72" s="182">
        <v>2131.1999999999985</v>
      </c>
      <c r="AG72" s="182">
        <v>177.59999999999988</v>
      </c>
      <c r="AH72" s="404">
        <f t="shared" si="46"/>
        <v>8</v>
      </c>
      <c r="AI72" s="534"/>
      <c r="AJ72" s="182">
        <v>12</v>
      </c>
      <c r="AK72" s="182">
        <v>2118.5714285714275</v>
      </c>
      <c r="AL72" s="182">
        <v>176.54761904761895</v>
      </c>
      <c r="AM72" s="404">
        <f t="shared" si="48"/>
        <v>8</v>
      </c>
      <c r="AN72" s="534"/>
      <c r="AO72" s="182">
        <v>12</v>
      </c>
      <c r="AP72" s="182">
        <v>2082.4242424242434</v>
      </c>
      <c r="AQ72" s="182">
        <v>173.53535353535361</v>
      </c>
      <c r="AR72" s="404">
        <f t="shared" si="50"/>
        <v>8</v>
      </c>
      <c r="AS72" s="534"/>
      <c r="AT72" s="182">
        <v>12</v>
      </c>
      <c r="AU72" s="182">
        <v>2096.9072164948461</v>
      </c>
      <c r="AV72" s="182">
        <v>174.74226804123717</v>
      </c>
      <c r="AW72" s="404">
        <f t="shared" si="52"/>
        <v>8</v>
      </c>
      <c r="AX72" s="534"/>
    </row>
    <row r="73" spans="2:50">
      <c r="B73" s="533"/>
      <c r="C73" s="404">
        <v>7</v>
      </c>
      <c r="D73" s="226" t="s">
        <v>408</v>
      </c>
      <c r="E73" s="182">
        <v>11</v>
      </c>
      <c r="F73" s="404">
        <v>2118</v>
      </c>
      <c r="G73" s="405">
        <v>192.5</v>
      </c>
      <c r="H73" s="598"/>
      <c r="I73" s="408">
        <f t="shared" si="54"/>
        <v>11</v>
      </c>
      <c r="J73" s="408">
        <f t="shared" si="54"/>
        <v>2026.9796428879702</v>
      </c>
      <c r="K73" s="406">
        <f t="shared" si="54"/>
        <v>184.2708766261791</v>
      </c>
      <c r="L73" s="588"/>
      <c r="M73" s="407">
        <f>RANK(K73, K$67:$K$81)</f>
        <v>7</v>
      </c>
      <c r="N73" s="544"/>
      <c r="O73" s="544"/>
      <c r="P73" s="182">
        <v>11</v>
      </c>
      <c r="Q73" s="182">
        <v>2040.8823529411775</v>
      </c>
      <c r="R73" s="182">
        <v>185.53475935828885</v>
      </c>
      <c r="S73" s="404">
        <f t="shared" si="55"/>
        <v>7</v>
      </c>
      <c r="T73" s="534"/>
      <c r="U73" s="182">
        <v>11</v>
      </c>
      <c r="V73" s="182">
        <v>2034.529411764707</v>
      </c>
      <c r="W73" s="182">
        <v>184.95721925133699</v>
      </c>
      <c r="X73" s="404">
        <f t="shared" si="42"/>
        <v>7</v>
      </c>
      <c r="Y73" s="534"/>
      <c r="Z73" s="182">
        <v>11</v>
      </c>
      <c r="AA73" s="182">
        <v>2006.3297872340429</v>
      </c>
      <c r="AB73" s="182">
        <v>182.39361702127664</v>
      </c>
      <c r="AC73" s="404">
        <f t="shared" si="44"/>
        <v>7</v>
      </c>
      <c r="AD73" s="534"/>
      <c r="AE73" s="182">
        <v>11</v>
      </c>
      <c r="AF73" s="182">
        <v>2053.1999999999998</v>
      </c>
      <c r="AG73" s="182">
        <v>186.65454545454543</v>
      </c>
      <c r="AH73" s="404">
        <f t="shared" si="46"/>
        <v>7</v>
      </c>
      <c r="AI73" s="534"/>
      <c r="AJ73" s="182">
        <v>11</v>
      </c>
      <c r="AK73" s="182">
        <v>2000.8125000000007</v>
      </c>
      <c r="AL73" s="182">
        <v>181.89204545454552</v>
      </c>
      <c r="AM73" s="404">
        <f t="shared" si="48"/>
        <v>7</v>
      </c>
      <c r="AN73" s="534"/>
      <c r="AO73" s="182">
        <v>11</v>
      </c>
      <c r="AP73" s="182">
        <v>2037.1034482758623</v>
      </c>
      <c r="AQ73" s="182">
        <v>185.19122257053294</v>
      </c>
      <c r="AR73" s="404">
        <f t="shared" si="50"/>
        <v>7</v>
      </c>
      <c r="AS73" s="534"/>
      <c r="AT73" s="182">
        <v>11</v>
      </c>
      <c r="AU73" s="182">
        <v>2015.9999999999995</v>
      </c>
      <c r="AV73" s="182">
        <v>183.27272727272722</v>
      </c>
      <c r="AW73" s="404">
        <f t="shared" si="52"/>
        <v>7</v>
      </c>
      <c r="AX73" s="534"/>
    </row>
    <row r="74" spans="2:50">
      <c r="B74" s="533"/>
      <c r="C74" s="404">
        <v>8</v>
      </c>
      <c r="D74" s="226" t="s">
        <v>402</v>
      </c>
      <c r="E74" s="182">
        <v>18</v>
      </c>
      <c r="F74" s="404">
        <v>1250</v>
      </c>
      <c r="G74" s="405">
        <v>69.444444444444443</v>
      </c>
      <c r="H74" s="598"/>
      <c r="I74" s="408">
        <f t="shared" si="54"/>
        <v>13.142857142857142</v>
      </c>
      <c r="J74" s="408">
        <f t="shared" si="54"/>
        <v>1246.3952092798847</v>
      </c>
      <c r="K74" s="406">
        <f t="shared" si="54"/>
        <v>94.897390866541699</v>
      </c>
      <c r="L74" s="588"/>
      <c r="M74" s="407">
        <f>RANK(K74, K$67:$K$81)</f>
        <v>11</v>
      </c>
      <c r="N74" s="544"/>
      <c r="O74" s="544"/>
      <c r="P74" s="182">
        <v>13</v>
      </c>
      <c r="Q74" s="182">
        <v>1277.0526315789475</v>
      </c>
      <c r="R74" s="182">
        <v>98.23481781376519</v>
      </c>
      <c r="S74" s="404">
        <f t="shared" si="55"/>
        <v>11</v>
      </c>
      <c r="T74" s="534"/>
      <c r="U74" s="182">
        <v>13</v>
      </c>
      <c r="V74" s="182">
        <v>1231.5789473684213</v>
      </c>
      <c r="W74" s="182">
        <v>94.736842105263179</v>
      </c>
      <c r="X74" s="404">
        <f t="shared" si="42"/>
        <v>11</v>
      </c>
      <c r="Y74" s="534"/>
      <c r="Z74" s="182">
        <v>13</v>
      </c>
      <c r="AA74" s="182">
        <v>1237.8947368421054</v>
      </c>
      <c r="AB74" s="182">
        <v>95.222672064777342</v>
      </c>
      <c r="AC74" s="404">
        <f t="shared" si="44"/>
        <v>11</v>
      </c>
      <c r="AD74" s="534"/>
      <c r="AE74" s="182">
        <v>13</v>
      </c>
      <c r="AF74" s="182">
        <v>1253.2500000000007</v>
      </c>
      <c r="AG74" s="182">
        <v>96.403846153846203</v>
      </c>
      <c r="AH74" s="404">
        <f t="shared" si="46"/>
        <v>11</v>
      </c>
      <c r="AI74" s="534"/>
      <c r="AJ74" s="182">
        <v>13</v>
      </c>
      <c r="AK74" s="182">
        <v>1246.5882352941185</v>
      </c>
      <c r="AL74" s="182">
        <v>95.891402714932184</v>
      </c>
      <c r="AM74" s="404">
        <f t="shared" si="48"/>
        <v>11</v>
      </c>
      <c r="AN74" s="534"/>
      <c r="AO74" s="182">
        <v>14</v>
      </c>
      <c r="AP74" s="182">
        <v>1247.4545454545457</v>
      </c>
      <c r="AQ74" s="182">
        <v>89.103896103896119</v>
      </c>
      <c r="AR74" s="404">
        <f t="shared" si="50"/>
        <v>11</v>
      </c>
      <c r="AS74" s="534"/>
      <c r="AT74" s="182">
        <v>13</v>
      </c>
      <c r="AU74" s="182">
        <v>1230.9473684210529</v>
      </c>
      <c r="AV74" s="182">
        <v>94.688259109311758</v>
      </c>
      <c r="AW74" s="404">
        <f t="shared" si="52"/>
        <v>11</v>
      </c>
      <c r="AX74" s="534"/>
    </row>
    <row r="75" spans="2:50">
      <c r="B75" s="533"/>
      <c r="C75" s="404">
        <v>9</v>
      </c>
      <c r="D75" s="226" t="s">
        <v>619</v>
      </c>
      <c r="E75" s="182">
        <v>6</v>
      </c>
      <c r="F75" s="404">
        <v>2000</v>
      </c>
      <c r="G75" s="405">
        <v>333.33333333333331</v>
      </c>
      <c r="H75" s="598"/>
      <c r="I75" s="408">
        <f t="shared" si="54"/>
        <v>6</v>
      </c>
      <c r="J75" s="408">
        <f t="shared" si="54"/>
        <v>1796.5702567391711</v>
      </c>
      <c r="K75" s="406">
        <f t="shared" si="54"/>
        <v>299.42837612319511</v>
      </c>
      <c r="L75" s="588"/>
      <c r="M75" s="407">
        <f>RANK(K75, K$67:$K$81)</f>
        <v>4</v>
      </c>
      <c r="N75" s="544"/>
      <c r="O75" s="544"/>
      <c r="P75" s="182">
        <v>6</v>
      </c>
      <c r="Q75" s="182">
        <v>1752.8571428571443</v>
      </c>
      <c r="R75" s="182">
        <v>292.14285714285739</v>
      </c>
      <c r="S75" s="404">
        <f t="shared" si="55"/>
        <v>4</v>
      </c>
      <c r="T75" s="534"/>
      <c r="U75" s="182">
        <v>6</v>
      </c>
      <c r="V75" s="182">
        <v>1797.6923076923088</v>
      </c>
      <c r="W75" s="182">
        <v>299.61538461538481</v>
      </c>
      <c r="X75" s="404">
        <f t="shared" si="42"/>
        <v>4</v>
      </c>
      <c r="Y75" s="534"/>
      <c r="Z75" s="182">
        <v>6</v>
      </c>
      <c r="AA75" s="182">
        <v>1775.0000000000005</v>
      </c>
      <c r="AB75" s="182">
        <v>295.83333333333343</v>
      </c>
      <c r="AC75" s="404">
        <f t="shared" si="44"/>
        <v>4</v>
      </c>
      <c r="AD75" s="534"/>
      <c r="AE75" s="182">
        <v>6</v>
      </c>
      <c r="AF75" s="182">
        <v>1834.5454545454566</v>
      </c>
      <c r="AG75" s="182">
        <v>305.75757575757609</v>
      </c>
      <c r="AH75" s="404">
        <f t="shared" si="46"/>
        <v>4</v>
      </c>
      <c r="AI75" s="534"/>
      <c r="AJ75" s="182">
        <v>6</v>
      </c>
      <c r="AK75" s="182">
        <v>1781.5384615384605</v>
      </c>
      <c r="AL75" s="182">
        <v>296.92307692307674</v>
      </c>
      <c r="AM75" s="404">
        <f t="shared" si="48"/>
        <v>4</v>
      </c>
      <c r="AN75" s="534"/>
      <c r="AO75" s="182">
        <v>6</v>
      </c>
      <c r="AP75" s="182">
        <v>1816.0975609756092</v>
      </c>
      <c r="AQ75" s="182">
        <v>302.68292682926818</v>
      </c>
      <c r="AR75" s="404">
        <f t="shared" si="50"/>
        <v>4</v>
      </c>
      <c r="AS75" s="534"/>
      <c r="AT75" s="182">
        <v>6</v>
      </c>
      <c r="AU75" s="182">
        <v>1818.2608695652175</v>
      </c>
      <c r="AV75" s="182">
        <v>303.04347826086956</v>
      </c>
      <c r="AW75" s="404">
        <f t="shared" si="52"/>
        <v>4</v>
      </c>
      <c r="AX75" s="534"/>
    </row>
    <row r="76" spans="2:50">
      <c r="B76" s="533"/>
      <c r="C76" s="404">
        <v>10</v>
      </c>
      <c r="D76" s="226" t="s">
        <v>641</v>
      </c>
      <c r="E76" s="182">
        <v>4</v>
      </c>
      <c r="F76" s="404">
        <v>2000</v>
      </c>
      <c r="G76" s="405">
        <v>500</v>
      </c>
      <c r="H76" s="598"/>
      <c r="I76" s="408">
        <f t="shared" si="54"/>
        <v>4</v>
      </c>
      <c r="J76" s="408">
        <f t="shared" si="54"/>
        <v>1981.7768623059751</v>
      </c>
      <c r="K76" s="406">
        <f t="shared" si="54"/>
        <v>495.44421557649378</v>
      </c>
      <c r="L76" s="588"/>
      <c r="M76" s="407">
        <f>RANK(K76, K$67:$K$81)</f>
        <v>1</v>
      </c>
      <c r="N76" s="544"/>
      <c r="O76" s="544"/>
      <c r="P76" s="182">
        <v>4</v>
      </c>
      <c r="Q76" s="182">
        <v>1906.4516129032227</v>
      </c>
      <c r="R76" s="182">
        <v>476.61290322580567</v>
      </c>
      <c r="S76" s="404">
        <f t="shared" si="55"/>
        <v>3</v>
      </c>
      <c r="T76" s="534"/>
      <c r="U76" s="182">
        <v>4</v>
      </c>
      <c r="V76" s="182">
        <v>1937.1428571428528</v>
      </c>
      <c r="W76" s="182">
        <v>484.2857142857132</v>
      </c>
      <c r="X76" s="404">
        <f t="shared" si="42"/>
        <v>2</v>
      </c>
      <c r="Y76" s="534"/>
      <c r="Z76" s="182">
        <v>4</v>
      </c>
      <c r="AA76" s="182">
        <v>2042.2222222222176</v>
      </c>
      <c r="AB76" s="182">
        <v>510.55555555555441</v>
      </c>
      <c r="AC76" s="404">
        <f t="shared" si="44"/>
        <v>1</v>
      </c>
      <c r="AD76" s="534"/>
      <c r="AE76" s="182">
        <v>4</v>
      </c>
      <c r="AF76" s="182">
        <v>1959.1304347826158</v>
      </c>
      <c r="AG76" s="182">
        <v>489.78260869565395</v>
      </c>
      <c r="AH76" s="404">
        <f t="shared" si="46"/>
        <v>3</v>
      </c>
      <c r="AI76" s="534"/>
      <c r="AJ76" s="182">
        <v>4</v>
      </c>
      <c r="AK76" s="182">
        <v>1969.0909090909161</v>
      </c>
      <c r="AL76" s="182">
        <v>492.27272727272901</v>
      </c>
      <c r="AM76" s="404">
        <f t="shared" si="48"/>
        <v>2</v>
      </c>
      <c r="AN76" s="534"/>
      <c r="AO76" s="182">
        <v>4</v>
      </c>
      <c r="AP76" s="182">
        <v>1944.0000000000068</v>
      </c>
      <c r="AQ76" s="182">
        <v>486.00000000000171</v>
      </c>
      <c r="AR76" s="404">
        <f t="shared" si="50"/>
        <v>3</v>
      </c>
      <c r="AS76" s="534"/>
      <c r="AT76" s="182">
        <v>4</v>
      </c>
      <c r="AU76" s="182">
        <v>2114.3999999999942</v>
      </c>
      <c r="AV76" s="182">
        <v>528.59999999999854</v>
      </c>
      <c r="AW76" s="404">
        <f t="shared" si="52"/>
        <v>1</v>
      </c>
      <c r="AX76" s="534"/>
    </row>
    <row r="77" spans="2:50">
      <c r="B77" s="533"/>
      <c r="C77" s="404">
        <v>11</v>
      </c>
      <c r="D77" s="226" t="s">
        <v>667</v>
      </c>
      <c r="E77" s="182">
        <v>11</v>
      </c>
      <c r="F77" s="404">
        <v>2250</v>
      </c>
      <c r="G77" s="405">
        <v>192.5</v>
      </c>
      <c r="H77" s="598"/>
      <c r="I77" s="408">
        <f t="shared" si="54"/>
        <v>11</v>
      </c>
      <c r="J77" s="408">
        <f t="shared" si="54"/>
        <v>2217.0711365908178</v>
      </c>
      <c r="K77" s="406">
        <f t="shared" si="54"/>
        <v>201.55192150825616</v>
      </c>
      <c r="L77" s="588"/>
      <c r="M77" s="407">
        <f>RANK(K77, K$67:$K$81)</f>
        <v>5</v>
      </c>
      <c r="N77" s="544"/>
      <c r="O77" s="544"/>
      <c r="P77" s="182">
        <v>11</v>
      </c>
      <c r="Q77" s="182">
        <v>2186.8711656441719</v>
      </c>
      <c r="R77" s="182">
        <v>198.80646960401563</v>
      </c>
      <c r="S77" s="404">
        <f t="shared" si="55"/>
        <v>6</v>
      </c>
      <c r="T77" s="534"/>
      <c r="U77" s="182">
        <v>11</v>
      </c>
      <c r="V77" s="182">
        <v>2228.1428571428569</v>
      </c>
      <c r="W77" s="182">
        <v>202.55844155844153</v>
      </c>
      <c r="X77" s="404">
        <f t="shared" si="42"/>
        <v>5</v>
      </c>
      <c r="Y77" s="534"/>
      <c r="Z77" s="182">
        <v>11</v>
      </c>
      <c r="AA77" s="182">
        <v>2242.3357664233586</v>
      </c>
      <c r="AB77" s="182">
        <v>203.84870603848714</v>
      </c>
      <c r="AC77" s="404">
        <f t="shared" si="44"/>
        <v>5</v>
      </c>
      <c r="AD77" s="534"/>
      <c r="AE77" s="182">
        <v>11</v>
      </c>
      <c r="AF77" s="182">
        <v>2236.4331210191081</v>
      </c>
      <c r="AG77" s="182">
        <v>203.31210191082801</v>
      </c>
      <c r="AH77" s="404">
        <f t="shared" si="46"/>
        <v>5</v>
      </c>
      <c r="AI77" s="534"/>
      <c r="AJ77" s="182">
        <v>11</v>
      </c>
      <c r="AK77" s="182">
        <v>2197.2972972972971</v>
      </c>
      <c r="AL77" s="182">
        <v>199.75429975429972</v>
      </c>
      <c r="AM77" s="404">
        <f t="shared" si="48"/>
        <v>5</v>
      </c>
      <c r="AN77" s="534"/>
      <c r="AO77" s="182">
        <v>11</v>
      </c>
      <c r="AP77" s="182">
        <v>2229.7674418604656</v>
      </c>
      <c r="AQ77" s="182">
        <v>202.70613107822416</v>
      </c>
      <c r="AR77" s="404">
        <f t="shared" si="50"/>
        <v>5</v>
      </c>
      <c r="AS77" s="534"/>
      <c r="AT77" s="182">
        <v>11</v>
      </c>
      <c r="AU77" s="182">
        <v>2198.6503067484664</v>
      </c>
      <c r="AV77" s="182">
        <v>199.87730061349694</v>
      </c>
      <c r="AW77" s="404">
        <f t="shared" si="52"/>
        <v>6</v>
      </c>
      <c r="AX77" s="534"/>
    </row>
    <row r="78" spans="2:50">
      <c r="B78" s="533"/>
      <c r="C78" s="404">
        <v>12</v>
      </c>
      <c r="D78" s="226"/>
      <c r="E78" s="182"/>
      <c r="F78" s="404"/>
      <c r="G78" s="405"/>
      <c r="H78" s="598"/>
      <c r="I78" s="202"/>
      <c r="J78" s="202"/>
      <c r="K78" s="202"/>
      <c r="L78" s="588"/>
      <c r="M78" s="407" t="e">
        <f>RANK(K78, K$67:$K$81)</f>
        <v>#N/A</v>
      </c>
      <c r="N78" s="544"/>
      <c r="O78" s="544"/>
      <c r="P78" s="182"/>
      <c r="Q78" s="182"/>
      <c r="R78" s="182"/>
      <c r="S78" s="404" t="e">
        <f t="shared" si="55"/>
        <v>#N/A</v>
      </c>
      <c r="T78" s="534"/>
      <c r="U78" s="182"/>
      <c r="V78" s="182"/>
      <c r="W78" s="182"/>
      <c r="X78" s="404" t="e">
        <f t="shared" si="42"/>
        <v>#N/A</v>
      </c>
      <c r="Y78" s="534"/>
      <c r="Z78" s="182"/>
      <c r="AA78" s="182"/>
      <c r="AB78" s="182"/>
      <c r="AC78" s="404" t="e">
        <f t="shared" si="44"/>
        <v>#N/A</v>
      </c>
      <c r="AD78" s="534"/>
      <c r="AE78" s="182"/>
      <c r="AF78" s="182"/>
      <c r="AG78" s="182"/>
      <c r="AH78" s="404" t="e">
        <f t="shared" si="46"/>
        <v>#N/A</v>
      </c>
      <c r="AI78" s="534"/>
      <c r="AJ78" s="182"/>
      <c r="AK78" s="182"/>
      <c r="AL78" s="182"/>
      <c r="AM78" s="404" t="e">
        <f t="shared" si="48"/>
        <v>#N/A</v>
      </c>
      <c r="AN78" s="534"/>
      <c r="AO78" s="182"/>
      <c r="AP78" s="182"/>
      <c r="AQ78" s="182"/>
      <c r="AR78" s="404" t="e">
        <f t="shared" si="50"/>
        <v>#N/A</v>
      </c>
      <c r="AS78" s="534"/>
      <c r="AT78" s="182"/>
      <c r="AU78" s="182"/>
      <c r="AV78" s="182"/>
      <c r="AW78" s="404" t="e">
        <f t="shared" si="52"/>
        <v>#N/A</v>
      </c>
      <c r="AX78" s="534"/>
    </row>
    <row r="79" spans="2:50">
      <c r="B79" s="533"/>
      <c r="C79" s="404">
        <v>13</v>
      </c>
      <c r="D79" s="226"/>
      <c r="E79" s="182"/>
      <c r="F79" s="404"/>
      <c r="G79" s="405"/>
      <c r="H79" s="598"/>
      <c r="I79" s="202"/>
      <c r="J79" s="202"/>
      <c r="K79" s="202"/>
      <c r="L79" s="588"/>
      <c r="M79" s="407" t="e">
        <f>RANK(K79, K$67:$K$81)</f>
        <v>#N/A</v>
      </c>
      <c r="N79" s="544"/>
      <c r="O79" s="544"/>
      <c r="P79" s="182"/>
      <c r="Q79" s="182"/>
      <c r="R79" s="182"/>
      <c r="S79" s="404" t="e">
        <f t="shared" si="55"/>
        <v>#N/A</v>
      </c>
      <c r="T79" s="534"/>
      <c r="U79" s="182"/>
      <c r="V79" s="182"/>
      <c r="W79" s="182"/>
      <c r="X79" s="404" t="e">
        <f t="shared" si="42"/>
        <v>#N/A</v>
      </c>
      <c r="Y79" s="534"/>
      <c r="Z79" s="182"/>
      <c r="AA79" s="182"/>
      <c r="AB79" s="182"/>
      <c r="AC79" s="404" t="e">
        <f t="shared" si="44"/>
        <v>#N/A</v>
      </c>
      <c r="AD79" s="534"/>
      <c r="AE79" s="182"/>
      <c r="AF79" s="182"/>
      <c r="AG79" s="182"/>
      <c r="AH79" s="404" t="e">
        <f t="shared" si="46"/>
        <v>#N/A</v>
      </c>
      <c r="AI79" s="534"/>
      <c r="AJ79" s="182"/>
      <c r="AK79" s="182"/>
      <c r="AL79" s="182"/>
      <c r="AM79" s="404" t="e">
        <f t="shared" si="48"/>
        <v>#N/A</v>
      </c>
      <c r="AN79" s="534"/>
      <c r="AO79" s="182"/>
      <c r="AP79" s="182"/>
      <c r="AQ79" s="182"/>
      <c r="AR79" s="404" t="e">
        <f t="shared" si="50"/>
        <v>#N/A</v>
      </c>
      <c r="AS79" s="534"/>
      <c r="AT79" s="182"/>
      <c r="AU79" s="182"/>
      <c r="AV79" s="182"/>
      <c r="AW79" s="404" t="e">
        <f t="shared" si="52"/>
        <v>#N/A</v>
      </c>
      <c r="AX79" s="534"/>
    </row>
    <row r="80" spans="2:50">
      <c r="B80" s="533"/>
      <c r="C80" s="404">
        <v>14</v>
      </c>
      <c r="D80" s="226"/>
      <c r="E80" s="182"/>
      <c r="F80" s="404"/>
      <c r="G80" s="405"/>
      <c r="H80" s="598"/>
      <c r="I80" s="202"/>
      <c r="J80" s="202"/>
      <c r="K80" s="202"/>
      <c r="L80" s="588"/>
      <c r="M80" s="407" t="e">
        <f>RANK(K80, K$67:$K$81)</f>
        <v>#N/A</v>
      </c>
      <c r="N80" s="544"/>
      <c r="O80" s="544"/>
      <c r="P80" s="182"/>
      <c r="Q80" s="182"/>
      <c r="R80" s="182"/>
      <c r="S80" s="404" t="e">
        <f t="shared" si="55"/>
        <v>#N/A</v>
      </c>
      <c r="T80" s="534"/>
      <c r="U80" s="182"/>
      <c r="V80" s="182"/>
      <c r="W80" s="182"/>
      <c r="X80" s="404" t="e">
        <f t="shared" si="42"/>
        <v>#N/A</v>
      </c>
      <c r="Y80" s="534"/>
      <c r="Z80" s="182"/>
      <c r="AA80" s="182"/>
      <c r="AB80" s="182"/>
      <c r="AC80" s="404" t="e">
        <f t="shared" si="44"/>
        <v>#N/A</v>
      </c>
      <c r="AD80" s="534"/>
      <c r="AE80" s="182"/>
      <c r="AF80" s="182"/>
      <c r="AG80" s="182"/>
      <c r="AH80" s="404" t="e">
        <f t="shared" si="46"/>
        <v>#N/A</v>
      </c>
      <c r="AI80" s="534"/>
      <c r="AJ80" s="182"/>
      <c r="AK80" s="182"/>
      <c r="AL80" s="182"/>
      <c r="AM80" s="404" t="e">
        <f t="shared" si="48"/>
        <v>#N/A</v>
      </c>
      <c r="AN80" s="534"/>
      <c r="AO80" s="182"/>
      <c r="AP80" s="182"/>
      <c r="AQ80" s="182"/>
      <c r="AR80" s="404" t="e">
        <f t="shared" si="50"/>
        <v>#N/A</v>
      </c>
      <c r="AS80" s="534"/>
      <c r="AT80" s="182"/>
      <c r="AU80" s="182"/>
      <c r="AV80" s="182"/>
      <c r="AW80" s="404" t="e">
        <f t="shared" si="52"/>
        <v>#N/A</v>
      </c>
      <c r="AX80" s="534"/>
    </row>
    <row r="81" spans="2:50">
      <c r="B81" s="533"/>
      <c r="C81" s="404">
        <v>15</v>
      </c>
      <c r="D81" s="226"/>
      <c r="E81" s="182"/>
      <c r="F81" s="404"/>
      <c r="G81" s="405"/>
      <c r="H81" s="599"/>
      <c r="I81" s="202"/>
      <c r="J81" s="202"/>
      <c r="K81" s="202"/>
      <c r="L81" s="589"/>
      <c r="M81" s="407" t="e">
        <f>RANK(K81, K$67:$K$81)</f>
        <v>#N/A</v>
      </c>
      <c r="N81" s="544"/>
      <c r="O81" s="544"/>
      <c r="P81" s="182"/>
      <c r="Q81" s="182"/>
      <c r="R81" s="182"/>
      <c r="S81" s="404" t="e">
        <f t="shared" si="55"/>
        <v>#N/A</v>
      </c>
      <c r="T81" s="534"/>
      <c r="U81" s="182"/>
      <c r="V81" s="182"/>
      <c r="W81" s="182"/>
      <c r="X81" s="404" t="e">
        <f t="shared" si="42"/>
        <v>#N/A</v>
      </c>
      <c r="Y81" s="534"/>
      <c r="Z81" s="182"/>
      <c r="AA81" s="182"/>
      <c r="AB81" s="182"/>
      <c r="AC81" s="404" t="e">
        <f t="shared" si="44"/>
        <v>#N/A</v>
      </c>
      <c r="AD81" s="534"/>
      <c r="AE81" s="182"/>
      <c r="AF81" s="182"/>
      <c r="AG81" s="182"/>
      <c r="AH81" s="404" t="e">
        <f t="shared" si="46"/>
        <v>#N/A</v>
      </c>
      <c r="AI81" s="534"/>
      <c r="AJ81" s="182"/>
      <c r="AK81" s="182"/>
      <c r="AL81" s="182"/>
      <c r="AM81" s="404" t="e">
        <f t="shared" si="48"/>
        <v>#N/A</v>
      </c>
      <c r="AN81" s="534"/>
      <c r="AO81" s="182"/>
      <c r="AP81" s="182"/>
      <c r="AQ81" s="182"/>
      <c r="AR81" s="404" t="e">
        <f t="shared" si="50"/>
        <v>#N/A</v>
      </c>
      <c r="AS81" s="534"/>
      <c r="AT81" s="182"/>
      <c r="AU81" s="182"/>
      <c r="AV81" s="182"/>
      <c r="AW81" s="404" t="e">
        <f t="shared" si="52"/>
        <v>#N/A</v>
      </c>
      <c r="AX81" s="534"/>
    </row>
    <row r="82" spans="2:50" ht="15.5">
      <c r="B82" s="555" t="s">
        <v>163</v>
      </c>
      <c r="C82" s="556"/>
      <c r="D82" s="556"/>
      <c r="E82" s="556"/>
      <c r="F82" s="556"/>
      <c r="G82" s="556"/>
      <c r="H82" s="557"/>
      <c r="I82" s="208"/>
      <c r="J82" s="208"/>
      <c r="K82" s="208"/>
      <c r="L82" s="208"/>
      <c r="M82" s="207"/>
      <c r="N82" s="559" t="s">
        <v>687</v>
      </c>
      <c r="O82" s="559" t="s">
        <v>688</v>
      </c>
      <c r="P82" s="554">
        <f>P62+7</f>
        <v>46379</v>
      </c>
      <c r="Q82" s="533"/>
      <c r="R82" s="533"/>
      <c r="S82" s="533"/>
      <c r="T82" s="533"/>
      <c r="U82" s="551">
        <f>P82+1</f>
        <v>46380</v>
      </c>
      <c r="V82" s="552"/>
      <c r="W82" s="552"/>
      <c r="X82" s="552"/>
      <c r="Y82" s="553"/>
      <c r="Z82" s="551">
        <f>U82+1</f>
        <v>46381</v>
      </c>
      <c r="AA82" s="552"/>
      <c r="AB82" s="552"/>
      <c r="AC82" s="552"/>
      <c r="AD82" s="553"/>
      <c r="AE82" s="551">
        <f>Z82+1</f>
        <v>46382</v>
      </c>
      <c r="AF82" s="552"/>
      <c r="AG82" s="552"/>
      <c r="AH82" s="552"/>
      <c r="AI82" s="553"/>
      <c r="AJ82" s="551">
        <f>AE82+1</f>
        <v>46383</v>
      </c>
      <c r="AK82" s="552"/>
      <c r="AL82" s="552"/>
      <c r="AM82" s="552"/>
      <c r="AN82" s="553"/>
      <c r="AO82" s="551">
        <f>AJ82+1</f>
        <v>46384</v>
      </c>
      <c r="AP82" s="552"/>
      <c r="AQ82" s="552"/>
      <c r="AR82" s="552"/>
      <c r="AS82" s="553"/>
      <c r="AT82" s="551">
        <f>AO82+1</f>
        <v>46385</v>
      </c>
      <c r="AU82" s="552"/>
      <c r="AV82" s="552"/>
      <c r="AW82" s="552"/>
      <c r="AX82" s="553"/>
    </row>
    <row r="83" spans="2:50" ht="15.5">
      <c r="B83" s="558"/>
      <c r="C83" s="558"/>
      <c r="D83" s="558"/>
      <c r="E83" s="558"/>
      <c r="F83" s="558"/>
      <c r="G83" s="558"/>
      <c r="H83" s="558"/>
      <c r="I83" s="205"/>
      <c r="J83" s="205"/>
      <c r="K83" s="205"/>
      <c r="L83" s="205"/>
      <c r="M83" s="206"/>
      <c r="N83" s="560"/>
      <c r="O83" s="560"/>
      <c r="P83" s="554" t="s">
        <v>690</v>
      </c>
      <c r="Q83" s="533"/>
      <c r="R83" s="533"/>
      <c r="S83" s="533"/>
      <c r="T83" s="533"/>
      <c r="U83" s="554" t="s">
        <v>691</v>
      </c>
      <c r="V83" s="533"/>
      <c r="W83" s="533"/>
      <c r="X83" s="533"/>
      <c r="Y83" s="533"/>
      <c r="Z83" s="554" t="s">
        <v>692</v>
      </c>
      <c r="AA83" s="533"/>
      <c r="AB83" s="533"/>
      <c r="AC83" s="533"/>
      <c r="AD83" s="533"/>
      <c r="AE83" s="554" t="s">
        <v>694</v>
      </c>
      <c r="AF83" s="533"/>
      <c r="AG83" s="533"/>
      <c r="AH83" s="533"/>
      <c r="AI83" s="533"/>
      <c r="AJ83" s="554" t="s">
        <v>695</v>
      </c>
      <c r="AK83" s="533"/>
      <c r="AL83" s="533"/>
      <c r="AM83" s="533"/>
      <c r="AN83" s="533"/>
      <c r="AO83" s="554" t="s">
        <v>696</v>
      </c>
      <c r="AP83" s="533"/>
      <c r="AQ83" s="533"/>
      <c r="AR83" s="533"/>
      <c r="AS83" s="533"/>
      <c r="AT83" s="554" t="s">
        <v>697</v>
      </c>
      <c r="AU83" s="533"/>
      <c r="AV83" s="533"/>
      <c r="AW83" s="533"/>
      <c r="AX83" s="533"/>
    </row>
    <row r="84" spans="2:50">
      <c r="B84" s="544" t="s">
        <v>698</v>
      </c>
      <c r="C84" s="544" t="s">
        <v>699</v>
      </c>
      <c r="D84" s="544"/>
      <c r="E84" s="544" t="s">
        <v>700</v>
      </c>
      <c r="F84" s="544"/>
      <c r="G84" s="544"/>
      <c r="H84" s="561" t="s">
        <v>671</v>
      </c>
      <c r="I84" s="583" t="s">
        <v>701</v>
      </c>
      <c r="J84" s="583"/>
      <c r="K84" s="583"/>
      <c r="L84" s="584" t="s">
        <v>671</v>
      </c>
      <c r="M84" s="567" t="s">
        <v>685</v>
      </c>
      <c r="N84" s="544"/>
      <c r="O84" s="544" t="s">
        <v>702</v>
      </c>
      <c r="P84" s="548" t="s">
        <v>669</v>
      </c>
      <c r="Q84" s="549"/>
      <c r="R84" s="549"/>
      <c r="S84" s="550"/>
      <c r="T84" s="544" t="s">
        <v>671</v>
      </c>
      <c r="U84" s="548" t="s">
        <v>669</v>
      </c>
      <c r="V84" s="549"/>
      <c r="W84" s="549"/>
      <c r="X84" s="550"/>
      <c r="Y84" s="544" t="s">
        <v>671</v>
      </c>
      <c r="Z84" s="548" t="s">
        <v>669</v>
      </c>
      <c r="AA84" s="549"/>
      <c r="AB84" s="549"/>
      <c r="AC84" s="550"/>
      <c r="AD84" s="544" t="s">
        <v>671</v>
      </c>
      <c r="AE84" s="548" t="s">
        <v>669</v>
      </c>
      <c r="AF84" s="549"/>
      <c r="AG84" s="549"/>
      <c r="AH84" s="550"/>
      <c r="AI84" s="544" t="s">
        <v>671</v>
      </c>
      <c r="AJ84" s="548" t="s">
        <v>669</v>
      </c>
      <c r="AK84" s="549"/>
      <c r="AL84" s="549"/>
      <c r="AM84" s="550"/>
      <c r="AN84" s="544" t="s">
        <v>671</v>
      </c>
      <c r="AO84" s="548" t="s">
        <v>669</v>
      </c>
      <c r="AP84" s="549"/>
      <c r="AQ84" s="549"/>
      <c r="AR84" s="550"/>
      <c r="AS84" s="544" t="s">
        <v>671</v>
      </c>
      <c r="AT84" s="548" t="s">
        <v>669</v>
      </c>
      <c r="AU84" s="549"/>
      <c r="AV84" s="549"/>
      <c r="AW84" s="550"/>
      <c r="AX84" s="544" t="s">
        <v>671</v>
      </c>
    </row>
    <row r="85" spans="2:50">
      <c r="B85" s="544"/>
      <c r="C85" s="544"/>
      <c r="D85" s="544"/>
      <c r="E85" s="544" t="s">
        <v>674</v>
      </c>
      <c r="F85" s="544"/>
      <c r="G85" s="544"/>
      <c r="H85" s="562"/>
      <c r="I85" s="583" t="s">
        <v>674</v>
      </c>
      <c r="J85" s="583"/>
      <c r="K85" s="583"/>
      <c r="L85" s="585"/>
      <c r="M85" s="568"/>
      <c r="N85" s="544"/>
      <c r="O85" s="544"/>
      <c r="P85" s="548" t="s">
        <v>676</v>
      </c>
      <c r="Q85" s="549"/>
      <c r="R85" s="549"/>
      <c r="S85" s="550"/>
      <c r="T85" s="544"/>
      <c r="U85" s="548" t="s">
        <v>676</v>
      </c>
      <c r="V85" s="549"/>
      <c r="W85" s="549"/>
      <c r="X85" s="550"/>
      <c r="Y85" s="544"/>
      <c r="Z85" s="548" t="s">
        <v>676</v>
      </c>
      <c r="AA85" s="549"/>
      <c r="AB85" s="549"/>
      <c r="AC85" s="550"/>
      <c r="AD85" s="544"/>
      <c r="AE85" s="548" t="s">
        <v>676</v>
      </c>
      <c r="AF85" s="549"/>
      <c r="AG85" s="549"/>
      <c r="AH85" s="550"/>
      <c r="AI85" s="544"/>
      <c r="AJ85" s="548" t="s">
        <v>676</v>
      </c>
      <c r="AK85" s="549"/>
      <c r="AL85" s="549"/>
      <c r="AM85" s="550"/>
      <c r="AN85" s="544"/>
      <c r="AO85" s="548" t="s">
        <v>676</v>
      </c>
      <c r="AP85" s="549"/>
      <c r="AQ85" s="549"/>
      <c r="AR85" s="550"/>
      <c r="AS85" s="544"/>
      <c r="AT85" s="548" t="s">
        <v>676</v>
      </c>
      <c r="AU85" s="549"/>
      <c r="AV85" s="549"/>
      <c r="AW85" s="550"/>
      <c r="AX85" s="544"/>
    </row>
    <row r="86" spans="2:50">
      <c r="B86" s="544"/>
      <c r="C86" s="544"/>
      <c r="D86" s="544"/>
      <c r="E86" s="403" t="s">
        <v>680</v>
      </c>
      <c r="F86" s="403" t="s">
        <v>678</v>
      </c>
      <c r="G86" s="403" t="s">
        <v>684</v>
      </c>
      <c r="H86" s="563"/>
      <c r="I86" s="402" t="s">
        <v>680</v>
      </c>
      <c r="J86" s="402" t="s">
        <v>678</v>
      </c>
      <c r="K86" s="402" t="s">
        <v>684</v>
      </c>
      <c r="L86" s="586"/>
      <c r="M86" s="569"/>
      <c r="N86" s="544"/>
      <c r="O86" s="544"/>
      <c r="P86" s="403" t="s">
        <v>680</v>
      </c>
      <c r="Q86" s="403" t="s">
        <v>678</v>
      </c>
      <c r="R86" s="403" t="s">
        <v>684</v>
      </c>
      <c r="S86" s="403" t="s">
        <v>685</v>
      </c>
      <c r="T86" s="544"/>
      <c r="U86" s="403" t="s">
        <v>680</v>
      </c>
      <c r="V86" s="403" t="s">
        <v>678</v>
      </c>
      <c r="W86" s="403" t="s">
        <v>684</v>
      </c>
      <c r="X86" s="403" t="s">
        <v>685</v>
      </c>
      <c r="Y86" s="544"/>
      <c r="Z86" s="403" t="s">
        <v>680</v>
      </c>
      <c r="AA86" s="403" t="s">
        <v>678</v>
      </c>
      <c r="AB86" s="403" t="s">
        <v>684</v>
      </c>
      <c r="AC86" s="403" t="s">
        <v>685</v>
      </c>
      <c r="AD86" s="544"/>
      <c r="AE86" s="403" t="s">
        <v>680</v>
      </c>
      <c r="AF86" s="403" t="s">
        <v>678</v>
      </c>
      <c r="AG86" s="403" t="s">
        <v>684</v>
      </c>
      <c r="AH86" s="403" t="s">
        <v>685</v>
      </c>
      <c r="AI86" s="544"/>
      <c r="AJ86" s="403" t="s">
        <v>680</v>
      </c>
      <c r="AK86" s="403" t="s">
        <v>678</v>
      </c>
      <c r="AL86" s="403" t="s">
        <v>684</v>
      </c>
      <c r="AM86" s="403" t="s">
        <v>685</v>
      </c>
      <c r="AN86" s="544"/>
      <c r="AO86" s="403" t="s">
        <v>680</v>
      </c>
      <c r="AP86" s="403" t="s">
        <v>678</v>
      </c>
      <c r="AQ86" s="403" t="s">
        <v>684</v>
      </c>
      <c r="AR86" s="403" t="s">
        <v>685</v>
      </c>
      <c r="AS86" s="544"/>
      <c r="AT86" s="403" t="s">
        <v>680</v>
      </c>
      <c r="AU86" s="403" t="s">
        <v>678</v>
      </c>
      <c r="AV86" s="403" t="s">
        <v>684</v>
      </c>
      <c r="AW86" s="403" t="s">
        <v>685</v>
      </c>
      <c r="AX86" s="544"/>
    </row>
    <row r="87" spans="2:50">
      <c r="B87" s="596" t="s">
        <v>686</v>
      </c>
      <c r="C87" s="404">
        <v>1</v>
      </c>
      <c r="D87" s="226" t="s">
        <v>403</v>
      </c>
      <c r="E87" s="182">
        <v>4</v>
      </c>
      <c r="F87" s="404">
        <v>2000</v>
      </c>
      <c r="G87" s="405">
        <v>500</v>
      </c>
      <c r="H87" s="597">
        <f>AVERAGE(G87:G101)</f>
        <v>272.17979797979797</v>
      </c>
      <c r="I87" s="408">
        <f>AVERAGE(P87,U87,Z87,AE87,AJ87,AO87,AT87)</f>
        <v>4.7142857142857144</v>
      </c>
      <c r="J87" s="408">
        <f>AVERAGE(Q87,V87,AA87,AF87,AK87,AP87,AU87)</f>
        <v>2158.9236224306628</v>
      </c>
      <c r="K87" s="406">
        <f>AVERAGE(R87,W87,AB87,AG87,AL87,AQ87,AV87)</f>
        <v>462.5108466002776</v>
      </c>
      <c r="L87" s="587">
        <f>IFERROR(AVERAGE(K87:K101),"-")</f>
        <v>258.16865876965784</v>
      </c>
      <c r="M87" s="407">
        <f>RANK(K87, K$87:$K$101)</f>
        <v>2</v>
      </c>
      <c r="N87" s="544"/>
      <c r="O87" s="544"/>
      <c r="P87" s="182">
        <v>4</v>
      </c>
      <c r="Q87" s="182">
        <v>2138.2608695652175</v>
      </c>
      <c r="R87" s="182">
        <v>534.56521739130437</v>
      </c>
      <c r="S87" s="404">
        <f>RANK(R87, R$87:R$101)</f>
        <v>1</v>
      </c>
      <c r="T87" s="534">
        <f>AVERAGE(R87:R101)</f>
        <v>279.29818720760352</v>
      </c>
      <c r="U87" s="182">
        <v>4</v>
      </c>
      <c r="V87" s="182">
        <v>2163.3962264150937</v>
      </c>
      <c r="W87" s="182">
        <v>540.84905660377342</v>
      </c>
      <c r="X87" s="404">
        <f t="shared" ref="X87:X101" si="56">RANK(W87, W$87:W$101)</f>
        <v>2</v>
      </c>
      <c r="Y87" s="534">
        <f t="shared" ref="Y87" si="57">AVERAGE(W87:W101)</f>
        <v>281.98208898880841</v>
      </c>
      <c r="Z87" s="182">
        <v>5</v>
      </c>
      <c r="AA87" s="182">
        <v>2156.6197183098593</v>
      </c>
      <c r="AB87" s="182">
        <v>431.32394366197184</v>
      </c>
      <c r="AC87" s="404">
        <f t="shared" ref="AC87:AC101" si="58">RANK(AB87, AB$87:AB$101)</f>
        <v>2</v>
      </c>
      <c r="AD87" s="534">
        <f t="shared" ref="AD87" si="59">AVERAGE(AB87:AB101)</f>
        <v>248.25379110492432</v>
      </c>
      <c r="AE87" s="182">
        <v>5</v>
      </c>
      <c r="AF87" s="182">
        <v>2124.9056603773579</v>
      </c>
      <c r="AG87" s="182">
        <v>424.98113207547158</v>
      </c>
      <c r="AH87" s="404">
        <f t="shared" ref="AH87:AH101" si="60">RANK(AG87, AG$87:AG$101)</f>
        <v>1</v>
      </c>
      <c r="AI87" s="534">
        <f t="shared" ref="AI87" si="61">AVERAGE(AG87:AG101)</f>
        <v>245.35982774470997</v>
      </c>
      <c r="AJ87" s="182">
        <v>5</v>
      </c>
      <c r="AK87" s="182">
        <v>2176.2711864406783</v>
      </c>
      <c r="AL87" s="182">
        <v>435.25423728813564</v>
      </c>
      <c r="AM87" s="404">
        <f t="shared" ref="AM87:AM101" si="62">RANK(AL87, AL$87:AL$101)</f>
        <v>1</v>
      </c>
      <c r="AN87" s="534">
        <f t="shared" ref="AN87" si="63">AVERAGE(AL87:AL101)</f>
        <v>248.09829579266122</v>
      </c>
      <c r="AO87" s="182">
        <v>5</v>
      </c>
      <c r="AP87" s="182">
        <v>2162.2222222222226</v>
      </c>
      <c r="AQ87" s="182">
        <v>432.44444444444451</v>
      </c>
      <c r="AR87" s="404">
        <f t="shared" ref="AR87:AR101" si="64">RANK(AQ87, AQ$87:AQ$101)</f>
        <v>2</v>
      </c>
      <c r="AS87" s="534">
        <f t="shared" ref="AS87" si="65">AVERAGE(AQ87:AQ101)</f>
        <v>252.99024014511227</v>
      </c>
      <c r="AT87" s="182">
        <v>5</v>
      </c>
      <c r="AU87" s="182">
        <v>2190.78947368421</v>
      </c>
      <c r="AV87" s="182">
        <v>438.15789473684197</v>
      </c>
      <c r="AW87" s="404">
        <f t="shared" ref="AW87:AW101" si="66">RANK(AV87, AV$87:AV$101)</f>
        <v>2</v>
      </c>
      <c r="AX87" s="534">
        <f t="shared" ref="AX87" si="67">AVERAGE(AV87:AV101)</f>
        <v>251.19818040378507</v>
      </c>
    </row>
    <row r="88" spans="2:50">
      <c r="B88" s="533"/>
      <c r="C88" s="404">
        <v>2</v>
      </c>
      <c r="D88" s="226" t="s">
        <v>465</v>
      </c>
      <c r="E88" s="182">
        <v>4</v>
      </c>
      <c r="F88" s="404">
        <v>2000</v>
      </c>
      <c r="G88" s="405">
        <v>500</v>
      </c>
      <c r="H88" s="598"/>
      <c r="I88" s="408">
        <f t="shared" ref="I88:K97" si="68">AVERAGE(P88,U88,Z88,AE88,AJ88,AO88,AT88)</f>
        <v>4.7142857142857144</v>
      </c>
      <c r="J88" s="408">
        <f t="shared" si="68"/>
        <v>2159.0230623840971</v>
      </c>
      <c r="K88" s="406">
        <f t="shared" si="68"/>
        <v>462.57538170758869</v>
      </c>
      <c r="L88" s="588"/>
      <c r="M88" s="407">
        <f>RANK(K88, K$87:$K$101)</f>
        <v>1</v>
      </c>
      <c r="N88" s="544"/>
      <c r="O88" s="544"/>
      <c r="P88" s="182">
        <v>4</v>
      </c>
      <c r="Q88" s="182">
        <v>2132.3076923076933</v>
      </c>
      <c r="R88" s="182">
        <v>533.07692307692332</v>
      </c>
      <c r="S88" s="404">
        <f t="shared" ref="S88:S101" si="69">RANK(R88, R$87:R$101)</f>
        <v>2</v>
      </c>
      <c r="T88" s="534"/>
      <c r="U88" s="182">
        <v>4</v>
      </c>
      <c r="V88" s="182">
        <v>2175.6000000000008</v>
      </c>
      <c r="W88" s="182">
        <v>543.9000000000002</v>
      </c>
      <c r="X88" s="404">
        <f t="shared" si="56"/>
        <v>1</v>
      </c>
      <c r="Y88" s="534"/>
      <c r="Z88" s="182">
        <v>5</v>
      </c>
      <c r="AA88" s="182">
        <v>2193.8709677419361</v>
      </c>
      <c r="AB88" s="182">
        <v>438.77419354838719</v>
      </c>
      <c r="AC88" s="404">
        <f t="shared" si="58"/>
        <v>1</v>
      </c>
      <c r="AD88" s="534"/>
      <c r="AE88" s="182">
        <v>5</v>
      </c>
      <c r="AF88" s="182">
        <v>2107.6595744680853</v>
      </c>
      <c r="AG88" s="182">
        <v>421.53191489361706</v>
      </c>
      <c r="AH88" s="404">
        <f t="shared" si="60"/>
        <v>2</v>
      </c>
      <c r="AI88" s="534"/>
      <c r="AJ88" s="182">
        <v>5</v>
      </c>
      <c r="AK88" s="182">
        <v>2117.4545454545455</v>
      </c>
      <c r="AL88" s="182">
        <v>423.4909090909091</v>
      </c>
      <c r="AM88" s="404">
        <f t="shared" si="62"/>
        <v>2</v>
      </c>
      <c r="AN88" s="534"/>
      <c r="AO88" s="182">
        <v>5</v>
      </c>
      <c r="AP88" s="182">
        <v>2187.7611940298507</v>
      </c>
      <c r="AQ88" s="182">
        <v>437.55223880597015</v>
      </c>
      <c r="AR88" s="404">
        <f t="shared" si="64"/>
        <v>1</v>
      </c>
      <c r="AS88" s="534"/>
      <c r="AT88" s="182">
        <v>5</v>
      </c>
      <c r="AU88" s="182">
        <v>2198.5074626865671</v>
      </c>
      <c r="AV88" s="182">
        <v>439.70149253731341</v>
      </c>
      <c r="AW88" s="404">
        <f t="shared" si="66"/>
        <v>1</v>
      </c>
      <c r="AX88" s="534"/>
    </row>
    <row r="89" spans="2:50">
      <c r="B89" s="533"/>
      <c r="C89" s="404">
        <v>3</v>
      </c>
      <c r="D89" s="226" t="s">
        <v>404</v>
      </c>
      <c r="E89" s="182">
        <v>14</v>
      </c>
      <c r="F89" s="404">
        <v>2118</v>
      </c>
      <c r="G89" s="405">
        <v>151.30000000000001</v>
      </c>
      <c r="H89" s="598"/>
      <c r="I89" s="408">
        <f t="shared" si="68"/>
        <v>14</v>
      </c>
      <c r="J89" s="408">
        <f t="shared" si="68"/>
        <v>2002.1709385586212</v>
      </c>
      <c r="K89" s="406">
        <f t="shared" si="68"/>
        <v>143.01220989704439</v>
      </c>
      <c r="L89" s="588"/>
      <c r="M89" s="407">
        <f>RANK(K89, K$87:$K$101)</f>
        <v>10</v>
      </c>
      <c r="N89" s="544"/>
      <c r="O89" s="544"/>
      <c r="P89" s="182">
        <v>14</v>
      </c>
      <c r="Q89" s="182">
        <v>1977.0491803278692</v>
      </c>
      <c r="R89" s="182">
        <v>141.21779859484781</v>
      </c>
      <c r="S89" s="404">
        <f t="shared" si="69"/>
        <v>10</v>
      </c>
      <c r="T89" s="534"/>
      <c r="U89" s="182">
        <v>14</v>
      </c>
      <c r="V89" s="182">
        <v>1975.2941176470581</v>
      </c>
      <c r="W89" s="182">
        <v>141.09243697478988</v>
      </c>
      <c r="X89" s="404">
        <f t="shared" si="56"/>
        <v>10</v>
      </c>
      <c r="Y89" s="534"/>
      <c r="Z89" s="182">
        <v>14</v>
      </c>
      <c r="AA89" s="182">
        <v>2037.9661016949156</v>
      </c>
      <c r="AB89" s="182">
        <v>145.56900726392254</v>
      </c>
      <c r="AC89" s="404">
        <f t="shared" si="58"/>
        <v>10</v>
      </c>
      <c r="AD89" s="534"/>
      <c r="AE89" s="182">
        <v>14</v>
      </c>
      <c r="AF89" s="182">
        <v>1968.5106382978724</v>
      </c>
      <c r="AG89" s="182">
        <v>140.60790273556231</v>
      </c>
      <c r="AH89" s="404">
        <f t="shared" si="60"/>
        <v>10</v>
      </c>
      <c r="AI89" s="534"/>
      <c r="AJ89" s="182">
        <v>14</v>
      </c>
      <c r="AK89" s="182">
        <v>2030.399999999999</v>
      </c>
      <c r="AL89" s="182">
        <v>145.02857142857135</v>
      </c>
      <c r="AM89" s="404">
        <f t="shared" si="62"/>
        <v>10</v>
      </c>
      <c r="AN89" s="534"/>
      <c r="AO89" s="182">
        <v>14</v>
      </c>
      <c r="AP89" s="182">
        <v>2024.7457627118645</v>
      </c>
      <c r="AQ89" s="182">
        <v>144.62469733656175</v>
      </c>
      <c r="AR89" s="404">
        <f t="shared" si="64"/>
        <v>10</v>
      </c>
      <c r="AS89" s="534"/>
      <c r="AT89" s="182">
        <v>14</v>
      </c>
      <c r="AU89" s="182">
        <v>2001.2307692307691</v>
      </c>
      <c r="AV89" s="182">
        <v>142.94505494505492</v>
      </c>
      <c r="AW89" s="404">
        <f t="shared" si="66"/>
        <v>10</v>
      </c>
      <c r="AX89" s="534"/>
    </row>
    <row r="90" spans="2:50">
      <c r="B90" s="533"/>
      <c r="C90" s="404">
        <v>4</v>
      </c>
      <c r="D90" s="226" t="s">
        <v>405</v>
      </c>
      <c r="E90" s="182">
        <v>13</v>
      </c>
      <c r="F90" s="404">
        <v>2118</v>
      </c>
      <c r="G90" s="405">
        <v>162.9</v>
      </c>
      <c r="H90" s="598"/>
      <c r="I90" s="408">
        <f t="shared" si="68"/>
        <v>13</v>
      </c>
      <c r="J90" s="408">
        <f t="shared" si="68"/>
        <v>1991.5345209194056</v>
      </c>
      <c r="K90" s="406">
        <f t="shared" si="68"/>
        <v>153.19496314764658</v>
      </c>
      <c r="L90" s="588"/>
      <c r="M90" s="407">
        <f>RANK(K90, K$87:$K$101)</f>
        <v>9</v>
      </c>
      <c r="N90" s="544"/>
      <c r="O90" s="544"/>
      <c r="P90" s="182">
        <v>13</v>
      </c>
      <c r="Q90" s="182">
        <v>2025.8333333333328</v>
      </c>
      <c r="R90" s="182">
        <v>155.83333333333329</v>
      </c>
      <c r="S90" s="404">
        <f t="shared" si="69"/>
        <v>9</v>
      </c>
      <c r="T90" s="534"/>
      <c r="U90" s="182">
        <v>13</v>
      </c>
      <c r="V90" s="182">
        <v>1987.5000000000009</v>
      </c>
      <c r="W90" s="182">
        <v>152.88461538461544</v>
      </c>
      <c r="X90" s="404">
        <f t="shared" si="56"/>
        <v>9</v>
      </c>
      <c r="Y90" s="534"/>
      <c r="Z90" s="182">
        <v>13</v>
      </c>
      <c r="AA90" s="182">
        <v>1992.4999999999993</v>
      </c>
      <c r="AB90" s="182">
        <v>153.26923076923072</v>
      </c>
      <c r="AC90" s="404">
        <f t="shared" si="58"/>
        <v>9</v>
      </c>
      <c r="AD90" s="534"/>
      <c r="AE90" s="182">
        <v>13</v>
      </c>
      <c r="AF90" s="182">
        <v>2002.7586206896553</v>
      </c>
      <c r="AG90" s="182">
        <v>154.0583554376658</v>
      </c>
      <c r="AH90" s="404">
        <f t="shared" si="60"/>
        <v>9</v>
      </c>
      <c r="AI90" s="534"/>
      <c r="AJ90" s="182">
        <v>13</v>
      </c>
      <c r="AK90" s="182">
        <v>1973.6363636363644</v>
      </c>
      <c r="AL90" s="182">
        <v>151.81818181818187</v>
      </c>
      <c r="AM90" s="404">
        <f t="shared" si="62"/>
        <v>9</v>
      </c>
      <c r="AN90" s="534"/>
      <c r="AO90" s="182">
        <v>13</v>
      </c>
      <c r="AP90" s="182">
        <v>1985.5263157894733</v>
      </c>
      <c r="AQ90" s="182">
        <v>152.73279352226717</v>
      </c>
      <c r="AR90" s="404">
        <f t="shared" si="64"/>
        <v>9</v>
      </c>
      <c r="AS90" s="534"/>
      <c r="AT90" s="182">
        <v>13</v>
      </c>
      <c r="AU90" s="182">
        <v>1972.9870129870139</v>
      </c>
      <c r="AV90" s="182">
        <v>151.76823176823183</v>
      </c>
      <c r="AW90" s="404">
        <f t="shared" si="66"/>
        <v>9</v>
      </c>
      <c r="AX90" s="534"/>
    </row>
    <row r="91" spans="2:50">
      <c r="B91" s="533"/>
      <c r="C91" s="404">
        <v>5</v>
      </c>
      <c r="D91" s="226" t="s">
        <v>406</v>
      </c>
      <c r="E91" s="182">
        <v>11</v>
      </c>
      <c r="F91" s="404">
        <v>2250</v>
      </c>
      <c r="G91" s="405">
        <v>204.5</v>
      </c>
      <c r="H91" s="598"/>
      <c r="I91" s="408">
        <f t="shared" si="68"/>
        <v>11</v>
      </c>
      <c r="J91" s="408">
        <f t="shared" si="68"/>
        <v>2210.2021084794696</v>
      </c>
      <c r="K91" s="406">
        <f t="shared" si="68"/>
        <v>200.92746440722453</v>
      </c>
      <c r="L91" s="588"/>
      <c r="M91" s="407">
        <f>RANK(K91, K$87:$K$101)</f>
        <v>6</v>
      </c>
      <c r="N91" s="544"/>
      <c r="O91" s="544"/>
      <c r="P91" s="182">
        <v>11</v>
      </c>
      <c r="Q91" s="182">
        <v>2183.478260869565</v>
      </c>
      <c r="R91" s="182">
        <v>198.498023715415</v>
      </c>
      <c r="S91" s="404">
        <f t="shared" si="69"/>
        <v>6</v>
      </c>
      <c r="T91" s="534"/>
      <c r="U91" s="182">
        <v>11</v>
      </c>
      <c r="V91" s="182">
        <v>2217.0000000000005</v>
      </c>
      <c r="W91" s="182">
        <v>201.54545454545459</v>
      </c>
      <c r="X91" s="404">
        <f t="shared" si="56"/>
        <v>6</v>
      </c>
      <c r="Y91" s="534"/>
      <c r="Z91" s="182">
        <v>11</v>
      </c>
      <c r="AA91" s="182">
        <v>2249.5652173913045</v>
      </c>
      <c r="AB91" s="182">
        <v>204.50592885375497</v>
      </c>
      <c r="AC91" s="404">
        <f t="shared" si="58"/>
        <v>6</v>
      </c>
      <c r="AD91" s="534"/>
      <c r="AE91" s="182">
        <v>11</v>
      </c>
      <c r="AF91" s="182">
        <v>2191.0344827586209</v>
      </c>
      <c r="AG91" s="182">
        <v>199.18495297805646</v>
      </c>
      <c r="AH91" s="404">
        <f t="shared" si="60"/>
        <v>6</v>
      </c>
      <c r="AI91" s="534"/>
      <c r="AJ91" s="182">
        <v>11</v>
      </c>
      <c r="AK91" s="182">
        <v>2162.76923076923</v>
      </c>
      <c r="AL91" s="182">
        <v>196.61538461538456</v>
      </c>
      <c r="AM91" s="404">
        <f t="shared" si="62"/>
        <v>6</v>
      </c>
      <c r="AN91" s="534"/>
      <c r="AO91" s="182">
        <v>11</v>
      </c>
      <c r="AP91" s="182">
        <v>2248.3783783783783</v>
      </c>
      <c r="AQ91" s="182">
        <v>204.39803439803438</v>
      </c>
      <c r="AR91" s="404">
        <f t="shared" si="64"/>
        <v>6</v>
      </c>
      <c r="AS91" s="534"/>
      <c r="AT91" s="182">
        <v>11</v>
      </c>
      <c r="AU91" s="182">
        <v>2219.1891891891887</v>
      </c>
      <c r="AV91" s="182">
        <v>201.7444717444717</v>
      </c>
      <c r="AW91" s="404">
        <f t="shared" si="66"/>
        <v>6</v>
      </c>
      <c r="AX91" s="534"/>
    </row>
    <row r="92" spans="2:50">
      <c r="B92" s="533"/>
      <c r="C92" s="404">
        <v>6</v>
      </c>
      <c r="D92" s="226" t="s">
        <v>407</v>
      </c>
      <c r="E92" s="182">
        <v>12</v>
      </c>
      <c r="F92" s="404">
        <v>2250</v>
      </c>
      <c r="G92" s="405">
        <v>187.5</v>
      </c>
      <c r="H92" s="598"/>
      <c r="I92" s="408">
        <f t="shared" si="68"/>
        <v>12</v>
      </c>
      <c r="J92" s="408">
        <f t="shared" si="68"/>
        <v>2189.6042353983066</v>
      </c>
      <c r="K92" s="406">
        <f t="shared" si="68"/>
        <v>182.46701961652553</v>
      </c>
      <c r="L92" s="588"/>
      <c r="M92" s="407">
        <f>RANK(K92, K$87:$K$101)</f>
        <v>7</v>
      </c>
      <c r="N92" s="544"/>
      <c r="O92" s="544"/>
      <c r="P92" s="182">
        <v>12</v>
      </c>
      <c r="Q92" s="182">
        <v>2203.7647058823527</v>
      </c>
      <c r="R92" s="182">
        <v>183.64705882352939</v>
      </c>
      <c r="S92" s="404">
        <f t="shared" si="69"/>
        <v>7</v>
      </c>
      <c r="T92" s="534"/>
      <c r="U92" s="182">
        <v>12</v>
      </c>
      <c r="V92" s="182">
        <v>2184.7999999999997</v>
      </c>
      <c r="W92" s="182">
        <v>182.06666666666663</v>
      </c>
      <c r="X92" s="404">
        <f t="shared" si="56"/>
        <v>7</v>
      </c>
      <c r="Y92" s="534"/>
      <c r="Z92" s="182">
        <v>12</v>
      </c>
      <c r="AA92" s="182">
        <v>2202.2222222222213</v>
      </c>
      <c r="AB92" s="182">
        <v>183.51851851851845</v>
      </c>
      <c r="AC92" s="404">
        <f t="shared" si="58"/>
        <v>7</v>
      </c>
      <c r="AD92" s="534"/>
      <c r="AE92" s="182">
        <v>12</v>
      </c>
      <c r="AF92" s="182">
        <v>2203.9436619718304</v>
      </c>
      <c r="AG92" s="182">
        <v>183.66197183098586</v>
      </c>
      <c r="AH92" s="404">
        <f t="shared" si="60"/>
        <v>8</v>
      </c>
      <c r="AI92" s="534"/>
      <c r="AJ92" s="182">
        <v>12</v>
      </c>
      <c r="AK92" s="182">
        <v>2162.9268292682918</v>
      </c>
      <c r="AL92" s="182">
        <v>180.24390243902431</v>
      </c>
      <c r="AM92" s="404">
        <f t="shared" si="62"/>
        <v>8</v>
      </c>
      <c r="AN92" s="534"/>
      <c r="AO92" s="182">
        <v>12</v>
      </c>
      <c r="AP92" s="182">
        <v>2189.36170212766</v>
      </c>
      <c r="AQ92" s="182">
        <v>182.44680851063833</v>
      </c>
      <c r="AR92" s="404">
        <f t="shared" si="64"/>
        <v>8</v>
      </c>
      <c r="AS92" s="534"/>
      <c r="AT92" s="182">
        <v>12</v>
      </c>
      <c r="AU92" s="182">
        <v>2180.21052631579</v>
      </c>
      <c r="AV92" s="182">
        <v>181.68421052631584</v>
      </c>
      <c r="AW92" s="404">
        <f t="shared" si="66"/>
        <v>7</v>
      </c>
      <c r="AX92" s="534"/>
    </row>
    <row r="93" spans="2:50">
      <c r="B93" s="533"/>
      <c r="C93" s="404">
        <v>7</v>
      </c>
      <c r="D93" s="226" t="s">
        <v>408</v>
      </c>
      <c r="E93" s="182">
        <v>11</v>
      </c>
      <c r="F93" s="404">
        <v>2118</v>
      </c>
      <c r="G93" s="405">
        <v>192.5</v>
      </c>
      <c r="H93" s="598"/>
      <c r="I93" s="408">
        <f t="shared" si="68"/>
        <v>11.142857142857142</v>
      </c>
      <c r="J93" s="408">
        <f t="shared" si="68"/>
        <v>1997.1451350208729</v>
      </c>
      <c r="K93" s="406">
        <f t="shared" si="68"/>
        <v>179.42216012677267</v>
      </c>
      <c r="L93" s="588"/>
      <c r="M93" s="407">
        <f>RANK(K93, K$87:$K$101)</f>
        <v>8</v>
      </c>
      <c r="N93" s="544"/>
      <c r="O93" s="544"/>
      <c r="P93" s="182">
        <v>12</v>
      </c>
      <c r="Q93" s="182">
        <v>1974.1153846153859</v>
      </c>
      <c r="R93" s="182">
        <v>164.5096153846155</v>
      </c>
      <c r="S93" s="404">
        <f t="shared" si="69"/>
        <v>8</v>
      </c>
      <c r="T93" s="534"/>
      <c r="U93" s="182">
        <v>11</v>
      </c>
      <c r="V93" s="182">
        <v>1948.4999999999993</v>
      </c>
      <c r="W93" s="182">
        <v>177.13636363636357</v>
      </c>
      <c r="X93" s="404">
        <f t="shared" si="56"/>
        <v>8</v>
      </c>
      <c r="Y93" s="534"/>
      <c r="Z93" s="182">
        <v>11</v>
      </c>
      <c r="AA93" s="182">
        <v>1960.352112676057</v>
      </c>
      <c r="AB93" s="182">
        <v>178.2138284250961</v>
      </c>
      <c r="AC93" s="404">
        <f t="shared" si="58"/>
        <v>8</v>
      </c>
      <c r="AD93" s="534"/>
      <c r="AE93" s="182">
        <v>11</v>
      </c>
      <c r="AF93" s="182">
        <v>2037.5492957746483</v>
      </c>
      <c r="AG93" s="182">
        <v>185.23175416133165</v>
      </c>
      <c r="AH93" s="404">
        <f t="shared" si="60"/>
        <v>7</v>
      </c>
      <c r="AI93" s="534"/>
      <c r="AJ93" s="182">
        <v>11</v>
      </c>
      <c r="AK93" s="182">
        <v>2033.457831325301</v>
      </c>
      <c r="AL93" s="182">
        <v>184.85980284775462</v>
      </c>
      <c r="AM93" s="404">
        <f t="shared" si="62"/>
        <v>7</v>
      </c>
      <c r="AN93" s="534"/>
      <c r="AO93" s="182">
        <v>11</v>
      </c>
      <c r="AP93" s="182">
        <v>2028.3113207547167</v>
      </c>
      <c r="AQ93" s="182">
        <v>184.39193825042878</v>
      </c>
      <c r="AR93" s="404">
        <f t="shared" si="64"/>
        <v>7</v>
      </c>
      <c r="AS93" s="534"/>
      <c r="AT93" s="182">
        <v>11</v>
      </c>
      <c r="AU93" s="182">
        <v>1997.7300000000007</v>
      </c>
      <c r="AV93" s="182">
        <v>181.61181818181825</v>
      </c>
      <c r="AW93" s="404">
        <f t="shared" si="66"/>
        <v>8</v>
      </c>
      <c r="AX93" s="534"/>
    </row>
    <row r="94" spans="2:50">
      <c r="B94" s="533"/>
      <c r="C94" s="404">
        <v>8</v>
      </c>
      <c r="D94" s="226" t="s">
        <v>402</v>
      </c>
      <c r="E94" s="182">
        <v>18</v>
      </c>
      <c r="F94" s="404">
        <v>1250</v>
      </c>
      <c r="G94" s="405">
        <v>69.444444444444443</v>
      </c>
      <c r="H94" s="598"/>
      <c r="I94" s="408">
        <f t="shared" si="68"/>
        <v>13.142857142857142</v>
      </c>
      <c r="J94" s="408">
        <f t="shared" si="68"/>
        <v>1259.2884711779454</v>
      </c>
      <c r="K94" s="406">
        <f t="shared" si="68"/>
        <v>95.903624445729747</v>
      </c>
      <c r="L94" s="588"/>
      <c r="M94" s="407">
        <f>RANK(K94, K$87:$K$101)</f>
        <v>11</v>
      </c>
      <c r="N94" s="544"/>
      <c r="O94" s="544"/>
      <c r="P94" s="182">
        <v>13</v>
      </c>
      <c r="Q94" s="182">
        <v>1264.8000000000004</v>
      </c>
      <c r="R94" s="182">
        <v>97.29230769230773</v>
      </c>
      <c r="S94" s="404">
        <f t="shared" si="69"/>
        <v>11</v>
      </c>
      <c r="T94" s="534"/>
      <c r="U94" s="182">
        <v>13</v>
      </c>
      <c r="V94" s="182">
        <v>1275.0000000000007</v>
      </c>
      <c r="W94" s="182">
        <v>98.076923076923123</v>
      </c>
      <c r="X94" s="404">
        <f t="shared" si="56"/>
        <v>11</v>
      </c>
      <c r="Y94" s="534"/>
      <c r="Z94" s="182">
        <v>13</v>
      </c>
      <c r="AA94" s="182">
        <v>1280.0000000000005</v>
      </c>
      <c r="AB94" s="182">
        <v>98.461538461538495</v>
      </c>
      <c r="AC94" s="404">
        <f t="shared" si="58"/>
        <v>11</v>
      </c>
      <c r="AD94" s="534"/>
      <c r="AE94" s="182">
        <v>13</v>
      </c>
      <c r="AF94" s="182">
        <v>1225.5000000000007</v>
      </c>
      <c r="AG94" s="182">
        <v>94.269230769230816</v>
      </c>
      <c r="AH94" s="404">
        <f t="shared" si="60"/>
        <v>11</v>
      </c>
      <c r="AI94" s="534"/>
      <c r="AJ94" s="182">
        <v>13</v>
      </c>
      <c r="AK94" s="182">
        <v>1266.0000000000007</v>
      </c>
      <c r="AL94" s="182">
        <v>97.384615384615444</v>
      </c>
      <c r="AM94" s="404">
        <f t="shared" si="62"/>
        <v>11</v>
      </c>
      <c r="AN94" s="534"/>
      <c r="AO94" s="182">
        <v>14</v>
      </c>
      <c r="AP94" s="182">
        <v>1229.0526315789475</v>
      </c>
      <c r="AQ94" s="182">
        <v>87.789473684210535</v>
      </c>
      <c r="AR94" s="404">
        <f t="shared" si="64"/>
        <v>11</v>
      </c>
      <c r="AS94" s="534"/>
      <c r="AT94" s="182">
        <v>13</v>
      </c>
      <c r="AU94" s="182">
        <v>1274.6666666666665</v>
      </c>
      <c r="AV94" s="182">
        <v>98.051282051282044</v>
      </c>
      <c r="AW94" s="404">
        <f t="shared" si="66"/>
        <v>11</v>
      </c>
      <c r="AX94" s="534"/>
    </row>
    <row r="95" spans="2:50">
      <c r="B95" s="533"/>
      <c r="C95" s="404">
        <v>9</v>
      </c>
      <c r="D95" s="226" t="s">
        <v>619</v>
      </c>
      <c r="E95" s="182">
        <v>6</v>
      </c>
      <c r="F95" s="404">
        <v>2000</v>
      </c>
      <c r="G95" s="405">
        <v>333.33333333333331</v>
      </c>
      <c r="H95" s="598"/>
      <c r="I95" s="408">
        <f t="shared" si="68"/>
        <v>6</v>
      </c>
      <c r="J95" s="408">
        <f t="shared" si="68"/>
        <v>1708.9430936415863</v>
      </c>
      <c r="K95" s="406">
        <f t="shared" si="68"/>
        <v>284.82384894026438</v>
      </c>
      <c r="L95" s="588"/>
      <c r="M95" s="407">
        <f>RANK(K95, K$87:$K$101)</f>
        <v>4</v>
      </c>
      <c r="N95" s="544"/>
      <c r="O95" s="544"/>
      <c r="P95" s="182">
        <v>6</v>
      </c>
      <c r="Q95" s="182">
        <v>1711.5789473684199</v>
      </c>
      <c r="R95" s="182">
        <v>285.26315789473665</v>
      </c>
      <c r="S95" s="404">
        <f t="shared" si="69"/>
        <v>4</v>
      </c>
      <c r="T95" s="534"/>
      <c r="U95" s="182">
        <v>6</v>
      </c>
      <c r="V95" s="182">
        <v>1711.6666666666652</v>
      </c>
      <c r="W95" s="182">
        <v>285.27777777777754</v>
      </c>
      <c r="X95" s="404">
        <f t="shared" si="56"/>
        <v>4</v>
      </c>
      <c r="Y95" s="534"/>
      <c r="Z95" s="182">
        <v>6</v>
      </c>
      <c r="AA95" s="182">
        <v>1677.2093023255811</v>
      </c>
      <c r="AB95" s="182">
        <v>279.53488372093017</v>
      </c>
      <c r="AC95" s="404">
        <f t="shared" si="58"/>
        <v>4</v>
      </c>
      <c r="AD95" s="534"/>
      <c r="AE95" s="182">
        <v>6</v>
      </c>
      <c r="AF95" s="182">
        <v>1690.0000000000005</v>
      </c>
      <c r="AG95" s="182">
        <v>281.66666666666674</v>
      </c>
      <c r="AH95" s="404">
        <f t="shared" si="60"/>
        <v>4</v>
      </c>
      <c r="AI95" s="534"/>
      <c r="AJ95" s="182">
        <v>6</v>
      </c>
      <c r="AK95" s="182">
        <v>1740.0000000000018</v>
      </c>
      <c r="AL95" s="182">
        <v>290.00000000000028</v>
      </c>
      <c r="AM95" s="404">
        <f t="shared" si="62"/>
        <v>4</v>
      </c>
      <c r="AN95" s="534"/>
      <c r="AO95" s="182">
        <v>6</v>
      </c>
      <c r="AP95" s="182">
        <v>1715.6250000000018</v>
      </c>
      <c r="AQ95" s="182">
        <v>285.93750000000028</v>
      </c>
      <c r="AR95" s="404">
        <f t="shared" si="64"/>
        <v>4</v>
      </c>
      <c r="AS95" s="534"/>
      <c r="AT95" s="182">
        <v>6</v>
      </c>
      <c r="AU95" s="182">
        <v>1716.5217391304348</v>
      </c>
      <c r="AV95" s="182">
        <v>286.08695652173913</v>
      </c>
      <c r="AW95" s="404">
        <f t="shared" si="66"/>
        <v>4</v>
      </c>
      <c r="AX95" s="534"/>
    </row>
    <row r="96" spans="2:50">
      <c r="B96" s="533"/>
      <c r="C96" s="404">
        <v>10</v>
      </c>
      <c r="D96" s="226" t="s">
        <v>641</v>
      </c>
      <c r="E96" s="182">
        <v>4</v>
      </c>
      <c r="F96" s="404">
        <v>2000</v>
      </c>
      <c r="G96" s="405">
        <v>500</v>
      </c>
      <c r="H96" s="598"/>
      <c r="I96" s="408">
        <f t="shared" si="68"/>
        <v>4.7142857142857144</v>
      </c>
      <c r="J96" s="408">
        <f t="shared" si="68"/>
        <v>1989.8954008397582</v>
      </c>
      <c r="K96" s="406">
        <f t="shared" si="68"/>
        <v>428.30159099046261</v>
      </c>
      <c r="L96" s="588"/>
      <c r="M96" s="407">
        <f>RANK(K96, K$87:$K$101)</f>
        <v>3</v>
      </c>
      <c r="N96" s="544"/>
      <c r="O96" s="544"/>
      <c r="P96" s="182">
        <v>4</v>
      </c>
      <c r="Q96" s="182">
        <v>2121.8181818181893</v>
      </c>
      <c r="R96" s="182">
        <v>530.45454545454731</v>
      </c>
      <c r="S96" s="404">
        <f t="shared" si="69"/>
        <v>3</v>
      </c>
      <c r="T96" s="534"/>
      <c r="U96" s="182">
        <v>4</v>
      </c>
      <c r="V96" s="182">
        <v>2123.3333333333408</v>
      </c>
      <c r="W96" s="182">
        <v>530.83333333333519</v>
      </c>
      <c r="X96" s="404">
        <f t="shared" si="56"/>
        <v>3</v>
      </c>
      <c r="Y96" s="534"/>
      <c r="Z96" s="182">
        <v>5</v>
      </c>
      <c r="AA96" s="182">
        <v>1857.5999999999947</v>
      </c>
      <c r="AB96" s="182">
        <v>371.51999999999896</v>
      </c>
      <c r="AC96" s="404">
        <f t="shared" si="58"/>
        <v>3</v>
      </c>
      <c r="AD96" s="534"/>
      <c r="AE96" s="182">
        <v>5</v>
      </c>
      <c r="AF96" s="182">
        <v>1844.210526315796</v>
      </c>
      <c r="AG96" s="182">
        <v>368.84210526315917</v>
      </c>
      <c r="AH96" s="404">
        <f t="shared" si="60"/>
        <v>3</v>
      </c>
      <c r="AI96" s="534"/>
      <c r="AJ96" s="182">
        <v>5</v>
      </c>
      <c r="AK96" s="182">
        <v>1904.2105263157644</v>
      </c>
      <c r="AL96" s="182">
        <v>380.84210526315286</v>
      </c>
      <c r="AM96" s="404">
        <f t="shared" si="62"/>
        <v>3</v>
      </c>
      <c r="AN96" s="534"/>
      <c r="AO96" s="182">
        <v>5</v>
      </c>
      <c r="AP96" s="182">
        <v>2106.6666666666742</v>
      </c>
      <c r="AQ96" s="182">
        <v>421.33333333333485</v>
      </c>
      <c r="AR96" s="404">
        <f t="shared" si="64"/>
        <v>3</v>
      </c>
      <c r="AS96" s="534"/>
      <c r="AT96" s="182">
        <v>5</v>
      </c>
      <c r="AU96" s="182">
        <v>1971.4285714285481</v>
      </c>
      <c r="AV96" s="182">
        <v>394.28571428570962</v>
      </c>
      <c r="AW96" s="404">
        <f t="shared" si="66"/>
        <v>3</v>
      </c>
      <c r="AX96" s="534"/>
    </row>
    <row r="97" spans="2:50">
      <c r="B97" s="533"/>
      <c r="C97" s="404">
        <v>11</v>
      </c>
      <c r="D97" s="226" t="s">
        <v>667</v>
      </c>
      <c r="E97" s="182">
        <v>11</v>
      </c>
      <c r="F97" s="404">
        <v>2250</v>
      </c>
      <c r="G97" s="405">
        <v>192.5</v>
      </c>
      <c r="H97" s="598"/>
      <c r="I97" s="408">
        <f t="shared" si="68"/>
        <v>9</v>
      </c>
      <c r="J97" s="408">
        <f t="shared" si="68"/>
        <v>2220.4452292802953</v>
      </c>
      <c r="K97" s="406">
        <f t="shared" si="68"/>
        <v>246.71613658669952</v>
      </c>
      <c r="L97" s="588"/>
      <c r="M97" s="407">
        <f>RANK(K97, K$87:$K$101)</f>
        <v>5</v>
      </c>
      <c r="N97" s="544"/>
      <c r="O97" s="544"/>
      <c r="P97" s="182">
        <v>9</v>
      </c>
      <c r="Q97" s="182">
        <v>2231.2987012987019</v>
      </c>
      <c r="R97" s="182">
        <v>247.92207792207799</v>
      </c>
      <c r="S97" s="404">
        <f t="shared" si="69"/>
        <v>5</v>
      </c>
      <c r="T97" s="534"/>
      <c r="U97" s="182">
        <v>9</v>
      </c>
      <c r="V97" s="182">
        <v>2233.2631578947371</v>
      </c>
      <c r="W97" s="182">
        <v>248.14035087719301</v>
      </c>
      <c r="X97" s="404">
        <f t="shared" si="56"/>
        <v>5</v>
      </c>
      <c r="Y97" s="534"/>
      <c r="Z97" s="182">
        <v>9</v>
      </c>
      <c r="AA97" s="182">
        <v>2214.9056603773579</v>
      </c>
      <c r="AB97" s="182">
        <v>246.10062893081755</v>
      </c>
      <c r="AC97" s="404">
        <f t="shared" si="58"/>
        <v>5</v>
      </c>
      <c r="AD97" s="534"/>
      <c r="AE97" s="182">
        <v>9</v>
      </c>
      <c r="AF97" s="182">
        <v>2204.2990654205605</v>
      </c>
      <c r="AG97" s="182">
        <v>244.92211838006227</v>
      </c>
      <c r="AH97" s="404">
        <f t="shared" si="60"/>
        <v>5</v>
      </c>
      <c r="AI97" s="534"/>
      <c r="AJ97" s="182">
        <v>9</v>
      </c>
      <c r="AK97" s="182">
        <v>2191.8918918918921</v>
      </c>
      <c r="AL97" s="182">
        <v>243.54354354354356</v>
      </c>
      <c r="AM97" s="404">
        <f t="shared" si="62"/>
        <v>5</v>
      </c>
      <c r="AN97" s="534"/>
      <c r="AO97" s="182">
        <v>9</v>
      </c>
      <c r="AP97" s="182">
        <v>2243.1724137931028</v>
      </c>
      <c r="AQ97" s="182">
        <v>249.24137931034477</v>
      </c>
      <c r="AR97" s="404">
        <f t="shared" si="64"/>
        <v>5</v>
      </c>
      <c r="AS97" s="534"/>
      <c r="AT97" s="182">
        <v>9</v>
      </c>
      <c r="AU97" s="182">
        <v>2224.2857142857151</v>
      </c>
      <c r="AV97" s="182">
        <v>247.14285714285722</v>
      </c>
      <c r="AW97" s="404">
        <f t="shared" si="66"/>
        <v>5</v>
      </c>
      <c r="AX97" s="534"/>
    </row>
    <row r="98" spans="2:50">
      <c r="B98" s="533"/>
      <c r="C98" s="404">
        <v>12</v>
      </c>
      <c r="D98" s="226"/>
      <c r="E98" s="182"/>
      <c r="F98" s="404"/>
      <c r="G98" s="405"/>
      <c r="H98" s="598"/>
      <c r="I98" s="202"/>
      <c r="J98" s="202"/>
      <c r="K98" s="202"/>
      <c r="L98" s="588"/>
      <c r="M98" s="407" t="e">
        <f>RANK(K98, K$87:$K$101)</f>
        <v>#N/A</v>
      </c>
      <c r="N98" s="544"/>
      <c r="O98" s="544"/>
      <c r="P98" s="182"/>
      <c r="Q98" s="182"/>
      <c r="R98" s="182"/>
      <c r="S98" s="404" t="e">
        <f t="shared" si="69"/>
        <v>#N/A</v>
      </c>
      <c r="T98" s="534"/>
      <c r="U98" s="182"/>
      <c r="V98" s="182"/>
      <c r="W98" s="182"/>
      <c r="X98" s="404" t="e">
        <f t="shared" si="56"/>
        <v>#N/A</v>
      </c>
      <c r="Y98" s="534"/>
      <c r="Z98" s="182"/>
      <c r="AA98" s="182"/>
      <c r="AB98" s="182"/>
      <c r="AC98" s="404" t="e">
        <f t="shared" si="58"/>
        <v>#N/A</v>
      </c>
      <c r="AD98" s="534"/>
      <c r="AE98" s="182"/>
      <c r="AF98" s="182"/>
      <c r="AG98" s="182"/>
      <c r="AH98" s="404" t="e">
        <f t="shared" si="60"/>
        <v>#N/A</v>
      </c>
      <c r="AI98" s="534"/>
      <c r="AJ98" s="182"/>
      <c r="AK98" s="182"/>
      <c r="AL98" s="182"/>
      <c r="AM98" s="404" t="e">
        <f t="shared" si="62"/>
        <v>#N/A</v>
      </c>
      <c r="AN98" s="534"/>
      <c r="AO98" s="182"/>
      <c r="AP98" s="182"/>
      <c r="AQ98" s="182"/>
      <c r="AR98" s="404" t="e">
        <f t="shared" si="64"/>
        <v>#N/A</v>
      </c>
      <c r="AS98" s="534"/>
      <c r="AT98" s="182"/>
      <c r="AU98" s="182"/>
      <c r="AV98" s="182"/>
      <c r="AW98" s="404" t="e">
        <f t="shared" si="66"/>
        <v>#N/A</v>
      </c>
      <c r="AX98" s="534"/>
    </row>
    <row r="99" spans="2:50">
      <c r="B99" s="533"/>
      <c r="C99" s="404">
        <v>13</v>
      </c>
      <c r="D99" s="226"/>
      <c r="E99" s="182"/>
      <c r="F99" s="404"/>
      <c r="G99" s="405"/>
      <c r="H99" s="598"/>
      <c r="I99" s="202"/>
      <c r="J99" s="202"/>
      <c r="K99" s="202"/>
      <c r="L99" s="588"/>
      <c r="M99" s="407" t="e">
        <f>RANK(K99, K$87:$K$101)</f>
        <v>#N/A</v>
      </c>
      <c r="N99" s="544"/>
      <c r="O99" s="544"/>
      <c r="P99" s="182"/>
      <c r="Q99" s="182"/>
      <c r="R99" s="182"/>
      <c r="S99" s="404" t="e">
        <f t="shared" si="69"/>
        <v>#N/A</v>
      </c>
      <c r="T99" s="534"/>
      <c r="U99" s="182"/>
      <c r="V99" s="182"/>
      <c r="W99" s="182"/>
      <c r="X99" s="404" t="e">
        <f t="shared" si="56"/>
        <v>#N/A</v>
      </c>
      <c r="Y99" s="534"/>
      <c r="Z99" s="182"/>
      <c r="AA99" s="182"/>
      <c r="AB99" s="182"/>
      <c r="AC99" s="404" t="e">
        <f t="shared" si="58"/>
        <v>#N/A</v>
      </c>
      <c r="AD99" s="534"/>
      <c r="AE99" s="182"/>
      <c r="AF99" s="182"/>
      <c r="AG99" s="182"/>
      <c r="AH99" s="404" t="e">
        <f t="shared" si="60"/>
        <v>#N/A</v>
      </c>
      <c r="AI99" s="534"/>
      <c r="AJ99" s="182"/>
      <c r="AK99" s="182"/>
      <c r="AL99" s="182"/>
      <c r="AM99" s="404" t="e">
        <f t="shared" si="62"/>
        <v>#N/A</v>
      </c>
      <c r="AN99" s="534"/>
      <c r="AO99" s="182"/>
      <c r="AP99" s="182"/>
      <c r="AQ99" s="182"/>
      <c r="AR99" s="404" t="e">
        <f t="shared" si="64"/>
        <v>#N/A</v>
      </c>
      <c r="AS99" s="534"/>
      <c r="AT99" s="182"/>
      <c r="AU99" s="182"/>
      <c r="AV99" s="182"/>
      <c r="AW99" s="404" t="e">
        <f t="shared" si="66"/>
        <v>#N/A</v>
      </c>
      <c r="AX99" s="534"/>
    </row>
    <row r="100" spans="2:50">
      <c r="B100" s="533"/>
      <c r="C100" s="404">
        <v>14</v>
      </c>
      <c r="D100" s="226"/>
      <c r="E100" s="182"/>
      <c r="F100" s="404"/>
      <c r="G100" s="405"/>
      <c r="H100" s="598"/>
      <c r="I100" s="202"/>
      <c r="J100" s="202"/>
      <c r="K100" s="202"/>
      <c r="L100" s="588"/>
      <c r="M100" s="407" t="e">
        <f>RANK(K100, K$87:$K$101)</f>
        <v>#N/A</v>
      </c>
      <c r="N100" s="544"/>
      <c r="O100" s="544"/>
      <c r="P100" s="182"/>
      <c r="Q100" s="182"/>
      <c r="R100" s="182"/>
      <c r="S100" s="404" t="e">
        <f t="shared" si="69"/>
        <v>#N/A</v>
      </c>
      <c r="T100" s="534"/>
      <c r="U100" s="182"/>
      <c r="V100" s="182"/>
      <c r="W100" s="182"/>
      <c r="X100" s="404" t="e">
        <f t="shared" si="56"/>
        <v>#N/A</v>
      </c>
      <c r="Y100" s="534"/>
      <c r="Z100" s="182"/>
      <c r="AA100" s="182"/>
      <c r="AB100" s="182"/>
      <c r="AC100" s="404" t="e">
        <f t="shared" si="58"/>
        <v>#N/A</v>
      </c>
      <c r="AD100" s="534"/>
      <c r="AE100" s="182"/>
      <c r="AF100" s="182"/>
      <c r="AG100" s="182"/>
      <c r="AH100" s="404" t="e">
        <f t="shared" si="60"/>
        <v>#N/A</v>
      </c>
      <c r="AI100" s="534"/>
      <c r="AJ100" s="182"/>
      <c r="AK100" s="182"/>
      <c r="AL100" s="182"/>
      <c r="AM100" s="404" t="e">
        <f t="shared" si="62"/>
        <v>#N/A</v>
      </c>
      <c r="AN100" s="534"/>
      <c r="AO100" s="182"/>
      <c r="AP100" s="182"/>
      <c r="AQ100" s="182"/>
      <c r="AR100" s="404" t="e">
        <f t="shared" si="64"/>
        <v>#N/A</v>
      </c>
      <c r="AS100" s="534"/>
      <c r="AT100" s="182"/>
      <c r="AU100" s="182"/>
      <c r="AV100" s="182"/>
      <c r="AW100" s="404" t="e">
        <f t="shared" si="66"/>
        <v>#N/A</v>
      </c>
      <c r="AX100" s="534"/>
    </row>
    <row r="101" spans="2:50">
      <c r="B101" s="533"/>
      <c r="C101" s="404">
        <v>15</v>
      </c>
      <c r="D101" s="226"/>
      <c r="E101" s="182"/>
      <c r="F101" s="404"/>
      <c r="G101" s="405"/>
      <c r="H101" s="599"/>
      <c r="I101" s="202"/>
      <c r="J101" s="202"/>
      <c r="K101" s="202"/>
      <c r="L101" s="589"/>
      <c r="M101" s="408" t="e">
        <f>RANK(K101, K$87:$K$101)</f>
        <v>#N/A</v>
      </c>
      <c r="N101" s="544"/>
      <c r="O101" s="544"/>
      <c r="P101" s="182"/>
      <c r="Q101" s="182"/>
      <c r="R101" s="182"/>
      <c r="S101" s="404" t="e">
        <f t="shared" si="69"/>
        <v>#N/A</v>
      </c>
      <c r="T101" s="534"/>
      <c r="U101" s="182"/>
      <c r="V101" s="182"/>
      <c r="W101" s="182"/>
      <c r="X101" s="404" t="e">
        <f t="shared" si="56"/>
        <v>#N/A</v>
      </c>
      <c r="Y101" s="534"/>
      <c r="Z101" s="182"/>
      <c r="AA101" s="182"/>
      <c r="AB101" s="182"/>
      <c r="AC101" s="404" t="e">
        <f t="shared" si="58"/>
        <v>#N/A</v>
      </c>
      <c r="AD101" s="534"/>
      <c r="AE101" s="182"/>
      <c r="AF101" s="182"/>
      <c r="AG101" s="182"/>
      <c r="AH101" s="404" t="e">
        <f t="shared" si="60"/>
        <v>#N/A</v>
      </c>
      <c r="AI101" s="534"/>
      <c r="AJ101" s="182"/>
      <c r="AK101" s="182"/>
      <c r="AL101" s="182"/>
      <c r="AM101" s="404" t="e">
        <f t="shared" si="62"/>
        <v>#N/A</v>
      </c>
      <c r="AN101" s="534"/>
      <c r="AO101" s="182"/>
      <c r="AP101" s="182"/>
      <c r="AQ101" s="182"/>
      <c r="AR101" s="404" t="e">
        <f t="shared" si="64"/>
        <v>#N/A</v>
      </c>
      <c r="AS101" s="534"/>
      <c r="AT101" s="182"/>
      <c r="AU101" s="182"/>
      <c r="AV101" s="182"/>
      <c r="AW101" s="404" t="e">
        <f t="shared" si="66"/>
        <v>#N/A</v>
      </c>
      <c r="AX101" s="534"/>
    </row>
    <row r="102" spans="2:50" ht="15.5">
      <c r="B102" s="555" t="s">
        <v>163</v>
      </c>
      <c r="C102" s="556"/>
      <c r="D102" s="556"/>
      <c r="E102" s="556"/>
      <c r="F102" s="556"/>
      <c r="G102" s="556"/>
      <c r="H102" s="557"/>
      <c r="I102" s="208"/>
      <c r="J102" s="208"/>
      <c r="K102" s="208"/>
      <c r="L102" s="208"/>
      <c r="M102" s="207"/>
      <c r="N102" s="559" t="s">
        <v>156</v>
      </c>
      <c r="O102" s="559" t="s">
        <v>105</v>
      </c>
      <c r="P102" s="554">
        <f>P82+7</f>
        <v>46386</v>
      </c>
      <c r="Q102" s="533"/>
      <c r="R102" s="533"/>
      <c r="S102" s="533"/>
      <c r="T102" s="533"/>
      <c r="U102" s="551">
        <f>P102+1</f>
        <v>46387</v>
      </c>
      <c r="V102" s="552"/>
      <c r="W102" s="552"/>
      <c r="X102" s="552"/>
      <c r="Y102" s="553"/>
      <c r="Z102" s="551">
        <f>U102+1</f>
        <v>46388</v>
      </c>
      <c r="AA102" s="552"/>
      <c r="AB102" s="552"/>
      <c r="AC102" s="552"/>
      <c r="AD102" s="553"/>
      <c r="AE102" s="551">
        <f>Z102+1</f>
        <v>46389</v>
      </c>
      <c r="AF102" s="552"/>
      <c r="AG102" s="552"/>
      <c r="AH102" s="552"/>
      <c r="AI102" s="553"/>
      <c r="AJ102" s="551">
        <f>AE102+1</f>
        <v>46390</v>
      </c>
      <c r="AK102" s="552"/>
      <c r="AL102" s="552"/>
      <c r="AM102" s="552"/>
      <c r="AN102" s="553"/>
      <c r="AO102" s="551">
        <f>AJ102+1</f>
        <v>46391</v>
      </c>
      <c r="AP102" s="552"/>
      <c r="AQ102" s="552"/>
      <c r="AR102" s="552"/>
      <c r="AS102" s="553"/>
      <c r="AT102" s="551">
        <f>AO102+1</f>
        <v>46392</v>
      </c>
      <c r="AU102" s="552"/>
      <c r="AV102" s="552"/>
      <c r="AW102" s="552"/>
      <c r="AX102" s="553"/>
    </row>
    <row r="103" spans="2:50" ht="15.5">
      <c r="B103" s="558"/>
      <c r="C103" s="558"/>
      <c r="D103" s="558"/>
      <c r="E103" s="558"/>
      <c r="F103" s="558"/>
      <c r="G103" s="558"/>
      <c r="H103" s="558"/>
      <c r="I103" s="205"/>
      <c r="J103" s="205"/>
      <c r="K103" s="205"/>
      <c r="L103" s="205"/>
      <c r="M103" s="206"/>
      <c r="N103" s="560"/>
      <c r="O103" s="560"/>
      <c r="P103" s="554" t="s">
        <v>158</v>
      </c>
      <c r="Q103" s="533"/>
      <c r="R103" s="533"/>
      <c r="S103" s="533"/>
      <c r="T103" s="533"/>
      <c r="U103" s="554" t="s">
        <v>114</v>
      </c>
      <c r="V103" s="533"/>
      <c r="W103" s="533"/>
      <c r="X103" s="533"/>
      <c r="Y103" s="533"/>
      <c r="Z103" s="554" t="s">
        <v>159</v>
      </c>
      <c r="AA103" s="533"/>
      <c r="AB103" s="533"/>
      <c r="AC103" s="533"/>
      <c r="AD103" s="533"/>
      <c r="AE103" s="554" t="s">
        <v>157</v>
      </c>
      <c r="AF103" s="533"/>
      <c r="AG103" s="533"/>
      <c r="AH103" s="533"/>
      <c r="AI103" s="533"/>
      <c r="AJ103" s="554" t="s">
        <v>160</v>
      </c>
      <c r="AK103" s="533"/>
      <c r="AL103" s="533"/>
      <c r="AM103" s="533"/>
      <c r="AN103" s="533"/>
      <c r="AO103" s="554" t="s">
        <v>115</v>
      </c>
      <c r="AP103" s="533"/>
      <c r="AQ103" s="533"/>
      <c r="AR103" s="533"/>
      <c r="AS103" s="533"/>
      <c r="AT103" s="554" t="s">
        <v>162</v>
      </c>
      <c r="AU103" s="533"/>
      <c r="AV103" s="533"/>
      <c r="AW103" s="533"/>
      <c r="AX103" s="533"/>
    </row>
    <row r="104" spans="2:50">
      <c r="B104" s="544" t="s">
        <v>886</v>
      </c>
      <c r="C104" s="544" t="s">
        <v>887</v>
      </c>
      <c r="D104" s="544"/>
      <c r="E104" s="544" t="s">
        <v>888</v>
      </c>
      <c r="F104" s="544"/>
      <c r="G104" s="544"/>
      <c r="H104" s="561" t="s">
        <v>889</v>
      </c>
      <c r="I104" s="544" t="s">
        <v>890</v>
      </c>
      <c r="J104" s="544"/>
      <c r="K104" s="544"/>
      <c r="L104" s="561" t="s">
        <v>889</v>
      </c>
      <c r="M104" s="559" t="s">
        <v>891</v>
      </c>
      <c r="N104" s="544"/>
      <c r="O104" s="544" t="s">
        <v>892</v>
      </c>
      <c r="P104" s="548" t="s">
        <v>893</v>
      </c>
      <c r="Q104" s="549"/>
      <c r="R104" s="549"/>
      <c r="S104" s="550"/>
      <c r="T104" s="544" t="s">
        <v>889</v>
      </c>
      <c r="U104" s="548" t="s">
        <v>893</v>
      </c>
      <c r="V104" s="549"/>
      <c r="W104" s="549"/>
      <c r="X104" s="550"/>
      <c r="Y104" s="544" t="s">
        <v>889</v>
      </c>
      <c r="Z104" s="548" t="s">
        <v>423</v>
      </c>
      <c r="AA104" s="549"/>
      <c r="AB104" s="549"/>
      <c r="AC104" s="550"/>
      <c r="AD104" s="544" t="s">
        <v>421</v>
      </c>
      <c r="AE104" s="548" t="s">
        <v>423</v>
      </c>
      <c r="AF104" s="549"/>
      <c r="AG104" s="549"/>
      <c r="AH104" s="550"/>
      <c r="AI104" s="544" t="s">
        <v>421</v>
      </c>
      <c r="AJ104" s="548" t="s">
        <v>423</v>
      </c>
      <c r="AK104" s="549"/>
      <c r="AL104" s="549"/>
      <c r="AM104" s="550"/>
      <c r="AN104" s="544" t="s">
        <v>421</v>
      </c>
      <c r="AO104" s="548" t="s">
        <v>423</v>
      </c>
      <c r="AP104" s="549"/>
      <c r="AQ104" s="549"/>
      <c r="AR104" s="550"/>
      <c r="AS104" s="544" t="s">
        <v>421</v>
      </c>
      <c r="AT104" s="548" t="s">
        <v>423</v>
      </c>
      <c r="AU104" s="549"/>
      <c r="AV104" s="549"/>
      <c r="AW104" s="550"/>
      <c r="AX104" s="544" t="s">
        <v>421</v>
      </c>
    </row>
    <row r="105" spans="2:50">
      <c r="B105" s="544"/>
      <c r="C105" s="544"/>
      <c r="D105" s="544"/>
      <c r="E105" s="544" t="s">
        <v>894</v>
      </c>
      <c r="F105" s="544"/>
      <c r="G105" s="544"/>
      <c r="H105" s="562"/>
      <c r="I105" s="544" t="s">
        <v>894</v>
      </c>
      <c r="J105" s="544"/>
      <c r="K105" s="544"/>
      <c r="L105" s="562"/>
      <c r="M105" s="564"/>
      <c r="N105" s="544"/>
      <c r="O105" s="544"/>
      <c r="P105" s="548" t="s">
        <v>895</v>
      </c>
      <c r="Q105" s="549"/>
      <c r="R105" s="549"/>
      <c r="S105" s="550"/>
      <c r="T105" s="544"/>
      <c r="U105" s="548" t="s">
        <v>895</v>
      </c>
      <c r="V105" s="549"/>
      <c r="W105" s="549"/>
      <c r="X105" s="550"/>
      <c r="Y105" s="544"/>
      <c r="Z105" s="548" t="s">
        <v>429</v>
      </c>
      <c r="AA105" s="549"/>
      <c r="AB105" s="549"/>
      <c r="AC105" s="550"/>
      <c r="AD105" s="544"/>
      <c r="AE105" s="548" t="s">
        <v>429</v>
      </c>
      <c r="AF105" s="549"/>
      <c r="AG105" s="549"/>
      <c r="AH105" s="550"/>
      <c r="AI105" s="544"/>
      <c r="AJ105" s="548" t="s">
        <v>429</v>
      </c>
      <c r="AK105" s="549"/>
      <c r="AL105" s="549"/>
      <c r="AM105" s="550"/>
      <c r="AN105" s="544"/>
      <c r="AO105" s="548" t="s">
        <v>429</v>
      </c>
      <c r="AP105" s="549"/>
      <c r="AQ105" s="549"/>
      <c r="AR105" s="550"/>
      <c r="AS105" s="544"/>
      <c r="AT105" s="548" t="s">
        <v>429</v>
      </c>
      <c r="AU105" s="549"/>
      <c r="AV105" s="549"/>
      <c r="AW105" s="550"/>
      <c r="AX105" s="544"/>
    </row>
    <row r="106" spans="2:50">
      <c r="B106" s="544"/>
      <c r="C106" s="544"/>
      <c r="D106" s="544"/>
      <c r="E106" s="426" t="s">
        <v>896</v>
      </c>
      <c r="F106" s="426" t="s">
        <v>897</v>
      </c>
      <c r="G106" s="426" t="s">
        <v>898</v>
      </c>
      <c r="H106" s="563"/>
      <c r="I106" s="426" t="s">
        <v>896</v>
      </c>
      <c r="J106" s="426" t="s">
        <v>897</v>
      </c>
      <c r="K106" s="426" t="s">
        <v>898</v>
      </c>
      <c r="L106" s="563"/>
      <c r="M106" s="560"/>
      <c r="N106" s="544"/>
      <c r="O106" s="544"/>
      <c r="P106" s="426" t="s">
        <v>896</v>
      </c>
      <c r="Q106" s="426" t="s">
        <v>897</v>
      </c>
      <c r="R106" s="426" t="s">
        <v>898</v>
      </c>
      <c r="S106" s="426" t="s">
        <v>891</v>
      </c>
      <c r="T106" s="544"/>
      <c r="U106" s="426" t="s">
        <v>896</v>
      </c>
      <c r="V106" s="426" t="s">
        <v>897</v>
      </c>
      <c r="W106" s="426" t="s">
        <v>898</v>
      </c>
      <c r="X106" s="426" t="s">
        <v>891</v>
      </c>
      <c r="Y106" s="544"/>
      <c r="Z106" s="305" t="s">
        <v>430</v>
      </c>
      <c r="AA106" s="305" t="s">
        <v>431</v>
      </c>
      <c r="AB106" s="305" t="s">
        <v>432</v>
      </c>
      <c r="AC106" s="305" t="s">
        <v>422</v>
      </c>
      <c r="AD106" s="544"/>
      <c r="AE106" s="305" t="s">
        <v>430</v>
      </c>
      <c r="AF106" s="305" t="s">
        <v>431</v>
      </c>
      <c r="AG106" s="305" t="s">
        <v>432</v>
      </c>
      <c r="AH106" s="305" t="s">
        <v>422</v>
      </c>
      <c r="AI106" s="544"/>
      <c r="AJ106" s="305" t="s">
        <v>430</v>
      </c>
      <c r="AK106" s="305" t="s">
        <v>431</v>
      </c>
      <c r="AL106" s="305" t="s">
        <v>432</v>
      </c>
      <c r="AM106" s="305" t="s">
        <v>422</v>
      </c>
      <c r="AN106" s="544"/>
      <c r="AO106" s="305" t="s">
        <v>430</v>
      </c>
      <c r="AP106" s="305" t="s">
        <v>431</v>
      </c>
      <c r="AQ106" s="305" t="s">
        <v>432</v>
      </c>
      <c r="AR106" s="305" t="s">
        <v>422</v>
      </c>
      <c r="AS106" s="544"/>
      <c r="AT106" s="305" t="s">
        <v>430</v>
      </c>
      <c r="AU106" s="305" t="s">
        <v>431</v>
      </c>
      <c r="AV106" s="305" t="s">
        <v>432</v>
      </c>
      <c r="AW106" s="305" t="s">
        <v>422</v>
      </c>
      <c r="AX106" s="544"/>
    </row>
    <row r="107" spans="2:50">
      <c r="B107" s="596" t="s">
        <v>902</v>
      </c>
      <c r="C107" s="463">
        <v>1</v>
      </c>
      <c r="D107" s="467" t="s">
        <v>403</v>
      </c>
      <c r="E107" s="464">
        <v>4</v>
      </c>
      <c r="F107" s="464">
        <v>2000</v>
      </c>
      <c r="G107" s="464">
        <v>500</v>
      </c>
      <c r="H107" s="546">
        <f>AVERAGE(G107:G121)</f>
        <v>272.17979797979797</v>
      </c>
      <c r="I107" s="464">
        <f>AVERAGE(P107,U107,Z107,AE107,AJ107,AO107,AT107)</f>
        <v>5</v>
      </c>
      <c r="J107" s="464">
        <f>AVERAGE(Q107,V107,AA107,AF107,AK107,AP107,AU107)</f>
        <v>2147.9166666666665</v>
      </c>
      <c r="K107" s="465">
        <f>AVERAGE(R107,W107,AB107,AG107,AL107,AQ107,AV107)</f>
        <v>429.58333333333331</v>
      </c>
      <c r="L107" s="546">
        <f>AVERAGE(K107:K121)</f>
        <v>245.12264981603769</v>
      </c>
      <c r="M107" s="464">
        <f>RANK(K107, K$107:$K$121)</f>
        <v>1</v>
      </c>
      <c r="N107" s="544"/>
      <c r="O107" s="544"/>
      <c r="P107" s="463">
        <v>5</v>
      </c>
      <c r="Q107" s="464">
        <v>2195.8333333333326</v>
      </c>
      <c r="R107" s="464">
        <v>439.16666666666652</v>
      </c>
      <c r="S107" s="463">
        <f>RANK(R107, R$107:R$121)</f>
        <v>1</v>
      </c>
      <c r="T107" s="536">
        <f>AVERAGE(R107:R121)</f>
        <v>248.79683856605413</v>
      </c>
      <c r="U107" s="463">
        <v>5</v>
      </c>
      <c r="V107" s="464">
        <v>2100.0000000000005</v>
      </c>
      <c r="W107" s="464">
        <v>420.00000000000011</v>
      </c>
      <c r="X107" s="463">
        <f>RANK(W107, W$107:W$121)</f>
        <v>2</v>
      </c>
      <c r="Y107" s="536">
        <f t="shared" ref="Y107" si="70">AVERAGE(W107:W121)</f>
        <v>241.44846106602128</v>
      </c>
      <c r="Z107" s="182"/>
      <c r="AA107" s="182"/>
      <c r="AB107" s="182"/>
      <c r="AC107" s="315" t="e">
        <f>RANK(AB107, AB$107:AB$121)</f>
        <v>#N/A</v>
      </c>
      <c r="AD107" s="534" t="e">
        <f>AVERAGE(AB107:AB121)</f>
        <v>#DIV/0!</v>
      </c>
      <c r="AE107" s="182"/>
      <c r="AF107" s="182"/>
      <c r="AG107" s="182"/>
      <c r="AH107" s="315" t="e">
        <f>RANK(AG107, AG$107:AG$121)</f>
        <v>#N/A</v>
      </c>
      <c r="AI107" s="534" t="e">
        <f>AVERAGE(AG107:AG121)</f>
        <v>#DIV/0!</v>
      </c>
      <c r="AJ107" s="182"/>
      <c r="AK107" s="182"/>
      <c r="AL107" s="182"/>
      <c r="AM107" s="315" t="e">
        <f>RANK(AL107, AL$107:AL$121)</f>
        <v>#N/A</v>
      </c>
      <c r="AN107" s="534" t="e">
        <f>AVERAGE(AL107:AL121)</f>
        <v>#DIV/0!</v>
      </c>
      <c r="AO107" s="182"/>
      <c r="AP107" s="182"/>
      <c r="AQ107" s="182"/>
      <c r="AR107" s="315" t="e">
        <f>RANK(AQ107, AQ$107:AQ$121)</f>
        <v>#N/A</v>
      </c>
      <c r="AS107" s="534" t="e">
        <f>AVERAGE(AQ107:AQ121)</f>
        <v>#DIV/0!</v>
      </c>
      <c r="AT107" s="182"/>
      <c r="AU107" s="182"/>
      <c r="AV107" s="182"/>
      <c r="AW107" s="315" t="e">
        <f>RANK(AV107, AV$107:AV$121)</f>
        <v>#N/A</v>
      </c>
      <c r="AX107" s="534" t="e">
        <f>AVERAGE(AV107:AV121)</f>
        <v>#DIV/0!</v>
      </c>
    </row>
    <row r="108" spans="2:50">
      <c r="B108" s="565"/>
      <c r="C108" s="463">
        <v>2</v>
      </c>
      <c r="D108" s="467" t="s">
        <v>465</v>
      </c>
      <c r="E108" s="464">
        <v>4</v>
      </c>
      <c r="F108" s="464">
        <v>2000</v>
      </c>
      <c r="G108" s="464">
        <v>500</v>
      </c>
      <c r="H108" s="547"/>
      <c r="I108" s="464">
        <f t="shared" ref="I108:K117" si="71">AVERAGE(P108,U108,Z108,AE108,AJ108,AO108,AT108)</f>
        <v>5</v>
      </c>
      <c r="J108" s="464">
        <f t="shared" si="71"/>
        <v>2127.2727272727279</v>
      </c>
      <c r="K108" s="465">
        <f t="shared" si="71"/>
        <v>425.4545454545455</v>
      </c>
      <c r="L108" s="547"/>
      <c r="M108" s="464">
        <f>RANK(K108, K$107:$K$121)</f>
        <v>2</v>
      </c>
      <c r="N108" s="544"/>
      <c r="O108" s="544"/>
      <c r="P108" s="463">
        <v>5</v>
      </c>
      <c r="Q108" s="464">
        <v>2114.5454545454545</v>
      </c>
      <c r="R108" s="464">
        <v>422.90909090909088</v>
      </c>
      <c r="S108" s="463">
        <f t="shared" ref="S108:S121" si="72">RANK(R108, R$107:R$121)</f>
        <v>3</v>
      </c>
      <c r="T108" s="536"/>
      <c r="U108" s="463">
        <v>5</v>
      </c>
      <c r="V108" s="464">
        <v>2140.0000000000009</v>
      </c>
      <c r="W108" s="464">
        <v>428.00000000000017</v>
      </c>
      <c r="X108" s="463">
        <f t="shared" ref="X108:X121" si="73">RANK(W108, W$107:W$121)</f>
        <v>1</v>
      </c>
      <c r="Y108" s="536"/>
      <c r="Z108" s="182"/>
      <c r="AA108" s="182"/>
      <c r="AB108" s="182"/>
      <c r="AC108" s="315" t="e">
        <f t="shared" ref="AC108:AC121" si="74">RANK(AB108, AB$107:AB$121)</f>
        <v>#N/A</v>
      </c>
      <c r="AD108" s="534"/>
      <c r="AE108" s="182"/>
      <c r="AF108" s="182"/>
      <c r="AG108" s="182"/>
      <c r="AH108" s="315" t="e">
        <f t="shared" ref="AH108:AH121" si="75">RANK(AG108, AG$107:AG$121)</f>
        <v>#N/A</v>
      </c>
      <c r="AI108" s="534"/>
      <c r="AJ108" s="182"/>
      <c r="AK108" s="182"/>
      <c r="AL108" s="182"/>
      <c r="AM108" s="315" t="e">
        <f t="shared" ref="AM108:AM121" si="76">RANK(AL108, AL$107:AL$121)</f>
        <v>#N/A</v>
      </c>
      <c r="AN108" s="534"/>
      <c r="AO108" s="182"/>
      <c r="AP108" s="182"/>
      <c r="AQ108" s="182"/>
      <c r="AR108" s="315" t="e">
        <f t="shared" ref="AR108:AR121" si="77">RANK(AQ108, AQ$107:AQ$121)</f>
        <v>#N/A</v>
      </c>
      <c r="AS108" s="534"/>
      <c r="AT108" s="182"/>
      <c r="AU108" s="182"/>
      <c r="AV108" s="182"/>
      <c r="AW108" s="315" t="e">
        <f t="shared" ref="AW108:AW121" si="78">RANK(AV108, AV$107:AV$121)</f>
        <v>#N/A</v>
      </c>
      <c r="AX108" s="534"/>
    </row>
    <row r="109" spans="2:50">
      <c r="B109" s="565"/>
      <c r="C109" s="463">
        <v>3</v>
      </c>
      <c r="D109" s="467" t="s">
        <v>404</v>
      </c>
      <c r="E109" s="464">
        <v>14</v>
      </c>
      <c r="F109" s="464">
        <v>2118</v>
      </c>
      <c r="G109" s="464">
        <v>151.30000000000001</v>
      </c>
      <c r="H109" s="547"/>
      <c r="I109" s="464">
        <f t="shared" si="71"/>
        <v>14</v>
      </c>
      <c r="J109" s="464">
        <f t="shared" si="71"/>
        <v>1963.3519358214166</v>
      </c>
      <c r="K109" s="465">
        <f t="shared" si="71"/>
        <v>140.23942398724404</v>
      </c>
      <c r="L109" s="547"/>
      <c r="M109" s="464">
        <f>RANK(K109, K$107:$K$121)</f>
        <v>10</v>
      </c>
      <c r="N109" s="544"/>
      <c r="O109" s="544"/>
      <c r="P109" s="463">
        <v>14</v>
      </c>
      <c r="Q109" s="464">
        <v>1976.0655737704924</v>
      </c>
      <c r="R109" s="464">
        <v>141.1475409836066</v>
      </c>
      <c r="S109" s="463">
        <f t="shared" si="72"/>
        <v>10</v>
      </c>
      <c r="T109" s="536"/>
      <c r="U109" s="463">
        <v>14</v>
      </c>
      <c r="V109" s="464">
        <v>1950.6382978723409</v>
      </c>
      <c r="W109" s="464">
        <v>139.3313069908815</v>
      </c>
      <c r="X109" s="463">
        <f t="shared" si="73"/>
        <v>10</v>
      </c>
      <c r="Y109" s="536"/>
      <c r="Z109" s="182"/>
      <c r="AA109" s="182"/>
      <c r="AB109" s="182"/>
      <c r="AC109" s="315" t="e">
        <f t="shared" si="74"/>
        <v>#N/A</v>
      </c>
      <c r="AD109" s="534"/>
      <c r="AE109" s="182"/>
      <c r="AF109" s="182"/>
      <c r="AG109" s="182"/>
      <c r="AH109" s="315" t="e">
        <f t="shared" si="75"/>
        <v>#N/A</v>
      </c>
      <c r="AI109" s="534"/>
      <c r="AJ109" s="182"/>
      <c r="AK109" s="182"/>
      <c r="AL109" s="182"/>
      <c r="AM109" s="315" t="e">
        <f t="shared" si="76"/>
        <v>#N/A</v>
      </c>
      <c r="AN109" s="534"/>
      <c r="AO109" s="182"/>
      <c r="AP109" s="182"/>
      <c r="AQ109" s="182"/>
      <c r="AR109" s="315" t="e">
        <f t="shared" si="77"/>
        <v>#N/A</v>
      </c>
      <c r="AS109" s="534"/>
      <c r="AT109" s="182"/>
      <c r="AU109" s="182"/>
      <c r="AV109" s="182"/>
      <c r="AW109" s="315" t="e">
        <f t="shared" si="78"/>
        <v>#N/A</v>
      </c>
      <c r="AX109" s="534"/>
    </row>
    <row r="110" spans="2:50">
      <c r="B110" s="565"/>
      <c r="C110" s="463">
        <v>4</v>
      </c>
      <c r="D110" s="467" t="s">
        <v>405</v>
      </c>
      <c r="E110" s="464">
        <v>13</v>
      </c>
      <c r="F110" s="464">
        <v>2118</v>
      </c>
      <c r="G110" s="464">
        <v>162.9</v>
      </c>
      <c r="H110" s="547"/>
      <c r="I110" s="464">
        <f t="shared" si="71"/>
        <v>13</v>
      </c>
      <c r="J110" s="464">
        <f t="shared" si="71"/>
        <v>1986.4742869975298</v>
      </c>
      <c r="K110" s="465">
        <f t="shared" si="71"/>
        <v>152.80571438442536</v>
      </c>
      <c r="L110" s="547"/>
      <c r="M110" s="464">
        <f>RANK(K110, K$107:$K$121)</f>
        <v>9</v>
      </c>
      <c r="N110" s="544"/>
      <c r="O110" s="544"/>
      <c r="P110" s="463">
        <v>13</v>
      </c>
      <c r="Q110" s="464">
        <v>1979.1780821917805</v>
      </c>
      <c r="R110" s="464">
        <v>152.24446786090618</v>
      </c>
      <c r="S110" s="463">
        <f t="shared" si="72"/>
        <v>9</v>
      </c>
      <c r="T110" s="536"/>
      <c r="U110" s="463">
        <v>13</v>
      </c>
      <c r="V110" s="464">
        <v>1993.7704918032791</v>
      </c>
      <c r="W110" s="464">
        <v>153.36696090794456</v>
      </c>
      <c r="X110" s="463">
        <f t="shared" si="73"/>
        <v>9</v>
      </c>
      <c r="Y110" s="536"/>
      <c r="Z110" s="182"/>
      <c r="AA110" s="182"/>
      <c r="AB110" s="182"/>
      <c r="AC110" s="315" t="e">
        <f t="shared" si="74"/>
        <v>#N/A</v>
      </c>
      <c r="AD110" s="534"/>
      <c r="AE110" s="182"/>
      <c r="AF110" s="182"/>
      <c r="AG110" s="182"/>
      <c r="AH110" s="315" t="e">
        <f t="shared" si="75"/>
        <v>#N/A</v>
      </c>
      <c r="AI110" s="534"/>
      <c r="AJ110" s="182"/>
      <c r="AK110" s="182"/>
      <c r="AL110" s="182"/>
      <c r="AM110" s="315" t="e">
        <f t="shared" si="76"/>
        <v>#N/A</v>
      </c>
      <c r="AN110" s="534"/>
      <c r="AO110" s="182"/>
      <c r="AP110" s="182"/>
      <c r="AQ110" s="182"/>
      <c r="AR110" s="315" t="e">
        <f t="shared" si="77"/>
        <v>#N/A</v>
      </c>
      <c r="AS110" s="534"/>
      <c r="AT110" s="182"/>
      <c r="AU110" s="182"/>
      <c r="AV110" s="182"/>
      <c r="AW110" s="315" t="e">
        <f t="shared" si="78"/>
        <v>#N/A</v>
      </c>
      <c r="AX110" s="534"/>
    </row>
    <row r="111" spans="2:50">
      <c r="B111" s="565"/>
      <c r="C111" s="463">
        <v>5</v>
      </c>
      <c r="D111" s="467" t="s">
        <v>406</v>
      </c>
      <c r="E111" s="464">
        <v>11</v>
      </c>
      <c r="F111" s="464">
        <v>2250</v>
      </c>
      <c r="G111" s="464">
        <v>204.5</v>
      </c>
      <c r="H111" s="547"/>
      <c r="I111" s="464">
        <f t="shared" si="71"/>
        <v>11</v>
      </c>
      <c r="J111" s="464">
        <f t="shared" si="71"/>
        <v>2185.4866618601295</v>
      </c>
      <c r="K111" s="465">
        <f t="shared" si="71"/>
        <v>198.68060562364815</v>
      </c>
      <c r="L111" s="547"/>
      <c r="M111" s="464">
        <f>RANK(K111, K$107:$K$121)</f>
        <v>6</v>
      </c>
      <c r="N111" s="544"/>
      <c r="O111" s="544"/>
      <c r="P111" s="463">
        <v>11</v>
      </c>
      <c r="Q111" s="464">
        <v>2184.6575342465749</v>
      </c>
      <c r="R111" s="464">
        <v>198.60523038605226</v>
      </c>
      <c r="S111" s="463">
        <f t="shared" si="72"/>
        <v>6</v>
      </c>
      <c r="T111" s="536"/>
      <c r="U111" s="463">
        <v>11</v>
      </c>
      <c r="V111" s="464">
        <v>2186.3157894736842</v>
      </c>
      <c r="W111" s="464">
        <v>198.75598086124401</v>
      </c>
      <c r="X111" s="463">
        <f t="shared" si="73"/>
        <v>6</v>
      </c>
      <c r="Y111" s="536"/>
      <c r="Z111" s="182"/>
      <c r="AA111" s="182"/>
      <c r="AB111" s="182"/>
      <c r="AC111" s="315" t="e">
        <f t="shared" si="74"/>
        <v>#N/A</v>
      </c>
      <c r="AD111" s="534"/>
      <c r="AE111" s="182"/>
      <c r="AF111" s="182"/>
      <c r="AG111" s="182"/>
      <c r="AH111" s="315" t="e">
        <f t="shared" si="75"/>
        <v>#N/A</v>
      </c>
      <c r="AI111" s="534"/>
      <c r="AJ111" s="182"/>
      <c r="AK111" s="182"/>
      <c r="AL111" s="182"/>
      <c r="AM111" s="315" t="e">
        <f t="shared" si="76"/>
        <v>#N/A</v>
      </c>
      <c r="AN111" s="534"/>
      <c r="AO111" s="182"/>
      <c r="AP111" s="182"/>
      <c r="AQ111" s="182"/>
      <c r="AR111" s="315" t="e">
        <f t="shared" si="77"/>
        <v>#N/A</v>
      </c>
      <c r="AS111" s="534"/>
      <c r="AT111" s="182"/>
      <c r="AU111" s="182"/>
      <c r="AV111" s="182"/>
      <c r="AW111" s="315" t="e">
        <f t="shared" si="78"/>
        <v>#N/A</v>
      </c>
      <c r="AX111" s="534"/>
    </row>
    <row r="112" spans="2:50">
      <c r="B112" s="565"/>
      <c r="C112" s="463">
        <v>6</v>
      </c>
      <c r="D112" s="467" t="s">
        <v>407</v>
      </c>
      <c r="E112" s="464">
        <v>12</v>
      </c>
      <c r="F112" s="464">
        <v>2250</v>
      </c>
      <c r="G112" s="464">
        <v>187.5</v>
      </c>
      <c r="H112" s="547"/>
      <c r="I112" s="464">
        <f t="shared" si="71"/>
        <v>12</v>
      </c>
      <c r="J112" s="464">
        <f t="shared" si="71"/>
        <v>2157.4256292906184</v>
      </c>
      <c r="K112" s="465">
        <f t="shared" si="71"/>
        <v>179.78546910755153</v>
      </c>
      <c r="L112" s="547"/>
      <c r="M112" s="464">
        <f>RANK(K112, K$107:$K$121)</f>
        <v>8</v>
      </c>
      <c r="N112" s="544"/>
      <c r="O112" s="544"/>
      <c r="P112" s="463">
        <v>12</v>
      </c>
      <c r="Q112" s="464">
        <v>2131.9565217391305</v>
      </c>
      <c r="R112" s="464">
        <v>177.66304347826087</v>
      </c>
      <c r="S112" s="463">
        <f t="shared" si="72"/>
        <v>8</v>
      </c>
      <c r="T112" s="536"/>
      <c r="U112" s="463">
        <v>12</v>
      </c>
      <c r="V112" s="464">
        <v>2182.8947368421059</v>
      </c>
      <c r="W112" s="464">
        <v>181.90789473684217</v>
      </c>
      <c r="X112" s="463">
        <f t="shared" si="73"/>
        <v>8</v>
      </c>
      <c r="Y112" s="536"/>
      <c r="Z112" s="182"/>
      <c r="AA112" s="182"/>
      <c r="AB112" s="182"/>
      <c r="AC112" s="315" t="e">
        <f t="shared" si="74"/>
        <v>#N/A</v>
      </c>
      <c r="AD112" s="534"/>
      <c r="AE112" s="182"/>
      <c r="AF112" s="182"/>
      <c r="AG112" s="182"/>
      <c r="AH112" s="315" t="e">
        <f t="shared" si="75"/>
        <v>#N/A</v>
      </c>
      <c r="AI112" s="534"/>
      <c r="AJ112" s="182"/>
      <c r="AK112" s="182"/>
      <c r="AL112" s="182"/>
      <c r="AM112" s="315" t="e">
        <f t="shared" si="76"/>
        <v>#N/A</v>
      </c>
      <c r="AN112" s="534"/>
      <c r="AO112" s="182"/>
      <c r="AP112" s="182"/>
      <c r="AQ112" s="182"/>
      <c r="AR112" s="315" t="e">
        <f t="shared" si="77"/>
        <v>#N/A</v>
      </c>
      <c r="AS112" s="534"/>
      <c r="AT112" s="182"/>
      <c r="AU112" s="182"/>
      <c r="AV112" s="182"/>
      <c r="AW112" s="315" t="e">
        <f t="shared" si="78"/>
        <v>#N/A</v>
      </c>
      <c r="AX112" s="534"/>
    </row>
    <row r="113" spans="2:50">
      <c r="B113" s="565"/>
      <c r="C113" s="463">
        <v>7</v>
      </c>
      <c r="D113" s="467" t="s">
        <v>408</v>
      </c>
      <c r="E113" s="464">
        <v>11</v>
      </c>
      <c r="F113" s="464">
        <v>2118</v>
      </c>
      <c r="G113" s="464">
        <v>192.5</v>
      </c>
      <c r="H113" s="547"/>
      <c r="I113" s="464">
        <f t="shared" si="71"/>
        <v>11</v>
      </c>
      <c r="J113" s="464">
        <f t="shared" si="71"/>
        <v>1997.6298868945169</v>
      </c>
      <c r="K113" s="465">
        <f t="shared" si="71"/>
        <v>181.60271699041061</v>
      </c>
      <c r="L113" s="547"/>
      <c r="M113" s="464">
        <f>RANK(K113, K$107:$K$121)</f>
        <v>7</v>
      </c>
      <c r="N113" s="544"/>
      <c r="O113" s="544"/>
      <c r="P113" s="463">
        <v>11</v>
      </c>
      <c r="Q113" s="464">
        <v>1955.2959183673474</v>
      </c>
      <c r="R113" s="464">
        <v>177.75417439703159</v>
      </c>
      <c r="S113" s="463">
        <f t="shared" si="72"/>
        <v>7</v>
      </c>
      <c r="T113" s="536"/>
      <c r="U113" s="463">
        <v>11</v>
      </c>
      <c r="V113" s="464">
        <v>2039.9638554216863</v>
      </c>
      <c r="W113" s="464">
        <v>185.45125958378966</v>
      </c>
      <c r="X113" s="463">
        <f t="shared" si="73"/>
        <v>7</v>
      </c>
      <c r="Y113" s="536"/>
      <c r="Z113" s="182"/>
      <c r="AA113" s="182"/>
      <c r="AB113" s="182"/>
      <c r="AC113" s="315" t="e">
        <f t="shared" si="74"/>
        <v>#N/A</v>
      </c>
      <c r="AD113" s="534"/>
      <c r="AE113" s="182"/>
      <c r="AF113" s="182"/>
      <c r="AG113" s="182"/>
      <c r="AH113" s="315" t="e">
        <f t="shared" si="75"/>
        <v>#N/A</v>
      </c>
      <c r="AI113" s="534"/>
      <c r="AJ113" s="182"/>
      <c r="AK113" s="182"/>
      <c r="AL113" s="182"/>
      <c r="AM113" s="315" t="e">
        <f t="shared" si="76"/>
        <v>#N/A</v>
      </c>
      <c r="AN113" s="534"/>
      <c r="AO113" s="182"/>
      <c r="AP113" s="182"/>
      <c r="AQ113" s="182"/>
      <c r="AR113" s="315" t="e">
        <f t="shared" si="77"/>
        <v>#N/A</v>
      </c>
      <c r="AS113" s="534"/>
      <c r="AT113" s="182"/>
      <c r="AU113" s="182"/>
      <c r="AV113" s="182"/>
      <c r="AW113" s="315" t="e">
        <f t="shared" si="78"/>
        <v>#N/A</v>
      </c>
      <c r="AX113" s="534"/>
    </row>
    <row r="114" spans="2:50">
      <c r="B114" s="565"/>
      <c r="C114" s="463">
        <v>8</v>
      </c>
      <c r="D114" s="467" t="s">
        <v>402</v>
      </c>
      <c r="E114" s="464">
        <v>18</v>
      </c>
      <c r="F114" s="464">
        <v>1250</v>
      </c>
      <c r="G114" s="464">
        <v>69.444444444444443</v>
      </c>
      <c r="H114" s="547"/>
      <c r="I114" s="464">
        <f t="shared" si="71"/>
        <v>13</v>
      </c>
      <c r="J114" s="464">
        <f t="shared" si="71"/>
        <v>1279.2750000000005</v>
      </c>
      <c r="K114" s="465">
        <f t="shared" si="71"/>
        <v>98.405769230769266</v>
      </c>
      <c r="L114" s="547"/>
      <c r="M114" s="464">
        <f>RANK(K114, K$107:$K$121)</f>
        <v>11</v>
      </c>
      <c r="N114" s="544"/>
      <c r="O114" s="544"/>
      <c r="P114" s="463">
        <v>13</v>
      </c>
      <c r="Q114" s="464">
        <v>1264.8000000000004</v>
      </c>
      <c r="R114" s="464">
        <v>97.29230769230773</v>
      </c>
      <c r="S114" s="463">
        <f t="shared" si="72"/>
        <v>11</v>
      </c>
      <c r="T114" s="536"/>
      <c r="U114" s="463">
        <v>13</v>
      </c>
      <c r="V114" s="464">
        <v>1293.7500000000007</v>
      </c>
      <c r="W114" s="464">
        <v>99.519230769230816</v>
      </c>
      <c r="X114" s="463">
        <f t="shared" si="73"/>
        <v>11</v>
      </c>
      <c r="Y114" s="536"/>
      <c r="Z114" s="182"/>
      <c r="AA114" s="182"/>
      <c r="AB114" s="182"/>
      <c r="AC114" s="315" t="e">
        <f t="shared" si="74"/>
        <v>#N/A</v>
      </c>
      <c r="AD114" s="534"/>
      <c r="AE114" s="182"/>
      <c r="AF114" s="182"/>
      <c r="AG114" s="182"/>
      <c r="AH114" s="315" t="e">
        <f t="shared" si="75"/>
        <v>#N/A</v>
      </c>
      <c r="AI114" s="534"/>
      <c r="AJ114" s="182"/>
      <c r="AK114" s="182"/>
      <c r="AL114" s="182"/>
      <c r="AM114" s="315" t="e">
        <f t="shared" si="76"/>
        <v>#N/A</v>
      </c>
      <c r="AN114" s="534"/>
      <c r="AO114" s="182"/>
      <c r="AP114" s="182"/>
      <c r="AQ114" s="182"/>
      <c r="AR114" s="315" t="e">
        <f t="shared" si="77"/>
        <v>#N/A</v>
      </c>
      <c r="AS114" s="534"/>
      <c r="AT114" s="182"/>
      <c r="AU114" s="182"/>
      <c r="AV114" s="182"/>
      <c r="AW114" s="315" t="e">
        <f t="shared" si="78"/>
        <v>#N/A</v>
      </c>
      <c r="AX114" s="534"/>
    </row>
    <row r="115" spans="2:50">
      <c r="B115" s="565"/>
      <c r="C115" s="463">
        <v>9</v>
      </c>
      <c r="D115" s="467" t="s">
        <v>619</v>
      </c>
      <c r="E115" s="464">
        <v>6</v>
      </c>
      <c r="F115" s="464">
        <v>2000</v>
      </c>
      <c r="G115" s="464">
        <v>333.33333333333331</v>
      </c>
      <c r="H115" s="547"/>
      <c r="I115" s="464">
        <f t="shared" si="71"/>
        <v>7</v>
      </c>
      <c r="J115" s="464">
        <f t="shared" si="71"/>
        <v>1739.5436105476692</v>
      </c>
      <c r="K115" s="465">
        <f t="shared" si="71"/>
        <v>248.50623007823845</v>
      </c>
      <c r="L115" s="547"/>
      <c r="M115" s="464">
        <f>RANK(K115, K$107:$K$121)</f>
        <v>4</v>
      </c>
      <c r="N115" s="544"/>
      <c r="O115" s="544"/>
      <c r="P115" s="463">
        <v>7</v>
      </c>
      <c r="Q115" s="464">
        <v>1745.2941176470611</v>
      </c>
      <c r="R115" s="464">
        <v>249.32773109243729</v>
      </c>
      <c r="S115" s="463">
        <f t="shared" si="72"/>
        <v>4</v>
      </c>
      <c r="T115" s="536"/>
      <c r="U115" s="463">
        <v>7</v>
      </c>
      <c r="V115" s="464">
        <v>1733.7931034482772</v>
      </c>
      <c r="W115" s="464">
        <v>247.6847290640396</v>
      </c>
      <c r="X115" s="463">
        <f t="shared" si="73"/>
        <v>4</v>
      </c>
      <c r="Y115" s="536"/>
      <c r="Z115" s="182"/>
      <c r="AA115" s="182"/>
      <c r="AB115" s="182"/>
      <c r="AC115" s="315" t="e">
        <f t="shared" si="74"/>
        <v>#N/A</v>
      </c>
      <c r="AD115" s="534"/>
      <c r="AE115" s="182"/>
      <c r="AF115" s="182"/>
      <c r="AG115" s="182"/>
      <c r="AH115" s="315" t="e">
        <f t="shared" si="75"/>
        <v>#N/A</v>
      </c>
      <c r="AI115" s="534"/>
      <c r="AJ115" s="182"/>
      <c r="AK115" s="182"/>
      <c r="AL115" s="182"/>
      <c r="AM115" s="315" t="e">
        <f t="shared" si="76"/>
        <v>#N/A</v>
      </c>
      <c r="AN115" s="534"/>
      <c r="AO115" s="182"/>
      <c r="AP115" s="182"/>
      <c r="AQ115" s="182"/>
      <c r="AR115" s="315" t="e">
        <f t="shared" si="77"/>
        <v>#N/A</v>
      </c>
      <c r="AS115" s="534"/>
      <c r="AT115" s="182"/>
      <c r="AU115" s="182"/>
      <c r="AV115" s="182"/>
      <c r="AW115" s="315" t="e">
        <f t="shared" si="78"/>
        <v>#N/A</v>
      </c>
      <c r="AX115" s="534"/>
    </row>
    <row r="116" spans="2:50">
      <c r="B116" s="565"/>
      <c r="C116" s="463">
        <v>10</v>
      </c>
      <c r="D116" s="467" t="s">
        <v>641</v>
      </c>
      <c r="E116" s="464">
        <v>4</v>
      </c>
      <c r="F116" s="464">
        <v>2000</v>
      </c>
      <c r="G116" s="464">
        <v>500</v>
      </c>
      <c r="H116" s="547"/>
      <c r="I116" s="464">
        <f t="shared" si="71"/>
        <v>5</v>
      </c>
      <c r="J116" s="464">
        <f t="shared" si="71"/>
        <v>1980.000000000007</v>
      </c>
      <c r="K116" s="465">
        <f t="shared" si="71"/>
        <v>396.00000000000136</v>
      </c>
      <c r="L116" s="547"/>
      <c r="M116" s="464">
        <f>RANK(K116, K$107:$K$121)</f>
        <v>3</v>
      </c>
      <c r="N116" s="544"/>
      <c r="O116" s="544"/>
      <c r="P116" s="463">
        <v>5</v>
      </c>
      <c r="Q116" s="464">
        <v>2160.0000000000077</v>
      </c>
      <c r="R116" s="464">
        <v>432.00000000000153</v>
      </c>
      <c r="S116" s="463">
        <f t="shared" si="72"/>
        <v>2</v>
      </c>
      <c r="T116" s="536"/>
      <c r="U116" s="463">
        <v>5</v>
      </c>
      <c r="V116" s="464">
        <v>1800.0000000000064</v>
      </c>
      <c r="W116" s="464">
        <v>360.00000000000125</v>
      </c>
      <c r="X116" s="463">
        <f t="shared" si="73"/>
        <v>3</v>
      </c>
      <c r="Y116" s="536"/>
      <c r="Z116" s="182"/>
      <c r="AA116" s="182"/>
      <c r="AB116" s="182"/>
      <c r="AC116" s="315" t="e">
        <f t="shared" si="74"/>
        <v>#N/A</v>
      </c>
      <c r="AD116" s="534"/>
      <c r="AE116" s="182"/>
      <c r="AF116" s="182"/>
      <c r="AG116" s="182"/>
      <c r="AH116" s="315" t="e">
        <f t="shared" si="75"/>
        <v>#N/A</v>
      </c>
      <c r="AI116" s="534"/>
      <c r="AJ116" s="182"/>
      <c r="AK116" s="182"/>
      <c r="AL116" s="182"/>
      <c r="AM116" s="315" t="e">
        <f t="shared" si="76"/>
        <v>#N/A</v>
      </c>
      <c r="AN116" s="534"/>
      <c r="AO116" s="182"/>
      <c r="AP116" s="182"/>
      <c r="AQ116" s="182"/>
      <c r="AR116" s="315" t="e">
        <f t="shared" si="77"/>
        <v>#N/A</v>
      </c>
      <c r="AS116" s="534"/>
      <c r="AT116" s="182"/>
      <c r="AU116" s="182"/>
      <c r="AV116" s="182"/>
      <c r="AW116" s="315" t="e">
        <f t="shared" si="78"/>
        <v>#N/A</v>
      </c>
      <c r="AX116" s="534"/>
    </row>
    <row r="117" spans="2:50">
      <c r="B117" s="565"/>
      <c r="C117" s="463">
        <v>11</v>
      </c>
      <c r="D117" s="467" t="s">
        <v>667</v>
      </c>
      <c r="E117" s="464">
        <v>11</v>
      </c>
      <c r="F117" s="464">
        <v>2250</v>
      </c>
      <c r="G117" s="464">
        <v>192.5</v>
      </c>
      <c r="H117" s="547"/>
      <c r="I117" s="464">
        <f t="shared" si="71"/>
        <v>9</v>
      </c>
      <c r="J117" s="464">
        <f t="shared" si="71"/>
        <v>2207.5680580762246</v>
      </c>
      <c r="K117" s="465">
        <f t="shared" si="71"/>
        <v>245.28533978624716</v>
      </c>
      <c r="L117" s="547"/>
      <c r="M117" s="464">
        <f>RANK(K117, K$107:$K$121)</f>
        <v>5</v>
      </c>
      <c r="N117" s="544"/>
      <c r="O117" s="544"/>
      <c r="P117" s="463">
        <v>9</v>
      </c>
      <c r="Q117" s="464">
        <v>2237.8947368421041</v>
      </c>
      <c r="R117" s="464">
        <v>248.65497076023379</v>
      </c>
      <c r="S117" s="463">
        <f t="shared" si="72"/>
        <v>5</v>
      </c>
      <c r="T117" s="536"/>
      <c r="U117" s="463">
        <v>9</v>
      </c>
      <c r="V117" s="464">
        <v>2177.2413793103447</v>
      </c>
      <c r="W117" s="464">
        <v>241.9157088122605</v>
      </c>
      <c r="X117" s="463">
        <f t="shared" si="73"/>
        <v>5</v>
      </c>
      <c r="Y117" s="536"/>
      <c r="Z117" s="182"/>
      <c r="AA117" s="182"/>
      <c r="AB117" s="182"/>
      <c r="AC117" s="315" t="e">
        <f t="shared" si="74"/>
        <v>#N/A</v>
      </c>
      <c r="AD117" s="534"/>
      <c r="AE117" s="182"/>
      <c r="AF117" s="182"/>
      <c r="AG117" s="182"/>
      <c r="AH117" s="315" t="e">
        <f t="shared" si="75"/>
        <v>#N/A</v>
      </c>
      <c r="AI117" s="534"/>
      <c r="AJ117" s="182"/>
      <c r="AK117" s="182"/>
      <c r="AL117" s="182"/>
      <c r="AM117" s="315" t="e">
        <f t="shared" si="76"/>
        <v>#N/A</v>
      </c>
      <c r="AN117" s="534"/>
      <c r="AO117" s="182"/>
      <c r="AP117" s="182"/>
      <c r="AQ117" s="182"/>
      <c r="AR117" s="315" t="e">
        <f t="shared" si="77"/>
        <v>#N/A</v>
      </c>
      <c r="AS117" s="534"/>
      <c r="AT117" s="182"/>
      <c r="AU117" s="182"/>
      <c r="AV117" s="182"/>
      <c r="AW117" s="315" t="e">
        <f t="shared" si="78"/>
        <v>#N/A</v>
      </c>
      <c r="AX117" s="534"/>
    </row>
    <row r="118" spans="2:50">
      <c r="B118" s="565"/>
      <c r="C118" s="463">
        <v>12</v>
      </c>
      <c r="D118" s="467"/>
      <c r="E118" s="464" t="s">
        <v>578</v>
      </c>
      <c r="F118" s="464" t="s">
        <v>578</v>
      </c>
      <c r="G118" s="464" t="s">
        <v>578</v>
      </c>
      <c r="H118" s="547"/>
      <c r="I118" s="464"/>
      <c r="J118" s="464"/>
      <c r="K118" s="465"/>
      <c r="L118" s="547"/>
      <c r="M118" s="464" t="e">
        <f>RANK(K118, K$107:$K$121)</f>
        <v>#N/A</v>
      </c>
      <c r="N118" s="544"/>
      <c r="O118" s="544"/>
      <c r="P118" s="463" t="s">
        <v>578</v>
      </c>
      <c r="Q118" s="464" t="s">
        <v>578</v>
      </c>
      <c r="R118" s="464" t="s">
        <v>578</v>
      </c>
      <c r="S118" s="463" t="e">
        <f t="shared" si="72"/>
        <v>#VALUE!</v>
      </c>
      <c r="T118" s="536"/>
      <c r="U118" s="463" t="s">
        <v>578</v>
      </c>
      <c r="V118" s="464" t="s">
        <v>578</v>
      </c>
      <c r="W118" s="464" t="s">
        <v>578</v>
      </c>
      <c r="X118" s="463" t="e">
        <f t="shared" si="73"/>
        <v>#VALUE!</v>
      </c>
      <c r="Y118" s="536"/>
      <c r="Z118" s="182"/>
      <c r="AA118" s="182"/>
      <c r="AB118" s="182"/>
      <c r="AC118" s="315" t="e">
        <f t="shared" si="74"/>
        <v>#N/A</v>
      </c>
      <c r="AD118" s="534"/>
      <c r="AE118" s="182"/>
      <c r="AF118" s="182"/>
      <c r="AG118" s="182"/>
      <c r="AH118" s="315" t="e">
        <f t="shared" si="75"/>
        <v>#N/A</v>
      </c>
      <c r="AI118" s="534"/>
      <c r="AJ118" s="182"/>
      <c r="AK118" s="182"/>
      <c r="AL118" s="182"/>
      <c r="AM118" s="315" t="e">
        <f t="shared" si="76"/>
        <v>#N/A</v>
      </c>
      <c r="AN118" s="534"/>
      <c r="AO118" s="182"/>
      <c r="AP118" s="182"/>
      <c r="AQ118" s="182"/>
      <c r="AR118" s="315" t="e">
        <f t="shared" si="77"/>
        <v>#N/A</v>
      </c>
      <c r="AS118" s="534"/>
      <c r="AT118" s="182"/>
      <c r="AU118" s="182"/>
      <c r="AV118" s="182"/>
      <c r="AW118" s="315" t="e">
        <f t="shared" si="78"/>
        <v>#N/A</v>
      </c>
      <c r="AX118" s="534"/>
    </row>
    <row r="119" spans="2:50">
      <c r="B119" s="565"/>
      <c r="C119" s="463">
        <v>13</v>
      </c>
      <c r="D119" s="467"/>
      <c r="E119" s="464" t="s">
        <v>578</v>
      </c>
      <c r="F119" s="464" t="s">
        <v>578</v>
      </c>
      <c r="G119" s="464" t="s">
        <v>578</v>
      </c>
      <c r="H119" s="547"/>
      <c r="I119" s="464"/>
      <c r="J119" s="464"/>
      <c r="K119" s="465"/>
      <c r="L119" s="547"/>
      <c r="M119" s="464" t="e">
        <f>RANK(K119, K$107:$K$121)</f>
        <v>#N/A</v>
      </c>
      <c r="N119" s="544"/>
      <c r="O119" s="544"/>
      <c r="P119" s="463" t="s">
        <v>578</v>
      </c>
      <c r="Q119" s="464" t="s">
        <v>578</v>
      </c>
      <c r="R119" s="464" t="s">
        <v>578</v>
      </c>
      <c r="S119" s="463" t="e">
        <f t="shared" si="72"/>
        <v>#VALUE!</v>
      </c>
      <c r="T119" s="536"/>
      <c r="U119" s="463" t="s">
        <v>578</v>
      </c>
      <c r="V119" s="464" t="s">
        <v>578</v>
      </c>
      <c r="W119" s="464" t="s">
        <v>578</v>
      </c>
      <c r="X119" s="463" t="e">
        <f t="shared" si="73"/>
        <v>#VALUE!</v>
      </c>
      <c r="Y119" s="536"/>
      <c r="Z119" s="182"/>
      <c r="AA119" s="182"/>
      <c r="AB119" s="182"/>
      <c r="AC119" s="315" t="e">
        <f t="shared" si="74"/>
        <v>#N/A</v>
      </c>
      <c r="AD119" s="534"/>
      <c r="AE119" s="182"/>
      <c r="AF119" s="182"/>
      <c r="AG119" s="182"/>
      <c r="AH119" s="315" t="e">
        <f t="shared" si="75"/>
        <v>#N/A</v>
      </c>
      <c r="AI119" s="534"/>
      <c r="AJ119" s="182"/>
      <c r="AK119" s="182"/>
      <c r="AL119" s="182"/>
      <c r="AM119" s="315" t="e">
        <f t="shared" si="76"/>
        <v>#N/A</v>
      </c>
      <c r="AN119" s="534"/>
      <c r="AO119" s="182"/>
      <c r="AP119" s="182"/>
      <c r="AQ119" s="182"/>
      <c r="AR119" s="315" t="e">
        <f t="shared" si="77"/>
        <v>#N/A</v>
      </c>
      <c r="AS119" s="534"/>
      <c r="AT119" s="182"/>
      <c r="AU119" s="182"/>
      <c r="AV119" s="182"/>
      <c r="AW119" s="315" t="e">
        <f t="shared" si="78"/>
        <v>#N/A</v>
      </c>
      <c r="AX119" s="534"/>
    </row>
    <row r="120" spans="2:50">
      <c r="B120" s="565"/>
      <c r="C120" s="463">
        <v>14</v>
      </c>
      <c r="D120" s="467"/>
      <c r="E120" s="464" t="s">
        <v>578</v>
      </c>
      <c r="F120" s="464" t="s">
        <v>578</v>
      </c>
      <c r="G120" s="464" t="s">
        <v>578</v>
      </c>
      <c r="H120" s="547"/>
      <c r="I120" s="464"/>
      <c r="J120" s="464"/>
      <c r="K120" s="465"/>
      <c r="L120" s="547"/>
      <c r="M120" s="464" t="e">
        <f>RANK(K120, K$107:$K$121)</f>
        <v>#N/A</v>
      </c>
      <c r="N120" s="544"/>
      <c r="O120" s="544"/>
      <c r="P120" s="463" t="s">
        <v>578</v>
      </c>
      <c r="Q120" s="464" t="s">
        <v>578</v>
      </c>
      <c r="R120" s="464" t="s">
        <v>578</v>
      </c>
      <c r="S120" s="463" t="e">
        <f t="shared" si="72"/>
        <v>#VALUE!</v>
      </c>
      <c r="T120" s="536"/>
      <c r="U120" s="463" t="s">
        <v>578</v>
      </c>
      <c r="V120" s="464" t="s">
        <v>578</v>
      </c>
      <c r="W120" s="464" t="s">
        <v>578</v>
      </c>
      <c r="X120" s="463" t="e">
        <f t="shared" si="73"/>
        <v>#VALUE!</v>
      </c>
      <c r="Y120" s="536"/>
      <c r="Z120" s="182"/>
      <c r="AA120" s="182"/>
      <c r="AB120" s="182"/>
      <c r="AC120" s="315" t="e">
        <f t="shared" si="74"/>
        <v>#N/A</v>
      </c>
      <c r="AD120" s="534"/>
      <c r="AE120" s="182"/>
      <c r="AF120" s="182"/>
      <c r="AG120" s="182"/>
      <c r="AH120" s="315" t="e">
        <f t="shared" si="75"/>
        <v>#N/A</v>
      </c>
      <c r="AI120" s="534"/>
      <c r="AJ120" s="182"/>
      <c r="AK120" s="182"/>
      <c r="AL120" s="182"/>
      <c r="AM120" s="315" t="e">
        <f t="shared" si="76"/>
        <v>#N/A</v>
      </c>
      <c r="AN120" s="534"/>
      <c r="AO120" s="182"/>
      <c r="AP120" s="182"/>
      <c r="AQ120" s="182"/>
      <c r="AR120" s="315" t="e">
        <f t="shared" si="77"/>
        <v>#N/A</v>
      </c>
      <c r="AS120" s="534"/>
      <c r="AT120" s="182"/>
      <c r="AU120" s="182"/>
      <c r="AV120" s="182"/>
      <c r="AW120" s="315" t="e">
        <f t="shared" si="78"/>
        <v>#N/A</v>
      </c>
      <c r="AX120" s="534"/>
    </row>
    <row r="121" spans="2:50">
      <c r="B121" s="565"/>
      <c r="C121" s="463">
        <v>15</v>
      </c>
      <c r="D121" s="467"/>
      <c r="E121" s="464" t="s">
        <v>578</v>
      </c>
      <c r="F121" s="464" t="s">
        <v>578</v>
      </c>
      <c r="G121" s="464" t="s">
        <v>578</v>
      </c>
      <c r="H121" s="606"/>
      <c r="I121" s="464"/>
      <c r="J121" s="464"/>
      <c r="K121" s="465"/>
      <c r="L121" s="606"/>
      <c r="M121" s="464" t="e">
        <f>RANK(K121, K$107:$K$121)</f>
        <v>#N/A</v>
      </c>
      <c r="N121" s="544"/>
      <c r="O121" s="544"/>
      <c r="P121" s="463" t="s">
        <v>578</v>
      </c>
      <c r="Q121" s="464" t="s">
        <v>578</v>
      </c>
      <c r="R121" s="464" t="s">
        <v>578</v>
      </c>
      <c r="S121" s="463" t="e">
        <f t="shared" si="72"/>
        <v>#VALUE!</v>
      </c>
      <c r="T121" s="536"/>
      <c r="U121" s="463" t="s">
        <v>578</v>
      </c>
      <c r="V121" s="464" t="s">
        <v>578</v>
      </c>
      <c r="W121" s="464" t="s">
        <v>578</v>
      </c>
      <c r="X121" s="463" t="e">
        <f t="shared" si="73"/>
        <v>#VALUE!</v>
      </c>
      <c r="Y121" s="536"/>
      <c r="Z121" s="182"/>
      <c r="AA121" s="182"/>
      <c r="AB121" s="182"/>
      <c r="AC121" s="315" t="e">
        <f t="shared" si="74"/>
        <v>#N/A</v>
      </c>
      <c r="AD121" s="534"/>
      <c r="AE121" s="182"/>
      <c r="AF121" s="182"/>
      <c r="AG121" s="182"/>
      <c r="AH121" s="315" t="e">
        <f t="shared" si="75"/>
        <v>#N/A</v>
      </c>
      <c r="AI121" s="534"/>
      <c r="AJ121" s="182"/>
      <c r="AK121" s="182"/>
      <c r="AL121" s="182"/>
      <c r="AM121" s="315" t="e">
        <f t="shared" si="76"/>
        <v>#N/A</v>
      </c>
      <c r="AN121" s="534"/>
      <c r="AO121" s="182"/>
      <c r="AP121" s="182"/>
      <c r="AQ121" s="182"/>
      <c r="AR121" s="315" t="e">
        <f t="shared" si="77"/>
        <v>#N/A</v>
      </c>
      <c r="AS121" s="534"/>
      <c r="AT121" s="182"/>
      <c r="AU121" s="182"/>
      <c r="AV121" s="182"/>
      <c r="AW121" s="315" t="e">
        <f t="shared" si="78"/>
        <v>#N/A</v>
      </c>
      <c r="AX121" s="534"/>
    </row>
    <row r="123" spans="2:50" ht="15.5">
      <c r="B123" s="540" t="s">
        <v>498</v>
      </c>
      <c r="C123" s="541"/>
      <c r="D123" s="541"/>
      <c r="E123" s="541"/>
      <c r="F123" s="541"/>
      <c r="G123" s="541"/>
      <c r="H123" s="542"/>
      <c r="I123" s="308"/>
      <c r="J123" s="308"/>
      <c r="K123" s="308"/>
      <c r="L123" s="308"/>
      <c r="M123" s="309"/>
    </row>
    <row r="124" spans="2:50" ht="15.5">
      <c r="B124" s="543"/>
      <c r="C124" s="543"/>
      <c r="D124" s="543"/>
      <c r="E124" s="543"/>
      <c r="F124" s="543"/>
      <c r="G124" s="543"/>
      <c r="H124" s="543"/>
      <c r="I124" s="310"/>
      <c r="J124" s="310"/>
      <c r="K124" s="310"/>
      <c r="L124" s="310"/>
      <c r="M124" s="311"/>
    </row>
    <row r="125" spans="2:50">
      <c r="B125" s="544" t="s">
        <v>154</v>
      </c>
      <c r="C125" s="544" t="s">
        <v>434</v>
      </c>
      <c r="D125" s="544"/>
      <c r="E125" s="544" t="s">
        <v>425</v>
      </c>
      <c r="F125" s="544"/>
      <c r="G125" s="544"/>
      <c r="H125" s="561" t="s">
        <v>421</v>
      </c>
      <c r="I125" s="545" t="s">
        <v>426</v>
      </c>
      <c r="J125" s="545"/>
      <c r="K125" s="545"/>
      <c r="L125" s="600" t="s">
        <v>421</v>
      </c>
      <c r="M125" s="603" t="s">
        <v>422</v>
      </c>
    </row>
    <row r="126" spans="2:50">
      <c r="B126" s="544"/>
      <c r="C126" s="544"/>
      <c r="D126" s="544"/>
      <c r="E126" s="544" t="s">
        <v>428</v>
      </c>
      <c r="F126" s="544"/>
      <c r="G126" s="544"/>
      <c r="H126" s="562"/>
      <c r="I126" s="545" t="s">
        <v>428</v>
      </c>
      <c r="J126" s="545"/>
      <c r="K126" s="545"/>
      <c r="L126" s="601"/>
      <c r="M126" s="604"/>
    </row>
    <row r="127" spans="2:50">
      <c r="B127" s="544"/>
      <c r="C127" s="544"/>
      <c r="D127" s="544"/>
      <c r="E127" s="305" t="s">
        <v>430</v>
      </c>
      <c r="F127" s="305" t="s">
        <v>431</v>
      </c>
      <c r="G127" s="305" t="s">
        <v>432</v>
      </c>
      <c r="H127" s="563"/>
      <c r="I127" s="312" t="s">
        <v>430</v>
      </c>
      <c r="J127" s="312" t="s">
        <v>431</v>
      </c>
      <c r="K127" s="312" t="s">
        <v>432</v>
      </c>
      <c r="L127" s="602"/>
      <c r="M127" s="605"/>
    </row>
    <row r="128" spans="2:50">
      <c r="B128" s="596" t="s">
        <v>433</v>
      </c>
      <c r="C128" s="304">
        <v>1</v>
      </c>
      <c r="D128" s="313" t="s">
        <v>1002</v>
      </c>
      <c r="E128" s="182">
        <v>4</v>
      </c>
      <c r="F128" s="304">
        <v>2000</v>
      </c>
      <c r="G128" s="307">
        <v>500</v>
      </c>
      <c r="H128" s="597">
        <f>AVERAGE(G128:G142)</f>
        <v>268.24814814814812</v>
      </c>
      <c r="I128" s="199">
        <f t="shared" ref="I128:J138" si="79">AVERAGEIF($D$7:$D$121,$D128,I$7:I$121)</f>
        <v>4.2857142857142856</v>
      </c>
      <c r="J128" s="199">
        <f t="shared" si="79"/>
        <v>2088.6726190287741</v>
      </c>
      <c r="K128" s="468">
        <f t="shared" ref="K128:K138" si="80">AVERAGEIF($D$7:$D$121,$D128,K$7:K$121)</f>
        <v>491.39883936707332</v>
      </c>
      <c r="L128" s="587">
        <f>AVERAGE(K128:K142)</f>
        <v>266.12546316947106</v>
      </c>
      <c r="M128" s="199">
        <f>RANK(K128, K$128:$K$142)</f>
        <v>2</v>
      </c>
    </row>
    <row r="129" spans="2:13">
      <c r="B129" s="533"/>
      <c r="C129" s="304">
        <v>2</v>
      </c>
      <c r="D129" s="313" t="s">
        <v>1000</v>
      </c>
      <c r="E129" s="182">
        <v>4</v>
      </c>
      <c r="F129" s="304">
        <v>2000</v>
      </c>
      <c r="G129" s="307">
        <v>500</v>
      </c>
      <c r="H129" s="598"/>
      <c r="I129" s="199">
        <f t="shared" si="79"/>
        <v>4.2857142857142856</v>
      </c>
      <c r="J129" s="199">
        <f t="shared" si="79"/>
        <v>2107.5740044238446</v>
      </c>
      <c r="K129" s="468">
        <f t="shared" si="80"/>
        <v>496.3028310639491</v>
      </c>
      <c r="L129" s="588"/>
      <c r="M129" s="199">
        <f>RANK(K129, K$128:$K$142)</f>
        <v>1</v>
      </c>
    </row>
    <row r="130" spans="2:13">
      <c r="B130" s="533"/>
      <c r="C130" s="304">
        <v>3</v>
      </c>
      <c r="D130" s="313" t="s">
        <v>997</v>
      </c>
      <c r="E130" s="182">
        <v>14</v>
      </c>
      <c r="F130" s="304">
        <v>2118</v>
      </c>
      <c r="G130" s="307">
        <v>151.30000000000001</v>
      </c>
      <c r="H130" s="598"/>
      <c r="I130" s="199">
        <f t="shared" si="79"/>
        <v>13</v>
      </c>
      <c r="J130" s="199">
        <f t="shared" si="79"/>
        <v>2077.4406915011909</v>
      </c>
      <c r="K130" s="468">
        <f t="shared" si="80"/>
        <v>161.18913227043421</v>
      </c>
      <c r="L130" s="588"/>
      <c r="M130" s="199">
        <f>RANK(K130, K$128:$K$142)</f>
        <v>11</v>
      </c>
    </row>
    <row r="131" spans="2:13">
      <c r="B131" s="533"/>
      <c r="C131" s="304">
        <v>4</v>
      </c>
      <c r="D131" s="226" t="s">
        <v>405</v>
      </c>
      <c r="E131" s="182">
        <v>13</v>
      </c>
      <c r="F131" s="304">
        <v>2118</v>
      </c>
      <c r="G131" s="307">
        <v>162.9</v>
      </c>
      <c r="H131" s="598"/>
      <c r="I131" s="199">
        <f t="shared" si="79"/>
        <v>12</v>
      </c>
      <c r="J131" s="199">
        <f t="shared" si="79"/>
        <v>2085.1662816758212</v>
      </c>
      <c r="K131" s="468">
        <f t="shared" si="80"/>
        <v>175.58652802035533</v>
      </c>
      <c r="L131" s="588"/>
      <c r="M131" s="199">
        <f>RANK(K131, K$128:$K$142)</f>
        <v>9</v>
      </c>
    </row>
    <row r="132" spans="2:13">
      <c r="B132" s="533"/>
      <c r="C132" s="304">
        <v>5</v>
      </c>
      <c r="D132" s="226" t="s">
        <v>406</v>
      </c>
      <c r="E132" s="182">
        <v>11</v>
      </c>
      <c r="F132" s="304">
        <v>2250</v>
      </c>
      <c r="G132" s="307">
        <v>204.5</v>
      </c>
      <c r="H132" s="598"/>
      <c r="I132" s="199">
        <f t="shared" si="79"/>
        <v>11</v>
      </c>
      <c r="J132" s="199">
        <f t="shared" si="79"/>
        <v>2184.8017438417955</v>
      </c>
      <c r="K132" s="468">
        <f t="shared" si="80"/>
        <v>198.61834034925414</v>
      </c>
      <c r="L132" s="588"/>
      <c r="M132" s="199">
        <f>RANK(K132, K$128:$K$142)</f>
        <v>8</v>
      </c>
    </row>
    <row r="133" spans="2:13">
      <c r="B133" s="533"/>
      <c r="C133" s="304">
        <v>6</v>
      </c>
      <c r="D133" s="313" t="s">
        <v>407</v>
      </c>
      <c r="E133" s="182">
        <v>12</v>
      </c>
      <c r="F133" s="304">
        <v>2250</v>
      </c>
      <c r="G133" s="307">
        <v>187.5</v>
      </c>
      <c r="H133" s="598"/>
      <c r="I133" s="199">
        <f t="shared" si="79"/>
        <v>12.166666666666666</v>
      </c>
      <c r="J133" s="199">
        <f t="shared" si="79"/>
        <v>2086.8266212936937</v>
      </c>
      <c r="K133" s="468">
        <f t="shared" si="80"/>
        <v>171.77847262174313</v>
      </c>
      <c r="L133" s="588"/>
      <c r="M133" s="199">
        <f>RANK(K133, K$128:$K$142)</f>
        <v>10</v>
      </c>
    </row>
    <row r="134" spans="2:13">
      <c r="B134" s="533"/>
      <c r="C134" s="304">
        <v>7</v>
      </c>
      <c r="D134" s="313" t="s">
        <v>998</v>
      </c>
      <c r="E134" s="182">
        <v>11</v>
      </c>
      <c r="F134" s="304">
        <v>2118</v>
      </c>
      <c r="G134" s="307">
        <v>192.5</v>
      </c>
      <c r="H134" s="598"/>
      <c r="I134" s="199">
        <f t="shared" si="79"/>
        <v>10.333333333333334</v>
      </c>
      <c r="J134" s="199">
        <f t="shared" si="79"/>
        <v>2082.1073220205762</v>
      </c>
      <c r="K134" s="468">
        <f t="shared" si="80"/>
        <v>203.97705161957666</v>
      </c>
      <c r="L134" s="588"/>
      <c r="M134" s="199">
        <f>RANK(K134, K$128:$K$142)</f>
        <v>7</v>
      </c>
    </row>
    <row r="135" spans="2:13">
      <c r="B135" s="533"/>
      <c r="C135" s="304">
        <v>8</v>
      </c>
      <c r="D135" s="226" t="s">
        <v>402</v>
      </c>
      <c r="E135" s="182">
        <v>18</v>
      </c>
      <c r="F135" s="304">
        <v>1250</v>
      </c>
      <c r="G135" s="307">
        <v>69.444444444444443</v>
      </c>
      <c r="H135" s="598"/>
      <c r="I135" s="199">
        <f t="shared" si="79"/>
        <v>13.77551020408163</v>
      </c>
      <c r="J135" s="199">
        <f t="shared" si="79"/>
        <v>1251.9003309257027</v>
      </c>
      <c r="K135" s="468">
        <f t="shared" si="80"/>
        <v>92.106046770706044</v>
      </c>
      <c r="L135" s="588"/>
      <c r="M135" s="199">
        <f>RANK(K135, K$128:$K$142)</f>
        <v>12</v>
      </c>
    </row>
    <row r="136" spans="2:13">
      <c r="B136" s="533"/>
      <c r="C136" s="304">
        <v>9</v>
      </c>
      <c r="D136" s="313" t="s">
        <v>1001</v>
      </c>
      <c r="E136" s="304">
        <v>6</v>
      </c>
      <c r="F136" s="304">
        <v>2000</v>
      </c>
      <c r="G136" s="304">
        <v>333.33333333333331</v>
      </c>
      <c r="H136" s="598"/>
      <c r="I136" s="199">
        <f t="shared" si="79"/>
        <v>6.2</v>
      </c>
      <c r="J136" s="199">
        <f t="shared" si="79"/>
        <v>1875.5376416504428</v>
      </c>
      <c r="K136" s="468">
        <f t="shared" si="80"/>
        <v>304.30606593913245</v>
      </c>
      <c r="L136" s="588"/>
      <c r="M136" s="199">
        <f>RANK(K136, K$128:$K$142)</f>
        <v>4</v>
      </c>
    </row>
    <row r="137" spans="2:13">
      <c r="B137" s="533"/>
      <c r="C137" s="304">
        <v>10</v>
      </c>
      <c r="D137" s="226" t="s">
        <v>641</v>
      </c>
      <c r="E137" s="304">
        <v>4</v>
      </c>
      <c r="F137" s="304">
        <v>2000</v>
      </c>
      <c r="G137" s="304">
        <v>500</v>
      </c>
      <c r="H137" s="598"/>
      <c r="I137" s="199">
        <f t="shared" si="79"/>
        <v>4.5142857142857142</v>
      </c>
      <c r="J137" s="199">
        <f t="shared" si="79"/>
        <v>2043.0018447263101</v>
      </c>
      <c r="K137" s="468">
        <f t="shared" si="80"/>
        <v>458.68413889999658</v>
      </c>
      <c r="L137" s="588"/>
      <c r="M137" s="199">
        <f>RANK(K137, K$128:$K$142)</f>
        <v>3</v>
      </c>
    </row>
    <row r="138" spans="2:13">
      <c r="B138" s="533"/>
      <c r="C138" s="304">
        <v>11</v>
      </c>
      <c r="D138" s="313" t="s">
        <v>999</v>
      </c>
      <c r="E138" s="304">
        <v>11</v>
      </c>
      <c r="F138" s="304">
        <v>2250</v>
      </c>
      <c r="G138" s="304">
        <v>192.5</v>
      </c>
      <c r="H138" s="598"/>
      <c r="I138" s="427">
        <f t="shared" si="79"/>
        <v>10.142857142857142</v>
      </c>
      <c r="J138" s="427">
        <f t="shared" si="79"/>
        <v>2177.5144443359995</v>
      </c>
      <c r="K138" s="468">
        <f t="shared" si="80"/>
        <v>218.1800623309442</v>
      </c>
      <c r="L138" s="588"/>
      <c r="M138" s="199">
        <f>RANK(K138, K$128:$K$142)</f>
        <v>6</v>
      </c>
    </row>
    <row r="139" spans="2:13">
      <c r="B139" s="533"/>
      <c r="C139" s="304">
        <v>12</v>
      </c>
      <c r="D139" s="313" t="s">
        <v>996</v>
      </c>
      <c r="E139" s="304">
        <v>10</v>
      </c>
      <c r="F139" s="304">
        <v>2250</v>
      </c>
      <c r="G139" s="304">
        <v>225</v>
      </c>
      <c r="H139" s="598"/>
      <c r="I139" s="199">
        <v>10</v>
      </c>
      <c r="J139" s="199">
        <v>2213.7804878048787</v>
      </c>
      <c r="K139" s="468">
        <v>221.37804878048786</v>
      </c>
      <c r="L139" s="588"/>
      <c r="M139" s="199">
        <f>RANK(K139, K$128:$K$142)</f>
        <v>5</v>
      </c>
    </row>
    <row r="140" spans="2:13">
      <c r="B140" s="533"/>
      <c r="C140" s="304">
        <v>13</v>
      </c>
      <c r="D140" s="226"/>
      <c r="E140" s="304"/>
      <c r="F140" s="304"/>
      <c r="G140" s="304"/>
      <c r="H140" s="598"/>
      <c r="I140" s="199"/>
      <c r="J140" s="199"/>
      <c r="K140" s="468"/>
      <c r="L140" s="588"/>
      <c r="M140" s="199" t="e">
        <f>RANK(K140, K$128:$K$142)</f>
        <v>#N/A</v>
      </c>
    </row>
    <row r="141" spans="2:13">
      <c r="B141" s="533"/>
      <c r="C141" s="304">
        <v>14</v>
      </c>
      <c r="D141" s="226"/>
      <c r="E141" s="304"/>
      <c r="F141" s="304"/>
      <c r="G141" s="304"/>
      <c r="H141" s="598"/>
      <c r="I141" s="199"/>
      <c r="J141" s="199"/>
      <c r="K141" s="468"/>
      <c r="L141" s="588"/>
      <c r="M141" s="199" t="e">
        <f>RANK(K141, K$128:$K$142)</f>
        <v>#N/A</v>
      </c>
    </row>
    <row r="142" spans="2:13">
      <c r="B142" s="533"/>
      <c r="C142" s="304">
        <v>15</v>
      </c>
      <c r="D142" s="226"/>
      <c r="E142" s="304"/>
      <c r="F142" s="304"/>
      <c r="G142" s="304"/>
      <c r="H142" s="599"/>
      <c r="I142" s="199"/>
      <c r="J142" s="199"/>
      <c r="K142" s="468"/>
      <c r="L142" s="589"/>
      <c r="M142" s="199" t="e">
        <f>RANK(K142, K$128:$K$142)</f>
        <v>#N/A</v>
      </c>
    </row>
  </sheetData>
  <mergeCells count="367">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T22:AX22"/>
    <mergeCell ref="P23:T23"/>
    <mergeCell ref="U23:Y23"/>
    <mergeCell ref="Z23:AD23"/>
    <mergeCell ref="AE23:AI23"/>
    <mergeCell ref="AJ23:AN23"/>
    <mergeCell ref="AO23:AS23"/>
    <mergeCell ref="AT23:AX23"/>
    <mergeCell ref="AX7:AX21"/>
    <mergeCell ref="B22:H23"/>
    <mergeCell ref="N22:N23"/>
    <mergeCell ref="O22:O23"/>
    <mergeCell ref="P22:T22"/>
    <mergeCell ref="U22:Y22"/>
    <mergeCell ref="Z22:AD22"/>
    <mergeCell ref="AE22:AI22"/>
    <mergeCell ref="AJ22:AN22"/>
    <mergeCell ref="AO22:AS22"/>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102:H103"/>
    <mergeCell ref="N102:N103"/>
    <mergeCell ref="O102:O103"/>
    <mergeCell ref="P102:T102"/>
    <mergeCell ref="U102:Y102"/>
    <mergeCell ref="Z102:AD102"/>
    <mergeCell ref="AE102:AI102"/>
    <mergeCell ref="AJ102:AN102"/>
    <mergeCell ref="AO102:AS102"/>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s>
  <phoneticPr fontId="11" type="noConversion"/>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142"/>
  <sheetViews>
    <sheetView topLeftCell="A112" zoomScale="70" zoomScaleNormal="70" workbookViewId="0">
      <pane xSplit="15" topLeftCell="Q1" activePane="topRight" state="frozen"/>
      <selection activeCell="B144" sqref="B144:AX176"/>
      <selection pane="topRight" activeCell="D129" sqref="D129"/>
    </sheetView>
  </sheetViews>
  <sheetFormatPr defaultColWidth="8.81640625" defaultRowHeight="12.5"/>
  <cols>
    <col min="1" max="1" width="5.54296875" style="108" customWidth="1"/>
    <col min="2" max="2" width="12.453125" style="108" customWidth="1"/>
    <col min="3" max="3" width="8.81640625" style="107"/>
    <col min="4" max="4" width="26.453125" style="107" customWidth="1"/>
    <col min="5" max="7" width="8.453125" style="107" customWidth="1"/>
    <col min="8" max="8" width="11.1796875" style="107" bestFit="1" customWidth="1"/>
    <col min="9" max="12" width="11.1796875" style="107" customWidth="1"/>
    <col min="13" max="13" width="13.54296875" style="107" customWidth="1"/>
    <col min="14" max="14" width="9.81640625" style="107" customWidth="1"/>
    <col min="15" max="15" width="7.1796875" style="107" customWidth="1"/>
    <col min="16" max="18" width="12.81640625" style="107" customWidth="1"/>
    <col min="19" max="19" width="5.453125" style="107" customWidth="1"/>
    <col min="20" max="20" width="12.81640625" style="107" customWidth="1"/>
    <col min="21" max="23" width="12.81640625" style="108" customWidth="1"/>
    <col min="24" max="24" width="5.453125" style="107" customWidth="1"/>
    <col min="25" max="28" width="12.81640625" style="108" customWidth="1"/>
    <col min="29" max="29" width="5.453125" style="107" customWidth="1"/>
    <col min="30" max="30" width="12.81640625" style="108" customWidth="1"/>
    <col min="31" max="33" width="12.54296875" style="108" customWidth="1"/>
    <col min="34" max="34" width="5.453125" style="107" customWidth="1"/>
    <col min="35" max="35" width="13" style="108" customWidth="1"/>
    <col min="36" max="38" width="12.54296875" style="108" customWidth="1"/>
    <col min="39" max="39" width="5.453125" style="107" customWidth="1"/>
    <col min="40" max="40" width="13" style="108" customWidth="1"/>
    <col min="41" max="43" width="13.1796875" style="108" customWidth="1"/>
    <col min="44" max="44" width="5.453125" style="108" customWidth="1"/>
    <col min="45" max="48" width="13.1796875" style="108" customWidth="1"/>
    <col min="49" max="49" width="5.453125" style="108" customWidth="1"/>
    <col min="50" max="50" width="13.1796875" style="108" customWidth="1"/>
    <col min="51" max="16384" width="8.81640625" style="108"/>
  </cols>
  <sheetData>
    <row r="1" spans="1:54" ht="21">
      <c r="A1" s="75"/>
      <c r="B1" s="221" t="s">
        <v>330</v>
      </c>
      <c r="C1" s="220">
        <f>AVERAGE(L7,L27,L47,L67,L87,L107)</f>
        <v>114.26642916085584</v>
      </c>
    </row>
    <row r="2" spans="1:54" ht="15.5">
      <c r="A2" s="81"/>
      <c r="B2" s="555" t="s">
        <v>163</v>
      </c>
      <c r="C2" s="555"/>
      <c r="D2" s="555"/>
      <c r="E2" s="555"/>
      <c r="F2" s="555"/>
      <c r="G2" s="555"/>
      <c r="H2" s="555"/>
      <c r="I2" s="287"/>
      <c r="J2" s="287"/>
      <c r="K2" s="287"/>
      <c r="L2" s="287"/>
      <c r="M2" s="197"/>
      <c r="N2" s="559" t="s">
        <v>156</v>
      </c>
      <c r="O2" s="559" t="s">
        <v>155</v>
      </c>
      <c r="P2" s="607"/>
      <c r="Q2" s="608"/>
      <c r="R2" s="608"/>
      <c r="S2" s="608"/>
      <c r="T2" s="609"/>
      <c r="U2" s="554"/>
      <c r="V2" s="533"/>
      <c r="W2" s="533"/>
      <c r="X2" s="533"/>
      <c r="Y2" s="533"/>
      <c r="Z2" s="554"/>
      <c r="AA2" s="533"/>
      <c r="AB2" s="533"/>
      <c r="AC2" s="533"/>
      <c r="AD2" s="533"/>
      <c r="AE2" s="554"/>
      <c r="AF2" s="533"/>
      <c r="AG2" s="533"/>
      <c r="AH2" s="533"/>
      <c r="AI2" s="533"/>
      <c r="AJ2" s="554">
        <v>45962</v>
      </c>
      <c r="AK2" s="533"/>
      <c r="AL2" s="533"/>
      <c r="AM2" s="533"/>
      <c r="AN2" s="533"/>
      <c r="AO2" s="554">
        <f>AJ2+1</f>
        <v>45963</v>
      </c>
      <c r="AP2" s="533"/>
      <c r="AQ2" s="533"/>
      <c r="AR2" s="533"/>
      <c r="AS2" s="533"/>
      <c r="AT2" s="554">
        <v>46357</v>
      </c>
      <c r="AU2" s="533"/>
      <c r="AV2" s="533"/>
      <c r="AW2" s="533"/>
      <c r="AX2" s="533"/>
    </row>
    <row r="3" spans="1:54" ht="15.5">
      <c r="A3" s="81"/>
      <c r="B3" s="566"/>
      <c r="C3" s="566"/>
      <c r="D3" s="566"/>
      <c r="E3" s="566"/>
      <c r="F3" s="566"/>
      <c r="G3" s="566"/>
      <c r="H3" s="566"/>
      <c r="I3" s="288"/>
      <c r="J3" s="288"/>
      <c r="K3" s="288"/>
      <c r="L3" s="288"/>
      <c r="M3" s="198"/>
      <c r="N3" s="560"/>
      <c r="O3" s="560"/>
      <c r="P3" s="551"/>
      <c r="Q3" s="552"/>
      <c r="R3" s="552"/>
      <c r="S3" s="552"/>
      <c r="T3" s="553"/>
      <c r="U3" s="551"/>
      <c r="V3" s="552"/>
      <c r="W3" s="552"/>
      <c r="X3" s="552"/>
      <c r="Y3" s="553"/>
      <c r="Z3" s="551"/>
      <c r="AA3" s="552"/>
      <c r="AB3" s="552"/>
      <c r="AC3" s="552"/>
      <c r="AD3" s="553"/>
      <c r="AE3" s="551"/>
      <c r="AF3" s="552"/>
      <c r="AG3" s="552"/>
      <c r="AH3" s="552"/>
      <c r="AI3" s="553"/>
      <c r="AJ3" s="551" t="s">
        <v>160</v>
      </c>
      <c r="AK3" s="552"/>
      <c r="AL3" s="552"/>
      <c r="AM3" s="552"/>
      <c r="AN3" s="553"/>
      <c r="AO3" s="551" t="s">
        <v>161</v>
      </c>
      <c r="AP3" s="552"/>
      <c r="AQ3" s="552"/>
      <c r="AR3" s="552"/>
      <c r="AS3" s="553"/>
      <c r="AT3" s="551" t="s">
        <v>162</v>
      </c>
      <c r="AU3" s="552"/>
      <c r="AV3" s="552"/>
      <c r="AW3" s="552"/>
      <c r="AX3" s="553"/>
    </row>
    <row r="4" spans="1:54">
      <c r="A4" s="81"/>
      <c r="B4" s="544" t="s">
        <v>649</v>
      </c>
      <c r="C4" s="544" t="s">
        <v>650</v>
      </c>
      <c r="D4" s="544"/>
      <c r="E4" s="544" t="s">
        <v>651</v>
      </c>
      <c r="F4" s="544"/>
      <c r="G4" s="544"/>
      <c r="H4" s="561" t="s">
        <v>652</v>
      </c>
      <c r="I4" s="583" t="s">
        <v>653</v>
      </c>
      <c r="J4" s="583"/>
      <c r="K4" s="583"/>
      <c r="L4" s="584" t="s">
        <v>652</v>
      </c>
      <c r="M4" s="567" t="s">
        <v>654</v>
      </c>
      <c r="N4" s="544"/>
      <c r="O4" s="544" t="s">
        <v>655</v>
      </c>
      <c r="P4" s="548" t="s">
        <v>656</v>
      </c>
      <c r="Q4" s="549"/>
      <c r="R4" s="549"/>
      <c r="S4" s="550"/>
      <c r="T4" s="544" t="s">
        <v>652</v>
      </c>
      <c r="U4" s="548" t="s">
        <v>656</v>
      </c>
      <c r="V4" s="549"/>
      <c r="W4" s="549"/>
      <c r="X4" s="550"/>
      <c r="Y4" s="544" t="s">
        <v>652</v>
      </c>
      <c r="Z4" s="548" t="s">
        <v>656</v>
      </c>
      <c r="AA4" s="549"/>
      <c r="AB4" s="549"/>
      <c r="AC4" s="550"/>
      <c r="AD4" s="544" t="s">
        <v>652</v>
      </c>
      <c r="AE4" s="548" t="s">
        <v>656</v>
      </c>
      <c r="AF4" s="549"/>
      <c r="AG4" s="549"/>
      <c r="AH4" s="550"/>
      <c r="AI4" s="544" t="s">
        <v>652</v>
      </c>
      <c r="AJ4" s="548" t="s">
        <v>656</v>
      </c>
      <c r="AK4" s="549"/>
      <c r="AL4" s="549"/>
      <c r="AM4" s="550"/>
      <c r="AN4" s="544" t="s">
        <v>652</v>
      </c>
      <c r="AO4" s="548" t="s">
        <v>656</v>
      </c>
      <c r="AP4" s="549"/>
      <c r="AQ4" s="549"/>
      <c r="AR4" s="550"/>
      <c r="AS4" s="544" t="s">
        <v>652</v>
      </c>
      <c r="AT4" s="548" t="s">
        <v>656</v>
      </c>
      <c r="AU4" s="549"/>
      <c r="AV4" s="549"/>
      <c r="AW4" s="550"/>
      <c r="AX4" s="544" t="s">
        <v>652</v>
      </c>
    </row>
    <row r="5" spans="1:54">
      <c r="A5" s="81"/>
      <c r="B5" s="544"/>
      <c r="C5" s="544"/>
      <c r="D5" s="544"/>
      <c r="E5" s="544" t="s">
        <v>657</v>
      </c>
      <c r="F5" s="544"/>
      <c r="G5" s="544"/>
      <c r="H5" s="562"/>
      <c r="I5" s="583" t="s">
        <v>657</v>
      </c>
      <c r="J5" s="583"/>
      <c r="K5" s="583"/>
      <c r="L5" s="585"/>
      <c r="M5" s="568"/>
      <c r="N5" s="544"/>
      <c r="O5" s="544"/>
      <c r="P5" s="548" t="s">
        <v>658</v>
      </c>
      <c r="Q5" s="549"/>
      <c r="R5" s="549"/>
      <c r="S5" s="550"/>
      <c r="T5" s="544"/>
      <c r="U5" s="548" t="s">
        <v>658</v>
      </c>
      <c r="V5" s="549"/>
      <c r="W5" s="549"/>
      <c r="X5" s="550"/>
      <c r="Y5" s="544"/>
      <c r="Z5" s="548" t="s">
        <v>658</v>
      </c>
      <c r="AA5" s="549"/>
      <c r="AB5" s="549"/>
      <c r="AC5" s="550"/>
      <c r="AD5" s="544"/>
      <c r="AE5" s="548" t="s">
        <v>658</v>
      </c>
      <c r="AF5" s="549"/>
      <c r="AG5" s="549"/>
      <c r="AH5" s="550"/>
      <c r="AI5" s="544"/>
      <c r="AJ5" s="548" t="s">
        <v>658</v>
      </c>
      <c r="AK5" s="549"/>
      <c r="AL5" s="549"/>
      <c r="AM5" s="550"/>
      <c r="AN5" s="544"/>
      <c r="AO5" s="548" t="s">
        <v>658</v>
      </c>
      <c r="AP5" s="549"/>
      <c r="AQ5" s="549"/>
      <c r="AR5" s="550"/>
      <c r="AS5" s="544"/>
      <c r="AT5" s="548" t="s">
        <v>658</v>
      </c>
      <c r="AU5" s="549"/>
      <c r="AV5" s="549"/>
      <c r="AW5" s="550"/>
      <c r="AX5" s="544"/>
    </row>
    <row r="6" spans="1:54">
      <c r="A6" s="79"/>
      <c r="B6" s="544"/>
      <c r="C6" s="544"/>
      <c r="D6" s="544"/>
      <c r="E6" s="403" t="s">
        <v>659</v>
      </c>
      <c r="F6" s="403" t="s">
        <v>660</v>
      </c>
      <c r="G6" s="403" t="s">
        <v>661</v>
      </c>
      <c r="H6" s="563"/>
      <c r="I6" s="402" t="s">
        <v>659</v>
      </c>
      <c r="J6" s="402" t="s">
        <v>660</v>
      </c>
      <c r="K6" s="402" t="s">
        <v>661</v>
      </c>
      <c r="L6" s="586"/>
      <c r="M6" s="569"/>
      <c r="N6" s="544"/>
      <c r="O6" s="544"/>
      <c r="P6" s="403" t="s">
        <v>659</v>
      </c>
      <c r="Q6" s="403" t="s">
        <v>660</v>
      </c>
      <c r="R6" s="403" t="s">
        <v>661</v>
      </c>
      <c r="S6" s="403" t="s">
        <v>654</v>
      </c>
      <c r="T6" s="544"/>
      <c r="U6" s="403" t="s">
        <v>659</v>
      </c>
      <c r="V6" s="403" t="s">
        <v>660</v>
      </c>
      <c r="W6" s="403" t="s">
        <v>661</v>
      </c>
      <c r="X6" s="403" t="s">
        <v>654</v>
      </c>
      <c r="Y6" s="544"/>
      <c r="Z6" s="403" t="s">
        <v>659</v>
      </c>
      <c r="AA6" s="403" t="s">
        <v>660</v>
      </c>
      <c r="AB6" s="403" t="s">
        <v>661</v>
      </c>
      <c r="AC6" s="403" t="s">
        <v>654</v>
      </c>
      <c r="AD6" s="544"/>
      <c r="AE6" s="403" t="s">
        <v>659</v>
      </c>
      <c r="AF6" s="403" t="s">
        <v>660</v>
      </c>
      <c r="AG6" s="403" t="s">
        <v>661</v>
      </c>
      <c r="AH6" s="403" t="s">
        <v>654</v>
      </c>
      <c r="AI6" s="544"/>
      <c r="AJ6" s="403" t="s">
        <v>659</v>
      </c>
      <c r="AK6" s="403" t="s">
        <v>660</v>
      </c>
      <c r="AL6" s="403" t="s">
        <v>661</v>
      </c>
      <c r="AM6" s="403" t="s">
        <v>654</v>
      </c>
      <c r="AN6" s="544"/>
      <c r="AO6" s="403" t="s">
        <v>659</v>
      </c>
      <c r="AP6" s="403" t="s">
        <v>660</v>
      </c>
      <c r="AQ6" s="403" t="s">
        <v>661</v>
      </c>
      <c r="AR6" s="403" t="s">
        <v>654</v>
      </c>
      <c r="AS6" s="544"/>
      <c r="AT6" s="403" t="s">
        <v>659</v>
      </c>
      <c r="AU6" s="403" t="s">
        <v>660</v>
      </c>
      <c r="AV6" s="403" t="s">
        <v>661</v>
      </c>
      <c r="AW6" s="403" t="s">
        <v>654</v>
      </c>
      <c r="AX6" s="544"/>
    </row>
    <row r="7" spans="1:54">
      <c r="A7" s="81"/>
      <c r="B7" s="544" t="s">
        <v>703</v>
      </c>
      <c r="C7" s="404">
        <v>1</v>
      </c>
      <c r="D7" s="226" t="s">
        <v>579</v>
      </c>
      <c r="E7" s="182">
        <v>13</v>
      </c>
      <c r="F7" s="404">
        <v>1500</v>
      </c>
      <c r="G7" s="405">
        <v>115.38461538461539</v>
      </c>
      <c r="H7" s="597">
        <f>AVERAGE(G7:G21)</f>
        <v>115.38461538461539</v>
      </c>
      <c r="I7" s="408"/>
      <c r="J7" s="408"/>
      <c r="K7" s="406"/>
      <c r="L7" s="587">
        <f>IFERROR(AVERAGE(K7:K21),"-")</f>
        <v>114.33566433566435</v>
      </c>
      <c r="M7" s="407" t="e">
        <f>RANK(K7, $K$7:K$21)</f>
        <v>#N/A</v>
      </c>
      <c r="N7" s="544"/>
      <c r="O7" s="544"/>
      <c r="P7" s="182"/>
      <c r="Q7" s="182"/>
      <c r="R7" s="405"/>
      <c r="S7" s="404" t="e">
        <f>RANK(R7, R$7:R$21)</f>
        <v>#N/A</v>
      </c>
      <c r="T7" s="534" t="e">
        <f>AVERAGE(R7:R21)</f>
        <v>#DIV/0!</v>
      </c>
      <c r="U7" s="182"/>
      <c r="V7" s="182"/>
      <c r="W7" s="405"/>
      <c r="X7" s="404" t="e">
        <f t="shared" ref="X7:X21" si="0">RANK(W7, W$7:W$21)</f>
        <v>#N/A</v>
      </c>
      <c r="Y7" s="534" t="e">
        <f t="shared" ref="Y7" si="1">AVERAGE(W7:W21)</f>
        <v>#DIV/0!</v>
      </c>
      <c r="Z7" s="182"/>
      <c r="AA7" s="182"/>
      <c r="AB7" s="405"/>
      <c r="AC7" s="404" t="e">
        <f t="shared" ref="AC7:AC21" si="2">RANK(AB7, AB$7:AB$21)</f>
        <v>#N/A</v>
      </c>
      <c r="AD7" s="534" t="e">
        <f t="shared" ref="AD7" si="3">AVERAGE(AB7:AB21)</f>
        <v>#DIV/0!</v>
      </c>
      <c r="AE7" s="182"/>
      <c r="AF7" s="182"/>
      <c r="AG7" s="405"/>
      <c r="AH7" s="404" t="e">
        <f t="shared" ref="AH7:AH21" si="4">RANK(AG7, AG$7:AG$21)</f>
        <v>#N/A</v>
      </c>
      <c r="AI7" s="534" t="e">
        <f t="shared" ref="AI7" si="5">AVERAGE(AG7:AG21)</f>
        <v>#DIV/0!</v>
      </c>
      <c r="AJ7" s="182"/>
      <c r="AK7" s="182"/>
      <c r="AL7" s="405"/>
      <c r="AM7" s="404" t="e">
        <f t="shared" ref="AM7:AM21" si="6">RANK(AL7, AL$7:AL$21)</f>
        <v>#N/A</v>
      </c>
      <c r="AN7" s="534" t="e">
        <f t="shared" ref="AN7" si="7">AVERAGE(AL7:AL21)</f>
        <v>#DIV/0!</v>
      </c>
      <c r="AO7" s="182"/>
      <c r="AP7" s="182"/>
      <c r="AQ7" s="405"/>
      <c r="AR7" s="404" t="e">
        <f t="shared" ref="AR7:AR21" si="8">RANK(AQ7, AQ$7:AQ$21)</f>
        <v>#N/A</v>
      </c>
      <c r="AS7" s="534" t="e">
        <f t="shared" ref="AS7" si="9">AVERAGE(AQ7:AQ21)</f>
        <v>#DIV/0!</v>
      </c>
      <c r="AT7" s="182"/>
      <c r="AU7" s="182"/>
      <c r="AV7" s="405"/>
      <c r="AW7" s="404" t="e">
        <f>RANK(AV7, AV$7:AV$21)</f>
        <v>#N/A</v>
      </c>
      <c r="AX7" s="534">
        <f>AVERAGE(AV7:AV21)</f>
        <v>114.33566433566435</v>
      </c>
      <c r="AZ7" s="321" t="e">
        <f>RANK(AX7, $K$7:AX$21)</f>
        <v>#N/A</v>
      </c>
      <c r="BB7" s="318" t="e">
        <f>RANK(BA7, BA$7:BA$21)</f>
        <v>#N/A</v>
      </c>
    </row>
    <row r="8" spans="1:54" ht="15" customHeight="1">
      <c r="A8" s="81"/>
      <c r="B8" s="533"/>
      <c r="C8" s="404">
        <v>2</v>
      </c>
      <c r="D8" s="226" t="s">
        <v>610</v>
      </c>
      <c r="E8" s="182">
        <v>13</v>
      </c>
      <c r="F8" s="404">
        <v>1500</v>
      </c>
      <c r="G8" s="405">
        <v>115.38461538461539</v>
      </c>
      <c r="H8" s="598"/>
      <c r="I8" s="408">
        <f t="shared" ref="I8:K8" si="10">AVERAGE(P8,U8,Z8,AE8,AJ8,AO8,AT8)</f>
        <v>13</v>
      </c>
      <c r="J8" s="408">
        <f t="shared" si="10"/>
        <v>1486.3636363636365</v>
      </c>
      <c r="K8" s="406">
        <f t="shared" si="10"/>
        <v>114.33566433566435</v>
      </c>
      <c r="L8" s="588"/>
      <c r="M8" s="407">
        <f>RANK(K8, $K$7:K$21)</f>
        <v>1</v>
      </c>
      <c r="N8" s="544"/>
      <c r="O8" s="544"/>
      <c r="P8" s="404"/>
      <c r="Q8" s="182"/>
      <c r="R8" s="405"/>
      <c r="S8" s="404" t="e">
        <f t="shared" ref="S8:S21" si="11">RANK(R8, R$7:R$21)</f>
        <v>#N/A</v>
      </c>
      <c r="T8" s="534"/>
      <c r="U8" s="404"/>
      <c r="V8" s="182"/>
      <c r="W8" s="405"/>
      <c r="X8" s="404" t="e">
        <f t="shared" si="0"/>
        <v>#N/A</v>
      </c>
      <c r="Y8" s="534"/>
      <c r="Z8" s="404"/>
      <c r="AA8" s="182"/>
      <c r="AB8" s="405"/>
      <c r="AC8" s="404" t="e">
        <f t="shared" si="2"/>
        <v>#N/A</v>
      </c>
      <c r="AD8" s="534"/>
      <c r="AE8" s="404"/>
      <c r="AF8" s="182"/>
      <c r="AG8" s="405"/>
      <c r="AH8" s="404" t="e">
        <f t="shared" si="4"/>
        <v>#N/A</v>
      </c>
      <c r="AI8" s="534"/>
      <c r="AJ8" s="404"/>
      <c r="AK8" s="182"/>
      <c r="AL8" s="405"/>
      <c r="AM8" s="404" t="e">
        <f t="shared" si="6"/>
        <v>#N/A</v>
      </c>
      <c r="AN8" s="534"/>
      <c r="AO8" s="404"/>
      <c r="AP8" s="182"/>
      <c r="AQ8" s="405"/>
      <c r="AR8" s="404" t="e">
        <f t="shared" si="8"/>
        <v>#N/A</v>
      </c>
      <c r="AS8" s="534"/>
      <c r="AT8" s="404">
        <v>13</v>
      </c>
      <c r="AU8" s="182">
        <v>1486.3636363636365</v>
      </c>
      <c r="AV8" s="405">
        <v>114.33566433566435</v>
      </c>
      <c r="AW8" s="404">
        <f t="shared" ref="AW8:AW21" si="12">RANK(AV8, AV$7:AV$21)</f>
        <v>1</v>
      </c>
      <c r="AX8" s="534"/>
      <c r="AZ8" s="321" t="e">
        <f>RANK(AX8, $K$7:AX$21)</f>
        <v>#N/A</v>
      </c>
      <c r="BB8" s="318" t="e">
        <f t="shared" ref="BB8:BB21" si="13">RANK(BA8, BA$7:BA$21)</f>
        <v>#N/A</v>
      </c>
    </row>
    <row r="9" spans="1:54">
      <c r="A9" s="81"/>
      <c r="B9" s="533"/>
      <c r="C9" s="404">
        <v>3</v>
      </c>
      <c r="D9" s="226"/>
      <c r="E9" s="182"/>
      <c r="F9" s="404"/>
      <c r="G9" s="405"/>
      <c r="H9" s="598"/>
      <c r="I9" s="408"/>
      <c r="J9" s="408"/>
      <c r="K9" s="406"/>
      <c r="L9" s="588"/>
      <c r="M9" s="407" t="e">
        <f>RANK(K9, $K$7:K$21)</f>
        <v>#N/A</v>
      </c>
      <c r="N9" s="544"/>
      <c r="O9" s="544"/>
      <c r="P9" s="404"/>
      <c r="Q9" s="404"/>
      <c r="R9" s="404"/>
      <c r="S9" s="404" t="e">
        <f t="shared" si="11"/>
        <v>#N/A</v>
      </c>
      <c r="T9" s="534"/>
      <c r="U9" s="404"/>
      <c r="V9" s="404"/>
      <c r="W9" s="404"/>
      <c r="X9" s="404" t="e">
        <f t="shared" si="0"/>
        <v>#N/A</v>
      </c>
      <c r="Y9" s="534"/>
      <c r="Z9" s="404"/>
      <c r="AA9" s="404"/>
      <c r="AB9" s="404"/>
      <c r="AC9" s="404" t="e">
        <f t="shared" si="2"/>
        <v>#N/A</v>
      </c>
      <c r="AD9" s="534"/>
      <c r="AE9" s="404"/>
      <c r="AF9" s="404"/>
      <c r="AG9" s="404"/>
      <c r="AH9" s="404" t="e">
        <f t="shared" si="4"/>
        <v>#N/A</v>
      </c>
      <c r="AI9" s="534"/>
      <c r="AJ9" s="404"/>
      <c r="AK9" s="404"/>
      <c r="AL9" s="404"/>
      <c r="AM9" s="404" t="e">
        <f t="shared" si="6"/>
        <v>#N/A</v>
      </c>
      <c r="AN9" s="534"/>
      <c r="AO9" s="404"/>
      <c r="AP9" s="404"/>
      <c r="AQ9" s="404"/>
      <c r="AR9" s="404" t="e">
        <f t="shared" si="8"/>
        <v>#N/A</v>
      </c>
      <c r="AS9" s="534"/>
      <c r="AT9" s="404"/>
      <c r="AU9" s="404"/>
      <c r="AV9" s="404"/>
      <c r="AW9" s="404" t="e">
        <f t="shared" si="12"/>
        <v>#N/A</v>
      </c>
      <c r="AX9" s="534"/>
      <c r="AZ9" s="321" t="e">
        <f>RANK(AX9, $K$7:AX$21)</f>
        <v>#N/A</v>
      </c>
      <c r="BB9" s="318" t="e">
        <f t="shared" si="13"/>
        <v>#N/A</v>
      </c>
    </row>
    <row r="10" spans="1:54">
      <c r="A10" s="81"/>
      <c r="B10" s="533"/>
      <c r="C10" s="404">
        <v>4</v>
      </c>
      <c r="D10" s="226"/>
      <c r="E10" s="182"/>
      <c r="F10" s="404"/>
      <c r="G10" s="405"/>
      <c r="H10" s="598"/>
      <c r="I10" s="408"/>
      <c r="J10" s="408"/>
      <c r="K10" s="406"/>
      <c r="L10" s="588"/>
      <c r="M10" s="407" t="e">
        <f>RANK(K10, $K$7:K$21)</f>
        <v>#N/A</v>
      </c>
      <c r="N10" s="544"/>
      <c r="O10" s="544"/>
      <c r="P10" s="404"/>
      <c r="Q10" s="404"/>
      <c r="R10" s="404"/>
      <c r="S10" s="404" t="e">
        <f t="shared" si="11"/>
        <v>#N/A</v>
      </c>
      <c r="T10" s="534"/>
      <c r="U10" s="404"/>
      <c r="V10" s="404"/>
      <c r="W10" s="404"/>
      <c r="X10" s="404" t="e">
        <f t="shared" si="0"/>
        <v>#N/A</v>
      </c>
      <c r="Y10" s="534"/>
      <c r="Z10" s="404"/>
      <c r="AA10" s="404"/>
      <c r="AB10" s="404"/>
      <c r="AC10" s="404" t="e">
        <f t="shared" si="2"/>
        <v>#N/A</v>
      </c>
      <c r="AD10" s="534"/>
      <c r="AE10" s="404"/>
      <c r="AF10" s="404"/>
      <c r="AG10" s="404"/>
      <c r="AH10" s="404" t="e">
        <f t="shared" si="4"/>
        <v>#N/A</v>
      </c>
      <c r="AI10" s="534"/>
      <c r="AJ10" s="404"/>
      <c r="AK10" s="404"/>
      <c r="AL10" s="404"/>
      <c r="AM10" s="404" t="e">
        <f t="shared" si="6"/>
        <v>#N/A</v>
      </c>
      <c r="AN10" s="534"/>
      <c r="AO10" s="404"/>
      <c r="AP10" s="404"/>
      <c r="AQ10" s="404"/>
      <c r="AR10" s="404" t="e">
        <f t="shared" si="8"/>
        <v>#N/A</v>
      </c>
      <c r="AS10" s="534"/>
      <c r="AT10" s="404"/>
      <c r="AU10" s="404"/>
      <c r="AV10" s="404"/>
      <c r="AW10" s="404" t="e">
        <f t="shared" si="12"/>
        <v>#N/A</v>
      </c>
      <c r="AX10" s="534"/>
      <c r="AZ10" s="321" t="e">
        <f>RANK(AX10, $K$7:AX$21)</f>
        <v>#N/A</v>
      </c>
      <c r="BB10" s="318" t="e">
        <f t="shared" si="13"/>
        <v>#N/A</v>
      </c>
    </row>
    <row r="11" spans="1:54">
      <c r="A11" s="81"/>
      <c r="B11" s="533"/>
      <c r="C11" s="404">
        <v>5</v>
      </c>
      <c r="D11" s="226"/>
      <c r="E11" s="182"/>
      <c r="F11" s="404"/>
      <c r="G11" s="405"/>
      <c r="H11" s="598"/>
      <c r="I11" s="408"/>
      <c r="J11" s="408"/>
      <c r="K11" s="406"/>
      <c r="L11" s="588"/>
      <c r="M11" s="407" t="e">
        <f>RANK(K11, $K$7:K$21)</f>
        <v>#N/A</v>
      </c>
      <c r="N11" s="544"/>
      <c r="O11" s="544"/>
      <c r="P11" s="404"/>
      <c r="Q11" s="404"/>
      <c r="R11" s="404"/>
      <c r="S11" s="404" t="e">
        <f t="shared" si="11"/>
        <v>#N/A</v>
      </c>
      <c r="T11" s="534"/>
      <c r="U11" s="404"/>
      <c r="V11" s="404"/>
      <c r="W11" s="404"/>
      <c r="X11" s="404" t="e">
        <f t="shared" si="0"/>
        <v>#N/A</v>
      </c>
      <c r="Y11" s="534"/>
      <c r="Z11" s="404"/>
      <c r="AA11" s="404"/>
      <c r="AB11" s="404"/>
      <c r="AC11" s="404" t="e">
        <f t="shared" si="2"/>
        <v>#N/A</v>
      </c>
      <c r="AD11" s="534"/>
      <c r="AE11" s="404"/>
      <c r="AF11" s="404"/>
      <c r="AG11" s="404"/>
      <c r="AH11" s="404" t="e">
        <f t="shared" si="4"/>
        <v>#N/A</v>
      </c>
      <c r="AI11" s="534"/>
      <c r="AJ11" s="404"/>
      <c r="AK11" s="404"/>
      <c r="AL11" s="404"/>
      <c r="AM11" s="404" t="e">
        <f t="shared" si="6"/>
        <v>#N/A</v>
      </c>
      <c r="AN11" s="534"/>
      <c r="AO11" s="404"/>
      <c r="AP11" s="404"/>
      <c r="AQ11" s="404"/>
      <c r="AR11" s="404" t="e">
        <f t="shared" si="8"/>
        <v>#N/A</v>
      </c>
      <c r="AS11" s="534"/>
      <c r="AT11" s="404"/>
      <c r="AU11" s="404"/>
      <c r="AV11" s="404"/>
      <c r="AW11" s="404" t="e">
        <f t="shared" si="12"/>
        <v>#N/A</v>
      </c>
      <c r="AX11" s="534"/>
      <c r="AZ11" s="321" t="e">
        <f>RANK(AX11, $K$7:AX$21)</f>
        <v>#N/A</v>
      </c>
      <c r="BB11" s="318" t="e">
        <f t="shared" si="13"/>
        <v>#N/A</v>
      </c>
    </row>
    <row r="12" spans="1:54">
      <c r="A12" s="81"/>
      <c r="B12" s="533"/>
      <c r="C12" s="404">
        <v>6</v>
      </c>
      <c r="D12" s="226"/>
      <c r="E12" s="182"/>
      <c r="F12" s="404"/>
      <c r="G12" s="405"/>
      <c r="H12" s="598"/>
      <c r="I12" s="408"/>
      <c r="J12" s="408"/>
      <c r="K12" s="406"/>
      <c r="L12" s="588"/>
      <c r="M12" s="407" t="e">
        <f>RANK(K12, $K$7:K$21)</f>
        <v>#N/A</v>
      </c>
      <c r="N12" s="544"/>
      <c r="O12" s="544"/>
      <c r="P12" s="404"/>
      <c r="Q12" s="404"/>
      <c r="R12" s="404"/>
      <c r="S12" s="404" t="e">
        <f t="shared" si="11"/>
        <v>#N/A</v>
      </c>
      <c r="T12" s="534"/>
      <c r="U12" s="404"/>
      <c r="V12" s="404"/>
      <c r="W12" s="404"/>
      <c r="X12" s="404" t="e">
        <f t="shared" si="0"/>
        <v>#N/A</v>
      </c>
      <c r="Y12" s="534"/>
      <c r="Z12" s="404"/>
      <c r="AA12" s="404"/>
      <c r="AB12" s="404"/>
      <c r="AC12" s="404" t="e">
        <f t="shared" si="2"/>
        <v>#N/A</v>
      </c>
      <c r="AD12" s="534"/>
      <c r="AE12" s="404"/>
      <c r="AF12" s="404"/>
      <c r="AG12" s="404"/>
      <c r="AH12" s="404" t="e">
        <f t="shared" si="4"/>
        <v>#N/A</v>
      </c>
      <c r="AI12" s="534"/>
      <c r="AJ12" s="404"/>
      <c r="AK12" s="404"/>
      <c r="AL12" s="404"/>
      <c r="AM12" s="404" t="e">
        <f t="shared" si="6"/>
        <v>#N/A</v>
      </c>
      <c r="AN12" s="534"/>
      <c r="AO12" s="404"/>
      <c r="AP12" s="404"/>
      <c r="AQ12" s="404"/>
      <c r="AR12" s="404" t="e">
        <f t="shared" si="8"/>
        <v>#N/A</v>
      </c>
      <c r="AS12" s="534"/>
      <c r="AT12" s="404"/>
      <c r="AU12" s="404"/>
      <c r="AV12" s="404"/>
      <c r="AW12" s="404" t="e">
        <f t="shared" si="12"/>
        <v>#N/A</v>
      </c>
      <c r="AX12" s="534"/>
      <c r="AZ12" s="321" t="e">
        <f>RANK(AX12, $K$7:AX$21)</f>
        <v>#N/A</v>
      </c>
      <c r="BB12" s="318" t="e">
        <f t="shared" si="13"/>
        <v>#N/A</v>
      </c>
    </row>
    <row r="13" spans="1:54">
      <c r="A13" s="81"/>
      <c r="B13" s="533"/>
      <c r="C13" s="404">
        <v>7</v>
      </c>
      <c r="D13" s="226"/>
      <c r="E13" s="182"/>
      <c r="F13" s="404"/>
      <c r="G13" s="405"/>
      <c r="H13" s="598"/>
      <c r="I13" s="408"/>
      <c r="J13" s="408"/>
      <c r="K13" s="406"/>
      <c r="L13" s="588"/>
      <c r="M13" s="407" t="e">
        <f>RANK(K13, $K$7:K$21)</f>
        <v>#N/A</v>
      </c>
      <c r="N13" s="544"/>
      <c r="O13" s="544"/>
      <c r="P13" s="404"/>
      <c r="Q13" s="404"/>
      <c r="R13" s="404"/>
      <c r="S13" s="404" t="e">
        <f t="shared" si="11"/>
        <v>#N/A</v>
      </c>
      <c r="T13" s="534"/>
      <c r="U13" s="404"/>
      <c r="V13" s="404"/>
      <c r="W13" s="404"/>
      <c r="X13" s="404" t="e">
        <f t="shared" si="0"/>
        <v>#N/A</v>
      </c>
      <c r="Y13" s="534"/>
      <c r="Z13" s="404"/>
      <c r="AA13" s="404"/>
      <c r="AB13" s="404"/>
      <c r="AC13" s="404" t="e">
        <f t="shared" si="2"/>
        <v>#N/A</v>
      </c>
      <c r="AD13" s="534"/>
      <c r="AE13" s="404"/>
      <c r="AF13" s="404"/>
      <c r="AG13" s="404"/>
      <c r="AH13" s="404" t="e">
        <f t="shared" si="4"/>
        <v>#N/A</v>
      </c>
      <c r="AI13" s="534"/>
      <c r="AJ13" s="404"/>
      <c r="AK13" s="404"/>
      <c r="AL13" s="404"/>
      <c r="AM13" s="404" t="e">
        <f t="shared" si="6"/>
        <v>#N/A</v>
      </c>
      <c r="AN13" s="534"/>
      <c r="AO13" s="404"/>
      <c r="AP13" s="404"/>
      <c r="AQ13" s="404"/>
      <c r="AR13" s="404" t="e">
        <f t="shared" si="8"/>
        <v>#N/A</v>
      </c>
      <c r="AS13" s="534"/>
      <c r="AT13" s="404"/>
      <c r="AU13" s="404"/>
      <c r="AV13" s="404"/>
      <c r="AW13" s="404" t="e">
        <f t="shared" si="12"/>
        <v>#N/A</v>
      </c>
      <c r="AX13" s="534"/>
      <c r="AZ13" s="321" t="e">
        <f>RANK(AX13, $K$7:AX$21)</f>
        <v>#N/A</v>
      </c>
      <c r="BB13" s="318" t="e">
        <f t="shared" si="13"/>
        <v>#N/A</v>
      </c>
    </row>
    <row r="14" spans="1:54">
      <c r="A14" s="81"/>
      <c r="B14" s="533"/>
      <c r="C14" s="404">
        <v>8</v>
      </c>
      <c r="D14" s="226"/>
      <c r="E14" s="182"/>
      <c r="F14" s="404"/>
      <c r="G14" s="405"/>
      <c r="H14" s="598"/>
      <c r="I14" s="408"/>
      <c r="J14" s="408"/>
      <c r="K14" s="406"/>
      <c r="L14" s="588"/>
      <c r="M14" s="407" t="e">
        <f>RANK(K14, $K$7:K$21)</f>
        <v>#N/A</v>
      </c>
      <c r="N14" s="544"/>
      <c r="O14" s="544"/>
      <c r="P14" s="404"/>
      <c r="Q14" s="404"/>
      <c r="R14" s="404"/>
      <c r="S14" s="404" t="e">
        <f t="shared" si="11"/>
        <v>#N/A</v>
      </c>
      <c r="T14" s="534"/>
      <c r="U14" s="404"/>
      <c r="V14" s="404"/>
      <c r="W14" s="404"/>
      <c r="X14" s="404" t="e">
        <f t="shared" si="0"/>
        <v>#N/A</v>
      </c>
      <c r="Y14" s="534"/>
      <c r="Z14" s="404"/>
      <c r="AA14" s="404"/>
      <c r="AB14" s="404"/>
      <c r="AC14" s="404" t="e">
        <f t="shared" si="2"/>
        <v>#N/A</v>
      </c>
      <c r="AD14" s="534"/>
      <c r="AE14" s="404"/>
      <c r="AF14" s="404"/>
      <c r="AG14" s="404"/>
      <c r="AH14" s="404" t="e">
        <f t="shared" si="4"/>
        <v>#N/A</v>
      </c>
      <c r="AI14" s="534"/>
      <c r="AJ14" s="404"/>
      <c r="AK14" s="404"/>
      <c r="AL14" s="404"/>
      <c r="AM14" s="404" t="e">
        <f t="shared" si="6"/>
        <v>#N/A</v>
      </c>
      <c r="AN14" s="534"/>
      <c r="AO14" s="404"/>
      <c r="AP14" s="404"/>
      <c r="AQ14" s="404"/>
      <c r="AR14" s="404" t="e">
        <f t="shared" si="8"/>
        <v>#N/A</v>
      </c>
      <c r="AS14" s="534"/>
      <c r="AT14" s="404"/>
      <c r="AU14" s="404"/>
      <c r="AV14" s="404"/>
      <c r="AW14" s="404" t="e">
        <f t="shared" si="12"/>
        <v>#N/A</v>
      </c>
      <c r="AX14" s="534"/>
      <c r="AZ14" s="321" t="e">
        <f>RANK(AX14, $K$7:AX$21)</f>
        <v>#N/A</v>
      </c>
      <c r="BB14" s="318" t="e">
        <f t="shared" si="13"/>
        <v>#N/A</v>
      </c>
    </row>
    <row r="15" spans="1:54">
      <c r="A15" s="81"/>
      <c r="B15" s="533"/>
      <c r="C15" s="404">
        <v>9</v>
      </c>
      <c r="D15" s="226"/>
      <c r="E15" s="182"/>
      <c r="F15" s="404"/>
      <c r="G15" s="405"/>
      <c r="H15" s="598"/>
      <c r="I15" s="408"/>
      <c r="J15" s="408"/>
      <c r="K15" s="406"/>
      <c r="L15" s="588"/>
      <c r="M15" s="407" t="e">
        <f>RANK(K15, $K$7:K$21)</f>
        <v>#N/A</v>
      </c>
      <c r="N15" s="544"/>
      <c r="O15" s="544"/>
      <c r="P15" s="404"/>
      <c r="Q15" s="404"/>
      <c r="R15" s="404"/>
      <c r="S15" s="404" t="e">
        <f t="shared" si="11"/>
        <v>#N/A</v>
      </c>
      <c r="T15" s="534"/>
      <c r="U15" s="404"/>
      <c r="V15" s="404"/>
      <c r="W15" s="404"/>
      <c r="X15" s="404" t="e">
        <f t="shared" si="0"/>
        <v>#N/A</v>
      </c>
      <c r="Y15" s="534"/>
      <c r="Z15" s="404"/>
      <c r="AA15" s="404"/>
      <c r="AB15" s="404"/>
      <c r="AC15" s="404" t="e">
        <f t="shared" si="2"/>
        <v>#N/A</v>
      </c>
      <c r="AD15" s="534"/>
      <c r="AE15" s="404"/>
      <c r="AF15" s="404"/>
      <c r="AG15" s="404"/>
      <c r="AH15" s="404" t="e">
        <f t="shared" si="4"/>
        <v>#N/A</v>
      </c>
      <c r="AI15" s="534"/>
      <c r="AJ15" s="404"/>
      <c r="AK15" s="404"/>
      <c r="AL15" s="404"/>
      <c r="AM15" s="404" t="e">
        <f t="shared" si="6"/>
        <v>#N/A</v>
      </c>
      <c r="AN15" s="534"/>
      <c r="AO15" s="404"/>
      <c r="AP15" s="404"/>
      <c r="AQ15" s="404"/>
      <c r="AR15" s="404" t="e">
        <f t="shared" si="8"/>
        <v>#N/A</v>
      </c>
      <c r="AS15" s="534"/>
      <c r="AT15" s="404"/>
      <c r="AU15" s="404"/>
      <c r="AV15" s="404"/>
      <c r="AW15" s="404" t="e">
        <f t="shared" si="12"/>
        <v>#N/A</v>
      </c>
      <c r="AX15" s="534"/>
      <c r="AZ15" s="321" t="e">
        <f>RANK(AX15, $K$7:AX$21)</f>
        <v>#N/A</v>
      </c>
      <c r="BB15" s="318" t="e">
        <f t="shared" si="13"/>
        <v>#N/A</v>
      </c>
    </row>
    <row r="16" spans="1:54">
      <c r="A16" s="81"/>
      <c r="B16" s="533"/>
      <c r="C16" s="404">
        <v>10</v>
      </c>
      <c r="D16" s="226"/>
      <c r="E16" s="182"/>
      <c r="F16" s="404"/>
      <c r="G16" s="405"/>
      <c r="H16" s="598"/>
      <c r="I16" s="408"/>
      <c r="J16" s="408"/>
      <c r="K16" s="406"/>
      <c r="L16" s="588"/>
      <c r="M16" s="407" t="e">
        <f>RANK(K16, $K$7:K$21)</f>
        <v>#N/A</v>
      </c>
      <c r="N16" s="544"/>
      <c r="O16" s="544"/>
      <c r="P16" s="404"/>
      <c r="Q16" s="404"/>
      <c r="R16" s="404"/>
      <c r="S16" s="404" t="e">
        <f t="shared" si="11"/>
        <v>#N/A</v>
      </c>
      <c r="T16" s="534"/>
      <c r="U16" s="404"/>
      <c r="V16" s="404"/>
      <c r="W16" s="404"/>
      <c r="X16" s="404" t="e">
        <f t="shared" si="0"/>
        <v>#N/A</v>
      </c>
      <c r="Y16" s="534"/>
      <c r="Z16" s="404"/>
      <c r="AA16" s="404"/>
      <c r="AB16" s="404"/>
      <c r="AC16" s="404" t="e">
        <f t="shared" si="2"/>
        <v>#N/A</v>
      </c>
      <c r="AD16" s="534"/>
      <c r="AE16" s="404"/>
      <c r="AF16" s="404"/>
      <c r="AG16" s="404"/>
      <c r="AH16" s="404" t="e">
        <f t="shared" si="4"/>
        <v>#N/A</v>
      </c>
      <c r="AI16" s="534"/>
      <c r="AJ16" s="404"/>
      <c r="AK16" s="404"/>
      <c r="AL16" s="404"/>
      <c r="AM16" s="404" t="e">
        <f t="shared" si="6"/>
        <v>#N/A</v>
      </c>
      <c r="AN16" s="534"/>
      <c r="AO16" s="404"/>
      <c r="AP16" s="404"/>
      <c r="AQ16" s="404"/>
      <c r="AR16" s="404" t="e">
        <f t="shared" si="8"/>
        <v>#N/A</v>
      </c>
      <c r="AS16" s="534"/>
      <c r="AT16" s="404"/>
      <c r="AU16" s="404"/>
      <c r="AV16" s="404"/>
      <c r="AW16" s="404" t="e">
        <f t="shared" si="12"/>
        <v>#N/A</v>
      </c>
      <c r="AX16" s="534"/>
      <c r="AZ16" s="321" t="e">
        <f>RANK(AX16, $K$7:AX$21)</f>
        <v>#N/A</v>
      </c>
      <c r="BB16" s="318" t="e">
        <f t="shared" si="13"/>
        <v>#N/A</v>
      </c>
    </row>
    <row r="17" spans="2:54">
      <c r="B17" s="533"/>
      <c r="C17" s="404">
        <v>11</v>
      </c>
      <c r="D17" s="226"/>
      <c r="E17" s="182"/>
      <c r="F17" s="404"/>
      <c r="G17" s="405"/>
      <c r="H17" s="598"/>
      <c r="I17" s="202"/>
      <c r="J17" s="202"/>
      <c r="K17" s="202"/>
      <c r="L17" s="588"/>
      <c r="M17" s="407" t="e">
        <f>RANK(K17, $K$7:K$21)</f>
        <v>#N/A</v>
      </c>
      <c r="N17" s="544"/>
      <c r="O17" s="544"/>
      <c r="P17" s="404"/>
      <c r="Q17" s="404"/>
      <c r="R17" s="404"/>
      <c r="S17" s="404" t="e">
        <f t="shared" si="11"/>
        <v>#N/A</v>
      </c>
      <c r="T17" s="534"/>
      <c r="U17" s="404"/>
      <c r="V17" s="404"/>
      <c r="W17" s="404"/>
      <c r="X17" s="404" t="e">
        <f t="shared" si="0"/>
        <v>#N/A</v>
      </c>
      <c r="Y17" s="534"/>
      <c r="Z17" s="404"/>
      <c r="AA17" s="404"/>
      <c r="AB17" s="404"/>
      <c r="AC17" s="404" t="e">
        <f t="shared" si="2"/>
        <v>#N/A</v>
      </c>
      <c r="AD17" s="534"/>
      <c r="AE17" s="404"/>
      <c r="AF17" s="404"/>
      <c r="AG17" s="404"/>
      <c r="AH17" s="404" t="e">
        <f t="shared" si="4"/>
        <v>#N/A</v>
      </c>
      <c r="AI17" s="534"/>
      <c r="AJ17" s="404"/>
      <c r="AK17" s="404"/>
      <c r="AL17" s="404"/>
      <c r="AM17" s="404" t="e">
        <f t="shared" si="6"/>
        <v>#N/A</v>
      </c>
      <c r="AN17" s="534"/>
      <c r="AO17" s="404"/>
      <c r="AP17" s="404"/>
      <c r="AQ17" s="404"/>
      <c r="AR17" s="404" t="e">
        <f t="shared" si="8"/>
        <v>#N/A</v>
      </c>
      <c r="AS17" s="534"/>
      <c r="AT17" s="404"/>
      <c r="AU17" s="404"/>
      <c r="AV17" s="404"/>
      <c r="AW17" s="404" t="e">
        <f t="shared" si="12"/>
        <v>#N/A</v>
      </c>
      <c r="AX17" s="534"/>
      <c r="AZ17" s="321" t="e">
        <f>RANK(AX17, $K$7:AX$21)</f>
        <v>#N/A</v>
      </c>
      <c r="BB17" s="318" t="e">
        <f t="shared" si="13"/>
        <v>#N/A</v>
      </c>
    </row>
    <row r="18" spans="2:54">
      <c r="B18" s="533"/>
      <c r="C18" s="404">
        <v>12</v>
      </c>
      <c r="D18" s="226"/>
      <c r="E18" s="182"/>
      <c r="F18" s="404"/>
      <c r="G18" s="405"/>
      <c r="H18" s="598"/>
      <c r="I18" s="202"/>
      <c r="J18" s="202"/>
      <c r="K18" s="202"/>
      <c r="L18" s="588"/>
      <c r="M18" s="407" t="e">
        <f>RANK(K18, $K$7:K$21)</f>
        <v>#N/A</v>
      </c>
      <c r="N18" s="544"/>
      <c r="O18" s="544"/>
      <c r="P18" s="404"/>
      <c r="Q18" s="404"/>
      <c r="R18" s="404"/>
      <c r="S18" s="404" t="e">
        <f t="shared" si="11"/>
        <v>#N/A</v>
      </c>
      <c r="T18" s="534"/>
      <c r="U18" s="404"/>
      <c r="V18" s="404"/>
      <c r="W18" s="404"/>
      <c r="X18" s="404" t="e">
        <f t="shared" si="0"/>
        <v>#N/A</v>
      </c>
      <c r="Y18" s="534"/>
      <c r="Z18" s="404"/>
      <c r="AA18" s="404"/>
      <c r="AB18" s="404"/>
      <c r="AC18" s="404" t="e">
        <f t="shared" si="2"/>
        <v>#N/A</v>
      </c>
      <c r="AD18" s="534"/>
      <c r="AE18" s="404"/>
      <c r="AF18" s="404"/>
      <c r="AG18" s="404"/>
      <c r="AH18" s="404" t="e">
        <f t="shared" si="4"/>
        <v>#N/A</v>
      </c>
      <c r="AI18" s="534"/>
      <c r="AJ18" s="404"/>
      <c r="AK18" s="404"/>
      <c r="AL18" s="404"/>
      <c r="AM18" s="404" t="e">
        <f t="shared" si="6"/>
        <v>#N/A</v>
      </c>
      <c r="AN18" s="534"/>
      <c r="AO18" s="404"/>
      <c r="AP18" s="404"/>
      <c r="AQ18" s="404"/>
      <c r="AR18" s="404" t="e">
        <f t="shared" si="8"/>
        <v>#N/A</v>
      </c>
      <c r="AS18" s="534"/>
      <c r="AT18" s="404"/>
      <c r="AU18" s="404"/>
      <c r="AV18" s="404"/>
      <c r="AW18" s="404" t="e">
        <f t="shared" si="12"/>
        <v>#N/A</v>
      </c>
      <c r="AX18" s="534"/>
      <c r="AZ18" s="321" t="e">
        <f>RANK(AX18, $K$7:AX$21)</f>
        <v>#N/A</v>
      </c>
      <c r="BB18" s="318" t="e">
        <f t="shared" si="13"/>
        <v>#N/A</v>
      </c>
    </row>
    <row r="19" spans="2:54">
      <c r="B19" s="533"/>
      <c r="C19" s="404">
        <v>13</v>
      </c>
      <c r="D19" s="226"/>
      <c r="E19" s="182"/>
      <c r="F19" s="404"/>
      <c r="G19" s="405"/>
      <c r="H19" s="598"/>
      <c r="I19" s="202"/>
      <c r="J19" s="202"/>
      <c r="K19" s="202"/>
      <c r="L19" s="588"/>
      <c r="M19" s="407" t="e">
        <f>RANK(K19, $K$7:K$21)</f>
        <v>#N/A</v>
      </c>
      <c r="N19" s="544"/>
      <c r="O19" s="544"/>
      <c r="P19" s="404"/>
      <c r="Q19" s="404"/>
      <c r="R19" s="404"/>
      <c r="S19" s="404" t="e">
        <f t="shared" si="11"/>
        <v>#N/A</v>
      </c>
      <c r="T19" s="534"/>
      <c r="U19" s="404"/>
      <c r="V19" s="404"/>
      <c r="W19" s="404"/>
      <c r="X19" s="404" t="e">
        <f t="shared" si="0"/>
        <v>#N/A</v>
      </c>
      <c r="Y19" s="534"/>
      <c r="Z19" s="404"/>
      <c r="AA19" s="404"/>
      <c r="AB19" s="404"/>
      <c r="AC19" s="404" t="e">
        <f t="shared" si="2"/>
        <v>#N/A</v>
      </c>
      <c r="AD19" s="534"/>
      <c r="AE19" s="404"/>
      <c r="AF19" s="404"/>
      <c r="AG19" s="404"/>
      <c r="AH19" s="404" t="e">
        <f t="shared" si="4"/>
        <v>#N/A</v>
      </c>
      <c r="AI19" s="534"/>
      <c r="AJ19" s="404"/>
      <c r="AK19" s="404"/>
      <c r="AL19" s="404"/>
      <c r="AM19" s="404" t="e">
        <f t="shared" si="6"/>
        <v>#N/A</v>
      </c>
      <c r="AN19" s="534"/>
      <c r="AO19" s="404"/>
      <c r="AP19" s="404"/>
      <c r="AQ19" s="404"/>
      <c r="AR19" s="404" t="e">
        <f t="shared" si="8"/>
        <v>#N/A</v>
      </c>
      <c r="AS19" s="534"/>
      <c r="AT19" s="404"/>
      <c r="AU19" s="404"/>
      <c r="AV19" s="404"/>
      <c r="AW19" s="404" t="e">
        <f t="shared" si="12"/>
        <v>#N/A</v>
      </c>
      <c r="AX19" s="534"/>
      <c r="AZ19" s="321" t="e">
        <f>RANK(AX19, $K$7:AX$21)</f>
        <v>#N/A</v>
      </c>
      <c r="BB19" s="318" t="e">
        <f t="shared" si="13"/>
        <v>#N/A</v>
      </c>
    </row>
    <row r="20" spans="2:54">
      <c r="B20" s="533"/>
      <c r="C20" s="404">
        <v>14</v>
      </c>
      <c r="D20" s="226"/>
      <c r="E20" s="182"/>
      <c r="F20" s="404"/>
      <c r="G20" s="405"/>
      <c r="H20" s="598"/>
      <c r="I20" s="202"/>
      <c r="J20" s="202"/>
      <c r="K20" s="202"/>
      <c r="L20" s="588"/>
      <c r="M20" s="407" t="e">
        <f>RANK(K20, $K$7:K$21)</f>
        <v>#N/A</v>
      </c>
      <c r="N20" s="544"/>
      <c r="O20" s="544"/>
      <c r="P20" s="404"/>
      <c r="Q20" s="404"/>
      <c r="R20" s="404"/>
      <c r="S20" s="404" t="e">
        <f t="shared" si="11"/>
        <v>#N/A</v>
      </c>
      <c r="T20" s="534"/>
      <c r="U20" s="404"/>
      <c r="V20" s="404"/>
      <c r="W20" s="404"/>
      <c r="X20" s="404" t="e">
        <f t="shared" si="0"/>
        <v>#N/A</v>
      </c>
      <c r="Y20" s="534"/>
      <c r="Z20" s="404"/>
      <c r="AA20" s="404"/>
      <c r="AB20" s="404"/>
      <c r="AC20" s="404" t="e">
        <f t="shared" si="2"/>
        <v>#N/A</v>
      </c>
      <c r="AD20" s="534"/>
      <c r="AE20" s="404"/>
      <c r="AF20" s="404"/>
      <c r="AG20" s="404"/>
      <c r="AH20" s="404" t="e">
        <f t="shared" si="4"/>
        <v>#N/A</v>
      </c>
      <c r="AI20" s="534"/>
      <c r="AJ20" s="404"/>
      <c r="AK20" s="404"/>
      <c r="AL20" s="404"/>
      <c r="AM20" s="404" t="e">
        <f t="shared" si="6"/>
        <v>#N/A</v>
      </c>
      <c r="AN20" s="534"/>
      <c r="AO20" s="404"/>
      <c r="AP20" s="404"/>
      <c r="AQ20" s="404"/>
      <c r="AR20" s="404" t="e">
        <f t="shared" si="8"/>
        <v>#N/A</v>
      </c>
      <c r="AS20" s="534"/>
      <c r="AT20" s="404"/>
      <c r="AU20" s="404"/>
      <c r="AV20" s="404"/>
      <c r="AW20" s="404" t="e">
        <f t="shared" si="12"/>
        <v>#N/A</v>
      </c>
      <c r="AX20" s="534"/>
      <c r="AZ20" s="321" t="e">
        <f>RANK(AX20, $K$7:AX$21)</f>
        <v>#N/A</v>
      </c>
      <c r="BB20" s="318" t="e">
        <f t="shared" si="13"/>
        <v>#N/A</v>
      </c>
    </row>
    <row r="21" spans="2:54">
      <c r="B21" s="533"/>
      <c r="C21" s="404">
        <v>15</v>
      </c>
      <c r="D21" s="226"/>
      <c r="E21" s="182"/>
      <c r="F21" s="404"/>
      <c r="G21" s="405"/>
      <c r="H21" s="599"/>
      <c r="I21" s="202"/>
      <c r="J21" s="202"/>
      <c r="K21" s="202"/>
      <c r="L21" s="589"/>
      <c r="M21" s="408" t="e">
        <f>RANK(K21, $K$7:K$21)</f>
        <v>#N/A</v>
      </c>
      <c r="N21" s="544"/>
      <c r="O21" s="544"/>
      <c r="P21" s="404"/>
      <c r="Q21" s="404"/>
      <c r="R21" s="404"/>
      <c r="S21" s="404" t="e">
        <f t="shared" si="11"/>
        <v>#N/A</v>
      </c>
      <c r="T21" s="534"/>
      <c r="U21" s="404"/>
      <c r="V21" s="404"/>
      <c r="W21" s="404"/>
      <c r="X21" s="404" t="e">
        <f t="shared" si="0"/>
        <v>#N/A</v>
      </c>
      <c r="Y21" s="534"/>
      <c r="Z21" s="404"/>
      <c r="AA21" s="404"/>
      <c r="AB21" s="404"/>
      <c r="AC21" s="404" t="e">
        <f t="shared" si="2"/>
        <v>#N/A</v>
      </c>
      <c r="AD21" s="534"/>
      <c r="AE21" s="404"/>
      <c r="AF21" s="404"/>
      <c r="AG21" s="404"/>
      <c r="AH21" s="404" t="e">
        <f t="shared" si="4"/>
        <v>#N/A</v>
      </c>
      <c r="AI21" s="534"/>
      <c r="AJ21" s="404"/>
      <c r="AK21" s="404"/>
      <c r="AL21" s="404"/>
      <c r="AM21" s="404" t="e">
        <f t="shared" si="6"/>
        <v>#N/A</v>
      </c>
      <c r="AN21" s="534"/>
      <c r="AO21" s="404"/>
      <c r="AP21" s="404"/>
      <c r="AQ21" s="404"/>
      <c r="AR21" s="404" t="e">
        <f t="shared" si="8"/>
        <v>#N/A</v>
      </c>
      <c r="AS21" s="534"/>
      <c r="AT21" s="404"/>
      <c r="AU21" s="404"/>
      <c r="AV21" s="404"/>
      <c r="AW21" s="404" t="e">
        <f t="shared" si="12"/>
        <v>#N/A</v>
      </c>
      <c r="AX21" s="534"/>
      <c r="AZ21" s="320" t="e">
        <f>RANK(AX21, $K$7:AX$21)</f>
        <v>#N/A</v>
      </c>
      <c r="BB21" s="318" t="e">
        <f t="shared" si="13"/>
        <v>#N/A</v>
      </c>
    </row>
    <row r="22" spans="2:54" ht="15.5">
      <c r="B22" s="575" t="s">
        <v>704</v>
      </c>
      <c r="C22" s="576"/>
      <c r="D22" s="576"/>
      <c r="E22" s="576"/>
      <c r="F22" s="576"/>
      <c r="G22" s="576"/>
      <c r="H22" s="576"/>
      <c r="I22" s="203"/>
      <c r="J22" s="203"/>
      <c r="K22" s="203"/>
      <c r="L22" s="203"/>
      <c r="M22" s="204"/>
      <c r="N22" s="559" t="s">
        <v>705</v>
      </c>
      <c r="O22" s="559" t="s">
        <v>706</v>
      </c>
      <c r="P22" s="610">
        <v>45993</v>
      </c>
      <c r="Q22" s="611"/>
      <c r="R22" s="611"/>
      <c r="S22" s="611"/>
      <c r="T22" s="611"/>
      <c r="U22" s="554">
        <f>P22+1</f>
        <v>45994</v>
      </c>
      <c r="V22" s="533"/>
      <c r="W22" s="533"/>
      <c r="X22" s="533"/>
      <c r="Y22" s="533"/>
      <c r="Z22" s="554">
        <f>U22+1</f>
        <v>45995</v>
      </c>
      <c r="AA22" s="533"/>
      <c r="AB22" s="533"/>
      <c r="AC22" s="533"/>
      <c r="AD22" s="533"/>
      <c r="AE22" s="554">
        <f>Z22+1</f>
        <v>45996</v>
      </c>
      <c r="AF22" s="533"/>
      <c r="AG22" s="533"/>
      <c r="AH22" s="533"/>
      <c r="AI22" s="533"/>
      <c r="AJ22" s="554">
        <f>AE22+1</f>
        <v>45997</v>
      </c>
      <c r="AK22" s="533"/>
      <c r="AL22" s="533"/>
      <c r="AM22" s="533"/>
      <c r="AN22" s="533"/>
      <c r="AO22" s="554">
        <f>AJ22+1</f>
        <v>45998</v>
      </c>
      <c r="AP22" s="533"/>
      <c r="AQ22" s="533"/>
      <c r="AR22" s="533"/>
      <c r="AS22" s="533"/>
      <c r="AT22" s="554">
        <f>AO22+1</f>
        <v>45999</v>
      </c>
      <c r="AU22" s="533"/>
      <c r="AV22" s="533"/>
      <c r="AW22" s="533"/>
      <c r="AX22" s="533"/>
    </row>
    <row r="23" spans="2:54" ht="15.5">
      <c r="B23" s="558"/>
      <c r="C23" s="558"/>
      <c r="D23" s="558"/>
      <c r="E23" s="558"/>
      <c r="F23" s="558"/>
      <c r="G23" s="558"/>
      <c r="H23" s="558"/>
      <c r="I23" s="205"/>
      <c r="J23" s="205"/>
      <c r="K23" s="205"/>
      <c r="L23" s="205"/>
      <c r="M23" s="206"/>
      <c r="N23" s="560"/>
      <c r="O23" s="560"/>
      <c r="P23" s="554" t="s">
        <v>707</v>
      </c>
      <c r="Q23" s="533"/>
      <c r="R23" s="533"/>
      <c r="S23" s="533"/>
      <c r="T23" s="533"/>
      <c r="U23" s="554" t="s">
        <v>708</v>
      </c>
      <c r="V23" s="533"/>
      <c r="W23" s="533"/>
      <c r="X23" s="533"/>
      <c r="Y23" s="533"/>
      <c r="Z23" s="554" t="s">
        <v>709</v>
      </c>
      <c r="AA23" s="533"/>
      <c r="AB23" s="533"/>
      <c r="AC23" s="533"/>
      <c r="AD23" s="533"/>
      <c r="AE23" s="554" t="s">
        <v>710</v>
      </c>
      <c r="AF23" s="533"/>
      <c r="AG23" s="533"/>
      <c r="AH23" s="533"/>
      <c r="AI23" s="533"/>
      <c r="AJ23" s="554" t="s">
        <v>711</v>
      </c>
      <c r="AK23" s="533"/>
      <c r="AL23" s="533"/>
      <c r="AM23" s="533"/>
      <c r="AN23" s="533"/>
      <c r="AO23" s="554" t="s">
        <v>712</v>
      </c>
      <c r="AP23" s="533"/>
      <c r="AQ23" s="533"/>
      <c r="AR23" s="533"/>
      <c r="AS23" s="533"/>
      <c r="AT23" s="554" t="s">
        <v>713</v>
      </c>
      <c r="AU23" s="533"/>
      <c r="AV23" s="533"/>
      <c r="AW23" s="533"/>
      <c r="AX23" s="533"/>
    </row>
    <row r="24" spans="2:54">
      <c r="B24" s="544" t="s">
        <v>649</v>
      </c>
      <c r="C24" s="544" t="s">
        <v>650</v>
      </c>
      <c r="D24" s="544"/>
      <c r="E24" s="544" t="s">
        <v>651</v>
      </c>
      <c r="F24" s="544"/>
      <c r="G24" s="544"/>
      <c r="H24" s="561" t="s">
        <v>652</v>
      </c>
      <c r="I24" s="583" t="s">
        <v>653</v>
      </c>
      <c r="J24" s="583"/>
      <c r="K24" s="583"/>
      <c r="L24" s="584" t="s">
        <v>652</v>
      </c>
      <c r="M24" s="567" t="s">
        <v>654</v>
      </c>
      <c r="N24" s="544"/>
      <c r="O24" s="544" t="s">
        <v>655</v>
      </c>
      <c r="P24" s="548" t="s">
        <v>656</v>
      </c>
      <c r="Q24" s="549"/>
      <c r="R24" s="549"/>
      <c r="S24" s="550"/>
      <c r="T24" s="544" t="s">
        <v>652</v>
      </c>
      <c r="U24" s="548" t="s">
        <v>656</v>
      </c>
      <c r="V24" s="549"/>
      <c r="W24" s="549"/>
      <c r="X24" s="550"/>
      <c r="Y24" s="544" t="s">
        <v>652</v>
      </c>
      <c r="Z24" s="548" t="s">
        <v>656</v>
      </c>
      <c r="AA24" s="549"/>
      <c r="AB24" s="549"/>
      <c r="AC24" s="550"/>
      <c r="AD24" s="544" t="s">
        <v>652</v>
      </c>
      <c r="AE24" s="548" t="s">
        <v>656</v>
      </c>
      <c r="AF24" s="549"/>
      <c r="AG24" s="549"/>
      <c r="AH24" s="550"/>
      <c r="AI24" s="544" t="s">
        <v>652</v>
      </c>
      <c r="AJ24" s="548" t="s">
        <v>656</v>
      </c>
      <c r="AK24" s="549"/>
      <c r="AL24" s="549"/>
      <c r="AM24" s="550"/>
      <c r="AN24" s="544" t="s">
        <v>652</v>
      </c>
      <c r="AO24" s="548" t="s">
        <v>656</v>
      </c>
      <c r="AP24" s="549"/>
      <c r="AQ24" s="549"/>
      <c r="AR24" s="550"/>
      <c r="AS24" s="544" t="s">
        <v>652</v>
      </c>
      <c r="AT24" s="548" t="s">
        <v>656</v>
      </c>
      <c r="AU24" s="549"/>
      <c r="AV24" s="549"/>
      <c r="AW24" s="550"/>
      <c r="AX24" s="544" t="s">
        <v>652</v>
      </c>
    </row>
    <row r="25" spans="2:54">
      <c r="B25" s="544"/>
      <c r="C25" s="544"/>
      <c r="D25" s="544"/>
      <c r="E25" s="544" t="s">
        <v>657</v>
      </c>
      <c r="F25" s="544"/>
      <c r="G25" s="544"/>
      <c r="H25" s="562"/>
      <c r="I25" s="583" t="s">
        <v>657</v>
      </c>
      <c r="J25" s="583"/>
      <c r="K25" s="583"/>
      <c r="L25" s="585"/>
      <c r="M25" s="568"/>
      <c r="N25" s="544"/>
      <c r="O25" s="544"/>
      <c r="P25" s="548" t="s">
        <v>658</v>
      </c>
      <c r="Q25" s="549"/>
      <c r="R25" s="549"/>
      <c r="S25" s="550"/>
      <c r="T25" s="544"/>
      <c r="U25" s="548" t="s">
        <v>658</v>
      </c>
      <c r="V25" s="549"/>
      <c r="W25" s="549"/>
      <c r="X25" s="550"/>
      <c r="Y25" s="544"/>
      <c r="Z25" s="548" t="s">
        <v>658</v>
      </c>
      <c r="AA25" s="549"/>
      <c r="AB25" s="549"/>
      <c r="AC25" s="550"/>
      <c r="AD25" s="544"/>
      <c r="AE25" s="548" t="s">
        <v>658</v>
      </c>
      <c r="AF25" s="549"/>
      <c r="AG25" s="549"/>
      <c r="AH25" s="550"/>
      <c r="AI25" s="544"/>
      <c r="AJ25" s="548" t="s">
        <v>658</v>
      </c>
      <c r="AK25" s="549"/>
      <c r="AL25" s="549"/>
      <c r="AM25" s="550"/>
      <c r="AN25" s="544"/>
      <c r="AO25" s="548" t="s">
        <v>658</v>
      </c>
      <c r="AP25" s="549"/>
      <c r="AQ25" s="549"/>
      <c r="AR25" s="550"/>
      <c r="AS25" s="544"/>
      <c r="AT25" s="548" t="s">
        <v>658</v>
      </c>
      <c r="AU25" s="549"/>
      <c r="AV25" s="549"/>
      <c r="AW25" s="550"/>
      <c r="AX25" s="544"/>
    </row>
    <row r="26" spans="2:54">
      <c r="B26" s="544"/>
      <c r="C26" s="544"/>
      <c r="D26" s="544"/>
      <c r="E26" s="403" t="s">
        <v>659</v>
      </c>
      <c r="F26" s="403" t="s">
        <v>660</v>
      </c>
      <c r="G26" s="403" t="s">
        <v>661</v>
      </c>
      <c r="H26" s="563"/>
      <c r="I26" s="402" t="s">
        <v>659</v>
      </c>
      <c r="J26" s="402" t="s">
        <v>660</v>
      </c>
      <c r="K26" s="402" t="s">
        <v>661</v>
      </c>
      <c r="L26" s="586"/>
      <c r="M26" s="569"/>
      <c r="N26" s="544"/>
      <c r="O26" s="544"/>
      <c r="P26" s="403" t="s">
        <v>659</v>
      </c>
      <c r="Q26" s="403" t="s">
        <v>660</v>
      </c>
      <c r="R26" s="403" t="s">
        <v>661</v>
      </c>
      <c r="S26" s="403" t="s">
        <v>654</v>
      </c>
      <c r="T26" s="544"/>
      <c r="U26" s="403" t="s">
        <v>659</v>
      </c>
      <c r="V26" s="403" t="s">
        <v>660</v>
      </c>
      <c r="W26" s="403" t="s">
        <v>661</v>
      </c>
      <c r="X26" s="403" t="s">
        <v>654</v>
      </c>
      <c r="Y26" s="544"/>
      <c r="Z26" s="403" t="s">
        <v>659</v>
      </c>
      <c r="AA26" s="403" t="s">
        <v>660</v>
      </c>
      <c r="AB26" s="403" t="s">
        <v>661</v>
      </c>
      <c r="AC26" s="403" t="s">
        <v>654</v>
      </c>
      <c r="AD26" s="544"/>
      <c r="AE26" s="403" t="s">
        <v>659</v>
      </c>
      <c r="AF26" s="403" t="s">
        <v>660</v>
      </c>
      <c r="AG26" s="403" t="s">
        <v>661</v>
      </c>
      <c r="AH26" s="403" t="s">
        <v>654</v>
      </c>
      <c r="AI26" s="544"/>
      <c r="AJ26" s="403" t="s">
        <v>659</v>
      </c>
      <c r="AK26" s="403" t="s">
        <v>660</v>
      </c>
      <c r="AL26" s="403" t="s">
        <v>661</v>
      </c>
      <c r="AM26" s="403" t="s">
        <v>654</v>
      </c>
      <c r="AN26" s="544"/>
      <c r="AO26" s="403" t="s">
        <v>659</v>
      </c>
      <c r="AP26" s="403" t="s">
        <v>660</v>
      </c>
      <c r="AQ26" s="403" t="s">
        <v>661</v>
      </c>
      <c r="AR26" s="403" t="s">
        <v>654</v>
      </c>
      <c r="AS26" s="544"/>
      <c r="AT26" s="403" t="s">
        <v>659</v>
      </c>
      <c r="AU26" s="403" t="s">
        <v>660</v>
      </c>
      <c r="AV26" s="403" t="s">
        <v>661</v>
      </c>
      <c r="AW26" s="403" t="s">
        <v>654</v>
      </c>
      <c r="AX26" s="544"/>
    </row>
    <row r="27" spans="2:54">
      <c r="B27" s="544" t="s">
        <v>703</v>
      </c>
      <c r="C27" s="404">
        <v>1</v>
      </c>
      <c r="D27" s="226" t="s">
        <v>610</v>
      </c>
      <c r="E27" s="182">
        <v>13</v>
      </c>
      <c r="F27" s="404">
        <v>1500</v>
      </c>
      <c r="G27" s="405">
        <v>115.38461538461539</v>
      </c>
      <c r="H27" s="597">
        <f>AVERAGE(G27:G41)</f>
        <v>115.38461538461539</v>
      </c>
      <c r="I27" s="408">
        <f t="shared" ref="I27:K27" si="14">AVERAGE(P27,U27,Z27,AE27,AJ27,AO27,AT27)</f>
        <v>13</v>
      </c>
      <c r="J27" s="408">
        <f t="shared" si="14"/>
        <v>1503.7244897959176</v>
      </c>
      <c r="K27" s="406">
        <f t="shared" si="14"/>
        <v>115.67111459968599</v>
      </c>
      <c r="L27" s="587">
        <f>IFERROR(AVERAGE(K27:K41),"-")</f>
        <v>115.67111459968599</v>
      </c>
      <c r="M27" s="407">
        <f>RANK(K27, K$27:$K$41)</f>
        <v>1</v>
      </c>
      <c r="N27" s="544"/>
      <c r="O27" s="544"/>
      <c r="P27" s="376">
        <v>13</v>
      </c>
      <c r="Q27" s="182">
        <v>1438.6666666666667</v>
      </c>
      <c r="R27" s="405">
        <v>110.66666666666667</v>
      </c>
      <c r="S27" s="404">
        <f t="shared" ref="S27:S41" si="15">RANK(R27, R$27:R$41)</f>
        <v>1</v>
      </c>
      <c r="T27" s="534">
        <f>AVERAGE(R27:R41)</f>
        <v>110.66666666666667</v>
      </c>
      <c r="U27" s="376">
        <v>13</v>
      </c>
      <c r="V27" s="182">
        <v>1493.3333333333333</v>
      </c>
      <c r="W27" s="405">
        <v>114.87179487179486</v>
      </c>
      <c r="X27" s="404">
        <f t="shared" ref="X27:X41" si="16">RANK(W27, W$27:W$41)</f>
        <v>1</v>
      </c>
      <c r="Y27" s="534">
        <f t="shared" ref="Y27" si="17">AVERAGE(W27:W41)</f>
        <v>114.87179487179486</v>
      </c>
      <c r="Z27" s="376">
        <v>13</v>
      </c>
      <c r="AA27" s="182">
        <v>1464</v>
      </c>
      <c r="AB27" s="405">
        <v>112.61538461538461</v>
      </c>
      <c r="AC27" s="404">
        <f t="shared" ref="AC27:AC41" si="18">RANK(AB27, AB$27:AB$41)</f>
        <v>1</v>
      </c>
      <c r="AD27" s="534">
        <f t="shared" ref="AD27" si="19">AVERAGE(AB27:AB41)</f>
        <v>112.61538461538461</v>
      </c>
      <c r="AE27" s="376">
        <v>13</v>
      </c>
      <c r="AF27" s="182">
        <v>1565.1428571428592</v>
      </c>
      <c r="AG27" s="405">
        <v>120.39560439560455</v>
      </c>
      <c r="AH27" s="404">
        <f t="shared" ref="AH27:AH41" si="20">RANK(AG27, AG$27:AG$41)</f>
        <v>1</v>
      </c>
      <c r="AI27" s="534">
        <f t="shared" ref="AI27" si="21">AVERAGE(AG27:AG41)</f>
        <v>120.39560439560455</v>
      </c>
      <c r="AJ27" s="376">
        <v>13</v>
      </c>
      <c r="AK27" s="182">
        <v>1551.4285714285697</v>
      </c>
      <c r="AL27" s="405">
        <v>119.34065934065922</v>
      </c>
      <c r="AM27" s="404">
        <f t="shared" ref="AM27:AM41" si="22">RANK(AL27, AL$27:AL$41)</f>
        <v>1</v>
      </c>
      <c r="AN27" s="534">
        <f t="shared" ref="AN27" si="23">AVERAGE(AL27:AL41)</f>
        <v>119.34065934065922</v>
      </c>
      <c r="AO27" s="376">
        <v>13</v>
      </c>
      <c r="AP27" s="182">
        <v>1507.4999999999993</v>
      </c>
      <c r="AQ27" s="405">
        <v>115.96153846153841</v>
      </c>
      <c r="AR27" s="404">
        <f t="shared" ref="AR27:AR41" si="24">RANK(AQ27, AQ$27:AQ$41)</f>
        <v>1</v>
      </c>
      <c r="AS27" s="534">
        <f t="shared" ref="AS27" si="25">AVERAGE(AQ27:AQ41)</f>
        <v>115.96153846153841</v>
      </c>
      <c r="AT27" s="376">
        <v>13</v>
      </c>
      <c r="AU27" s="182">
        <v>1505.9999999999964</v>
      </c>
      <c r="AV27" s="405">
        <v>115.84615384615357</v>
      </c>
      <c r="AW27" s="404">
        <f t="shared" ref="AW27:AW41" si="26">RANK(AV27, AV$27:AV$41)</f>
        <v>1</v>
      </c>
      <c r="AX27" s="534">
        <f t="shared" ref="AX27" si="27">AVERAGE(AV27:AV41)</f>
        <v>115.84615384615357</v>
      </c>
    </row>
    <row r="28" spans="2:54">
      <c r="B28" s="533"/>
      <c r="C28" s="404">
        <v>2</v>
      </c>
      <c r="D28" s="226"/>
      <c r="E28" s="182"/>
      <c r="F28" s="404"/>
      <c r="G28" s="405"/>
      <c r="H28" s="598"/>
      <c r="I28" s="408"/>
      <c r="J28" s="408"/>
      <c r="K28" s="406"/>
      <c r="L28" s="588"/>
      <c r="M28" s="407" t="e">
        <f>RANK(K28, K$27:$K$41)</f>
        <v>#N/A</v>
      </c>
      <c r="N28" s="544"/>
      <c r="O28" s="544"/>
      <c r="P28" s="404"/>
      <c r="Q28" s="182"/>
      <c r="R28" s="405"/>
      <c r="S28" s="404" t="e">
        <f t="shared" si="15"/>
        <v>#N/A</v>
      </c>
      <c r="T28" s="534"/>
      <c r="U28" s="404"/>
      <c r="V28" s="182"/>
      <c r="W28" s="405"/>
      <c r="X28" s="404" t="e">
        <f t="shared" si="16"/>
        <v>#N/A</v>
      </c>
      <c r="Y28" s="534"/>
      <c r="Z28" s="404"/>
      <c r="AA28" s="182"/>
      <c r="AB28" s="405"/>
      <c r="AC28" s="404" t="e">
        <f t="shared" si="18"/>
        <v>#N/A</v>
      </c>
      <c r="AD28" s="534"/>
      <c r="AE28" s="404"/>
      <c r="AF28" s="182"/>
      <c r="AG28" s="405"/>
      <c r="AH28" s="404" t="e">
        <f t="shared" si="20"/>
        <v>#N/A</v>
      </c>
      <c r="AI28" s="534"/>
      <c r="AJ28" s="404"/>
      <c r="AK28" s="182"/>
      <c r="AL28" s="405"/>
      <c r="AM28" s="404" t="e">
        <f t="shared" si="22"/>
        <v>#N/A</v>
      </c>
      <c r="AN28" s="534"/>
      <c r="AO28" s="404"/>
      <c r="AP28" s="182"/>
      <c r="AQ28" s="405"/>
      <c r="AR28" s="404" t="e">
        <f t="shared" si="24"/>
        <v>#N/A</v>
      </c>
      <c r="AS28" s="534"/>
      <c r="AT28" s="404"/>
      <c r="AU28" s="182"/>
      <c r="AV28" s="405"/>
      <c r="AW28" s="404" t="e">
        <f t="shared" si="26"/>
        <v>#N/A</v>
      </c>
      <c r="AX28" s="534"/>
    </row>
    <row r="29" spans="2:54">
      <c r="B29" s="533"/>
      <c r="C29" s="404">
        <v>3</v>
      </c>
      <c r="D29" s="226"/>
      <c r="E29" s="182"/>
      <c r="F29" s="404"/>
      <c r="G29" s="405"/>
      <c r="H29" s="598"/>
      <c r="I29" s="408"/>
      <c r="J29" s="408"/>
      <c r="K29" s="406"/>
      <c r="L29" s="588"/>
      <c r="M29" s="407" t="e">
        <f>RANK(K29, K$27:$K$41)</f>
        <v>#N/A</v>
      </c>
      <c r="N29" s="544"/>
      <c r="O29" s="544"/>
      <c r="P29" s="404"/>
      <c r="Q29" s="404"/>
      <c r="R29" s="404"/>
      <c r="S29" s="404" t="e">
        <f t="shared" si="15"/>
        <v>#N/A</v>
      </c>
      <c r="T29" s="534"/>
      <c r="U29" s="404"/>
      <c r="V29" s="404"/>
      <c r="W29" s="404"/>
      <c r="X29" s="404" t="e">
        <f t="shared" si="16"/>
        <v>#N/A</v>
      </c>
      <c r="Y29" s="534"/>
      <c r="Z29" s="404"/>
      <c r="AA29" s="404"/>
      <c r="AB29" s="404"/>
      <c r="AC29" s="404" t="e">
        <f t="shared" si="18"/>
        <v>#N/A</v>
      </c>
      <c r="AD29" s="534"/>
      <c r="AE29" s="404"/>
      <c r="AF29" s="404"/>
      <c r="AG29" s="404"/>
      <c r="AH29" s="404" t="e">
        <f t="shared" si="20"/>
        <v>#N/A</v>
      </c>
      <c r="AI29" s="534"/>
      <c r="AJ29" s="404"/>
      <c r="AK29" s="404"/>
      <c r="AL29" s="404"/>
      <c r="AM29" s="404" t="e">
        <f t="shared" si="22"/>
        <v>#N/A</v>
      </c>
      <c r="AN29" s="534"/>
      <c r="AO29" s="404"/>
      <c r="AP29" s="404"/>
      <c r="AQ29" s="404"/>
      <c r="AR29" s="404" t="e">
        <f t="shared" si="24"/>
        <v>#N/A</v>
      </c>
      <c r="AS29" s="534"/>
      <c r="AT29" s="404"/>
      <c r="AU29" s="404"/>
      <c r="AV29" s="404"/>
      <c r="AW29" s="404" t="e">
        <f t="shared" si="26"/>
        <v>#N/A</v>
      </c>
      <c r="AX29" s="534"/>
    </row>
    <row r="30" spans="2:54">
      <c r="B30" s="533"/>
      <c r="C30" s="404">
        <v>4</v>
      </c>
      <c r="D30" s="226"/>
      <c r="E30" s="182"/>
      <c r="F30" s="404"/>
      <c r="G30" s="405"/>
      <c r="H30" s="598"/>
      <c r="I30" s="408"/>
      <c r="J30" s="408"/>
      <c r="K30" s="406"/>
      <c r="L30" s="588"/>
      <c r="M30" s="407" t="e">
        <f>RANK(K30, K$27:$K$41)</f>
        <v>#N/A</v>
      </c>
      <c r="N30" s="544"/>
      <c r="O30" s="544"/>
      <c r="P30" s="404"/>
      <c r="Q30" s="404"/>
      <c r="R30" s="404"/>
      <c r="S30" s="404" t="e">
        <f t="shared" si="15"/>
        <v>#N/A</v>
      </c>
      <c r="T30" s="534"/>
      <c r="U30" s="404"/>
      <c r="V30" s="404"/>
      <c r="W30" s="404"/>
      <c r="X30" s="404" t="e">
        <f t="shared" si="16"/>
        <v>#N/A</v>
      </c>
      <c r="Y30" s="534"/>
      <c r="Z30" s="404"/>
      <c r="AA30" s="404"/>
      <c r="AB30" s="404"/>
      <c r="AC30" s="404" t="e">
        <f t="shared" si="18"/>
        <v>#N/A</v>
      </c>
      <c r="AD30" s="534"/>
      <c r="AE30" s="404"/>
      <c r="AF30" s="404"/>
      <c r="AG30" s="404"/>
      <c r="AH30" s="404" t="e">
        <f t="shared" si="20"/>
        <v>#N/A</v>
      </c>
      <c r="AI30" s="534"/>
      <c r="AJ30" s="404"/>
      <c r="AK30" s="404"/>
      <c r="AL30" s="404"/>
      <c r="AM30" s="404" t="e">
        <f t="shared" si="22"/>
        <v>#N/A</v>
      </c>
      <c r="AN30" s="534"/>
      <c r="AO30" s="404"/>
      <c r="AP30" s="404"/>
      <c r="AQ30" s="404"/>
      <c r="AR30" s="404" t="e">
        <f t="shared" si="24"/>
        <v>#N/A</v>
      </c>
      <c r="AS30" s="534"/>
      <c r="AT30" s="404"/>
      <c r="AU30" s="404"/>
      <c r="AV30" s="404"/>
      <c r="AW30" s="404" t="e">
        <f t="shared" si="26"/>
        <v>#N/A</v>
      </c>
      <c r="AX30" s="534"/>
    </row>
    <row r="31" spans="2:54">
      <c r="B31" s="533"/>
      <c r="C31" s="404">
        <v>5</v>
      </c>
      <c r="D31" s="226"/>
      <c r="E31" s="182"/>
      <c r="F31" s="404"/>
      <c r="G31" s="405"/>
      <c r="H31" s="598"/>
      <c r="I31" s="408"/>
      <c r="J31" s="408"/>
      <c r="K31" s="406"/>
      <c r="L31" s="588"/>
      <c r="M31" s="407" t="e">
        <f>RANK(K31, K$27:$K$41)</f>
        <v>#N/A</v>
      </c>
      <c r="N31" s="544"/>
      <c r="O31" s="544"/>
      <c r="P31" s="404"/>
      <c r="Q31" s="404"/>
      <c r="R31" s="404"/>
      <c r="S31" s="404" t="e">
        <f t="shared" si="15"/>
        <v>#N/A</v>
      </c>
      <c r="T31" s="534"/>
      <c r="U31" s="404"/>
      <c r="V31" s="404"/>
      <c r="W31" s="404"/>
      <c r="X31" s="404" t="e">
        <f t="shared" si="16"/>
        <v>#N/A</v>
      </c>
      <c r="Y31" s="534"/>
      <c r="Z31" s="404"/>
      <c r="AA31" s="404"/>
      <c r="AB31" s="404"/>
      <c r="AC31" s="404" t="e">
        <f t="shared" si="18"/>
        <v>#N/A</v>
      </c>
      <c r="AD31" s="534"/>
      <c r="AE31" s="404"/>
      <c r="AF31" s="404"/>
      <c r="AG31" s="404"/>
      <c r="AH31" s="404" t="e">
        <f t="shared" si="20"/>
        <v>#N/A</v>
      </c>
      <c r="AI31" s="534"/>
      <c r="AJ31" s="404"/>
      <c r="AK31" s="404"/>
      <c r="AL31" s="404"/>
      <c r="AM31" s="404" t="e">
        <f t="shared" si="22"/>
        <v>#N/A</v>
      </c>
      <c r="AN31" s="534"/>
      <c r="AO31" s="404"/>
      <c r="AP31" s="404"/>
      <c r="AQ31" s="404"/>
      <c r="AR31" s="404" t="e">
        <f t="shared" si="24"/>
        <v>#N/A</v>
      </c>
      <c r="AS31" s="534"/>
      <c r="AT31" s="404"/>
      <c r="AU31" s="404"/>
      <c r="AV31" s="404"/>
      <c r="AW31" s="404" t="e">
        <f t="shared" si="26"/>
        <v>#N/A</v>
      </c>
      <c r="AX31" s="534"/>
    </row>
    <row r="32" spans="2:54">
      <c r="B32" s="533"/>
      <c r="C32" s="404">
        <v>6</v>
      </c>
      <c r="D32" s="226"/>
      <c r="E32" s="182"/>
      <c r="F32" s="404"/>
      <c r="G32" s="405"/>
      <c r="H32" s="598"/>
      <c r="I32" s="408"/>
      <c r="J32" s="408"/>
      <c r="K32" s="406"/>
      <c r="L32" s="588"/>
      <c r="M32" s="407" t="e">
        <f>RANK(K32, K$27:$K$41)</f>
        <v>#N/A</v>
      </c>
      <c r="N32" s="544"/>
      <c r="O32" s="544"/>
      <c r="P32" s="404"/>
      <c r="Q32" s="404"/>
      <c r="R32" s="404"/>
      <c r="S32" s="404" t="e">
        <f t="shared" si="15"/>
        <v>#N/A</v>
      </c>
      <c r="T32" s="534"/>
      <c r="U32" s="404"/>
      <c r="V32" s="404"/>
      <c r="W32" s="404"/>
      <c r="X32" s="404" t="e">
        <f t="shared" si="16"/>
        <v>#N/A</v>
      </c>
      <c r="Y32" s="534"/>
      <c r="Z32" s="404"/>
      <c r="AA32" s="404"/>
      <c r="AB32" s="404"/>
      <c r="AC32" s="404" t="e">
        <f t="shared" si="18"/>
        <v>#N/A</v>
      </c>
      <c r="AD32" s="534"/>
      <c r="AE32" s="404"/>
      <c r="AF32" s="404"/>
      <c r="AG32" s="404"/>
      <c r="AH32" s="404" t="e">
        <f t="shared" si="20"/>
        <v>#N/A</v>
      </c>
      <c r="AI32" s="534"/>
      <c r="AJ32" s="404"/>
      <c r="AK32" s="404"/>
      <c r="AL32" s="404"/>
      <c r="AM32" s="404" t="e">
        <f t="shared" si="22"/>
        <v>#N/A</v>
      </c>
      <c r="AN32" s="534"/>
      <c r="AO32" s="404"/>
      <c r="AP32" s="404"/>
      <c r="AQ32" s="404"/>
      <c r="AR32" s="404" t="e">
        <f t="shared" si="24"/>
        <v>#N/A</v>
      </c>
      <c r="AS32" s="534"/>
      <c r="AT32" s="404"/>
      <c r="AU32" s="404"/>
      <c r="AV32" s="404"/>
      <c r="AW32" s="404" t="e">
        <f t="shared" si="26"/>
        <v>#N/A</v>
      </c>
      <c r="AX32" s="534"/>
    </row>
    <row r="33" spans="2:50">
      <c r="B33" s="533"/>
      <c r="C33" s="404">
        <v>7</v>
      </c>
      <c r="D33" s="226"/>
      <c r="E33" s="182"/>
      <c r="F33" s="404"/>
      <c r="G33" s="405"/>
      <c r="H33" s="598"/>
      <c r="I33" s="408"/>
      <c r="J33" s="408"/>
      <c r="K33" s="406"/>
      <c r="L33" s="588"/>
      <c r="M33" s="407" t="e">
        <f>RANK(K33, K$27:$K$41)</f>
        <v>#N/A</v>
      </c>
      <c r="N33" s="544"/>
      <c r="O33" s="544"/>
      <c r="P33" s="404"/>
      <c r="Q33" s="404"/>
      <c r="R33" s="404"/>
      <c r="S33" s="404" t="e">
        <f t="shared" si="15"/>
        <v>#N/A</v>
      </c>
      <c r="T33" s="534"/>
      <c r="U33" s="404"/>
      <c r="V33" s="404"/>
      <c r="W33" s="404"/>
      <c r="X33" s="404" t="e">
        <f t="shared" si="16"/>
        <v>#N/A</v>
      </c>
      <c r="Y33" s="534"/>
      <c r="Z33" s="404"/>
      <c r="AA33" s="404"/>
      <c r="AB33" s="404"/>
      <c r="AC33" s="404" t="e">
        <f t="shared" si="18"/>
        <v>#N/A</v>
      </c>
      <c r="AD33" s="534"/>
      <c r="AE33" s="404"/>
      <c r="AF33" s="404"/>
      <c r="AG33" s="404"/>
      <c r="AH33" s="404" t="e">
        <f t="shared" si="20"/>
        <v>#N/A</v>
      </c>
      <c r="AI33" s="534"/>
      <c r="AJ33" s="404"/>
      <c r="AK33" s="404"/>
      <c r="AL33" s="404"/>
      <c r="AM33" s="404" t="e">
        <f t="shared" si="22"/>
        <v>#N/A</v>
      </c>
      <c r="AN33" s="534"/>
      <c r="AO33" s="404"/>
      <c r="AP33" s="404"/>
      <c r="AQ33" s="404"/>
      <c r="AR33" s="404" t="e">
        <f t="shared" si="24"/>
        <v>#N/A</v>
      </c>
      <c r="AS33" s="534"/>
      <c r="AT33" s="404"/>
      <c r="AU33" s="404"/>
      <c r="AV33" s="404"/>
      <c r="AW33" s="404" t="e">
        <f t="shared" si="26"/>
        <v>#N/A</v>
      </c>
      <c r="AX33" s="534"/>
    </row>
    <row r="34" spans="2:50">
      <c r="B34" s="533"/>
      <c r="C34" s="404">
        <v>8</v>
      </c>
      <c r="D34" s="226"/>
      <c r="E34" s="182"/>
      <c r="F34" s="404"/>
      <c r="G34" s="405"/>
      <c r="H34" s="598"/>
      <c r="I34" s="408"/>
      <c r="J34" s="408"/>
      <c r="K34" s="406"/>
      <c r="L34" s="588"/>
      <c r="M34" s="407" t="e">
        <f>RANK(K34, K$27:$K$41)</f>
        <v>#N/A</v>
      </c>
      <c r="N34" s="544"/>
      <c r="O34" s="544"/>
      <c r="P34" s="404"/>
      <c r="Q34" s="404"/>
      <c r="R34" s="404"/>
      <c r="S34" s="404" t="e">
        <f t="shared" si="15"/>
        <v>#N/A</v>
      </c>
      <c r="T34" s="534"/>
      <c r="U34" s="404"/>
      <c r="V34" s="404"/>
      <c r="W34" s="404"/>
      <c r="X34" s="404" t="e">
        <f t="shared" si="16"/>
        <v>#N/A</v>
      </c>
      <c r="Y34" s="534"/>
      <c r="Z34" s="404"/>
      <c r="AA34" s="404"/>
      <c r="AB34" s="404"/>
      <c r="AC34" s="404" t="e">
        <f t="shared" si="18"/>
        <v>#N/A</v>
      </c>
      <c r="AD34" s="534"/>
      <c r="AE34" s="404"/>
      <c r="AF34" s="404"/>
      <c r="AG34" s="404"/>
      <c r="AH34" s="404" t="e">
        <f t="shared" si="20"/>
        <v>#N/A</v>
      </c>
      <c r="AI34" s="534"/>
      <c r="AJ34" s="404"/>
      <c r="AK34" s="404"/>
      <c r="AL34" s="404"/>
      <c r="AM34" s="404" t="e">
        <f t="shared" si="22"/>
        <v>#N/A</v>
      </c>
      <c r="AN34" s="534"/>
      <c r="AO34" s="404"/>
      <c r="AP34" s="404"/>
      <c r="AQ34" s="404"/>
      <c r="AR34" s="404" t="e">
        <f t="shared" si="24"/>
        <v>#N/A</v>
      </c>
      <c r="AS34" s="534"/>
      <c r="AT34" s="404"/>
      <c r="AU34" s="404"/>
      <c r="AV34" s="404"/>
      <c r="AW34" s="404" t="e">
        <f t="shared" si="26"/>
        <v>#N/A</v>
      </c>
      <c r="AX34" s="534"/>
    </row>
    <row r="35" spans="2:50">
      <c r="B35" s="533"/>
      <c r="C35" s="404">
        <v>9</v>
      </c>
      <c r="D35" s="226"/>
      <c r="E35" s="182"/>
      <c r="F35" s="404"/>
      <c r="G35" s="405"/>
      <c r="H35" s="598"/>
      <c r="I35" s="408"/>
      <c r="J35" s="408"/>
      <c r="K35" s="406"/>
      <c r="L35" s="588"/>
      <c r="M35" s="407" t="e">
        <f>RANK(K35, K$27:$K$41)</f>
        <v>#N/A</v>
      </c>
      <c r="N35" s="544"/>
      <c r="O35" s="544"/>
      <c r="P35" s="404"/>
      <c r="Q35" s="404"/>
      <c r="R35" s="404"/>
      <c r="S35" s="404" t="e">
        <f t="shared" si="15"/>
        <v>#N/A</v>
      </c>
      <c r="T35" s="534"/>
      <c r="U35" s="404"/>
      <c r="V35" s="404"/>
      <c r="W35" s="404"/>
      <c r="X35" s="404" t="e">
        <f t="shared" si="16"/>
        <v>#N/A</v>
      </c>
      <c r="Y35" s="534"/>
      <c r="Z35" s="404"/>
      <c r="AA35" s="404"/>
      <c r="AB35" s="404"/>
      <c r="AC35" s="404" t="e">
        <f t="shared" si="18"/>
        <v>#N/A</v>
      </c>
      <c r="AD35" s="534"/>
      <c r="AE35" s="404"/>
      <c r="AF35" s="404"/>
      <c r="AG35" s="404"/>
      <c r="AH35" s="404" t="e">
        <f t="shared" si="20"/>
        <v>#N/A</v>
      </c>
      <c r="AI35" s="534"/>
      <c r="AJ35" s="404"/>
      <c r="AK35" s="404"/>
      <c r="AL35" s="404"/>
      <c r="AM35" s="404" t="e">
        <f t="shared" si="22"/>
        <v>#N/A</v>
      </c>
      <c r="AN35" s="534"/>
      <c r="AO35" s="404"/>
      <c r="AP35" s="404"/>
      <c r="AQ35" s="404"/>
      <c r="AR35" s="404" t="e">
        <f t="shared" si="24"/>
        <v>#N/A</v>
      </c>
      <c r="AS35" s="534"/>
      <c r="AT35" s="404"/>
      <c r="AU35" s="404"/>
      <c r="AV35" s="404"/>
      <c r="AW35" s="404" t="e">
        <f t="shared" si="26"/>
        <v>#N/A</v>
      </c>
      <c r="AX35" s="534"/>
    </row>
    <row r="36" spans="2:50">
      <c r="B36" s="533"/>
      <c r="C36" s="404">
        <v>10</v>
      </c>
      <c r="D36" s="226"/>
      <c r="E36" s="182"/>
      <c r="F36" s="404"/>
      <c r="G36" s="405"/>
      <c r="H36" s="598"/>
      <c r="I36" s="408"/>
      <c r="J36" s="408"/>
      <c r="K36" s="406"/>
      <c r="L36" s="588"/>
      <c r="M36" s="407" t="e">
        <f>RANK(K36, K$27:$K$41)</f>
        <v>#N/A</v>
      </c>
      <c r="N36" s="544"/>
      <c r="O36" s="544"/>
      <c r="P36" s="404"/>
      <c r="Q36" s="404"/>
      <c r="R36" s="404"/>
      <c r="S36" s="404" t="e">
        <f t="shared" si="15"/>
        <v>#N/A</v>
      </c>
      <c r="T36" s="534"/>
      <c r="U36" s="404"/>
      <c r="V36" s="404"/>
      <c r="W36" s="404"/>
      <c r="X36" s="404" t="e">
        <f t="shared" si="16"/>
        <v>#N/A</v>
      </c>
      <c r="Y36" s="534"/>
      <c r="Z36" s="404"/>
      <c r="AA36" s="404"/>
      <c r="AB36" s="404"/>
      <c r="AC36" s="404" t="e">
        <f t="shared" si="18"/>
        <v>#N/A</v>
      </c>
      <c r="AD36" s="534"/>
      <c r="AE36" s="404"/>
      <c r="AF36" s="404"/>
      <c r="AG36" s="404"/>
      <c r="AH36" s="404" t="e">
        <f t="shared" si="20"/>
        <v>#N/A</v>
      </c>
      <c r="AI36" s="534"/>
      <c r="AJ36" s="404"/>
      <c r="AK36" s="404"/>
      <c r="AL36" s="404"/>
      <c r="AM36" s="404" t="e">
        <f t="shared" si="22"/>
        <v>#N/A</v>
      </c>
      <c r="AN36" s="534"/>
      <c r="AO36" s="404"/>
      <c r="AP36" s="404"/>
      <c r="AQ36" s="404"/>
      <c r="AR36" s="404" t="e">
        <f t="shared" si="24"/>
        <v>#N/A</v>
      </c>
      <c r="AS36" s="534"/>
      <c r="AT36" s="404"/>
      <c r="AU36" s="404"/>
      <c r="AV36" s="404"/>
      <c r="AW36" s="404" t="e">
        <f t="shared" si="26"/>
        <v>#N/A</v>
      </c>
      <c r="AX36" s="534"/>
    </row>
    <row r="37" spans="2:50">
      <c r="B37" s="533"/>
      <c r="C37" s="404">
        <v>11</v>
      </c>
      <c r="D37" s="226"/>
      <c r="E37" s="182"/>
      <c r="F37" s="404"/>
      <c r="G37" s="405"/>
      <c r="H37" s="598"/>
      <c r="I37" s="202"/>
      <c r="J37" s="202"/>
      <c r="K37" s="202"/>
      <c r="L37" s="588"/>
      <c r="M37" s="407" t="e">
        <f>RANK(K37, K$27:$K$41)</f>
        <v>#N/A</v>
      </c>
      <c r="N37" s="544"/>
      <c r="O37" s="544"/>
      <c r="P37" s="404"/>
      <c r="Q37" s="404"/>
      <c r="R37" s="404"/>
      <c r="S37" s="404" t="e">
        <f t="shared" si="15"/>
        <v>#N/A</v>
      </c>
      <c r="T37" s="534"/>
      <c r="U37" s="404"/>
      <c r="V37" s="404"/>
      <c r="W37" s="404"/>
      <c r="X37" s="404" t="e">
        <f t="shared" si="16"/>
        <v>#N/A</v>
      </c>
      <c r="Y37" s="534"/>
      <c r="Z37" s="404"/>
      <c r="AA37" s="404"/>
      <c r="AB37" s="404"/>
      <c r="AC37" s="404" t="e">
        <f t="shared" si="18"/>
        <v>#N/A</v>
      </c>
      <c r="AD37" s="534"/>
      <c r="AE37" s="404"/>
      <c r="AF37" s="404"/>
      <c r="AG37" s="404"/>
      <c r="AH37" s="404" t="e">
        <f t="shared" si="20"/>
        <v>#N/A</v>
      </c>
      <c r="AI37" s="534"/>
      <c r="AJ37" s="404"/>
      <c r="AK37" s="404"/>
      <c r="AL37" s="404"/>
      <c r="AM37" s="404" t="e">
        <f t="shared" si="22"/>
        <v>#N/A</v>
      </c>
      <c r="AN37" s="534"/>
      <c r="AO37" s="404"/>
      <c r="AP37" s="404"/>
      <c r="AQ37" s="404"/>
      <c r="AR37" s="404" t="e">
        <f t="shared" si="24"/>
        <v>#N/A</v>
      </c>
      <c r="AS37" s="534"/>
      <c r="AT37" s="404"/>
      <c r="AU37" s="404"/>
      <c r="AV37" s="404"/>
      <c r="AW37" s="404" t="e">
        <f t="shared" si="26"/>
        <v>#N/A</v>
      </c>
      <c r="AX37" s="534"/>
    </row>
    <row r="38" spans="2:50">
      <c r="B38" s="533"/>
      <c r="C38" s="404">
        <v>12</v>
      </c>
      <c r="D38" s="226"/>
      <c r="E38" s="182"/>
      <c r="F38" s="404"/>
      <c r="G38" s="405"/>
      <c r="H38" s="598"/>
      <c r="I38" s="202"/>
      <c r="J38" s="202"/>
      <c r="K38" s="202"/>
      <c r="L38" s="588"/>
      <c r="M38" s="407" t="e">
        <f>RANK(K38, K$27:$K$41)</f>
        <v>#N/A</v>
      </c>
      <c r="N38" s="544"/>
      <c r="O38" s="544"/>
      <c r="P38" s="404"/>
      <c r="Q38" s="404"/>
      <c r="R38" s="404"/>
      <c r="S38" s="404" t="e">
        <f t="shared" si="15"/>
        <v>#N/A</v>
      </c>
      <c r="T38" s="534"/>
      <c r="U38" s="404"/>
      <c r="V38" s="404"/>
      <c r="W38" s="404"/>
      <c r="X38" s="404" t="e">
        <f t="shared" si="16"/>
        <v>#N/A</v>
      </c>
      <c r="Y38" s="534"/>
      <c r="Z38" s="404"/>
      <c r="AA38" s="404"/>
      <c r="AB38" s="404"/>
      <c r="AC38" s="404" t="e">
        <f t="shared" si="18"/>
        <v>#N/A</v>
      </c>
      <c r="AD38" s="534"/>
      <c r="AE38" s="404"/>
      <c r="AF38" s="404"/>
      <c r="AG38" s="404"/>
      <c r="AH38" s="404" t="e">
        <f t="shared" si="20"/>
        <v>#N/A</v>
      </c>
      <c r="AI38" s="534"/>
      <c r="AJ38" s="404"/>
      <c r="AK38" s="404"/>
      <c r="AL38" s="404"/>
      <c r="AM38" s="404" t="e">
        <f t="shared" si="22"/>
        <v>#N/A</v>
      </c>
      <c r="AN38" s="534"/>
      <c r="AO38" s="404"/>
      <c r="AP38" s="404"/>
      <c r="AQ38" s="404"/>
      <c r="AR38" s="404" t="e">
        <f t="shared" si="24"/>
        <v>#N/A</v>
      </c>
      <c r="AS38" s="534"/>
      <c r="AT38" s="404"/>
      <c r="AU38" s="404"/>
      <c r="AV38" s="404"/>
      <c r="AW38" s="404" t="e">
        <f t="shared" si="26"/>
        <v>#N/A</v>
      </c>
      <c r="AX38" s="534"/>
    </row>
    <row r="39" spans="2:50">
      <c r="B39" s="533"/>
      <c r="C39" s="404">
        <v>13</v>
      </c>
      <c r="D39" s="226"/>
      <c r="E39" s="182"/>
      <c r="F39" s="404"/>
      <c r="G39" s="405"/>
      <c r="H39" s="598"/>
      <c r="I39" s="202"/>
      <c r="J39" s="202"/>
      <c r="K39" s="202"/>
      <c r="L39" s="588"/>
      <c r="M39" s="407" t="e">
        <f>RANK(K39, K$27:$K$41)</f>
        <v>#N/A</v>
      </c>
      <c r="N39" s="544"/>
      <c r="O39" s="544"/>
      <c r="P39" s="404"/>
      <c r="Q39" s="404"/>
      <c r="R39" s="404"/>
      <c r="S39" s="404" t="e">
        <f t="shared" si="15"/>
        <v>#N/A</v>
      </c>
      <c r="T39" s="534"/>
      <c r="U39" s="404"/>
      <c r="V39" s="404"/>
      <c r="W39" s="404"/>
      <c r="X39" s="404" t="e">
        <f t="shared" si="16"/>
        <v>#N/A</v>
      </c>
      <c r="Y39" s="534"/>
      <c r="Z39" s="404"/>
      <c r="AA39" s="404"/>
      <c r="AB39" s="404"/>
      <c r="AC39" s="404" t="e">
        <f t="shared" si="18"/>
        <v>#N/A</v>
      </c>
      <c r="AD39" s="534"/>
      <c r="AE39" s="404"/>
      <c r="AF39" s="404"/>
      <c r="AG39" s="404"/>
      <c r="AH39" s="404" t="e">
        <f t="shared" si="20"/>
        <v>#N/A</v>
      </c>
      <c r="AI39" s="534"/>
      <c r="AJ39" s="404"/>
      <c r="AK39" s="404"/>
      <c r="AL39" s="404"/>
      <c r="AM39" s="404" t="e">
        <f t="shared" si="22"/>
        <v>#N/A</v>
      </c>
      <c r="AN39" s="534"/>
      <c r="AO39" s="404"/>
      <c r="AP39" s="404"/>
      <c r="AQ39" s="404"/>
      <c r="AR39" s="404" t="e">
        <f t="shared" si="24"/>
        <v>#N/A</v>
      </c>
      <c r="AS39" s="534"/>
      <c r="AT39" s="404"/>
      <c r="AU39" s="404"/>
      <c r="AV39" s="404"/>
      <c r="AW39" s="404" t="e">
        <f t="shared" si="26"/>
        <v>#N/A</v>
      </c>
      <c r="AX39" s="534"/>
    </row>
    <row r="40" spans="2:50">
      <c r="B40" s="533"/>
      <c r="C40" s="404">
        <v>14</v>
      </c>
      <c r="D40" s="226"/>
      <c r="E40" s="182"/>
      <c r="F40" s="404"/>
      <c r="G40" s="405"/>
      <c r="H40" s="598"/>
      <c r="I40" s="202"/>
      <c r="J40" s="202"/>
      <c r="K40" s="202"/>
      <c r="L40" s="588"/>
      <c r="M40" s="407" t="e">
        <f>RANK(K40, K$27:$K$41)</f>
        <v>#N/A</v>
      </c>
      <c r="N40" s="544"/>
      <c r="O40" s="544"/>
      <c r="P40" s="404"/>
      <c r="Q40" s="404"/>
      <c r="R40" s="404"/>
      <c r="S40" s="404" t="e">
        <f t="shared" si="15"/>
        <v>#N/A</v>
      </c>
      <c r="T40" s="534"/>
      <c r="U40" s="404"/>
      <c r="V40" s="404"/>
      <c r="W40" s="404"/>
      <c r="X40" s="404" t="e">
        <f t="shared" si="16"/>
        <v>#N/A</v>
      </c>
      <c r="Y40" s="534"/>
      <c r="Z40" s="404"/>
      <c r="AA40" s="404"/>
      <c r="AB40" s="404"/>
      <c r="AC40" s="404" t="e">
        <f t="shared" si="18"/>
        <v>#N/A</v>
      </c>
      <c r="AD40" s="534"/>
      <c r="AE40" s="404"/>
      <c r="AF40" s="404"/>
      <c r="AG40" s="404"/>
      <c r="AH40" s="404" t="e">
        <f t="shared" si="20"/>
        <v>#N/A</v>
      </c>
      <c r="AI40" s="534"/>
      <c r="AJ40" s="404"/>
      <c r="AK40" s="404"/>
      <c r="AL40" s="404"/>
      <c r="AM40" s="404" t="e">
        <f t="shared" si="22"/>
        <v>#N/A</v>
      </c>
      <c r="AN40" s="534"/>
      <c r="AO40" s="404"/>
      <c r="AP40" s="404"/>
      <c r="AQ40" s="404"/>
      <c r="AR40" s="404" t="e">
        <f t="shared" si="24"/>
        <v>#N/A</v>
      </c>
      <c r="AS40" s="534"/>
      <c r="AT40" s="404"/>
      <c r="AU40" s="404"/>
      <c r="AV40" s="404"/>
      <c r="AW40" s="404" t="e">
        <f t="shared" si="26"/>
        <v>#N/A</v>
      </c>
      <c r="AX40" s="534"/>
    </row>
    <row r="41" spans="2:50">
      <c r="B41" s="533"/>
      <c r="C41" s="404">
        <v>15</v>
      </c>
      <c r="D41" s="226"/>
      <c r="E41" s="182"/>
      <c r="F41" s="404"/>
      <c r="G41" s="405"/>
      <c r="H41" s="599"/>
      <c r="I41" s="202"/>
      <c r="J41" s="202"/>
      <c r="K41" s="202"/>
      <c r="L41" s="589"/>
      <c r="M41" s="408" t="e">
        <f>RANK(K41, K$27:$K$41)</f>
        <v>#N/A</v>
      </c>
      <c r="N41" s="544"/>
      <c r="O41" s="544"/>
      <c r="P41" s="404"/>
      <c r="Q41" s="404"/>
      <c r="R41" s="404"/>
      <c r="S41" s="404" t="e">
        <f t="shared" si="15"/>
        <v>#N/A</v>
      </c>
      <c r="T41" s="534"/>
      <c r="U41" s="404"/>
      <c r="V41" s="404"/>
      <c r="W41" s="404"/>
      <c r="X41" s="404" t="e">
        <f t="shared" si="16"/>
        <v>#N/A</v>
      </c>
      <c r="Y41" s="534"/>
      <c r="Z41" s="404"/>
      <c r="AA41" s="404"/>
      <c r="AB41" s="404"/>
      <c r="AC41" s="404" t="e">
        <f t="shared" si="18"/>
        <v>#N/A</v>
      </c>
      <c r="AD41" s="534"/>
      <c r="AE41" s="404"/>
      <c r="AF41" s="404"/>
      <c r="AG41" s="404"/>
      <c r="AH41" s="404" t="e">
        <f t="shared" si="20"/>
        <v>#N/A</v>
      </c>
      <c r="AI41" s="534"/>
      <c r="AJ41" s="404"/>
      <c r="AK41" s="404"/>
      <c r="AL41" s="404"/>
      <c r="AM41" s="404" t="e">
        <f t="shared" si="22"/>
        <v>#N/A</v>
      </c>
      <c r="AN41" s="534"/>
      <c r="AO41" s="404"/>
      <c r="AP41" s="404"/>
      <c r="AQ41" s="404"/>
      <c r="AR41" s="404" t="e">
        <f t="shared" si="24"/>
        <v>#N/A</v>
      </c>
      <c r="AS41" s="534"/>
      <c r="AT41" s="404"/>
      <c r="AU41" s="404"/>
      <c r="AV41" s="404"/>
      <c r="AW41" s="404" t="e">
        <f t="shared" si="26"/>
        <v>#N/A</v>
      </c>
      <c r="AX41" s="534"/>
    </row>
    <row r="42" spans="2:50" ht="15.5">
      <c r="B42" s="575" t="s">
        <v>704</v>
      </c>
      <c r="C42" s="576"/>
      <c r="D42" s="576"/>
      <c r="E42" s="576"/>
      <c r="F42" s="576"/>
      <c r="G42" s="576"/>
      <c r="H42" s="576"/>
      <c r="I42" s="208"/>
      <c r="J42" s="203"/>
      <c r="K42" s="208"/>
      <c r="L42" s="208"/>
      <c r="M42" s="204"/>
      <c r="N42" s="559" t="s">
        <v>705</v>
      </c>
      <c r="O42" s="559" t="s">
        <v>706</v>
      </c>
      <c r="P42" s="554">
        <f>P22+7</f>
        <v>46000</v>
      </c>
      <c r="Q42" s="533"/>
      <c r="R42" s="533"/>
      <c r="S42" s="533"/>
      <c r="T42" s="533"/>
      <c r="U42" s="551">
        <f>P42+1</f>
        <v>46001</v>
      </c>
      <c r="V42" s="552"/>
      <c r="W42" s="552"/>
      <c r="X42" s="552"/>
      <c r="Y42" s="553"/>
      <c r="Z42" s="551">
        <f>U42+1</f>
        <v>46002</v>
      </c>
      <c r="AA42" s="552"/>
      <c r="AB42" s="552"/>
      <c r="AC42" s="552"/>
      <c r="AD42" s="553"/>
      <c r="AE42" s="551">
        <f>Z42+1</f>
        <v>46003</v>
      </c>
      <c r="AF42" s="552"/>
      <c r="AG42" s="552"/>
      <c r="AH42" s="552"/>
      <c r="AI42" s="553"/>
      <c r="AJ42" s="551">
        <f>AE42+1</f>
        <v>46004</v>
      </c>
      <c r="AK42" s="552"/>
      <c r="AL42" s="552"/>
      <c r="AM42" s="552"/>
      <c r="AN42" s="553"/>
      <c r="AO42" s="551">
        <f>AJ42+1</f>
        <v>46005</v>
      </c>
      <c r="AP42" s="552"/>
      <c r="AQ42" s="552"/>
      <c r="AR42" s="552"/>
      <c r="AS42" s="553"/>
      <c r="AT42" s="551">
        <f>AO42+1</f>
        <v>46006</v>
      </c>
      <c r="AU42" s="552"/>
      <c r="AV42" s="552"/>
      <c r="AW42" s="552"/>
      <c r="AX42" s="553"/>
    </row>
    <row r="43" spans="2:50" ht="15.5">
      <c r="B43" s="558"/>
      <c r="C43" s="558"/>
      <c r="D43" s="558"/>
      <c r="E43" s="558"/>
      <c r="F43" s="558"/>
      <c r="G43" s="558"/>
      <c r="H43" s="558"/>
      <c r="I43" s="205"/>
      <c r="J43" s="205"/>
      <c r="K43" s="205"/>
      <c r="L43" s="205"/>
      <c r="M43" s="206"/>
      <c r="N43" s="560"/>
      <c r="O43" s="560"/>
      <c r="P43" s="554" t="s">
        <v>707</v>
      </c>
      <c r="Q43" s="533"/>
      <c r="R43" s="533"/>
      <c r="S43" s="533"/>
      <c r="T43" s="533"/>
      <c r="U43" s="554" t="s">
        <v>708</v>
      </c>
      <c r="V43" s="533"/>
      <c r="W43" s="533"/>
      <c r="X43" s="533"/>
      <c r="Y43" s="533"/>
      <c r="Z43" s="554" t="s">
        <v>709</v>
      </c>
      <c r="AA43" s="533"/>
      <c r="AB43" s="533"/>
      <c r="AC43" s="533"/>
      <c r="AD43" s="533"/>
      <c r="AE43" s="554" t="s">
        <v>710</v>
      </c>
      <c r="AF43" s="533"/>
      <c r="AG43" s="533"/>
      <c r="AH43" s="533"/>
      <c r="AI43" s="533"/>
      <c r="AJ43" s="554" t="s">
        <v>711</v>
      </c>
      <c r="AK43" s="533"/>
      <c r="AL43" s="533"/>
      <c r="AM43" s="533"/>
      <c r="AN43" s="533"/>
      <c r="AO43" s="554" t="s">
        <v>712</v>
      </c>
      <c r="AP43" s="533"/>
      <c r="AQ43" s="533"/>
      <c r="AR43" s="533"/>
      <c r="AS43" s="533"/>
      <c r="AT43" s="554" t="s">
        <v>713</v>
      </c>
      <c r="AU43" s="533"/>
      <c r="AV43" s="533"/>
      <c r="AW43" s="533"/>
      <c r="AX43" s="533"/>
    </row>
    <row r="44" spans="2:50">
      <c r="B44" s="544" t="s">
        <v>649</v>
      </c>
      <c r="C44" s="544" t="s">
        <v>650</v>
      </c>
      <c r="D44" s="544"/>
      <c r="E44" s="544" t="s">
        <v>651</v>
      </c>
      <c r="F44" s="544"/>
      <c r="G44" s="544"/>
      <c r="H44" s="561" t="s">
        <v>652</v>
      </c>
      <c r="I44" s="583" t="s">
        <v>653</v>
      </c>
      <c r="J44" s="583"/>
      <c r="K44" s="583"/>
      <c r="L44" s="584" t="s">
        <v>652</v>
      </c>
      <c r="M44" s="567" t="s">
        <v>654</v>
      </c>
      <c r="N44" s="544"/>
      <c r="O44" s="544" t="s">
        <v>655</v>
      </c>
      <c r="P44" s="548" t="s">
        <v>656</v>
      </c>
      <c r="Q44" s="549"/>
      <c r="R44" s="549"/>
      <c r="S44" s="550"/>
      <c r="T44" s="544" t="s">
        <v>652</v>
      </c>
      <c r="U44" s="548" t="s">
        <v>656</v>
      </c>
      <c r="V44" s="549"/>
      <c r="W44" s="549"/>
      <c r="X44" s="550"/>
      <c r="Y44" s="544" t="s">
        <v>652</v>
      </c>
      <c r="Z44" s="548" t="s">
        <v>656</v>
      </c>
      <c r="AA44" s="549"/>
      <c r="AB44" s="549"/>
      <c r="AC44" s="550"/>
      <c r="AD44" s="544" t="s">
        <v>652</v>
      </c>
      <c r="AE44" s="548" t="s">
        <v>656</v>
      </c>
      <c r="AF44" s="549"/>
      <c r="AG44" s="549"/>
      <c r="AH44" s="550"/>
      <c r="AI44" s="544" t="s">
        <v>652</v>
      </c>
      <c r="AJ44" s="548" t="s">
        <v>656</v>
      </c>
      <c r="AK44" s="549"/>
      <c r="AL44" s="549"/>
      <c r="AM44" s="550"/>
      <c r="AN44" s="544" t="s">
        <v>652</v>
      </c>
      <c r="AO44" s="548" t="s">
        <v>656</v>
      </c>
      <c r="AP44" s="549"/>
      <c r="AQ44" s="549"/>
      <c r="AR44" s="550"/>
      <c r="AS44" s="544" t="s">
        <v>652</v>
      </c>
      <c r="AT44" s="548" t="s">
        <v>656</v>
      </c>
      <c r="AU44" s="549"/>
      <c r="AV44" s="549"/>
      <c r="AW44" s="550"/>
      <c r="AX44" s="544" t="s">
        <v>652</v>
      </c>
    </row>
    <row r="45" spans="2:50">
      <c r="B45" s="544"/>
      <c r="C45" s="544"/>
      <c r="D45" s="544"/>
      <c r="E45" s="544" t="s">
        <v>657</v>
      </c>
      <c r="F45" s="544"/>
      <c r="G45" s="544"/>
      <c r="H45" s="562"/>
      <c r="I45" s="583" t="s">
        <v>657</v>
      </c>
      <c r="J45" s="583"/>
      <c r="K45" s="583"/>
      <c r="L45" s="585"/>
      <c r="M45" s="568"/>
      <c r="N45" s="544"/>
      <c r="O45" s="544"/>
      <c r="P45" s="548" t="s">
        <v>658</v>
      </c>
      <c r="Q45" s="549"/>
      <c r="R45" s="549"/>
      <c r="S45" s="550"/>
      <c r="T45" s="544"/>
      <c r="U45" s="548" t="s">
        <v>658</v>
      </c>
      <c r="V45" s="549"/>
      <c r="W45" s="549"/>
      <c r="X45" s="550"/>
      <c r="Y45" s="544"/>
      <c r="Z45" s="548" t="s">
        <v>658</v>
      </c>
      <c r="AA45" s="549"/>
      <c r="AB45" s="549"/>
      <c r="AC45" s="550"/>
      <c r="AD45" s="544"/>
      <c r="AE45" s="548" t="s">
        <v>658</v>
      </c>
      <c r="AF45" s="549"/>
      <c r="AG45" s="549"/>
      <c r="AH45" s="550"/>
      <c r="AI45" s="544"/>
      <c r="AJ45" s="548" t="s">
        <v>658</v>
      </c>
      <c r="AK45" s="549"/>
      <c r="AL45" s="549"/>
      <c r="AM45" s="550"/>
      <c r="AN45" s="544"/>
      <c r="AO45" s="548" t="s">
        <v>658</v>
      </c>
      <c r="AP45" s="549"/>
      <c r="AQ45" s="549"/>
      <c r="AR45" s="550"/>
      <c r="AS45" s="544"/>
      <c r="AT45" s="548" t="s">
        <v>658</v>
      </c>
      <c r="AU45" s="549"/>
      <c r="AV45" s="549"/>
      <c r="AW45" s="550"/>
      <c r="AX45" s="544"/>
    </row>
    <row r="46" spans="2:50">
      <c r="B46" s="544"/>
      <c r="C46" s="544"/>
      <c r="D46" s="544"/>
      <c r="E46" s="403" t="s">
        <v>659</v>
      </c>
      <c r="F46" s="403" t="s">
        <v>660</v>
      </c>
      <c r="G46" s="403" t="s">
        <v>661</v>
      </c>
      <c r="H46" s="563"/>
      <c r="I46" s="402" t="s">
        <v>659</v>
      </c>
      <c r="J46" s="402" t="s">
        <v>660</v>
      </c>
      <c r="K46" s="402" t="s">
        <v>661</v>
      </c>
      <c r="L46" s="586"/>
      <c r="M46" s="569"/>
      <c r="N46" s="544"/>
      <c r="O46" s="544"/>
      <c r="P46" s="403" t="s">
        <v>659</v>
      </c>
      <c r="Q46" s="403" t="s">
        <v>660</v>
      </c>
      <c r="R46" s="403" t="s">
        <v>661</v>
      </c>
      <c r="S46" s="403" t="s">
        <v>654</v>
      </c>
      <c r="T46" s="544"/>
      <c r="U46" s="403" t="s">
        <v>659</v>
      </c>
      <c r="V46" s="403" t="s">
        <v>660</v>
      </c>
      <c r="W46" s="403" t="s">
        <v>661</v>
      </c>
      <c r="X46" s="403" t="s">
        <v>654</v>
      </c>
      <c r="Y46" s="544"/>
      <c r="Z46" s="403" t="s">
        <v>659</v>
      </c>
      <c r="AA46" s="403" t="s">
        <v>660</v>
      </c>
      <c r="AB46" s="403" t="s">
        <v>661</v>
      </c>
      <c r="AC46" s="403" t="s">
        <v>654</v>
      </c>
      <c r="AD46" s="544"/>
      <c r="AE46" s="403" t="s">
        <v>659</v>
      </c>
      <c r="AF46" s="403" t="s">
        <v>660</v>
      </c>
      <c r="AG46" s="403" t="s">
        <v>661</v>
      </c>
      <c r="AH46" s="403" t="s">
        <v>654</v>
      </c>
      <c r="AI46" s="544"/>
      <c r="AJ46" s="403" t="s">
        <v>659</v>
      </c>
      <c r="AK46" s="403" t="s">
        <v>660</v>
      </c>
      <c r="AL46" s="403" t="s">
        <v>661</v>
      </c>
      <c r="AM46" s="403" t="s">
        <v>654</v>
      </c>
      <c r="AN46" s="544"/>
      <c r="AO46" s="403" t="s">
        <v>659</v>
      </c>
      <c r="AP46" s="403" t="s">
        <v>660</v>
      </c>
      <c r="AQ46" s="403" t="s">
        <v>661</v>
      </c>
      <c r="AR46" s="403" t="s">
        <v>654</v>
      </c>
      <c r="AS46" s="544"/>
      <c r="AT46" s="403" t="s">
        <v>659</v>
      </c>
      <c r="AU46" s="403" t="s">
        <v>660</v>
      </c>
      <c r="AV46" s="403" t="s">
        <v>661</v>
      </c>
      <c r="AW46" s="403" t="s">
        <v>654</v>
      </c>
      <c r="AX46" s="544"/>
    </row>
    <row r="47" spans="2:50">
      <c r="B47" s="544" t="s">
        <v>703</v>
      </c>
      <c r="C47" s="404">
        <v>1</v>
      </c>
      <c r="D47" s="226" t="s">
        <v>610</v>
      </c>
      <c r="E47" s="182">
        <v>13</v>
      </c>
      <c r="F47" s="404">
        <v>1500</v>
      </c>
      <c r="G47" s="405">
        <v>115.38461538461539</v>
      </c>
      <c r="H47" s="597">
        <f>AVERAGE(G47:G61)</f>
        <v>115.38461538461539</v>
      </c>
      <c r="I47" s="408">
        <f>AVERAGE(P47,U47,Z47,AE47,AJ47,AO47,AT47)</f>
        <v>13</v>
      </c>
      <c r="J47" s="408">
        <f>AVERAGE(Q47,V47,AA47,AF47,AK47,AP47,AU47)</f>
        <v>1487.5</v>
      </c>
      <c r="K47" s="406">
        <f>AVERAGE(R47,W47,AB47,AG47,AL47,AQ47,AV47)</f>
        <v>114.4</v>
      </c>
      <c r="L47" s="587">
        <f>IFERROR(AVERAGE(K47:K61),"-")</f>
        <v>114.4</v>
      </c>
      <c r="M47" s="407">
        <f>RANK(K47, K$47:$K$61)</f>
        <v>1</v>
      </c>
      <c r="N47" s="544"/>
      <c r="O47" s="544"/>
      <c r="P47" s="182">
        <v>13</v>
      </c>
      <c r="Q47" s="182">
        <v>1498</v>
      </c>
      <c r="R47" s="405">
        <v>115.2</v>
      </c>
      <c r="S47" s="404">
        <f>RANK(R47, R$47:R$61)</f>
        <v>1</v>
      </c>
      <c r="T47" s="534">
        <f>AVERAGE(R47:R61)</f>
        <v>115.2</v>
      </c>
      <c r="U47" s="182">
        <v>13</v>
      </c>
      <c r="V47" s="182">
        <v>1477</v>
      </c>
      <c r="W47" s="405">
        <v>113.6</v>
      </c>
      <c r="X47" s="404">
        <f t="shared" ref="X47:X61" si="28">RANK(W47, W$47:W$61)</f>
        <v>1</v>
      </c>
      <c r="Y47" s="534">
        <f t="shared" ref="Y47" si="29">AVERAGE(W47:W61)</f>
        <v>113.6</v>
      </c>
      <c r="Z47" s="182"/>
      <c r="AA47" s="182"/>
      <c r="AB47" s="405"/>
      <c r="AC47" s="404" t="e">
        <f t="shared" ref="AC47:AC61" si="30">RANK(AB47, AB$47:AB$61)</f>
        <v>#N/A</v>
      </c>
      <c r="AD47" s="534" t="e">
        <f t="shared" ref="AD47" si="31">AVERAGE(AB47:AB61)</f>
        <v>#DIV/0!</v>
      </c>
      <c r="AE47" s="182"/>
      <c r="AF47" s="182"/>
      <c r="AG47" s="405"/>
      <c r="AH47" s="404" t="e">
        <f t="shared" ref="AH47:AH61" si="32">RANK(AG47, AG$47:AG$61)</f>
        <v>#N/A</v>
      </c>
      <c r="AI47" s="534" t="e">
        <f t="shared" ref="AI47" si="33">AVERAGE(AG47:AG61)</f>
        <v>#DIV/0!</v>
      </c>
      <c r="AJ47" s="182"/>
      <c r="AK47" s="182"/>
      <c r="AL47" s="405"/>
      <c r="AM47" s="404" t="e">
        <f t="shared" ref="AM47:AM61" si="34">RANK(AL47, AL$47:AL$61)</f>
        <v>#N/A</v>
      </c>
      <c r="AN47" s="534" t="e">
        <f t="shared" ref="AN47" si="35">AVERAGE(AL47:AL61)</f>
        <v>#DIV/0!</v>
      </c>
      <c r="AO47" s="182"/>
      <c r="AP47" s="182"/>
      <c r="AQ47" s="405"/>
      <c r="AR47" s="404" t="e">
        <f t="shared" ref="AR47:AR61" si="36">RANK(AQ47, AQ$47:AQ$61)</f>
        <v>#N/A</v>
      </c>
      <c r="AS47" s="534" t="e">
        <f t="shared" ref="AS47" si="37">AVERAGE(AQ47:AQ61)</f>
        <v>#DIV/0!</v>
      </c>
      <c r="AT47" s="182"/>
      <c r="AU47" s="182"/>
      <c r="AV47" s="405"/>
      <c r="AW47" s="404" t="e">
        <f t="shared" ref="AW47:AW61" si="38">RANK(AV47, AV$47:AV$61)</f>
        <v>#N/A</v>
      </c>
      <c r="AX47" s="534" t="e">
        <f t="shared" ref="AX47" si="39">AVERAGE(AV47:AV61)</f>
        <v>#DIV/0!</v>
      </c>
    </row>
    <row r="48" spans="2:50">
      <c r="B48" s="533"/>
      <c r="C48" s="404">
        <v>2</v>
      </c>
      <c r="D48" s="226"/>
      <c r="E48" s="182"/>
      <c r="F48" s="404"/>
      <c r="G48" s="405"/>
      <c r="H48" s="598"/>
      <c r="I48" s="408"/>
      <c r="J48" s="408"/>
      <c r="K48" s="406"/>
      <c r="L48" s="588"/>
      <c r="M48" s="407" t="e">
        <f>RANK(K48, K$47:$K$61)</f>
        <v>#N/A</v>
      </c>
      <c r="N48" s="544"/>
      <c r="O48" s="544"/>
      <c r="P48" s="404"/>
      <c r="Q48" s="182"/>
      <c r="R48" s="405"/>
      <c r="S48" s="404" t="e">
        <f t="shared" ref="S48:S61" si="40">RANK(R48, R$47:R$61)</f>
        <v>#N/A</v>
      </c>
      <c r="T48" s="534"/>
      <c r="U48" s="404"/>
      <c r="V48" s="182"/>
      <c r="W48" s="405"/>
      <c r="X48" s="404" t="e">
        <f t="shared" si="28"/>
        <v>#N/A</v>
      </c>
      <c r="Y48" s="534"/>
      <c r="Z48" s="404"/>
      <c r="AA48" s="182"/>
      <c r="AB48" s="405"/>
      <c r="AC48" s="404" t="e">
        <f t="shared" si="30"/>
        <v>#N/A</v>
      </c>
      <c r="AD48" s="534"/>
      <c r="AE48" s="404"/>
      <c r="AF48" s="182"/>
      <c r="AG48" s="405"/>
      <c r="AH48" s="404" t="e">
        <f t="shared" si="32"/>
        <v>#N/A</v>
      </c>
      <c r="AI48" s="534"/>
      <c r="AJ48" s="404"/>
      <c r="AK48" s="182"/>
      <c r="AL48" s="405"/>
      <c r="AM48" s="404" t="e">
        <f t="shared" si="34"/>
        <v>#N/A</v>
      </c>
      <c r="AN48" s="534"/>
      <c r="AO48" s="404"/>
      <c r="AP48" s="182"/>
      <c r="AQ48" s="405"/>
      <c r="AR48" s="404" t="e">
        <f t="shared" si="36"/>
        <v>#N/A</v>
      </c>
      <c r="AS48" s="534"/>
      <c r="AT48" s="404"/>
      <c r="AU48" s="182"/>
      <c r="AV48" s="405"/>
      <c r="AW48" s="404" t="e">
        <f t="shared" si="38"/>
        <v>#N/A</v>
      </c>
      <c r="AX48" s="534"/>
    </row>
    <row r="49" spans="2:50">
      <c r="B49" s="533"/>
      <c r="C49" s="404">
        <v>3</v>
      </c>
      <c r="D49" s="226"/>
      <c r="E49" s="182"/>
      <c r="F49" s="404"/>
      <c r="G49" s="405"/>
      <c r="H49" s="598"/>
      <c r="I49" s="408"/>
      <c r="J49" s="408"/>
      <c r="K49" s="406"/>
      <c r="L49" s="588"/>
      <c r="M49" s="407" t="e">
        <f>RANK(K49, K$47:$K$61)</f>
        <v>#N/A</v>
      </c>
      <c r="N49" s="544"/>
      <c r="O49" s="544"/>
      <c r="P49" s="404"/>
      <c r="Q49" s="182"/>
      <c r="R49" s="405"/>
      <c r="S49" s="404" t="e">
        <f t="shared" si="40"/>
        <v>#N/A</v>
      </c>
      <c r="T49" s="534"/>
      <c r="U49" s="404"/>
      <c r="V49" s="182"/>
      <c r="W49" s="405"/>
      <c r="X49" s="404" t="e">
        <f t="shared" si="28"/>
        <v>#N/A</v>
      </c>
      <c r="Y49" s="534"/>
      <c r="Z49" s="404"/>
      <c r="AA49" s="182"/>
      <c r="AB49" s="405"/>
      <c r="AC49" s="404" t="e">
        <f t="shared" si="30"/>
        <v>#N/A</v>
      </c>
      <c r="AD49" s="534"/>
      <c r="AE49" s="404"/>
      <c r="AF49" s="182"/>
      <c r="AG49" s="405"/>
      <c r="AH49" s="404" t="e">
        <f t="shared" si="32"/>
        <v>#N/A</v>
      </c>
      <c r="AI49" s="534"/>
      <c r="AJ49" s="404"/>
      <c r="AK49" s="182"/>
      <c r="AL49" s="405"/>
      <c r="AM49" s="404" t="e">
        <f t="shared" si="34"/>
        <v>#N/A</v>
      </c>
      <c r="AN49" s="534"/>
      <c r="AO49" s="404"/>
      <c r="AP49" s="182"/>
      <c r="AQ49" s="405"/>
      <c r="AR49" s="404" t="e">
        <f t="shared" si="36"/>
        <v>#N/A</v>
      </c>
      <c r="AS49" s="534"/>
      <c r="AT49" s="404"/>
      <c r="AU49" s="182"/>
      <c r="AV49" s="405"/>
      <c r="AW49" s="404" t="e">
        <f t="shared" si="38"/>
        <v>#N/A</v>
      </c>
      <c r="AX49" s="534"/>
    </row>
    <row r="50" spans="2:50">
      <c r="B50" s="533"/>
      <c r="C50" s="404">
        <v>4</v>
      </c>
      <c r="D50" s="226"/>
      <c r="E50" s="182"/>
      <c r="F50" s="404"/>
      <c r="G50" s="405"/>
      <c r="H50" s="598"/>
      <c r="I50" s="408"/>
      <c r="J50" s="408"/>
      <c r="K50" s="406"/>
      <c r="L50" s="588"/>
      <c r="M50" s="407" t="e">
        <f>RANK(K50, K$47:$K$61)</f>
        <v>#N/A</v>
      </c>
      <c r="N50" s="544"/>
      <c r="O50" s="544"/>
      <c r="P50" s="404"/>
      <c r="Q50" s="404"/>
      <c r="R50" s="404"/>
      <c r="S50" s="404" t="e">
        <f t="shared" si="40"/>
        <v>#N/A</v>
      </c>
      <c r="T50" s="534"/>
      <c r="U50" s="404"/>
      <c r="V50" s="404"/>
      <c r="W50" s="404"/>
      <c r="X50" s="404" t="e">
        <f t="shared" si="28"/>
        <v>#N/A</v>
      </c>
      <c r="Y50" s="534"/>
      <c r="Z50" s="404"/>
      <c r="AA50" s="404"/>
      <c r="AB50" s="404"/>
      <c r="AC50" s="404" t="e">
        <f t="shared" si="30"/>
        <v>#N/A</v>
      </c>
      <c r="AD50" s="534"/>
      <c r="AE50" s="404"/>
      <c r="AF50" s="404"/>
      <c r="AG50" s="404"/>
      <c r="AH50" s="404" t="e">
        <f t="shared" si="32"/>
        <v>#N/A</v>
      </c>
      <c r="AI50" s="534"/>
      <c r="AJ50" s="404"/>
      <c r="AK50" s="404"/>
      <c r="AL50" s="404"/>
      <c r="AM50" s="404" t="e">
        <f t="shared" si="34"/>
        <v>#N/A</v>
      </c>
      <c r="AN50" s="534"/>
      <c r="AO50" s="404"/>
      <c r="AP50" s="404"/>
      <c r="AQ50" s="404"/>
      <c r="AR50" s="404" t="e">
        <f t="shared" si="36"/>
        <v>#N/A</v>
      </c>
      <c r="AS50" s="534"/>
      <c r="AT50" s="404"/>
      <c r="AU50" s="404"/>
      <c r="AV50" s="404"/>
      <c r="AW50" s="404" t="e">
        <f t="shared" si="38"/>
        <v>#N/A</v>
      </c>
      <c r="AX50" s="534"/>
    </row>
    <row r="51" spans="2:50">
      <c r="B51" s="533"/>
      <c r="C51" s="404">
        <v>5</v>
      </c>
      <c r="D51" s="226"/>
      <c r="E51" s="182"/>
      <c r="F51" s="404"/>
      <c r="G51" s="405"/>
      <c r="H51" s="598"/>
      <c r="I51" s="408"/>
      <c r="J51" s="408"/>
      <c r="K51" s="406"/>
      <c r="L51" s="588"/>
      <c r="M51" s="407" t="e">
        <f>RANK(K51, K$47:$K$61)</f>
        <v>#N/A</v>
      </c>
      <c r="N51" s="544"/>
      <c r="O51" s="544"/>
      <c r="P51" s="404"/>
      <c r="Q51" s="404"/>
      <c r="R51" s="404"/>
      <c r="S51" s="404" t="e">
        <f t="shared" si="40"/>
        <v>#N/A</v>
      </c>
      <c r="T51" s="534"/>
      <c r="U51" s="404"/>
      <c r="V51" s="404"/>
      <c r="W51" s="404"/>
      <c r="X51" s="404" t="e">
        <f t="shared" si="28"/>
        <v>#N/A</v>
      </c>
      <c r="Y51" s="534"/>
      <c r="Z51" s="404"/>
      <c r="AA51" s="404"/>
      <c r="AB51" s="404"/>
      <c r="AC51" s="404" t="e">
        <f t="shared" si="30"/>
        <v>#N/A</v>
      </c>
      <c r="AD51" s="534"/>
      <c r="AE51" s="404"/>
      <c r="AF51" s="404"/>
      <c r="AG51" s="404"/>
      <c r="AH51" s="404" t="e">
        <f t="shared" si="32"/>
        <v>#N/A</v>
      </c>
      <c r="AI51" s="534"/>
      <c r="AJ51" s="404"/>
      <c r="AK51" s="404"/>
      <c r="AL51" s="404"/>
      <c r="AM51" s="404" t="e">
        <f t="shared" si="34"/>
        <v>#N/A</v>
      </c>
      <c r="AN51" s="534"/>
      <c r="AO51" s="404"/>
      <c r="AP51" s="404"/>
      <c r="AQ51" s="404"/>
      <c r="AR51" s="404" t="e">
        <f t="shared" si="36"/>
        <v>#N/A</v>
      </c>
      <c r="AS51" s="534"/>
      <c r="AT51" s="404"/>
      <c r="AU51" s="404"/>
      <c r="AV51" s="404"/>
      <c r="AW51" s="404" t="e">
        <f t="shared" si="38"/>
        <v>#N/A</v>
      </c>
      <c r="AX51" s="534"/>
    </row>
    <row r="52" spans="2:50">
      <c r="B52" s="533"/>
      <c r="C52" s="404">
        <v>6</v>
      </c>
      <c r="D52" s="226"/>
      <c r="E52" s="182"/>
      <c r="F52" s="404"/>
      <c r="G52" s="405"/>
      <c r="H52" s="598"/>
      <c r="I52" s="408"/>
      <c r="J52" s="408"/>
      <c r="K52" s="406"/>
      <c r="L52" s="588"/>
      <c r="M52" s="407" t="e">
        <f>RANK(K52, K$47:$K$61)</f>
        <v>#N/A</v>
      </c>
      <c r="N52" s="544"/>
      <c r="O52" s="544"/>
      <c r="P52" s="404"/>
      <c r="Q52" s="404"/>
      <c r="R52" s="404"/>
      <c r="S52" s="404" t="e">
        <f t="shared" si="40"/>
        <v>#N/A</v>
      </c>
      <c r="T52" s="534"/>
      <c r="U52" s="404"/>
      <c r="V52" s="404"/>
      <c r="W52" s="404"/>
      <c r="X52" s="404" t="e">
        <f t="shared" si="28"/>
        <v>#N/A</v>
      </c>
      <c r="Y52" s="534"/>
      <c r="Z52" s="404"/>
      <c r="AA52" s="404"/>
      <c r="AB52" s="404"/>
      <c r="AC52" s="404" t="e">
        <f t="shared" si="30"/>
        <v>#N/A</v>
      </c>
      <c r="AD52" s="534"/>
      <c r="AE52" s="404"/>
      <c r="AF52" s="404"/>
      <c r="AG52" s="404"/>
      <c r="AH52" s="404" t="e">
        <f t="shared" si="32"/>
        <v>#N/A</v>
      </c>
      <c r="AI52" s="534"/>
      <c r="AJ52" s="404"/>
      <c r="AK52" s="404"/>
      <c r="AL52" s="404"/>
      <c r="AM52" s="404" t="e">
        <f t="shared" si="34"/>
        <v>#N/A</v>
      </c>
      <c r="AN52" s="534"/>
      <c r="AO52" s="404"/>
      <c r="AP52" s="404"/>
      <c r="AQ52" s="404"/>
      <c r="AR52" s="404" t="e">
        <f t="shared" si="36"/>
        <v>#N/A</v>
      </c>
      <c r="AS52" s="534"/>
      <c r="AT52" s="404"/>
      <c r="AU52" s="404"/>
      <c r="AV52" s="404"/>
      <c r="AW52" s="404" t="e">
        <f t="shared" si="38"/>
        <v>#N/A</v>
      </c>
      <c r="AX52" s="534"/>
    </row>
    <row r="53" spans="2:50">
      <c r="B53" s="533"/>
      <c r="C53" s="404">
        <v>7</v>
      </c>
      <c r="D53" s="226"/>
      <c r="E53" s="182"/>
      <c r="F53" s="404"/>
      <c r="G53" s="405"/>
      <c r="H53" s="598"/>
      <c r="I53" s="408"/>
      <c r="J53" s="408"/>
      <c r="K53" s="406"/>
      <c r="L53" s="588"/>
      <c r="M53" s="407" t="e">
        <f>RANK(K53, K$47:$K$61)</f>
        <v>#N/A</v>
      </c>
      <c r="N53" s="544"/>
      <c r="O53" s="544"/>
      <c r="P53" s="404"/>
      <c r="Q53" s="404"/>
      <c r="R53" s="404"/>
      <c r="S53" s="404" t="e">
        <f t="shared" si="40"/>
        <v>#N/A</v>
      </c>
      <c r="T53" s="534"/>
      <c r="U53" s="404"/>
      <c r="V53" s="404"/>
      <c r="W53" s="404"/>
      <c r="X53" s="404" t="e">
        <f t="shared" si="28"/>
        <v>#N/A</v>
      </c>
      <c r="Y53" s="534"/>
      <c r="Z53" s="404"/>
      <c r="AA53" s="404"/>
      <c r="AB53" s="404"/>
      <c r="AC53" s="404" t="e">
        <f t="shared" si="30"/>
        <v>#N/A</v>
      </c>
      <c r="AD53" s="534"/>
      <c r="AE53" s="404"/>
      <c r="AF53" s="404"/>
      <c r="AG53" s="404"/>
      <c r="AH53" s="404" t="e">
        <f t="shared" si="32"/>
        <v>#N/A</v>
      </c>
      <c r="AI53" s="534"/>
      <c r="AJ53" s="404"/>
      <c r="AK53" s="404"/>
      <c r="AL53" s="404"/>
      <c r="AM53" s="404" t="e">
        <f t="shared" si="34"/>
        <v>#N/A</v>
      </c>
      <c r="AN53" s="534"/>
      <c r="AO53" s="404"/>
      <c r="AP53" s="404"/>
      <c r="AQ53" s="404"/>
      <c r="AR53" s="404" t="e">
        <f t="shared" si="36"/>
        <v>#N/A</v>
      </c>
      <c r="AS53" s="534"/>
      <c r="AT53" s="404"/>
      <c r="AU53" s="404"/>
      <c r="AV53" s="404"/>
      <c r="AW53" s="404" t="e">
        <f t="shared" si="38"/>
        <v>#N/A</v>
      </c>
      <c r="AX53" s="534"/>
    </row>
    <row r="54" spans="2:50">
      <c r="B54" s="533"/>
      <c r="C54" s="404">
        <v>8</v>
      </c>
      <c r="D54" s="226"/>
      <c r="E54" s="182"/>
      <c r="F54" s="404"/>
      <c r="G54" s="405"/>
      <c r="H54" s="598"/>
      <c r="I54" s="408"/>
      <c r="J54" s="408"/>
      <c r="K54" s="406"/>
      <c r="L54" s="588"/>
      <c r="M54" s="407" t="e">
        <f>RANK(K54, K$47:$K$61)</f>
        <v>#N/A</v>
      </c>
      <c r="N54" s="544"/>
      <c r="O54" s="544"/>
      <c r="P54" s="404"/>
      <c r="Q54" s="404"/>
      <c r="R54" s="404"/>
      <c r="S54" s="404" t="e">
        <f t="shared" si="40"/>
        <v>#N/A</v>
      </c>
      <c r="T54" s="534"/>
      <c r="U54" s="404"/>
      <c r="V54" s="404"/>
      <c r="W54" s="404"/>
      <c r="X54" s="404" t="e">
        <f t="shared" si="28"/>
        <v>#N/A</v>
      </c>
      <c r="Y54" s="534"/>
      <c r="Z54" s="404"/>
      <c r="AA54" s="404"/>
      <c r="AB54" s="404"/>
      <c r="AC54" s="404" t="e">
        <f t="shared" si="30"/>
        <v>#N/A</v>
      </c>
      <c r="AD54" s="534"/>
      <c r="AE54" s="404"/>
      <c r="AF54" s="404"/>
      <c r="AG54" s="404"/>
      <c r="AH54" s="404" t="e">
        <f t="shared" si="32"/>
        <v>#N/A</v>
      </c>
      <c r="AI54" s="534"/>
      <c r="AJ54" s="404"/>
      <c r="AK54" s="404"/>
      <c r="AL54" s="404"/>
      <c r="AM54" s="404" t="e">
        <f t="shared" si="34"/>
        <v>#N/A</v>
      </c>
      <c r="AN54" s="534"/>
      <c r="AO54" s="404"/>
      <c r="AP54" s="404"/>
      <c r="AQ54" s="404"/>
      <c r="AR54" s="404" t="e">
        <f t="shared" si="36"/>
        <v>#N/A</v>
      </c>
      <c r="AS54" s="534"/>
      <c r="AT54" s="404"/>
      <c r="AU54" s="404"/>
      <c r="AV54" s="404"/>
      <c r="AW54" s="404" t="e">
        <f t="shared" si="38"/>
        <v>#N/A</v>
      </c>
      <c r="AX54" s="534"/>
    </row>
    <row r="55" spans="2:50">
      <c r="B55" s="533"/>
      <c r="C55" s="404">
        <v>9</v>
      </c>
      <c r="D55" s="226"/>
      <c r="E55" s="182"/>
      <c r="F55" s="404"/>
      <c r="G55" s="405"/>
      <c r="H55" s="598"/>
      <c r="I55" s="408"/>
      <c r="J55" s="408"/>
      <c r="K55" s="406"/>
      <c r="L55" s="588"/>
      <c r="M55" s="407" t="e">
        <f>RANK(K55, K$47:$K$61)</f>
        <v>#N/A</v>
      </c>
      <c r="N55" s="544"/>
      <c r="O55" s="544"/>
      <c r="P55" s="404"/>
      <c r="Q55" s="404"/>
      <c r="R55" s="404"/>
      <c r="S55" s="404" t="e">
        <f t="shared" si="40"/>
        <v>#N/A</v>
      </c>
      <c r="T55" s="534"/>
      <c r="U55" s="404"/>
      <c r="V55" s="404"/>
      <c r="W55" s="404"/>
      <c r="X55" s="404" t="e">
        <f t="shared" si="28"/>
        <v>#N/A</v>
      </c>
      <c r="Y55" s="534"/>
      <c r="Z55" s="404"/>
      <c r="AA55" s="404"/>
      <c r="AB55" s="404"/>
      <c r="AC55" s="404" t="e">
        <f t="shared" si="30"/>
        <v>#N/A</v>
      </c>
      <c r="AD55" s="534"/>
      <c r="AE55" s="404"/>
      <c r="AF55" s="404"/>
      <c r="AG55" s="404"/>
      <c r="AH55" s="404" t="e">
        <f t="shared" si="32"/>
        <v>#N/A</v>
      </c>
      <c r="AI55" s="534"/>
      <c r="AJ55" s="404"/>
      <c r="AK55" s="404"/>
      <c r="AL55" s="404"/>
      <c r="AM55" s="404" t="e">
        <f t="shared" si="34"/>
        <v>#N/A</v>
      </c>
      <c r="AN55" s="534"/>
      <c r="AO55" s="404"/>
      <c r="AP55" s="404"/>
      <c r="AQ55" s="404"/>
      <c r="AR55" s="404" t="e">
        <f t="shared" si="36"/>
        <v>#N/A</v>
      </c>
      <c r="AS55" s="534"/>
      <c r="AT55" s="404"/>
      <c r="AU55" s="404"/>
      <c r="AV55" s="404"/>
      <c r="AW55" s="404" t="e">
        <f t="shared" si="38"/>
        <v>#N/A</v>
      </c>
      <c r="AX55" s="534"/>
    </row>
    <row r="56" spans="2:50">
      <c r="B56" s="533"/>
      <c r="C56" s="404">
        <v>10</v>
      </c>
      <c r="D56" s="226"/>
      <c r="E56" s="182"/>
      <c r="F56" s="404"/>
      <c r="G56" s="405"/>
      <c r="H56" s="598"/>
      <c r="I56" s="408"/>
      <c r="J56" s="408"/>
      <c r="K56" s="406"/>
      <c r="L56" s="588"/>
      <c r="M56" s="407" t="e">
        <f>RANK(K56, K$47:$K$61)</f>
        <v>#N/A</v>
      </c>
      <c r="N56" s="544"/>
      <c r="O56" s="544"/>
      <c r="P56" s="404"/>
      <c r="Q56" s="404"/>
      <c r="R56" s="404"/>
      <c r="S56" s="404" t="e">
        <f t="shared" si="40"/>
        <v>#N/A</v>
      </c>
      <c r="T56" s="534"/>
      <c r="U56" s="404"/>
      <c r="V56" s="404"/>
      <c r="W56" s="404"/>
      <c r="X56" s="404" t="e">
        <f t="shared" si="28"/>
        <v>#N/A</v>
      </c>
      <c r="Y56" s="534"/>
      <c r="Z56" s="404"/>
      <c r="AA56" s="404"/>
      <c r="AB56" s="404"/>
      <c r="AC56" s="404" t="e">
        <f t="shared" si="30"/>
        <v>#N/A</v>
      </c>
      <c r="AD56" s="534"/>
      <c r="AE56" s="404"/>
      <c r="AF56" s="404"/>
      <c r="AG56" s="404"/>
      <c r="AH56" s="404" t="e">
        <f t="shared" si="32"/>
        <v>#N/A</v>
      </c>
      <c r="AI56" s="534"/>
      <c r="AJ56" s="404"/>
      <c r="AK56" s="404"/>
      <c r="AL56" s="404"/>
      <c r="AM56" s="404" t="e">
        <f t="shared" si="34"/>
        <v>#N/A</v>
      </c>
      <c r="AN56" s="534"/>
      <c r="AO56" s="404"/>
      <c r="AP56" s="404"/>
      <c r="AQ56" s="404"/>
      <c r="AR56" s="404" t="e">
        <f t="shared" si="36"/>
        <v>#N/A</v>
      </c>
      <c r="AS56" s="534"/>
      <c r="AT56" s="404"/>
      <c r="AU56" s="404"/>
      <c r="AV56" s="404"/>
      <c r="AW56" s="404" t="e">
        <f t="shared" si="38"/>
        <v>#N/A</v>
      </c>
      <c r="AX56" s="534"/>
    </row>
    <row r="57" spans="2:50">
      <c r="B57" s="533"/>
      <c r="C57" s="404">
        <v>11</v>
      </c>
      <c r="D57" s="226"/>
      <c r="E57" s="182"/>
      <c r="F57" s="404"/>
      <c r="G57" s="405"/>
      <c r="H57" s="598"/>
      <c r="I57" s="202"/>
      <c r="J57" s="202"/>
      <c r="K57" s="202"/>
      <c r="L57" s="588"/>
      <c r="M57" s="407" t="e">
        <f>RANK(K57, K$47:$K$61)</f>
        <v>#N/A</v>
      </c>
      <c r="N57" s="544"/>
      <c r="O57" s="544"/>
      <c r="P57" s="404"/>
      <c r="Q57" s="404"/>
      <c r="R57" s="404"/>
      <c r="S57" s="404" t="e">
        <f t="shared" si="40"/>
        <v>#N/A</v>
      </c>
      <c r="T57" s="534"/>
      <c r="U57" s="404"/>
      <c r="V57" s="404"/>
      <c r="W57" s="404"/>
      <c r="X57" s="404" t="e">
        <f t="shared" si="28"/>
        <v>#N/A</v>
      </c>
      <c r="Y57" s="534"/>
      <c r="Z57" s="404"/>
      <c r="AA57" s="404"/>
      <c r="AB57" s="404"/>
      <c r="AC57" s="404" t="e">
        <f t="shared" si="30"/>
        <v>#N/A</v>
      </c>
      <c r="AD57" s="534"/>
      <c r="AE57" s="404"/>
      <c r="AF57" s="404"/>
      <c r="AG57" s="404"/>
      <c r="AH57" s="404" t="e">
        <f t="shared" si="32"/>
        <v>#N/A</v>
      </c>
      <c r="AI57" s="534"/>
      <c r="AJ57" s="404"/>
      <c r="AK57" s="404"/>
      <c r="AL57" s="404"/>
      <c r="AM57" s="404" t="e">
        <f t="shared" si="34"/>
        <v>#N/A</v>
      </c>
      <c r="AN57" s="534"/>
      <c r="AO57" s="404"/>
      <c r="AP57" s="404"/>
      <c r="AQ57" s="404"/>
      <c r="AR57" s="404" t="e">
        <f t="shared" si="36"/>
        <v>#N/A</v>
      </c>
      <c r="AS57" s="534"/>
      <c r="AT57" s="404"/>
      <c r="AU57" s="404"/>
      <c r="AV57" s="404"/>
      <c r="AW57" s="404" t="e">
        <f t="shared" si="38"/>
        <v>#N/A</v>
      </c>
      <c r="AX57" s="534"/>
    </row>
    <row r="58" spans="2:50">
      <c r="B58" s="533"/>
      <c r="C58" s="404">
        <v>12</v>
      </c>
      <c r="D58" s="226"/>
      <c r="E58" s="182"/>
      <c r="F58" s="404"/>
      <c r="G58" s="405"/>
      <c r="H58" s="598"/>
      <c r="I58" s="202"/>
      <c r="J58" s="202"/>
      <c r="K58" s="202"/>
      <c r="L58" s="588"/>
      <c r="M58" s="407" t="e">
        <f>RANK(K58, K$47:$K$61)</f>
        <v>#N/A</v>
      </c>
      <c r="N58" s="544"/>
      <c r="O58" s="544"/>
      <c r="P58" s="404"/>
      <c r="Q58" s="404"/>
      <c r="R58" s="404"/>
      <c r="S58" s="404" t="e">
        <f t="shared" si="40"/>
        <v>#N/A</v>
      </c>
      <c r="T58" s="534"/>
      <c r="U58" s="404"/>
      <c r="V58" s="404"/>
      <c r="W58" s="404"/>
      <c r="X58" s="404" t="e">
        <f t="shared" si="28"/>
        <v>#N/A</v>
      </c>
      <c r="Y58" s="534"/>
      <c r="Z58" s="404"/>
      <c r="AA58" s="404"/>
      <c r="AB58" s="404"/>
      <c r="AC58" s="404" t="e">
        <f t="shared" si="30"/>
        <v>#N/A</v>
      </c>
      <c r="AD58" s="534"/>
      <c r="AE58" s="404"/>
      <c r="AF58" s="404"/>
      <c r="AG58" s="404"/>
      <c r="AH58" s="404" t="e">
        <f t="shared" si="32"/>
        <v>#N/A</v>
      </c>
      <c r="AI58" s="534"/>
      <c r="AJ58" s="404"/>
      <c r="AK58" s="404"/>
      <c r="AL58" s="404"/>
      <c r="AM58" s="404" t="e">
        <f t="shared" si="34"/>
        <v>#N/A</v>
      </c>
      <c r="AN58" s="534"/>
      <c r="AO58" s="404"/>
      <c r="AP58" s="404"/>
      <c r="AQ58" s="404"/>
      <c r="AR58" s="404" t="e">
        <f t="shared" si="36"/>
        <v>#N/A</v>
      </c>
      <c r="AS58" s="534"/>
      <c r="AT58" s="404"/>
      <c r="AU58" s="404"/>
      <c r="AV58" s="404"/>
      <c r="AW58" s="404" t="e">
        <f t="shared" si="38"/>
        <v>#N/A</v>
      </c>
      <c r="AX58" s="534"/>
    </row>
    <row r="59" spans="2:50">
      <c r="B59" s="533"/>
      <c r="C59" s="404">
        <v>13</v>
      </c>
      <c r="D59" s="226"/>
      <c r="E59" s="182"/>
      <c r="F59" s="404"/>
      <c r="G59" s="405"/>
      <c r="H59" s="598"/>
      <c r="I59" s="202"/>
      <c r="J59" s="202"/>
      <c r="K59" s="202"/>
      <c r="L59" s="588"/>
      <c r="M59" s="407" t="e">
        <f>RANK(K59, K$47:$K$61)</f>
        <v>#N/A</v>
      </c>
      <c r="N59" s="544"/>
      <c r="O59" s="544"/>
      <c r="P59" s="404"/>
      <c r="Q59" s="404"/>
      <c r="R59" s="404"/>
      <c r="S59" s="404" t="e">
        <f t="shared" si="40"/>
        <v>#N/A</v>
      </c>
      <c r="T59" s="534"/>
      <c r="U59" s="404"/>
      <c r="V59" s="404"/>
      <c r="W59" s="404"/>
      <c r="X59" s="404" t="e">
        <f t="shared" si="28"/>
        <v>#N/A</v>
      </c>
      <c r="Y59" s="534"/>
      <c r="Z59" s="404"/>
      <c r="AA59" s="404"/>
      <c r="AB59" s="404"/>
      <c r="AC59" s="404" t="e">
        <f t="shared" si="30"/>
        <v>#N/A</v>
      </c>
      <c r="AD59" s="534"/>
      <c r="AE59" s="404"/>
      <c r="AF59" s="404"/>
      <c r="AG59" s="404"/>
      <c r="AH59" s="404" t="e">
        <f t="shared" si="32"/>
        <v>#N/A</v>
      </c>
      <c r="AI59" s="534"/>
      <c r="AJ59" s="404"/>
      <c r="AK59" s="404"/>
      <c r="AL59" s="404"/>
      <c r="AM59" s="404" t="e">
        <f t="shared" si="34"/>
        <v>#N/A</v>
      </c>
      <c r="AN59" s="534"/>
      <c r="AO59" s="404"/>
      <c r="AP59" s="404"/>
      <c r="AQ59" s="404"/>
      <c r="AR59" s="404" t="e">
        <f t="shared" si="36"/>
        <v>#N/A</v>
      </c>
      <c r="AS59" s="534"/>
      <c r="AT59" s="404"/>
      <c r="AU59" s="404"/>
      <c r="AV59" s="404"/>
      <c r="AW59" s="404" t="e">
        <f t="shared" si="38"/>
        <v>#N/A</v>
      </c>
      <c r="AX59" s="534"/>
    </row>
    <row r="60" spans="2:50">
      <c r="B60" s="533"/>
      <c r="C60" s="404">
        <v>14</v>
      </c>
      <c r="D60" s="226"/>
      <c r="E60" s="182"/>
      <c r="F60" s="404"/>
      <c r="G60" s="405"/>
      <c r="H60" s="598"/>
      <c r="I60" s="202"/>
      <c r="J60" s="202"/>
      <c r="K60" s="202"/>
      <c r="L60" s="588"/>
      <c r="M60" s="407" t="e">
        <f>RANK(K60, K$47:$K$61)</f>
        <v>#N/A</v>
      </c>
      <c r="N60" s="544"/>
      <c r="O60" s="544"/>
      <c r="P60" s="404"/>
      <c r="Q60" s="404"/>
      <c r="R60" s="404"/>
      <c r="S60" s="404" t="e">
        <f t="shared" si="40"/>
        <v>#N/A</v>
      </c>
      <c r="T60" s="534"/>
      <c r="U60" s="404"/>
      <c r="V60" s="404"/>
      <c r="W60" s="404"/>
      <c r="X60" s="404" t="e">
        <f t="shared" si="28"/>
        <v>#N/A</v>
      </c>
      <c r="Y60" s="534"/>
      <c r="Z60" s="404"/>
      <c r="AA60" s="404"/>
      <c r="AB60" s="404"/>
      <c r="AC60" s="404" t="e">
        <f t="shared" si="30"/>
        <v>#N/A</v>
      </c>
      <c r="AD60" s="534"/>
      <c r="AE60" s="404"/>
      <c r="AF60" s="404"/>
      <c r="AG60" s="404"/>
      <c r="AH60" s="404" t="e">
        <f t="shared" si="32"/>
        <v>#N/A</v>
      </c>
      <c r="AI60" s="534"/>
      <c r="AJ60" s="404"/>
      <c r="AK60" s="404"/>
      <c r="AL60" s="404"/>
      <c r="AM60" s="404" t="e">
        <f t="shared" si="34"/>
        <v>#N/A</v>
      </c>
      <c r="AN60" s="534"/>
      <c r="AO60" s="404"/>
      <c r="AP60" s="404"/>
      <c r="AQ60" s="404"/>
      <c r="AR60" s="404" t="e">
        <f t="shared" si="36"/>
        <v>#N/A</v>
      </c>
      <c r="AS60" s="534"/>
      <c r="AT60" s="404"/>
      <c r="AU60" s="404"/>
      <c r="AV60" s="404"/>
      <c r="AW60" s="404" t="e">
        <f t="shared" si="38"/>
        <v>#N/A</v>
      </c>
      <c r="AX60" s="534"/>
    </row>
    <row r="61" spans="2:50">
      <c r="B61" s="533"/>
      <c r="C61" s="404">
        <v>15</v>
      </c>
      <c r="D61" s="226"/>
      <c r="E61" s="182"/>
      <c r="F61" s="404"/>
      <c r="G61" s="405"/>
      <c r="H61" s="599"/>
      <c r="I61" s="202"/>
      <c r="J61" s="202"/>
      <c r="K61" s="202"/>
      <c r="L61" s="589"/>
      <c r="M61" s="407" t="e">
        <f>RANK(K61, K$47:$K$61)</f>
        <v>#N/A</v>
      </c>
      <c r="N61" s="544"/>
      <c r="O61" s="544"/>
      <c r="P61" s="404"/>
      <c r="Q61" s="404"/>
      <c r="R61" s="404"/>
      <c r="S61" s="404" t="e">
        <f t="shared" si="40"/>
        <v>#N/A</v>
      </c>
      <c r="T61" s="534"/>
      <c r="U61" s="404"/>
      <c r="V61" s="404"/>
      <c r="W61" s="404"/>
      <c r="X61" s="404" t="e">
        <f t="shared" si="28"/>
        <v>#N/A</v>
      </c>
      <c r="Y61" s="534"/>
      <c r="Z61" s="404"/>
      <c r="AA61" s="404"/>
      <c r="AB61" s="404"/>
      <c r="AC61" s="404" t="e">
        <f t="shared" si="30"/>
        <v>#N/A</v>
      </c>
      <c r="AD61" s="534"/>
      <c r="AE61" s="404"/>
      <c r="AF61" s="404"/>
      <c r="AG61" s="404"/>
      <c r="AH61" s="404" t="e">
        <f t="shared" si="32"/>
        <v>#N/A</v>
      </c>
      <c r="AI61" s="534"/>
      <c r="AJ61" s="404"/>
      <c r="AK61" s="404"/>
      <c r="AL61" s="404"/>
      <c r="AM61" s="404" t="e">
        <f t="shared" si="34"/>
        <v>#N/A</v>
      </c>
      <c r="AN61" s="534"/>
      <c r="AO61" s="404"/>
      <c r="AP61" s="404"/>
      <c r="AQ61" s="404"/>
      <c r="AR61" s="404" t="e">
        <f t="shared" si="36"/>
        <v>#N/A</v>
      </c>
      <c r="AS61" s="534"/>
      <c r="AT61" s="404"/>
      <c r="AU61" s="404"/>
      <c r="AV61" s="404"/>
      <c r="AW61" s="404" t="e">
        <f t="shared" si="38"/>
        <v>#N/A</v>
      </c>
      <c r="AX61" s="534"/>
    </row>
    <row r="62" spans="2:50" ht="15.5">
      <c r="B62" s="555" t="s">
        <v>163</v>
      </c>
      <c r="C62" s="556"/>
      <c r="D62" s="556"/>
      <c r="E62" s="556"/>
      <c r="F62" s="556"/>
      <c r="G62" s="556"/>
      <c r="H62" s="557"/>
      <c r="I62" s="208"/>
      <c r="J62" s="208"/>
      <c r="K62" s="208"/>
      <c r="L62" s="208"/>
      <c r="M62" s="207"/>
      <c r="N62" s="559" t="s">
        <v>156</v>
      </c>
      <c r="O62" s="559" t="s">
        <v>105</v>
      </c>
      <c r="P62" s="554">
        <f>P42+7</f>
        <v>46007</v>
      </c>
      <c r="Q62" s="533"/>
      <c r="R62" s="533"/>
      <c r="S62" s="533"/>
      <c r="T62" s="533"/>
      <c r="U62" s="551">
        <f>P62+1</f>
        <v>46008</v>
      </c>
      <c r="V62" s="552"/>
      <c r="W62" s="552"/>
      <c r="X62" s="552"/>
      <c r="Y62" s="553"/>
      <c r="Z62" s="551">
        <f>U62+1</f>
        <v>46009</v>
      </c>
      <c r="AA62" s="552"/>
      <c r="AB62" s="552"/>
      <c r="AC62" s="552"/>
      <c r="AD62" s="553"/>
      <c r="AE62" s="551">
        <f>Z62+1</f>
        <v>46010</v>
      </c>
      <c r="AF62" s="552"/>
      <c r="AG62" s="552"/>
      <c r="AH62" s="552"/>
      <c r="AI62" s="553"/>
      <c r="AJ62" s="551">
        <f>AE62+1</f>
        <v>46011</v>
      </c>
      <c r="AK62" s="552"/>
      <c r="AL62" s="552"/>
      <c r="AM62" s="552"/>
      <c r="AN62" s="553"/>
      <c r="AO62" s="551">
        <f>AJ62+1</f>
        <v>46012</v>
      </c>
      <c r="AP62" s="552"/>
      <c r="AQ62" s="552"/>
      <c r="AR62" s="552"/>
      <c r="AS62" s="553"/>
      <c r="AT62" s="551">
        <f>AO62+1</f>
        <v>46013</v>
      </c>
      <c r="AU62" s="552"/>
      <c r="AV62" s="552"/>
      <c r="AW62" s="552"/>
      <c r="AX62" s="553"/>
    </row>
    <row r="63" spans="2:50" ht="15.5">
      <c r="B63" s="558"/>
      <c r="C63" s="558"/>
      <c r="D63" s="558"/>
      <c r="E63" s="558"/>
      <c r="F63" s="558"/>
      <c r="G63" s="558"/>
      <c r="H63" s="558"/>
      <c r="I63" s="205"/>
      <c r="J63" s="205"/>
      <c r="K63" s="205"/>
      <c r="L63" s="205"/>
      <c r="M63" s="206"/>
      <c r="N63" s="560"/>
      <c r="O63" s="560"/>
      <c r="P63" s="554" t="s">
        <v>334</v>
      </c>
      <c r="Q63" s="533"/>
      <c r="R63" s="533"/>
      <c r="S63" s="533"/>
      <c r="T63" s="533"/>
      <c r="U63" s="554" t="s">
        <v>335</v>
      </c>
      <c r="V63" s="533"/>
      <c r="W63" s="533"/>
      <c r="X63" s="533"/>
      <c r="Y63" s="533"/>
      <c r="Z63" s="554" t="s">
        <v>336</v>
      </c>
      <c r="AA63" s="533"/>
      <c r="AB63" s="533"/>
      <c r="AC63" s="533"/>
      <c r="AD63" s="533"/>
      <c r="AE63" s="554" t="s">
        <v>337</v>
      </c>
      <c r="AF63" s="533"/>
      <c r="AG63" s="533"/>
      <c r="AH63" s="533"/>
      <c r="AI63" s="533"/>
      <c r="AJ63" s="554" t="s">
        <v>338</v>
      </c>
      <c r="AK63" s="533"/>
      <c r="AL63" s="533"/>
      <c r="AM63" s="533"/>
      <c r="AN63" s="533"/>
      <c r="AO63" s="554" t="s">
        <v>339</v>
      </c>
      <c r="AP63" s="533"/>
      <c r="AQ63" s="533"/>
      <c r="AR63" s="533"/>
      <c r="AS63" s="533"/>
      <c r="AT63" s="554" t="s">
        <v>340</v>
      </c>
      <c r="AU63" s="533"/>
      <c r="AV63" s="533"/>
      <c r="AW63" s="533"/>
      <c r="AX63" s="533"/>
    </row>
    <row r="64" spans="2:50">
      <c r="B64" s="544" t="s">
        <v>424</v>
      </c>
      <c r="C64" s="544" t="s">
        <v>434</v>
      </c>
      <c r="D64" s="544"/>
      <c r="E64" s="544" t="s">
        <v>425</v>
      </c>
      <c r="F64" s="544"/>
      <c r="G64" s="544"/>
      <c r="H64" s="561" t="s">
        <v>421</v>
      </c>
      <c r="I64" s="583" t="s">
        <v>426</v>
      </c>
      <c r="J64" s="583"/>
      <c r="K64" s="583"/>
      <c r="L64" s="584" t="s">
        <v>421</v>
      </c>
      <c r="M64" s="567" t="s">
        <v>422</v>
      </c>
      <c r="N64" s="544"/>
      <c r="O64" s="544" t="s">
        <v>427</v>
      </c>
      <c r="P64" s="548" t="s">
        <v>423</v>
      </c>
      <c r="Q64" s="549"/>
      <c r="R64" s="549"/>
      <c r="S64" s="550"/>
      <c r="T64" s="544" t="s">
        <v>421</v>
      </c>
      <c r="U64" s="548" t="s">
        <v>423</v>
      </c>
      <c r="V64" s="549"/>
      <c r="W64" s="549"/>
      <c r="X64" s="550"/>
      <c r="Y64" s="544" t="s">
        <v>421</v>
      </c>
      <c r="Z64" s="548" t="s">
        <v>423</v>
      </c>
      <c r="AA64" s="549"/>
      <c r="AB64" s="549"/>
      <c r="AC64" s="550"/>
      <c r="AD64" s="544" t="s">
        <v>421</v>
      </c>
      <c r="AE64" s="548" t="s">
        <v>423</v>
      </c>
      <c r="AF64" s="549"/>
      <c r="AG64" s="549"/>
      <c r="AH64" s="550"/>
      <c r="AI64" s="544" t="s">
        <v>421</v>
      </c>
      <c r="AJ64" s="548" t="s">
        <v>423</v>
      </c>
      <c r="AK64" s="549"/>
      <c r="AL64" s="549"/>
      <c r="AM64" s="550"/>
      <c r="AN64" s="544" t="s">
        <v>421</v>
      </c>
      <c r="AO64" s="548" t="s">
        <v>423</v>
      </c>
      <c r="AP64" s="549"/>
      <c r="AQ64" s="549"/>
      <c r="AR64" s="550"/>
      <c r="AS64" s="544" t="s">
        <v>421</v>
      </c>
      <c r="AT64" s="548" t="s">
        <v>423</v>
      </c>
      <c r="AU64" s="549"/>
      <c r="AV64" s="549"/>
      <c r="AW64" s="550"/>
      <c r="AX64" s="544" t="s">
        <v>421</v>
      </c>
    </row>
    <row r="65" spans="2:50">
      <c r="B65" s="544"/>
      <c r="C65" s="544"/>
      <c r="D65" s="544"/>
      <c r="E65" s="544" t="s">
        <v>428</v>
      </c>
      <c r="F65" s="544"/>
      <c r="G65" s="544"/>
      <c r="H65" s="562"/>
      <c r="I65" s="583" t="s">
        <v>428</v>
      </c>
      <c r="J65" s="583"/>
      <c r="K65" s="583"/>
      <c r="L65" s="585"/>
      <c r="M65" s="568"/>
      <c r="N65" s="544"/>
      <c r="O65" s="544"/>
      <c r="P65" s="548" t="s">
        <v>429</v>
      </c>
      <c r="Q65" s="549"/>
      <c r="R65" s="549"/>
      <c r="S65" s="550"/>
      <c r="T65" s="544"/>
      <c r="U65" s="548" t="s">
        <v>429</v>
      </c>
      <c r="V65" s="549"/>
      <c r="W65" s="549"/>
      <c r="X65" s="550"/>
      <c r="Y65" s="544"/>
      <c r="Z65" s="548" t="s">
        <v>429</v>
      </c>
      <c r="AA65" s="549"/>
      <c r="AB65" s="549"/>
      <c r="AC65" s="550"/>
      <c r="AD65" s="544"/>
      <c r="AE65" s="548" t="s">
        <v>429</v>
      </c>
      <c r="AF65" s="549"/>
      <c r="AG65" s="549"/>
      <c r="AH65" s="550"/>
      <c r="AI65" s="544"/>
      <c r="AJ65" s="548" t="s">
        <v>429</v>
      </c>
      <c r="AK65" s="549"/>
      <c r="AL65" s="549"/>
      <c r="AM65" s="550"/>
      <c r="AN65" s="544"/>
      <c r="AO65" s="548" t="s">
        <v>429</v>
      </c>
      <c r="AP65" s="549"/>
      <c r="AQ65" s="549"/>
      <c r="AR65" s="550"/>
      <c r="AS65" s="544"/>
      <c r="AT65" s="548" t="s">
        <v>429</v>
      </c>
      <c r="AU65" s="549"/>
      <c r="AV65" s="549"/>
      <c r="AW65" s="550"/>
      <c r="AX65" s="544"/>
    </row>
    <row r="66" spans="2:50">
      <c r="B66" s="544"/>
      <c r="C66" s="544"/>
      <c r="D66" s="544"/>
      <c r="E66" s="285" t="s">
        <v>430</v>
      </c>
      <c r="F66" s="285" t="s">
        <v>431</v>
      </c>
      <c r="G66" s="285" t="s">
        <v>432</v>
      </c>
      <c r="H66" s="563"/>
      <c r="I66" s="284" t="s">
        <v>430</v>
      </c>
      <c r="J66" s="284" t="s">
        <v>431</v>
      </c>
      <c r="K66" s="284" t="s">
        <v>432</v>
      </c>
      <c r="L66" s="586"/>
      <c r="M66" s="569"/>
      <c r="N66" s="544"/>
      <c r="O66" s="544"/>
      <c r="P66" s="285" t="s">
        <v>430</v>
      </c>
      <c r="Q66" s="285" t="s">
        <v>431</v>
      </c>
      <c r="R66" s="285" t="s">
        <v>432</v>
      </c>
      <c r="S66" s="285" t="s">
        <v>422</v>
      </c>
      <c r="T66" s="544"/>
      <c r="U66" s="285" t="s">
        <v>430</v>
      </c>
      <c r="V66" s="285" t="s">
        <v>431</v>
      </c>
      <c r="W66" s="285" t="s">
        <v>432</v>
      </c>
      <c r="X66" s="285" t="s">
        <v>422</v>
      </c>
      <c r="Y66" s="544"/>
      <c r="Z66" s="285" t="s">
        <v>430</v>
      </c>
      <c r="AA66" s="285" t="s">
        <v>431</v>
      </c>
      <c r="AB66" s="285" t="s">
        <v>432</v>
      </c>
      <c r="AC66" s="285" t="s">
        <v>422</v>
      </c>
      <c r="AD66" s="544"/>
      <c r="AE66" s="285" t="s">
        <v>430</v>
      </c>
      <c r="AF66" s="285" t="s">
        <v>431</v>
      </c>
      <c r="AG66" s="285" t="s">
        <v>432</v>
      </c>
      <c r="AH66" s="285" t="s">
        <v>422</v>
      </c>
      <c r="AI66" s="544"/>
      <c r="AJ66" s="285" t="s">
        <v>430</v>
      </c>
      <c r="AK66" s="285" t="s">
        <v>431</v>
      </c>
      <c r="AL66" s="285" t="s">
        <v>432</v>
      </c>
      <c r="AM66" s="285" t="s">
        <v>422</v>
      </c>
      <c r="AN66" s="544"/>
      <c r="AO66" s="285" t="s">
        <v>430</v>
      </c>
      <c r="AP66" s="285" t="s">
        <v>431</v>
      </c>
      <c r="AQ66" s="285" t="s">
        <v>432</v>
      </c>
      <c r="AR66" s="285" t="s">
        <v>422</v>
      </c>
      <c r="AS66" s="544"/>
      <c r="AT66" s="285" t="s">
        <v>430</v>
      </c>
      <c r="AU66" s="285" t="s">
        <v>431</v>
      </c>
      <c r="AV66" s="285" t="s">
        <v>432</v>
      </c>
      <c r="AW66" s="285" t="s">
        <v>422</v>
      </c>
      <c r="AX66" s="544"/>
    </row>
    <row r="67" spans="2:50">
      <c r="B67" s="544" t="s">
        <v>435</v>
      </c>
      <c r="C67" s="286">
        <v>1</v>
      </c>
      <c r="D67" s="226" t="s">
        <v>579</v>
      </c>
      <c r="E67" s="182">
        <v>13</v>
      </c>
      <c r="F67" s="390">
        <v>1500</v>
      </c>
      <c r="G67" s="391">
        <v>115.38461538461539</v>
      </c>
      <c r="H67" s="597">
        <f>AVERAGE(G67:G81)</f>
        <v>115.38461538461539</v>
      </c>
      <c r="I67" s="199">
        <f t="shared" ref="I67:K68" si="41">AVERAGE(P67,U67,Z67,AE67,AJ67,AO67,AT67)</f>
        <v>13</v>
      </c>
      <c r="J67" s="199">
        <f t="shared" si="41"/>
        <v>1490.5336148813592</v>
      </c>
      <c r="K67" s="200">
        <f t="shared" si="41"/>
        <v>114.65643191395074</v>
      </c>
      <c r="L67" s="587">
        <f>IFERROR(AVERAGE(K67:K81),"-")</f>
        <v>113.81516387747592</v>
      </c>
      <c r="M67" s="201">
        <f>RANK(K67, K$67:$K$81)</f>
        <v>1</v>
      </c>
      <c r="N67" s="544"/>
      <c r="O67" s="544"/>
      <c r="P67" s="182">
        <v>13</v>
      </c>
      <c r="Q67" s="182">
        <v>1464.5714285714287</v>
      </c>
      <c r="R67" s="399">
        <v>112.65934065934067</v>
      </c>
      <c r="S67" s="286">
        <f>RANK(R67, R$67:R$81)</f>
        <v>2</v>
      </c>
      <c r="T67" s="534">
        <f>AVERAGE(R67:R81)</f>
        <v>115.03736263736266</v>
      </c>
      <c r="U67" s="182">
        <v>13</v>
      </c>
      <c r="V67" s="182">
        <v>1500.545454545455</v>
      </c>
      <c r="W67" s="399">
        <v>115.42657342657346</v>
      </c>
      <c r="X67" s="301">
        <f>RANK(W67, W$67:W$81)</f>
        <v>2</v>
      </c>
      <c r="Y67" s="534">
        <f>AVERAGE(W67:W81)</f>
        <v>116.79020979020993</v>
      </c>
      <c r="Z67" s="182">
        <v>13</v>
      </c>
      <c r="AA67" s="182">
        <v>1482.0000000000005</v>
      </c>
      <c r="AB67" s="399">
        <v>114.00000000000003</v>
      </c>
      <c r="AC67" s="301">
        <f>RANK(AB67, AB$67:AB$81)</f>
        <v>2</v>
      </c>
      <c r="AD67" s="534">
        <f>AVERAGE(AB67:AB81)</f>
        <v>116.89473684210525</v>
      </c>
      <c r="AE67" s="182">
        <v>13</v>
      </c>
      <c r="AF67" s="182">
        <v>1482.3157894736844</v>
      </c>
      <c r="AG67" s="399">
        <v>114.02429149797572</v>
      </c>
      <c r="AH67" s="301">
        <f>RANK(AG67, AG$67:AG$81)</f>
        <v>1</v>
      </c>
      <c r="AI67" s="534">
        <f>AVERAGE(AG67:AG81)</f>
        <v>113.93522267206484</v>
      </c>
      <c r="AJ67" s="182">
        <v>13</v>
      </c>
      <c r="AK67" s="182">
        <v>1535.2500000000007</v>
      </c>
      <c r="AL67" s="399">
        <v>118.0961538461539</v>
      </c>
      <c r="AM67" s="301">
        <f>RANK(AL67, AL$67:AL$81)</f>
        <v>1</v>
      </c>
      <c r="AN67" s="534">
        <f>AVERAGE(AL67:AL81)</f>
        <v>117.9571678321679</v>
      </c>
      <c r="AO67" s="182">
        <v>13</v>
      </c>
      <c r="AP67" s="182">
        <v>1480.4210526315792</v>
      </c>
      <c r="AQ67" s="399">
        <v>113.87854251012148</v>
      </c>
      <c r="AR67" s="301">
        <f>RANK(AQ67, AQ$67:AQ$81)</f>
        <v>2</v>
      </c>
      <c r="AS67" s="534">
        <f>AVERAGE(AQ67:AQ81)</f>
        <v>114.32388663967609</v>
      </c>
      <c r="AT67" s="182">
        <v>13</v>
      </c>
      <c r="AU67" s="182">
        <v>1488.6315789473686</v>
      </c>
      <c r="AV67" s="399">
        <v>114.51012145748989</v>
      </c>
      <c r="AW67" s="301">
        <f>RANK(AV67, AV$67:AV$81)</f>
        <v>1</v>
      </c>
      <c r="AX67" s="534">
        <f>AVERAGE(AV67:AV81)</f>
        <v>101.76756072874488</v>
      </c>
    </row>
    <row r="68" spans="2:50">
      <c r="B68" s="533"/>
      <c r="C68" s="286">
        <v>2</v>
      </c>
      <c r="D68" s="226" t="s">
        <v>610</v>
      </c>
      <c r="E68" s="182">
        <v>13</v>
      </c>
      <c r="F68" s="390">
        <v>1500</v>
      </c>
      <c r="G68" s="391">
        <v>115.38461538461539</v>
      </c>
      <c r="H68" s="598"/>
      <c r="I68" s="389">
        <f t="shared" si="41"/>
        <v>13.285714285714286</v>
      </c>
      <c r="J68" s="389">
        <f t="shared" si="41"/>
        <v>1489.7014354066989</v>
      </c>
      <c r="K68" s="200">
        <f t="shared" si="41"/>
        <v>112.97389584100112</v>
      </c>
      <c r="L68" s="588"/>
      <c r="M68" s="201">
        <f>RANK(K68, K$67:$K$81)</f>
        <v>2</v>
      </c>
      <c r="N68" s="544"/>
      <c r="O68" s="544"/>
      <c r="P68" s="398">
        <v>13</v>
      </c>
      <c r="Q68" s="182">
        <v>1526.4000000000005</v>
      </c>
      <c r="R68" s="399">
        <v>117.41538461538465</v>
      </c>
      <c r="S68" s="301">
        <f t="shared" ref="S68:S81" si="42">RANK(R68, R$67:R$81)</f>
        <v>1</v>
      </c>
      <c r="T68" s="534"/>
      <c r="U68" s="398">
        <v>13</v>
      </c>
      <c r="V68" s="182">
        <v>1536.0000000000032</v>
      </c>
      <c r="W68" s="399">
        <v>118.1538461538464</v>
      </c>
      <c r="X68" s="301">
        <f t="shared" ref="X68:X81" si="43">RANK(W68, W$67:W$81)</f>
        <v>1</v>
      </c>
      <c r="Y68" s="534"/>
      <c r="Z68" s="398">
        <v>12</v>
      </c>
      <c r="AA68" s="182">
        <v>1437.4736842105256</v>
      </c>
      <c r="AB68" s="399">
        <v>119.78947368421046</v>
      </c>
      <c r="AC68" s="301">
        <f t="shared" ref="AC68:AC81" si="44">RANK(AB68, AB$67:AB$81)</f>
        <v>1</v>
      </c>
      <c r="AD68" s="534"/>
      <c r="AE68" s="398">
        <v>13</v>
      </c>
      <c r="AF68" s="182">
        <v>1480.0000000000014</v>
      </c>
      <c r="AG68" s="399">
        <v>113.84615384615395</v>
      </c>
      <c r="AH68" s="301">
        <f t="shared" ref="AH68:AH81" si="45">RANK(AG68, AG$67:AG$81)</f>
        <v>2</v>
      </c>
      <c r="AI68" s="534"/>
      <c r="AJ68" s="398">
        <v>13</v>
      </c>
      <c r="AK68" s="182">
        <v>1531.6363636363646</v>
      </c>
      <c r="AL68" s="399">
        <v>117.8181818181819</v>
      </c>
      <c r="AM68" s="301">
        <f t="shared" ref="AM68:AM81" si="46">RANK(AL68, AL$67:AL$81)</f>
        <v>2</v>
      </c>
      <c r="AN68" s="534"/>
      <c r="AO68" s="398">
        <v>13</v>
      </c>
      <c r="AP68" s="182">
        <v>1491.9999999999993</v>
      </c>
      <c r="AQ68" s="399">
        <v>114.76923076923072</v>
      </c>
      <c r="AR68" s="301">
        <f t="shared" ref="AR68:AR81" si="47">RANK(AQ68, AQ$67:AQ$81)</f>
        <v>1</v>
      </c>
      <c r="AS68" s="534"/>
      <c r="AT68" s="398">
        <v>16</v>
      </c>
      <c r="AU68" s="182">
        <v>1424.3999999999983</v>
      </c>
      <c r="AV68" s="399">
        <v>89.024999999999892</v>
      </c>
      <c r="AW68" s="301">
        <f t="shared" ref="AW68:AW81" si="48">RANK(AV68, AV$67:AV$81)</f>
        <v>2</v>
      </c>
      <c r="AX68" s="534"/>
    </row>
    <row r="69" spans="2:50">
      <c r="B69" s="533"/>
      <c r="C69" s="286">
        <v>3</v>
      </c>
      <c r="D69" s="226"/>
      <c r="E69" s="182"/>
      <c r="F69" s="390"/>
      <c r="G69" s="391"/>
      <c r="H69" s="598"/>
      <c r="I69" s="199"/>
      <c r="J69" s="199"/>
      <c r="K69" s="200"/>
      <c r="L69" s="588"/>
      <c r="M69" s="201" t="e">
        <f>RANK(K69, K$67:$K$81)</f>
        <v>#N/A</v>
      </c>
      <c r="N69" s="544"/>
      <c r="O69" s="544"/>
      <c r="P69" s="390"/>
      <c r="Q69" s="390"/>
      <c r="R69" s="390"/>
      <c r="S69" s="301" t="e">
        <f t="shared" si="42"/>
        <v>#N/A</v>
      </c>
      <c r="T69" s="534"/>
      <c r="U69" s="390"/>
      <c r="V69" s="390"/>
      <c r="W69" s="390"/>
      <c r="X69" s="301" t="e">
        <f t="shared" si="43"/>
        <v>#N/A</v>
      </c>
      <c r="Y69" s="534"/>
      <c r="Z69" s="390"/>
      <c r="AA69" s="390"/>
      <c r="AB69" s="390"/>
      <c r="AC69" s="301" t="e">
        <f t="shared" si="44"/>
        <v>#N/A</v>
      </c>
      <c r="AD69" s="534"/>
      <c r="AE69" s="390"/>
      <c r="AF69" s="390"/>
      <c r="AG69" s="390"/>
      <c r="AH69" s="301" t="e">
        <f t="shared" si="45"/>
        <v>#N/A</v>
      </c>
      <c r="AI69" s="534"/>
      <c r="AJ69" s="390"/>
      <c r="AK69" s="390"/>
      <c r="AL69" s="390"/>
      <c r="AM69" s="301" t="e">
        <f t="shared" si="46"/>
        <v>#N/A</v>
      </c>
      <c r="AN69" s="534"/>
      <c r="AO69" s="390"/>
      <c r="AP69" s="390"/>
      <c r="AQ69" s="390"/>
      <c r="AR69" s="301" t="e">
        <f t="shared" si="47"/>
        <v>#N/A</v>
      </c>
      <c r="AS69" s="534"/>
      <c r="AT69" s="390"/>
      <c r="AU69" s="390"/>
      <c r="AV69" s="390"/>
      <c r="AW69" s="301" t="e">
        <f t="shared" si="48"/>
        <v>#N/A</v>
      </c>
      <c r="AX69" s="534"/>
    </row>
    <row r="70" spans="2:50">
      <c r="B70" s="533"/>
      <c r="C70" s="286">
        <v>4</v>
      </c>
      <c r="D70" s="226"/>
      <c r="E70" s="182"/>
      <c r="F70" s="390"/>
      <c r="G70" s="391"/>
      <c r="H70" s="598"/>
      <c r="I70" s="199"/>
      <c r="J70" s="199"/>
      <c r="K70" s="200"/>
      <c r="L70" s="588"/>
      <c r="M70" s="201" t="e">
        <f>RANK(K70, K$67:$K$81)</f>
        <v>#N/A</v>
      </c>
      <c r="N70" s="544"/>
      <c r="O70" s="544"/>
      <c r="P70" s="390"/>
      <c r="Q70" s="390"/>
      <c r="R70" s="390"/>
      <c r="S70" s="301" t="e">
        <f t="shared" si="42"/>
        <v>#N/A</v>
      </c>
      <c r="T70" s="534"/>
      <c r="U70" s="390"/>
      <c r="V70" s="390"/>
      <c r="W70" s="390"/>
      <c r="X70" s="301" t="e">
        <f t="shared" si="43"/>
        <v>#N/A</v>
      </c>
      <c r="Y70" s="534"/>
      <c r="Z70" s="390"/>
      <c r="AA70" s="390"/>
      <c r="AB70" s="390"/>
      <c r="AC70" s="301" t="e">
        <f t="shared" si="44"/>
        <v>#N/A</v>
      </c>
      <c r="AD70" s="534"/>
      <c r="AE70" s="390"/>
      <c r="AF70" s="390"/>
      <c r="AG70" s="390"/>
      <c r="AH70" s="301" t="e">
        <f t="shared" si="45"/>
        <v>#N/A</v>
      </c>
      <c r="AI70" s="534"/>
      <c r="AJ70" s="390"/>
      <c r="AK70" s="390"/>
      <c r="AL70" s="390"/>
      <c r="AM70" s="301" t="e">
        <f t="shared" si="46"/>
        <v>#N/A</v>
      </c>
      <c r="AN70" s="534"/>
      <c r="AO70" s="390"/>
      <c r="AP70" s="390"/>
      <c r="AQ70" s="390"/>
      <c r="AR70" s="301" t="e">
        <f t="shared" si="47"/>
        <v>#N/A</v>
      </c>
      <c r="AS70" s="534"/>
      <c r="AT70" s="390"/>
      <c r="AU70" s="390"/>
      <c r="AV70" s="390"/>
      <c r="AW70" s="301" t="e">
        <f t="shared" si="48"/>
        <v>#N/A</v>
      </c>
      <c r="AX70" s="534"/>
    </row>
    <row r="71" spans="2:50">
      <c r="B71" s="533"/>
      <c r="C71" s="286">
        <v>5</v>
      </c>
      <c r="D71" s="226"/>
      <c r="E71" s="182"/>
      <c r="F71" s="390"/>
      <c r="G71" s="391"/>
      <c r="H71" s="598"/>
      <c r="I71" s="199"/>
      <c r="J71" s="199"/>
      <c r="K71" s="200"/>
      <c r="L71" s="588"/>
      <c r="M71" s="201" t="e">
        <f>RANK(K71, K$67:$K$81)</f>
        <v>#N/A</v>
      </c>
      <c r="N71" s="544"/>
      <c r="O71" s="544"/>
      <c r="P71" s="390"/>
      <c r="Q71" s="390"/>
      <c r="R71" s="390"/>
      <c r="S71" s="301" t="e">
        <f t="shared" si="42"/>
        <v>#N/A</v>
      </c>
      <c r="T71" s="534"/>
      <c r="U71" s="390"/>
      <c r="V71" s="390"/>
      <c r="W71" s="390"/>
      <c r="X71" s="301" t="e">
        <f t="shared" si="43"/>
        <v>#N/A</v>
      </c>
      <c r="Y71" s="534"/>
      <c r="Z71" s="390"/>
      <c r="AA71" s="390"/>
      <c r="AB71" s="390"/>
      <c r="AC71" s="301" t="e">
        <f t="shared" si="44"/>
        <v>#N/A</v>
      </c>
      <c r="AD71" s="534"/>
      <c r="AE71" s="390"/>
      <c r="AF71" s="390"/>
      <c r="AG71" s="390"/>
      <c r="AH71" s="301" t="e">
        <f t="shared" si="45"/>
        <v>#N/A</v>
      </c>
      <c r="AI71" s="534"/>
      <c r="AJ71" s="390"/>
      <c r="AK71" s="390"/>
      <c r="AL71" s="390"/>
      <c r="AM71" s="301" t="e">
        <f t="shared" si="46"/>
        <v>#N/A</v>
      </c>
      <c r="AN71" s="534"/>
      <c r="AO71" s="390"/>
      <c r="AP71" s="390"/>
      <c r="AQ71" s="390"/>
      <c r="AR71" s="301" t="e">
        <f t="shared" si="47"/>
        <v>#N/A</v>
      </c>
      <c r="AS71" s="534"/>
      <c r="AT71" s="390"/>
      <c r="AU71" s="390"/>
      <c r="AV71" s="390"/>
      <c r="AW71" s="301" t="e">
        <f t="shared" si="48"/>
        <v>#N/A</v>
      </c>
      <c r="AX71" s="534"/>
    </row>
    <row r="72" spans="2:50">
      <c r="B72" s="533"/>
      <c r="C72" s="286">
        <v>6</v>
      </c>
      <c r="D72" s="226"/>
      <c r="E72" s="182"/>
      <c r="F72" s="390"/>
      <c r="G72" s="391"/>
      <c r="H72" s="598"/>
      <c r="I72" s="199"/>
      <c r="J72" s="199"/>
      <c r="K72" s="200"/>
      <c r="L72" s="588"/>
      <c r="M72" s="201" t="e">
        <f>RANK(K72, K$67:$K$81)</f>
        <v>#N/A</v>
      </c>
      <c r="N72" s="544"/>
      <c r="O72" s="544"/>
      <c r="P72" s="390"/>
      <c r="Q72" s="390"/>
      <c r="R72" s="390"/>
      <c r="S72" s="301" t="e">
        <f t="shared" si="42"/>
        <v>#N/A</v>
      </c>
      <c r="T72" s="534"/>
      <c r="U72" s="390"/>
      <c r="V72" s="390"/>
      <c r="W72" s="390"/>
      <c r="X72" s="301" t="e">
        <f t="shared" si="43"/>
        <v>#N/A</v>
      </c>
      <c r="Y72" s="534"/>
      <c r="Z72" s="390"/>
      <c r="AA72" s="390"/>
      <c r="AB72" s="390"/>
      <c r="AC72" s="301" t="e">
        <f t="shared" si="44"/>
        <v>#N/A</v>
      </c>
      <c r="AD72" s="534"/>
      <c r="AE72" s="390"/>
      <c r="AF72" s="390"/>
      <c r="AG72" s="390"/>
      <c r="AH72" s="301" t="e">
        <f t="shared" si="45"/>
        <v>#N/A</v>
      </c>
      <c r="AI72" s="534"/>
      <c r="AJ72" s="390"/>
      <c r="AK72" s="390"/>
      <c r="AL72" s="390"/>
      <c r="AM72" s="301" t="e">
        <f t="shared" si="46"/>
        <v>#N/A</v>
      </c>
      <c r="AN72" s="534"/>
      <c r="AO72" s="390"/>
      <c r="AP72" s="390"/>
      <c r="AQ72" s="390"/>
      <c r="AR72" s="301" t="e">
        <f t="shared" si="47"/>
        <v>#N/A</v>
      </c>
      <c r="AS72" s="534"/>
      <c r="AT72" s="390"/>
      <c r="AU72" s="390"/>
      <c r="AV72" s="390"/>
      <c r="AW72" s="301" t="e">
        <f t="shared" si="48"/>
        <v>#N/A</v>
      </c>
      <c r="AX72" s="534"/>
    </row>
    <row r="73" spans="2:50">
      <c r="B73" s="533"/>
      <c r="C73" s="286">
        <v>7</v>
      </c>
      <c r="D73" s="226"/>
      <c r="E73" s="182"/>
      <c r="F73" s="390"/>
      <c r="G73" s="391"/>
      <c r="H73" s="598"/>
      <c r="I73" s="199"/>
      <c r="J73" s="199"/>
      <c r="K73" s="200"/>
      <c r="L73" s="588"/>
      <c r="M73" s="201" t="e">
        <f>RANK(K73, K$67:$K$81)</f>
        <v>#N/A</v>
      </c>
      <c r="N73" s="544"/>
      <c r="O73" s="544"/>
      <c r="P73" s="390"/>
      <c r="Q73" s="390"/>
      <c r="R73" s="390"/>
      <c r="S73" s="301" t="e">
        <f t="shared" si="42"/>
        <v>#N/A</v>
      </c>
      <c r="T73" s="534"/>
      <c r="U73" s="390"/>
      <c r="V73" s="390"/>
      <c r="W73" s="390"/>
      <c r="X73" s="301" t="e">
        <f t="shared" si="43"/>
        <v>#N/A</v>
      </c>
      <c r="Y73" s="534"/>
      <c r="Z73" s="390"/>
      <c r="AA73" s="390"/>
      <c r="AB73" s="390"/>
      <c r="AC73" s="301" t="e">
        <f t="shared" si="44"/>
        <v>#N/A</v>
      </c>
      <c r="AD73" s="534"/>
      <c r="AE73" s="390"/>
      <c r="AF73" s="390"/>
      <c r="AG73" s="390"/>
      <c r="AH73" s="301" t="e">
        <f t="shared" si="45"/>
        <v>#N/A</v>
      </c>
      <c r="AI73" s="534"/>
      <c r="AJ73" s="390"/>
      <c r="AK73" s="390"/>
      <c r="AL73" s="390"/>
      <c r="AM73" s="301" t="e">
        <f t="shared" si="46"/>
        <v>#N/A</v>
      </c>
      <c r="AN73" s="534"/>
      <c r="AO73" s="390"/>
      <c r="AP73" s="390"/>
      <c r="AQ73" s="390"/>
      <c r="AR73" s="301" t="e">
        <f t="shared" si="47"/>
        <v>#N/A</v>
      </c>
      <c r="AS73" s="534"/>
      <c r="AT73" s="390"/>
      <c r="AU73" s="390"/>
      <c r="AV73" s="390"/>
      <c r="AW73" s="301" t="e">
        <f t="shared" si="48"/>
        <v>#N/A</v>
      </c>
      <c r="AX73" s="534"/>
    </row>
    <row r="74" spans="2:50">
      <c r="B74" s="533"/>
      <c r="C74" s="286">
        <v>8</v>
      </c>
      <c r="D74" s="226"/>
      <c r="E74" s="182"/>
      <c r="F74" s="390"/>
      <c r="G74" s="391"/>
      <c r="H74" s="598"/>
      <c r="I74" s="199"/>
      <c r="J74" s="199"/>
      <c r="K74" s="200"/>
      <c r="L74" s="588"/>
      <c r="M74" s="201" t="e">
        <f>RANK(K74, K$67:$K$81)</f>
        <v>#N/A</v>
      </c>
      <c r="N74" s="544"/>
      <c r="O74" s="544"/>
      <c r="P74" s="390"/>
      <c r="Q74" s="390"/>
      <c r="R74" s="390"/>
      <c r="S74" s="301" t="e">
        <f t="shared" si="42"/>
        <v>#N/A</v>
      </c>
      <c r="T74" s="534"/>
      <c r="U74" s="390"/>
      <c r="V74" s="390"/>
      <c r="W74" s="390"/>
      <c r="X74" s="301" t="e">
        <f t="shared" si="43"/>
        <v>#N/A</v>
      </c>
      <c r="Y74" s="534"/>
      <c r="Z74" s="390"/>
      <c r="AA74" s="390"/>
      <c r="AB74" s="390"/>
      <c r="AC74" s="301" t="e">
        <f t="shared" si="44"/>
        <v>#N/A</v>
      </c>
      <c r="AD74" s="534"/>
      <c r="AE74" s="390"/>
      <c r="AF74" s="390"/>
      <c r="AG74" s="390"/>
      <c r="AH74" s="301" t="e">
        <f t="shared" si="45"/>
        <v>#N/A</v>
      </c>
      <c r="AI74" s="534"/>
      <c r="AJ74" s="390"/>
      <c r="AK74" s="390"/>
      <c r="AL74" s="390"/>
      <c r="AM74" s="301" t="e">
        <f t="shared" si="46"/>
        <v>#N/A</v>
      </c>
      <c r="AN74" s="534"/>
      <c r="AO74" s="390"/>
      <c r="AP74" s="390"/>
      <c r="AQ74" s="390"/>
      <c r="AR74" s="301" t="e">
        <f t="shared" si="47"/>
        <v>#N/A</v>
      </c>
      <c r="AS74" s="534"/>
      <c r="AT74" s="390"/>
      <c r="AU74" s="390"/>
      <c r="AV74" s="390"/>
      <c r="AW74" s="301" t="e">
        <f t="shared" si="48"/>
        <v>#N/A</v>
      </c>
      <c r="AX74" s="534"/>
    </row>
    <row r="75" spans="2:50">
      <c r="B75" s="533"/>
      <c r="C75" s="286">
        <v>9</v>
      </c>
      <c r="D75" s="226"/>
      <c r="E75" s="182"/>
      <c r="F75" s="390"/>
      <c r="G75" s="391"/>
      <c r="H75" s="598"/>
      <c r="I75" s="199"/>
      <c r="J75" s="199"/>
      <c r="K75" s="200"/>
      <c r="L75" s="588"/>
      <c r="M75" s="201" t="e">
        <f>RANK(K75, K$67:$K$81)</f>
        <v>#N/A</v>
      </c>
      <c r="N75" s="544"/>
      <c r="O75" s="544"/>
      <c r="P75" s="390"/>
      <c r="Q75" s="390"/>
      <c r="R75" s="390"/>
      <c r="S75" s="301" t="e">
        <f t="shared" si="42"/>
        <v>#N/A</v>
      </c>
      <c r="T75" s="534"/>
      <c r="U75" s="390"/>
      <c r="V75" s="390"/>
      <c r="W75" s="390"/>
      <c r="X75" s="301" t="e">
        <f t="shared" si="43"/>
        <v>#N/A</v>
      </c>
      <c r="Y75" s="534"/>
      <c r="Z75" s="390"/>
      <c r="AA75" s="390"/>
      <c r="AB75" s="390"/>
      <c r="AC75" s="301" t="e">
        <f t="shared" si="44"/>
        <v>#N/A</v>
      </c>
      <c r="AD75" s="534"/>
      <c r="AE75" s="390"/>
      <c r="AF75" s="390"/>
      <c r="AG75" s="390"/>
      <c r="AH75" s="301" t="e">
        <f t="shared" si="45"/>
        <v>#N/A</v>
      </c>
      <c r="AI75" s="534"/>
      <c r="AJ75" s="390"/>
      <c r="AK75" s="390"/>
      <c r="AL75" s="390"/>
      <c r="AM75" s="301" t="e">
        <f t="shared" si="46"/>
        <v>#N/A</v>
      </c>
      <c r="AN75" s="534"/>
      <c r="AO75" s="390"/>
      <c r="AP75" s="390"/>
      <c r="AQ75" s="390"/>
      <c r="AR75" s="301" t="e">
        <f t="shared" si="47"/>
        <v>#N/A</v>
      </c>
      <c r="AS75" s="534"/>
      <c r="AT75" s="390"/>
      <c r="AU75" s="390"/>
      <c r="AV75" s="390"/>
      <c r="AW75" s="301" t="e">
        <f t="shared" si="48"/>
        <v>#N/A</v>
      </c>
      <c r="AX75" s="534"/>
    </row>
    <row r="76" spans="2:50">
      <c r="B76" s="533"/>
      <c r="C76" s="286">
        <v>10</v>
      </c>
      <c r="D76" s="226"/>
      <c r="E76" s="182"/>
      <c r="F76" s="390"/>
      <c r="G76" s="391"/>
      <c r="H76" s="598"/>
      <c r="I76" s="199"/>
      <c r="J76" s="199"/>
      <c r="K76" s="200"/>
      <c r="L76" s="588"/>
      <c r="M76" s="201" t="e">
        <f>RANK(K76, K$67:$K$81)</f>
        <v>#N/A</v>
      </c>
      <c r="N76" s="544"/>
      <c r="O76" s="544"/>
      <c r="P76" s="390"/>
      <c r="Q76" s="390"/>
      <c r="R76" s="390"/>
      <c r="S76" s="301" t="e">
        <f t="shared" si="42"/>
        <v>#N/A</v>
      </c>
      <c r="T76" s="534"/>
      <c r="U76" s="390"/>
      <c r="V76" s="390"/>
      <c r="W76" s="390"/>
      <c r="X76" s="301" t="e">
        <f t="shared" si="43"/>
        <v>#N/A</v>
      </c>
      <c r="Y76" s="534"/>
      <c r="Z76" s="390"/>
      <c r="AA76" s="390"/>
      <c r="AB76" s="390"/>
      <c r="AC76" s="301" t="e">
        <f t="shared" si="44"/>
        <v>#N/A</v>
      </c>
      <c r="AD76" s="534"/>
      <c r="AE76" s="390"/>
      <c r="AF76" s="390"/>
      <c r="AG76" s="390"/>
      <c r="AH76" s="301" t="e">
        <f t="shared" si="45"/>
        <v>#N/A</v>
      </c>
      <c r="AI76" s="534"/>
      <c r="AJ76" s="390"/>
      <c r="AK76" s="390"/>
      <c r="AL76" s="390"/>
      <c r="AM76" s="301" t="e">
        <f t="shared" si="46"/>
        <v>#N/A</v>
      </c>
      <c r="AN76" s="534"/>
      <c r="AO76" s="390"/>
      <c r="AP76" s="390"/>
      <c r="AQ76" s="390"/>
      <c r="AR76" s="301" t="e">
        <f t="shared" si="47"/>
        <v>#N/A</v>
      </c>
      <c r="AS76" s="534"/>
      <c r="AT76" s="390"/>
      <c r="AU76" s="390"/>
      <c r="AV76" s="390"/>
      <c r="AW76" s="301" t="e">
        <f t="shared" si="48"/>
        <v>#N/A</v>
      </c>
      <c r="AX76" s="534"/>
    </row>
    <row r="77" spans="2:50">
      <c r="B77" s="533"/>
      <c r="C77" s="286">
        <v>11</v>
      </c>
      <c r="D77" s="226"/>
      <c r="E77" s="182"/>
      <c r="F77" s="390"/>
      <c r="G77" s="391"/>
      <c r="H77" s="598"/>
      <c r="I77" s="202"/>
      <c r="J77" s="202"/>
      <c r="K77" s="202"/>
      <c r="L77" s="588"/>
      <c r="M77" s="201" t="e">
        <f>RANK(K77, K$67:$K$81)</f>
        <v>#N/A</v>
      </c>
      <c r="N77" s="544"/>
      <c r="O77" s="544"/>
      <c r="P77" s="390"/>
      <c r="Q77" s="390"/>
      <c r="R77" s="390"/>
      <c r="S77" s="301" t="e">
        <f t="shared" si="42"/>
        <v>#N/A</v>
      </c>
      <c r="T77" s="534"/>
      <c r="U77" s="390"/>
      <c r="V77" s="390"/>
      <c r="W77" s="390"/>
      <c r="X77" s="301" t="e">
        <f t="shared" si="43"/>
        <v>#N/A</v>
      </c>
      <c r="Y77" s="534"/>
      <c r="Z77" s="390"/>
      <c r="AA77" s="390"/>
      <c r="AB77" s="390"/>
      <c r="AC77" s="301" t="e">
        <f t="shared" si="44"/>
        <v>#N/A</v>
      </c>
      <c r="AD77" s="534"/>
      <c r="AE77" s="390"/>
      <c r="AF77" s="390"/>
      <c r="AG77" s="390"/>
      <c r="AH77" s="301" t="e">
        <f t="shared" si="45"/>
        <v>#N/A</v>
      </c>
      <c r="AI77" s="534"/>
      <c r="AJ77" s="390"/>
      <c r="AK77" s="390"/>
      <c r="AL77" s="390"/>
      <c r="AM77" s="301" t="e">
        <f t="shared" si="46"/>
        <v>#N/A</v>
      </c>
      <c r="AN77" s="534"/>
      <c r="AO77" s="390"/>
      <c r="AP77" s="390"/>
      <c r="AQ77" s="390"/>
      <c r="AR77" s="301" t="e">
        <f t="shared" si="47"/>
        <v>#N/A</v>
      </c>
      <c r="AS77" s="534"/>
      <c r="AT77" s="390"/>
      <c r="AU77" s="390"/>
      <c r="AV77" s="390"/>
      <c r="AW77" s="301" t="e">
        <f t="shared" si="48"/>
        <v>#N/A</v>
      </c>
      <c r="AX77" s="534"/>
    </row>
    <row r="78" spans="2:50">
      <c r="B78" s="533"/>
      <c r="C78" s="286">
        <v>12</v>
      </c>
      <c r="D78" s="226"/>
      <c r="E78" s="182"/>
      <c r="F78" s="390"/>
      <c r="G78" s="391"/>
      <c r="H78" s="598"/>
      <c r="I78" s="202"/>
      <c r="J78" s="202"/>
      <c r="K78" s="202"/>
      <c r="L78" s="588"/>
      <c r="M78" s="201" t="e">
        <f>RANK(K78, K$67:$K$81)</f>
        <v>#N/A</v>
      </c>
      <c r="N78" s="544"/>
      <c r="O78" s="544"/>
      <c r="P78" s="390"/>
      <c r="Q78" s="390"/>
      <c r="R78" s="390"/>
      <c r="S78" s="301" t="e">
        <f t="shared" si="42"/>
        <v>#N/A</v>
      </c>
      <c r="T78" s="534"/>
      <c r="U78" s="390"/>
      <c r="V78" s="390"/>
      <c r="W78" s="390"/>
      <c r="X78" s="301" t="e">
        <f t="shared" si="43"/>
        <v>#N/A</v>
      </c>
      <c r="Y78" s="534"/>
      <c r="Z78" s="390"/>
      <c r="AA78" s="390"/>
      <c r="AB78" s="390"/>
      <c r="AC78" s="301" t="e">
        <f t="shared" si="44"/>
        <v>#N/A</v>
      </c>
      <c r="AD78" s="534"/>
      <c r="AE78" s="390"/>
      <c r="AF78" s="390"/>
      <c r="AG78" s="390"/>
      <c r="AH78" s="301" t="e">
        <f t="shared" si="45"/>
        <v>#N/A</v>
      </c>
      <c r="AI78" s="534"/>
      <c r="AJ78" s="390"/>
      <c r="AK78" s="390"/>
      <c r="AL78" s="390"/>
      <c r="AM78" s="301" t="e">
        <f t="shared" si="46"/>
        <v>#N/A</v>
      </c>
      <c r="AN78" s="534"/>
      <c r="AO78" s="390"/>
      <c r="AP78" s="390"/>
      <c r="AQ78" s="390"/>
      <c r="AR78" s="301" t="e">
        <f t="shared" si="47"/>
        <v>#N/A</v>
      </c>
      <c r="AS78" s="534"/>
      <c r="AT78" s="390"/>
      <c r="AU78" s="390"/>
      <c r="AV78" s="390"/>
      <c r="AW78" s="301" t="e">
        <f t="shared" si="48"/>
        <v>#N/A</v>
      </c>
      <c r="AX78" s="534"/>
    </row>
    <row r="79" spans="2:50">
      <c r="B79" s="533"/>
      <c r="C79" s="286">
        <v>13</v>
      </c>
      <c r="D79" s="226"/>
      <c r="E79" s="182"/>
      <c r="F79" s="390"/>
      <c r="G79" s="391"/>
      <c r="H79" s="598"/>
      <c r="I79" s="202"/>
      <c r="J79" s="202"/>
      <c r="K79" s="202"/>
      <c r="L79" s="588"/>
      <c r="M79" s="201" t="e">
        <f>RANK(K79, K$67:$K$81)</f>
        <v>#N/A</v>
      </c>
      <c r="N79" s="544"/>
      <c r="O79" s="544"/>
      <c r="P79" s="390"/>
      <c r="Q79" s="390"/>
      <c r="R79" s="390"/>
      <c r="S79" s="301" t="e">
        <f t="shared" si="42"/>
        <v>#N/A</v>
      </c>
      <c r="T79" s="534"/>
      <c r="U79" s="390"/>
      <c r="V79" s="390"/>
      <c r="W79" s="390"/>
      <c r="X79" s="301" t="e">
        <f t="shared" si="43"/>
        <v>#N/A</v>
      </c>
      <c r="Y79" s="534"/>
      <c r="Z79" s="390"/>
      <c r="AA79" s="390"/>
      <c r="AB79" s="390"/>
      <c r="AC79" s="301" t="e">
        <f t="shared" si="44"/>
        <v>#N/A</v>
      </c>
      <c r="AD79" s="534"/>
      <c r="AE79" s="390"/>
      <c r="AF79" s="390"/>
      <c r="AG79" s="390"/>
      <c r="AH79" s="301" t="e">
        <f t="shared" si="45"/>
        <v>#N/A</v>
      </c>
      <c r="AI79" s="534"/>
      <c r="AJ79" s="390"/>
      <c r="AK79" s="390"/>
      <c r="AL79" s="390"/>
      <c r="AM79" s="301" t="e">
        <f t="shared" si="46"/>
        <v>#N/A</v>
      </c>
      <c r="AN79" s="534"/>
      <c r="AO79" s="390"/>
      <c r="AP79" s="390"/>
      <c r="AQ79" s="390"/>
      <c r="AR79" s="301" t="e">
        <f t="shared" si="47"/>
        <v>#N/A</v>
      </c>
      <c r="AS79" s="534"/>
      <c r="AT79" s="390"/>
      <c r="AU79" s="390"/>
      <c r="AV79" s="390"/>
      <c r="AW79" s="301" t="e">
        <f t="shared" si="48"/>
        <v>#N/A</v>
      </c>
      <c r="AX79" s="534"/>
    </row>
    <row r="80" spans="2:50">
      <c r="B80" s="533"/>
      <c r="C80" s="286">
        <v>14</v>
      </c>
      <c r="D80" s="226"/>
      <c r="E80" s="182"/>
      <c r="F80" s="390"/>
      <c r="G80" s="391"/>
      <c r="H80" s="598"/>
      <c r="I80" s="202"/>
      <c r="J80" s="202"/>
      <c r="K80" s="202"/>
      <c r="L80" s="588"/>
      <c r="M80" s="201" t="e">
        <f>RANK(K80, K$67:$K$81)</f>
        <v>#N/A</v>
      </c>
      <c r="N80" s="544"/>
      <c r="O80" s="544"/>
      <c r="P80" s="390"/>
      <c r="Q80" s="390"/>
      <c r="R80" s="390"/>
      <c r="S80" s="301" t="e">
        <f t="shared" si="42"/>
        <v>#N/A</v>
      </c>
      <c r="T80" s="534"/>
      <c r="U80" s="390"/>
      <c r="V80" s="390"/>
      <c r="W80" s="390"/>
      <c r="X80" s="301" t="e">
        <f t="shared" si="43"/>
        <v>#N/A</v>
      </c>
      <c r="Y80" s="534"/>
      <c r="Z80" s="390"/>
      <c r="AA80" s="390"/>
      <c r="AB80" s="390"/>
      <c r="AC80" s="301" t="e">
        <f t="shared" si="44"/>
        <v>#N/A</v>
      </c>
      <c r="AD80" s="534"/>
      <c r="AE80" s="390"/>
      <c r="AF80" s="390"/>
      <c r="AG80" s="390"/>
      <c r="AH80" s="301" t="e">
        <f t="shared" si="45"/>
        <v>#N/A</v>
      </c>
      <c r="AI80" s="534"/>
      <c r="AJ80" s="390"/>
      <c r="AK80" s="390"/>
      <c r="AL80" s="390"/>
      <c r="AM80" s="301" t="e">
        <f t="shared" si="46"/>
        <v>#N/A</v>
      </c>
      <c r="AN80" s="534"/>
      <c r="AO80" s="390"/>
      <c r="AP80" s="390"/>
      <c r="AQ80" s="390"/>
      <c r="AR80" s="301" t="e">
        <f t="shared" si="47"/>
        <v>#N/A</v>
      </c>
      <c r="AS80" s="534"/>
      <c r="AT80" s="390"/>
      <c r="AU80" s="390"/>
      <c r="AV80" s="390"/>
      <c r="AW80" s="301" t="e">
        <f t="shared" si="48"/>
        <v>#N/A</v>
      </c>
      <c r="AX80" s="534"/>
    </row>
    <row r="81" spans="2:50">
      <c r="B81" s="533"/>
      <c r="C81" s="286">
        <v>15</v>
      </c>
      <c r="D81" s="226"/>
      <c r="E81" s="182"/>
      <c r="F81" s="390"/>
      <c r="G81" s="391"/>
      <c r="H81" s="599"/>
      <c r="I81" s="202"/>
      <c r="J81" s="202"/>
      <c r="K81" s="202"/>
      <c r="L81" s="589"/>
      <c r="M81" s="201" t="e">
        <f>RANK(K81, K$67:$K$81)</f>
        <v>#N/A</v>
      </c>
      <c r="N81" s="544"/>
      <c r="O81" s="544"/>
      <c r="P81" s="390"/>
      <c r="Q81" s="390"/>
      <c r="R81" s="390"/>
      <c r="S81" s="301" t="e">
        <f t="shared" si="42"/>
        <v>#N/A</v>
      </c>
      <c r="T81" s="534"/>
      <c r="U81" s="390"/>
      <c r="V81" s="390"/>
      <c r="W81" s="390"/>
      <c r="X81" s="301" t="e">
        <f t="shared" si="43"/>
        <v>#N/A</v>
      </c>
      <c r="Y81" s="534"/>
      <c r="Z81" s="390"/>
      <c r="AA81" s="390"/>
      <c r="AB81" s="390"/>
      <c r="AC81" s="301" t="e">
        <f t="shared" si="44"/>
        <v>#N/A</v>
      </c>
      <c r="AD81" s="534"/>
      <c r="AE81" s="390"/>
      <c r="AF81" s="390"/>
      <c r="AG81" s="390"/>
      <c r="AH81" s="301" t="e">
        <f t="shared" si="45"/>
        <v>#N/A</v>
      </c>
      <c r="AI81" s="534"/>
      <c r="AJ81" s="390"/>
      <c r="AK81" s="390"/>
      <c r="AL81" s="390"/>
      <c r="AM81" s="301" t="e">
        <f t="shared" si="46"/>
        <v>#N/A</v>
      </c>
      <c r="AN81" s="534"/>
      <c r="AO81" s="390"/>
      <c r="AP81" s="390"/>
      <c r="AQ81" s="390"/>
      <c r="AR81" s="301" t="e">
        <f t="shared" si="47"/>
        <v>#N/A</v>
      </c>
      <c r="AS81" s="534"/>
      <c r="AT81" s="390"/>
      <c r="AU81" s="390"/>
      <c r="AV81" s="390"/>
      <c r="AW81" s="301" t="e">
        <f t="shared" si="48"/>
        <v>#N/A</v>
      </c>
      <c r="AX81" s="534"/>
    </row>
    <row r="82" spans="2:50" ht="15.5">
      <c r="B82" s="555" t="s">
        <v>163</v>
      </c>
      <c r="C82" s="556"/>
      <c r="D82" s="556"/>
      <c r="E82" s="556"/>
      <c r="F82" s="556"/>
      <c r="G82" s="556"/>
      <c r="H82" s="557"/>
      <c r="I82" s="208"/>
      <c r="J82" s="208"/>
      <c r="K82" s="208"/>
      <c r="L82" s="208"/>
      <c r="M82" s="207"/>
      <c r="N82" s="559" t="s">
        <v>156</v>
      </c>
      <c r="O82" s="559" t="s">
        <v>105</v>
      </c>
      <c r="P82" s="554">
        <f>P62+7</f>
        <v>46014</v>
      </c>
      <c r="Q82" s="533"/>
      <c r="R82" s="533"/>
      <c r="S82" s="533"/>
      <c r="T82" s="533"/>
      <c r="U82" s="551">
        <f>P82+1</f>
        <v>46015</v>
      </c>
      <c r="V82" s="552"/>
      <c r="W82" s="552"/>
      <c r="X82" s="552"/>
      <c r="Y82" s="553"/>
      <c r="Z82" s="551">
        <f>U82+1</f>
        <v>46016</v>
      </c>
      <c r="AA82" s="552"/>
      <c r="AB82" s="552"/>
      <c r="AC82" s="552"/>
      <c r="AD82" s="553"/>
      <c r="AE82" s="551">
        <f>Z82+1</f>
        <v>46017</v>
      </c>
      <c r="AF82" s="552"/>
      <c r="AG82" s="552"/>
      <c r="AH82" s="552"/>
      <c r="AI82" s="553"/>
      <c r="AJ82" s="551">
        <f>AE82+1</f>
        <v>46018</v>
      </c>
      <c r="AK82" s="552"/>
      <c r="AL82" s="552"/>
      <c r="AM82" s="552"/>
      <c r="AN82" s="553"/>
      <c r="AO82" s="551">
        <f>AJ82+1</f>
        <v>46019</v>
      </c>
      <c r="AP82" s="552"/>
      <c r="AQ82" s="552"/>
      <c r="AR82" s="552"/>
      <c r="AS82" s="553"/>
      <c r="AT82" s="551"/>
      <c r="AU82" s="552"/>
      <c r="AV82" s="552"/>
      <c r="AW82" s="552"/>
      <c r="AX82" s="553"/>
    </row>
    <row r="83" spans="2:50" ht="15.5">
      <c r="B83" s="558"/>
      <c r="C83" s="558"/>
      <c r="D83" s="558"/>
      <c r="E83" s="558"/>
      <c r="F83" s="558"/>
      <c r="G83" s="558"/>
      <c r="H83" s="558"/>
      <c r="I83" s="205"/>
      <c r="J83" s="205"/>
      <c r="K83" s="205"/>
      <c r="L83" s="205"/>
      <c r="M83" s="206"/>
      <c r="N83" s="560"/>
      <c r="O83" s="560"/>
      <c r="P83" s="554" t="s">
        <v>334</v>
      </c>
      <c r="Q83" s="533"/>
      <c r="R83" s="533"/>
      <c r="S83" s="533"/>
      <c r="T83" s="533"/>
      <c r="U83" s="554" t="s">
        <v>335</v>
      </c>
      <c r="V83" s="533"/>
      <c r="W83" s="533"/>
      <c r="X83" s="533"/>
      <c r="Y83" s="533"/>
      <c r="Z83" s="554" t="s">
        <v>336</v>
      </c>
      <c r="AA83" s="533"/>
      <c r="AB83" s="533"/>
      <c r="AC83" s="533"/>
      <c r="AD83" s="533"/>
      <c r="AE83" s="554" t="s">
        <v>337</v>
      </c>
      <c r="AF83" s="533"/>
      <c r="AG83" s="533"/>
      <c r="AH83" s="533"/>
      <c r="AI83" s="533"/>
      <c r="AJ83" s="554" t="s">
        <v>338</v>
      </c>
      <c r="AK83" s="533"/>
      <c r="AL83" s="533"/>
      <c r="AM83" s="533"/>
      <c r="AN83" s="533"/>
      <c r="AO83" s="554" t="s">
        <v>339</v>
      </c>
      <c r="AP83" s="533"/>
      <c r="AQ83" s="533"/>
      <c r="AR83" s="533"/>
      <c r="AS83" s="533"/>
      <c r="AT83" s="554"/>
      <c r="AU83" s="533"/>
      <c r="AV83" s="533"/>
      <c r="AW83" s="533"/>
      <c r="AX83" s="533"/>
    </row>
    <row r="84" spans="2:50">
      <c r="B84" s="544" t="s">
        <v>450</v>
      </c>
      <c r="C84" s="544" t="s">
        <v>451</v>
      </c>
      <c r="D84" s="544"/>
      <c r="E84" s="544" t="s">
        <v>452</v>
      </c>
      <c r="F84" s="544"/>
      <c r="G84" s="544"/>
      <c r="H84" s="561" t="s">
        <v>453</v>
      </c>
      <c r="I84" s="583" t="s">
        <v>454</v>
      </c>
      <c r="J84" s="583"/>
      <c r="K84" s="583"/>
      <c r="L84" s="584" t="s">
        <v>453</v>
      </c>
      <c r="M84" s="567" t="s">
        <v>455</v>
      </c>
      <c r="N84" s="544"/>
      <c r="O84" s="544" t="s">
        <v>456</v>
      </c>
      <c r="P84" s="548" t="s">
        <v>457</v>
      </c>
      <c r="Q84" s="549"/>
      <c r="R84" s="549"/>
      <c r="S84" s="550"/>
      <c r="T84" s="544" t="s">
        <v>453</v>
      </c>
      <c r="U84" s="548" t="s">
        <v>457</v>
      </c>
      <c r="V84" s="549"/>
      <c r="W84" s="549"/>
      <c r="X84" s="550"/>
      <c r="Y84" s="544" t="s">
        <v>453</v>
      </c>
      <c r="Z84" s="548" t="s">
        <v>457</v>
      </c>
      <c r="AA84" s="549"/>
      <c r="AB84" s="549"/>
      <c r="AC84" s="550"/>
      <c r="AD84" s="544" t="s">
        <v>453</v>
      </c>
      <c r="AE84" s="548" t="s">
        <v>457</v>
      </c>
      <c r="AF84" s="549"/>
      <c r="AG84" s="549"/>
      <c r="AH84" s="550"/>
      <c r="AI84" s="544" t="s">
        <v>453</v>
      </c>
      <c r="AJ84" s="548" t="s">
        <v>457</v>
      </c>
      <c r="AK84" s="549"/>
      <c r="AL84" s="549"/>
      <c r="AM84" s="550"/>
      <c r="AN84" s="544" t="s">
        <v>453</v>
      </c>
      <c r="AO84" s="548" t="s">
        <v>457</v>
      </c>
      <c r="AP84" s="549"/>
      <c r="AQ84" s="549"/>
      <c r="AR84" s="550"/>
      <c r="AS84" s="544" t="s">
        <v>453</v>
      </c>
      <c r="AT84" s="548"/>
      <c r="AU84" s="549"/>
      <c r="AV84" s="549"/>
      <c r="AW84" s="550"/>
      <c r="AX84" s="544"/>
    </row>
    <row r="85" spans="2:50">
      <c r="B85" s="544"/>
      <c r="C85" s="544"/>
      <c r="D85" s="544"/>
      <c r="E85" s="544" t="s">
        <v>458</v>
      </c>
      <c r="F85" s="544"/>
      <c r="G85" s="544"/>
      <c r="H85" s="562"/>
      <c r="I85" s="583" t="s">
        <v>458</v>
      </c>
      <c r="J85" s="583"/>
      <c r="K85" s="583"/>
      <c r="L85" s="585"/>
      <c r="M85" s="568"/>
      <c r="N85" s="544"/>
      <c r="O85" s="544"/>
      <c r="P85" s="548" t="s">
        <v>459</v>
      </c>
      <c r="Q85" s="549"/>
      <c r="R85" s="549"/>
      <c r="S85" s="550"/>
      <c r="T85" s="544"/>
      <c r="U85" s="548" t="s">
        <v>459</v>
      </c>
      <c r="V85" s="549"/>
      <c r="W85" s="549"/>
      <c r="X85" s="550"/>
      <c r="Y85" s="544"/>
      <c r="Z85" s="548" t="s">
        <v>459</v>
      </c>
      <c r="AA85" s="549"/>
      <c r="AB85" s="549"/>
      <c r="AC85" s="550"/>
      <c r="AD85" s="544"/>
      <c r="AE85" s="548" t="s">
        <v>459</v>
      </c>
      <c r="AF85" s="549"/>
      <c r="AG85" s="549"/>
      <c r="AH85" s="550"/>
      <c r="AI85" s="544"/>
      <c r="AJ85" s="548" t="s">
        <v>459</v>
      </c>
      <c r="AK85" s="549"/>
      <c r="AL85" s="549"/>
      <c r="AM85" s="550"/>
      <c r="AN85" s="544"/>
      <c r="AO85" s="548" t="s">
        <v>459</v>
      </c>
      <c r="AP85" s="549"/>
      <c r="AQ85" s="549"/>
      <c r="AR85" s="550"/>
      <c r="AS85" s="544"/>
      <c r="AT85" s="548"/>
      <c r="AU85" s="549"/>
      <c r="AV85" s="549"/>
      <c r="AW85" s="550"/>
      <c r="AX85" s="544"/>
    </row>
    <row r="86" spans="2:50">
      <c r="B86" s="544"/>
      <c r="C86" s="544"/>
      <c r="D86" s="544"/>
      <c r="E86" s="282" t="s">
        <v>460</v>
      </c>
      <c r="F86" s="282" t="s">
        <v>461</v>
      </c>
      <c r="G86" s="282" t="s">
        <v>462</v>
      </c>
      <c r="H86" s="563"/>
      <c r="I86" s="283" t="s">
        <v>460</v>
      </c>
      <c r="J86" s="283" t="s">
        <v>461</v>
      </c>
      <c r="K86" s="283" t="s">
        <v>462</v>
      </c>
      <c r="L86" s="586"/>
      <c r="M86" s="569"/>
      <c r="N86" s="544"/>
      <c r="O86" s="544"/>
      <c r="P86" s="282" t="s">
        <v>460</v>
      </c>
      <c r="Q86" s="282" t="s">
        <v>461</v>
      </c>
      <c r="R86" s="282" t="s">
        <v>462</v>
      </c>
      <c r="S86" s="282" t="s">
        <v>455</v>
      </c>
      <c r="T86" s="544"/>
      <c r="U86" s="282" t="s">
        <v>460</v>
      </c>
      <c r="V86" s="282" t="s">
        <v>461</v>
      </c>
      <c r="W86" s="282" t="s">
        <v>462</v>
      </c>
      <c r="X86" s="282" t="s">
        <v>455</v>
      </c>
      <c r="Y86" s="544"/>
      <c r="Z86" s="282" t="s">
        <v>460</v>
      </c>
      <c r="AA86" s="282" t="s">
        <v>461</v>
      </c>
      <c r="AB86" s="282" t="s">
        <v>462</v>
      </c>
      <c r="AC86" s="282" t="s">
        <v>455</v>
      </c>
      <c r="AD86" s="544"/>
      <c r="AE86" s="282" t="s">
        <v>460</v>
      </c>
      <c r="AF86" s="282" t="s">
        <v>461</v>
      </c>
      <c r="AG86" s="282" t="s">
        <v>462</v>
      </c>
      <c r="AH86" s="282" t="s">
        <v>455</v>
      </c>
      <c r="AI86" s="544"/>
      <c r="AJ86" s="282" t="s">
        <v>460</v>
      </c>
      <c r="AK86" s="282" t="s">
        <v>461</v>
      </c>
      <c r="AL86" s="282" t="s">
        <v>462</v>
      </c>
      <c r="AM86" s="282" t="s">
        <v>455</v>
      </c>
      <c r="AN86" s="544"/>
      <c r="AO86" s="282" t="s">
        <v>460</v>
      </c>
      <c r="AP86" s="282" t="s">
        <v>461</v>
      </c>
      <c r="AQ86" s="282" t="s">
        <v>462</v>
      </c>
      <c r="AR86" s="282" t="s">
        <v>455</v>
      </c>
      <c r="AS86" s="544"/>
      <c r="AT86" s="282"/>
      <c r="AU86" s="282"/>
      <c r="AV86" s="282"/>
      <c r="AW86" s="282"/>
      <c r="AX86" s="544"/>
    </row>
    <row r="87" spans="2:50">
      <c r="B87" s="544" t="s">
        <v>463</v>
      </c>
      <c r="C87" s="281">
        <v>1</v>
      </c>
      <c r="D87" s="226" t="s">
        <v>579</v>
      </c>
      <c r="E87" s="182">
        <v>13</v>
      </c>
      <c r="F87" s="390">
        <v>1500</v>
      </c>
      <c r="G87" s="391">
        <v>115.38461538461539</v>
      </c>
      <c r="H87" s="597">
        <f>AVERAGE(G87:G101)</f>
        <v>115.38461538461539</v>
      </c>
      <c r="I87" s="199">
        <f t="shared" ref="I87:K88" si="49">AVERAGE(P87,U87,Z87,AE87,AJ87,AO87,AT87)</f>
        <v>13</v>
      </c>
      <c r="J87" s="199">
        <f t="shared" si="49"/>
        <v>1503.0476190476193</v>
      </c>
      <c r="K87" s="200">
        <f t="shared" si="49"/>
        <v>115.61904761904763</v>
      </c>
      <c r="L87" s="587">
        <f>IFERROR(AVERAGE(K87:K101),"-")</f>
        <v>113.11020299145298</v>
      </c>
      <c r="M87" s="201">
        <f>RANK(K87, K$87:$K$101)</f>
        <v>1</v>
      </c>
      <c r="N87" s="544"/>
      <c r="O87" s="544"/>
      <c r="P87" s="182">
        <v>13</v>
      </c>
      <c r="Q87" s="182">
        <v>1506</v>
      </c>
      <c r="R87" s="391">
        <v>115.84615384615384</v>
      </c>
      <c r="S87" s="281">
        <f>RANK(R87, R$87:R$101)</f>
        <v>2</v>
      </c>
      <c r="T87" s="534">
        <f>AVERAGE(R87:R101)</f>
        <v>116.30769230769232</v>
      </c>
      <c r="U87" s="182">
        <v>13</v>
      </c>
      <c r="V87" s="182">
        <v>1554.0000000000007</v>
      </c>
      <c r="W87" s="391">
        <v>119.53846153846159</v>
      </c>
      <c r="X87" s="281">
        <f>RANK(W87, W$87:W$101)</f>
        <v>1</v>
      </c>
      <c r="Y87" s="534">
        <f>AVERAGE(W87:W101)</f>
        <v>117.30769230769231</v>
      </c>
      <c r="Z87" s="182">
        <v>13</v>
      </c>
      <c r="AA87" s="182">
        <v>1476.6666666666672</v>
      </c>
      <c r="AB87" s="391">
        <v>113.58974358974363</v>
      </c>
      <c r="AC87" s="281">
        <f>RANK(AB87, AB$87:AB$101)</f>
        <v>1</v>
      </c>
      <c r="AD87" s="534">
        <f>AVERAGE(AB87:AB101)</f>
        <v>102.50737179487169</v>
      </c>
      <c r="AE87" s="182">
        <v>13</v>
      </c>
      <c r="AF87" s="182">
        <v>1460.571428571428</v>
      </c>
      <c r="AG87" s="391">
        <v>112.35164835164831</v>
      </c>
      <c r="AH87" s="281">
        <f>RANK(AG87, AG$87:AG$101)</f>
        <v>1</v>
      </c>
      <c r="AI87" s="534">
        <f>AVERAGE(AG87:AG101)</f>
        <v>111.86813186813185</v>
      </c>
      <c r="AJ87" s="182">
        <v>13</v>
      </c>
      <c r="AK87" s="182">
        <v>1518.0000000000009</v>
      </c>
      <c r="AL87" s="391">
        <v>116.76923076923084</v>
      </c>
      <c r="AM87" s="281">
        <f>RANK(AL87, AL$87:AL$101)</f>
        <v>2</v>
      </c>
      <c r="AN87" s="534">
        <f>AVERAGE(AL87:AL101)</f>
        <v>117.06593406593419</v>
      </c>
      <c r="AO87" s="182"/>
      <c r="AP87" s="182"/>
      <c r="AQ87" s="391"/>
      <c r="AR87" s="281" t="e">
        <f>RANK(AQ87, AQ$87:AQ$101)</f>
        <v>#N/A</v>
      </c>
      <c r="AS87" s="534">
        <f>AVERAGE(AQ87:AQ101)</f>
        <v>111.58974358974358</v>
      </c>
      <c r="AT87" s="182"/>
      <c r="AU87" s="182"/>
      <c r="AV87" s="391"/>
      <c r="AW87" s="281"/>
      <c r="AX87" s="534"/>
    </row>
    <row r="88" spans="2:50">
      <c r="B88" s="533"/>
      <c r="C88" s="281">
        <v>2</v>
      </c>
      <c r="D88" s="226" t="s">
        <v>610</v>
      </c>
      <c r="E88" s="182">
        <v>13</v>
      </c>
      <c r="F88" s="390">
        <v>1500</v>
      </c>
      <c r="G88" s="391">
        <v>115.38461538461539</v>
      </c>
      <c r="H88" s="598"/>
      <c r="I88" s="389">
        <f t="shared" si="49"/>
        <v>13.5</v>
      </c>
      <c r="J88" s="389">
        <f t="shared" si="49"/>
        <v>1483.5301587301583</v>
      </c>
      <c r="K88" s="200">
        <f t="shared" si="49"/>
        <v>110.60135836385832</v>
      </c>
      <c r="L88" s="588"/>
      <c r="M88" s="201">
        <f>RANK(K88, K$87:$K$101)</f>
        <v>2</v>
      </c>
      <c r="N88" s="544"/>
      <c r="O88" s="544"/>
      <c r="P88" s="390">
        <v>13</v>
      </c>
      <c r="Q88" s="182">
        <v>1518.0000000000005</v>
      </c>
      <c r="R88" s="391">
        <v>116.7692307692308</v>
      </c>
      <c r="S88" s="281">
        <f t="shared" ref="S88:S101" si="50">RANK(R88, R$87:R$101)</f>
        <v>1</v>
      </c>
      <c r="T88" s="534"/>
      <c r="U88" s="390">
        <v>13</v>
      </c>
      <c r="V88" s="182">
        <v>1495.9999999999993</v>
      </c>
      <c r="W88" s="391">
        <v>115.07692307692302</v>
      </c>
      <c r="X88" s="281">
        <f t="shared" ref="X88:X101" si="51">RANK(W88, W$87:W$101)</f>
        <v>2</v>
      </c>
      <c r="Y88" s="534"/>
      <c r="Z88" s="390">
        <v>16</v>
      </c>
      <c r="AA88" s="182">
        <v>1462.7999999999959</v>
      </c>
      <c r="AB88" s="391">
        <v>91.424999999999741</v>
      </c>
      <c r="AC88" s="281">
        <f t="shared" ref="AC88:AC101" si="52">RANK(AB88, AB$87:AB$101)</f>
        <v>2</v>
      </c>
      <c r="AD88" s="534"/>
      <c r="AE88" s="390">
        <v>13</v>
      </c>
      <c r="AF88" s="182">
        <v>1448</v>
      </c>
      <c r="AG88" s="391">
        <v>111.38461538461539</v>
      </c>
      <c r="AH88" s="281">
        <f t="shared" ref="AH88:AH101" si="53">RANK(AG88, AG$87:AG$101)</f>
        <v>2</v>
      </c>
      <c r="AI88" s="534"/>
      <c r="AJ88" s="390">
        <v>13</v>
      </c>
      <c r="AK88" s="182">
        <v>1525.7142857142876</v>
      </c>
      <c r="AL88" s="391">
        <v>117.36263736263751</v>
      </c>
      <c r="AM88" s="281">
        <f t="shared" ref="AM88:AM101" si="54">RANK(AL88, AL$87:AL$101)</f>
        <v>1</v>
      </c>
      <c r="AN88" s="534"/>
      <c r="AO88" s="390">
        <v>13</v>
      </c>
      <c r="AP88" s="182">
        <v>1450.6666666666665</v>
      </c>
      <c r="AQ88" s="391">
        <v>111.58974358974358</v>
      </c>
      <c r="AR88" s="281">
        <f t="shared" ref="AR88:AR101" si="55">RANK(AQ88, AQ$87:AQ$101)</f>
        <v>1</v>
      </c>
      <c r="AS88" s="534"/>
      <c r="AT88" s="390"/>
      <c r="AU88" s="182"/>
      <c r="AV88" s="391"/>
      <c r="AW88" s="281"/>
      <c r="AX88" s="534"/>
    </row>
    <row r="89" spans="2:50">
      <c r="B89" s="533"/>
      <c r="C89" s="281">
        <v>3</v>
      </c>
      <c r="D89" s="226"/>
      <c r="E89" s="182"/>
      <c r="F89" s="390"/>
      <c r="G89" s="391"/>
      <c r="H89" s="598"/>
      <c r="I89" s="199"/>
      <c r="J89" s="199"/>
      <c r="K89" s="200"/>
      <c r="L89" s="588"/>
      <c r="M89" s="201" t="e">
        <f>RANK(K89, K$87:$K$101)</f>
        <v>#N/A</v>
      </c>
      <c r="N89" s="544"/>
      <c r="O89" s="544"/>
      <c r="P89" s="390"/>
      <c r="Q89" s="390"/>
      <c r="R89" s="390"/>
      <c r="S89" s="281" t="e">
        <f t="shared" si="50"/>
        <v>#N/A</v>
      </c>
      <c r="T89" s="534"/>
      <c r="U89" s="390"/>
      <c r="V89" s="390"/>
      <c r="W89" s="390"/>
      <c r="X89" s="281" t="e">
        <f t="shared" si="51"/>
        <v>#N/A</v>
      </c>
      <c r="Y89" s="534"/>
      <c r="Z89" s="390"/>
      <c r="AA89" s="390"/>
      <c r="AB89" s="390"/>
      <c r="AC89" s="281" t="e">
        <f t="shared" si="52"/>
        <v>#N/A</v>
      </c>
      <c r="AD89" s="534"/>
      <c r="AE89" s="390"/>
      <c r="AF89" s="390"/>
      <c r="AG89" s="390"/>
      <c r="AH89" s="281" t="e">
        <f t="shared" si="53"/>
        <v>#N/A</v>
      </c>
      <c r="AI89" s="534"/>
      <c r="AJ89" s="390"/>
      <c r="AK89" s="390"/>
      <c r="AL89" s="390"/>
      <c r="AM89" s="281" t="e">
        <f t="shared" si="54"/>
        <v>#N/A</v>
      </c>
      <c r="AN89" s="534"/>
      <c r="AO89" s="390"/>
      <c r="AP89" s="390"/>
      <c r="AQ89" s="390"/>
      <c r="AR89" s="281" t="e">
        <f t="shared" si="55"/>
        <v>#N/A</v>
      </c>
      <c r="AS89" s="534"/>
      <c r="AT89" s="390"/>
      <c r="AU89" s="390"/>
      <c r="AV89" s="390"/>
      <c r="AW89" s="281"/>
      <c r="AX89" s="534"/>
    </row>
    <row r="90" spans="2:50">
      <c r="B90" s="533"/>
      <c r="C90" s="281">
        <v>4</v>
      </c>
      <c r="D90" s="226"/>
      <c r="E90" s="182"/>
      <c r="F90" s="390"/>
      <c r="G90" s="391"/>
      <c r="H90" s="598"/>
      <c r="I90" s="199"/>
      <c r="J90" s="199"/>
      <c r="K90" s="200"/>
      <c r="L90" s="588"/>
      <c r="M90" s="201" t="e">
        <f>RANK(K90, K$87:$K$101)</f>
        <v>#N/A</v>
      </c>
      <c r="N90" s="544"/>
      <c r="O90" s="544"/>
      <c r="P90" s="390"/>
      <c r="Q90" s="390"/>
      <c r="R90" s="390"/>
      <c r="S90" s="281" t="e">
        <f t="shared" si="50"/>
        <v>#N/A</v>
      </c>
      <c r="T90" s="534"/>
      <c r="U90" s="390"/>
      <c r="V90" s="390"/>
      <c r="W90" s="390"/>
      <c r="X90" s="281" t="e">
        <f t="shared" si="51"/>
        <v>#N/A</v>
      </c>
      <c r="Y90" s="534"/>
      <c r="Z90" s="390"/>
      <c r="AA90" s="390"/>
      <c r="AB90" s="390"/>
      <c r="AC90" s="281" t="e">
        <f t="shared" si="52"/>
        <v>#N/A</v>
      </c>
      <c r="AD90" s="534"/>
      <c r="AE90" s="390"/>
      <c r="AF90" s="390"/>
      <c r="AG90" s="390"/>
      <c r="AH90" s="281" t="e">
        <f t="shared" si="53"/>
        <v>#N/A</v>
      </c>
      <c r="AI90" s="534"/>
      <c r="AJ90" s="390"/>
      <c r="AK90" s="390"/>
      <c r="AL90" s="390"/>
      <c r="AM90" s="281" t="e">
        <f t="shared" si="54"/>
        <v>#N/A</v>
      </c>
      <c r="AN90" s="534"/>
      <c r="AO90" s="390"/>
      <c r="AP90" s="390"/>
      <c r="AQ90" s="390"/>
      <c r="AR90" s="281" t="e">
        <f t="shared" si="55"/>
        <v>#N/A</v>
      </c>
      <c r="AS90" s="534"/>
      <c r="AT90" s="390"/>
      <c r="AU90" s="390"/>
      <c r="AV90" s="390"/>
      <c r="AW90" s="281"/>
      <c r="AX90" s="534"/>
    </row>
    <row r="91" spans="2:50">
      <c r="B91" s="533"/>
      <c r="C91" s="281">
        <v>5</v>
      </c>
      <c r="D91" s="226"/>
      <c r="E91" s="182"/>
      <c r="F91" s="390"/>
      <c r="G91" s="391"/>
      <c r="H91" s="598"/>
      <c r="I91" s="199"/>
      <c r="J91" s="199"/>
      <c r="K91" s="200"/>
      <c r="L91" s="588"/>
      <c r="M91" s="201" t="e">
        <f>RANK(K91, K$87:$K$101)</f>
        <v>#N/A</v>
      </c>
      <c r="N91" s="544"/>
      <c r="O91" s="544"/>
      <c r="P91" s="390"/>
      <c r="Q91" s="390"/>
      <c r="R91" s="390"/>
      <c r="S91" s="281" t="e">
        <f t="shared" si="50"/>
        <v>#N/A</v>
      </c>
      <c r="T91" s="534"/>
      <c r="U91" s="390"/>
      <c r="V91" s="390"/>
      <c r="W91" s="390"/>
      <c r="X91" s="281" t="e">
        <f t="shared" si="51"/>
        <v>#N/A</v>
      </c>
      <c r="Y91" s="534"/>
      <c r="Z91" s="390"/>
      <c r="AA91" s="390"/>
      <c r="AB91" s="390"/>
      <c r="AC91" s="281" t="e">
        <f t="shared" si="52"/>
        <v>#N/A</v>
      </c>
      <c r="AD91" s="534"/>
      <c r="AE91" s="390"/>
      <c r="AF91" s="390"/>
      <c r="AG91" s="390"/>
      <c r="AH91" s="281" t="e">
        <f t="shared" si="53"/>
        <v>#N/A</v>
      </c>
      <c r="AI91" s="534"/>
      <c r="AJ91" s="390"/>
      <c r="AK91" s="390"/>
      <c r="AL91" s="390"/>
      <c r="AM91" s="281" t="e">
        <f t="shared" si="54"/>
        <v>#N/A</v>
      </c>
      <c r="AN91" s="534"/>
      <c r="AO91" s="390"/>
      <c r="AP91" s="390"/>
      <c r="AQ91" s="390"/>
      <c r="AR91" s="281" t="e">
        <f t="shared" si="55"/>
        <v>#N/A</v>
      </c>
      <c r="AS91" s="534"/>
      <c r="AT91" s="390"/>
      <c r="AU91" s="390"/>
      <c r="AV91" s="390"/>
      <c r="AW91" s="281"/>
      <c r="AX91" s="534"/>
    </row>
    <row r="92" spans="2:50">
      <c r="B92" s="533"/>
      <c r="C92" s="281">
        <v>6</v>
      </c>
      <c r="D92" s="226"/>
      <c r="E92" s="182"/>
      <c r="F92" s="390"/>
      <c r="G92" s="391"/>
      <c r="H92" s="598"/>
      <c r="I92" s="199"/>
      <c r="J92" s="199"/>
      <c r="K92" s="200"/>
      <c r="L92" s="588"/>
      <c r="M92" s="201" t="e">
        <f>RANK(K92, K$87:$K$101)</f>
        <v>#N/A</v>
      </c>
      <c r="N92" s="544"/>
      <c r="O92" s="544"/>
      <c r="P92" s="390"/>
      <c r="Q92" s="390"/>
      <c r="R92" s="390"/>
      <c r="S92" s="281" t="e">
        <f t="shared" si="50"/>
        <v>#N/A</v>
      </c>
      <c r="T92" s="534"/>
      <c r="U92" s="390"/>
      <c r="V92" s="390"/>
      <c r="W92" s="390"/>
      <c r="X92" s="281" t="e">
        <f t="shared" si="51"/>
        <v>#N/A</v>
      </c>
      <c r="Y92" s="534"/>
      <c r="Z92" s="390"/>
      <c r="AA92" s="390"/>
      <c r="AB92" s="390"/>
      <c r="AC92" s="281" t="e">
        <f t="shared" si="52"/>
        <v>#N/A</v>
      </c>
      <c r="AD92" s="534"/>
      <c r="AE92" s="390"/>
      <c r="AF92" s="390"/>
      <c r="AG92" s="390"/>
      <c r="AH92" s="281" t="e">
        <f t="shared" si="53"/>
        <v>#N/A</v>
      </c>
      <c r="AI92" s="534"/>
      <c r="AJ92" s="390"/>
      <c r="AK92" s="390"/>
      <c r="AL92" s="390"/>
      <c r="AM92" s="281" t="e">
        <f t="shared" si="54"/>
        <v>#N/A</v>
      </c>
      <c r="AN92" s="534"/>
      <c r="AO92" s="390"/>
      <c r="AP92" s="390"/>
      <c r="AQ92" s="390"/>
      <c r="AR92" s="281" t="e">
        <f t="shared" si="55"/>
        <v>#N/A</v>
      </c>
      <c r="AS92" s="534"/>
      <c r="AT92" s="390"/>
      <c r="AU92" s="390"/>
      <c r="AV92" s="390"/>
      <c r="AW92" s="281"/>
      <c r="AX92" s="534"/>
    </row>
    <row r="93" spans="2:50">
      <c r="B93" s="533"/>
      <c r="C93" s="281">
        <v>7</v>
      </c>
      <c r="D93" s="226"/>
      <c r="E93" s="182"/>
      <c r="F93" s="390"/>
      <c r="G93" s="391"/>
      <c r="H93" s="598"/>
      <c r="I93" s="199"/>
      <c r="J93" s="199"/>
      <c r="K93" s="200"/>
      <c r="L93" s="588"/>
      <c r="M93" s="201" t="e">
        <f>RANK(K93, K$87:$K$101)</f>
        <v>#N/A</v>
      </c>
      <c r="N93" s="544"/>
      <c r="O93" s="544"/>
      <c r="P93" s="390"/>
      <c r="Q93" s="390"/>
      <c r="R93" s="390"/>
      <c r="S93" s="281" t="e">
        <f t="shared" si="50"/>
        <v>#N/A</v>
      </c>
      <c r="T93" s="534"/>
      <c r="U93" s="390"/>
      <c r="V93" s="390"/>
      <c r="W93" s="390"/>
      <c r="X93" s="281" t="e">
        <f t="shared" si="51"/>
        <v>#N/A</v>
      </c>
      <c r="Y93" s="534"/>
      <c r="Z93" s="390"/>
      <c r="AA93" s="390"/>
      <c r="AB93" s="390"/>
      <c r="AC93" s="281" t="e">
        <f t="shared" si="52"/>
        <v>#N/A</v>
      </c>
      <c r="AD93" s="534"/>
      <c r="AE93" s="390"/>
      <c r="AF93" s="390"/>
      <c r="AG93" s="390"/>
      <c r="AH93" s="281" t="e">
        <f t="shared" si="53"/>
        <v>#N/A</v>
      </c>
      <c r="AI93" s="534"/>
      <c r="AJ93" s="390"/>
      <c r="AK93" s="390"/>
      <c r="AL93" s="390"/>
      <c r="AM93" s="281" t="e">
        <f t="shared" si="54"/>
        <v>#N/A</v>
      </c>
      <c r="AN93" s="534"/>
      <c r="AO93" s="390"/>
      <c r="AP93" s="390"/>
      <c r="AQ93" s="390"/>
      <c r="AR93" s="281" t="e">
        <f t="shared" si="55"/>
        <v>#N/A</v>
      </c>
      <c r="AS93" s="534"/>
      <c r="AT93" s="390"/>
      <c r="AU93" s="390"/>
      <c r="AV93" s="390"/>
      <c r="AW93" s="281"/>
      <c r="AX93" s="534"/>
    </row>
    <row r="94" spans="2:50">
      <c r="B94" s="533"/>
      <c r="C94" s="281">
        <v>8</v>
      </c>
      <c r="D94" s="226"/>
      <c r="E94" s="182"/>
      <c r="F94" s="390"/>
      <c r="G94" s="391"/>
      <c r="H94" s="598"/>
      <c r="I94" s="199"/>
      <c r="J94" s="199"/>
      <c r="K94" s="200"/>
      <c r="L94" s="588"/>
      <c r="M94" s="201" t="e">
        <f>RANK(K94, K$87:$K$101)</f>
        <v>#N/A</v>
      </c>
      <c r="N94" s="544"/>
      <c r="O94" s="544"/>
      <c r="P94" s="390"/>
      <c r="Q94" s="390"/>
      <c r="R94" s="390"/>
      <c r="S94" s="281" t="e">
        <f t="shared" si="50"/>
        <v>#N/A</v>
      </c>
      <c r="T94" s="534"/>
      <c r="U94" s="390"/>
      <c r="V94" s="390"/>
      <c r="W94" s="390"/>
      <c r="X94" s="281" t="e">
        <f t="shared" si="51"/>
        <v>#N/A</v>
      </c>
      <c r="Y94" s="534"/>
      <c r="Z94" s="390"/>
      <c r="AA94" s="390"/>
      <c r="AB94" s="390"/>
      <c r="AC94" s="281" t="e">
        <f t="shared" si="52"/>
        <v>#N/A</v>
      </c>
      <c r="AD94" s="534"/>
      <c r="AE94" s="390"/>
      <c r="AF94" s="390"/>
      <c r="AG94" s="390"/>
      <c r="AH94" s="281" t="e">
        <f t="shared" si="53"/>
        <v>#N/A</v>
      </c>
      <c r="AI94" s="534"/>
      <c r="AJ94" s="390"/>
      <c r="AK94" s="390"/>
      <c r="AL94" s="390"/>
      <c r="AM94" s="281" t="e">
        <f t="shared" si="54"/>
        <v>#N/A</v>
      </c>
      <c r="AN94" s="534"/>
      <c r="AO94" s="390"/>
      <c r="AP94" s="390"/>
      <c r="AQ94" s="390"/>
      <c r="AR94" s="281" t="e">
        <f t="shared" si="55"/>
        <v>#N/A</v>
      </c>
      <c r="AS94" s="534"/>
      <c r="AT94" s="390"/>
      <c r="AU94" s="390"/>
      <c r="AV94" s="390"/>
      <c r="AW94" s="281"/>
      <c r="AX94" s="534"/>
    </row>
    <row r="95" spans="2:50">
      <c r="B95" s="533"/>
      <c r="C95" s="281">
        <v>9</v>
      </c>
      <c r="D95" s="226"/>
      <c r="E95" s="182"/>
      <c r="F95" s="390"/>
      <c r="G95" s="391"/>
      <c r="H95" s="598"/>
      <c r="I95" s="199"/>
      <c r="J95" s="199"/>
      <c r="K95" s="200"/>
      <c r="L95" s="588"/>
      <c r="M95" s="201" t="e">
        <f>RANK(K95, K$87:$K$101)</f>
        <v>#N/A</v>
      </c>
      <c r="N95" s="544"/>
      <c r="O95" s="544"/>
      <c r="P95" s="390"/>
      <c r="Q95" s="390"/>
      <c r="R95" s="390"/>
      <c r="S95" s="281" t="e">
        <f t="shared" si="50"/>
        <v>#N/A</v>
      </c>
      <c r="T95" s="534"/>
      <c r="U95" s="390"/>
      <c r="V95" s="390"/>
      <c r="W95" s="390"/>
      <c r="X95" s="281" t="e">
        <f t="shared" si="51"/>
        <v>#N/A</v>
      </c>
      <c r="Y95" s="534"/>
      <c r="Z95" s="390"/>
      <c r="AA95" s="390"/>
      <c r="AB95" s="390"/>
      <c r="AC95" s="281" t="e">
        <f t="shared" si="52"/>
        <v>#N/A</v>
      </c>
      <c r="AD95" s="534"/>
      <c r="AE95" s="390"/>
      <c r="AF95" s="390"/>
      <c r="AG95" s="390"/>
      <c r="AH95" s="281" t="e">
        <f t="shared" si="53"/>
        <v>#N/A</v>
      </c>
      <c r="AI95" s="534"/>
      <c r="AJ95" s="390"/>
      <c r="AK95" s="390"/>
      <c r="AL95" s="390"/>
      <c r="AM95" s="281" t="e">
        <f t="shared" si="54"/>
        <v>#N/A</v>
      </c>
      <c r="AN95" s="534"/>
      <c r="AO95" s="390"/>
      <c r="AP95" s="390"/>
      <c r="AQ95" s="390"/>
      <c r="AR95" s="281" t="e">
        <f t="shared" si="55"/>
        <v>#N/A</v>
      </c>
      <c r="AS95" s="534"/>
      <c r="AT95" s="390"/>
      <c r="AU95" s="390"/>
      <c r="AV95" s="390"/>
      <c r="AW95" s="281"/>
      <c r="AX95" s="534"/>
    </row>
    <row r="96" spans="2:50">
      <c r="B96" s="533"/>
      <c r="C96" s="281">
        <v>10</v>
      </c>
      <c r="D96" s="226"/>
      <c r="E96" s="182"/>
      <c r="F96" s="390"/>
      <c r="G96" s="391"/>
      <c r="H96" s="598"/>
      <c r="I96" s="199"/>
      <c r="J96" s="199"/>
      <c r="K96" s="200"/>
      <c r="L96" s="588"/>
      <c r="M96" s="201" t="e">
        <f>RANK(K96, K$87:$K$101)</f>
        <v>#N/A</v>
      </c>
      <c r="N96" s="544"/>
      <c r="O96" s="544"/>
      <c r="P96" s="390"/>
      <c r="Q96" s="390"/>
      <c r="R96" s="390"/>
      <c r="S96" s="281" t="e">
        <f t="shared" si="50"/>
        <v>#N/A</v>
      </c>
      <c r="T96" s="534"/>
      <c r="U96" s="390"/>
      <c r="V96" s="390"/>
      <c r="W96" s="390"/>
      <c r="X96" s="281" t="e">
        <f t="shared" si="51"/>
        <v>#N/A</v>
      </c>
      <c r="Y96" s="534"/>
      <c r="Z96" s="390"/>
      <c r="AA96" s="390"/>
      <c r="AB96" s="390"/>
      <c r="AC96" s="281" t="e">
        <f t="shared" si="52"/>
        <v>#N/A</v>
      </c>
      <c r="AD96" s="534"/>
      <c r="AE96" s="390"/>
      <c r="AF96" s="390"/>
      <c r="AG96" s="390"/>
      <c r="AH96" s="281" t="e">
        <f t="shared" si="53"/>
        <v>#N/A</v>
      </c>
      <c r="AI96" s="534"/>
      <c r="AJ96" s="390"/>
      <c r="AK96" s="390"/>
      <c r="AL96" s="390"/>
      <c r="AM96" s="281" t="e">
        <f t="shared" si="54"/>
        <v>#N/A</v>
      </c>
      <c r="AN96" s="534"/>
      <c r="AO96" s="390"/>
      <c r="AP96" s="390"/>
      <c r="AQ96" s="390"/>
      <c r="AR96" s="281" t="e">
        <f t="shared" si="55"/>
        <v>#N/A</v>
      </c>
      <c r="AS96" s="534"/>
      <c r="AT96" s="390"/>
      <c r="AU96" s="390"/>
      <c r="AV96" s="390"/>
      <c r="AW96" s="281"/>
      <c r="AX96" s="534"/>
    </row>
    <row r="97" spans="2:50">
      <c r="B97" s="533"/>
      <c r="C97" s="281">
        <v>11</v>
      </c>
      <c r="D97" s="226"/>
      <c r="E97" s="182"/>
      <c r="F97" s="390"/>
      <c r="G97" s="391"/>
      <c r="H97" s="598"/>
      <c r="I97" s="202"/>
      <c r="J97" s="202"/>
      <c r="K97" s="202"/>
      <c r="L97" s="588"/>
      <c r="M97" s="201" t="e">
        <f>RANK(K97, K$87:$K$101)</f>
        <v>#N/A</v>
      </c>
      <c r="N97" s="544"/>
      <c r="O97" s="544"/>
      <c r="P97" s="390"/>
      <c r="Q97" s="390"/>
      <c r="R97" s="390"/>
      <c r="S97" s="281" t="e">
        <f t="shared" si="50"/>
        <v>#N/A</v>
      </c>
      <c r="T97" s="534"/>
      <c r="U97" s="390"/>
      <c r="V97" s="390"/>
      <c r="W97" s="390"/>
      <c r="X97" s="281" t="e">
        <f t="shared" si="51"/>
        <v>#N/A</v>
      </c>
      <c r="Y97" s="534"/>
      <c r="Z97" s="390"/>
      <c r="AA97" s="390"/>
      <c r="AB97" s="390"/>
      <c r="AC97" s="281" t="e">
        <f t="shared" si="52"/>
        <v>#N/A</v>
      </c>
      <c r="AD97" s="534"/>
      <c r="AE97" s="390"/>
      <c r="AF97" s="390"/>
      <c r="AG97" s="390"/>
      <c r="AH97" s="281" t="e">
        <f t="shared" si="53"/>
        <v>#N/A</v>
      </c>
      <c r="AI97" s="534"/>
      <c r="AJ97" s="390"/>
      <c r="AK97" s="390"/>
      <c r="AL97" s="390"/>
      <c r="AM97" s="281" t="e">
        <f t="shared" si="54"/>
        <v>#N/A</v>
      </c>
      <c r="AN97" s="534"/>
      <c r="AO97" s="390"/>
      <c r="AP97" s="390"/>
      <c r="AQ97" s="390"/>
      <c r="AR97" s="281" t="e">
        <f t="shared" si="55"/>
        <v>#N/A</v>
      </c>
      <c r="AS97" s="534"/>
      <c r="AT97" s="390"/>
      <c r="AU97" s="390"/>
      <c r="AV97" s="390"/>
      <c r="AW97" s="281"/>
      <c r="AX97" s="534"/>
    </row>
    <row r="98" spans="2:50">
      <c r="B98" s="533"/>
      <c r="C98" s="281">
        <v>12</v>
      </c>
      <c r="D98" s="226"/>
      <c r="E98" s="182"/>
      <c r="F98" s="390"/>
      <c r="G98" s="391"/>
      <c r="H98" s="598"/>
      <c r="I98" s="202"/>
      <c r="J98" s="202"/>
      <c r="K98" s="202"/>
      <c r="L98" s="588"/>
      <c r="M98" s="201" t="e">
        <f>RANK(K98, K$87:$K$101)</f>
        <v>#N/A</v>
      </c>
      <c r="N98" s="544"/>
      <c r="O98" s="544"/>
      <c r="P98" s="390"/>
      <c r="Q98" s="390"/>
      <c r="R98" s="390"/>
      <c r="S98" s="281" t="e">
        <f t="shared" si="50"/>
        <v>#N/A</v>
      </c>
      <c r="T98" s="534"/>
      <c r="U98" s="390"/>
      <c r="V98" s="390"/>
      <c r="W98" s="390"/>
      <c r="X98" s="281" t="e">
        <f t="shared" si="51"/>
        <v>#N/A</v>
      </c>
      <c r="Y98" s="534"/>
      <c r="Z98" s="390"/>
      <c r="AA98" s="390"/>
      <c r="AB98" s="390"/>
      <c r="AC98" s="281" t="e">
        <f t="shared" si="52"/>
        <v>#N/A</v>
      </c>
      <c r="AD98" s="534"/>
      <c r="AE98" s="390"/>
      <c r="AF98" s="390"/>
      <c r="AG98" s="390"/>
      <c r="AH98" s="281" t="e">
        <f t="shared" si="53"/>
        <v>#N/A</v>
      </c>
      <c r="AI98" s="534"/>
      <c r="AJ98" s="390"/>
      <c r="AK98" s="390"/>
      <c r="AL98" s="390"/>
      <c r="AM98" s="281" t="e">
        <f t="shared" si="54"/>
        <v>#N/A</v>
      </c>
      <c r="AN98" s="534"/>
      <c r="AO98" s="390"/>
      <c r="AP98" s="390"/>
      <c r="AQ98" s="390"/>
      <c r="AR98" s="281" t="e">
        <f t="shared" si="55"/>
        <v>#N/A</v>
      </c>
      <c r="AS98" s="534"/>
      <c r="AT98" s="390"/>
      <c r="AU98" s="390"/>
      <c r="AV98" s="390"/>
      <c r="AW98" s="281"/>
      <c r="AX98" s="534"/>
    </row>
    <row r="99" spans="2:50">
      <c r="B99" s="533"/>
      <c r="C99" s="281">
        <v>13</v>
      </c>
      <c r="D99" s="226"/>
      <c r="E99" s="182"/>
      <c r="F99" s="390"/>
      <c r="G99" s="391"/>
      <c r="H99" s="598"/>
      <c r="I99" s="202"/>
      <c r="J99" s="202"/>
      <c r="K99" s="202"/>
      <c r="L99" s="588"/>
      <c r="M99" s="201" t="e">
        <f>RANK(K99, K$87:$K$101)</f>
        <v>#N/A</v>
      </c>
      <c r="N99" s="544"/>
      <c r="O99" s="544"/>
      <c r="P99" s="390"/>
      <c r="Q99" s="390"/>
      <c r="R99" s="390"/>
      <c r="S99" s="281" t="e">
        <f t="shared" si="50"/>
        <v>#N/A</v>
      </c>
      <c r="T99" s="534"/>
      <c r="U99" s="390"/>
      <c r="V99" s="390"/>
      <c r="W99" s="390"/>
      <c r="X99" s="281" t="e">
        <f t="shared" si="51"/>
        <v>#N/A</v>
      </c>
      <c r="Y99" s="534"/>
      <c r="Z99" s="390"/>
      <c r="AA99" s="390"/>
      <c r="AB99" s="390"/>
      <c r="AC99" s="281" t="e">
        <f t="shared" si="52"/>
        <v>#N/A</v>
      </c>
      <c r="AD99" s="534"/>
      <c r="AE99" s="390"/>
      <c r="AF99" s="390"/>
      <c r="AG99" s="390"/>
      <c r="AH99" s="281" t="e">
        <f t="shared" si="53"/>
        <v>#N/A</v>
      </c>
      <c r="AI99" s="534"/>
      <c r="AJ99" s="390"/>
      <c r="AK99" s="390"/>
      <c r="AL99" s="390"/>
      <c r="AM99" s="281" t="e">
        <f t="shared" si="54"/>
        <v>#N/A</v>
      </c>
      <c r="AN99" s="534"/>
      <c r="AO99" s="390"/>
      <c r="AP99" s="390"/>
      <c r="AQ99" s="390"/>
      <c r="AR99" s="281" t="e">
        <f t="shared" si="55"/>
        <v>#N/A</v>
      </c>
      <c r="AS99" s="534"/>
      <c r="AT99" s="390"/>
      <c r="AU99" s="390"/>
      <c r="AV99" s="390"/>
      <c r="AW99" s="281"/>
      <c r="AX99" s="534"/>
    </row>
    <row r="100" spans="2:50">
      <c r="B100" s="533"/>
      <c r="C100" s="281">
        <v>14</v>
      </c>
      <c r="D100" s="226"/>
      <c r="E100" s="182"/>
      <c r="F100" s="390"/>
      <c r="G100" s="391"/>
      <c r="H100" s="598"/>
      <c r="I100" s="202"/>
      <c r="J100" s="202"/>
      <c r="K100" s="202"/>
      <c r="L100" s="588"/>
      <c r="M100" s="201" t="e">
        <f>RANK(K100, K$87:$K$101)</f>
        <v>#N/A</v>
      </c>
      <c r="N100" s="544"/>
      <c r="O100" s="544"/>
      <c r="P100" s="390"/>
      <c r="Q100" s="390"/>
      <c r="R100" s="390"/>
      <c r="S100" s="281" t="e">
        <f t="shared" si="50"/>
        <v>#N/A</v>
      </c>
      <c r="T100" s="534"/>
      <c r="U100" s="390"/>
      <c r="V100" s="390"/>
      <c r="W100" s="390"/>
      <c r="X100" s="281" t="e">
        <f t="shared" si="51"/>
        <v>#N/A</v>
      </c>
      <c r="Y100" s="534"/>
      <c r="Z100" s="390"/>
      <c r="AA100" s="390"/>
      <c r="AB100" s="390"/>
      <c r="AC100" s="281" t="e">
        <f t="shared" si="52"/>
        <v>#N/A</v>
      </c>
      <c r="AD100" s="534"/>
      <c r="AE100" s="390"/>
      <c r="AF100" s="390"/>
      <c r="AG100" s="390"/>
      <c r="AH100" s="281" t="e">
        <f t="shared" si="53"/>
        <v>#N/A</v>
      </c>
      <c r="AI100" s="534"/>
      <c r="AJ100" s="390"/>
      <c r="AK100" s="390"/>
      <c r="AL100" s="390"/>
      <c r="AM100" s="281" t="e">
        <f t="shared" si="54"/>
        <v>#N/A</v>
      </c>
      <c r="AN100" s="534"/>
      <c r="AO100" s="390"/>
      <c r="AP100" s="390"/>
      <c r="AQ100" s="390"/>
      <c r="AR100" s="281" t="e">
        <f t="shared" si="55"/>
        <v>#N/A</v>
      </c>
      <c r="AS100" s="534"/>
      <c r="AT100" s="390"/>
      <c r="AU100" s="390"/>
      <c r="AV100" s="390"/>
      <c r="AW100" s="281"/>
      <c r="AX100" s="534"/>
    </row>
    <row r="101" spans="2:50">
      <c r="B101" s="533"/>
      <c r="C101" s="281">
        <v>15</v>
      </c>
      <c r="D101" s="226"/>
      <c r="E101" s="182"/>
      <c r="F101" s="390"/>
      <c r="G101" s="391"/>
      <c r="H101" s="599"/>
      <c r="I101" s="202"/>
      <c r="J101" s="202"/>
      <c r="K101" s="202"/>
      <c r="L101" s="589"/>
      <c r="M101" s="199" t="e">
        <f>RANK(K101, K$87:$K$101)</f>
        <v>#N/A</v>
      </c>
      <c r="N101" s="544"/>
      <c r="O101" s="544"/>
      <c r="P101" s="390"/>
      <c r="Q101" s="390"/>
      <c r="R101" s="390"/>
      <c r="S101" s="281" t="e">
        <f t="shared" si="50"/>
        <v>#N/A</v>
      </c>
      <c r="T101" s="534"/>
      <c r="U101" s="390"/>
      <c r="V101" s="390"/>
      <c r="W101" s="390"/>
      <c r="X101" s="281" t="e">
        <f t="shared" si="51"/>
        <v>#N/A</v>
      </c>
      <c r="Y101" s="534"/>
      <c r="Z101" s="390"/>
      <c r="AA101" s="390"/>
      <c r="AB101" s="390"/>
      <c r="AC101" s="281" t="e">
        <f t="shared" si="52"/>
        <v>#N/A</v>
      </c>
      <c r="AD101" s="534"/>
      <c r="AE101" s="390"/>
      <c r="AF101" s="390"/>
      <c r="AG101" s="390"/>
      <c r="AH101" s="281" t="e">
        <f t="shared" si="53"/>
        <v>#N/A</v>
      </c>
      <c r="AI101" s="534"/>
      <c r="AJ101" s="390"/>
      <c r="AK101" s="390"/>
      <c r="AL101" s="390"/>
      <c r="AM101" s="281" t="e">
        <f t="shared" si="54"/>
        <v>#N/A</v>
      </c>
      <c r="AN101" s="534"/>
      <c r="AO101" s="390"/>
      <c r="AP101" s="390"/>
      <c r="AQ101" s="390"/>
      <c r="AR101" s="281" t="e">
        <f t="shared" si="55"/>
        <v>#N/A</v>
      </c>
      <c r="AS101" s="534"/>
      <c r="AT101" s="390"/>
      <c r="AU101" s="390"/>
      <c r="AV101" s="390"/>
      <c r="AW101" s="281"/>
      <c r="AX101" s="534"/>
    </row>
    <row r="102" spans="2:50" ht="15.5">
      <c r="B102" s="555" t="s">
        <v>163</v>
      </c>
      <c r="C102" s="556"/>
      <c r="D102" s="556"/>
      <c r="E102" s="556"/>
      <c r="F102" s="556"/>
      <c r="G102" s="556"/>
      <c r="H102" s="557"/>
      <c r="I102" s="208"/>
      <c r="J102" s="208"/>
      <c r="K102" s="208"/>
      <c r="L102" s="208"/>
      <c r="M102" s="207"/>
      <c r="N102" s="559" t="s">
        <v>156</v>
      </c>
      <c r="O102" s="559" t="s">
        <v>105</v>
      </c>
      <c r="P102" s="554">
        <f>P82+7</f>
        <v>46021</v>
      </c>
      <c r="Q102" s="533"/>
      <c r="R102" s="533"/>
      <c r="S102" s="533"/>
      <c r="T102" s="533"/>
      <c r="U102" s="551">
        <f>P102+1</f>
        <v>46022</v>
      </c>
      <c r="V102" s="552"/>
      <c r="W102" s="552"/>
      <c r="X102" s="552"/>
      <c r="Y102" s="553"/>
      <c r="Z102" s="551">
        <f>U102+1</f>
        <v>46023</v>
      </c>
      <c r="AA102" s="552"/>
      <c r="AB102" s="552"/>
      <c r="AC102" s="552"/>
      <c r="AD102" s="553"/>
      <c r="AE102" s="551">
        <f>Z102+1</f>
        <v>46024</v>
      </c>
      <c r="AF102" s="552"/>
      <c r="AG102" s="552"/>
      <c r="AH102" s="552"/>
      <c r="AI102" s="553"/>
      <c r="AJ102" s="551">
        <f>AE102+1</f>
        <v>46025</v>
      </c>
      <c r="AK102" s="552"/>
      <c r="AL102" s="552"/>
      <c r="AM102" s="552"/>
      <c r="AN102" s="553"/>
      <c r="AO102" s="551">
        <f>AJ102+1</f>
        <v>46026</v>
      </c>
      <c r="AP102" s="552"/>
      <c r="AQ102" s="552"/>
      <c r="AR102" s="552"/>
      <c r="AS102" s="553"/>
      <c r="AT102" s="551">
        <f>AO102+1</f>
        <v>46027</v>
      </c>
      <c r="AU102" s="552"/>
      <c r="AV102" s="552"/>
      <c r="AW102" s="552"/>
      <c r="AX102" s="553"/>
    </row>
    <row r="103" spans="2:50" ht="15.5">
      <c r="B103" s="558"/>
      <c r="C103" s="558"/>
      <c r="D103" s="558"/>
      <c r="E103" s="558"/>
      <c r="F103" s="558"/>
      <c r="G103" s="558"/>
      <c r="H103" s="558"/>
      <c r="I103" s="205"/>
      <c r="J103" s="205"/>
      <c r="K103" s="205"/>
      <c r="L103" s="205"/>
      <c r="M103" s="206"/>
      <c r="N103" s="560"/>
      <c r="O103" s="560"/>
      <c r="P103" s="554" t="s">
        <v>158</v>
      </c>
      <c r="Q103" s="533"/>
      <c r="R103" s="533"/>
      <c r="S103" s="533"/>
      <c r="T103" s="533"/>
      <c r="U103" s="554" t="s">
        <v>114</v>
      </c>
      <c r="V103" s="533"/>
      <c r="W103" s="533"/>
      <c r="X103" s="533"/>
      <c r="Y103" s="533"/>
      <c r="Z103" s="554" t="s">
        <v>159</v>
      </c>
      <c r="AA103" s="533"/>
      <c r="AB103" s="533"/>
      <c r="AC103" s="533"/>
      <c r="AD103" s="533"/>
      <c r="AE103" s="554" t="s">
        <v>157</v>
      </c>
      <c r="AF103" s="533"/>
      <c r="AG103" s="533"/>
      <c r="AH103" s="533"/>
      <c r="AI103" s="533"/>
      <c r="AJ103" s="554" t="s">
        <v>160</v>
      </c>
      <c r="AK103" s="533"/>
      <c r="AL103" s="533"/>
      <c r="AM103" s="533"/>
      <c r="AN103" s="533"/>
      <c r="AO103" s="554" t="s">
        <v>115</v>
      </c>
      <c r="AP103" s="533"/>
      <c r="AQ103" s="533"/>
      <c r="AR103" s="533"/>
      <c r="AS103" s="533"/>
      <c r="AT103" s="554" t="s">
        <v>162</v>
      </c>
      <c r="AU103" s="533"/>
      <c r="AV103" s="533"/>
      <c r="AW103" s="533"/>
      <c r="AX103" s="533"/>
    </row>
    <row r="104" spans="2:50">
      <c r="B104" s="544" t="s">
        <v>154</v>
      </c>
      <c r="C104" s="544" t="s">
        <v>434</v>
      </c>
      <c r="D104" s="544"/>
      <c r="E104" s="544" t="s">
        <v>425</v>
      </c>
      <c r="F104" s="544"/>
      <c r="G104" s="544"/>
      <c r="H104" s="561" t="s">
        <v>421</v>
      </c>
      <c r="I104" s="583" t="s">
        <v>426</v>
      </c>
      <c r="J104" s="583"/>
      <c r="K104" s="583"/>
      <c r="L104" s="584" t="s">
        <v>421</v>
      </c>
      <c r="M104" s="567" t="s">
        <v>422</v>
      </c>
      <c r="N104" s="544"/>
      <c r="O104" s="544" t="s">
        <v>427</v>
      </c>
      <c r="P104" s="548" t="s">
        <v>423</v>
      </c>
      <c r="Q104" s="549"/>
      <c r="R104" s="549"/>
      <c r="S104" s="550"/>
      <c r="T104" s="544" t="s">
        <v>421</v>
      </c>
      <c r="U104" s="548" t="s">
        <v>423</v>
      </c>
      <c r="V104" s="549"/>
      <c r="W104" s="549"/>
      <c r="X104" s="550"/>
      <c r="Y104" s="544" t="s">
        <v>421</v>
      </c>
      <c r="Z104" s="548" t="s">
        <v>423</v>
      </c>
      <c r="AA104" s="549"/>
      <c r="AB104" s="549"/>
      <c r="AC104" s="550"/>
      <c r="AD104" s="544" t="s">
        <v>421</v>
      </c>
      <c r="AE104" s="548" t="s">
        <v>423</v>
      </c>
      <c r="AF104" s="549"/>
      <c r="AG104" s="549"/>
      <c r="AH104" s="550"/>
      <c r="AI104" s="544" t="s">
        <v>421</v>
      </c>
      <c r="AJ104" s="548" t="s">
        <v>423</v>
      </c>
      <c r="AK104" s="549"/>
      <c r="AL104" s="549"/>
      <c r="AM104" s="550"/>
      <c r="AN104" s="544" t="s">
        <v>421</v>
      </c>
      <c r="AO104" s="548" t="s">
        <v>423</v>
      </c>
      <c r="AP104" s="549"/>
      <c r="AQ104" s="549"/>
      <c r="AR104" s="550"/>
      <c r="AS104" s="544" t="s">
        <v>421</v>
      </c>
      <c r="AT104" s="548" t="s">
        <v>423</v>
      </c>
      <c r="AU104" s="549"/>
      <c r="AV104" s="549"/>
      <c r="AW104" s="550"/>
      <c r="AX104" s="544" t="s">
        <v>421</v>
      </c>
    </row>
    <row r="105" spans="2:50">
      <c r="B105" s="544"/>
      <c r="C105" s="544"/>
      <c r="D105" s="544"/>
      <c r="E105" s="544" t="s">
        <v>428</v>
      </c>
      <c r="F105" s="544"/>
      <c r="G105" s="544"/>
      <c r="H105" s="562"/>
      <c r="I105" s="583" t="s">
        <v>428</v>
      </c>
      <c r="J105" s="583"/>
      <c r="K105" s="583"/>
      <c r="L105" s="585"/>
      <c r="M105" s="568"/>
      <c r="N105" s="544"/>
      <c r="O105" s="544"/>
      <c r="P105" s="548" t="s">
        <v>429</v>
      </c>
      <c r="Q105" s="549"/>
      <c r="R105" s="549"/>
      <c r="S105" s="550"/>
      <c r="T105" s="544"/>
      <c r="U105" s="548" t="s">
        <v>429</v>
      </c>
      <c r="V105" s="549"/>
      <c r="W105" s="549"/>
      <c r="X105" s="550"/>
      <c r="Y105" s="544"/>
      <c r="Z105" s="548" t="s">
        <v>429</v>
      </c>
      <c r="AA105" s="549"/>
      <c r="AB105" s="549"/>
      <c r="AC105" s="550"/>
      <c r="AD105" s="544"/>
      <c r="AE105" s="548" t="s">
        <v>429</v>
      </c>
      <c r="AF105" s="549"/>
      <c r="AG105" s="549"/>
      <c r="AH105" s="550"/>
      <c r="AI105" s="544"/>
      <c r="AJ105" s="548" t="s">
        <v>429</v>
      </c>
      <c r="AK105" s="549"/>
      <c r="AL105" s="549"/>
      <c r="AM105" s="550"/>
      <c r="AN105" s="544"/>
      <c r="AO105" s="548" t="s">
        <v>429</v>
      </c>
      <c r="AP105" s="549"/>
      <c r="AQ105" s="549"/>
      <c r="AR105" s="550"/>
      <c r="AS105" s="544"/>
      <c r="AT105" s="548" t="s">
        <v>429</v>
      </c>
      <c r="AU105" s="549"/>
      <c r="AV105" s="549"/>
      <c r="AW105" s="550"/>
      <c r="AX105" s="544"/>
    </row>
    <row r="106" spans="2:50">
      <c r="B106" s="544"/>
      <c r="C106" s="544"/>
      <c r="D106" s="544"/>
      <c r="E106" s="305" t="s">
        <v>430</v>
      </c>
      <c r="F106" s="305" t="s">
        <v>431</v>
      </c>
      <c r="G106" s="305" t="s">
        <v>432</v>
      </c>
      <c r="H106" s="563"/>
      <c r="I106" s="306" t="s">
        <v>430</v>
      </c>
      <c r="J106" s="306" t="s">
        <v>431</v>
      </c>
      <c r="K106" s="306" t="s">
        <v>432</v>
      </c>
      <c r="L106" s="586"/>
      <c r="M106" s="569"/>
      <c r="N106" s="544"/>
      <c r="O106" s="544"/>
      <c r="P106" s="305" t="s">
        <v>430</v>
      </c>
      <c r="Q106" s="305" t="s">
        <v>431</v>
      </c>
      <c r="R106" s="305" t="s">
        <v>432</v>
      </c>
      <c r="S106" s="305" t="s">
        <v>422</v>
      </c>
      <c r="T106" s="544"/>
      <c r="U106" s="305" t="s">
        <v>430</v>
      </c>
      <c r="V106" s="305" t="s">
        <v>431</v>
      </c>
      <c r="W106" s="305" t="s">
        <v>432</v>
      </c>
      <c r="X106" s="305" t="s">
        <v>422</v>
      </c>
      <c r="Y106" s="544"/>
      <c r="Z106" s="305" t="s">
        <v>430</v>
      </c>
      <c r="AA106" s="305" t="s">
        <v>431</v>
      </c>
      <c r="AB106" s="305" t="s">
        <v>432</v>
      </c>
      <c r="AC106" s="305" t="s">
        <v>422</v>
      </c>
      <c r="AD106" s="544"/>
      <c r="AE106" s="305" t="s">
        <v>430</v>
      </c>
      <c r="AF106" s="305" t="s">
        <v>431</v>
      </c>
      <c r="AG106" s="305" t="s">
        <v>432</v>
      </c>
      <c r="AH106" s="305" t="s">
        <v>422</v>
      </c>
      <c r="AI106" s="544"/>
      <c r="AJ106" s="305" t="s">
        <v>430</v>
      </c>
      <c r="AK106" s="305" t="s">
        <v>431</v>
      </c>
      <c r="AL106" s="305" t="s">
        <v>432</v>
      </c>
      <c r="AM106" s="305" t="s">
        <v>422</v>
      </c>
      <c r="AN106" s="544"/>
      <c r="AO106" s="305" t="s">
        <v>430</v>
      </c>
      <c r="AP106" s="305" t="s">
        <v>431</v>
      </c>
      <c r="AQ106" s="305" t="s">
        <v>432</v>
      </c>
      <c r="AR106" s="305" t="s">
        <v>422</v>
      </c>
      <c r="AS106" s="544"/>
      <c r="AT106" s="305" t="s">
        <v>430</v>
      </c>
      <c r="AU106" s="305" t="s">
        <v>431</v>
      </c>
      <c r="AV106" s="305" t="s">
        <v>432</v>
      </c>
      <c r="AW106" s="305" t="s">
        <v>422</v>
      </c>
      <c r="AX106" s="544"/>
    </row>
    <row r="107" spans="2:50">
      <c r="B107" s="544" t="s">
        <v>435</v>
      </c>
      <c r="C107" s="304">
        <v>1</v>
      </c>
      <c r="D107" s="226"/>
      <c r="E107" s="182"/>
      <c r="F107" s="304"/>
      <c r="G107" s="307"/>
      <c r="H107" s="597" t="e">
        <f>AVERAGE(G107:G121)</f>
        <v>#DIV/0!</v>
      </c>
      <c r="I107" s="199" t="e">
        <f t="shared" ref="I107:K108" si="56">AVERAGE(P107,U107,Z107,AE107,AJ107,AO107,AT107)</f>
        <v>#DIV/0!</v>
      </c>
      <c r="J107" s="199" t="e">
        <f t="shared" si="56"/>
        <v>#DIV/0!</v>
      </c>
      <c r="K107" s="200" t="e">
        <f t="shared" si="56"/>
        <v>#DIV/0!</v>
      </c>
      <c r="L107" s="587" t="str">
        <f>IFERROR(AVERAGE(K107:K121),"-")</f>
        <v>-</v>
      </c>
      <c r="M107" s="201" t="e">
        <f>RANK(K107, K$87:$K$101)</f>
        <v>#DIV/0!</v>
      </c>
      <c r="N107" s="544"/>
      <c r="O107" s="544"/>
      <c r="P107" s="182"/>
      <c r="Q107" s="182"/>
      <c r="R107" s="307"/>
      <c r="S107" s="304" t="e">
        <f>RANK(R107, R$107:R$121)</f>
        <v>#N/A</v>
      </c>
      <c r="T107" s="534" t="e">
        <f>AVERAGE(R107:R121)</f>
        <v>#DIV/0!</v>
      </c>
      <c r="U107" s="182"/>
      <c r="V107" s="182"/>
      <c r="W107" s="319"/>
      <c r="X107" s="315" t="e">
        <f>RANK(W107, W$107:W$121)</f>
        <v>#N/A</v>
      </c>
      <c r="Y107" s="534" t="e">
        <f>AVERAGE(W107:W121)</f>
        <v>#DIV/0!</v>
      </c>
      <c r="Z107" s="182"/>
      <c r="AA107" s="182"/>
      <c r="AB107" s="319"/>
      <c r="AC107" s="315" t="e">
        <f>RANK(AB107, AB$107:AB$121)</f>
        <v>#N/A</v>
      </c>
      <c r="AD107" s="534" t="e">
        <f>AVERAGE(AB107:AB121)</f>
        <v>#DIV/0!</v>
      </c>
      <c r="AE107" s="182"/>
      <c r="AF107" s="182"/>
      <c r="AG107" s="319"/>
      <c r="AH107" s="315" t="e">
        <f>RANK(AG107, AG$107:AG$121)</f>
        <v>#N/A</v>
      </c>
      <c r="AI107" s="534" t="e">
        <f>AVERAGE(AG107:AG121)</f>
        <v>#DIV/0!</v>
      </c>
      <c r="AJ107" s="182"/>
      <c r="AK107" s="182"/>
      <c r="AL107" s="319"/>
      <c r="AM107" s="315" t="e">
        <f>RANK(AL107, AL$107:AL$121)</f>
        <v>#N/A</v>
      </c>
      <c r="AN107" s="534" t="e">
        <f>AVERAGE(AL107:AL121)</f>
        <v>#DIV/0!</v>
      </c>
      <c r="AO107" s="182"/>
      <c r="AP107" s="182"/>
      <c r="AQ107" s="319"/>
      <c r="AR107" s="315" t="e">
        <f>RANK(AQ107, AQ$107:AQ$121)</f>
        <v>#N/A</v>
      </c>
      <c r="AS107" s="534" t="e">
        <f>AVERAGE(AQ107:AQ121)</f>
        <v>#DIV/0!</v>
      </c>
      <c r="AT107" s="182"/>
      <c r="AU107" s="182"/>
      <c r="AV107" s="319"/>
      <c r="AW107" s="315" t="e">
        <f>RANK(AV107, AV$107:AV$121)</f>
        <v>#N/A</v>
      </c>
      <c r="AX107" s="534" t="e">
        <f>AVERAGE(AV107:AV121)</f>
        <v>#DIV/0!</v>
      </c>
    </row>
    <row r="108" spans="2:50">
      <c r="B108" s="533"/>
      <c r="C108" s="304">
        <v>2</v>
      </c>
      <c r="D108" s="226"/>
      <c r="E108" s="182"/>
      <c r="F108" s="304"/>
      <c r="G108" s="307"/>
      <c r="H108" s="598"/>
      <c r="I108" s="317" t="e">
        <f t="shared" si="56"/>
        <v>#DIV/0!</v>
      </c>
      <c r="J108" s="317" t="e">
        <f t="shared" si="56"/>
        <v>#DIV/0!</v>
      </c>
      <c r="K108" s="200" t="e">
        <f t="shared" si="56"/>
        <v>#DIV/0!</v>
      </c>
      <c r="L108" s="588"/>
      <c r="M108" s="201" t="e">
        <f>RANK(K108, K$87:$K$101)</f>
        <v>#DIV/0!</v>
      </c>
      <c r="N108" s="544"/>
      <c r="O108" s="544"/>
      <c r="P108" s="304"/>
      <c r="Q108" s="182"/>
      <c r="R108" s="316"/>
      <c r="S108" s="315" t="e">
        <f t="shared" ref="S108:S121" si="57">RANK(R108, R$107:R$121)</f>
        <v>#N/A</v>
      </c>
      <c r="T108" s="534"/>
      <c r="U108" s="318"/>
      <c r="V108" s="182"/>
      <c r="W108" s="319"/>
      <c r="X108" s="315" t="e">
        <f t="shared" ref="X108:X121" si="58">RANK(W108, W$107:W$121)</f>
        <v>#N/A</v>
      </c>
      <c r="Y108" s="534"/>
      <c r="Z108" s="318"/>
      <c r="AA108" s="182"/>
      <c r="AB108" s="319"/>
      <c r="AC108" s="315" t="e">
        <f t="shared" ref="AC108:AC121" si="59">RANK(AB108, AB$107:AB$121)</f>
        <v>#N/A</v>
      </c>
      <c r="AD108" s="534"/>
      <c r="AE108" s="318"/>
      <c r="AF108" s="182"/>
      <c r="AG108" s="319"/>
      <c r="AH108" s="315" t="e">
        <f t="shared" ref="AH108:AH121" si="60">RANK(AG108, AG$107:AG$121)</f>
        <v>#N/A</v>
      </c>
      <c r="AI108" s="534"/>
      <c r="AJ108" s="318"/>
      <c r="AK108" s="182"/>
      <c r="AL108" s="319"/>
      <c r="AM108" s="315" t="e">
        <f t="shared" ref="AM108:AM121" si="61">RANK(AL108, AL$107:AL$121)</f>
        <v>#N/A</v>
      </c>
      <c r="AN108" s="534"/>
      <c r="AO108" s="318"/>
      <c r="AP108" s="182"/>
      <c r="AQ108" s="319"/>
      <c r="AR108" s="315" t="e">
        <f t="shared" ref="AR108:AR121" si="62">RANK(AQ108, AQ$107:AQ$121)</f>
        <v>#N/A</v>
      </c>
      <c r="AS108" s="534"/>
      <c r="AT108" s="318"/>
      <c r="AU108" s="182"/>
      <c r="AV108" s="319"/>
      <c r="AW108" s="315" t="e">
        <f t="shared" ref="AW108:AW121" si="63">RANK(AV108, AV$107:AV$121)</f>
        <v>#N/A</v>
      </c>
      <c r="AX108" s="534"/>
    </row>
    <row r="109" spans="2:50">
      <c r="B109" s="533"/>
      <c r="C109" s="304">
        <v>3</v>
      </c>
      <c r="D109" s="226"/>
      <c r="E109" s="182"/>
      <c r="F109" s="304"/>
      <c r="G109" s="307"/>
      <c r="H109" s="598"/>
      <c r="I109" s="199"/>
      <c r="J109" s="199"/>
      <c r="K109" s="200"/>
      <c r="L109" s="588"/>
      <c r="M109" s="201" t="e">
        <f>RANK(K109, K$87:$K$101)</f>
        <v>#N/A</v>
      </c>
      <c r="N109" s="544"/>
      <c r="O109" s="544"/>
      <c r="P109" s="304"/>
      <c r="Q109" s="304"/>
      <c r="R109" s="304"/>
      <c r="S109" s="315" t="e">
        <f t="shared" si="57"/>
        <v>#N/A</v>
      </c>
      <c r="T109" s="534"/>
      <c r="U109" s="318"/>
      <c r="V109" s="318"/>
      <c r="W109" s="318"/>
      <c r="X109" s="315" t="e">
        <f t="shared" si="58"/>
        <v>#N/A</v>
      </c>
      <c r="Y109" s="534"/>
      <c r="Z109" s="318"/>
      <c r="AA109" s="318"/>
      <c r="AB109" s="318"/>
      <c r="AC109" s="315" t="e">
        <f t="shared" si="59"/>
        <v>#N/A</v>
      </c>
      <c r="AD109" s="534"/>
      <c r="AE109" s="318"/>
      <c r="AF109" s="318"/>
      <c r="AG109" s="318"/>
      <c r="AH109" s="315" t="e">
        <f t="shared" si="60"/>
        <v>#N/A</v>
      </c>
      <c r="AI109" s="534"/>
      <c r="AJ109" s="318"/>
      <c r="AK109" s="318"/>
      <c r="AL109" s="318"/>
      <c r="AM109" s="315" t="e">
        <f t="shared" si="61"/>
        <v>#N/A</v>
      </c>
      <c r="AN109" s="534"/>
      <c r="AO109" s="318"/>
      <c r="AP109" s="318"/>
      <c r="AQ109" s="318"/>
      <c r="AR109" s="315" t="e">
        <f t="shared" si="62"/>
        <v>#N/A</v>
      </c>
      <c r="AS109" s="534"/>
      <c r="AT109" s="318"/>
      <c r="AU109" s="318"/>
      <c r="AV109" s="318"/>
      <c r="AW109" s="315" t="e">
        <f t="shared" si="63"/>
        <v>#N/A</v>
      </c>
      <c r="AX109" s="534"/>
    </row>
    <row r="110" spans="2:50">
      <c r="B110" s="533"/>
      <c r="C110" s="304">
        <v>4</v>
      </c>
      <c r="D110" s="226"/>
      <c r="E110" s="182"/>
      <c r="F110" s="304"/>
      <c r="G110" s="307"/>
      <c r="H110" s="598"/>
      <c r="I110" s="199"/>
      <c r="J110" s="199"/>
      <c r="K110" s="200"/>
      <c r="L110" s="588"/>
      <c r="M110" s="201" t="e">
        <f>RANK(K110, K$87:$K$101)</f>
        <v>#N/A</v>
      </c>
      <c r="N110" s="544"/>
      <c r="O110" s="544"/>
      <c r="P110" s="304"/>
      <c r="Q110" s="304"/>
      <c r="R110" s="304"/>
      <c r="S110" s="315" t="e">
        <f t="shared" si="57"/>
        <v>#N/A</v>
      </c>
      <c r="T110" s="534"/>
      <c r="U110" s="318"/>
      <c r="V110" s="318"/>
      <c r="W110" s="318"/>
      <c r="X110" s="315" t="e">
        <f t="shared" si="58"/>
        <v>#N/A</v>
      </c>
      <c r="Y110" s="534"/>
      <c r="Z110" s="318"/>
      <c r="AA110" s="318"/>
      <c r="AB110" s="318"/>
      <c r="AC110" s="315" t="e">
        <f t="shared" si="59"/>
        <v>#N/A</v>
      </c>
      <c r="AD110" s="534"/>
      <c r="AE110" s="318"/>
      <c r="AF110" s="318"/>
      <c r="AG110" s="318"/>
      <c r="AH110" s="315" t="e">
        <f t="shared" si="60"/>
        <v>#N/A</v>
      </c>
      <c r="AI110" s="534"/>
      <c r="AJ110" s="318"/>
      <c r="AK110" s="318"/>
      <c r="AL110" s="318"/>
      <c r="AM110" s="315" t="e">
        <f t="shared" si="61"/>
        <v>#N/A</v>
      </c>
      <c r="AN110" s="534"/>
      <c r="AO110" s="318"/>
      <c r="AP110" s="318"/>
      <c r="AQ110" s="318"/>
      <c r="AR110" s="315" t="e">
        <f t="shared" si="62"/>
        <v>#N/A</v>
      </c>
      <c r="AS110" s="534"/>
      <c r="AT110" s="318"/>
      <c r="AU110" s="318"/>
      <c r="AV110" s="318"/>
      <c r="AW110" s="315" t="e">
        <f t="shared" si="63"/>
        <v>#N/A</v>
      </c>
      <c r="AX110" s="534"/>
    </row>
    <row r="111" spans="2:50">
      <c r="B111" s="533"/>
      <c r="C111" s="304">
        <v>5</v>
      </c>
      <c r="D111" s="226"/>
      <c r="E111" s="182"/>
      <c r="F111" s="304"/>
      <c r="G111" s="307"/>
      <c r="H111" s="598"/>
      <c r="I111" s="199"/>
      <c r="J111" s="199"/>
      <c r="K111" s="200"/>
      <c r="L111" s="588"/>
      <c r="M111" s="201" t="e">
        <f>RANK(K111, K$87:$K$101)</f>
        <v>#N/A</v>
      </c>
      <c r="N111" s="544"/>
      <c r="O111" s="544"/>
      <c r="P111" s="304"/>
      <c r="Q111" s="304"/>
      <c r="R111" s="304"/>
      <c r="S111" s="315" t="e">
        <f t="shared" si="57"/>
        <v>#N/A</v>
      </c>
      <c r="T111" s="534"/>
      <c r="U111" s="318"/>
      <c r="V111" s="318"/>
      <c r="W111" s="318"/>
      <c r="X111" s="315" t="e">
        <f t="shared" si="58"/>
        <v>#N/A</v>
      </c>
      <c r="Y111" s="534"/>
      <c r="Z111" s="318"/>
      <c r="AA111" s="318"/>
      <c r="AB111" s="318"/>
      <c r="AC111" s="315" t="e">
        <f t="shared" si="59"/>
        <v>#N/A</v>
      </c>
      <c r="AD111" s="534"/>
      <c r="AE111" s="318"/>
      <c r="AF111" s="318"/>
      <c r="AG111" s="318"/>
      <c r="AH111" s="315" t="e">
        <f t="shared" si="60"/>
        <v>#N/A</v>
      </c>
      <c r="AI111" s="534"/>
      <c r="AJ111" s="318"/>
      <c r="AK111" s="318"/>
      <c r="AL111" s="318"/>
      <c r="AM111" s="315" t="e">
        <f t="shared" si="61"/>
        <v>#N/A</v>
      </c>
      <c r="AN111" s="534"/>
      <c r="AO111" s="318"/>
      <c r="AP111" s="318"/>
      <c r="AQ111" s="318"/>
      <c r="AR111" s="315" t="e">
        <f t="shared" si="62"/>
        <v>#N/A</v>
      </c>
      <c r="AS111" s="534"/>
      <c r="AT111" s="318"/>
      <c r="AU111" s="318"/>
      <c r="AV111" s="318"/>
      <c r="AW111" s="315" t="e">
        <f t="shared" si="63"/>
        <v>#N/A</v>
      </c>
      <c r="AX111" s="534"/>
    </row>
    <row r="112" spans="2:50">
      <c r="B112" s="533"/>
      <c r="C112" s="304">
        <v>6</v>
      </c>
      <c r="D112" s="226"/>
      <c r="E112" s="182"/>
      <c r="F112" s="304"/>
      <c r="G112" s="307"/>
      <c r="H112" s="598"/>
      <c r="I112" s="199"/>
      <c r="J112" s="199"/>
      <c r="K112" s="200"/>
      <c r="L112" s="588"/>
      <c r="M112" s="201" t="e">
        <f>RANK(K112, K$87:$K$101)</f>
        <v>#N/A</v>
      </c>
      <c r="N112" s="544"/>
      <c r="O112" s="544"/>
      <c r="P112" s="304"/>
      <c r="Q112" s="304"/>
      <c r="R112" s="304"/>
      <c r="S112" s="315" t="e">
        <f t="shared" si="57"/>
        <v>#N/A</v>
      </c>
      <c r="T112" s="534"/>
      <c r="U112" s="318"/>
      <c r="V112" s="318"/>
      <c r="W112" s="318"/>
      <c r="X112" s="315" t="e">
        <f t="shared" si="58"/>
        <v>#N/A</v>
      </c>
      <c r="Y112" s="534"/>
      <c r="Z112" s="318"/>
      <c r="AA112" s="318"/>
      <c r="AB112" s="318"/>
      <c r="AC112" s="315" t="e">
        <f t="shared" si="59"/>
        <v>#N/A</v>
      </c>
      <c r="AD112" s="534"/>
      <c r="AE112" s="318"/>
      <c r="AF112" s="318"/>
      <c r="AG112" s="318"/>
      <c r="AH112" s="315" t="e">
        <f t="shared" si="60"/>
        <v>#N/A</v>
      </c>
      <c r="AI112" s="534"/>
      <c r="AJ112" s="318"/>
      <c r="AK112" s="318"/>
      <c r="AL112" s="318"/>
      <c r="AM112" s="315" t="e">
        <f t="shared" si="61"/>
        <v>#N/A</v>
      </c>
      <c r="AN112" s="534"/>
      <c r="AO112" s="318"/>
      <c r="AP112" s="318"/>
      <c r="AQ112" s="318"/>
      <c r="AR112" s="315" t="e">
        <f t="shared" si="62"/>
        <v>#N/A</v>
      </c>
      <c r="AS112" s="534"/>
      <c r="AT112" s="318"/>
      <c r="AU112" s="318"/>
      <c r="AV112" s="318"/>
      <c r="AW112" s="315" t="e">
        <f t="shared" si="63"/>
        <v>#N/A</v>
      </c>
      <c r="AX112" s="534"/>
    </row>
    <row r="113" spans="2:50">
      <c r="B113" s="533"/>
      <c r="C113" s="304">
        <v>7</v>
      </c>
      <c r="D113" s="226"/>
      <c r="E113" s="182"/>
      <c r="F113" s="304"/>
      <c r="G113" s="307"/>
      <c r="H113" s="598"/>
      <c r="I113" s="199"/>
      <c r="J113" s="199"/>
      <c r="K113" s="200"/>
      <c r="L113" s="588"/>
      <c r="M113" s="201" t="e">
        <f>RANK(K113, K$87:$K$101)</f>
        <v>#N/A</v>
      </c>
      <c r="N113" s="544"/>
      <c r="O113" s="544"/>
      <c r="P113" s="304"/>
      <c r="Q113" s="304"/>
      <c r="R113" s="304"/>
      <c r="S113" s="315" t="e">
        <f t="shared" si="57"/>
        <v>#N/A</v>
      </c>
      <c r="T113" s="534"/>
      <c r="U113" s="318"/>
      <c r="V113" s="318"/>
      <c r="W113" s="318"/>
      <c r="X113" s="315" t="e">
        <f t="shared" si="58"/>
        <v>#N/A</v>
      </c>
      <c r="Y113" s="534"/>
      <c r="Z113" s="318"/>
      <c r="AA113" s="318"/>
      <c r="AB113" s="318"/>
      <c r="AC113" s="315" t="e">
        <f t="shared" si="59"/>
        <v>#N/A</v>
      </c>
      <c r="AD113" s="534"/>
      <c r="AE113" s="318"/>
      <c r="AF113" s="318"/>
      <c r="AG113" s="318"/>
      <c r="AH113" s="315" t="e">
        <f t="shared" si="60"/>
        <v>#N/A</v>
      </c>
      <c r="AI113" s="534"/>
      <c r="AJ113" s="318"/>
      <c r="AK113" s="318"/>
      <c r="AL113" s="318"/>
      <c r="AM113" s="315" t="e">
        <f t="shared" si="61"/>
        <v>#N/A</v>
      </c>
      <c r="AN113" s="534"/>
      <c r="AO113" s="318"/>
      <c r="AP113" s="318"/>
      <c r="AQ113" s="318"/>
      <c r="AR113" s="315" t="e">
        <f t="shared" si="62"/>
        <v>#N/A</v>
      </c>
      <c r="AS113" s="534"/>
      <c r="AT113" s="318"/>
      <c r="AU113" s="318"/>
      <c r="AV113" s="318"/>
      <c r="AW113" s="315" t="e">
        <f t="shared" si="63"/>
        <v>#N/A</v>
      </c>
      <c r="AX113" s="534"/>
    </row>
    <row r="114" spans="2:50">
      <c r="B114" s="533"/>
      <c r="C114" s="304">
        <v>8</v>
      </c>
      <c r="D114" s="226"/>
      <c r="E114" s="182"/>
      <c r="F114" s="304"/>
      <c r="G114" s="307"/>
      <c r="H114" s="598"/>
      <c r="I114" s="199"/>
      <c r="J114" s="199"/>
      <c r="K114" s="200"/>
      <c r="L114" s="588"/>
      <c r="M114" s="201" t="e">
        <f>RANK(K114, K$87:$K$101)</f>
        <v>#N/A</v>
      </c>
      <c r="N114" s="544"/>
      <c r="O114" s="544"/>
      <c r="P114" s="304"/>
      <c r="Q114" s="304"/>
      <c r="R114" s="304"/>
      <c r="S114" s="315" t="e">
        <f t="shared" si="57"/>
        <v>#N/A</v>
      </c>
      <c r="T114" s="534"/>
      <c r="U114" s="318"/>
      <c r="V114" s="318"/>
      <c r="W114" s="318"/>
      <c r="X114" s="315" t="e">
        <f t="shared" si="58"/>
        <v>#N/A</v>
      </c>
      <c r="Y114" s="534"/>
      <c r="Z114" s="318"/>
      <c r="AA114" s="318"/>
      <c r="AB114" s="318"/>
      <c r="AC114" s="315" t="e">
        <f t="shared" si="59"/>
        <v>#N/A</v>
      </c>
      <c r="AD114" s="534"/>
      <c r="AE114" s="318"/>
      <c r="AF114" s="318"/>
      <c r="AG114" s="318"/>
      <c r="AH114" s="315" t="e">
        <f t="shared" si="60"/>
        <v>#N/A</v>
      </c>
      <c r="AI114" s="534"/>
      <c r="AJ114" s="318"/>
      <c r="AK114" s="318"/>
      <c r="AL114" s="318"/>
      <c r="AM114" s="315" t="e">
        <f t="shared" si="61"/>
        <v>#N/A</v>
      </c>
      <c r="AN114" s="534"/>
      <c r="AO114" s="318"/>
      <c r="AP114" s="318"/>
      <c r="AQ114" s="318"/>
      <c r="AR114" s="315" t="e">
        <f t="shared" si="62"/>
        <v>#N/A</v>
      </c>
      <c r="AS114" s="534"/>
      <c r="AT114" s="318"/>
      <c r="AU114" s="318"/>
      <c r="AV114" s="318"/>
      <c r="AW114" s="315" t="e">
        <f t="shared" si="63"/>
        <v>#N/A</v>
      </c>
      <c r="AX114" s="534"/>
    </row>
    <row r="115" spans="2:50">
      <c r="B115" s="533"/>
      <c r="C115" s="304">
        <v>9</v>
      </c>
      <c r="D115" s="226"/>
      <c r="E115" s="182"/>
      <c r="F115" s="304"/>
      <c r="G115" s="307"/>
      <c r="H115" s="598"/>
      <c r="I115" s="199"/>
      <c r="J115" s="199"/>
      <c r="K115" s="200"/>
      <c r="L115" s="588"/>
      <c r="M115" s="201" t="e">
        <f>RANK(K115, K$87:$K$101)</f>
        <v>#N/A</v>
      </c>
      <c r="N115" s="544"/>
      <c r="O115" s="544"/>
      <c r="P115" s="304"/>
      <c r="Q115" s="304"/>
      <c r="R115" s="304"/>
      <c r="S115" s="315" t="e">
        <f t="shared" si="57"/>
        <v>#N/A</v>
      </c>
      <c r="T115" s="534"/>
      <c r="U115" s="318"/>
      <c r="V115" s="318"/>
      <c r="W115" s="318"/>
      <c r="X115" s="315" t="e">
        <f t="shared" si="58"/>
        <v>#N/A</v>
      </c>
      <c r="Y115" s="534"/>
      <c r="Z115" s="318"/>
      <c r="AA115" s="318"/>
      <c r="AB115" s="318"/>
      <c r="AC115" s="315" t="e">
        <f t="shared" si="59"/>
        <v>#N/A</v>
      </c>
      <c r="AD115" s="534"/>
      <c r="AE115" s="318"/>
      <c r="AF115" s="318"/>
      <c r="AG115" s="318"/>
      <c r="AH115" s="315" t="e">
        <f t="shared" si="60"/>
        <v>#N/A</v>
      </c>
      <c r="AI115" s="534"/>
      <c r="AJ115" s="318"/>
      <c r="AK115" s="318"/>
      <c r="AL115" s="318"/>
      <c r="AM115" s="315" t="e">
        <f t="shared" si="61"/>
        <v>#N/A</v>
      </c>
      <c r="AN115" s="534"/>
      <c r="AO115" s="318"/>
      <c r="AP115" s="318"/>
      <c r="AQ115" s="318"/>
      <c r="AR115" s="315" t="e">
        <f t="shared" si="62"/>
        <v>#N/A</v>
      </c>
      <c r="AS115" s="534"/>
      <c r="AT115" s="318"/>
      <c r="AU115" s="318"/>
      <c r="AV115" s="318"/>
      <c r="AW115" s="315" t="e">
        <f t="shared" si="63"/>
        <v>#N/A</v>
      </c>
      <c r="AX115" s="534"/>
    </row>
    <row r="116" spans="2:50">
      <c r="B116" s="533"/>
      <c r="C116" s="304">
        <v>10</v>
      </c>
      <c r="D116" s="226"/>
      <c r="E116" s="182"/>
      <c r="F116" s="304"/>
      <c r="G116" s="307"/>
      <c r="H116" s="598"/>
      <c r="I116" s="199"/>
      <c r="J116" s="199"/>
      <c r="K116" s="200"/>
      <c r="L116" s="588"/>
      <c r="M116" s="201" t="e">
        <f>RANK(K116, K$87:$K$101)</f>
        <v>#N/A</v>
      </c>
      <c r="N116" s="544"/>
      <c r="O116" s="544"/>
      <c r="P116" s="304"/>
      <c r="Q116" s="304"/>
      <c r="R116" s="304"/>
      <c r="S116" s="315" t="e">
        <f t="shared" si="57"/>
        <v>#N/A</v>
      </c>
      <c r="T116" s="534"/>
      <c r="U116" s="318"/>
      <c r="V116" s="318"/>
      <c r="W116" s="318"/>
      <c r="X116" s="315" t="e">
        <f t="shared" si="58"/>
        <v>#N/A</v>
      </c>
      <c r="Y116" s="534"/>
      <c r="Z116" s="318"/>
      <c r="AA116" s="318"/>
      <c r="AB116" s="318"/>
      <c r="AC116" s="315" t="e">
        <f t="shared" si="59"/>
        <v>#N/A</v>
      </c>
      <c r="AD116" s="534"/>
      <c r="AE116" s="318"/>
      <c r="AF116" s="318"/>
      <c r="AG116" s="318"/>
      <c r="AH116" s="315" t="e">
        <f t="shared" si="60"/>
        <v>#N/A</v>
      </c>
      <c r="AI116" s="534"/>
      <c r="AJ116" s="318"/>
      <c r="AK116" s="318"/>
      <c r="AL116" s="318"/>
      <c r="AM116" s="315" t="e">
        <f t="shared" si="61"/>
        <v>#N/A</v>
      </c>
      <c r="AN116" s="534"/>
      <c r="AO116" s="318"/>
      <c r="AP116" s="318"/>
      <c r="AQ116" s="318"/>
      <c r="AR116" s="315" t="e">
        <f t="shared" si="62"/>
        <v>#N/A</v>
      </c>
      <c r="AS116" s="534"/>
      <c r="AT116" s="318"/>
      <c r="AU116" s="318"/>
      <c r="AV116" s="318"/>
      <c r="AW116" s="315" t="e">
        <f t="shared" si="63"/>
        <v>#N/A</v>
      </c>
      <c r="AX116" s="534"/>
    </row>
    <row r="117" spans="2:50">
      <c r="B117" s="533"/>
      <c r="C117" s="304">
        <v>11</v>
      </c>
      <c r="D117" s="226"/>
      <c r="E117" s="182"/>
      <c r="F117" s="304"/>
      <c r="G117" s="307"/>
      <c r="H117" s="598"/>
      <c r="I117" s="202"/>
      <c r="J117" s="202"/>
      <c r="K117" s="202"/>
      <c r="L117" s="588"/>
      <c r="M117" s="201" t="e">
        <f>RANK(K117, K$87:$K$101)</f>
        <v>#N/A</v>
      </c>
      <c r="N117" s="544"/>
      <c r="O117" s="544"/>
      <c r="P117" s="304"/>
      <c r="Q117" s="304"/>
      <c r="R117" s="304"/>
      <c r="S117" s="315" t="e">
        <f t="shared" si="57"/>
        <v>#N/A</v>
      </c>
      <c r="T117" s="534"/>
      <c r="U117" s="318"/>
      <c r="V117" s="318"/>
      <c r="W117" s="318"/>
      <c r="X117" s="315" t="e">
        <f t="shared" si="58"/>
        <v>#N/A</v>
      </c>
      <c r="Y117" s="534"/>
      <c r="Z117" s="318"/>
      <c r="AA117" s="318"/>
      <c r="AB117" s="318"/>
      <c r="AC117" s="315" t="e">
        <f t="shared" si="59"/>
        <v>#N/A</v>
      </c>
      <c r="AD117" s="534"/>
      <c r="AE117" s="318"/>
      <c r="AF117" s="318"/>
      <c r="AG117" s="318"/>
      <c r="AH117" s="315" t="e">
        <f t="shared" si="60"/>
        <v>#N/A</v>
      </c>
      <c r="AI117" s="534"/>
      <c r="AJ117" s="318"/>
      <c r="AK117" s="318"/>
      <c r="AL117" s="318"/>
      <c r="AM117" s="315" t="e">
        <f t="shared" si="61"/>
        <v>#N/A</v>
      </c>
      <c r="AN117" s="534"/>
      <c r="AO117" s="318"/>
      <c r="AP117" s="318"/>
      <c r="AQ117" s="318"/>
      <c r="AR117" s="315" t="e">
        <f t="shared" si="62"/>
        <v>#N/A</v>
      </c>
      <c r="AS117" s="534"/>
      <c r="AT117" s="318"/>
      <c r="AU117" s="318"/>
      <c r="AV117" s="318"/>
      <c r="AW117" s="315" t="e">
        <f t="shared" si="63"/>
        <v>#N/A</v>
      </c>
      <c r="AX117" s="534"/>
    </row>
    <row r="118" spans="2:50">
      <c r="B118" s="533"/>
      <c r="C118" s="304">
        <v>12</v>
      </c>
      <c r="D118" s="226"/>
      <c r="E118" s="182"/>
      <c r="F118" s="304"/>
      <c r="G118" s="307"/>
      <c r="H118" s="598"/>
      <c r="I118" s="202"/>
      <c r="J118" s="202"/>
      <c r="K118" s="202"/>
      <c r="L118" s="588"/>
      <c r="M118" s="201" t="e">
        <f>RANK(K118, K$87:$K$101)</f>
        <v>#N/A</v>
      </c>
      <c r="N118" s="544"/>
      <c r="O118" s="544"/>
      <c r="P118" s="304"/>
      <c r="Q118" s="304"/>
      <c r="R118" s="304"/>
      <c r="S118" s="315" t="e">
        <f t="shared" si="57"/>
        <v>#N/A</v>
      </c>
      <c r="T118" s="534"/>
      <c r="U118" s="318"/>
      <c r="V118" s="318"/>
      <c r="W118" s="318"/>
      <c r="X118" s="315" t="e">
        <f t="shared" si="58"/>
        <v>#N/A</v>
      </c>
      <c r="Y118" s="534"/>
      <c r="Z118" s="318"/>
      <c r="AA118" s="318"/>
      <c r="AB118" s="318"/>
      <c r="AC118" s="315" t="e">
        <f t="shared" si="59"/>
        <v>#N/A</v>
      </c>
      <c r="AD118" s="534"/>
      <c r="AE118" s="318"/>
      <c r="AF118" s="318"/>
      <c r="AG118" s="318"/>
      <c r="AH118" s="315" t="e">
        <f t="shared" si="60"/>
        <v>#N/A</v>
      </c>
      <c r="AI118" s="534"/>
      <c r="AJ118" s="318"/>
      <c r="AK118" s="318"/>
      <c r="AL118" s="318"/>
      <c r="AM118" s="315" t="e">
        <f t="shared" si="61"/>
        <v>#N/A</v>
      </c>
      <c r="AN118" s="534"/>
      <c r="AO118" s="318"/>
      <c r="AP118" s="318"/>
      <c r="AQ118" s="318"/>
      <c r="AR118" s="315" t="e">
        <f t="shared" si="62"/>
        <v>#N/A</v>
      </c>
      <c r="AS118" s="534"/>
      <c r="AT118" s="318"/>
      <c r="AU118" s="318"/>
      <c r="AV118" s="318"/>
      <c r="AW118" s="315" t="e">
        <f t="shared" si="63"/>
        <v>#N/A</v>
      </c>
      <c r="AX118" s="534"/>
    </row>
    <row r="119" spans="2:50">
      <c r="B119" s="533"/>
      <c r="C119" s="304">
        <v>13</v>
      </c>
      <c r="D119" s="226"/>
      <c r="E119" s="182"/>
      <c r="F119" s="304"/>
      <c r="G119" s="307"/>
      <c r="H119" s="598"/>
      <c r="I119" s="202"/>
      <c r="J119" s="202"/>
      <c r="K119" s="202"/>
      <c r="L119" s="588"/>
      <c r="M119" s="201" t="e">
        <f>RANK(K119, K$87:$K$101)</f>
        <v>#N/A</v>
      </c>
      <c r="N119" s="544"/>
      <c r="O119" s="544"/>
      <c r="P119" s="304"/>
      <c r="Q119" s="304"/>
      <c r="R119" s="304"/>
      <c r="S119" s="315" t="e">
        <f t="shared" si="57"/>
        <v>#N/A</v>
      </c>
      <c r="T119" s="534"/>
      <c r="U119" s="318"/>
      <c r="V119" s="318"/>
      <c r="W119" s="318"/>
      <c r="X119" s="315" t="e">
        <f t="shared" si="58"/>
        <v>#N/A</v>
      </c>
      <c r="Y119" s="534"/>
      <c r="Z119" s="318"/>
      <c r="AA119" s="318"/>
      <c r="AB119" s="318"/>
      <c r="AC119" s="315" t="e">
        <f t="shared" si="59"/>
        <v>#N/A</v>
      </c>
      <c r="AD119" s="534"/>
      <c r="AE119" s="318"/>
      <c r="AF119" s="318"/>
      <c r="AG119" s="318"/>
      <c r="AH119" s="315" t="e">
        <f t="shared" si="60"/>
        <v>#N/A</v>
      </c>
      <c r="AI119" s="534"/>
      <c r="AJ119" s="318"/>
      <c r="AK119" s="318"/>
      <c r="AL119" s="318"/>
      <c r="AM119" s="315" t="e">
        <f t="shared" si="61"/>
        <v>#N/A</v>
      </c>
      <c r="AN119" s="534"/>
      <c r="AO119" s="318"/>
      <c r="AP119" s="318"/>
      <c r="AQ119" s="318"/>
      <c r="AR119" s="315" t="e">
        <f t="shared" si="62"/>
        <v>#N/A</v>
      </c>
      <c r="AS119" s="534"/>
      <c r="AT119" s="318"/>
      <c r="AU119" s="318"/>
      <c r="AV119" s="318"/>
      <c r="AW119" s="315" t="e">
        <f t="shared" si="63"/>
        <v>#N/A</v>
      </c>
      <c r="AX119" s="534"/>
    </row>
    <row r="120" spans="2:50">
      <c r="B120" s="533"/>
      <c r="C120" s="304">
        <v>14</v>
      </c>
      <c r="D120" s="226"/>
      <c r="E120" s="182"/>
      <c r="F120" s="304"/>
      <c r="G120" s="307"/>
      <c r="H120" s="598"/>
      <c r="I120" s="202"/>
      <c r="J120" s="202"/>
      <c r="K120" s="202"/>
      <c r="L120" s="588"/>
      <c r="M120" s="201" t="e">
        <f>RANK(K120, K$87:$K$101)</f>
        <v>#N/A</v>
      </c>
      <c r="N120" s="544"/>
      <c r="O120" s="544"/>
      <c r="P120" s="304"/>
      <c r="Q120" s="304"/>
      <c r="R120" s="304"/>
      <c r="S120" s="315" t="e">
        <f t="shared" si="57"/>
        <v>#N/A</v>
      </c>
      <c r="T120" s="534"/>
      <c r="U120" s="318"/>
      <c r="V120" s="318"/>
      <c r="W120" s="318"/>
      <c r="X120" s="315" t="e">
        <f t="shared" si="58"/>
        <v>#N/A</v>
      </c>
      <c r="Y120" s="534"/>
      <c r="Z120" s="318"/>
      <c r="AA120" s="318"/>
      <c r="AB120" s="318"/>
      <c r="AC120" s="315" t="e">
        <f t="shared" si="59"/>
        <v>#N/A</v>
      </c>
      <c r="AD120" s="534"/>
      <c r="AE120" s="318"/>
      <c r="AF120" s="318"/>
      <c r="AG120" s="318"/>
      <c r="AH120" s="315" t="e">
        <f t="shared" si="60"/>
        <v>#N/A</v>
      </c>
      <c r="AI120" s="534"/>
      <c r="AJ120" s="318"/>
      <c r="AK120" s="318"/>
      <c r="AL120" s="318"/>
      <c r="AM120" s="315" t="e">
        <f t="shared" si="61"/>
        <v>#N/A</v>
      </c>
      <c r="AN120" s="534"/>
      <c r="AO120" s="318"/>
      <c r="AP120" s="318"/>
      <c r="AQ120" s="318"/>
      <c r="AR120" s="315" t="e">
        <f t="shared" si="62"/>
        <v>#N/A</v>
      </c>
      <c r="AS120" s="534"/>
      <c r="AT120" s="318"/>
      <c r="AU120" s="318"/>
      <c r="AV120" s="318"/>
      <c r="AW120" s="315" t="e">
        <f t="shared" si="63"/>
        <v>#N/A</v>
      </c>
      <c r="AX120" s="534"/>
    </row>
    <row r="121" spans="2:50">
      <c r="B121" s="533"/>
      <c r="C121" s="304">
        <v>15</v>
      </c>
      <c r="D121" s="226"/>
      <c r="E121" s="182"/>
      <c r="F121" s="304"/>
      <c r="G121" s="307"/>
      <c r="H121" s="599"/>
      <c r="I121" s="202"/>
      <c r="J121" s="202"/>
      <c r="K121" s="202"/>
      <c r="L121" s="589"/>
      <c r="M121" s="199" t="e">
        <f>RANK(K121, K$87:$K$101)</f>
        <v>#N/A</v>
      </c>
      <c r="N121" s="544"/>
      <c r="O121" s="544"/>
      <c r="P121" s="304"/>
      <c r="Q121" s="304"/>
      <c r="R121" s="304"/>
      <c r="S121" s="315" t="e">
        <f t="shared" si="57"/>
        <v>#N/A</v>
      </c>
      <c r="T121" s="534"/>
      <c r="U121" s="318"/>
      <c r="V121" s="318"/>
      <c r="W121" s="318"/>
      <c r="X121" s="315" t="e">
        <f t="shared" si="58"/>
        <v>#N/A</v>
      </c>
      <c r="Y121" s="534"/>
      <c r="Z121" s="318"/>
      <c r="AA121" s="318"/>
      <c r="AB121" s="318"/>
      <c r="AC121" s="315" t="e">
        <f t="shared" si="59"/>
        <v>#N/A</v>
      </c>
      <c r="AD121" s="534"/>
      <c r="AE121" s="318"/>
      <c r="AF121" s="318"/>
      <c r="AG121" s="318"/>
      <c r="AH121" s="315" t="e">
        <f t="shared" si="60"/>
        <v>#N/A</v>
      </c>
      <c r="AI121" s="534"/>
      <c r="AJ121" s="318"/>
      <c r="AK121" s="318"/>
      <c r="AL121" s="318"/>
      <c r="AM121" s="315" t="e">
        <f t="shared" si="61"/>
        <v>#N/A</v>
      </c>
      <c r="AN121" s="534"/>
      <c r="AO121" s="318"/>
      <c r="AP121" s="318"/>
      <c r="AQ121" s="318"/>
      <c r="AR121" s="315" t="e">
        <f t="shared" si="62"/>
        <v>#N/A</v>
      </c>
      <c r="AS121" s="534"/>
      <c r="AT121" s="318"/>
      <c r="AU121" s="318"/>
      <c r="AV121" s="318"/>
      <c r="AW121" s="315" t="e">
        <f t="shared" si="63"/>
        <v>#N/A</v>
      </c>
      <c r="AX121" s="534"/>
    </row>
    <row r="123" spans="2:50" ht="15.5">
      <c r="B123" s="540" t="s">
        <v>485</v>
      </c>
      <c r="C123" s="541"/>
      <c r="D123" s="541"/>
      <c r="E123" s="541"/>
      <c r="F123" s="541"/>
      <c r="G123" s="541"/>
      <c r="H123" s="542"/>
      <c r="I123" s="308"/>
      <c r="J123" s="308"/>
      <c r="K123" s="308"/>
      <c r="L123" s="308"/>
      <c r="M123" s="309"/>
    </row>
    <row r="124" spans="2:50" ht="15.5">
      <c r="B124" s="543"/>
      <c r="C124" s="543"/>
      <c r="D124" s="543"/>
      <c r="E124" s="543"/>
      <c r="F124" s="543"/>
      <c r="G124" s="543"/>
      <c r="H124" s="543"/>
      <c r="I124" s="310"/>
      <c r="J124" s="310"/>
      <c r="K124" s="310"/>
      <c r="L124" s="310"/>
      <c r="M124" s="311"/>
    </row>
    <row r="125" spans="2:50">
      <c r="B125" s="544" t="s">
        <v>486</v>
      </c>
      <c r="C125" s="544" t="s">
        <v>487</v>
      </c>
      <c r="D125" s="544"/>
      <c r="E125" s="544" t="s">
        <v>488</v>
      </c>
      <c r="F125" s="544"/>
      <c r="G125" s="544"/>
      <c r="H125" s="561" t="s">
        <v>489</v>
      </c>
      <c r="I125" s="545" t="s">
        <v>490</v>
      </c>
      <c r="J125" s="545"/>
      <c r="K125" s="545"/>
      <c r="L125" s="600" t="s">
        <v>489</v>
      </c>
      <c r="M125" s="603" t="s">
        <v>491</v>
      </c>
    </row>
    <row r="126" spans="2:50">
      <c r="B126" s="544"/>
      <c r="C126" s="544"/>
      <c r="D126" s="544"/>
      <c r="E126" s="544" t="s">
        <v>492</v>
      </c>
      <c r="F126" s="544"/>
      <c r="G126" s="544"/>
      <c r="H126" s="562"/>
      <c r="I126" s="545" t="s">
        <v>492</v>
      </c>
      <c r="J126" s="545"/>
      <c r="K126" s="545"/>
      <c r="L126" s="601"/>
      <c r="M126" s="604"/>
    </row>
    <row r="127" spans="2:50">
      <c r="B127" s="544"/>
      <c r="C127" s="544"/>
      <c r="D127" s="544"/>
      <c r="E127" s="305" t="s">
        <v>493</v>
      </c>
      <c r="F127" s="305" t="s">
        <v>494</v>
      </c>
      <c r="G127" s="305" t="s">
        <v>495</v>
      </c>
      <c r="H127" s="563"/>
      <c r="I127" s="312" t="s">
        <v>493</v>
      </c>
      <c r="J127" s="312" t="s">
        <v>494</v>
      </c>
      <c r="K127" s="312" t="s">
        <v>495</v>
      </c>
      <c r="L127" s="602"/>
      <c r="M127" s="605"/>
    </row>
    <row r="128" spans="2:50">
      <c r="B128" s="544" t="s">
        <v>1003</v>
      </c>
      <c r="C128" s="304">
        <v>1</v>
      </c>
      <c r="D128" s="313" t="s">
        <v>1004</v>
      </c>
      <c r="E128" s="182">
        <v>13</v>
      </c>
      <c r="F128" s="304">
        <v>1500</v>
      </c>
      <c r="G128" s="307">
        <v>115.38461538461539</v>
      </c>
      <c r="H128" s="597">
        <f>AVERAGE(G128:G142)</f>
        <v>115.38461538461539</v>
      </c>
      <c r="I128" s="199">
        <f t="shared" ref="I128:J129" si="64">AVERAGEIF($D$7:$D$121,$D128,I$7:I$121)</f>
        <v>13</v>
      </c>
      <c r="J128" s="199">
        <f t="shared" si="64"/>
        <v>1496.7906169644893</v>
      </c>
      <c r="K128" s="468">
        <f>AVERAGEIF($D$7:$D$121,$D128,K$7:K$121)</f>
        <v>115.13773976649918</v>
      </c>
      <c r="L128" s="587">
        <f>AVERAGE(K128:K142)</f>
        <v>114.36707319727057</v>
      </c>
      <c r="M128" s="199">
        <f>RANK(K128, K$128:$K$142)</f>
        <v>1</v>
      </c>
    </row>
    <row r="129" spans="2:13">
      <c r="B129" s="533"/>
      <c r="C129" s="304">
        <v>2</v>
      </c>
      <c r="D129" s="313" t="s">
        <v>1005</v>
      </c>
      <c r="E129" s="182">
        <v>13</v>
      </c>
      <c r="F129" s="304">
        <v>1500</v>
      </c>
      <c r="G129" s="307">
        <v>115.38461538461539</v>
      </c>
      <c r="H129" s="598"/>
      <c r="I129" s="401">
        <f t="shared" si="64"/>
        <v>13.157142857142855</v>
      </c>
      <c r="J129" s="401">
        <f t="shared" si="64"/>
        <v>1490.1639440592821</v>
      </c>
      <c r="K129" s="468">
        <f>AVERAGEIF($D$7:$D$121,$D129,K$7:K$121)</f>
        <v>113.59640662804195</v>
      </c>
      <c r="L129" s="588"/>
      <c r="M129" s="199">
        <f>RANK(K129, K$128:$K$142)</f>
        <v>2</v>
      </c>
    </row>
    <row r="130" spans="2:13">
      <c r="B130" s="533"/>
      <c r="C130" s="304">
        <v>3</v>
      </c>
      <c r="D130" s="226"/>
      <c r="E130" s="182"/>
      <c r="F130" s="304"/>
      <c r="G130" s="307"/>
      <c r="H130" s="598"/>
      <c r="I130" s="199"/>
      <c r="J130" s="199"/>
      <c r="K130" s="468"/>
      <c r="L130" s="588"/>
      <c r="M130" s="199" t="e">
        <f>RANK(K130, K$128:$K$142)</f>
        <v>#N/A</v>
      </c>
    </row>
    <row r="131" spans="2:13">
      <c r="B131" s="533"/>
      <c r="C131" s="304">
        <v>4</v>
      </c>
      <c r="D131" s="226"/>
      <c r="E131" s="182"/>
      <c r="F131" s="304"/>
      <c r="G131" s="307"/>
      <c r="H131" s="598"/>
      <c r="I131" s="199"/>
      <c r="J131" s="199"/>
      <c r="K131" s="468"/>
      <c r="L131" s="588"/>
      <c r="M131" s="199" t="e">
        <f>RANK(K131, K$128:$K$142)</f>
        <v>#N/A</v>
      </c>
    </row>
    <row r="132" spans="2:13">
      <c r="B132" s="533"/>
      <c r="C132" s="304">
        <v>5</v>
      </c>
      <c r="D132" s="226"/>
      <c r="E132" s="182"/>
      <c r="F132" s="304"/>
      <c r="G132" s="307"/>
      <c r="H132" s="598"/>
      <c r="I132" s="199"/>
      <c r="J132" s="199"/>
      <c r="K132" s="468"/>
      <c r="L132" s="588"/>
      <c r="M132" s="199" t="e">
        <f>RANK(K132, K$128:$K$142)</f>
        <v>#N/A</v>
      </c>
    </row>
    <row r="133" spans="2:13">
      <c r="B133" s="533"/>
      <c r="C133" s="304">
        <v>6</v>
      </c>
      <c r="D133" s="313"/>
      <c r="E133" s="182"/>
      <c r="F133" s="304"/>
      <c r="G133" s="307"/>
      <c r="H133" s="598"/>
      <c r="I133" s="199"/>
      <c r="J133" s="199"/>
      <c r="K133" s="468"/>
      <c r="L133" s="588"/>
      <c r="M133" s="199" t="e">
        <f>RANK(K133, K$128:$K$142)</f>
        <v>#N/A</v>
      </c>
    </row>
    <row r="134" spans="2:13">
      <c r="B134" s="533"/>
      <c r="C134" s="304">
        <v>7</v>
      </c>
      <c r="D134" s="226"/>
      <c r="E134" s="182"/>
      <c r="F134" s="304"/>
      <c r="G134" s="307"/>
      <c r="H134" s="598"/>
      <c r="I134" s="199"/>
      <c r="J134" s="199"/>
      <c r="K134" s="468"/>
      <c r="L134" s="588"/>
      <c r="M134" s="199" t="e">
        <f>RANK(K134, K$128:$K$142)</f>
        <v>#N/A</v>
      </c>
    </row>
    <row r="135" spans="2:13">
      <c r="B135" s="533"/>
      <c r="C135" s="304">
        <v>8</v>
      </c>
      <c r="D135" s="226"/>
      <c r="E135" s="182"/>
      <c r="F135" s="304"/>
      <c r="G135" s="307"/>
      <c r="H135" s="598"/>
      <c r="I135" s="199"/>
      <c r="J135" s="199"/>
      <c r="K135" s="468"/>
      <c r="L135" s="588"/>
      <c r="M135" s="199" t="e">
        <f>RANK(K135, K$128:$K$142)</f>
        <v>#N/A</v>
      </c>
    </row>
    <row r="136" spans="2:13">
      <c r="B136" s="533"/>
      <c r="C136" s="304">
        <v>9</v>
      </c>
      <c r="D136" s="226"/>
      <c r="E136" s="304"/>
      <c r="F136" s="304"/>
      <c r="G136" s="304"/>
      <c r="H136" s="598"/>
      <c r="I136" s="199"/>
      <c r="J136" s="199"/>
      <c r="K136" s="468"/>
      <c r="L136" s="588"/>
      <c r="M136" s="199" t="e">
        <f>RANK(K136, K$128:$K$142)</f>
        <v>#N/A</v>
      </c>
    </row>
    <row r="137" spans="2:13">
      <c r="B137" s="533"/>
      <c r="C137" s="304">
        <v>10</v>
      </c>
      <c r="D137" s="226"/>
      <c r="E137" s="304"/>
      <c r="F137" s="304"/>
      <c r="G137" s="304"/>
      <c r="H137" s="598"/>
      <c r="I137" s="199"/>
      <c r="J137" s="199"/>
      <c r="K137" s="468"/>
      <c r="L137" s="588"/>
      <c r="M137" s="199" t="e">
        <f>RANK(K137, K$128:$K$142)</f>
        <v>#N/A</v>
      </c>
    </row>
    <row r="138" spans="2:13">
      <c r="B138" s="533"/>
      <c r="C138" s="304">
        <v>11</v>
      </c>
      <c r="D138" s="226"/>
      <c r="E138" s="304"/>
      <c r="F138" s="304"/>
      <c r="G138" s="304"/>
      <c r="H138" s="598"/>
      <c r="I138" s="199"/>
      <c r="J138" s="199"/>
      <c r="K138" s="468"/>
      <c r="L138" s="588"/>
      <c r="M138" s="199" t="e">
        <f>RANK(K138, K$128:$K$142)</f>
        <v>#N/A</v>
      </c>
    </row>
    <row r="139" spans="2:13">
      <c r="B139" s="533"/>
      <c r="C139" s="304">
        <v>12</v>
      </c>
      <c r="D139" s="226"/>
      <c r="E139" s="304"/>
      <c r="F139" s="304"/>
      <c r="G139" s="304"/>
      <c r="H139" s="598"/>
      <c r="I139" s="199"/>
      <c r="J139" s="199"/>
      <c r="K139" s="468"/>
      <c r="L139" s="588"/>
      <c r="M139" s="199" t="e">
        <f>RANK(K139, K$128:$K$142)</f>
        <v>#N/A</v>
      </c>
    </row>
    <row r="140" spans="2:13">
      <c r="B140" s="533"/>
      <c r="C140" s="304">
        <v>13</v>
      </c>
      <c r="D140" s="226"/>
      <c r="E140" s="304"/>
      <c r="F140" s="304"/>
      <c r="G140" s="304"/>
      <c r="H140" s="598"/>
      <c r="I140" s="199"/>
      <c r="J140" s="199"/>
      <c r="K140" s="468"/>
      <c r="L140" s="588"/>
      <c r="M140" s="199" t="e">
        <f>RANK(K140, K$128:$K$142)</f>
        <v>#N/A</v>
      </c>
    </row>
    <row r="141" spans="2:13">
      <c r="B141" s="533"/>
      <c r="C141" s="304">
        <v>14</v>
      </c>
      <c r="D141" s="226"/>
      <c r="E141" s="304"/>
      <c r="F141" s="304"/>
      <c r="G141" s="304"/>
      <c r="H141" s="598"/>
      <c r="I141" s="199"/>
      <c r="J141" s="199"/>
      <c r="K141" s="468"/>
      <c r="L141" s="588"/>
      <c r="M141" s="199" t="e">
        <f>RANK(K141, K$128:$K$142)</f>
        <v>#N/A</v>
      </c>
    </row>
    <row r="142" spans="2:13">
      <c r="B142" s="533"/>
      <c r="C142" s="304">
        <v>15</v>
      </c>
      <c r="D142" s="226"/>
      <c r="E142" s="304"/>
      <c r="F142" s="304"/>
      <c r="G142" s="304"/>
      <c r="H142" s="599"/>
      <c r="I142" s="199"/>
      <c r="J142" s="199"/>
      <c r="K142" s="468"/>
      <c r="L142" s="589"/>
      <c r="M142" s="199" t="e">
        <f>RANK(K142, K$128:$K$142)</f>
        <v>#N/A</v>
      </c>
    </row>
  </sheetData>
  <mergeCells count="367">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T22:AX22"/>
    <mergeCell ref="P23:T23"/>
    <mergeCell ref="U23:Y23"/>
    <mergeCell ref="Z23:AD23"/>
    <mergeCell ref="AE23:AI23"/>
    <mergeCell ref="AJ23:AN23"/>
    <mergeCell ref="AO23:AS23"/>
    <mergeCell ref="AT23:AX23"/>
    <mergeCell ref="AX7:AX21"/>
    <mergeCell ref="B22:H23"/>
    <mergeCell ref="N22:N23"/>
    <mergeCell ref="O22:O23"/>
    <mergeCell ref="P22:T22"/>
    <mergeCell ref="U22:Y22"/>
    <mergeCell ref="Z22:AD22"/>
    <mergeCell ref="AE22:AI22"/>
    <mergeCell ref="AJ22:AN22"/>
    <mergeCell ref="AO22:AS22"/>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102:H103"/>
    <mergeCell ref="N102:N103"/>
    <mergeCell ref="O102:O103"/>
    <mergeCell ref="P102:T102"/>
    <mergeCell ref="U102:Y102"/>
    <mergeCell ref="Z102:AD102"/>
    <mergeCell ref="AE102:AI102"/>
    <mergeCell ref="AJ102:AN102"/>
    <mergeCell ref="AO102:AS102"/>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s>
  <phoneticPr fontId="11" type="noConversion"/>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247"/>
  <sheetViews>
    <sheetView topLeftCell="A211" zoomScale="70" zoomScaleNormal="70" workbookViewId="0">
      <pane xSplit="15" topLeftCell="P1" activePane="topRight" state="frozen"/>
      <selection activeCell="B144" sqref="B144:AX176"/>
      <selection pane="topRight" activeCell="D236" sqref="D236"/>
    </sheetView>
  </sheetViews>
  <sheetFormatPr defaultColWidth="8.81640625" defaultRowHeight="12.5"/>
  <cols>
    <col min="1" max="1" width="5.54296875" style="108" customWidth="1"/>
    <col min="2" max="2" width="12.453125" style="108" customWidth="1"/>
    <col min="3" max="3" width="8.81640625" style="107"/>
    <col min="4" max="4" width="26.453125" style="107" customWidth="1"/>
    <col min="5" max="7" width="8.453125" style="107" customWidth="1"/>
    <col min="8" max="8" width="11.1796875" style="107" bestFit="1" customWidth="1"/>
    <col min="9" max="12" width="11.1796875" style="107" customWidth="1"/>
    <col min="13" max="13" width="13.54296875" style="107" customWidth="1"/>
    <col min="14" max="14" width="9.81640625" style="107" customWidth="1"/>
    <col min="15" max="15" width="7.1796875" style="107" customWidth="1"/>
    <col min="16" max="18" width="12.81640625" style="107" customWidth="1"/>
    <col min="19" max="19" width="5.453125" style="107" customWidth="1"/>
    <col min="20" max="20" width="12.81640625" style="107" customWidth="1"/>
    <col min="21" max="23" width="12.81640625" style="108" customWidth="1"/>
    <col min="24" max="24" width="5.453125" style="107" customWidth="1"/>
    <col min="25" max="28" width="12.81640625" style="108" customWidth="1"/>
    <col min="29" max="29" width="5.453125" style="107" customWidth="1"/>
    <col min="30" max="30" width="12.81640625" style="108" customWidth="1"/>
    <col min="31" max="33" width="12.54296875" style="108" customWidth="1"/>
    <col min="34" max="34" width="5.453125" style="107" customWidth="1"/>
    <col min="35" max="35" width="13" style="108" customWidth="1"/>
    <col min="36" max="38" width="12.54296875" style="108" customWidth="1"/>
    <col min="39" max="39" width="5.453125" style="107" customWidth="1"/>
    <col min="40" max="40" width="13" style="108" customWidth="1"/>
    <col min="41" max="43" width="13.1796875" style="108" customWidth="1"/>
    <col min="44" max="44" width="5.453125" style="108" customWidth="1"/>
    <col min="45" max="48" width="13.1796875" style="108" customWidth="1"/>
    <col min="49" max="49" width="5.453125" style="108" customWidth="1"/>
    <col min="50" max="50" width="13.1796875" style="108" customWidth="1"/>
    <col min="51" max="16384" width="8.81640625" style="108"/>
  </cols>
  <sheetData>
    <row r="1" spans="1:54" ht="21">
      <c r="A1" s="75"/>
      <c r="B1" s="221" t="s">
        <v>330</v>
      </c>
      <c r="C1" s="220">
        <f>AVERAGE(L7,L42,L77,L112,L147,L182)</f>
        <v>85.722401734426455</v>
      </c>
    </row>
    <row r="2" spans="1:54" ht="15.5">
      <c r="A2" s="81"/>
      <c r="B2" s="555" t="s">
        <v>163</v>
      </c>
      <c r="C2" s="555"/>
      <c r="D2" s="555"/>
      <c r="E2" s="555"/>
      <c r="F2" s="555"/>
      <c r="G2" s="555"/>
      <c r="H2" s="555"/>
      <c r="I2" s="287"/>
      <c r="J2" s="287"/>
      <c r="K2" s="287"/>
      <c r="L2" s="287"/>
      <c r="M2" s="197"/>
      <c r="N2" s="559" t="s">
        <v>156</v>
      </c>
      <c r="O2" s="559" t="s">
        <v>155</v>
      </c>
      <c r="P2" s="551"/>
      <c r="Q2" s="552"/>
      <c r="R2" s="552"/>
      <c r="S2" s="552"/>
      <c r="T2" s="553"/>
      <c r="U2" s="554"/>
      <c r="V2" s="533"/>
      <c r="W2" s="533"/>
      <c r="X2" s="533"/>
      <c r="Y2" s="533"/>
      <c r="Z2" s="554"/>
      <c r="AA2" s="533"/>
      <c r="AB2" s="533"/>
      <c r="AC2" s="533"/>
      <c r="AD2" s="533"/>
      <c r="AE2" s="554"/>
      <c r="AF2" s="533"/>
      <c r="AG2" s="533"/>
      <c r="AH2" s="533"/>
      <c r="AI2" s="533"/>
      <c r="AJ2" s="554">
        <v>45962</v>
      </c>
      <c r="AK2" s="533"/>
      <c r="AL2" s="533"/>
      <c r="AM2" s="533"/>
      <c r="AN2" s="533"/>
      <c r="AO2" s="554">
        <f>AJ2+1</f>
        <v>45963</v>
      </c>
      <c r="AP2" s="533"/>
      <c r="AQ2" s="533"/>
      <c r="AR2" s="533"/>
      <c r="AS2" s="533"/>
      <c r="AT2" s="554">
        <v>46357</v>
      </c>
      <c r="AU2" s="533"/>
      <c r="AV2" s="533"/>
      <c r="AW2" s="533"/>
      <c r="AX2" s="533"/>
    </row>
    <row r="3" spans="1:54" ht="15.5">
      <c r="A3" s="81"/>
      <c r="B3" s="566"/>
      <c r="C3" s="566"/>
      <c r="D3" s="566"/>
      <c r="E3" s="566"/>
      <c r="F3" s="566"/>
      <c r="G3" s="566"/>
      <c r="H3" s="566"/>
      <c r="I3" s="288"/>
      <c r="J3" s="288"/>
      <c r="K3" s="288"/>
      <c r="L3" s="288"/>
      <c r="M3" s="198"/>
      <c r="N3" s="560"/>
      <c r="O3" s="560"/>
      <c r="P3" s="551"/>
      <c r="Q3" s="552"/>
      <c r="R3" s="552"/>
      <c r="S3" s="552"/>
      <c r="T3" s="553"/>
      <c r="U3" s="551"/>
      <c r="V3" s="552"/>
      <c r="W3" s="552"/>
      <c r="X3" s="552"/>
      <c r="Y3" s="553"/>
      <c r="Z3" s="551"/>
      <c r="AA3" s="552"/>
      <c r="AB3" s="552"/>
      <c r="AC3" s="552"/>
      <c r="AD3" s="553"/>
      <c r="AE3" s="551"/>
      <c r="AF3" s="552"/>
      <c r="AG3" s="552"/>
      <c r="AH3" s="552"/>
      <c r="AI3" s="553"/>
      <c r="AJ3" s="551" t="s">
        <v>160</v>
      </c>
      <c r="AK3" s="552"/>
      <c r="AL3" s="552"/>
      <c r="AM3" s="552"/>
      <c r="AN3" s="553"/>
      <c r="AO3" s="551" t="s">
        <v>161</v>
      </c>
      <c r="AP3" s="552"/>
      <c r="AQ3" s="552"/>
      <c r="AR3" s="552"/>
      <c r="AS3" s="553"/>
      <c r="AT3" s="551" t="s">
        <v>162</v>
      </c>
      <c r="AU3" s="552"/>
      <c r="AV3" s="552"/>
      <c r="AW3" s="552"/>
      <c r="AX3" s="553"/>
    </row>
    <row r="4" spans="1:54">
      <c r="A4" s="81"/>
      <c r="B4" s="544" t="s">
        <v>649</v>
      </c>
      <c r="C4" s="544" t="s">
        <v>650</v>
      </c>
      <c r="D4" s="544"/>
      <c r="E4" s="544" t="s">
        <v>651</v>
      </c>
      <c r="F4" s="544"/>
      <c r="G4" s="544"/>
      <c r="H4" s="561" t="s">
        <v>652</v>
      </c>
      <c r="I4" s="583" t="s">
        <v>653</v>
      </c>
      <c r="J4" s="583"/>
      <c r="K4" s="583"/>
      <c r="L4" s="584" t="s">
        <v>652</v>
      </c>
      <c r="M4" s="567" t="s">
        <v>654</v>
      </c>
      <c r="N4" s="544"/>
      <c r="O4" s="544" t="s">
        <v>655</v>
      </c>
      <c r="P4" s="548" t="s">
        <v>656</v>
      </c>
      <c r="Q4" s="549"/>
      <c r="R4" s="549"/>
      <c r="S4" s="550"/>
      <c r="T4" s="544" t="s">
        <v>421</v>
      </c>
      <c r="U4" s="548" t="s">
        <v>656</v>
      </c>
      <c r="V4" s="549"/>
      <c r="W4" s="549"/>
      <c r="X4" s="550"/>
      <c r="Y4" s="544" t="s">
        <v>652</v>
      </c>
      <c r="Z4" s="548" t="s">
        <v>656</v>
      </c>
      <c r="AA4" s="549"/>
      <c r="AB4" s="549"/>
      <c r="AC4" s="550"/>
      <c r="AD4" s="544" t="s">
        <v>652</v>
      </c>
      <c r="AE4" s="548" t="s">
        <v>656</v>
      </c>
      <c r="AF4" s="549"/>
      <c r="AG4" s="549"/>
      <c r="AH4" s="550"/>
      <c r="AI4" s="544" t="s">
        <v>652</v>
      </c>
      <c r="AJ4" s="548" t="s">
        <v>656</v>
      </c>
      <c r="AK4" s="549"/>
      <c r="AL4" s="549"/>
      <c r="AM4" s="550"/>
      <c r="AN4" s="544" t="s">
        <v>652</v>
      </c>
      <c r="AO4" s="548" t="s">
        <v>656</v>
      </c>
      <c r="AP4" s="549"/>
      <c r="AQ4" s="549"/>
      <c r="AR4" s="550"/>
      <c r="AS4" s="544" t="s">
        <v>652</v>
      </c>
      <c r="AT4" s="548" t="s">
        <v>457</v>
      </c>
      <c r="AU4" s="549"/>
      <c r="AV4" s="549"/>
      <c r="AW4" s="550"/>
      <c r="AX4" s="544" t="s">
        <v>652</v>
      </c>
    </row>
    <row r="5" spans="1:54">
      <c r="A5" s="81"/>
      <c r="B5" s="544"/>
      <c r="C5" s="544"/>
      <c r="D5" s="544"/>
      <c r="E5" s="544" t="s">
        <v>657</v>
      </c>
      <c r="F5" s="544"/>
      <c r="G5" s="544"/>
      <c r="H5" s="562"/>
      <c r="I5" s="583" t="s">
        <v>657</v>
      </c>
      <c r="J5" s="583"/>
      <c r="K5" s="583"/>
      <c r="L5" s="585"/>
      <c r="M5" s="568"/>
      <c r="N5" s="544"/>
      <c r="O5" s="544"/>
      <c r="P5" s="548" t="s">
        <v>658</v>
      </c>
      <c r="Q5" s="549"/>
      <c r="R5" s="549"/>
      <c r="S5" s="550"/>
      <c r="T5" s="544"/>
      <c r="U5" s="548" t="s">
        <v>658</v>
      </c>
      <c r="V5" s="549"/>
      <c r="W5" s="549"/>
      <c r="X5" s="550"/>
      <c r="Y5" s="544"/>
      <c r="Z5" s="548" t="s">
        <v>658</v>
      </c>
      <c r="AA5" s="549"/>
      <c r="AB5" s="549"/>
      <c r="AC5" s="550"/>
      <c r="AD5" s="544"/>
      <c r="AE5" s="548" t="s">
        <v>658</v>
      </c>
      <c r="AF5" s="549"/>
      <c r="AG5" s="549"/>
      <c r="AH5" s="550"/>
      <c r="AI5" s="544"/>
      <c r="AJ5" s="548" t="s">
        <v>658</v>
      </c>
      <c r="AK5" s="549"/>
      <c r="AL5" s="549"/>
      <c r="AM5" s="550"/>
      <c r="AN5" s="544"/>
      <c r="AO5" s="548" t="s">
        <v>658</v>
      </c>
      <c r="AP5" s="549"/>
      <c r="AQ5" s="549"/>
      <c r="AR5" s="550"/>
      <c r="AS5" s="544"/>
      <c r="AT5" s="548" t="s">
        <v>658</v>
      </c>
      <c r="AU5" s="549"/>
      <c r="AV5" s="549"/>
      <c r="AW5" s="550"/>
      <c r="AX5" s="544"/>
    </row>
    <row r="6" spans="1:54">
      <c r="A6" s="79"/>
      <c r="B6" s="544"/>
      <c r="C6" s="544"/>
      <c r="D6" s="544"/>
      <c r="E6" s="403" t="s">
        <v>659</v>
      </c>
      <c r="F6" s="403" t="s">
        <v>660</v>
      </c>
      <c r="G6" s="403" t="s">
        <v>661</v>
      </c>
      <c r="H6" s="563"/>
      <c r="I6" s="402" t="s">
        <v>659</v>
      </c>
      <c r="J6" s="402" t="s">
        <v>660</v>
      </c>
      <c r="K6" s="402" t="s">
        <v>462</v>
      </c>
      <c r="L6" s="586"/>
      <c r="M6" s="569"/>
      <c r="N6" s="544"/>
      <c r="O6" s="544"/>
      <c r="P6" s="403" t="s">
        <v>659</v>
      </c>
      <c r="Q6" s="403" t="s">
        <v>660</v>
      </c>
      <c r="R6" s="403" t="s">
        <v>661</v>
      </c>
      <c r="S6" s="403" t="s">
        <v>654</v>
      </c>
      <c r="T6" s="544"/>
      <c r="U6" s="403" t="s">
        <v>659</v>
      </c>
      <c r="V6" s="403" t="s">
        <v>660</v>
      </c>
      <c r="W6" s="403" t="s">
        <v>661</v>
      </c>
      <c r="X6" s="403" t="s">
        <v>654</v>
      </c>
      <c r="Y6" s="544"/>
      <c r="Z6" s="403" t="s">
        <v>659</v>
      </c>
      <c r="AA6" s="403" t="s">
        <v>466</v>
      </c>
      <c r="AB6" s="403" t="s">
        <v>661</v>
      </c>
      <c r="AC6" s="403" t="s">
        <v>654</v>
      </c>
      <c r="AD6" s="544"/>
      <c r="AE6" s="403" t="s">
        <v>659</v>
      </c>
      <c r="AF6" s="403" t="s">
        <v>660</v>
      </c>
      <c r="AG6" s="403" t="s">
        <v>661</v>
      </c>
      <c r="AH6" s="403" t="s">
        <v>654</v>
      </c>
      <c r="AI6" s="544"/>
      <c r="AJ6" s="403" t="s">
        <v>659</v>
      </c>
      <c r="AK6" s="403" t="s">
        <v>660</v>
      </c>
      <c r="AL6" s="403" t="s">
        <v>661</v>
      </c>
      <c r="AM6" s="403" t="s">
        <v>654</v>
      </c>
      <c r="AN6" s="544"/>
      <c r="AO6" s="403" t="s">
        <v>659</v>
      </c>
      <c r="AP6" s="403" t="s">
        <v>660</v>
      </c>
      <c r="AQ6" s="403" t="s">
        <v>462</v>
      </c>
      <c r="AR6" s="403" t="s">
        <v>654</v>
      </c>
      <c r="AS6" s="544"/>
      <c r="AT6" s="403" t="s">
        <v>659</v>
      </c>
      <c r="AU6" s="403" t="s">
        <v>660</v>
      </c>
      <c r="AV6" s="403" t="s">
        <v>661</v>
      </c>
      <c r="AW6" s="403" t="s">
        <v>654</v>
      </c>
      <c r="AX6" s="544"/>
    </row>
    <row r="7" spans="1:54">
      <c r="A7" s="81"/>
      <c r="B7" s="544" t="s">
        <v>714</v>
      </c>
      <c r="C7" s="404">
        <v>1</v>
      </c>
      <c r="D7" s="226" t="s">
        <v>374</v>
      </c>
      <c r="E7" s="182">
        <v>6</v>
      </c>
      <c r="F7" s="404">
        <v>1600</v>
      </c>
      <c r="G7" s="405">
        <v>266.66666666666669</v>
      </c>
      <c r="H7" s="597">
        <f>AVERAGE(G7:G36)</f>
        <v>98.811670602789007</v>
      </c>
      <c r="I7" s="408">
        <f>AVERAGE(P7,U7,Z7,AE7,AJ7,AO7,AT7)</f>
        <v>6</v>
      </c>
      <c r="J7" s="408">
        <f>AVERAGE(Q7,V7,AA7,AF7,AK7,AP7,AU7)</f>
        <v>1516.6903553299487</v>
      </c>
      <c r="K7" s="406">
        <f>AVERAGE(R7,W7,AB7,AG7,AL7,AQ7,AV7)</f>
        <v>252.78172588832479</v>
      </c>
      <c r="L7" s="587">
        <f>IFERROR(AVERAGE(K7:K36),"-")</f>
        <v>87.459454242736371</v>
      </c>
      <c r="M7" s="407">
        <f>RANK(K7, $K$7:K$36)</f>
        <v>1</v>
      </c>
      <c r="N7" s="544"/>
      <c r="O7" s="544"/>
      <c r="P7" s="182"/>
      <c r="Q7" s="182"/>
      <c r="R7" s="182"/>
      <c r="S7" s="404" t="e">
        <f t="shared" ref="S7:S36" si="0">RANK(R7, R$7:R$36)</f>
        <v>#N/A</v>
      </c>
      <c r="T7" s="534" t="e">
        <f>AVERAGE(R7:R36)</f>
        <v>#DIV/0!</v>
      </c>
      <c r="U7" s="182"/>
      <c r="V7" s="182"/>
      <c r="W7" s="182"/>
      <c r="X7" s="404" t="e">
        <f t="shared" ref="X7:X36" si="1">RANK(W7, W$7:W$36)</f>
        <v>#N/A</v>
      </c>
      <c r="Y7" s="534" t="e">
        <f>AVERAGE(W7:W36)</f>
        <v>#DIV/0!</v>
      </c>
      <c r="Z7" s="182"/>
      <c r="AA7" s="182"/>
      <c r="AB7" s="182"/>
      <c r="AC7" s="404" t="e">
        <f t="shared" ref="AC7:AC36" si="2">RANK(AB7, AB$7:AB$36)</f>
        <v>#N/A</v>
      </c>
      <c r="AD7" s="534" t="e">
        <f>AVERAGE(AB7:AB36)</f>
        <v>#DIV/0!</v>
      </c>
      <c r="AE7" s="182"/>
      <c r="AF7" s="182"/>
      <c r="AG7" s="182"/>
      <c r="AH7" s="404" t="e">
        <f t="shared" ref="AH7:AH36" si="3">RANK(AG7, AG$7:AG$36)</f>
        <v>#N/A</v>
      </c>
      <c r="AI7" s="534" t="e">
        <f>AVERAGE(AG7:AG36)</f>
        <v>#DIV/0!</v>
      </c>
      <c r="AJ7" s="182"/>
      <c r="AK7" s="182"/>
      <c r="AL7" s="182"/>
      <c r="AM7" s="404" t="e">
        <f t="shared" ref="AM7:AM36" si="4">RANK(AL7, AL$7:AL$36)</f>
        <v>#N/A</v>
      </c>
      <c r="AN7" s="534" t="e">
        <f>AVERAGE(AL7:AL36)</f>
        <v>#DIV/0!</v>
      </c>
      <c r="AO7" s="182"/>
      <c r="AP7" s="182"/>
      <c r="AQ7" s="182"/>
      <c r="AR7" s="404" t="e">
        <f t="shared" ref="AR7:AR36" si="5">RANK(AQ7, AQ$7:AQ$36)</f>
        <v>#N/A</v>
      </c>
      <c r="AS7" s="534" t="e">
        <f>AVERAGE(AQ7:AQ36)</f>
        <v>#DIV/0!</v>
      </c>
      <c r="AT7" s="182">
        <v>6</v>
      </c>
      <c r="AU7" s="182">
        <v>1516.6903553299487</v>
      </c>
      <c r="AV7" s="182">
        <v>252.78172588832479</v>
      </c>
      <c r="AW7" s="404">
        <f t="shared" ref="AW7:AW36" si="6">RANK(AV7, AV$7:AV$36)</f>
        <v>1</v>
      </c>
      <c r="AX7" s="534">
        <f>AVERAGE(AV7:AV36)</f>
        <v>86.296928392236623</v>
      </c>
      <c r="AZ7" s="321" t="e">
        <f>RANK(AX7, $K$7:AX$36)</f>
        <v>#N/A</v>
      </c>
      <c r="BB7" s="318" t="e">
        <f t="shared" ref="BB7:BB36" si="7">RANK(BA7, BA$7:BA$36)</f>
        <v>#N/A</v>
      </c>
    </row>
    <row r="8" spans="1:54" ht="15" customHeight="1">
      <c r="A8" s="81"/>
      <c r="B8" s="533"/>
      <c r="C8" s="404">
        <v>2</v>
      </c>
      <c r="D8" s="226" t="s">
        <v>398</v>
      </c>
      <c r="E8" s="182">
        <v>6</v>
      </c>
      <c r="F8" s="404">
        <v>1500</v>
      </c>
      <c r="G8" s="405">
        <v>250</v>
      </c>
      <c r="H8" s="598"/>
      <c r="I8" s="408">
        <f t="shared" ref="I8:K31" si="8">AVERAGE(P8,U8,Z8,AE8,AJ8,AO8,AT8)</f>
        <v>6</v>
      </c>
      <c r="J8" s="408">
        <f t="shared" si="8"/>
        <v>1499.3814432989689</v>
      </c>
      <c r="K8" s="406">
        <f t="shared" si="8"/>
        <v>249.89690721649481</v>
      </c>
      <c r="L8" s="588"/>
      <c r="M8" s="407">
        <f>RANK(K8, $K$7:K$36)</f>
        <v>2</v>
      </c>
      <c r="N8" s="544"/>
      <c r="O8" s="544"/>
      <c r="P8" s="182"/>
      <c r="Q8" s="182"/>
      <c r="R8" s="182"/>
      <c r="S8" s="404" t="e">
        <f t="shared" si="0"/>
        <v>#N/A</v>
      </c>
      <c r="T8" s="534"/>
      <c r="U8" s="182"/>
      <c r="V8" s="182"/>
      <c r="W8" s="182"/>
      <c r="X8" s="404" t="e">
        <f t="shared" si="1"/>
        <v>#N/A</v>
      </c>
      <c r="Y8" s="534"/>
      <c r="Z8" s="182"/>
      <c r="AA8" s="182"/>
      <c r="AB8" s="182"/>
      <c r="AC8" s="404" t="e">
        <f t="shared" si="2"/>
        <v>#N/A</v>
      </c>
      <c r="AD8" s="534"/>
      <c r="AE8" s="182"/>
      <c r="AF8" s="182"/>
      <c r="AG8" s="182"/>
      <c r="AH8" s="404" t="e">
        <f t="shared" si="3"/>
        <v>#N/A</v>
      </c>
      <c r="AI8" s="534"/>
      <c r="AJ8" s="182"/>
      <c r="AK8" s="182"/>
      <c r="AL8" s="182"/>
      <c r="AM8" s="404" t="e">
        <f t="shared" si="4"/>
        <v>#N/A</v>
      </c>
      <c r="AN8" s="534"/>
      <c r="AO8" s="182"/>
      <c r="AP8" s="182"/>
      <c r="AQ8" s="182"/>
      <c r="AR8" s="404" t="e">
        <f t="shared" si="5"/>
        <v>#N/A</v>
      </c>
      <c r="AS8" s="534"/>
      <c r="AT8" s="182">
        <v>6</v>
      </c>
      <c r="AU8" s="182">
        <v>1499.3814432989689</v>
      </c>
      <c r="AV8" s="182">
        <v>249.89690721649481</v>
      </c>
      <c r="AW8" s="404">
        <f t="shared" si="6"/>
        <v>2</v>
      </c>
      <c r="AX8" s="534"/>
      <c r="AZ8" s="321" t="e">
        <f>RANK(AX8, $K$7:AX$36)</f>
        <v>#N/A</v>
      </c>
      <c r="BB8" s="318" t="e">
        <f t="shared" si="7"/>
        <v>#N/A</v>
      </c>
    </row>
    <row r="9" spans="1:54">
      <c r="A9" s="81"/>
      <c r="B9" s="533"/>
      <c r="C9" s="404">
        <v>3</v>
      </c>
      <c r="D9" s="226" t="s">
        <v>375</v>
      </c>
      <c r="E9" s="182">
        <v>17</v>
      </c>
      <c r="F9" s="404">
        <v>1500</v>
      </c>
      <c r="G9" s="405">
        <v>88.235294117647058</v>
      </c>
      <c r="H9" s="598"/>
      <c r="I9" s="408">
        <f t="shared" si="8"/>
        <v>17</v>
      </c>
      <c r="J9" s="408">
        <f t="shared" si="8"/>
        <v>1247.8651685393259</v>
      </c>
      <c r="K9" s="406">
        <f t="shared" si="8"/>
        <v>73.403833443489759</v>
      </c>
      <c r="L9" s="588"/>
      <c r="M9" s="407">
        <f>RANK(K9, $K$7:K$36)</f>
        <v>14</v>
      </c>
      <c r="N9" s="544"/>
      <c r="O9" s="544"/>
      <c r="P9" s="182"/>
      <c r="Q9" s="182"/>
      <c r="R9" s="182"/>
      <c r="S9" s="404" t="e">
        <f t="shared" si="0"/>
        <v>#N/A</v>
      </c>
      <c r="T9" s="534"/>
      <c r="U9" s="182"/>
      <c r="V9" s="182"/>
      <c r="W9" s="182"/>
      <c r="X9" s="404" t="e">
        <f t="shared" si="1"/>
        <v>#N/A</v>
      </c>
      <c r="Y9" s="534"/>
      <c r="Z9" s="182"/>
      <c r="AA9" s="182"/>
      <c r="AB9" s="182"/>
      <c r="AC9" s="404" t="e">
        <f t="shared" si="2"/>
        <v>#N/A</v>
      </c>
      <c r="AD9" s="534"/>
      <c r="AE9" s="182"/>
      <c r="AF9" s="182"/>
      <c r="AG9" s="182"/>
      <c r="AH9" s="404" t="e">
        <f t="shared" si="3"/>
        <v>#N/A</v>
      </c>
      <c r="AI9" s="534"/>
      <c r="AJ9" s="182"/>
      <c r="AK9" s="182"/>
      <c r="AL9" s="182"/>
      <c r="AM9" s="404" t="e">
        <f t="shared" si="4"/>
        <v>#N/A</v>
      </c>
      <c r="AN9" s="534"/>
      <c r="AO9" s="182"/>
      <c r="AP9" s="182"/>
      <c r="AQ9" s="182"/>
      <c r="AR9" s="404" t="e">
        <f t="shared" si="5"/>
        <v>#N/A</v>
      </c>
      <c r="AS9" s="534"/>
      <c r="AT9" s="182">
        <v>17</v>
      </c>
      <c r="AU9" s="182">
        <v>1247.8651685393259</v>
      </c>
      <c r="AV9" s="182">
        <v>73.403833443489759</v>
      </c>
      <c r="AW9" s="404">
        <f t="shared" si="6"/>
        <v>14</v>
      </c>
      <c r="AX9" s="534"/>
      <c r="AZ9" s="321" t="e">
        <f>RANK(AX9, $K$7:AX$36)</f>
        <v>#N/A</v>
      </c>
      <c r="BB9" s="318" t="e">
        <f t="shared" si="7"/>
        <v>#N/A</v>
      </c>
    </row>
    <row r="10" spans="1:54">
      <c r="A10" s="81"/>
      <c r="B10" s="533"/>
      <c r="C10" s="404">
        <v>4</v>
      </c>
      <c r="D10" s="226" t="s">
        <v>355</v>
      </c>
      <c r="E10" s="182">
        <v>19</v>
      </c>
      <c r="F10" s="404">
        <v>1500</v>
      </c>
      <c r="G10" s="405">
        <v>78.94736842105263</v>
      </c>
      <c r="H10" s="598"/>
      <c r="I10" s="408">
        <f t="shared" si="8"/>
        <v>19</v>
      </c>
      <c r="J10" s="408">
        <f t="shared" si="8"/>
        <v>1261.2244897959188</v>
      </c>
      <c r="K10" s="406">
        <f t="shared" si="8"/>
        <v>66.380236305048356</v>
      </c>
      <c r="L10" s="588"/>
      <c r="M10" s="407">
        <f>RANK(K10, $K$7:K$36)</f>
        <v>24</v>
      </c>
      <c r="N10" s="544"/>
      <c r="O10" s="544"/>
      <c r="P10" s="182"/>
      <c r="Q10" s="182"/>
      <c r="R10" s="182"/>
      <c r="S10" s="404" t="e">
        <f t="shared" si="0"/>
        <v>#N/A</v>
      </c>
      <c r="T10" s="534"/>
      <c r="U10" s="182"/>
      <c r="V10" s="182"/>
      <c r="W10" s="182"/>
      <c r="X10" s="404" t="e">
        <f t="shared" si="1"/>
        <v>#N/A</v>
      </c>
      <c r="Y10" s="534"/>
      <c r="Z10" s="182"/>
      <c r="AA10" s="182"/>
      <c r="AB10" s="182"/>
      <c r="AC10" s="404" t="e">
        <f t="shared" si="2"/>
        <v>#N/A</v>
      </c>
      <c r="AD10" s="534"/>
      <c r="AE10" s="182"/>
      <c r="AF10" s="182"/>
      <c r="AG10" s="182"/>
      <c r="AH10" s="404" t="e">
        <f t="shared" si="3"/>
        <v>#N/A</v>
      </c>
      <c r="AI10" s="534"/>
      <c r="AJ10" s="182"/>
      <c r="AK10" s="182"/>
      <c r="AL10" s="182"/>
      <c r="AM10" s="404" t="e">
        <f t="shared" si="4"/>
        <v>#N/A</v>
      </c>
      <c r="AN10" s="534"/>
      <c r="AO10" s="182"/>
      <c r="AP10" s="182"/>
      <c r="AQ10" s="182"/>
      <c r="AR10" s="404" t="e">
        <f t="shared" si="5"/>
        <v>#N/A</v>
      </c>
      <c r="AS10" s="534"/>
      <c r="AT10" s="182">
        <v>19</v>
      </c>
      <c r="AU10" s="182">
        <v>1261.2244897959188</v>
      </c>
      <c r="AV10" s="182">
        <v>66.380236305048356</v>
      </c>
      <c r="AW10" s="404">
        <f t="shared" si="6"/>
        <v>24</v>
      </c>
      <c r="AX10" s="534"/>
      <c r="AZ10" s="321" t="e">
        <f>RANK(AX10, $K$7:AX$36)</f>
        <v>#N/A</v>
      </c>
      <c r="BB10" s="318" t="e">
        <f t="shared" si="7"/>
        <v>#N/A</v>
      </c>
    </row>
    <row r="11" spans="1:54">
      <c r="A11" s="81"/>
      <c r="B11" s="533"/>
      <c r="C11" s="404">
        <v>5</v>
      </c>
      <c r="D11" s="226" t="s">
        <v>353</v>
      </c>
      <c r="E11" s="182">
        <v>16</v>
      </c>
      <c r="F11" s="404">
        <v>1500</v>
      </c>
      <c r="G11" s="405">
        <v>93.75</v>
      </c>
      <c r="H11" s="598"/>
      <c r="I11" s="408">
        <f t="shared" si="8"/>
        <v>16</v>
      </c>
      <c r="J11" s="408">
        <f t="shared" si="8"/>
        <v>1324.6153846153832</v>
      </c>
      <c r="K11" s="406">
        <f t="shared" si="8"/>
        <v>82.788461538461448</v>
      </c>
      <c r="L11" s="588"/>
      <c r="M11" s="407">
        <f>RANK(K11, $K$7:K$36)</f>
        <v>4</v>
      </c>
      <c r="N11" s="544"/>
      <c r="O11" s="544"/>
      <c r="P11" s="182"/>
      <c r="Q11" s="182"/>
      <c r="R11" s="182"/>
      <c r="S11" s="404" t="e">
        <f t="shared" si="0"/>
        <v>#N/A</v>
      </c>
      <c r="T11" s="534"/>
      <c r="U11" s="182"/>
      <c r="V11" s="182"/>
      <c r="W11" s="182"/>
      <c r="X11" s="404" t="e">
        <f t="shared" si="1"/>
        <v>#N/A</v>
      </c>
      <c r="Y11" s="534"/>
      <c r="Z11" s="182"/>
      <c r="AA11" s="182"/>
      <c r="AB11" s="182"/>
      <c r="AC11" s="404" t="e">
        <f t="shared" si="2"/>
        <v>#N/A</v>
      </c>
      <c r="AD11" s="534"/>
      <c r="AE11" s="182"/>
      <c r="AF11" s="182"/>
      <c r="AG11" s="182"/>
      <c r="AH11" s="404" t="e">
        <f t="shared" si="3"/>
        <v>#N/A</v>
      </c>
      <c r="AI11" s="534"/>
      <c r="AJ11" s="182"/>
      <c r="AK11" s="182"/>
      <c r="AL11" s="182"/>
      <c r="AM11" s="404" t="e">
        <f t="shared" si="4"/>
        <v>#N/A</v>
      </c>
      <c r="AN11" s="534"/>
      <c r="AO11" s="182"/>
      <c r="AP11" s="182"/>
      <c r="AQ11" s="182"/>
      <c r="AR11" s="404" t="e">
        <f t="shared" si="5"/>
        <v>#N/A</v>
      </c>
      <c r="AS11" s="534"/>
      <c r="AT11" s="182">
        <v>16</v>
      </c>
      <c r="AU11" s="182">
        <v>1324.6153846153832</v>
      </c>
      <c r="AV11" s="182">
        <v>82.788461538461448</v>
      </c>
      <c r="AW11" s="404">
        <f t="shared" si="6"/>
        <v>4</v>
      </c>
      <c r="AX11" s="534"/>
      <c r="AZ11" s="321" t="e">
        <f>RANK(AX11, $K$7:AX$36)</f>
        <v>#N/A</v>
      </c>
      <c r="BB11" s="318" t="e">
        <f t="shared" si="7"/>
        <v>#N/A</v>
      </c>
    </row>
    <row r="12" spans="1:54">
      <c r="A12" s="81"/>
      <c r="B12" s="533"/>
      <c r="C12" s="404">
        <v>6</v>
      </c>
      <c r="D12" s="226" t="s">
        <v>382</v>
      </c>
      <c r="E12" s="182">
        <v>16</v>
      </c>
      <c r="F12" s="404">
        <v>1565</v>
      </c>
      <c r="G12" s="405">
        <v>97.8125</v>
      </c>
      <c r="H12" s="598"/>
      <c r="I12" s="408">
        <f t="shared" si="8"/>
        <v>16</v>
      </c>
      <c r="J12" s="408">
        <f t="shared" si="8"/>
        <v>1343.5955056179776</v>
      </c>
      <c r="K12" s="406">
        <f t="shared" si="8"/>
        <v>83.974719101123597</v>
      </c>
      <c r="L12" s="588"/>
      <c r="M12" s="407">
        <f>RANK(K12, $K$7:K$36)</f>
        <v>3</v>
      </c>
      <c r="N12" s="544"/>
      <c r="O12" s="544"/>
      <c r="P12" s="182"/>
      <c r="Q12" s="182"/>
      <c r="R12" s="182"/>
      <c r="S12" s="404" t="e">
        <f t="shared" si="0"/>
        <v>#N/A</v>
      </c>
      <c r="T12" s="534"/>
      <c r="U12" s="182"/>
      <c r="V12" s="182"/>
      <c r="W12" s="182"/>
      <c r="X12" s="404" t="e">
        <f t="shared" si="1"/>
        <v>#N/A</v>
      </c>
      <c r="Y12" s="534"/>
      <c r="Z12" s="182"/>
      <c r="AA12" s="182"/>
      <c r="AB12" s="182"/>
      <c r="AC12" s="404" t="e">
        <f t="shared" si="2"/>
        <v>#N/A</v>
      </c>
      <c r="AD12" s="534"/>
      <c r="AE12" s="182"/>
      <c r="AF12" s="182"/>
      <c r="AG12" s="182"/>
      <c r="AH12" s="404" t="e">
        <f t="shared" si="3"/>
        <v>#N/A</v>
      </c>
      <c r="AI12" s="534"/>
      <c r="AJ12" s="182"/>
      <c r="AK12" s="182"/>
      <c r="AL12" s="182"/>
      <c r="AM12" s="404" t="e">
        <f t="shared" si="4"/>
        <v>#N/A</v>
      </c>
      <c r="AN12" s="534"/>
      <c r="AO12" s="182"/>
      <c r="AP12" s="182"/>
      <c r="AQ12" s="182"/>
      <c r="AR12" s="404" t="e">
        <f t="shared" si="5"/>
        <v>#N/A</v>
      </c>
      <c r="AS12" s="534"/>
      <c r="AT12" s="182">
        <v>16</v>
      </c>
      <c r="AU12" s="182">
        <v>1343.5955056179776</v>
      </c>
      <c r="AV12" s="182">
        <v>83.974719101123597</v>
      </c>
      <c r="AW12" s="404">
        <f t="shared" si="6"/>
        <v>3</v>
      </c>
      <c r="AX12" s="534"/>
      <c r="AZ12" s="321" t="e">
        <f>RANK(AX12, $K$7:AX$36)</f>
        <v>#N/A</v>
      </c>
      <c r="BB12" s="318" t="e">
        <f t="shared" si="7"/>
        <v>#N/A</v>
      </c>
    </row>
    <row r="13" spans="1:54">
      <c r="A13" s="81"/>
      <c r="B13" s="533"/>
      <c r="C13" s="404">
        <v>7</v>
      </c>
      <c r="D13" s="226" t="s">
        <v>343</v>
      </c>
      <c r="E13" s="182">
        <v>16</v>
      </c>
      <c r="F13" s="404">
        <v>1440</v>
      </c>
      <c r="G13" s="405">
        <v>90</v>
      </c>
      <c r="H13" s="598"/>
      <c r="I13" s="408">
        <f t="shared" si="8"/>
        <v>16</v>
      </c>
      <c r="J13" s="408">
        <f t="shared" si="8"/>
        <v>1138.3333333333323</v>
      </c>
      <c r="K13" s="406">
        <f t="shared" si="8"/>
        <v>71.145833333333272</v>
      </c>
      <c r="L13" s="588"/>
      <c r="M13" s="407">
        <f>RANK(K13, $K$7:K$36)</f>
        <v>17</v>
      </c>
      <c r="N13" s="544"/>
      <c r="O13" s="544"/>
      <c r="P13" s="182"/>
      <c r="Q13" s="182"/>
      <c r="R13" s="182"/>
      <c r="S13" s="404" t="e">
        <f t="shared" si="0"/>
        <v>#N/A</v>
      </c>
      <c r="T13" s="534"/>
      <c r="U13" s="182"/>
      <c r="V13" s="182"/>
      <c r="W13" s="182"/>
      <c r="X13" s="404" t="e">
        <f t="shared" si="1"/>
        <v>#N/A</v>
      </c>
      <c r="Y13" s="534"/>
      <c r="Z13" s="182"/>
      <c r="AA13" s="182"/>
      <c r="AB13" s="182"/>
      <c r="AC13" s="404" t="e">
        <f t="shared" si="2"/>
        <v>#N/A</v>
      </c>
      <c r="AD13" s="534"/>
      <c r="AE13" s="182"/>
      <c r="AF13" s="182"/>
      <c r="AG13" s="182"/>
      <c r="AH13" s="404" t="e">
        <f t="shared" si="3"/>
        <v>#N/A</v>
      </c>
      <c r="AI13" s="534"/>
      <c r="AJ13" s="182"/>
      <c r="AK13" s="182"/>
      <c r="AL13" s="182"/>
      <c r="AM13" s="404" t="e">
        <f t="shared" si="4"/>
        <v>#N/A</v>
      </c>
      <c r="AN13" s="534"/>
      <c r="AO13" s="182"/>
      <c r="AP13" s="182"/>
      <c r="AQ13" s="182"/>
      <c r="AR13" s="404" t="e">
        <f t="shared" si="5"/>
        <v>#N/A</v>
      </c>
      <c r="AS13" s="534"/>
      <c r="AT13" s="182">
        <v>16</v>
      </c>
      <c r="AU13" s="182">
        <v>1138.3333333333323</v>
      </c>
      <c r="AV13" s="182">
        <v>71.145833333333272</v>
      </c>
      <c r="AW13" s="404">
        <f t="shared" si="6"/>
        <v>17</v>
      </c>
      <c r="AX13" s="534"/>
      <c r="AZ13" s="321" t="e">
        <f>RANK(AX13, $K$7:AX$36)</f>
        <v>#N/A</v>
      </c>
      <c r="BB13" s="318" t="e">
        <f t="shared" si="7"/>
        <v>#N/A</v>
      </c>
    </row>
    <row r="14" spans="1:54">
      <c r="A14" s="81"/>
      <c r="B14" s="533"/>
      <c r="C14" s="404">
        <v>8</v>
      </c>
      <c r="D14" s="226" t="s">
        <v>381</v>
      </c>
      <c r="E14" s="182">
        <v>17</v>
      </c>
      <c r="F14" s="404">
        <v>1440</v>
      </c>
      <c r="G14" s="405">
        <v>84.705882352941174</v>
      </c>
      <c r="H14" s="598"/>
      <c r="I14" s="408">
        <f t="shared" si="8"/>
        <v>17</v>
      </c>
      <c r="J14" s="408">
        <f t="shared" si="8"/>
        <v>1147.0588235294122</v>
      </c>
      <c r="K14" s="406">
        <f t="shared" si="8"/>
        <v>67.474048442906593</v>
      </c>
      <c r="L14" s="588"/>
      <c r="M14" s="407">
        <f>RANK(K14, $K$7:K$36)</f>
        <v>22</v>
      </c>
      <c r="N14" s="544"/>
      <c r="O14" s="544"/>
      <c r="P14" s="182"/>
      <c r="Q14" s="182"/>
      <c r="R14" s="182"/>
      <c r="S14" s="404" t="e">
        <f t="shared" si="0"/>
        <v>#N/A</v>
      </c>
      <c r="T14" s="534"/>
      <c r="U14" s="182"/>
      <c r="V14" s="182"/>
      <c r="W14" s="182"/>
      <c r="X14" s="404" t="e">
        <f t="shared" si="1"/>
        <v>#N/A</v>
      </c>
      <c r="Y14" s="534"/>
      <c r="Z14" s="182"/>
      <c r="AA14" s="182"/>
      <c r="AB14" s="182"/>
      <c r="AC14" s="404" t="e">
        <f t="shared" si="2"/>
        <v>#N/A</v>
      </c>
      <c r="AD14" s="534"/>
      <c r="AE14" s="182"/>
      <c r="AF14" s="182"/>
      <c r="AG14" s="182"/>
      <c r="AH14" s="404" t="e">
        <f t="shared" si="3"/>
        <v>#N/A</v>
      </c>
      <c r="AI14" s="534"/>
      <c r="AJ14" s="182"/>
      <c r="AK14" s="182"/>
      <c r="AL14" s="182"/>
      <c r="AM14" s="404" t="e">
        <f t="shared" si="4"/>
        <v>#N/A</v>
      </c>
      <c r="AN14" s="534"/>
      <c r="AO14" s="182"/>
      <c r="AP14" s="182"/>
      <c r="AQ14" s="182"/>
      <c r="AR14" s="404" t="e">
        <f t="shared" si="5"/>
        <v>#N/A</v>
      </c>
      <c r="AS14" s="534"/>
      <c r="AT14" s="182">
        <v>17</v>
      </c>
      <c r="AU14" s="182">
        <v>1147.0588235294122</v>
      </c>
      <c r="AV14" s="182">
        <v>67.474048442906593</v>
      </c>
      <c r="AW14" s="404">
        <f t="shared" si="6"/>
        <v>22</v>
      </c>
      <c r="AX14" s="534"/>
      <c r="AZ14" s="321" t="e">
        <f>RANK(AX14, $K$7:AX$36)</f>
        <v>#N/A</v>
      </c>
      <c r="BB14" s="318" t="e">
        <f t="shared" si="7"/>
        <v>#N/A</v>
      </c>
    </row>
    <row r="15" spans="1:54">
      <c r="A15" s="81"/>
      <c r="B15" s="533"/>
      <c r="C15" s="404">
        <v>9</v>
      </c>
      <c r="D15" s="226" t="s">
        <v>377</v>
      </c>
      <c r="E15" s="182">
        <v>18</v>
      </c>
      <c r="F15" s="404">
        <v>1440</v>
      </c>
      <c r="G15" s="405">
        <v>80</v>
      </c>
      <c r="H15" s="598"/>
      <c r="I15" s="408">
        <f t="shared" si="8"/>
        <v>18</v>
      </c>
      <c r="J15" s="408">
        <f t="shared" si="8"/>
        <v>1201.8181818181831</v>
      </c>
      <c r="K15" s="406">
        <f t="shared" si="8"/>
        <v>66.767676767676846</v>
      </c>
      <c r="L15" s="588"/>
      <c r="M15" s="407">
        <f>RANK(K15, $K$7:K$36)</f>
        <v>23</v>
      </c>
      <c r="N15" s="544"/>
      <c r="O15" s="544"/>
      <c r="P15" s="182"/>
      <c r="Q15" s="182"/>
      <c r="R15" s="182"/>
      <c r="S15" s="404" t="e">
        <f t="shared" si="0"/>
        <v>#N/A</v>
      </c>
      <c r="T15" s="534"/>
      <c r="U15" s="182"/>
      <c r="V15" s="182"/>
      <c r="W15" s="182"/>
      <c r="X15" s="404" t="e">
        <f t="shared" si="1"/>
        <v>#N/A</v>
      </c>
      <c r="Y15" s="534"/>
      <c r="Z15" s="182"/>
      <c r="AA15" s="182"/>
      <c r="AB15" s="182"/>
      <c r="AC15" s="404" t="e">
        <f t="shared" si="2"/>
        <v>#N/A</v>
      </c>
      <c r="AD15" s="534"/>
      <c r="AE15" s="182"/>
      <c r="AF15" s="182"/>
      <c r="AG15" s="182"/>
      <c r="AH15" s="404" t="e">
        <f t="shared" si="3"/>
        <v>#N/A</v>
      </c>
      <c r="AI15" s="534"/>
      <c r="AJ15" s="182"/>
      <c r="AK15" s="182"/>
      <c r="AL15" s="182"/>
      <c r="AM15" s="404" t="e">
        <f t="shared" si="4"/>
        <v>#N/A</v>
      </c>
      <c r="AN15" s="534"/>
      <c r="AO15" s="182"/>
      <c r="AP15" s="182"/>
      <c r="AQ15" s="182"/>
      <c r="AR15" s="404" t="e">
        <f t="shared" si="5"/>
        <v>#N/A</v>
      </c>
      <c r="AS15" s="534"/>
      <c r="AT15" s="182">
        <v>18</v>
      </c>
      <c r="AU15" s="182">
        <v>1201.8181818181831</v>
      </c>
      <c r="AV15" s="182">
        <v>66.767676767676846</v>
      </c>
      <c r="AW15" s="404">
        <f t="shared" si="6"/>
        <v>23</v>
      </c>
      <c r="AX15" s="534"/>
      <c r="AZ15" s="321" t="e">
        <f>RANK(AX15, $K$7:AX$36)</f>
        <v>#N/A</v>
      </c>
      <c r="BB15" s="318" t="e">
        <f t="shared" si="7"/>
        <v>#N/A</v>
      </c>
    </row>
    <row r="16" spans="1:54">
      <c r="A16" s="81"/>
      <c r="B16" s="533"/>
      <c r="C16" s="404">
        <v>10</v>
      </c>
      <c r="D16" s="226" t="s">
        <v>380</v>
      </c>
      <c r="E16" s="182">
        <v>19</v>
      </c>
      <c r="F16" s="404">
        <v>1636</v>
      </c>
      <c r="G16" s="405">
        <v>86.10526315789474</v>
      </c>
      <c r="H16" s="598"/>
      <c r="I16" s="408">
        <f t="shared" si="8"/>
        <v>18</v>
      </c>
      <c r="J16" s="408">
        <f t="shared" si="8"/>
        <v>1245.6338028169002</v>
      </c>
      <c r="K16" s="406">
        <f t="shared" si="8"/>
        <v>69.201877934272233</v>
      </c>
      <c r="L16" s="588"/>
      <c r="M16" s="407">
        <f>RANK(K16, $K$7:K$36)</f>
        <v>20</v>
      </c>
      <c r="N16" s="544"/>
      <c r="O16" s="544"/>
      <c r="P16" s="182"/>
      <c r="Q16" s="182"/>
      <c r="R16" s="182"/>
      <c r="S16" s="404" t="e">
        <f t="shared" si="0"/>
        <v>#N/A</v>
      </c>
      <c r="T16" s="534"/>
      <c r="U16" s="182"/>
      <c r="V16" s="182"/>
      <c r="W16" s="182"/>
      <c r="X16" s="404" t="e">
        <f t="shared" si="1"/>
        <v>#N/A</v>
      </c>
      <c r="Y16" s="534"/>
      <c r="Z16" s="182"/>
      <c r="AA16" s="182"/>
      <c r="AB16" s="182"/>
      <c r="AC16" s="404" t="e">
        <f t="shared" si="2"/>
        <v>#N/A</v>
      </c>
      <c r="AD16" s="534"/>
      <c r="AE16" s="182"/>
      <c r="AF16" s="182"/>
      <c r="AG16" s="182"/>
      <c r="AH16" s="404" t="e">
        <f t="shared" si="3"/>
        <v>#N/A</v>
      </c>
      <c r="AI16" s="534"/>
      <c r="AJ16" s="182"/>
      <c r="AK16" s="182"/>
      <c r="AL16" s="182"/>
      <c r="AM16" s="404" t="e">
        <f t="shared" si="4"/>
        <v>#N/A</v>
      </c>
      <c r="AN16" s="534"/>
      <c r="AO16" s="182"/>
      <c r="AP16" s="182"/>
      <c r="AQ16" s="182"/>
      <c r="AR16" s="404" t="e">
        <f t="shared" si="5"/>
        <v>#N/A</v>
      </c>
      <c r="AS16" s="534"/>
      <c r="AT16" s="182">
        <v>18</v>
      </c>
      <c r="AU16" s="182">
        <v>1245.6338028169002</v>
      </c>
      <c r="AV16" s="182">
        <v>69.201877934272233</v>
      </c>
      <c r="AW16" s="404">
        <f t="shared" si="6"/>
        <v>20</v>
      </c>
      <c r="AX16" s="534"/>
      <c r="AZ16" s="321" t="e">
        <f>RANK(AX16, $K$7:AX$36)</f>
        <v>#N/A</v>
      </c>
      <c r="BB16" s="318" t="e">
        <f t="shared" si="7"/>
        <v>#N/A</v>
      </c>
    </row>
    <row r="17" spans="2:54">
      <c r="B17" s="533"/>
      <c r="C17" s="404">
        <v>11</v>
      </c>
      <c r="D17" s="226" t="s">
        <v>379</v>
      </c>
      <c r="E17" s="182">
        <v>19</v>
      </c>
      <c r="F17" s="404">
        <v>1636</v>
      </c>
      <c r="G17" s="405">
        <v>86.10526315789474</v>
      </c>
      <c r="H17" s="598"/>
      <c r="I17" s="408">
        <f t="shared" si="8"/>
        <v>18</v>
      </c>
      <c r="J17" s="408">
        <f t="shared" si="8"/>
        <v>1271.1111111111118</v>
      </c>
      <c r="K17" s="406">
        <f t="shared" si="8"/>
        <v>70.61728395061732</v>
      </c>
      <c r="L17" s="588"/>
      <c r="M17" s="407">
        <f>RANK(K17, $K$7:K$36)</f>
        <v>18</v>
      </c>
      <c r="N17" s="544"/>
      <c r="O17" s="544"/>
      <c r="P17" s="182"/>
      <c r="Q17" s="182"/>
      <c r="R17" s="182"/>
      <c r="S17" s="404" t="e">
        <f t="shared" si="0"/>
        <v>#N/A</v>
      </c>
      <c r="T17" s="534"/>
      <c r="U17" s="182"/>
      <c r="V17" s="182"/>
      <c r="W17" s="182"/>
      <c r="X17" s="404" t="e">
        <f t="shared" si="1"/>
        <v>#N/A</v>
      </c>
      <c r="Y17" s="534"/>
      <c r="Z17" s="182"/>
      <c r="AA17" s="182"/>
      <c r="AB17" s="182"/>
      <c r="AC17" s="404" t="e">
        <f t="shared" si="2"/>
        <v>#N/A</v>
      </c>
      <c r="AD17" s="534"/>
      <c r="AE17" s="182"/>
      <c r="AF17" s="182"/>
      <c r="AG17" s="182"/>
      <c r="AH17" s="404" t="e">
        <f t="shared" si="3"/>
        <v>#N/A</v>
      </c>
      <c r="AI17" s="534"/>
      <c r="AJ17" s="182"/>
      <c r="AK17" s="182"/>
      <c r="AL17" s="182"/>
      <c r="AM17" s="404" t="e">
        <f t="shared" si="4"/>
        <v>#N/A</v>
      </c>
      <c r="AN17" s="534"/>
      <c r="AO17" s="182"/>
      <c r="AP17" s="182"/>
      <c r="AQ17" s="182"/>
      <c r="AR17" s="404" t="e">
        <f t="shared" si="5"/>
        <v>#N/A</v>
      </c>
      <c r="AS17" s="534"/>
      <c r="AT17" s="182">
        <v>18</v>
      </c>
      <c r="AU17" s="182">
        <v>1271.1111111111118</v>
      </c>
      <c r="AV17" s="182">
        <v>70.61728395061732</v>
      </c>
      <c r="AW17" s="404">
        <f t="shared" si="6"/>
        <v>18</v>
      </c>
      <c r="AX17" s="534"/>
      <c r="AZ17" s="321" t="e">
        <f>RANK(AX17, $K$7:AX$36)</f>
        <v>#N/A</v>
      </c>
      <c r="BB17" s="318" t="e">
        <f t="shared" si="7"/>
        <v>#N/A</v>
      </c>
    </row>
    <row r="18" spans="2:54">
      <c r="B18" s="533"/>
      <c r="C18" s="404">
        <v>12</v>
      </c>
      <c r="D18" s="226" t="s">
        <v>383</v>
      </c>
      <c r="E18" s="182">
        <v>17</v>
      </c>
      <c r="F18" s="404">
        <v>1500</v>
      </c>
      <c r="G18" s="405">
        <v>88.235294117647058</v>
      </c>
      <c r="H18" s="598"/>
      <c r="I18" s="408">
        <f t="shared" si="8"/>
        <v>17</v>
      </c>
      <c r="J18" s="408">
        <f t="shared" si="8"/>
        <v>1298.9189189189178</v>
      </c>
      <c r="K18" s="406">
        <f t="shared" si="8"/>
        <v>76.406995230524572</v>
      </c>
      <c r="L18" s="588"/>
      <c r="M18" s="407">
        <f>RANK(K18, $K$7:K$36)</f>
        <v>8</v>
      </c>
      <c r="N18" s="544"/>
      <c r="O18" s="544"/>
      <c r="P18" s="182"/>
      <c r="Q18" s="182"/>
      <c r="R18" s="182"/>
      <c r="S18" s="404" t="e">
        <f t="shared" si="0"/>
        <v>#N/A</v>
      </c>
      <c r="T18" s="534"/>
      <c r="U18" s="182"/>
      <c r="V18" s="182"/>
      <c r="W18" s="182"/>
      <c r="X18" s="404" t="e">
        <f t="shared" si="1"/>
        <v>#N/A</v>
      </c>
      <c r="Y18" s="534"/>
      <c r="Z18" s="182"/>
      <c r="AA18" s="182"/>
      <c r="AB18" s="182"/>
      <c r="AC18" s="404" t="e">
        <f t="shared" si="2"/>
        <v>#N/A</v>
      </c>
      <c r="AD18" s="534"/>
      <c r="AE18" s="182"/>
      <c r="AF18" s="182"/>
      <c r="AG18" s="182"/>
      <c r="AH18" s="404" t="e">
        <f t="shared" si="3"/>
        <v>#N/A</v>
      </c>
      <c r="AI18" s="534"/>
      <c r="AJ18" s="182"/>
      <c r="AK18" s="182"/>
      <c r="AL18" s="182"/>
      <c r="AM18" s="404" t="e">
        <f t="shared" si="4"/>
        <v>#N/A</v>
      </c>
      <c r="AN18" s="534"/>
      <c r="AO18" s="182"/>
      <c r="AP18" s="182"/>
      <c r="AQ18" s="182"/>
      <c r="AR18" s="404" t="e">
        <f t="shared" si="5"/>
        <v>#N/A</v>
      </c>
      <c r="AS18" s="534"/>
      <c r="AT18" s="182">
        <v>17</v>
      </c>
      <c r="AU18" s="182">
        <v>1298.9189189189178</v>
      </c>
      <c r="AV18" s="182">
        <v>76.406995230524572</v>
      </c>
      <c r="AW18" s="404">
        <f t="shared" si="6"/>
        <v>8</v>
      </c>
      <c r="AX18" s="534"/>
      <c r="AZ18" s="321" t="e">
        <f>RANK(AX18, $K$7:AX$36)</f>
        <v>#N/A</v>
      </c>
      <c r="BB18" s="318" t="e">
        <f t="shared" si="7"/>
        <v>#N/A</v>
      </c>
    </row>
    <row r="19" spans="2:54">
      <c r="B19" s="533"/>
      <c r="C19" s="404">
        <v>13</v>
      </c>
      <c r="D19" s="226" t="s">
        <v>356</v>
      </c>
      <c r="E19" s="182">
        <v>17</v>
      </c>
      <c r="F19" s="404">
        <v>1500</v>
      </c>
      <c r="G19" s="405">
        <v>88.235294117647058</v>
      </c>
      <c r="H19" s="598"/>
      <c r="I19" s="408">
        <f t="shared" si="8"/>
        <v>18</v>
      </c>
      <c r="J19" s="408">
        <f t="shared" si="8"/>
        <v>1301.8604651162789</v>
      </c>
      <c r="K19" s="406">
        <f t="shared" si="8"/>
        <v>72.32558139534882</v>
      </c>
      <c r="L19" s="588"/>
      <c r="M19" s="407">
        <f>RANK(K19, $K$7:K$36)</f>
        <v>16</v>
      </c>
      <c r="N19" s="544"/>
      <c r="O19" s="544"/>
      <c r="P19" s="182"/>
      <c r="Q19" s="182"/>
      <c r="R19" s="182"/>
      <c r="S19" s="404" t="e">
        <f t="shared" si="0"/>
        <v>#N/A</v>
      </c>
      <c r="T19" s="534"/>
      <c r="U19" s="182"/>
      <c r="V19" s="182"/>
      <c r="W19" s="182"/>
      <c r="X19" s="404" t="e">
        <f t="shared" si="1"/>
        <v>#N/A</v>
      </c>
      <c r="Y19" s="534"/>
      <c r="Z19" s="182"/>
      <c r="AA19" s="182"/>
      <c r="AB19" s="182"/>
      <c r="AC19" s="404" t="e">
        <f t="shared" si="2"/>
        <v>#N/A</v>
      </c>
      <c r="AD19" s="534"/>
      <c r="AE19" s="182"/>
      <c r="AF19" s="182"/>
      <c r="AG19" s="182"/>
      <c r="AH19" s="404" t="e">
        <f t="shared" si="3"/>
        <v>#N/A</v>
      </c>
      <c r="AI19" s="534"/>
      <c r="AJ19" s="182"/>
      <c r="AK19" s="182"/>
      <c r="AL19" s="182"/>
      <c r="AM19" s="404" t="e">
        <f t="shared" si="4"/>
        <v>#N/A</v>
      </c>
      <c r="AN19" s="534"/>
      <c r="AO19" s="182"/>
      <c r="AP19" s="182"/>
      <c r="AQ19" s="182"/>
      <c r="AR19" s="404" t="e">
        <f t="shared" si="5"/>
        <v>#N/A</v>
      </c>
      <c r="AS19" s="534"/>
      <c r="AT19" s="182">
        <v>18</v>
      </c>
      <c r="AU19" s="182">
        <v>1301.8604651162789</v>
      </c>
      <c r="AV19" s="182">
        <v>72.32558139534882</v>
      </c>
      <c r="AW19" s="404">
        <f t="shared" si="6"/>
        <v>16</v>
      </c>
      <c r="AX19" s="534"/>
      <c r="AZ19" s="321" t="e">
        <f>RANK(AX19, $K$7:AX$36)</f>
        <v>#N/A</v>
      </c>
      <c r="BB19" s="318" t="e">
        <f t="shared" si="7"/>
        <v>#N/A</v>
      </c>
    </row>
    <row r="20" spans="2:54">
      <c r="B20" s="533"/>
      <c r="C20" s="404">
        <v>14</v>
      </c>
      <c r="D20" s="226" t="s">
        <v>606</v>
      </c>
      <c r="E20" s="182">
        <v>17</v>
      </c>
      <c r="F20" s="404">
        <v>1440</v>
      </c>
      <c r="G20" s="405">
        <v>84.705882352941174</v>
      </c>
      <c r="H20" s="598"/>
      <c r="I20" s="408">
        <f t="shared" si="8"/>
        <v>17</v>
      </c>
      <c r="J20" s="408">
        <f t="shared" si="8"/>
        <v>1305</v>
      </c>
      <c r="K20" s="406">
        <f t="shared" si="8"/>
        <v>76.764705882352942</v>
      </c>
      <c r="L20" s="588"/>
      <c r="M20" s="407">
        <f>RANK(K20, $K$7:K$36)</f>
        <v>7</v>
      </c>
      <c r="N20" s="544"/>
      <c r="O20" s="544"/>
      <c r="P20" s="182"/>
      <c r="Q20" s="182"/>
      <c r="R20" s="182"/>
      <c r="S20" s="404" t="e">
        <f t="shared" si="0"/>
        <v>#N/A</v>
      </c>
      <c r="T20" s="534"/>
      <c r="U20" s="182"/>
      <c r="V20" s="182"/>
      <c r="W20" s="182"/>
      <c r="X20" s="404" t="e">
        <f t="shared" si="1"/>
        <v>#N/A</v>
      </c>
      <c r="Y20" s="534"/>
      <c r="Z20" s="182"/>
      <c r="AA20" s="182"/>
      <c r="AB20" s="182"/>
      <c r="AC20" s="404" t="e">
        <f t="shared" si="2"/>
        <v>#N/A</v>
      </c>
      <c r="AD20" s="534"/>
      <c r="AE20" s="182"/>
      <c r="AF20" s="182"/>
      <c r="AG20" s="182"/>
      <c r="AH20" s="404" t="e">
        <f t="shared" si="3"/>
        <v>#N/A</v>
      </c>
      <c r="AI20" s="534"/>
      <c r="AJ20" s="182"/>
      <c r="AK20" s="182"/>
      <c r="AL20" s="182"/>
      <c r="AM20" s="404" t="e">
        <f t="shared" si="4"/>
        <v>#N/A</v>
      </c>
      <c r="AN20" s="534"/>
      <c r="AO20" s="182"/>
      <c r="AP20" s="182"/>
      <c r="AQ20" s="182"/>
      <c r="AR20" s="404" t="e">
        <f t="shared" si="5"/>
        <v>#N/A</v>
      </c>
      <c r="AS20" s="534"/>
      <c r="AT20" s="182">
        <v>17</v>
      </c>
      <c r="AU20" s="182">
        <v>1305</v>
      </c>
      <c r="AV20" s="182">
        <v>76.764705882352942</v>
      </c>
      <c r="AW20" s="404">
        <f t="shared" si="6"/>
        <v>7</v>
      </c>
      <c r="AX20" s="534"/>
      <c r="AZ20" s="321" t="e">
        <f>RANK(AX20, $K$7:AX$36)</f>
        <v>#N/A</v>
      </c>
      <c r="BB20" s="318" t="e">
        <f t="shared" si="7"/>
        <v>#N/A</v>
      </c>
    </row>
    <row r="21" spans="2:54">
      <c r="B21" s="533"/>
      <c r="C21" s="404">
        <v>15</v>
      </c>
      <c r="D21" s="226" t="s">
        <v>384</v>
      </c>
      <c r="E21" s="182">
        <v>15</v>
      </c>
      <c r="F21" s="404">
        <v>1440</v>
      </c>
      <c r="G21" s="405">
        <v>96</v>
      </c>
      <c r="H21" s="598"/>
      <c r="I21" s="408">
        <f t="shared" si="8"/>
        <v>16</v>
      </c>
      <c r="J21" s="408">
        <f t="shared" si="8"/>
        <v>1264.8387096774204</v>
      </c>
      <c r="K21" s="406">
        <f t="shared" si="8"/>
        <v>79.052419354838776</v>
      </c>
      <c r="L21" s="588"/>
      <c r="M21" s="408">
        <f>RANK(K21, $K$7:K$36)</f>
        <v>6</v>
      </c>
      <c r="N21" s="544"/>
      <c r="O21" s="544"/>
      <c r="P21" s="182"/>
      <c r="Q21" s="182"/>
      <c r="R21" s="182"/>
      <c r="S21" s="404" t="e">
        <f t="shared" si="0"/>
        <v>#N/A</v>
      </c>
      <c r="T21" s="534"/>
      <c r="U21" s="182"/>
      <c r="V21" s="182"/>
      <c r="W21" s="182"/>
      <c r="X21" s="404" t="e">
        <f t="shared" si="1"/>
        <v>#N/A</v>
      </c>
      <c r="Y21" s="534"/>
      <c r="Z21" s="182"/>
      <c r="AA21" s="182"/>
      <c r="AB21" s="182"/>
      <c r="AC21" s="404" t="e">
        <f t="shared" si="2"/>
        <v>#N/A</v>
      </c>
      <c r="AD21" s="534"/>
      <c r="AE21" s="182"/>
      <c r="AF21" s="182"/>
      <c r="AG21" s="182"/>
      <c r="AH21" s="404" t="e">
        <f t="shared" si="3"/>
        <v>#N/A</v>
      </c>
      <c r="AI21" s="534"/>
      <c r="AJ21" s="182"/>
      <c r="AK21" s="182"/>
      <c r="AL21" s="182"/>
      <c r="AM21" s="404" t="e">
        <f t="shared" si="4"/>
        <v>#N/A</v>
      </c>
      <c r="AN21" s="534"/>
      <c r="AO21" s="182"/>
      <c r="AP21" s="182"/>
      <c r="AQ21" s="182"/>
      <c r="AR21" s="404" t="e">
        <f t="shared" si="5"/>
        <v>#N/A</v>
      </c>
      <c r="AS21" s="534"/>
      <c r="AT21" s="182">
        <v>16</v>
      </c>
      <c r="AU21" s="182">
        <v>1264.8387096774204</v>
      </c>
      <c r="AV21" s="182">
        <v>79.052419354838776</v>
      </c>
      <c r="AW21" s="404">
        <f t="shared" si="6"/>
        <v>6</v>
      </c>
      <c r="AX21" s="534"/>
      <c r="AZ21" s="320" t="e">
        <f>RANK(AX21, $K$7:AX$36)</f>
        <v>#N/A</v>
      </c>
      <c r="BB21" s="318" t="e">
        <f t="shared" si="7"/>
        <v>#N/A</v>
      </c>
    </row>
    <row r="22" spans="2:54">
      <c r="B22" s="533"/>
      <c r="C22" s="404">
        <v>16</v>
      </c>
      <c r="D22" s="226" t="s">
        <v>345</v>
      </c>
      <c r="E22" s="182">
        <v>16</v>
      </c>
      <c r="F22" s="404">
        <v>1440</v>
      </c>
      <c r="G22" s="405">
        <v>90</v>
      </c>
      <c r="H22" s="598"/>
      <c r="I22" s="408">
        <f t="shared" si="8"/>
        <v>16</v>
      </c>
      <c r="J22" s="408">
        <f t="shared" si="8"/>
        <v>1303.6893203883501</v>
      </c>
      <c r="K22" s="406">
        <f t="shared" si="8"/>
        <v>81.480582524271881</v>
      </c>
      <c r="L22" s="588"/>
      <c r="M22" s="408">
        <f>RANK(K22, $K$7:K$36)</f>
        <v>5</v>
      </c>
      <c r="N22" s="544"/>
      <c r="O22" s="544"/>
      <c r="P22" s="182"/>
      <c r="Q22" s="182"/>
      <c r="R22" s="182"/>
      <c r="S22" s="404" t="e">
        <f t="shared" si="0"/>
        <v>#N/A</v>
      </c>
      <c r="T22" s="534"/>
      <c r="U22" s="182"/>
      <c r="V22" s="182"/>
      <c r="W22" s="182"/>
      <c r="X22" s="404" t="e">
        <f t="shared" si="1"/>
        <v>#N/A</v>
      </c>
      <c r="Y22" s="534"/>
      <c r="Z22" s="182"/>
      <c r="AA22" s="182"/>
      <c r="AB22" s="182"/>
      <c r="AC22" s="404" t="e">
        <f t="shared" si="2"/>
        <v>#N/A</v>
      </c>
      <c r="AD22" s="534"/>
      <c r="AE22" s="182"/>
      <c r="AF22" s="182"/>
      <c r="AG22" s="182"/>
      <c r="AH22" s="404" t="e">
        <f t="shared" si="3"/>
        <v>#N/A</v>
      </c>
      <c r="AI22" s="534"/>
      <c r="AJ22" s="182"/>
      <c r="AK22" s="182"/>
      <c r="AL22" s="182"/>
      <c r="AM22" s="404" t="e">
        <f t="shared" si="4"/>
        <v>#N/A</v>
      </c>
      <c r="AN22" s="534"/>
      <c r="AO22" s="182"/>
      <c r="AP22" s="182"/>
      <c r="AQ22" s="182"/>
      <c r="AR22" s="404" t="e">
        <f t="shared" si="5"/>
        <v>#N/A</v>
      </c>
      <c r="AS22" s="534"/>
      <c r="AT22" s="182">
        <v>16</v>
      </c>
      <c r="AU22" s="182">
        <v>1303.6893203883501</v>
      </c>
      <c r="AV22" s="182">
        <v>81.480582524271881</v>
      </c>
      <c r="AW22" s="404">
        <f t="shared" si="6"/>
        <v>5</v>
      </c>
      <c r="AX22" s="534"/>
      <c r="AZ22" s="320" t="e">
        <f>RANK(AX22, $K$7:AX$36)</f>
        <v>#N/A</v>
      </c>
      <c r="BB22" s="318" t="e">
        <f t="shared" si="7"/>
        <v>#N/A</v>
      </c>
    </row>
    <row r="23" spans="2:54">
      <c r="B23" s="533"/>
      <c r="C23" s="404">
        <v>17</v>
      </c>
      <c r="D23" s="226" t="s">
        <v>376</v>
      </c>
      <c r="E23" s="182">
        <v>17</v>
      </c>
      <c r="F23" s="404">
        <v>1636</v>
      </c>
      <c r="G23" s="405">
        <v>96.235294117647058</v>
      </c>
      <c r="H23" s="598"/>
      <c r="I23" s="408">
        <f t="shared" si="8"/>
        <v>17</v>
      </c>
      <c r="J23" s="408">
        <f t="shared" si="8"/>
        <v>1273.1249999999982</v>
      </c>
      <c r="K23" s="406">
        <f t="shared" si="8"/>
        <v>74.889705882352828</v>
      </c>
      <c r="L23" s="588"/>
      <c r="M23" s="408">
        <f>RANK(K23, $K$7:K$36)</f>
        <v>11</v>
      </c>
      <c r="N23" s="544"/>
      <c r="O23" s="544"/>
      <c r="P23" s="182"/>
      <c r="Q23" s="182"/>
      <c r="R23" s="182"/>
      <c r="S23" s="404" t="e">
        <f t="shared" si="0"/>
        <v>#N/A</v>
      </c>
      <c r="T23" s="534"/>
      <c r="U23" s="182"/>
      <c r="V23" s="182"/>
      <c r="W23" s="182"/>
      <c r="X23" s="404" t="e">
        <f t="shared" si="1"/>
        <v>#N/A</v>
      </c>
      <c r="Y23" s="534"/>
      <c r="Z23" s="182"/>
      <c r="AA23" s="182"/>
      <c r="AB23" s="182"/>
      <c r="AC23" s="404" t="e">
        <f t="shared" si="2"/>
        <v>#N/A</v>
      </c>
      <c r="AD23" s="534"/>
      <c r="AE23" s="182"/>
      <c r="AF23" s="182"/>
      <c r="AG23" s="182"/>
      <c r="AH23" s="404" t="e">
        <f t="shared" si="3"/>
        <v>#N/A</v>
      </c>
      <c r="AI23" s="534"/>
      <c r="AJ23" s="182"/>
      <c r="AK23" s="182"/>
      <c r="AL23" s="182"/>
      <c r="AM23" s="404" t="e">
        <f t="shared" si="4"/>
        <v>#N/A</v>
      </c>
      <c r="AN23" s="534"/>
      <c r="AO23" s="182"/>
      <c r="AP23" s="182"/>
      <c r="AQ23" s="182"/>
      <c r="AR23" s="404" t="e">
        <f t="shared" si="5"/>
        <v>#N/A</v>
      </c>
      <c r="AS23" s="534"/>
      <c r="AT23" s="182">
        <v>17</v>
      </c>
      <c r="AU23" s="182">
        <v>1273.1249999999982</v>
      </c>
      <c r="AV23" s="182">
        <v>74.889705882352828</v>
      </c>
      <c r="AW23" s="404">
        <f t="shared" si="6"/>
        <v>11</v>
      </c>
      <c r="AX23" s="534"/>
      <c r="AZ23" s="320" t="e">
        <f>RANK(AX23, $K$7:AX$36)</f>
        <v>#N/A</v>
      </c>
      <c r="BB23" s="318" t="e">
        <f t="shared" si="7"/>
        <v>#N/A</v>
      </c>
    </row>
    <row r="24" spans="2:54">
      <c r="B24" s="533"/>
      <c r="C24" s="404">
        <v>18</v>
      </c>
      <c r="D24" s="226" t="s">
        <v>378</v>
      </c>
      <c r="E24" s="182">
        <v>18</v>
      </c>
      <c r="F24" s="404">
        <v>1440</v>
      </c>
      <c r="G24" s="405">
        <v>80</v>
      </c>
      <c r="H24" s="598"/>
      <c r="I24" s="408">
        <f t="shared" si="8"/>
        <v>17</v>
      </c>
      <c r="J24" s="408">
        <f t="shared" si="8"/>
        <v>1283.823529411763</v>
      </c>
      <c r="K24" s="406">
        <f t="shared" si="8"/>
        <v>75.51903114186841</v>
      </c>
      <c r="L24" s="588"/>
      <c r="M24" s="408">
        <f>RANK(K24, $K$7:K$36)</f>
        <v>10</v>
      </c>
      <c r="N24" s="544"/>
      <c r="O24" s="544"/>
      <c r="P24" s="182"/>
      <c r="Q24" s="182"/>
      <c r="R24" s="182"/>
      <c r="S24" s="404" t="e">
        <f t="shared" si="0"/>
        <v>#N/A</v>
      </c>
      <c r="T24" s="534"/>
      <c r="U24" s="182"/>
      <c r="V24" s="182"/>
      <c r="W24" s="182"/>
      <c r="X24" s="404" t="e">
        <f t="shared" si="1"/>
        <v>#N/A</v>
      </c>
      <c r="Y24" s="534"/>
      <c r="Z24" s="182"/>
      <c r="AA24" s="182"/>
      <c r="AB24" s="182"/>
      <c r="AC24" s="404" t="e">
        <f t="shared" si="2"/>
        <v>#N/A</v>
      </c>
      <c r="AD24" s="534"/>
      <c r="AE24" s="182"/>
      <c r="AF24" s="182"/>
      <c r="AG24" s="182"/>
      <c r="AH24" s="404" t="e">
        <f t="shared" si="3"/>
        <v>#N/A</v>
      </c>
      <c r="AI24" s="534"/>
      <c r="AJ24" s="182"/>
      <c r="AK24" s="182"/>
      <c r="AL24" s="182"/>
      <c r="AM24" s="404" t="e">
        <f t="shared" si="4"/>
        <v>#N/A</v>
      </c>
      <c r="AN24" s="534"/>
      <c r="AO24" s="182"/>
      <c r="AP24" s="182"/>
      <c r="AQ24" s="182"/>
      <c r="AR24" s="404" t="e">
        <f t="shared" si="5"/>
        <v>#N/A</v>
      </c>
      <c r="AS24" s="534"/>
      <c r="AT24" s="182">
        <v>17</v>
      </c>
      <c r="AU24" s="182">
        <v>1283.823529411763</v>
      </c>
      <c r="AV24" s="182">
        <v>75.51903114186841</v>
      </c>
      <c r="AW24" s="404">
        <f t="shared" si="6"/>
        <v>10</v>
      </c>
      <c r="AX24" s="534"/>
      <c r="AZ24" s="320" t="e">
        <f>RANK(AX24, $K$7:AX$36)</f>
        <v>#N/A</v>
      </c>
      <c r="BB24" s="318" t="e">
        <f t="shared" si="7"/>
        <v>#N/A</v>
      </c>
    </row>
    <row r="25" spans="2:54">
      <c r="B25" s="533"/>
      <c r="C25" s="404">
        <v>19</v>
      </c>
      <c r="D25" s="226" t="s">
        <v>483</v>
      </c>
      <c r="E25" s="182">
        <v>18</v>
      </c>
      <c r="F25" s="404">
        <v>1500</v>
      </c>
      <c r="G25" s="405">
        <v>83.333333333333329</v>
      </c>
      <c r="H25" s="598"/>
      <c r="I25" s="408">
        <f t="shared" si="8"/>
        <v>18</v>
      </c>
      <c r="J25" s="408">
        <f t="shared" si="8"/>
        <v>1107.0000000000041</v>
      </c>
      <c r="K25" s="406">
        <f t="shared" si="8"/>
        <v>61.500000000000227</v>
      </c>
      <c r="L25" s="588"/>
      <c r="M25" s="408">
        <f>RANK(K25, $K$7:K$36)</f>
        <v>25</v>
      </c>
      <c r="N25" s="544"/>
      <c r="O25" s="544"/>
      <c r="P25" s="182"/>
      <c r="Q25" s="182"/>
      <c r="R25" s="182"/>
      <c r="S25" s="404" t="e">
        <f t="shared" si="0"/>
        <v>#N/A</v>
      </c>
      <c r="T25" s="534"/>
      <c r="U25" s="182"/>
      <c r="V25" s="182"/>
      <c r="W25" s="182"/>
      <c r="X25" s="404" t="e">
        <f t="shared" si="1"/>
        <v>#N/A</v>
      </c>
      <c r="Y25" s="534"/>
      <c r="Z25" s="182"/>
      <c r="AA25" s="182"/>
      <c r="AB25" s="182"/>
      <c r="AC25" s="404" t="e">
        <f t="shared" si="2"/>
        <v>#N/A</v>
      </c>
      <c r="AD25" s="534"/>
      <c r="AE25" s="182"/>
      <c r="AF25" s="182"/>
      <c r="AG25" s="182"/>
      <c r="AH25" s="404" t="e">
        <f t="shared" si="3"/>
        <v>#N/A</v>
      </c>
      <c r="AI25" s="534"/>
      <c r="AJ25" s="182"/>
      <c r="AK25" s="182"/>
      <c r="AL25" s="182"/>
      <c r="AM25" s="404" t="e">
        <f t="shared" si="4"/>
        <v>#N/A</v>
      </c>
      <c r="AN25" s="534"/>
      <c r="AO25" s="182"/>
      <c r="AP25" s="182"/>
      <c r="AQ25" s="182"/>
      <c r="AR25" s="404" t="e">
        <f t="shared" si="5"/>
        <v>#N/A</v>
      </c>
      <c r="AS25" s="534"/>
      <c r="AT25" s="182">
        <v>18</v>
      </c>
      <c r="AU25" s="182">
        <v>1107.0000000000041</v>
      </c>
      <c r="AV25" s="182">
        <v>61.500000000000227</v>
      </c>
      <c r="AW25" s="404">
        <f t="shared" si="6"/>
        <v>25</v>
      </c>
      <c r="AX25" s="534"/>
      <c r="AZ25" s="320" t="e">
        <f>RANK(AX25, $K$7:AX$36)</f>
        <v>#N/A</v>
      </c>
      <c r="BB25" s="318" t="e">
        <f t="shared" si="7"/>
        <v>#N/A</v>
      </c>
    </row>
    <row r="26" spans="2:54">
      <c r="B26" s="533"/>
      <c r="C26" s="404">
        <v>20</v>
      </c>
      <c r="D26" s="226" t="s">
        <v>385</v>
      </c>
      <c r="E26" s="182">
        <v>18</v>
      </c>
      <c r="F26" s="404">
        <v>1500</v>
      </c>
      <c r="G26" s="405">
        <v>83.333333333333329</v>
      </c>
      <c r="H26" s="598"/>
      <c r="I26" s="408">
        <f t="shared" si="8"/>
        <v>18</v>
      </c>
      <c r="J26" s="408">
        <f t="shared" si="8"/>
        <v>1308.0000000000009</v>
      </c>
      <c r="K26" s="406">
        <f t="shared" si="8"/>
        <v>72.666666666666714</v>
      </c>
      <c r="L26" s="588"/>
      <c r="M26" s="408">
        <f>RANK(K26, $K$7:K$36)</f>
        <v>15</v>
      </c>
      <c r="N26" s="544"/>
      <c r="O26" s="544"/>
      <c r="P26" s="182"/>
      <c r="Q26" s="182"/>
      <c r="R26" s="182"/>
      <c r="S26" s="404" t="e">
        <f t="shared" si="0"/>
        <v>#N/A</v>
      </c>
      <c r="T26" s="534"/>
      <c r="U26" s="182"/>
      <c r="V26" s="182"/>
      <c r="W26" s="182"/>
      <c r="X26" s="404" t="e">
        <f t="shared" si="1"/>
        <v>#N/A</v>
      </c>
      <c r="Y26" s="534"/>
      <c r="Z26" s="182"/>
      <c r="AA26" s="182"/>
      <c r="AB26" s="182"/>
      <c r="AC26" s="404" t="e">
        <f t="shared" si="2"/>
        <v>#N/A</v>
      </c>
      <c r="AD26" s="534"/>
      <c r="AE26" s="182"/>
      <c r="AF26" s="182"/>
      <c r="AG26" s="182"/>
      <c r="AH26" s="404" t="e">
        <f t="shared" si="3"/>
        <v>#N/A</v>
      </c>
      <c r="AI26" s="534"/>
      <c r="AJ26" s="182"/>
      <c r="AK26" s="182"/>
      <c r="AL26" s="182"/>
      <c r="AM26" s="404" t="e">
        <f t="shared" si="4"/>
        <v>#N/A</v>
      </c>
      <c r="AN26" s="534"/>
      <c r="AO26" s="182"/>
      <c r="AP26" s="182"/>
      <c r="AQ26" s="182"/>
      <c r="AR26" s="404" t="e">
        <f t="shared" si="5"/>
        <v>#N/A</v>
      </c>
      <c r="AS26" s="534"/>
      <c r="AT26" s="182">
        <v>18</v>
      </c>
      <c r="AU26" s="182">
        <v>1308.0000000000009</v>
      </c>
      <c r="AV26" s="182">
        <v>72.666666666666714</v>
      </c>
      <c r="AW26" s="404">
        <f t="shared" si="6"/>
        <v>15</v>
      </c>
      <c r="AX26" s="534"/>
      <c r="AZ26" s="320" t="e">
        <f>RANK(AX26, $K$7:AX$36)</f>
        <v>#N/A</v>
      </c>
      <c r="BB26" s="318" t="e">
        <f t="shared" si="7"/>
        <v>#N/A</v>
      </c>
    </row>
    <row r="27" spans="2:54">
      <c r="B27" s="533"/>
      <c r="C27" s="404">
        <v>21</v>
      </c>
      <c r="D27" s="226" t="s">
        <v>467</v>
      </c>
      <c r="E27" s="182">
        <v>17</v>
      </c>
      <c r="F27" s="404">
        <v>1440</v>
      </c>
      <c r="G27" s="405">
        <v>84.705882352941174</v>
      </c>
      <c r="H27" s="598"/>
      <c r="I27" s="408">
        <f t="shared" si="8"/>
        <v>17</v>
      </c>
      <c r="J27" s="408">
        <f t="shared" si="8"/>
        <v>1262.9999999999995</v>
      </c>
      <c r="K27" s="406">
        <f t="shared" si="8"/>
        <v>74.294117647058798</v>
      </c>
      <c r="L27" s="588"/>
      <c r="M27" s="408">
        <f>RANK(K27, $K$7:K$36)</f>
        <v>12</v>
      </c>
      <c r="N27" s="544"/>
      <c r="O27" s="544"/>
      <c r="P27" s="182"/>
      <c r="Q27" s="182"/>
      <c r="R27" s="182"/>
      <c r="S27" s="404" t="e">
        <f t="shared" si="0"/>
        <v>#N/A</v>
      </c>
      <c r="T27" s="534"/>
      <c r="U27" s="182"/>
      <c r="V27" s="182"/>
      <c r="W27" s="182"/>
      <c r="X27" s="404" t="e">
        <f t="shared" si="1"/>
        <v>#N/A</v>
      </c>
      <c r="Y27" s="534"/>
      <c r="Z27" s="182"/>
      <c r="AA27" s="182"/>
      <c r="AB27" s="182"/>
      <c r="AC27" s="404" t="e">
        <f t="shared" si="2"/>
        <v>#N/A</v>
      </c>
      <c r="AD27" s="534"/>
      <c r="AE27" s="182"/>
      <c r="AF27" s="182"/>
      <c r="AG27" s="182"/>
      <c r="AH27" s="404" t="e">
        <f t="shared" si="3"/>
        <v>#N/A</v>
      </c>
      <c r="AI27" s="534"/>
      <c r="AJ27" s="182"/>
      <c r="AK27" s="182"/>
      <c r="AL27" s="182"/>
      <c r="AM27" s="404" t="e">
        <f t="shared" si="4"/>
        <v>#N/A</v>
      </c>
      <c r="AN27" s="534"/>
      <c r="AO27" s="182"/>
      <c r="AP27" s="182"/>
      <c r="AQ27" s="182"/>
      <c r="AR27" s="404" t="e">
        <f t="shared" si="5"/>
        <v>#N/A</v>
      </c>
      <c r="AS27" s="534"/>
      <c r="AT27" s="182">
        <v>17</v>
      </c>
      <c r="AU27" s="182">
        <v>1262.9999999999995</v>
      </c>
      <c r="AV27" s="182">
        <v>74.294117647058798</v>
      </c>
      <c r="AW27" s="404">
        <f t="shared" si="6"/>
        <v>12</v>
      </c>
      <c r="AX27" s="534"/>
      <c r="AZ27" s="320" t="e">
        <f>RANK(AX27, $K$7:AX$36)</f>
        <v>#N/A</v>
      </c>
      <c r="BB27" s="318" t="e">
        <f t="shared" si="7"/>
        <v>#N/A</v>
      </c>
    </row>
    <row r="28" spans="2:54">
      <c r="B28" s="533"/>
      <c r="C28" s="404">
        <v>22</v>
      </c>
      <c r="D28" s="226" t="s">
        <v>513</v>
      </c>
      <c r="E28" s="182">
        <v>18</v>
      </c>
      <c r="F28" s="404">
        <v>1385</v>
      </c>
      <c r="G28" s="405">
        <v>76.944444444444443</v>
      </c>
      <c r="H28" s="598"/>
      <c r="I28" s="408">
        <f t="shared" si="8"/>
        <v>17</v>
      </c>
      <c r="J28" s="408">
        <f t="shared" si="8"/>
        <v>1186.5517241379318</v>
      </c>
      <c r="K28" s="406">
        <f t="shared" si="8"/>
        <v>69.79716024340776</v>
      </c>
      <c r="L28" s="588"/>
      <c r="M28" s="408">
        <f>RANK(K28, $K$7:K$36)</f>
        <v>19</v>
      </c>
      <c r="N28" s="544"/>
      <c r="O28" s="544"/>
      <c r="P28" s="182"/>
      <c r="Q28" s="182"/>
      <c r="R28" s="182"/>
      <c r="S28" s="404" t="e">
        <f t="shared" si="0"/>
        <v>#N/A</v>
      </c>
      <c r="T28" s="534"/>
      <c r="U28" s="182"/>
      <c r="V28" s="182"/>
      <c r="W28" s="182"/>
      <c r="X28" s="404" t="e">
        <f t="shared" si="1"/>
        <v>#N/A</v>
      </c>
      <c r="Y28" s="534"/>
      <c r="Z28" s="182"/>
      <c r="AA28" s="182"/>
      <c r="AB28" s="182"/>
      <c r="AC28" s="404" t="e">
        <f t="shared" si="2"/>
        <v>#N/A</v>
      </c>
      <c r="AD28" s="534"/>
      <c r="AE28" s="182"/>
      <c r="AF28" s="182"/>
      <c r="AG28" s="182"/>
      <c r="AH28" s="404" t="e">
        <f t="shared" si="3"/>
        <v>#N/A</v>
      </c>
      <c r="AI28" s="534"/>
      <c r="AJ28" s="182"/>
      <c r="AK28" s="182"/>
      <c r="AL28" s="182"/>
      <c r="AM28" s="404" t="e">
        <f t="shared" si="4"/>
        <v>#N/A</v>
      </c>
      <c r="AN28" s="534"/>
      <c r="AO28" s="182"/>
      <c r="AP28" s="182"/>
      <c r="AQ28" s="182"/>
      <c r="AR28" s="404" t="e">
        <f t="shared" si="5"/>
        <v>#N/A</v>
      </c>
      <c r="AS28" s="534"/>
      <c r="AT28" s="182">
        <v>17</v>
      </c>
      <c r="AU28" s="182">
        <v>1186.5517241379318</v>
      </c>
      <c r="AV28" s="182">
        <v>69.79716024340776</v>
      </c>
      <c r="AW28" s="404">
        <f t="shared" si="6"/>
        <v>19</v>
      </c>
      <c r="AX28" s="534"/>
      <c r="AZ28" s="320" t="e">
        <f>RANK(AX28, $K$7:AX$36)</f>
        <v>#N/A</v>
      </c>
      <c r="BB28" s="318" t="e">
        <f t="shared" si="7"/>
        <v>#N/A</v>
      </c>
    </row>
    <row r="29" spans="2:54">
      <c r="B29" s="533"/>
      <c r="C29" s="404">
        <v>23</v>
      </c>
      <c r="D29" s="226" t="s">
        <v>580</v>
      </c>
      <c r="E29" s="182">
        <v>17</v>
      </c>
      <c r="F29" s="404">
        <v>1440</v>
      </c>
      <c r="G29" s="405">
        <v>84.705882352941174</v>
      </c>
      <c r="H29" s="598"/>
      <c r="I29" s="408">
        <f t="shared" si="8"/>
        <v>17</v>
      </c>
      <c r="J29" s="408">
        <f t="shared" si="8"/>
        <v>1249.3548387096785</v>
      </c>
      <c r="K29" s="406">
        <f t="shared" si="8"/>
        <v>73.491461100569325</v>
      </c>
      <c r="L29" s="588"/>
      <c r="M29" s="408">
        <f>RANK(K29, $K$7:K$36)</f>
        <v>13</v>
      </c>
      <c r="N29" s="544"/>
      <c r="O29" s="544"/>
      <c r="P29" s="182"/>
      <c r="Q29" s="182"/>
      <c r="R29" s="182"/>
      <c r="S29" s="404" t="e">
        <f t="shared" si="0"/>
        <v>#N/A</v>
      </c>
      <c r="T29" s="534"/>
      <c r="U29" s="182"/>
      <c r="V29" s="182"/>
      <c r="W29" s="182"/>
      <c r="X29" s="404" t="e">
        <f t="shared" si="1"/>
        <v>#N/A</v>
      </c>
      <c r="Y29" s="534"/>
      <c r="Z29" s="182"/>
      <c r="AA29" s="182"/>
      <c r="AB29" s="182"/>
      <c r="AC29" s="404" t="e">
        <f t="shared" si="2"/>
        <v>#N/A</v>
      </c>
      <c r="AD29" s="534"/>
      <c r="AE29" s="182"/>
      <c r="AF29" s="182"/>
      <c r="AG29" s="182"/>
      <c r="AH29" s="404" t="e">
        <f t="shared" si="3"/>
        <v>#N/A</v>
      </c>
      <c r="AI29" s="534"/>
      <c r="AJ29" s="182"/>
      <c r="AK29" s="182"/>
      <c r="AL29" s="182"/>
      <c r="AM29" s="404" t="e">
        <f t="shared" si="4"/>
        <v>#N/A</v>
      </c>
      <c r="AN29" s="534"/>
      <c r="AO29" s="182"/>
      <c r="AP29" s="182"/>
      <c r="AQ29" s="182"/>
      <c r="AR29" s="404" t="e">
        <f t="shared" si="5"/>
        <v>#N/A</v>
      </c>
      <c r="AS29" s="534"/>
      <c r="AT29" s="182">
        <v>17</v>
      </c>
      <c r="AU29" s="182">
        <v>1249.3548387096785</v>
      </c>
      <c r="AV29" s="182">
        <v>73.491461100569325</v>
      </c>
      <c r="AW29" s="404">
        <f t="shared" si="6"/>
        <v>13</v>
      </c>
      <c r="AX29" s="534"/>
      <c r="AZ29" s="320" t="e">
        <f>RANK(AX29, $K$7:AX$36)</f>
        <v>#N/A</v>
      </c>
      <c r="BB29" s="318" t="e">
        <f t="shared" si="7"/>
        <v>#N/A</v>
      </c>
    </row>
    <row r="30" spans="2:54">
      <c r="B30" s="533"/>
      <c r="C30" s="404">
        <v>24</v>
      </c>
      <c r="D30" s="226" t="s">
        <v>607</v>
      </c>
      <c r="E30" s="182">
        <v>19</v>
      </c>
      <c r="F30" s="404">
        <v>1500</v>
      </c>
      <c r="G30" s="405">
        <v>78.94736842105263</v>
      </c>
      <c r="H30" s="598"/>
      <c r="I30" s="408">
        <f t="shared" si="8"/>
        <v>19</v>
      </c>
      <c r="J30" s="408">
        <f t="shared" si="8"/>
        <v>1290.0000000000007</v>
      </c>
      <c r="K30" s="406">
        <f t="shared" si="8"/>
        <v>67.894736842105303</v>
      </c>
      <c r="L30" s="588"/>
      <c r="M30" s="408">
        <f>RANK(K30, $K$7:K$36)</f>
        <v>21</v>
      </c>
      <c r="N30" s="544"/>
      <c r="O30" s="544"/>
      <c r="P30" s="404"/>
      <c r="Q30" s="405"/>
      <c r="R30" s="405"/>
      <c r="S30" s="404" t="e">
        <f t="shared" si="0"/>
        <v>#N/A</v>
      </c>
      <c r="T30" s="534"/>
      <c r="U30" s="404"/>
      <c r="V30" s="405"/>
      <c r="W30" s="405"/>
      <c r="X30" s="404" t="e">
        <f t="shared" si="1"/>
        <v>#N/A</v>
      </c>
      <c r="Y30" s="534"/>
      <c r="Z30" s="404"/>
      <c r="AA30" s="405"/>
      <c r="AB30" s="405"/>
      <c r="AC30" s="404" t="e">
        <f t="shared" si="2"/>
        <v>#N/A</v>
      </c>
      <c r="AD30" s="534"/>
      <c r="AE30" s="404"/>
      <c r="AF30" s="405"/>
      <c r="AG30" s="405"/>
      <c r="AH30" s="404" t="e">
        <f t="shared" si="3"/>
        <v>#N/A</v>
      </c>
      <c r="AI30" s="534"/>
      <c r="AJ30" s="404"/>
      <c r="AK30" s="405"/>
      <c r="AL30" s="405"/>
      <c r="AM30" s="404" t="e">
        <f t="shared" si="4"/>
        <v>#N/A</v>
      </c>
      <c r="AN30" s="534"/>
      <c r="AO30" s="404"/>
      <c r="AP30" s="405"/>
      <c r="AQ30" s="405"/>
      <c r="AR30" s="404" t="e">
        <f t="shared" si="5"/>
        <v>#N/A</v>
      </c>
      <c r="AS30" s="534"/>
      <c r="AT30" s="404">
        <v>19</v>
      </c>
      <c r="AU30" s="405">
        <v>1290.0000000000007</v>
      </c>
      <c r="AV30" s="405">
        <v>67.894736842105303</v>
      </c>
      <c r="AW30" s="404">
        <f t="shared" si="6"/>
        <v>21</v>
      </c>
      <c r="AX30" s="534"/>
      <c r="AZ30" s="320" t="e">
        <f>RANK(AX30, $K$7:AX$36)</f>
        <v>#N/A</v>
      </c>
      <c r="BB30" s="318" t="e">
        <f t="shared" si="7"/>
        <v>#N/A</v>
      </c>
    </row>
    <row r="31" spans="2:54">
      <c r="B31" s="533"/>
      <c r="C31" s="404">
        <v>25</v>
      </c>
      <c r="D31" s="226" t="s">
        <v>620</v>
      </c>
      <c r="E31" s="182">
        <v>17</v>
      </c>
      <c r="F31" s="404">
        <v>1500</v>
      </c>
      <c r="G31" s="405">
        <v>88.235294117647058</v>
      </c>
      <c r="H31" s="598"/>
      <c r="I31" s="408">
        <f t="shared" si="8"/>
        <v>17</v>
      </c>
      <c r="J31" s="408">
        <f t="shared" si="8"/>
        <v>1291.4999999999995</v>
      </c>
      <c r="K31" s="406">
        <f t="shared" si="8"/>
        <v>75.970588235294088</v>
      </c>
      <c r="L31" s="588"/>
      <c r="M31" s="408">
        <f>RANK(K31, $K$7:K$36)</f>
        <v>9</v>
      </c>
      <c r="N31" s="544"/>
      <c r="O31" s="544"/>
      <c r="P31" s="404"/>
      <c r="Q31" s="405"/>
      <c r="R31" s="405"/>
      <c r="S31" s="404" t="e">
        <f t="shared" si="0"/>
        <v>#N/A</v>
      </c>
      <c r="T31" s="534"/>
      <c r="U31" s="404"/>
      <c r="V31" s="405"/>
      <c r="W31" s="405"/>
      <c r="X31" s="404" t="e">
        <f t="shared" si="1"/>
        <v>#N/A</v>
      </c>
      <c r="Y31" s="534"/>
      <c r="Z31" s="404"/>
      <c r="AA31" s="405"/>
      <c r="AB31" s="405"/>
      <c r="AC31" s="404" t="e">
        <f t="shared" si="2"/>
        <v>#N/A</v>
      </c>
      <c r="AD31" s="534"/>
      <c r="AE31" s="404"/>
      <c r="AF31" s="405"/>
      <c r="AG31" s="405"/>
      <c r="AH31" s="404" t="e">
        <f t="shared" si="3"/>
        <v>#N/A</v>
      </c>
      <c r="AI31" s="534"/>
      <c r="AJ31" s="404"/>
      <c r="AK31" s="405"/>
      <c r="AL31" s="405"/>
      <c r="AM31" s="404" t="e">
        <f t="shared" si="4"/>
        <v>#N/A</v>
      </c>
      <c r="AN31" s="534"/>
      <c r="AO31" s="404"/>
      <c r="AP31" s="405"/>
      <c r="AQ31" s="405"/>
      <c r="AR31" s="404" t="e">
        <f t="shared" si="5"/>
        <v>#N/A</v>
      </c>
      <c r="AS31" s="534"/>
      <c r="AT31" s="404">
        <v>17</v>
      </c>
      <c r="AU31" s="405">
        <v>1291.4999999999995</v>
      </c>
      <c r="AV31" s="405">
        <v>75.970588235294088</v>
      </c>
      <c r="AW31" s="404">
        <f t="shared" si="6"/>
        <v>9</v>
      </c>
      <c r="AX31" s="534"/>
      <c r="AZ31" s="320" t="e">
        <f>RANK(AX31, $K$7:AX$36)</f>
        <v>#N/A</v>
      </c>
      <c r="BB31" s="318" t="e">
        <f t="shared" si="7"/>
        <v>#N/A</v>
      </c>
    </row>
    <row r="32" spans="2:54">
      <c r="B32" s="533"/>
      <c r="C32" s="404">
        <v>26</v>
      </c>
      <c r="D32" s="226" t="s">
        <v>621</v>
      </c>
      <c r="E32" s="182">
        <v>19</v>
      </c>
      <c r="F32" s="404">
        <v>1200</v>
      </c>
      <c r="G32" s="405">
        <v>63.157894736842103</v>
      </c>
      <c r="H32" s="598"/>
      <c r="I32" s="408"/>
      <c r="J32" s="408"/>
      <c r="K32" s="406"/>
      <c r="L32" s="588"/>
      <c r="M32" s="408" t="e">
        <f>RANK(K32, $K$7:K$36)</f>
        <v>#N/A</v>
      </c>
      <c r="N32" s="544"/>
      <c r="O32" s="544"/>
      <c r="P32" s="404"/>
      <c r="Q32" s="405"/>
      <c r="R32" s="405"/>
      <c r="S32" s="404" t="e">
        <f t="shared" si="0"/>
        <v>#N/A</v>
      </c>
      <c r="T32" s="534"/>
      <c r="U32" s="404"/>
      <c r="V32" s="405"/>
      <c r="W32" s="405"/>
      <c r="X32" s="404" t="e">
        <f t="shared" si="1"/>
        <v>#N/A</v>
      </c>
      <c r="Y32" s="534"/>
      <c r="Z32" s="404"/>
      <c r="AA32" s="405"/>
      <c r="AB32" s="405"/>
      <c r="AC32" s="404" t="e">
        <f t="shared" si="2"/>
        <v>#N/A</v>
      </c>
      <c r="AD32" s="534"/>
      <c r="AE32" s="404"/>
      <c r="AF32" s="405"/>
      <c r="AG32" s="405"/>
      <c r="AH32" s="404" t="e">
        <f t="shared" si="3"/>
        <v>#N/A</v>
      </c>
      <c r="AI32" s="534"/>
      <c r="AJ32" s="404"/>
      <c r="AK32" s="405"/>
      <c r="AL32" s="405"/>
      <c r="AM32" s="404" t="e">
        <f t="shared" si="4"/>
        <v>#N/A</v>
      </c>
      <c r="AN32" s="534"/>
      <c r="AO32" s="404"/>
      <c r="AP32" s="405"/>
      <c r="AQ32" s="405"/>
      <c r="AR32" s="404" t="e">
        <f t="shared" si="5"/>
        <v>#N/A</v>
      </c>
      <c r="AS32" s="534"/>
      <c r="AT32" s="404">
        <v>19</v>
      </c>
      <c r="AU32" s="405">
        <v>1087.4418604651162</v>
      </c>
      <c r="AV32" s="405">
        <v>57.233782129742956</v>
      </c>
      <c r="AW32" s="404">
        <f t="shared" si="6"/>
        <v>26</v>
      </c>
      <c r="AX32" s="534"/>
      <c r="AZ32" s="320" t="e">
        <f>RANK(AX32, $K$7:AX$36)</f>
        <v>#N/A</v>
      </c>
      <c r="BB32" s="318" t="e">
        <f t="shared" si="7"/>
        <v>#N/A</v>
      </c>
    </row>
    <row r="33" spans="2:54">
      <c r="B33" s="533"/>
      <c r="C33" s="404">
        <v>27</v>
      </c>
      <c r="D33" s="226"/>
      <c r="E33" s="182"/>
      <c r="F33" s="404"/>
      <c r="G33" s="405"/>
      <c r="H33" s="598"/>
      <c r="I33" s="408"/>
      <c r="J33" s="408"/>
      <c r="K33" s="406"/>
      <c r="L33" s="588"/>
      <c r="M33" s="408" t="e">
        <f>RANK(K33, $K$7:K$36)</f>
        <v>#N/A</v>
      </c>
      <c r="N33" s="544"/>
      <c r="O33" s="544"/>
      <c r="P33" s="404"/>
      <c r="Q33" s="405"/>
      <c r="R33" s="405"/>
      <c r="S33" s="404" t="e">
        <f t="shared" si="0"/>
        <v>#N/A</v>
      </c>
      <c r="T33" s="534"/>
      <c r="U33" s="404"/>
      <c r="V33" s="405"/>
      <c r="W33" s="405"/>
      <c r="X33" s="404" t="e">
        <f t="shared" si="1"/>
        <v>#N/A</v>
      </c>
      <c r="Y33" s="534"/>
      <c r="Z33" s="404"/>
      <c r="AA33" s="405"/>
      <c r="AB33" s="405"/>
      <c r="AC33" s="404" t="e">
        <f t="shared" si="2"/>
        <v>#N/A</v>
      </c>
      <c r="AD33" s="534"/>
      <c r="AE33" s="404"/>
      <c r="AF33" s="405"/>
      <c r="AG33" s="405"/>
      <c r="AH33" s="404" t="e">
        <f t="shared" si="3"/>
        <v>#N/A</v>
      </c>
      <c r="AI33" s="534"/>
      <c r="AJ33" s="404"/>
      <c r="AK33" s="405"/>
      <c r="AL33" s="405"/>
      <c r="AM33" s="404" t="e">
        <f t="shared" si="4"/>
        <v>#N/A</v>
      </c>
      <c r="AN33" s="534"/>
      <c r="AO33" s="404"/>
      <c r="AP33" s="405"/>
      <c r="AQ33" s="405"/>
      <c r="AR33" s="404" t="e">
        <f t="shared" si="5"/>
        <v>#N/A</v>
      </c>
      <c r="AS33" s="534"/>
      <c r="AT33" s="404"/>
      <c r="AU33" s="405"/>
      <c r="AV33" s="405"/>
      <c r="AW33" s="404" t="e">
        <f t="shared" si="6"/>
        <v>#N/A</v>
      </c>
      <c r="AX33" s="534"/>
      <c r="AZ33" s="320" t="e">
        <f>RANK(AX33, $K$7:AX$36)</f>
        <v>#N/A</v>
      </c>
      <c r="BB33" s="318" t="e">
        <f t="shared" si="7"/>
        <v>#N/A</v>
      </c>
    </row>
    <row r="34" spans="2:54">
      <c r="B34" s="533"/>
      <c r="C34" s="404">
        <v>28</v>
      </c>
      <c r="D34" s="226"/>
      <c r="E34" s="182"/>
      <c r="F34" s="404"/>
      <c r="G34" s="405"/>
      <c r="H34" s="598"/>
      <c r="I34" s="408"/>
      <c r="J34" s="408"/>
      <c r="K34" s="406"/>
      <c r="L34" s="588"/>
      <c r="M34" s="408" t="e">
        <f>RANK(K34, $K$7:K$36)</f>
        <v>#N/A</v>
      </c>
      <c r="N34" s="544"/>
      <c r="O34" s="544"/>
      <c r="P34" s="404"/>
      <c r="Q34" s="405"/>
      <c r="R34" s="405"/>
      <c r="S34" s="404" t="e">
        <f t="shared" si="0"/>
        <v>#N/A</v>
      </c>
      <c r="T34" s="534"/>
      <c r="U34" s="404"/>
      <c r="V34" s="405"/>
      <c r="W34" s="405"/>
      <c r="X34" s="404" t="e">
        <f t="shared" si="1"/>
        <v>#N/A</v>
      </c>
      <c r="Y34" s="534"/>
      <c r="Z34" s="404"/>
      <c r="AA34" s="405"/>
      <c r="AB34" s="405"/>
      <c r="AC34" s="404" t="e">
        <f t="shared" si="2"/>
        <v>#N/A</v>
      </c>
      <c r="AD34" s="534"/>
      <c r="AE34" s="404"/>
      <c r="AF34" s="405"/>
      <c r="AG34" s="405"/>
      <c r="AH34" s="404" t="e">
        <f t="shared" si="3"/>
        <v>#N/A</v>
      </c>
      <c r="AI34" s="534"/>
      <c r="AJ34" s="404"/>
      <c r="AK34" s="405"/>
      <c r="AL34" s="405"/>
      <c r="AM34" s="404" t="e">
        <f t="shared" si="4"/>
        <v>#N/A</v>
      </c>
      <c r="AN34" s="534"/>
      <c r="AO34" s="404"/>
      <c r="AP34" s="404"/>
      <c r="AQ34" s="404"/>
      <c r="AR34" s="404" t="e">
        <f t="shared" si="5"/>
        <v>#N/A</v>
      </c>
      <c r="AS34" s="534"/>
      <c r="AT34" s="404"/>
      <c r="AU34" s="405"/>
      <c r="AV34" s="405"/>
      <c r="AW34" s="404" t="e">
        <f t="shared" si="6"/>
        <v>#N/A</v>
      </c>
      <c r="AX34" s="534"/>
      <c r="AZ34" s="320" t="e">
        <f>RANK(AX34, $K$7:AX$36)</f>
        <v>#N/A</v>
      </c>
      <c r="BB34" s="318" t="e">
        <f t="shared" si="7"/>
        <v>#N/A</v>
      </c>
    </row>
    <row r="35" spans="2:54">
      <c r="B35" s="533"/>
      <c r="C35" s="404">
        <v>29</v>
      </c>
      <c r="D35" s="226"/>
      <c r="E35" s="182"/>
      <c r="F35" s="404"/>
      <c r="G35" s="405"/>
      <c r="H35" s="598"/>
      <c r="I35" s="202"/>
      <c r="J35" s="202"/>
      <c r="K35" s="202"/>
      <c r="L35" s="588"/>
      <c r="M35" s="408" t="e">
        <f>RANK(K35, $K$7:K$36)</f>
        <v>#N/A</v>
      </c>
      <c r="N35" s="544"/>
      <c r="O35" s="544"/>
      <c r="P35" s="404"/>
      <c r="Q35" s="404"/>
      <c r="R35" s="404"/>
      <c r="S35" s="404" t="e">
        <f t="shared" si="0"/>
        <v>#N/A</v>
      </c>
      <c r="T35" s="534"/>
      <c r="U35" s="404"/>
      <c r="V35" s="404"/>
      <c r="W35" s="404"/>
      <c r="X35" s="404" t="e">
        <f t="shared" si="1"/>
        <v>#N/A</v>
      </c>
      <c r="Y35" s="534"/>
      <c r="Z35" s="404"/>
      <c r="AA35" s="404"/>
      <c r="AB35" s="404"/>
      <c r="AC35" s="404" t="e">
        <f t="shared" si="2"/>
        <v>#N/A</v>
      </c>
      <c r="AD35" s="534"/>
      <c r="AE35" s="404"/>
      <c r="AF35" s="404"/>
      <c r="AG35" s="404"/>
      <c r="AH35" s="404" t="e">
        <f t="shared" si="3"/>
        <v>#N/A</v>
      </c>
      <c r="AI35" s="534"/>
      <c r="AJ35" s="404"/>
      <c r="AK35" s="404"/>
      <c r="AL35" s="404"/>
      <c r="AM35" s="404" t="e">
        <f t="shared" si="4"/>
        <v>#N/A</v>
      </c>
      <c r="AN35" s="534"/>
      <c r="AO35" s="404"/>
      <c r="AP35" s="404"/>
      <c r="AQ35" s="404"/>
      <c r="AR35" s="404" t="e">
        <f t="shared" si="5"/>
        <v>#N/A</v>
      </c>
      <c r="AS35" s="534"/>
      <c r="AT35" s="404"/>
      <c r="AU35" s="404"/>
      <c r="AV35" s="404"/>
      <c r="AW35" s="404" t="e">
        <f t="shared" si="6"/>
        <v>#N/A</v>
      </c>
      <c r="AX35" s="534"/>
      <c r="AZ35" s="320" t="e">
        <f>RANK(AX35, $K$7:AX$36)</f>
        <v>#N/A</v>
      </c>
      <c r="BB35" s="318" t="e">
        <f t="shared" si="7"/>
        <v>#N/A</v>
      </c>
    </row>
    <row r="36" spans="2:54">
      <c r="B36" s="533"/>
      <c r="C36" s="404">
        <v>30</v>
      </c>
      <c r="D36" s="226"/>
      <c r="E36" s="182"/>
      <c r="F36" s="404"/>
      <c r="G36" s="405"/>
      <c r="H36" s="599"/>
      <c r="I36" s="202"/>
      <c r="J36" s="202"/>
      <c r="K36" s="202"/>
      <c r="L36" s="589"/>
      <c r="M36" s="408" t="e">
        <f>RANK(K36, $K$7:K$36)</f>
        <v>#N/A</v>
      </c>
      <c r="N36" s="544"/>
      <c r="O36" s="544"/>
      <c r="P36" s="404"/>
      <c r="Q36" s="404"/>
      <c r="R36" s="404"/>
      <c r="S36" s="404" t="e">
        <f t="shared" si="0"/>
        <v>#N/A</v>
      </c>
      <c r="T36" s="534"/>
      <c r="U36" s="404"/>
      <c r="V36" s="404"/>
      <c r="W36" s="404"/>
      <c r="X36" s="404" t="e">
        <f t="shared" si="1"/>
        <v>#N/A</v>
      </c>
      <c r="Y36" s="534"/>
      <c r="Z36" s="404"/>
      <c r="AA36" s="404"/>
      <c r="AB36" s="404"/>
      <c r="AC36" s="404" t="e">
        <f t="shared" si="2"/>
        <v>#N/A</v>
      </c>
      <c r="AD36" s="534"/>
      <c r="AE36" s="404"/>
      <c r="AF36" s="404"/>
      <c r="AG36" s="404"/>
      <c r="AH36" s="404" t="e">
        <f t="shared" si="3"/>
        <v>#N/A</v>
      </c>
      <c r="AI36" s="534"/>
      <c r="AJ36" s="404"/>
      <c r="AK36" s="404"/>
      <c r="AL36" s="404"/>
      <c r="AM36" s="404" t="e">
        <f t="shared" si="4"/>
        <v>#N/A</v>
      </c>
      <c r="AN36" s="534"/>
      <c r="AO36" s="404"/>
      <c r="AP36" s="404"/>
      <c r="AQ36" s="404"/>
      <c r="AR36" s="404" t="e">
        <f t="shared" si="5"/>
        <v>#N/A</v>
      </c>
      <c r="AS36" s="534"/>
      <c r="AT36" s="404"/>
      <c r="AU36" s="404"/>
      <c r="AV36" s="404"/>
      <c r="AW36" s="404" t="e">
        <f t="shared" si="6"/>
        <v>#N/A</v>
      </c>
      <c r="AX36" s="534"/>
      <c r="AZ36" s="392" t="e">
        <f>RANK(AX36, $K$7:AX$36)</f>
        <v>#N/A</v>
      </c>
      <c r="BB36" s="318" t="e">
        <f t="shared" si="7"/>
        <v>#N/A</v>
      </c>
    </row>
    <row r="37" spans="2:54" ht="15.5">
      <c r="B37" s="575" t="s">
        <v>704</v>
      </c>
      <c r="C37" s="576"/>
      <c r="D37" s="576"/>
      <c r="E37" s="576"/>
      <c r="F37" s="576"/>
      <c r="G37" s="576"/>
      <c r="H37" s="576"/>
      <c r="I37" s="203"/>
      <c r="J37" s="203"/>
      <c r="K37" s="203"/>
      <c r="L37" s="203"/>
      <c r="M37" s="204"/>
      <c r="N37" s="559" t="s">
        <v>705</v>
      </c>
      <c r="O37" s="559" t="s">
        <v>706</v>
      </c>
      <c r="P37" s="610">
        <v>45993</v>
      </c>
      <c r="Q37" s="611"/>
      <c r="R37" s="611"/>
      <c r="S37" s="611"/>
      <c r="T37" s="611"/>
      <c r="U37" s="554">
        <f>P37+1</f>
        <v>45994</v>
      </c>
      <c r="V37" s="533"/>
      <c r="W37" s="533"/>
      <c r="X37" s="533"/>
      <c r="Y37" s="533"/>
      <c r="Z37" s="554">
        <f>U37+1</f>
        <v>45995</v>
      </c>
      <c r="AA37" s="533"/>
      <c r="AB37" s="533"/>
      <c r="AC37" s="533"/>
      <c r="AD37" s="533"/>
      <c r="AE37" s="554">
        <f>Z37+1</f>
        <v>45996</v>
      </c>
      <c r="AF37" s="533"/>
      <c r="AG37" s="533"/>
      <c r="AH37" s="533"/>
      <c r="AI37" s="533"/>
      <c r="AJ37" s="554">
        <f>AE37+1</f>
        <v>45997</v>
      </c>
      <c r="AK37" s="533"/>
      <c r="AL37" s="533"/>
      <c r="AM37" s="533"/>
      <c r="AN37" s="533"/>
      <c r="AO37" s="554">
        <f>AJ37+1</f>
        <v>45998</v>
      </c>
      <c r="AP37" s="533"/>
      <c r="AQ37" s="533"/>
      <c r="AR37" s="533"/>
      <c r="AS37" s="533"/>
      <c r="AT37" s="554">
        <f>AO37+1</f>
        <v>45999</v>
      </c>
      <c r="AU37" s="533"/>
      <c r="AV37" s="533"/>
      <c r="AW37" s="533"/>
      <c r="AX37" s="533"/>
    </row>
    <row r="38" spans="2:54" ht="15.5">
      <c r="B38" s="558"/>
      <c r="C38" s="558"/>
      <c r="D38" s="558"/>
      <c r="E38" s="558"/>
      <c r="F38" s="558"/>
      <c r="G38" s="558"/>
      <c r="H38" s="558"/>
      <c r="I38" s="205"/>
      <c r="J38" s="205"/>
      <c r="K38" s="205"/>
      <c r="L38" s="205"/>
      <c r="M38" s="206"/>
      <c r="N38" s="560"/>
      <c r="O38" s="560"/>
      <c r="P38" s="554" t="s">
        <v>707</v>
      </c>
      <c r="Q38" s="533"/>
      <c r="R38" s="533"/>
      <c r="S38" s="533"/>
      <c r="T38" s="533"/>
      <c r="U38" s="554" t="s">
        <v>708</v>
      </c>
      <c r="V38" s="533"/>
      <c r="W38" s="533"/>
      <c r="X38" s="533"/>
      <c r="Y38" s="533"/>
      <c r="Z38" s="554" t="s">
        <v>709</v>
      </c>
      <c r="AA38" s="533"/>
      <c r="AB38" s="533"/>
      <c r="AC38" s="533"/>
      <c r="AD38" s="533"/>
      <c r="AE38" s="554" t="s">
        <v>710</v>
      </c>
      <c r="AF38" s="533"/>
      <c r="AG38" s="533"/>
      <c r="AH38" s="533"/>
      <c r="AI38" s="533"/>
      <c r="AJ38" s="554" t="s">
        <v>711</v>
      </c>
      <c r="AK38" s="533"/>
      <c r="AL38" s="533"/>
      <c r="AM38" s="533"/>
      <c r="AN38" s="533"/>
      <c r="AO38" s="554" t="s">
        <v>712</v>
      </c>
      <c r="AP38" s="533"/>
      <c r="AQ38" s="533"/>
      <c r="AR38" s="533"/>
      <c r="AS38" s="533"/>
      <c r="AT38" s="554" t="s">
        <v>713</v>
      </c>
      <c r="AU38" s="533"/>
      <c r="AV38" s="533"/>
      <c r="AW38" s="533"/>
      <c r="AX38" s="533"/>
    </row>
    <row r="39" spans="2:54">
      <c r="B39" s="544" t="s">
        <v>649</v>
      </c>
      <c r="C39" s="544" t="s">
        <v>650</v>
      </c>
      <c r="D39" s="544"/>
      <c r="E39" s="544" t="s">
        <v>651</v>
      </c>
      <c r="F39" s="544"/>
      <c r="G39" s="544"/>
      <c r="H39" s="561" t="s">
        <v>652</v>
      </c>
      <c r="I39" s="583" t="s">
        <v>653</v>
      </c>
      <c r="J39" s="583"/>
      <c r="K39" s="583"/>
      <c r="L39" s="584" t="s">
        <v>652</v>
      </c>
      <c r="M39" s="567" t="s">
        <v>654</v>
      </c>
      <c r="N39" s="544"/>
      <c r="O39" s="544" t="s">
        <v>655</v>
      </c>
      <c r="P39" s="548" t="s">
        <v>656</v>
      </c>
      <c r="Q39" s="549"/>
      <c r="R39" s="549"/>
      <c r="S39" s="550"/>
      <c r="T39" s="544" t="s">
        <v>652</v>
      </c>
      <c r="U39" s="548" t="s">
        <v>656</v>
      </c>
      <c r="V39" s="549"/>
      <c r="W39" s="549"/>
      <c r="X39" s="550"/>
      <c r="Y39" s="544" t="s">
        <v>652</v>
      </c>
      <c r="Z39" s="548" t="s">
        <v>656</v>
      </c>
      <c r="AA39" s="549"/>
      <c r="AB39" s="549"/>
      <c r="AC39" s="550"/>
      <c r="AD39" s="544" t="s">
        <v>652</v>
      </c>
      <c r="AE39" s="548" t="s">
        <v>656</v>
      </c>
      <c r="AF39" s="549"/>
      <c r="AG39" s="549"/>
      <c r="AH39" s="550"/>
      <c r="AI39" s="544" t="s">
        <v>652</v>
      </c>
      <c r="AJ39" s="548" t="s">
        <v>656</v>
      </c>
      <c r="AK39" s="549"/>
      <c r="AL39" s="549"/>
      <c r="AM39" s="550"/>
      <c r="AN39" s="544" t="s">
        <v>652</v>
      </c>
      <c r="AO39" s="548" t="s">
        <v>656</v>
      </c>
      <c r="AP39" s="549"/>
      <c r="AQ39" s="549"/>
      <c r="AR39" s="550"/>
      <c r="AS39" s="544" t="s">
        <v>652</v>
      </c>
      <c r="AT39" s="548" t="s">
        <v>656</v>
      </c>
      <c r="AU39" s="549"/>
      <c r="AV39" s="549"/>
      <c r="AW39" s="550"/>
      <c r="AX39" s="544" t="s">
        <v>652</v>
      </c>
    </row>
    <row r="40" spans="2:54">
      <c r="B40" s="544"/>
      <c r="C40" s="544"/>
      <c r="D40" s="544"/>
      <c r="E40" s="544" t="s">
        <v>657</v>
      </c>
      <c r="F40" s="544"/>
      <c r="G40" s="544"/>
      <c r="H40" s="562"/>
      <c r="I40" s="583" t="s">
        <v>657</v>
      </c>
      <c r="J40" s="583"/>
      <c r="K40" s="583"/>
      <c r="L40" s="585"/>
      <c r="M40" s="568"/>
      <c r="N40" s="544"/>
      <c r="O40" s="544"/>
      <c r="P40" s="548" t="s">
        <v>658</v>
      </c>
      <c r="Q40" s="549"/>
      <c r="R40" s="549"/>
      <c r="S40" s="550"/>
      <c r="T40" s="544"/>
      <c r="U40" s="548" t="s">
        <v>658</v>
      </c>
      <c r="V40" s="549"/>
      <c r="W40" s="549"/>
      <c r="X40" s="550"/>
      <c r="Y40" s="544"/>
      <c r="Z40" s="548" t="s">
        <v>658</v>
      </c>
      <c r="AA40" s="549"/>
      <c r="AB40" s="549"/>
      <c r="AC40" s="550"/>
      <c r="AD40" s="544"/>
      <c r="AE40" s="548" t="s">
        <v>658</v>
      </c>
      <c r="AF40" s="549"/>
      <c r="AG40" s="549"/>
      <c r="AH40" s="550"/>
      <c r="AI40" s="544"/>
      <c r="AJ40" s="548" t="s">
        <v>658</v>
      </c>
      <c r="AK40" s="549"/>
      <c r="AL40" s="549"/>
      <c r="AM40" s="550"/>
      <c r="AN40" s="544"/>
      <c r="AO40" s="548" t="s">
        <v>658</v>
      </c>
      <c r="AP40" s="549"/>
      <c r="AQ40" s="549"/>
      <c r="AR40" s="550"/>
      <c r="AS40" s="544"/>
      <c r="AT40" s="548" t="s">
        <v>658</v>
      </c>
      <c r="AU40" s="549"/>
      <c r="AV40" s="549"/>
      <c r="AW40" s="550"/>
      <c r="AX40" s="544"/>
    </row>
    <row r="41" spans="2:54">
      <c r="B41" s="544"/>
      <c r="C41" s="544"/>
      <c r="D41" s="544"/>
      <c r="E41" s="403" t="s">
        <v>659</v>
      </c>
      <c r="F41" s="403" t="s">
        <v>660</v>
      </c>
      <c r="G41" s="403" t="s">
        <v>661</v>
      </c>
      <c r="H41" s="563"/>
      <c r="I41" s="402" t="s">
        <v>659</v>
      </c>
      <c r="J41" s="402" t="s">
        <v>660</v>
      </c>
      <c r="K41" s="402" t="s">
        <v>661</v>
      </c>
      <c r="L41" s="586"/>
      <c r="M41" s="569"/>
      <c r="N41" s="544"/>
      <c r="O41" s="544"/>
      <c r="P41" s="403" t="s">
        <v>659</v>
      </c>
      <c r="Q41" s="403" t="s">
        <v>660</v>
      </c>
      <c r="R41" s="403" t="s">
        <v>661</v>
      </c>
      <c r="S41" s="403" t="s">
        <v>654</v>
      </c>
      <c r="T41" s="544"/>
      <c r="U41" s="403" t="s">
        <v>659</v>
      </c>
      <c r="V41" s="403" t="s">
        <v>660</v>
      </c>
      <c r="W41" s="403" t="s">
        <v>661</v>
      </c>
      <c r="X41" s="403" t="s">
        <v>654</v>
      </c>
      <c r="Y41" s="544"/>
      <c r="Z41" s="403" t="s">
        <v>659</v>
      </c>
      <c r="AA41" s="403" t="s">
        <v>660</v>
      </c>
      <c r="AB41" s="403" t="s">
        <v>661</v>
      </c>
      <c r="AC41" s="403" t="s">
        <v>654</v>
      </c>
      <c r="AD41" s="544"/>
      <c r="AE41" s="403" t="s">
        <v>659</v>
      </c>
      <c r="AF41" s="403" t="s">
        <v>660</v>
      </c>
      <c r="AG41" s="403" t="s">
        <v>661</v>
      </c>
      <c r="AH41" s="403" t="s">
        <v>654</v>
      </c>
      <c r="AI41" s="544"/>
      <c r="AJ41" s="403" t="s">
        <v>659</v>
      </c>
      <c r="AK41" s="403" t="s">
        <v>660</v>
      </c>
      <c r="AL41" s="403" t="s">
        <v>661</v>
      </c>
      <c r="AM41" s="403" t="s">
        <v>654</v>
      </c>
      <c r="AN41" s="544"/>
      <c r="AO41" s="403" t="s">
        <v>659</v>
      </c>
      <c r="AP41" s="403" t="s">
        <v>660</v>
      </c>
      <c r="AQ41" s="403" t="s">
        <v>661</v>
      </c>
      <c r="AR41" s="403" t="s">
        <v>654</v>
      </c>
      <c r="AS41" s="544"/>
      <c r="AT41" s="403" t="s">
        <v>659</v>
      </c>
      <c r="AU41" s="403" t="s">
        <v>660</v>
      </c>
      <c r="AV41" s="403" t="s">
        <v>661</v>
      </c>
      <c r="AW41" s="403" t="s">
        <v>654</v>
      </c>
      <c r="AX41" s="544"/>
    </row>
    <row r="42" spans="2:54">
      <c r="B42" s="544" t="s">
        <v>714</v>
      </c>
      <c r="C42" s="404">
        <v>1</v>
      </c>
      <c r="D42" s="226" t="s">
        <v>374</v>
      </c>
      <c r="E42" s="182">
        <v>6</v>
      </c>
      <c r="F42" s="404">
        <v>1500</v>
      </c>
      <c r="G42" s="405">
        <v>250</v>
      </c>
      <c r="H42" s="597">
        <f>AVERAGE(G42:G71)</f>
        <v>99.74444444444444</v>
      </c>
      <c r="I42" s="408">
        <f>AVERAGE(P42,U42,Z42,AE42,AJ42,AO42,AT42)</f>
        <v>6</v>
      </c>
      <c r="J42" s="408">
        <f>AVERAGE(Q42,V42,AA42,AF42,AK42,AP42,AU42)</f>
        <v>1468.084047334743</v>
      </c>
      <c r="K42" s="406">
        <f>AVERAGE(R42,W42,AB42,AG42,AL42,AQ42,AV42)</f>
        <v>244.68067455579049</v>
      </c>
      <c r="L42" s="587">
        <f>IFERROR(AVERAGE(K42:K71),"-")</f>
        <v>87.821277525233683</v>
      </c>
      <c r="M42" s="407">
        <f>RANK(K42, K$42:$K$71)</f>
        <v>2</v>
      </c>
      <c r="N42" s="544"/>
      <c r="O42" s="544"/>
      <c r="P42" s="182">
        <v>6</v>
      </c>
      <c r="Q42" s="182">
        <v>1481.2826086956518</v>
      </c>
      <c r="R42" s="182">
        <v>246.88043478260863</v>
      </c>
      <c r="S42" s="404">
        <f t="shared" ref="S42:S71" si="9">RANK(R42, R$42:R$71)</f>
        <v>1</v>
      </c>
      <c r="T42" s="534">
        <f>AVERAGE(R42:R71)</f>
        <v>87.981686209824616</v>
      </c>
      <c r="U42" s="182">
        <v>6</v>
      </c>
      <c r="V42" s="182">
        <v>1470.4615384615379</v>
      </c>
      <c r="W42" s="182">
        <v>245.07692307692298</v>
      </c>
      <c r="X42" s="404">
        <f t="shared" ref="X42:X71" si="10">RANK(W42, W$42:W$71)</f>
        <v>1</v>
      </c>
      <c r="Y42" s="534">
        <f>AVERAGE(W42:W71)</f>
        <v>87.310374467671096</v>
      </c>
      <c r="Z42" s="182">
        <v>6</v>
      </c>
      <c r="AA42" s="182">
        <v>1468.7796610169496</v>
      </c>
      <c r="AB42" s="182">
        <v>244.7966101694916</v>
      </c>
      <c r="AC42" s="404">
        <f t="shared" ref="AC42:AC71" si="11">RANK(AB42, AB$42:AB$71)</f>
        <v>2</v>
      </c>
      <c r="AD42" s="534">
        <f>AVERAGE(AB42:AB71)</f>
        <v>86.613471439004741</v>
      </c>
      <c r="AE42" s="182">
        <v>6</v>
      </c>
      <c r="AF42" s="182">
        <v>1448.8941176470591</v>
      </c>
      <c r="AG42" s="182">
        <v>241.48235294117652</v>
      </c>
      <c r="AH42" s="404">
        <f t="shared" ref="AH42:AH71" si="12">RANK(AG42, AG$42:AG$71)</f>
        <v>2</v>
      </c>
      <c r="AI42" s="534">
        <f>AVERAGE(AG42:AG71)</f>
        <v>88.534454308929512</v>
      </c>
      <c r="AJ42" s="182">
        <v>6</v>
      </c>
      <c r="AK42" s="182">
        <v>1491.1967213114754</v>
      </c>
      <c r="AL42" s="182">
        <v>248.53278688524588</v>
      </c>
      <c r="AM42" s="404">
        <f t="shared" ref="AM42:AM71" si="13">RANK(AL42, AL$42:AL$71)</f>
        <v>1</v>
      </c>
      <c r="AN42" s="534">
        <f>AVERAGE(AL42:AL71)</f>
        <v>88.429094370587123</v>
      </c>
      <c r="AO42" s="182">
        <v>6</v>
      </c>
      <c r="AP42" s="182">
        <v>1486.5</v>
      </c>
      <c r="AQ42" s="182">
        <v>247.75</v>
      </c>
      <c r="AR42" s="404">
        <f t="shared" ref="AR42:AR71" si="14">RANK(AQ42, AQ$42:AQ$71)</f>
        <v>1</v>
      </c>
      <c r="AS42" s="534">
        <f>AVERAGE(AQ42:AQ71)</f>
        <v>88.633142913699956</v>
      </c>
      <c r="AT42" s="182">
        <v>6</v>
      </c>
      <c r="AU42" s="182">
        <v>1429.4736842105269</v>
      </c>
      <c r="AV42" s="182">
        <v>238.24561403508781</v>
      </c>
      <c r="AW42" s="404">
        <f t="shared" ref="AW42:AW71" si="15">RANK(AV42, AV$42:AV$71)</f>
        <v>2</v>
      </c>
      <c r="AX42" s="534">
        <f>AVERAGE(AV42:AV71)</f>
        <v>88.518105178829245</v>
      </c>
    </row>
    <row r="43" spans="2:54">
      <c r="B43" s="533"/>
      <c r="C43" s="404">
        <v>2</v>
      </c>
      <c r="D43" s="226" t="s">
        <v>398</v>
      </c>
      <c r="E43" s="182">
        <v>6</v>
      </c>
      <c r="F43" s="404">
        <v>1500</v>
      </c>
      <c r="G43" s="405">
        <v>250</v>
      </c>
      <c r="H43" s="598"/>
      <c r="I43" s="408">
        <f t="shared" ref="I43:K65" si="16">AVERAGE(P43,U43,Z43,AE43,AJ43,AO43,AT43)</f>
        <v>6</v>
      </c>
      <c r="J43" s="408">
        <f t="shared" si="16"/>
        <v>1473.6771042961743</v>
      </c>
      <c r="K43" s="406">
        <f t="shared" si="16"/>
        <v>245.6128507160291</v>
      </c>
      <c r="L43" s="588"/>
      <c r="M43" s="407">
        <f>RANK(K43, K$42:$K$71)</f>
        <v>1</v>
      </c>
      <c r="N43" s="544"/>
      <c r="O43" s="544"/>
      <c r="P43" s="182">
        <v>6</v>
      </c>
      <c r="Q43" s="182">
        <v>1469.0909090909088</v>
      </c>
      <c r="R43" s="182">
        <v>244.84848484848479</v>
      </c>
      <c r="S43" s="404">
        <f t="shared" si="9"/>
        <v>2</v>
      </c>
      <c r="T43" s="534"/>
      <c r="U43" s="182">
        <v>6</v>
      </c>
      <c r="V43" s="182">
        <v>1459.7938144329894</v>
      </c>
      <c r="W43" s="182">
        <v>243.29896907216491</v>
      </c>
      <c r="X43" s="404">
        <f t="shared" si="10"/>
        <v>2</v>
      </c>
      <c r="Y43" s="534"/>
      <c r="Z43" s="182">
        <v>6</v>
      </c>
      <c r="AA43" s="182">
        <v>1485.7731958762886</v>
      </c>
      <c r="AB43" s="182">
        <v>247.62886597938143</v>
      </c>
      <c r="AC43" s="404">
        <f t="shared" si="11"/>
        <v>1</v>
      </c>
      <c r="AD43" s="534"/>
      <c r="AE43" s="182">
        <v>6</v>
      </c>
      <c r="AF43" s="182">
        <v>1472.530120481928</v>
      </c>
      <c r="AG43" s="182">
        <v>245.421686746988</v>
      </c>
      <c r="AH43" s="404">
        <f t="shared" si="12"/>
        <v>1</v>
      </c>
      <c r="AI43" s="534"/>
      <c r="AJ43" s="182">
        <v>6</v>
      </c>
      <c r="AK43" s="182">
        <v>1450.2127659574464</v>
      </c>
      <c r="AL43" s="182">
        <v>241.70212765957442</v>
      </c>
      <c r="AM43" s="404">
        <f t="shared" si="13"/>
        <v>2</v>
      </c>
      <c r="AN43" s="534"/>
      <c r="AO43" s="182">
        <v>6</v>
      </c>
      <c r="AP43" s="182">
        <v>1467.7894736842102</v>
      </c>
      <c r="AQ43" s="182">
        <v>244.63157894736835</v>
      </c>
      <c r="AR43" s="404">
        <f t="shared" si="14"/>
        <v>2</v>
      </c>
      <c r="AS43" s="534"/>
      <c r="AT43" s="182">
        <v>6</v>
      </c>
      <c r="AU43" s="182">
        <v>1510.5494505494505</v>
      </c>
      <c r="AV43" s="182">
        <v>251.75824175824175</v>
      </c>
      <c r="AW43" s="404">
        <f t="shared" si="15"/>
        <v>1</v>
      </c>
      <c r="AX43" s="534"/>
    </row>
    <row r="44" spans="2:54">
      <c r="B44" s="533"/>
      <c r="C44" s="404">
        <v>3</v>
      </c>
      <c r="D44" s="226" t="s">
        <v>375</v>
      </c>
      <c r="E44" s="182">
        <v>17</v>
      </c>
      <c r="F44" s="404">
        <v>1500</v>
      </c>
      <c r="G44" s="405">
        <v>88.2</v>
      </c>
      <c r="H44" s="598"/>
      <c r="I44" s="408">
        <f t="shared" si="16"/>
        <v>17</v>
      </c>
      <c r="J44" s="408">
        <f t="shared" si="16"/>
        <v>1286.4541001002758</v>
      </c>
      <c r="K44" s="406">
        <f t="shared" si="16"/>
        <v>75.67377059413387</v>
      </c>
      <c r="L44" s="588"/>
      <c r="M44" s="407">
        <f>RANK(K44, K$42:$K$71)</f>
        <v>13</v>
      </c>
      <c r="N44" s="544"/>
      <c r="O44" s="544"/>
      <c r="P44" s="182">
        <v>17</v>
      </c>
      <c r="Q44" s="182">
        <v>1300.5</v>
      </c>
      <c r="R44" s="182">
        <v>76.5</v>
      </c>
      <c r="S44" s="404">
        <f t="shared" si="9"/>
        <v>12</v>
      </c>
      <c r="T44" s="534"/>
      <c r="U44" s="182">
        <v>17</v>
      </c>
      <c r="V44" s="182">
        <v>1281.6000000000004</v>
      </c>
      <c r="W44" s="182">
        <v>75.388235294117663</v>
      </c>
      <c r="X44" s="404">
        <f t="shared" si="10"/>
        <v>12</v>
      </c>
      <c r="Y44" s="534"/>
      <c r="Z44" s="182">
        <v>17</v>
      </c>
      <c r="AA44" s="182">
        <v>1277.3684210526321</v>
      </c>
      <c r="AB44" s="182">
        <v>75.139318885448944</v>
      </c>
      <c r="AC44" s="404">
        <f t="shared" si="11"/>
        <v>13</v>
      </c>
      <c r="AD44" s="534"/>
      <c r="AE44" s="182">
        <v>17</v>
      </c>
      <c r="AF44" s="182">
        <v>1261.0169491525419</v>
      </c>
      <c r="AG44" s="182">
        <v>74.177467597208349</v>
      </c>
      <c r="AH44" s="404">
        <f t="shared" si="12"/>
        <v>17</v>
      </c>
      <c r="AI44" s="534"/>
      <c r="AJ44" s="182">
        <v>17</v>
      </c>
      <c r="AK44" s="182">
        <v>1308.8571428571431</v>
      </c>
      <c r="AL44" s="182">
        <v>76.99159663865548</v>
      </c>
      <c r="AM44" s="404">
        <f t="shared" si="13"/>
        <v>12</v>
      </c>
      <c r="AN44" s="534"/>
      <c r="AO44" s="182">
        <v>17</v>
      </c>
      <c r="AP44" s="182">
        <v>1301.0126582278488</v>
      </c>
      <c r="AQ44" s="182">
        <v>76.530156366344045</v>
      </c>
      <c r="AR44" s="404">
        <f t="shared" si="14"/>
        <v>12</v>
      </c>
      <c r="AS44" s="534"/>
      <c r="AT44" s="182">
        <v>17</v>
      </c>
      <c r="AU44" s="182">
        <v>1274.8235294117644</v>
      </c>
      <c r="AV44" s="182">
        <v>74.989619377162612</v>
      </c>
      <c r="AW44" s="404">
        <f t="shared" si="15"/>
        <v>15</v>
      </c>
      <c r="AX44" s="534"/>
    </row>
    <row r="45" spans="2:54">
      <c r="B45" s="533"/>
      <c r="C45" s="404">
        <v>4</v>
      </c>
      <c r="D45" s="226" t="s">
        <v>355</v>
      </c>
      <c r="E45" s="182">
        <v>21</v>
      </c>
      <c r="F45" s="404">
        <v>1500</v>
      </c>
      <c r="G45" s="405">
        <v>71.400000000000006</v>
      </c>
      <c r="H45" s="598"/>
      <c r="I45" s="408">
        <f t="shared" si="16"/>
        <v>20.571428571428573</v>
      </c>
      <c r="J45" s="408">
        <f t="shared" si="16"/>
        <v>1287.911841898728</v>
      </c>
      <c r="K45" s="406">
        <f t="shared" si="16"/>
        <v>62.644319445635972</v>
      </c>
      <c r="L45" s="588"/>
      <c r="M45" s="407">
        <f>RANK(K45, K$42:$K$71)</f>
        <v>25</v>
      </c>
      <c r="N45" s="544"/>
      <c r="O45" s="544"/>
      <c r="P45" s="182">
        <v>20</v>
      </c>
      <c r="Q45" s="182">
        <v>1291.2500000000005</v>
      </c>
      <c r="R45" s="182">
        <v>64.562500000000028</v>
      </c>
      <c r="S45" s="404">
        <f t="shared" si="9"/>
        <v>24</v>
      </c>
      <c r="T45" s="534"/>
      <c r="U45" s="182">
        <v>20</v>
      </c>
      <c r="V45" s="182">
        <v>1287.391304347826</v>
      </c>
      <c r="W45" s="182">
        <v>64.369565217391298</v>
      </c>
      <c r="X45" s="404">
        <f t="shared" si="10"/>
        <v>24</v>
      </c>
      <c r="Y45" s="534"/>
      <c r="Z45" s="182">
        <v>20</v>
      </c>
      <c r="AA45" s="182">
        <v>1288</v>
      </c>
      <c r="AB45" s="182">
        <v>64.400000000000006</v>
      </c>
      <c r="AC45" s="404">
        <f t="shared" si="11"/>
        <v>24</v>
      </c>
      <c r="AD45" s="534"/>
      <c r="AE45" s="182">
        <v>21</v>
      </c>
      <c r="AF45" s="182">
        <v>1303.0769230769222</v>
      </c>
      <c r="AG45" s="182">
        <v>62.051282051282008</v>
      </c>
      <c r="AH45" s="404">
        <f t="shared" si="12"/>
        <v>24</v>
      </c>
      <c r="AI45" s="534"/>
      <c r="AJ45" s="182">
        <v>21</v>
      </c>
      <c r="AK45" s="182">
        <v>1297.3333333333335</v>
      </c>
      <c r="AL45" s="182">
        <v>61.777777777777786</v>
      </c>
      <c r="AM45" s="404">
        <f t="shared" si="13"/>
        <v>24</v>
      </c>
      <c r="AN45" s="534"/>
      <c r="AO45" s="182">
        <v>21</v>
      </c>
      <c r="AP45" s="182">
        <v>1262.4489795918371</v>
      </c>
      <c r="AQ45" s="182">
        <v>60.116618075801767</v>
      </c>
      <c r="AR45" s="404">
        <f t="shared" si="14"/>
        <v>24</v>
      </c>
      <c r="AS45" s="534"/>
      <c r="AT45" s="182">
        <v>21</v>
      </c>
      <c r="AU45" s="182">
        <v>1285.882352941177</v>
      </c>
      <c r="AV45" s="182">
        <v>61.232492997198904</v>
      </c>
      <c r="AW45" s="404">
        <f t="shared" si="15"/>
        <v>25</v>
      </c>
      <c r="AX45" s="534"/>
    </row>
    <row r="46" spans="2:54">
      <c r="B46" s="533"/>
      <c r="C46" s="404">
        <v>5</v>
      </c>
      <c r="D46" s="226" t="s">
        <v>353</v>
      </c>
      <c r="E46" s="182">
        <v>16</v>
      </c>
      <c r="F46" s="404">
        <v>1500</v>
      </c>
      <c r="G46" s="405">
        <v>93.8</v>
      </c>
      <c r="H46" s="598"/>
      <c r="I46" s="408">
        <f t="shared" si="16"/>
        <v>16.142857142857142</v>
      </c>
      <c r="J46" s="408">
        <f t="shared" si="16"/>
        <v>1331.7322375076835</v>
      </c>
      <c r="K46" s="406">
        <f t="shared" si="16"/>
        <v>82.549634249135039</v>
      </c>
      <c r="L46" s="588"/>
      <c r="M46" s="407">
        <f>RANK(K46, K$42:$K$71)</f>
        <v>7</v>
      </c>
      <c r="N46" s="544"/>
      <c r="O46" s="544"/>
      <c r="P46" s="182">
        <v>16</v>
      </c>
      <c r="Q46" s="182">
        <v>1363.2000000000003</v>
      </c>
      <c r="R46" s="182">
        <v>85.200000000000017</v>
      </c>
      <c r="S46" s="404">
        <f t="shared" si="9"/>
        <v>4</v>
      </c>
      <c r="T46" s="534"/>
      <c r="U46" s="182">
        <v>17</v>
      </c>
      <c r="V46" s="182">
        <v>1301.6326530612248</v>
      </c>
      <c r="W46" s="182">
        <v>76.566626650660282</v>
      </c>
      <c r="X46" s="404">
        <f t="shared" si="10"/>
        <v>11</v>
      </c>
      <c r="Y46" s="534"/>
      <c r="Z46" s="182">
        <v>16</v>
      </c>
      <c r="AA46" s="182">
        <v>1316.2500000000005</v>
      </c>
      <c r="AB46" s="182">
        <v>82.265625000000028</v>
      </c>
      <c r="AC46" s="404">
        <f t="shared" si="11"/>
        <v>6</v>
      </c>
      <c r="AD46" s="534"/>
      <c r="AE46" s="182">
        <v>16</v>
      </c>
      <c r="AF46" s="182">
        <v>1361.4285714285709</v>
      </c>
      <c r="AG46" s="182">
        <v>85.08928571428568</v>
      </c>
      <c r="AH46" s="404">
        <f t="shared" si="12"/>
        <v>5</v>
      </c>
      <c r="AI46" s="534"/>
      <c r="AJ46" s="182">
        <v>16</v>
      </c>
      <c r="AK46" s="182">
        <v>1365.6521739130435</v>
      </c>
      <c r="AL46" s="182">
        <v>85.353260869565219</v>
      </c>
      <c r="AM46" s="404">
        <f t="shared" si="13"/>
        <v>4</v>
      </c>
      <c r="AN46" s="534"/>
      <c r="AO46" s="182">
        <v>16</v>
      </c>
      <c r="AP46" s="182">
        <v>1297.3584905660384</v>
      </c>
      <c r="AQ46" s="182">
        <v>81.084905660377402</v>
      </c>
      <c r="AR46" s="404">
        <f t="shared" si="14"/>
        <v>7</v>
      </c>
      <c r="AS46" s="534"/>
      <c r="AT46" s="182">
        <v>16</v>
      </c>
      <c r="AU46" s="182">
        <v>1316.6037735849063</v>
      </c>
      <c r="AV46" s="182">
        <v>82.287735849056645</v>
      </c>
      <c r="AW46" s="404">
        <f t="shared" si="15"/>
        <v>7</v>
      </c>
      <c r="AX46" s="534"/>
    </row>
    <row r="47" spans="2:54">
      <c r="B47" s="533"/>
      <c r="C47" s="404">
        <v>6</v>
      </c>
      <c r="D47" s="226" t="s">
        <v>382</v>
      </c>
      <c r="E47" s="182">
        <v>15</v>
      </c>
      <c r="F47" s="404">
        <v>1565</v>
      </c>
      <c r="G47" s="405">
        <v>104.3</v>
      </c>
      <c r="H47" s="598"/>
      <c r="I47" s="408">
        <f t="shared" si="16"/>
        <v>15.428571428571429</v>
      </c>
      <c r="J47" s="408">
        <f t="shared" si="16"/>
        <v>1376.6321956040852</v>
      </c>
      <c r="K47" s="406">
        <f t="shared" si="16"/>
        <v>89.334646833087717</v>
      </c>
      <c r="L47" s="588"/>
      <c r="M47" s="407">
        <f>RANK(K47, K$42:$K$71)</f>
        <v>4</v>
      </c>
      <c r="N47" s="544"/>
      <c r="O47" s="544"/>
      <c r="P47" s="182">
        <v>15</v>
      </c>
      <c r="Q47" s="182">
        <v>1413.7499999999995</v>
      </c>
      <c r="R47" s="182">
        <v>94.249999999999972</v>
      </c>
      <c r="S47" s="404">
        <f t="shared" si="9"/>
        <v>3</v>
      </c>
      <c r="T47" s="534"/>
      <c r="U47" s="182">
        <v>16</v>
      </c>
      <c r="V47" s="182">
        <v>1383.1578947368425</v>
      </c>
      <c r="W47" s="182">
        <v>86.447368421052659</v>
      </c>
      <c r="X47" s="404">
        <f t="shared" si="10"/>
        <v>3</v>
      </c>
      <c r="Y47" s="534"/>
      <c r="Z47" s="182">
        <v>16</v>
      </c>
      <c r="AA47" s="182">
        <v>1360.8333333333337</v>
      </c>
      <c r="AB47" s="182">
        <v>85.052083333333357</v>
      </c>
      <c r="AC47" s="404">
        <f t="shared" si="11"/>
        <v>4</v>
      </c>
      <c r="AD47" s="534"/>
      <c r="AE47" s="182">
        <v>15</v>
      </c>
      <c r="AF47" s="182">
        <v>1390.8333333333337</v>
      </c>
      <c r="AG47" s="182">
        <v>92.722222222222243</v>
      </c>
      <c r="AH47" s="404">
        <f t="shared" si="12"/>
        <v>3</v>
      </c>
      <c r="AI47" s="534"/>
      <c r="AJ47" s="182">
        <v>15</v>
      </c>
      <c r="AK47" s="182">
        <v>1369.0909090909097</v>
      </c>
      <c r="AL47" s="182">
        <v>91.272727272727309</v>
      </c>
      <c r="AM47" s="404">
        <f t="shared" si="13"/>
        <v>3</v>
      </c>
      <c r="AN47" s="534"/>
      <c r="AO47" s="182">
        <v>15</v>
      </c>
      <c r="AP47" s="182">
        <v>1362.1518987341765</v>
      </c>
      <c r="AQ47" s="182">
        <v>90.810126582278428</v>
      </c>
      <c r="AR47" s="404">
        <f t="shared" si="14"/>
        <v>3</v>
      </c>
      <c r="AS47" s="534"/>
      <c r="AT47" s="182">
        <v>16</v>
      </c>
      <c r="AU47" s="182">
        <v>1356.6080000000004</v>
      </c>
      <c r="AV47" s="182">
        <v>84.788000000000025</v>
      </c>
      <c r="AW47" s="404">
        <f t="shared" si="15"/>
        <v>5</v>
      </c>
      <c r="AX47" s="534"/>
    </row>
    <row r="48" spans="2:54">
      <c r="B48" s="533"/>
      <c r="C48" s="404">
        <v>7</v>
      </c>
      <c r="D48" s="226" t="s">
        <v>343</v>
      </c>
      <c r="E48" s="182">
        <v>14</v>
      </c>
      <c r="F48" s="404">
        <v>1440</v>
      </c>
      <c r="G48" s="405">
        <v>102.9</v>
      </c>
      <c r="H48" s="598"/>
      <c r="I48" s="408">
        <f t="shared" si="16"/>
        <v>15</v>
      </c>
      <c r="J48" s="408">
        <f t="shared" si="16"/>
        <v>1245.9981992797098</v>
      </c>
      <c r="K48" s="406">
        <f t="shared" si="16"/>
        <v>83.066546618647322</v>
      </c>
      <c r="L48" s="588"/>
      <c r="M48" s="407">
        <f>RANK(K48, K$42:$K$71)</f>
        <v>6</v>
      </c>
      <c r="N48" s="544"/>
      <c r="O48" s="544"/>
      <c r="P48" s="182">
        <v>15</v>
      </c>
      <c r="Q48" s="182">
        <v>1245.9999999999977</v>
      </c>
      <c r="R48" s="182">
        <v>83.066666666666521</v>
      </c>
      <c r="S48" s="404">
        <f t="shared" si="9"/>
        <v>5</v>
      </c>
      <c r="T48" s="534"/>
      <c r="U48" s="182">
        <v>15</v>
      </c>
      <c r="V48" s="182">
        <v>1271.9999999999977</v>
      </c>
      <c r="W48" s="182">
        <v>84.799999999999855</v>
      </c>
      <c r="X48" s="404">
        <f t="shared" si="10"/>
        <v>5</v>
      </c>
      <c r="Y48" s="534"/>
      <c r="Z48" s="182">
        <v>15</v>
      </c>
      <c r="AA48" s="182">
        <v>1087.4999999999984</v>
      </c>
      <c r="AB48" s="182">
        <v>72.499999999999901</v>
      </c>
      <c r="AC48" s="404">
        <f t="shared" si="11"/>
        <v>17</v>
      </c>
      <c r="AD48" s="534"/>
      <c r="AE48" s="182">
        <v>15</v>
      </c>
      <c r="AF48" s="182">
        <v>1324.2857142857115</v>
      </c>
      <c r="AG48" s="182">
        <v>88.285714285714093</v>
      </c>
      <c r="AH48" s="404">
        <f t="shared" si="12"/>
        <v>4</v>
      </c>
      <c r="AI48" s="534"/>
      <c r="AJ48" s="182">
        <v>15</v>
      </c>
      <c r="AK48" s="182">
        <v>1259.999999999998</v>
      </c>
      <c r="AL48" s="182">
        <v>83.999999999999858</v>
      </c>
      <c r="AM48" s="404">
        <f t="shared" si="13"/>
        <v>5</v>
      </c>
      <c r="AN48" s="534"/>
      <c r="AO48" s="182">
        <v>15</v>
      </c>
      <c r="AP48" s="182">
        <v>1265.1428571428557</v>
      </c>
      <c r="AQ48" s="182">
        <v>84.342857142857056</v>
      </c>
      <c r="AR48" s="404">
        <f t="shared" si="14"/>
        <v>5</v>
      </c>
      <c r="AS48" s="534"/>
      <c r="AT48" s="182">
        <v>15</v>
      </c>
      <c r="AU48" s="182">
        <v>1267.0588235294103</v>
      </c>
      <c r="AV48" s="182">
        <v>84.470588235294016</v>
      </c>
      <c r="AW48" s="404">
        <f t="shared" si="15"/>
        <v>6</v>
      </c>
      <c r="AX48" s="534"/>
    </row>
    <row r="49" spans="2:50">
      <c r="B49" s="533"/>
      <c r="C49" s="404">
        <v>8</v>
      </c>
      <c r="D49" s="226" t="s">
        <v>381</v>
      </c>
      <c r="E49" s="182">
        <v>16</v>
      </c>
      <c r="F49" s="404">
        <v>1440</v>
      </c>
      <c r="G49" s="405">
        <v>90</v>
      </c>
      <c r="H49" s="598"/>
      <c r="I49" s="408">
        <f t="shared" si="16"/>
        <v>16</v>
      </c>
      <c r="J49" s="408">
        <f t="shared" si="16"/>
        <v>1259.5987976585982</v>
      </c>
      <c r="K49" s="406">
        <f t="shared" si="16"/>
        <v>78.724924853662387</v>
      </c>
      <c r="L49" s="588"/>
      <c r="M49" s="407">
        <f>RANK(K49, K$42:$K$71)</f>
        <v>11</v>
      </c>
      <c r="N49" s="544"/>
      <c r="O49" s="544"/>
      <c r="P49" s="182">
        <v>16</v>
      </c>
      <c r="Q49" s="182">
        <v>1252</v>
      </c>
      <c r="R49" s="182">
        <v>78.25</v>
      </c>
      <c r="S49" s="404">
        <f t="shared" si="9"/>
        <v>10</v>
      </c>
      <c r="T49" s="534"/>
      <c r="U49" s="182">
        <v>16</v>
      </c>
      <c r="V49" s="182">
        <v>1265.7142857142853</v>
      </c>
      <c r="W49" s="182">
        <v>79.107142857142833</v>
      </c>
      <c r="X49" s="404">
        <f t="shared" si="10"/>
        <v>10</v>
      </c>
      <c r="Y49" s="534"/>
      <c r="Z49" s="182">
        <v>16</v>
      </c>
      <c r="AA49" s="182">
        <v>1259.9999999999995</v>
      </c>
      <c r="AB49" s="182">
        <v>78.749999999999972</v>
      </c>
      <c r="AC49" s="404">
        <f t="shared" si="11"/>
        <v>9</v>
      </c>
      <c r="AD49" s="534"/>
      <c r="AE49" s="182">
        <v>16</v>
      </c>
      <c r="AF49" s="182">
        <v>1238.6666666666667</v>
      </c>
      <c r="AG49" s="182">
        <v>77.416666666666671</v>
      </c>
      <c r="AH49" s="404">
        <f t="shared" si="12"/>
        <v>11</v>
      </c>
      <c r="AI49" s="534"/>
      <c r="AJ49" s="182">
        <v>16</v>
      </c>
      <c r="AK49" s="182">
        <v>1273.9534883720928</v>
      </c>
      <c r="AL49" s="182">
        <v>79.6220930232558</v>
      </c>
      <c r="AM49" s="404">
        <f t="shared" si="13"/>
        <v>10</v>
      </c>
      <c r="AN49" s="534"/>
      <c r="AO49" s="182">
        <v>16</v>
      </c>
      <c r="AP49" s="182">
        <v>1242.8571428571431</v>
      </c>
      <c r="AQ49" s="182">
        <v>77.678571428571445</v>
      </c>
      <c r="AR49" s="404">
        <f t="shared" si="14"/>
        <v>10</v>
      </c>
      <c r="AS49" s="534"/>
      <c r="AT49" s="182">
        <v>16</v>
      </c>
      <c r="AU49" s="182">
        <v>1284</v>
      </c>
      <c r="AV49" s="182">
        <v>80.25</v>
      </c>
      <c r="AW49" s="404">
        <f t="shared" si="15"/>
        <v>9</v>
      </c>
      <c r="AX49" s="534"/>
    </row>
    <row r="50" spans="2:50">
      <c r="B50" s="533"/>
      <c r="C50" s="404">
        <v>9</v>
      </c>
      <c r="D50" s="226" t="s">
        <v>377</v>
      </c>
      <c r="E50" s="182">
        <v>18</v>
      </c>
      <c r="F50" s="404">
        <v>1440</v>
      </c>
      <c r="G50" s="405">
        <v>80</v>
      </c>
      <c r="H50" s="598"/>
      <c r="I50" s="408">
        <f t="shared" si="16"/>
        <v>18</v>
      </c>
      <c r="J50" s="408">
        <f t="shared" si="16"/>
        <v>1189.1885460930189</v>
      </c>
      <c r="K50" s="406">
        <f t="shared" si="16"/>
        <v>66.066030338501051</v>
      </c>
      <c r="L50" s="588"/>
      <c r="M50" s="407">
        <f>RANK(K50, K$42:$K$71)</f>
        <v>23</v>
      </c>
      <c r="N50" s="544"/>
      <c r="O50" s="544"/>
      <c r="P50" s="182">
        <v>18</v>
      </c>
      <c r="Q50" s="182">
        <v>1210.8196721311485</v>
      </c>
      <c r="R50" s="182">
        <v>67.26775956284159</v>
      </c>
      <c r="S50" s="404">
        <f t="shared" si="9"/>
        <v>22</v>
      </c>
      <c r="T50" s="534"/>
      <c r="U50" s="182">
        <v>18</v>
      </c>
      <c r="V50" s="182">
        <v>1206.2068965517251</v>
      </c>
      <c r="W50" s="182">
        <v>67.011494252873618</v>
      </c>
      <c r="X50" s="404">
        <f t="shared" si="10"/>
        <v>22</v>
      </c>
      <c r="Y50" s="534"/>
      <c r="Z50" s="182">
        <v>18</v>
      </c>
      <c r="AA50" s="182">
        <v>1161.1111111111118</v>
      </c>
      <c r="AB50" s="182">
        <v>64.506172839506206</v>
      </c>
      <c r="AC50" s="404">
        <f t="shared" si="11"/>
        <v>23</v>
      </c>
      <c r="AD50" s="534"/>
      <c r="AE50" s="182">
        <v>18</v>
      </c>
      <c r="AF50" s="182">
        <v>1167.8571428571438</v>
      </c>
      <c r="AG50" s="182">
        <v>64.880952380952436</v>
      </c>
      <c r="AH50" s="404">
        <f t="shared" si="12"/>
        <v>23</v>
      </c>
      <c r="AI50" s="534"/>
      <c r="AJ50" s="182">
        <v>18</v>
      </c>
      <c r="AK50" s="182">
        <v>1195.2000000000003</v>
      </c>
      <c r="AL50" s="182">
        <v>66.40000000000002</v>
      </c>
      <c r="AM50" s="404">
        <f t="shared" si="13"/>
        <v>22</v>
      </c>
      <c r="AN50" s="534"/>
      <c r="AO50" s="182">
        <v>18</v>
      </c>
      <c r="AP50" s="182">
        <v>1207.5000000000014</v>
      </c>
      <c r="AQ50" s="182">
        <v>67.083333333333414</v>
      </c>
      <c r="AR50" s="404">
        <f t="shared" si="14"/>
        <v>22</v>
      </c>
      <c r="AS50" s="534"/>
      <c r="AT50" s="182">
        <v>18</v>
      </c>
      <c r="AU50" s="182">
        <v>1175.6250000000014</v>
      </c>
      <c r="AV50" s="182">
        <v>65.312500000000071</v>
      </c>
      <c r="AW50" s="404">
        <f t="shared" si="15"/>
        <v>24</v>
      </c>
      <c r="AX50" s="534"/>
    </row>
    <row r="51" spans="2:50">
      <c r="B51" s="533"/>
      <c r="C51" s="404">
        <v>10</v>
      </c>
      <c r="D51" s="226" t="s">
        <v>380</v>
      </c>
      <c r="E51" s="182">
        <v>18</v>
      </c>
      <c r="F51" s="404">
        <v>1636</v>
      </c>
      <c r="G51" s="405">
        <v>90.9</v>
      </c>
      <c r="H51" s="598"/>
      <c r="I51" s="408">
        <f t="shared" si="16"/>
        <v>18</v>
      </c>
      <c r="J51" s="408">
        <f t="shared" si="16"/>
        <v>1278.6500813272937</v>
      </c>
      <c r="K51" s="406">
        <f t="shared" si="16"/>
        <v>71.036115629294088</v>
      </c>
      <c r="L51" s="588"/>
      <c r="M51" s="407">
        <f>RANK(K51, K$42:$K$71)</f>
        <v>20</v>
      </c>
      <c r="N51" s="544"/>
      <c r="O51" s="544"/>
      <c r="P51" s="182">
        <v>18</v>
      </c>
      <c r="Q51" s="182">
        <v>1260.9090909090921</v>
      </c>
      <c r="R51" s="182">
        <v>70.050505050505123</v>
      </c>
      <c r="S51" s="404">
        <f t="shared" si="9"/>
        <v>21</v>
      </c>
      <c r="T51" s="534"/>
      <c r="U51" s="182">
        <v>18</v>
      </c>
      <c r="V51" s="182">
        <v>1246.2295081967225</v>
      </c>
      <c r="W51" s="182">
        <v>69.234972677595692</v>
      </c>
      <c r="X51" s="404">
        <f t="shared" si="10"/>
        <v>21</v>
      </c>
      <c r="Y51" s="534"/>
      <c r="Z51" s="182">
        <v>18</v>
      </c>
      <c r="AA51" s="182">
        <v>1308.6792452830196</v>
      </c>
      <c r="AB51" s="182">
        <v>72.704402515723302</v>
      </c>
      <c r="AC51" s="404">
        <f t="shared" si="11"/>
        <v>16</v>
      </c>
      <c r="AD51" s="534"/>
      <c r="AE51" s="182">
        <v>18</v>
      </c>
      <c r="AF51" s="182">
        <v>1298.6440677966111</v>
      </c>
      <c r="AG51" s="182">
        <v>72.146892655367282</v>
      </c>
      <c r="AH51" s="404">
        <f t="shared" si="12"/>
        <v>18</v>
      </c>
      <c r="AI51" s="534"/>
      <c r="AJ51" s="182">
        <v>18</v>
      </c>
      <c r="AK51" s="182">
        <v>1297.6271186440688</v>
      </c>
      <c r="AL51" s="182">
        <v>72.09039548022605</v>
      </c>
      <c r="AM51" s="404">
        <f t="shared" si="13"/>
        <v>17</v>
      </c>
      <c r="AN51" s="534"/>
      <c r="AO51" s="182">
        <v>18</v>
      </c>
      <c r="AP51" s="182">
        <v>1277.538461538463</v>
      </c>
      <c r="AQ51" s="182">
        <v>70.974358974359063</v>
      </c>
      <c r="AR51" s="404">
        <f t="shared" si="14"/>
        <v>19</v>
      </c>
      <c r="AS51" s="534"/>
      <c r="AT51" s="182">
        <v>18</v>
      </c>
      <c r="AU51" s="182">
        <v>1260.9230769230783</v>
      </c>
      <c r="AV51" s="182">
        <v>70.051282051282129</v>
      </c>
      <c r="AW51" s="404">
        <f t="shared" si="15"/>
        <v>20</v>
      </c>
      <c r="AX51" s="534"/>
    </row>
    <row r="52" spans="2:50">
      <c r="B52" s="533"/>
      <c r="C52" s="404">
        <v>11</v>
      </c>
      <c r="D52" s="226" t="s">
        <v>379</v>
      </c>
      <c r="E52" s="182">
        <v>18</v>
      </c>
      <c r="F52" s="404">
        <v>1636</v>
      </c>
      <c r="G52" s="405">
        <v>90.9</v>
      </c>
      <c r="H52" s="598"/>
      <c r="I52" s="408">
        <f t="shared" si="16"/>
        <v>18</v>
      </c>
      <c r="J52" s="408">
        <f t="shared" si="16"/>
        <v>1273.0136950163449</v>
      </c>
      <c r="K52" s="406">
        <f t="shared" si="16"/>
        <v>70.722983056463605</v>
      </c>
      <c r="L52" s="588"/>
      <c r="M52" s="407">
        <f>RANK(K52, K$42:$K$71)</f>
        <v>22</v>
      </c>
      <c r="N52" s="544"/>
      <c r="O52" s="544"/>
      <c r="P52" s="182">
        <v>18</v>
      </c>
      <c r="Q52" s="182">
        <v>1310.4000000000003</v>
      </c>
      <c r="R52" s="182">
        <v>72.800000000000011</v>
      </c>
      <c r="S52" s="404">
        <f t="shared" si="9"/>
        <v>18</v>
      </c>
      <c r="T52" s="534"/>
      <c r="U52" s="182">
        <v>18</v>
      </c>
      <c r="V52" s="182">
        <v>1255.0000000000002</v>
      </c>
      <c r="W52" s="182">
        <v>69.722222222222229</v>
      </c>
      <c r="X52" s="404">
        <f t="shared" si="10"/>
        <v>20</v>
      </c>
      <c r="Y52" s="534"/>
      <c r="Z52" s="182">
        <v>18</v>
      </c>
      <c r="AA52" s="182">
        <v>1251.0638297872342</v>
      </c>
      <c r="AB52" s="182">
        <v>69.503546099290787</v>
      </c>
      <c r="AC52" s="404">
        <f t="shared" si="11"/>
        <v>20</v>
      </c>
      <c r="AD52" s="534"/>
      <c r="AE52" s="182">
        <v>18</v>
      </c>
      <c r="AF52" s="182">
        <v>1279.1489361702129</v>
      </c>
      <c r="AG52" s="182">
        <v>71.063829787234056</v>
      </c>
      <c r="AH52" s="404">
        <f t="shared" si="12"/>
        <v>19</v>
      </c>
      <c r="AI52" s="534"/>
      <c r="AJ52" s="182">
        <v>18</v>
      </c>
      <c r="AK52" s="182">
        <v>1247.2340425531916</v>
      </c>
      <c r="AL52" s="182">
        <v>69.290780141843982</v>
      </c>
      <c r="AM52" s="404">
        <f t="shared" si="13"/>
        <v>21</v>
      </c>
      <c r="AN52" s="534"/>
      <c r="AO52" s="182">
        <v>18</v>
      </c>
      <c r="AP52" s="182">
        <v>1275.8490566037742</v>
      </c>
      <c r="AQ52" s="182">
        <v>70.880503144654128</v>
      </c>
      <c r="AR52" s="404">
        <f t="shared" si="14"/>
        <v>20</v>
      </c>
      <c r="AS52" s="534"/>
      <c r="AT52" s="182">
        <v>18</v>
      </c>
      <c r="AU52" s="182">
        <v>1292.4000000000003</v>
      </c>
      <c r="AV52" s="182">
        <v>71.800000000000011</v>
      </c>
      <c r="AW52" s="404">
        <f t="shared" si="15"/>
        <v>18</v>
      </c>
      <c r="AX52" s="534"/>
    </row>
    <row r="53" spans="2:50">
      <c r="B53" s="533"/>
      <c r="C53" s="404">
        <v>12</v>
      </c>
      <c r="D53" s="226" t="s">
        <v>383</v>
      </c>
      <c r="E53" s="182">
        <v>16</v>
      </c>
      <c r="F53" s="404">
        <v>1500</v>
      </c>
      <c r="G53" s="405">
        <v>93.8</v>
      </c>
      <c r="H53" s="598"/>
      <c r="I53" s="408">
        <f t="shared" si="16"/>
        <v>16</v>
      </c>
      <c r="J53" s="408">
        <f t="shared" si="16"/>
        <v>1261.2522058523061</v>
      </c>
      <c r="K53" s="406">
        <f t="shared" si="16"/>
        <v>78.828262865769133</v>
      </c>
      <c r="L53" s="588"/>
      <c r="M53" s="407">
        <f>RANK(K53, K$42:$K$71)</f>
        <v>10</v>
      </c>
      <c r="N53" s="544"/>
      <c r="O53" s="544"/>
      <c r="P53" s="182">
        <v>16</v>
      </c>
      <c r="Q53" s="182">
        <v>1282.7586206896526</v>
      </c>
      <c r="R53" s="182">
        <v>80.172413793103289</v>
      </c>
      <c r="S53" s="404">
        <f t="shared" si="9"/>
        <v>9</v>
      </c>
      <c r="T53" s="534"/>
      <c r="U53" s="182">
        <v>16</v>
      </c>
      <c r="V53" s="182">
        <v>1301.9999999999984</v>
      </c>
      <c r="W53" s="182">
        <v>81.374999999999901</v>
      </c>
      <c r="X53" s="404">
        <f t="shared" si="10"/>
        <v>8</v>
      </c>
      <c r="Y53" s="534"/>
      <c r="Z53" s="182">
        <v>16</v>
      </c>
      <c r="AA53" s="182">
        <v>1290.8571428571399</v>
      </c>
      <c r="AB53" s="182">
        <v>80.678571428571246</v>
      </c>
      <c r="AC53" s="404">
        <f t="shared" si="11"/>
        <v>7</v>
      </c>
      <c r="AD53" s="534"/>
      <c r="AE53" s="182">
        <v>16</v>
      </c>
      <c r="AF53" s="182">
        <v>1289.5999999999979</v>
      </c>
      <c r="AG53" s="182">
        <v>80.599999999999866</v>
      </c>
      <c r="AH53" s="404">
        <f t="shared" si="12"/>
        <v>8</v>
      </c>
      <c r="AI53" s="534"/>
      <c r="AJ53" s="182">
        <v>16</v>
      </c>
      <c r="AK53" s="182">
        <v>1299.8399999999965</v>
      </c>
      <c r="AL53" s="182">
        <v>81.239999999999782</v>
      </c>
      <c r="AM53" s="404">
        <f t="shared" si="13"/>
        <v>6</v>
      </c>
      <c r="AN53" s="534"/>
      <c r="AO53" s="182">
        <v>16</v>
      </c>
      <c r="AP53" s="182">
        <v>1286.7096774193528</v>
      </c>
      <c r="AQ53" s="182">
        <v>80.419354838709552</v>
      </c>
      <c r="AR53" s="404">
        <f t="shared" si="14"/>
        <v>8</v>
      </c>
      <c r="AS53" s="534"/>
      <c r="AT53" s="182">
        <v>16</v>
      </c>
      <c r="AU53" s="182">
        <v>1077.0000000000039</v>
      </c>
      <c r="AV53" s="182">
        <v>67.312500000000242</v>
      </c>
      <c r="AW53" s="404">
        <f t="shared" si="15"/>
        <v>22</v>
      </c>
      <c r="AX53" s="534"/>
    </row>
    <row r="54" spans="2:50">
      <c r="B54" s="533"/>
      <c r="C54" s="404">
        <v>13</v>
      </c>
      <c r="D54" s="226" t="s">
        <v>356</v>
      </c>
      <c r="E54" s="182">
        <v>17</v>
      </c>
      <c r="F54" s="404">
        <v>1500</v>
      </c>
      <c r="G54" s="405">
        <v>88.2</v>
      </c>
      <c r="H54" s="598"/>
      <c r="I54" s="408">
        <f t="shared" si="16"/>
        <v>17</v>
      </c>
      <c r="J54" s="408">
        <f t="shared" si="16"/>
        <v>1279.6375310982605</v>
      </c>
      <c r="K54" s="406">
        <f t="shared" si="16"/>
        <v>75.272795946956492</v>
      </c>
      <c r="L54" s="588"/>
      <c r="M54" s="407">
        <f>RANK(K54, K$42:$K$71)</f>
        <v>15</v>
      </c>
      <c r="N54" s="544"/>
      <c r="O54" s="544"/>
      <c r="P54" s="182">
        <v>17</v>
      </c>
      <c r="Q54" s="182">
        <v>1270.4347826086957</v>
      </c>
      <c r="R54" s="182">
        <v>74.731457800511521</v>
      </c>
      <c r="S54" s="404">
        <f t="shared" si="9"/>
        <v>16</v>
      </c>
      <c r="T54" s="534"/>
      <c r="U54" s="182">
        <v>17</v>
      </c>
      <c r="V54" s="182">
        <v>1265.5813953488371</v>
      </c>
      <c r="W54" s="182">
        <v>74.445964432284541</v>
      </c>
      <c r="X54" s="404">
        <f t="shared" si="10"/>
        <v>15</v>
      </c>
      <c r="Y54" s="534"/>
      <c r="Z54" s="182">
        <v>17</v>
      </c>
      <c r="AA54" s="182">
        <v>1285.2631578947357</v>
      </c>
      <c r="AB54" s="182">
        <v>75.603715170278576</v>
      </c>
      <c r="AC54" s="404">
        <f t="shared" si="11"/>
        <v>12</v>
      </c>
      <c r="AD54" s="534"/>
      <c r="AE54" s="182">
        <v>17</v>
      </c>
      <c r="AF54" s="182">
        <v>1282.8571428571424</v>
      </c>
      <c r="AG54" s="182">
        <v>75.462184873949553</v>
      </c>
      <c r="AH54" s="404">
        <f t="shared" si="12"/>
        <v>14</v>
      </c>
      <c r="AI54" s="534"/>
      <c r="AJ54" s="182">
        <v>17</v>
      </c>
      <c r="AK54" s="182">
        <v>1296.9230769230762</v>
      </c>
      <c r="AL54" s="182">
        <v>76.289592760180952</v>
      </c>
      <c r="AM54" s="404">
        <f t="shared" si="13"/>
        <v>14</v>
      </c>
      <c r="AN54" s="534"/>
      <c r="AO54" s="182">
        <v>17</v>
      </c>
      <c r="AP54" s="182">
        <v>1269.1304347826085</v>
      </c>
      <c r="AQ54" s="182">
        <v>74.654731457800494</v>
      </c>
      <c r="AR54" s="404">
        <f t="shared" si="14"/>
        <v>16</v>
      </c>
      <c r="AS54" s="534"/>
      <c r="AT54" s="182">
        <v>17</v>
      </c>
      <c r="AU54" s="182">
        <v>1287.2727272727273</v>
      </c>
      <c r="AV54" s="182">
        <v>75.721925133689837</v>
      </c>
      <c r="AW54" s="404">
        <f t="shared" si="15"/>
        <v>14</v>
      </c>
      <c r="AX54" s="534"/>
    </row>
    <row r="55" spans="2:50">
      <c r="B55" s="533"/>
      <c r="C55" s="404">
        <v>14</v>
      </c>
      <c r="D55" s="226" t="s">
        <v>606</v>
      </c>
      <c r="E55" s="182">
        <v>18</v>
      </c>
      <c r="F55" s="404">
        <v>1440</v>
      </c>
      <c r="G55" s="405">
        <v>80</v>
      </c>
      <c r="H55" s="598"/>
      <c r="I55" s="408">
        <f t="shared" si="16"/>
        <v>18</v>
      </c>
      <c r="J55" s="408">
        <f t="shared" si="16"/>
        <v>1339.3844070776897</v>
      </c>
      <c r="K55" s="406">
        <f t="shared" si="16"/>
        <v>74.410244837649415</v>
      </c>
      <c r="L55" s="588"/>
      <c r="M55" s="407">
        <f>RANK(K55, K$42:$K$71)</f>
        <v>17</v>
      </c>
      <c r="N55" s="544"/>
      <c r="O55" s="544"/>
      <c r="P55" s="182">
        <v>18</v>
      </c>
      <c r="Q55" s="182">
        <v>1335.4029850746253</v>
      </c>
      <c r="R55" s="182">
        <v>74.18905472636807</v>
      </c>
      <c r="S55" s="404">
        <f t="shared" si="9"/>
        <v>17</v>
      </c>
      <c r="T55" s="534"/>
      <c r="U55" s="182">
        <v>18</v>
      </c>
      <c r="V55" s="182">
        <v>1336.0000000000011</v>
      </c>
      <c r="W55" s="182">
        <v>74.222222222222285</v>
      </c>
      <c r="X55" s="404">
        <f t="shared" si="10"/>
        <v>17</v>
      </c>
      <c r="Y55" s="534"/>
      <c r="Z55" s="182">
        <v>18</v>
      </c>
      <c r="AA55" s="182">
        <v>1346.6666666666674</v>
      </c>
      <c r="AB55" s="182">
        <v>74.814814814814852</v>
      </c>
      <c r="AC55" s="404">
        <f t="shared" si="11"/>
        <v>14</v>
      </c>
      <c r="AD55" s="534"/>
      <c r="AE55" s="182">
        <v>18</v>
      </c>
      <c r="AF55" s="182">
        <v>1347.3103448275874</v>
      </c>
      <c r="AG55" s="182">
        <v>74.850574712643748</v>
      </c>
      <c r="AH55" s="404">
        <f t="shared" si="12"/>
        <v>15</v>
      </c>
      <c r="AI55" s="534"/>
      <c r="AJ55" s="182">
        <v>18</v>
      </c>
      <c r="AK55" s="182">
        <v>1330.7076923076938</v>
      </c>
      <c r="AL55" s="182">
        <v>73.928205128205207</v>
      </c>
      <c r="AM55" s="404">
        <f t="shared" si="13"/>
        <v>15</v>
      </c>
      <c r="AN55" s="534"/>
      <c r="AO55" s="182">
        <v>18</v>
      </c>
      <c r="AP55" s="182">
        <v>1349.0149253731327</v>
      </c>
      <c r="AQ55" s="182">
        <v>74.945273631840706</v>
      </c>
      <c r="AR55" s="404">
        <f t="shared" si="14"/>
        <v>15</v>
      </c>
      <c r="AS55" s="534"/>
      <c r="AT55" s="182">
        <v>18</v>
      </c>
      <c r="AU55" s="182">
        <v>1330.5882352941194</v>
      </c>
      <c r="AV55" s="182">
        <v>73.92156862745108</v>
      </c>
      <c r="AW55" s="404">
        <f t="shared" si="15"/>
        <v>16</v>
      </c>
      <c r="AX55" s="534"/>
    </row>
    <row r="56" spans="2:50">
      <c r="B56" s="533"/>
      <c r="C56" s="404">
        <v>15</v>
      </c>
      <c r="D56" s="226" t="s">
        <v>384</v>
      </c>
      <c r="E56" s="182">
        <v>15</v>
      </c>
      <c r="F56" s="404">
        <v>1440</v>
      </c>
      <c r="G56" s="405">
        <v>96</v>
      </c>
      <c r="H56" s="598"/>
      <c r="I56" s="408">
        <f t="shared" si="16"/>
        <v>15.571428571428571</v>
      </c>
      <c r="J56" s="408">
        <f t="shared" si="16"/>
        <v>1280.2008342978115</v>
      </c>
      <c r="K56" s="406">
        <f t="shared" si="16"/>
        <v>82.299006833172001</v>
      </c>
      <c r="L56" s="588"/>
      <c r="M56" s="408">
        <f>RANK(K56, K$42:$K$71)</f>
        <v>8</v>
      </c>
      <c r="N56" s="544"/>
      <c r="O56" s="544"/>
      <c r="P56" s="182">
        <v>16</v>
      </c>
      <c r="Q56" s="182">
        <v>1292.3809523809537</v>
      </c>
      <c r="R56" s="182">
        <v>80.773809523809604</v>
      </c>
      <c r="S56" s="404">
        <f t="shared" si="9"/>
        <v>8</v>
      </c>
      <c r="T56" s="534"/>
      <c r="U56" s="182">
        <v>15</v>
      </c>
      <c r="V56" s="182">
        <v>1281.2903225806463</v>
      </c>
      <c r="W56" s="182">
        <v>85.419354838709751</v>
      </c>
      <c r="X56" s="404">
        <f t="shared" si="10"/>
        <v>4</v>
      </c>
      <c r="Y56" s="534"/>
      <c r="Z56" s="182">
        <v>15</v>
      </c>
      <c r="AA56" s="182">
        <v>1306.4150943396232</v>
      </c>
      <c r="AB56" s="182">
        <v>87.094339622641556</v>
      </c>
      <c r="AC56" s="404">
        <f t="shared" si="11"/>
        <v>3</v>
      </c>
      <c r="AD56" s="534"/>
      <c r="AE56" s="182">
        <v>16</v>
      </c>
      <c r="AF56" s="182">
        <v>1292.5423728813571</v>
      </c>
      <c r="AG56" s="182">
        <v>80.783898305084819</v>
      </c>
      <c r="AH56" s="404">
        <f t="shared" si="12"/>
        <v>7</v>
      </c>
      <c r="AI56" s="534"/>
      <c r="AJ56" s="182">
        <v>16</v>
      </c>
      <c r="AK56" s="182">
        <v>1288.3636363636372</v>
      </c>
      <c r="AL56" s="182">
        <v>80.522727272727323</v>
      </c>
      <c r="AM56" s="404">
        <f t="shared" si="13"/>
        <v>8</v>
      </c>
      <c r="AN56" s="534"/>
      <c r="AO56" s="182">
        <v>15</v>
      </c>
      <c r="AP56" s="182">
        <v>1253.5384615384628</v>
      </c>
      <c r="AQ56" s="182">
        <v>83.569230769230856</v>
      </c>
      <c r="AR56" s="404">
        <f t="shared" si="14"/>
        <v>6</v>
      </c>
      <c r="AS56" s="534"/>
      <c r="AT56" s="182">
        <v>16</v>
      </c>
      <c r="AU56" s="182">
        <v>1246.8750000000014</v>
      </c>
      <c r="AV56" s="182">
        <v>77.929687500000085</v>
      </c>
      <c r="AW56" s="404">
        <f t="shared" si="15"/>
        <v>10</v>
      </c>
      <c r="AX56" s="534"/>
    </row>
    <row r="57" spans="2:50">
      <c r="B57" s="533"/>
      <c r="C57" s="404">
        <v>16</v>
      </c>
      <c r="D57" s="226" t="s">
        <v>345</v>
      </c>
      <c r="E57" s="182">
        <v>17</v>
      </c>
      <c r="F57" s="404">
        <v>1440</v>
      </c>
      <c r="G57" s="405">
        <v>84.7</v>
      </c>
      <c r="H57" s="598"/>
      <c r="I57" s="408">
        <f t="shared" si="16"/>
        <v>17</v>
      </c>
      <c r="J57" s="408">
        <f t="shared" si="16"/>
        <v>1321.5079689729616</v>
      </c>
      <c r="K57" s="406">
        <f t="shared" si="16"/>
        <v>77.735762880762451</v>
      </c>
      <c r="L57" s="588"/>
      <c r="M57" s="408">
        <f>RANK(K57, K$42:$K$71)</f>
        <v>12</v>
      </c>
      <c r="N57" s="544"/>
      <c r="O57" s="544"/>
      <c r="P57" s="182">
        <v>17</v>
      </c>
      <c r="Q57" s="182">
        <v>1308.1445783132526</v>
      </c>
      <c r="R57" s="182">
        <v>76.949681077250148</v>
      </c>
      <c r="S57" s="404">
        <f t="shared" si="9"/>
        <v>11</v>
      </c>
      <c r="T57" s="534"/>
      <c r="U57" s="182">
        <v>17</v>
      </c>
      <c r="V57" s="182">
        <v>1355.6571428571415</v>
      </c>
      <c r="W57" s="182">
        <v>79.744537815125966</v>
      </c>
      <c r="X57" s="404">
        <f t="shared" si="10"/>
        <v>9</v>
      </c>
      <c r="Y57" s="534"/>
      <c r="Z57" s="182">
        <v>17</v>
      </c>
      <c r="AA57" s="182">
        <v>1308.1904761904777</v>
      </c>
      <c r="AB57" s="182">
        <v>76.952380952381048</v>
      </c>
      <c r="AC57" s="404">
        <f t="shared" si="11"/>
        <v>10</v>
      </c>
      <c r="AD57" s="534"/>
      <c r="AE57" s="182">
        <v>17</v>
      </c>
      <c r="AF57" s="182">
        <v>1335.4029850746285</v>
      </c>
      <c r="AG57" s="182">
        <v>78.553116769095794</v>
      </c>
      <c r="AH57" s="404">
        <f t="shared" si="12"/>
        <v>10</v>
      </c>
      <c r="AI57" s="534"/>
      <c r="AJ57" s="182">
        <v>17</v>
      </c>
      <c r="AK57" s="182">
        <v>1323.6923076923069</v>
      </c>
      <c r="AL57" s="182">
        <v>77.864253393665109</v>
      </c>
      <c r="AM57" s="404">
        <f t="shared" si="13"/>
        <v>11</v>
      </c>
      <c r="AN57" s="534"/>
      <c r="AO57" s="182">
        <v>17</v>
      </c>
      <c r="AP57" s="182">
        <v>1318.1999999999998</v>
      </c>
      <c r="AQ57" s="182">
        <v>77.541176470588226</v>
      </c>
      <c r="AR57" s="404">
        <f t="shared" si="14"/>
        <v>11</v>
      </c>
      <c r="AS57" s="534"/>
      <c r="AT57" s="182">
        <v>17</v>
      </c>
      <c r="AU57" s="182">
        <v>1301.2682926829264</v>
      </c>
      <c r="AV57" s="182">
        <v>76.545193687230963</v>
      </c>
      <c r="AW57" s="404">
        <f t="shared" si="15"/>
        <v>12</v>
      </c>
      <c r="AX57" s="534"/>
    </row>
    <row r="58" spans="2:50">
      <c r="B58" s="533"/>
      <c r="C58" s="404">
        <v>17</v>
      </c>
      <c r="D58" s="226" t="s">
        <v>376</v>
      </c>
      <c r="E58" s="182">
        <v>17</v>
      </c>
      <c r="F58" s="404">
        <v>1636</v>
      </c>
      <c r="G58" s="405">
        <v>96.3</v>
      </c>
      <c r="H58" s="598"/>
      <c r="I58" s="408">
        <f t="shared" si="16"/>
        <v>17</v>
      </c>
      <c r="J58" s="408">
        <f t="shared" si="16"/>
        <v>1249.4580756056073</v>
      </c>
      <c r="K58" s="406">
        <f t="shared" si="16"/>
        <v>73.49753385915335</v>
      </c>
      <c r="L58" s="588"/>
      <c r="M58" s="408">
        <f>RANK(K58, K$42:$K$71)</f>
        <v>18</v>
      </c>
      <c r="N58" s="544"/>
      <c r="O58" s="544"/>
      <c r="P58" s="182">
        <v>17</v>
      </c>
      <c r="Q58" s="182">
        <v>1271.2499999999982</v>
      </c>
      <c r="R58" s="182">
        <v>74.77941176470577</v>
      </c>
      <c r="S58" s="404">
        <f t="shared" si="9"/>
        <v>15</v>
      </c>
      <c r="T58" s="534"/>
      <c r="U58" s="182">
        <v>17</v>
      </c>
      <c r="V58" s="182">
        <v>1269.6774193548367</v>
      </c>
      <c r="W58" s="182">
        <v>74.686907020872752</v>
      </c>
      <c r="X58" s="404">
        <f t="shared" si="10"/>
        <v>14</v>
      </c>
      <c r="Y58" s="534"/>
      <c r="Z58" s="182">
        <v>17</v>
      </c>
      <c r="AA58" s="182">
        <v>1134.193548387095</v>
      </c>
      <c r="AB58" s="182">
        <v>66.717267552182065</v>
      </c>
      <c r="AC58" s="404">
        <f t="shared" si="11"/>
        <v>21</v>
      </c>
      <c r="AD58" s="534"/>
      <c r="AE58" s="182">
        <v>17</v>
      </c>
      <c r="AF58" s="182">
        <v>1293.9999999999977</v>
      </c>
      <c r="AG58" s="182">
        <v>76.117647058823394</v>
      </c>
      <c r="AH58" s="404">
        <f t="shared" si="12"/>
        <v>12</v>
      </c>
      <c r="AI58" s="534"/>
      <c r="AJ58" s="182">
        <v>17</v>
      </c>
      <c r="AK58" s="182">
        <v>1244.9999999999982</v>
      </c>
      <c r="AL58" s="182">
        <v>73.235294117646959</v>
      </c>
      <c r="AM58" s="404">
        <f t="shared" si="13"/>
        <v>16</v>
      </c>
      <c r="AN58" s="534"/>
      <c r="AO58" s="182">
        <v>17</v>
      </c>
      <c r="AP58" s="182">
        <v>1281.1764705882338</v>
      </c>
      <c r="AQ58" s="182">
        <v>75.363321799307869</v>
      </c>
      <c r="AR58" s="404">
        <f t="shared" si="14"/>
        <v>13</v>
      </c>
      <c r="AS58" s="534"/>
      <c r="AT58" s="182">
        <v>17</v>
      </c>
      <c r="AU58" s="182">
        <v>1250.9090909090894</v>
      </c>
      <c r="AV58" s="182">
        <v>73.58288770053467</v>
      </c>
      <c r="AW58" s="404">
        <f t="shared" si="15"/>
        <v>17</v>
      </c>
      <c r="AX58" s="534"/>
    </row>
    <row r="59" spans="2:50">
      <c r="B59" s="533"/>
      <c r="C59" s="404">
        <v>18</v>
      </c>
      <c r="D59" s="226" t="s">
        <v>378</v>
      </c>
      <c r="E59" s="182">
        <v>18</v>
      </c>
      <c r="F59" s="404">
        <v>1440</v>
      </c>
      <c r="G59" s="405">
        <v>80</v>
      </c>
      <c r="H59" s="598"/>
      <c r="I59" s="408">
        <f t="shared" si="16"/>
        <v>17.142857142857142</v>
      </c>
      <c r="J59" s="408">
        <f t="shared" si="16"/>
        <v>1275.5319879352239</v>
      </c>
      <c r="K59" s="406">
        <f t="shared" si="16"/>
        <v>74.432284573651387</v>
      </c>
      <c r="L59" s="588"/>
      <c r="M59" s="408">
        <f>RANK(K59, K$42:$K$71)</f>
        <v>16</v>
      </c>
      <c r="N59" s="544"/>
      <c r="O59" s="544"/>
      <c r="P59" s="182">
        <v>17</v>
      </c>
      <c r="Q59" s="182">
        <v>1277.0149253731358</v>
      </c>
      <c r="R59" s="182">
        <v>75.118525021949168</v>
      </c>
      <c r="S59" s="404">
        <f t="shared" si="9"/>
        <v>13</v>
      </c>
      <c r="T59" s="534"/>
      <c r="U59" s="182">
        <v>17</v>
      </c>
      <c r="V59" s="182">
        <v>1264.9180327868864</v>
      </c>
      <c r="W59" s="182">
        <v>74.406943105110969</v>
      </c>
      <c r="X59" s="404">
        <f t="shared" si="10"/>
        <v>16</v>
      </c>
      <c r="Y59" s="534"/>
      <c r="Z59" s="182">
        <v>17</v>
      </c>
      <c r="AA59" s="182">
        <v>1291.0344827586216</v>
      </c>
      <c r="AB59" s="182">
        <v>75.943204868154211</v>
      </c>
      <c r="AC59" s="404">
        <f t="shared" si="11"/>
        <v>11</v>
      </c>
      <c r="AD59" s="534"/>
      <c r="AE59" s="182">
        <v>17</v>
      </c>
      <c r="AF59" s="182">
        <v>1269.6774193548399</v>
      </c>
      <c r="AG59" s="182">
        <v>74.686907020872937</v>
      </c>
      <c r="AH59" s="404">
        <f t="shared" si="12"/>
        <v>16</v>
      </c>
      <c r="AI59" s="534"/>
      <c r="AJ59" s="182">
        <v>18</v>
      </c>
      <c r="AK59" s="182">
        <v>1283.0769230769245</v>
      </c>
      <c r="AL59" s="182">
        <v>71.282051282051356</v>
      </c>
      <c r="AM59" s="404">
        <f t="shared" si="13"/>
        <v>20</v>
      </c>
      <c r="AN59" s="534"/>
      <c r="AO59" s="182">
        <v>17</v>
      </c>
      <c r="AP59" s="182">
        <v>1246.2857142857131</v>
      </c>
      <c r="AQ59" s="182">
        <v>73.310924369747823</v>
      </c>
      <c r="AR59" s="404">
        <f t="shared" si="14"/>
        <v>17</v>
      </c>
      <c r="AS59" s="534"/>
      <c r="AT59" s="182">
        <v>17</v>
      </c>
      <c r="AU59" s="182">
        <v>1296.7164179104461</v>
      </c>
      <c r="AV59" s="182">
        <v>76.277436347673301</v>
      </c>
      <c r="AW59" s="404">
        <f t="shared" si="15"/>
        <v>13</v>
      </c>
      <c r="AX59" s="534"/>
    </row>
    <row r="60" spans="2:50">
      <c r="B60" s="533"/>
      <c r="C60" s="404">
        <v>19</v>
      </c>
      <c r="D60" s="226" t="s">
        <v>483</v>
      </c>
      <c r="E60" s="182">
        <v>18</v>
      </c>
      <c r="F60" s="404">
        <v>1500</v>
      </c>
      <c r="G60" s="405">
        <v>83.3</v>
      </c>
      <c r="H60" s="598"/>
      <c r="I60" s="408">
        <f t="shared" si="16"/>
        <v>18</v>
      </c>
      <c r="J60" s="408">
        <f t="shared" si="16"/>
        <v>1111.7647058823516</v>
      </c>
      <c r="K60" s="406">
        <f t="shared" si="16"/>
        <v>61.764705882352864</v>
      </c>
      <c r="L60" s="588"/>
      <c r="M60" s="408">
        <f>RANK(K60, K$42:$K$71)</f>
        <v>26</v>
      </c>
      <c r="N60" s="544"/>
      <c r="O60" s="544"/>
      <c r="P60" s="182">
        <v>18</v>
      </c>
      <c r="Q60" s="182">
        <v>1154.1176470588221</v>
      </c>
      <c r="R60" s="182">
        <v>64.117647058823451</v>
      </c>
      <c r="S60" s="404">
        <f t="shared" si="9"/>
        <v>25</v>
      </c>
      <c r="T60" s="534"/>
      <c r="U60" s="182">
        <v>18</v>
      </c>
      <c r="V60" s="182">
        <v>1101.176470588234</v>
      </c>
      <c r="W60" s="182">
        <v>61.176470588235219</v>
      </c>
      <c r="X60" s="404">
        <f t="shared" si="10"/>
        <v>25</v>
      </c>
      <c r="Y60" s="534"/>
      <c r="Z60" s="182">
        <v>18</v>
      </c>
      <c r="AA60" s="182">
        <v>1079.9999999999986</v>
      </c>
      <c r="AB60" s="182">
        <v>59.999999999999922</v>
      </c>
      <c r="AC60" s="404">
        <f t="shared" si="11"/>
        <v>25</v>
      </c>
      <c r="AD60" s="534"/>
      <c r="AE60" s="182"/>
      <c r="AF60" s="182"/>
      <c r="AG60" s="182"/>
      <c r="AH60" s="404" t="e">
        <f t="shared" si="12"/>
        <v>#N/A</v>
      </c>
      <c r="AI60" s="534"/>
      <c r="AJ60" s="182"/>
      <c r="AK60" s="182"/>
      <c r="AL60" s="182"/>
      <c r="AM60" s="404" t="e">
        <f t="shared" si="13"/>
        <v>#N/A</v>
      </c>
      <c r="AN60" s="534"/>
      <c r="AO60" s="182"/>
      <c r="AP60" s="182"/>
      <c r="AQ60" s="182"/>
      <c r="AR60" s="404" t="e">
        <f t="shared" si="14"/>
        <v>#N/A</v>
      </c>
      <c r="AS60" s="534"/>
      <c r="AT60" s="182"/>
      <c r="AU60" s="182"/>
      <c r="AV60" s="182"/>
      <c r="AW60" s="404" t="e">
        <f t="shared" si="15"/>
        <v>#N/A</v>
      </c>
      <c r="AX60" s="534"/>
    </row>
    <row r="61" spans="2:50">
      <c r="B61" s="533"/>
      <c r="C61" s="404">
        <v>20</v>
      </c>
      <c r="D61" s="226" t="s">
        <v>385</v>
      </c>
      <c r="E61" s="182">
        <v>18</v>
      </c>
      <c r="F61" s="404">
        <v>1500</v>
      </c>
      <c r="G61" s="405">
        <v>83.3</v>
      </c>
      <c r="H61" s="598"/>
      <c r="I61" s="408">
        <f t="shared" si="16"/>
        <v>18</v>
      </c>
      <c r="J61" s="408">
        <f t="shared" si="16"/>
        <v>1276.3650043730645</v>
      </c>
      <c r="K61" s="406">
        <f t="shared" si="16"/>
        <v>70.909166909614683</v>
      </c>
      <c r="L61" s="588"/>
      <c r="M61" s="408">
        <f>RANK(K61, K$42:$K$71)</f>
        <v>21</v>
      </c>
      <c r="N61" s="544"/>
      <c r="O61" s="544"/>
      <c r="P61" s="182">
        <v>18</v>
      </c>
      <c r="Q61" s="182">
        <v>1292.5714285714282</v>
      </c>
      <c r="R61" s="182">
        <v>71.809523809523796</v>
      </c>
      <c r="S61" s="404">
        <f t="shared" si="9"/>
        <v>20</v>
      </c>
      <c r="T61" s="534"/>
      <c r="U61" s="182">
        <v>18</v>
      </c>
      <c r="V61" s="182">
        <v>1301.7142857142853</v>
      </c>
      <c r="W61" s="182">
        <v>72.317460317460302</v>
      </c>
      <c r="X61" s="404">
        <f t="shared" si="10"/>
        <v>18</v>
      </c>
      <c r="Y61" s="534"/>
      <c r="Z61" s="182">
        <v>18</v>
      </c>
      <c r="AA61" s="182">
        <v>1270.1538461538455</v>
      </c>
      <c r="AB61" s="182">
        <v>70.564102564102527</v>
      </c>
      <c r="AC61" s="404">
        <f t="shared" si="11"/>
        <v>18</v>
      </c>
      <c r="AD61" s="534"/>
      <c r="AE61" s="182">
        <v>18</v>
      </c>
      <c r="AF61" s="182">
        <v>1244.8</v>
      </c>
      <c r="AG61" s="182">
        <v>69.155555555555551</v>
      </c>
      <c r="AH61" s="404">
        <f t="shared" si="12"/>
        <v>21</v>
      </c>
      <c r="AI61" s="534"/>
      <c r="AJ61" s="182">
        <v>18</v>
      </c>
      <c r="AK61" s="182">
        <v>1284.8372093023254</v>
      </c>
      <c r="AL61" s="182">
        <v>71.379844961240295</v>
      </c>
      <c r="AM61" s="404">
        <f t="shared" si="13"/>
        <v>19</v>
      </c>
      <c r="AN61" s="534"/>
      <c r="AO61" s="182">
        <v>18</v>
      </c>
      <c r="AP61" s="182">
        <v>1283.4782608695652</v>
      </c>
      <c r="AQ61" s="182">
        <v>71.304347826086953</v>
      </c>
      <c r="AR61" s="404">
        <f t="shared" si="14"/>
        <v>18</v>
      </c>
      <c r="AS61" s="534"/>
      <c r="AT61" s="182">
        <v>18</v>
      </c>
      <c r="AU61" s="182">
        <v>1257.0000000000005</v>
      </c>
      <c r="AV61" s="182">
        <v>69.833333333333357</v>
      </c>
      <c r="AW61" s="404">
        <f t="shared" si="15"/>
        <v>21</v>
      </c>
      <c r="AX61" s="534"/>
    </row>
    <row r="62" spans="2:50">
      <c r="B62" s="533"/>
      <c r="C62" s="404">
        <v>21</v>
      </c>
      <c r="D62" s="226" t="s">
        <v>467</v>
      </c>
      <c r="E62" s="182">
        <v>17</v>
      </c>
      <c r="F62" s="404">
        <v>1440</v>
      </c>
      <c r="G62" s="405">
        <v>84.7</v>
      </c>
      <c r="H62" s="598"/>
      <c r="I62" s="408">
        <f t="shared" si="16"/>
        <v>17</v>
      </c>
      <c r="J62" s="408">
        <f t="shared" si="16"/>
        <v>1284.234522710565</v>
      </c>
      <c r="K62" s="406">
        <f t="shared" si="16"/>
        <v>75.54320721826852</v>
      </c>
      <c r="L62" s="588"/>
      <c r="M62" s="408">
        <f>RANK(K62, K$42:$K$71)</f>
        <v>14</v>
      </c>
      <c r="N62" s="544"/>
      <c r="O62" s="544"/>
      <c r="P62" s="182">
        <v>17</v>
      </c>
      <c r="Q62" s="182">
        <v>1276.2162162162151</v>
      </c>
      <c r="R62" s="182">
        <v>75.0715421303656</v>
      </c>
      <c r="S62" s="404">
        <f t="shared" si="9"/>
        <v>14</v>
      </c>
      <c r="T62" s="534"/>
      <c r="U62" s="182">
        <v>17</v>
      </c>
      <c r="V62" s="182">
        <v>1274.1176470588221</v>
      </c>
      <c r="W62" s="182">
        <v>74.948096885813058</v>
      </c>
      <c r="X62" s="404">
        <f t="shared" si="10"/>
        <v>13</v>
      </c>
      <c r="Y62" s="534"/>
      <c r="Z62" s="182">
        <v>17</v>
      </c>
      <c r="AA62" s="182">
        <v>1263.8709677419336</v>
      </c>
      <c r="AB62" s="182">
        <v>74.345351043643149</v>
      </c>
      <c r="AC62" s="404">
        <f t="shared" si="11"/>
        <v>15</v>
      </c>
      <c r="AD62" s="534"/>
      <c r="AE62" s="182">
        <v>17</v>
      </c>
      <c r="AF62" s="182">
        <v>1288.1249999999982</v>
      </c>
      <c r="AG62" s="182">
        <v>75.772058823529306</v>
      </c>
      <c r="AH62" s="404">
        <f t="shared" si="12"/>
        <v>13</v>
      </c>
      <c r="AI62" s="534"/>
      <c r="AJ62" s="182">
        <v>17</v>
      </c>
      <c r="AK62" s="182">
        <v>1300.6451612903206</v>
      </c>
      <c r="AL62" s="182">
        <v>76.508538899430619</v>
      </c>
      <c r="AM62" s="404">
        <f t="shared" si="13"/>
        <v>13</v>
      </c>
      <c r="AN62" s="534"/>
      <c r="AO62" s="182">
        <v>17</v>
      </c>
      <c r="AP62" s="182">
        <v>1278.3333333333323</v>
      </c>
      <c r="AQ62" s="182">
        <v>75.196078431372484</v>
      </c>
      <c r="AR62" s="404">
        <f t="shared" si="14"/>
        <v>14</v>
      </c>
      <c r="AS62" s="534"/>
      <c r="AT62" s="182">
        <v>17</v>
      </c>
      <c r="AU62" s="182">
        <v>1308.3333333333323</v>
      </c>
      <c r="AV62" s="182">
        <v>76.960784313725426</v>
      </c>
      <c r="AW62" s="404">
        <f t="shared" si="15"/>
        <v>11</v>
      </c>
      <c r="AX62" s="534"/>
    </row>
    <row r="63" spans="2:50">
      <c r="B63" s="533"/>
      <c r="C63" s="404">
        <v>22</v>
      </c>
      <c r="D63" s="226" t="s">
        <v>513</v>
      </c>
      <c r="E63" s="182">
        <v>18</v>
      </c>
      <c r="F63" s="404">
        <v>1385</v>
      </c>
      <c r="G63" s="405">
        <v>76.900000000000006</v>
      </c>
      <c r="H63" s="598"/>
      <c r="I63" s="408">
        <f t="shared" si="16"/>
        <v>18</v>
      </c>
      <c r="J63" s="408">
        <f t="shared" si="16"/>
        <v>1186.7587913606149</v>
      </c>
      <c r="K63" s="406">
        <f t="shared" si="16"/>
        <v>65.931043964478604</v>
      </c>
      <c r="L63" s="588"/>
      <c r="M63" s="408">
        <f>RANK(K63, K$42:$K$71)</f>
        <v>24</v>
      </c>
      <c r="N63" s="544"/>
      <c r="O63" s="544"/>
      <c r="P63" s="182">
        <v>18</v>
      </c>
      <c r="Q63" s="182">
        <v>1177.5319148936173</v>
      </c>
      <c r="R63" s="182">
        <v>65.418439716312079</v>
      </c>
      <c r="S63" s="404">
        <f t="shared" si="9"/>
        <v>23</v>
      </c>
      <c r="T63" s="534"/>
      <c r="U63" s="182">
        <v>18</v>
      </c>
      <c r="V63" s="182">
        <v>1187.6923076923072</v>
      </c>
      <c r="W63" s="182">
        <v>65.982905982905947</v>
      </c>
      <c r="X63" s="404">
        <f t="shared" si="10"/>
        <v>23</v>
      </c>
      <c r="Y63" s="534"/>
      <c r="Z63" s="182">
        <v>18</v>
      </c>
      <c r="AA63" s="182">
        <v>1194.1818181818169</v>
      </c>
      <c r="AB63" s="182">
        <v>66.343434343434268</v>
      </c>
      <c r="AC63" s="404">
        <f t="shared" si="11"/>
        <v>22</v>
      </c>
      <c r="AD63" s="534"/>
      <c r="AE63" s="182">
        <v>18</v>
      </c>
      <c r="AF63" s="182">
        <v>1181.0909090909076</v>
      </c>
      <c r="AG63" s="182">
        <v>65.616161616161534</v>
      </c>
      <c r="AH63" s="404">
        <f t="shared" si="12"/>
        <v>22</v>
      </c>
      <c r="AI63" s="534"/>
      <c r="AJ63" s="182">
        <v>18</v>
      </c>
      <c r="AK63" s="182">
        <v>1182.8571428571424</v>
      </c>
      <c r="AL63" s="182">
        <v>65.714285714285694</v>
      </c>
      <c r="AM63" s="404">
        <f t="shared" si="13"/>
        <v>23</v>
      </c>
      <c r="AN63" s="534"/>
      <c r="AO63" s="182">
        <v>18</v>
      </c>
      <c r="AP63" s="182">
        <v>1186.0000000000005</v>
      </c>
      <c r="AQ63" s="182">
        <v>65.888888888888914</v>
      </c>
      <c r="AR63" s="404">
        <f t="shared" si="14"/>
        <v>23</v>
      </c>
      <c r="AS63" s="534"/>
      <c r="AT63" s="182">
        <v>18</v>
      </c>
      <c r="AU63" s="182">
        <v>1197.9574468085111</v>
      </c>
      <c r="AV63" s="182">
        <v>66.553191489361723</v>
      </c>
      <c r="AW63" s="404">
        <f t="shared" si="15"/>
        <v>23</v>
      </c>
      <c r="AX63" s="534"/>
    </row>
    <row r="64" spans="2:50">
      <c r="B64" s="533"/>
      <c r="C64" s="404">
        <v>23</v>
      </c>
      <c r="D64" s="226" t="s">
        <v>580</v>
      </c>
      <c r="E64" s="182">
        <v>18</v>
      </c>
      <c r="F64" s="404">
        <v>1440</v>
      </c>
      <c r="G64" s="405">
        <v>80</v>
      </c>
      <c r="H64" s="598"/>
      <c r="I64" s="408">
        <f t="shared" si="16"/>
        <v>18</v>
      </c>
      <c r="J64" s="408">
        <f t="shared" si="16"/>
        <v>1278.7029079214985</v>
      </c>
      <c r="K64" s="406">
        <f t="shared" si="16"/>
        <v>71.039050440083258</v>
      </c>
      <c r="L64" s="588"/>
      <c r="M64" s="408">
        <f>RANK(K64, K$42:$K$71)</f>
        <v>19</v>
      </c>
      <c r="N64" s="544"/>
      <c r="O64" s="544"/>
      <c r="P64" s="182">
        <v>18</v>
      </c>
      <c r="Q64" s="182">
        <v>1295.4098360655751</v>
      </c>
      <c r="R64" s="182">
        <v>71.967213114754173</v>
      </c>
      <c r="S64" s="404">
        <f t="shared" si="9"/>
        <v>19</v>
      </c>
      <c r="T64" s="534"/>
      <c r="U64" s="182">
        <v>18</v>
      </c>
      <c r="V64" s="182">
        <v>1294.8387096774204</v>
      </c>
      <c r="W64" s="182">
        <v>71.935483870967801</v>
      </c>
      <c r="X64" s="404">
        <f t="shared" si="10"/>
        <v>19</v>
      </c>
      <c r="Y64" s="534"/>
      <c r="Z64" s="182">
        <v>18</v>
      </c>
      <c r="AA64" s="182">
        <v>1263.3333333333342</v>
      </c>
      <c r="AB64" s="182">
        <v>70.185185185185233</v>
      </c>
      <c r="AC64" s="404">
        <f t="shared" si="11"/>
        <v>19</v>
      </c>
      <c r="AD64" s="534"/>
      <c r="AE64" s="182">
        <v>18</v>
      </c>
      <c r="AF64" s="182">
        <v>1260.0000000000007</v>
      </c>
      <c r="AG64" s="182">
        <v>70.000000000000043</v>
      </c>
      <c r="AH64" s="404">
        <f t="shared" si="12"/>
        <v>20</v>
      </c>
      <c r="AI64" s="534"/>
      <c r="AJ64" s="182">
        <v>18</v>
      </c>
      <c r="AK64" s="182">
        <v>1291.7647058823534</v>
      </c>
      <c r="AL64" s="182">
        <v>71.76470588235297</v>
      </c>
      <c r="AM64" s="404">
        <f t="shared" si="13"/>
        <v>18</v>
      </c>
      <c r="AN64" s="534"/>
      <c r="AO64" s="182">
        <v>18</v>
      </c>
      <c r="AP64" s="182">
        <v>1260.0000000000014</v>
      </c>
      <c r="AQ64" s="182">
        <v>70.000000000000071</v>
      </c>
      <c r="AR64" s="404">
        <f t="shared" si="14"/>
        <v>21</v>
      </c>
      <c r="AS64" s="534"/>
      <c r="AT64" s="182">
        <v>18</v>
      </c>
      <c r="AU64" s="182">
        <v>1285.5737704918045</v>
      </c>
      <c r="AV64" s="182">
        <v>71.420765027322474</v>
      </c>
      <c r="AW64" s="404">
        <f t="shared" si="15"/>
        <v>19</v>
      </c>
      <c r="AX64" s="534"/>
    </row>
    <row r="65" spans="2:50">
      <c r="B65" s="533"/>
      <c r="C65" s="404">
        <v>24</v>
      </c>
      <c r="D65" s="226" t="s">
        <v>607</v>
      </c>
      <c r="E65" s="182">
        <v>15</v>
      </c>
      <c r="F65" s="404">
        <v>1500</v>
      </c>
      <c r="G65" s="405">
        <v>100</v>
      </c>
      <c r="H65" s="598"/>
      <c r="I65" s="408">
        <f t="shared" si="16"/>
        <v>15.571428571428571</v>
      </c>
      <c r="J65" s="408">
        <f t="shared" si="16"/>
        <v>1296.3970771934733</v>
      </c>
      <c r="K65" s="406">
        <f t="shared" si="16"/>
        <v>83.427250917076677</v>
      </c>
      <c r="L65" s="588"/>
      <c r="M65" s="408">
        <f>RANK(K65, K$42:$K$71)</f>
        <v>5</v>
      </c>
      <c r="N65" s="544"/>
      <c r="O65" s="544"/>
      <c r="P65" s="404">
        <v>16</v>
      </c>
      <c r="Q65" s="405">
        <v>1311.0280373831763</v>
      </c>
      <c r="R65" s="405">
        <v>81.939252336448519</v>
      </c>
      <c r="S65" s="404">
        <f t="shared" si="9"/>
        <v>6</v>
      </c>
      <c r="T65" s="534"/>
      <c r="U65" s="404">
        <v>16</v>
      </c>
      <c r="V65" s="405">
        <v>1311.9587628865961</v>
      </c>
      <c r="W65" s="405">
        <v>81.997422680412257</v>
      </c>
      <c r="X65" s="404">
        <f t="shared" si="10"/>
        <v>6</v>
      </c>
      <c r="Y65" s="534"/>
      <c r="Z65" s="404">
        <v>16</v>
      </c>
      <c r="AA65" s="405">
        <v>1316.4705882352939</v>
      </c>
      <c r="AB65" s="405">
        <v>82.27941176470587</v>
      </c>
      <c r="AC65" s="404">
        <f t="shared" si="11"/>
        <v>5</v>
      </c>
      <c r="AD65" s="534"/>
      <c r="AE65" s="404">
        <v>16</v>
      </c>
      <c r="AF65" s="405">
        <v>1270.344827586209</v>
      </c>
      <c r="AG65" s="405">
        <v>79.396551724138064</v>
      </c>
      <c r="AH65" s="404">
        <f t="shared" si="12"/>
        <v>9</v>
      </c>
      <c r="AI65" s="534"/>
      <c r="AJ65" s="404">
        <v>16</v>
      </c>
      <c r="AK65" s="405">
        <v>1277.1428571428571</v>
      </c>
      <c r="AL65" s="405">
        <v>79.821428571428569</v>
      </c>
      <c r="AM65" s="404">
        <f t="shared" si="13"/>
        <v>9</v>
      </c>
      <c r="AN65" s="534"/>
      <c r="AO65" s="404">
        <v>15</v>
      </c>
      <c r="AP65" s="405">
        <v>1320.6122448979575</v>
      </c>
      <c r="AQ65" s="405">
        <v>88.040816326530503</v>
      </c>
      <c r="AR65" s="404">
        <f t="shared" si="14"/>
        <v>4</v>
      </c>
      <c r="AS65" s="534"/>
      <c r="AT65" s="404">
        <v>14</v>
      </c>
      <c r="AU65" s="405">
        <v>1267.2222222222229</v>
      </c>
      <c r="AV65" s="405">
        <v>90.515873015873055</v>
      </c>
      <c r="AW65" s="404">
        <f t="shared" si="15"/>
        <v>4</v>
      </c>
      <c r="AX65" s="534"/>
    </row>
    <row r="66" spans="2:50">
      <c r="B66" s="533"/>
      <c r="C66" s="404">
        <v>25</v>
      </c>
      <c r="D66" s="226" t="s">
        <v>620</v>
      </c>
      <c r="E66" s="182">
        <v>16</v>
      </c>
      <c r="F66" s="404">
        <v>1500</v>
      </c>
      <c r="G66" s="405">
        <v>93.8</v>
      </c>
      <c r="H66" s="598"/>
      <c r="I66" s="408">
        <f t="shared" ref="I66:K68" si="17">AVERAGE(P66,U66,Z66,AE66,AJ66,AO66,AT66)</f>
        <v>16</v>
      </c>
      <c r="J66" s="408">
        <f t="shared" si="17"/>
        <v>1294.5387493633255</v>
      </c>
      <c r="K66" s="406">
        <f t="shared" si="17"/>
        <v>80.908671835207841</v>
      </c>
      <c r="L66" s="588"/>
      <c r="M66" s="408">
        <f>RANK(K66, K$42:$K$71)</f>
        <v>9</v>
      </c>
      <c r="N66" s="544"/>
      <c r="O66" s="544"/>
      <c r="P66" s="404">
        <v>16</v>
      </c>
      <c r="Q66" s="405">
        <v>1302.4390243902435</v>
      </c>
      <c r="R66" s="405">
        <v>81.402439024390219</v>
      </c>
      <c r="S66" s="404">
        <f t="shared" si="9"/>
        <v>7</v>
      </c>
      <c r="T66" s="534"/>
      <c r="U66" s="404">
        <v>16</v>
      </c>
      <c r="V66" s="405">
        <v>1302.6315789473674</v>
      </c>
      <c r="W66" s="405">
        <v>81.414473684210463</v>
      </c>
      <c r="X66" s="404">
        <f t="shared" si="10"/>
        <v>7</v>
      </c>
      <c r="Y66" s="534"/>
      <c r="Z66" s="404">
        <v>16</v>
      </c>
      <c r="AA66" s="405">
        <v>1281.0810810810801</v>
      </c>
      <c r="AB66" s="405">
        <v>80.067567567567508</v>
      </c>
      <c r="AC66" s="404">
        <f t="shared" si="11"/>
        <v>8</v>
      </c>
      <c r="AD66" s="534"/>
      <c r="AE66" s="404">
        <v>16</v>
      </c>
      <c r="AF66" s="405">
        <v>1310.6249999999982</v>
      </c>
      <c r="AG66" s="405">
        <v>81.914062499999886</v>
      </c>
      <c r="AH66" s="404">
        <f t="shared" si="12"/>
        <v>6</v>
      </c>
      <c r="AI66" s="534"/>
      <c r="AJ66" s="404">
        <v>16</v>
      </c>
      <c r="AK66" s="405">
        <v>1293.5294117647043</v>
      </c>
      <c r="AL66" s="405">
        <v>80.845588235294016</v>
      </c>
      <c r="AM66" s="404">
        <f t="shared" si="13"/>
        <v>7</v>
      </c>
      <c r="AN66" s="534"/>
      <c r="AO66" s="404">
        <v>16</v>
      </c>
      <c r="AP66" s="405">
        <v>1275.7894736842095</v>
      </c>
      <c r="AQ66" s="405">
        <v>79.736842105263094</v>
      </c>
      <c r="AR66" s="404">
        <f t="shared" si="14"/>
        <v>9</v>
      </c>
      <c r="AS66" s="534"/>
      <c r="AT66" s="404">
        <v>16</v>
      </c>
      <c r="AU66" s="405">
        <v>1295.6756756756747</v>
      </c>
      <c r="AV66" s="405">
        <v>80.979729729729669</v>
      </c>
      <c r="AW66" s="404">
        <f t="shared" si="15"/>
        <v>8</v>
      </c>
      <c r="AX66" s="534"/>
    </row>
    <row r="67" spans="2:50">
      <c r="B67" s="533"/>
      <c r="C67" s="404">
        <v>26</v>
      </c>
      <c r="D67" s="226" t="s">
        <v>621</v>
      </c>
      <c r="E67" s="182">
        <v>20</v>
      </c>
      <c r="F67" s="404">
        <v>1500</v>
      </c>
      <c r="G67" s="405">
        <v>75</v>
      </c>
      <c r="H67" s="598"/>
      <c r="I67" s="408">
        <f t="shared" si="17"/>
        <v>19.857142857142858</v>
      </c>
      <c r="J67" s="408">
        <f t="shared" si="17"/>
        <v>1092.1064410651502</v>
      </c>
      <c r="K67" s="406">
        <f t="shared" si="17"/>
        <v>55.024545788270721</v>
      </c>
      <c r="L67" s="588"/>
      <c r="M67" s="408">
        <f>RANK(K67, K$42:$K$71)</f>
        <v>27</v>
      </c>
      <c r="N67" s="544"/>
      <c r="O67" s="544"/>
      <c r="P67" s="404">
        <v>20</v>
      </c>
      <c r="Q67" s="405">
        <v>1108.1415929203531</v>
      </c>
      <c r="R67" s="405">
        <v>55.407079646017657</v>
      </c>
      <c r="S67" s="404">
        <f t="shared" si="9"/>
        <v>26</v>
      </c>
      <c r="T67" s="534"/>
      <c r="U67" s="404">
        <v>20</v>
      </c>
      <c r="V67" s="405">
        <v>1099.4594594594603</v>
      </c>
      <c r="W67" s="405">
        <v>54.972972972973011</v>
      </c>
      <c r="X67" s="404">
        <f t="shared" si="10"/>
        <v>26</v>
      </c>
      <c r="Y67" s="534"/>
      <c r="Z67" s="404">
        <v>20</v>
      </c>
      <c r="AA67" s="405">
        <v>1062.2857142857147</v>
      </c>
      <c r="AB67" s="405">
        <v>53.114285714285735</v>
      </c>
      <c r="AC67" s="404">
        <f t="shared" si="11"/>
        <v>26</v>
      </c>
      <c r="AD67" s="534"/>
      <c r="AE67" s="404">
        <v>20</v>
      </c>
      <c r="AF67" s="405">
        <v>1114.2857142857147</v>
      </c>
      <c r="AG67" s="405">
        <v>55.714285714285737</v>
      </c>
      <c r="AH67" s="404">
        <f t="shared" si="12"/>
        <v>25</v>
      </c>
      <c r="AI67" s="534"/>
      <c r="AJ67" s="404">
        <v>20</v>
      </c>
      <c r="AK67" s="405">
        <v>1065.9459459459451</v>
      </c>
      <c r="AL67" s="405">
        <v>53.297297297297256</v>
      </c>
      <c r="AM67" s="404">
        <f t="shared" si="13"/>
        <v>25</v>
      </c>
      <c r="AN67" s="534"/>
      <c r="AO67" s="404">
        <v>20</v>
      </c>
      <c r="AP67" s="405">
        <v>1079.4915254237283</v>
      </c>
      <c r="AQ67" s="405">
        <v>53.974576271186415</v>
      </c>
      <c r="AR67" s="404">
        <f t="shared" si="14"/>
        <v>25</v>
      </c>
      <c r="AS67" s="534"/>
      <c r="AT67" s="404">
        <v>19</v>
      </c>
      <c r="AU67" s="405">
        <v>1115.1351351351359</v>
      </c>
      <c r="AV67" s="405">
        <v>58.691322901849254</v>
      </c>
      <c r="AW67" s="404">
        <f t="shared" si="15"/>
        <v>26</v>
      </c>
      <c r="AX67" s="534"/>
    </row>
    <row r="68" spans="2:50">
      <c r="B68" s="533"/>
      <c r="C68" s="404">
        <v>27</v>
      </c>
      <c r="D68" s="226" t="s">
        <v>715</v>
      </c>
      <c r="E68" s="182">
        <v>17</v>
      </c>
      <c r="F68" s="404">
        <v>1440</v>
      </c>
      <c r="G68" s="405">
        <v>84.7</v>
      </c>
      <c r="H68" s="598"/>
      <c r="I68" s="408">
        <f t="shared" si="17"/>
        <v>13</v>
      </c>
      <c r="J68" s="408">
        <f t="shared" si="17"/>
        <v>1300.5000000000009</v>
      </c>
      <c r="K68" s="406">
        <f t="shared" si="17"/>
        <v>100.0384615384616</v>
      </c>
      <c r="L68" s="588"/>
      <c r="M68" s="408">
        <f>RANK(K68, K$42:$K$71)</f>
        <v>3</v>
      </c>
      <c r="N68" s="544"/>
      <c r="O68" s="544"/>
      <c r="P68" s="404" t="str">
        <f>'[2]（５-5）品群別人時生產性(主食) '!P208</f>
        <v/>
      </c>
      <c r="Q68" s="405" t="str">
        <f>'[2]（５-5）品群別人時生產性(主食) '!Q208</f>
        <v/>
      </c>
      <c r="R68" s="405" t="str">
        <f>'[2]（５-5）品群別人時生產性(主食) '!R208</f>
        <v/>
      </c>
      <c r="S68" s="404" t="e">
        <f t="shared" si="9"/>
        <v>#VALUE!</v>
      </c>
      <c r="T68" s="534"/>
      <c r="U68" s="404" t="str">
        <f>'[2]（５-5）品群別人時生產性(主食) '!U208</f>
        <v/>
      </c>
      <c r="V68" s="405" t="str">
        <f>'[2]（５-5）品群別人時生產性(主食) '!V208</f>
        <v/>
      </c>
      <c r="W68" s="405" t="str">
        <f>'[2]（５-5）品群別人時生產性(主食) '!W208</f>
        <v/>
      </c>
      <c r="X68" s="404" t="e">
        <f t="shared" si="10"/>
        <v>#VALUE!</v>
      </c>
      <c r="Y68" s="534"/>
      <c r="Z68" s="404" t="str">
        <f>'[2]（５-5）品群別人時生產性(主食) '!Z208</f>
        <v/>
      </c>
      <c r="AA68" s="405" t="str">
        <f>'[2]（５-5）品群別人時生產性(主食) '!AA208</f>
        <v/>
      </c>
      <c r="AB68" s="405" t="str">
        <f>'[2]（５-5）品群別人時生產性(主食) '!AB208</f>
        <v/>
      </c>
      <c r="AC68" s="404" t="e">
        <f t="shared" si="11"/>
        <v>#VALUE!</v>
      </c>
      <c r="AD68" s="534"/>
      <c r="AE68" s="404" t="str">
        <f>'[2]（５-5）品群別人時生產性(主食) '!AE208</f>
        <v/>
      </c>
      <c r="AF68" s="405" t="str">
        <f>'[2]（５-5）品群別人時生產性(主食) '!AF208</f>
        <v/>
      </c>
      <c r="AG68" s="405" t="str">
        <f>'[2]（５-5）品群別人時生產性(主食) '!AG208</f>
        <v/>
      </c>
      <c r="AH68" s="404" t="e">
        <f t="shared" si="12"/>
        <v>#VALUE!</v>
      </c>
      <c r="AI68" s="534"/>
      <c r="AJ68" s="404" t="str">
        <f>'[2]（５-5）品群別人時生產性(主食) '!AJ208</f>
        <v/>
      </c>
      <c r="AK68" s="405" t="str">
        <f>'[2]（５-5）品群別人時生產性(主食) '!AK208</f>
        <v/>
      </c>
      <c r="AL68" s="405" t="str">
        <f>'[2]（５-5）品群別人時生產性(主食) '!AL208</f>
        <v/>
      </c>
      <c r="AM68" s="404" t="e">
        <f t="shared" si="13"/>
        <v>#VALUE!</v>
      </c>
      <c r="AN68" s="534"/>
      <c r="AO68" s="404" t="str">
        <f>'[2]（５-5）品群別人時生產性(主食) '!AO208</f>
        <v/>
      </c>
      <c r="AP68" s="405" t="str">
        <f>'[2]（５-5）品群別人時生產性(主食) '!AP208</f>
        <v/>
      </c>
      <c r="AQ68" s="405" t="str">
        <f>'[2]（５-5）品群別人時生產性(主食) '!AQ208</f>
        <v/>
      </c>
      <c r="AR68" s="404" t="e">
        <f t="shared" si="14"/>
        <v>#VALUE!</v>
      </c>
      <c r="AS68" s="534"/>
      <c r="AT68" s="404">
        <v>13</v>
      </c>
      <c r="AU68" s="405">
        <v>1300.5000000000009</v>
      </c>
      <c r="AV68" s="405">
        <v>100.0384615384616</v>
      </c>
      <c r="AW68" s="404">
        <f t="shared" si="15"/>
        <v>3</v>
      </c>
      <c r="AX68" s="534"/>
    </row>
    <row r="69" spans="2:50">
      <c r="B69" s="533"/>
      <c r="C69" s="404">
        <v>28</v>
      </c>
      <c r="D69" s="226"/>
      <c r="E69" s="182"/>
      <c r="F69" s="404"/>
      <c r="G69" s="405"/>
      <c r="H69" s="598"/>
      <c r="I69" s="408"/>
      <c r="J69" s="408"/>
      <c r="K69" s="406"/>
      <c r="L69" s="588"/>
      <c r="M69" s="408" t="e">
        <f>RANK(K69, K$42:$K$71)</f>
        <v>#N/A</v>
      </c>
      <c r="N69" s="544"/>
      <c r="O69" s="544"/>
      <c r="P69" s="404"/>
      <c r="Q69" s="405"/>
      <c r="R69" s="405"/>
      <c r="S69" s="404" t="e">
        <f t="shared" si="9"/>
        <v>#N/A</v>
      </c>
      <c r="T69" s="534"/>
      <c r="U69" s="404"/>
      <c r="V69" s="405"/>
      <c r="W69" s="405"/>
      <c r="X69" s="404" t="e">
        <f t="shared" si="10"/>
        <v>#N/A</v>
      </c>
      <c r="Y69" s="534"/>
      <c r="Z69" s="404"/>
      <c r="AA69" s="405"/>
      <c r="AB69" s="405"/>
      <c r="AC69" s="404" t="e">
        <f t="shared" si="11"/>
        <v>#N/A</v>
      </c>
      <c r="AD69" s="534"/>
      <c r="AE69" s="404"/>
      <c r="AF69" s="405"/>
      <c r="AG69" s="405"/>
      <c r="AH69" s="404" t="e">
        <f t="shared" si="12"/>
        <v>#N/A</v>
      </c>
      <c r="AI69" s="534"/>
      <c r="AJ69" s="404"/>
      <c r="AK69" s="405"/>
      <c r="AL69" s="405"/>
      <c r="AM69" s="404" t="e">
        <f t="shared" si="13"/>
        <v>#N/A</v>
      </c>
      <c r="AN69" s="534"/>
      <c r="AO69" s="404"/>
      <c r="AP69" s="405"/>
      <c r="AQ69" s="405"/>
      <c r="AR69" s="404" t="e">
        <f t="shared" si="14"/>
        <v>#N/A</v>
      </c>
      <c r="AS69" s="534"/>
      <c r="AT69" s="404"/>
      <c r="AU69" s="405"/>
      <c r="AV69" s="405"/>
      <c r="AW69" s="404" t="e">
        <f t="shared" si="15"/>
        <v>#N/A</v>
      </c>
      <c r="AX69" s="534"/>
    </row>
    <row r="70" spans="2:50">
      <c r="B70" s="533"/>
      <c r="C70" s="404">
        <v>29</v>
      </c>
      <c r="D70" s="226"/>
      <c r="E70" s="182"/>
      <c r="F70" s="404"/>
      <c r="G70" s="405"/>
      <c r="H70" s="598"/>
      <c r="I70" s="202"/>
      <c r="J70" s="202"/>
      <c r="K70" s="202"/>
      <c r="L70" s="588"/>
      <c r="M70" s="408" t="e">
        <f>RANK(K70, K$42:$K$71)</f>
        <v>#N/A</v>
      </c>
      <c r="N70" s="544"/>
      <c r="O70" s="544"/>
      <c r="P70" s="404"/>
      <c r="Q70" s="404"/>
      <c r="R70" s="404"/>
      <c r="S70" s="404" t="e">
        <f t="shared" si="9"/>
        <v>#N/A</v>
      </c>
      <c r="T70" s="534"/>
      <c r="U70" s="404"/>
      <c r="V70" s="404"/>
      <c r="W70" s="404"/>
      <c r="X70" s="404" t="e">
        <f t="shared" si="10"/>
        <v>#N/A</v>
      </c>
      <c r="Y70" s="534"/>
      <c r="Z70" s="404"/>
      <c r="AA70" s="404"/>
      <c r="AB70" s="404"/>
      <c r="AC70" s="404" t="e">
        <f t="shared" si="11"/>
        <v>#N/A</v>
      </c>
      <c r="AD70" s="534"/>
      <c r="AE70" s="404"/>
      <c r="AF70" s="404"/>
      <c r="AG70" s="404"/>
      <c r="AH70" s="404" t="e">
        <f t="shared" si="12"/>
        <v>#N/A</v>
      </c>
      <c r="AI70" s="534"/>
      <c r="AJ70" s="404"/>
      <c r="AK70" s="404"/>
      <c r="AL70" s="404"/>
      <c r="AM70" s="404" t="e">
        <f t="shared" si="13"/>
        <v>#N/A</v>
      </c>
      <c r="AN70" s="534"/>
      <c r="AO70" s="404"/>
      <c r="AP70" s="404"/>
      <c r="AQ70" s="404"/>
      <c r="AR70" s="404" t="e">
        <f t="shared" si="14"/>
        <v>#N/A</v>
      </c>
      <c r="AS70" s="534"/>
      <c r="AT70" s="404"/>
      <c r="AU70" s="404"/>
      <c r="AV70" s="404"/>
      <c r="AW70" s="404" t="e">
        <f t="shared" si="15"/>
        <v>#N/A</v>
      </c>
      <c r="AX70" s="534"/>
    </row>
    <row r="71" spans="2:50">
      <c r="B71" s="533"/>
      <c r="C71" s="404">
        <v>30</v>
      </c>
      <c r="D71" s="226"/>
      <c r="E71" s="182"/>
      <c r="F71" s="404"/>
      <c r="G71" s="405"/>
      <c r="H71" s="599"/>
      <c r="I71" s="202"/>
      <c r="J71" s="202"/>
      <c r="K71" s="202"/>
      <c r="L71" s="589"/>
      <c r="M71" s="408" t="e">
        <f>RANK(K71, K$42:$K$71)</f>
        <v>#N/A</v>
      </c>
      <c r="N71" s="544"/>
      <c r="O71" s="544"/>
      <c r="P71" s="404"/>
      <c r="Q71" s="404"/>
      <c r="R71" s="404"/>
      <c r="S71" s="404" t="e">
        <f t="shared" si="9"/>
        <v>#N/A</v>
      </c>
      <c r="T71" s="534"/>
      <c r="U71" s="404"/>
      <c r="V71" s="404"/>
      <c r="W71" s="404"/>
      <c r="X71" s="404" t="e">
        <f t="shared" si="10"/>
        <v>#N/A</v>
      </c>
      <c r="Y71" s="534"/>
      <c r="Z71" s="404"/>
      <c r="AA71" s="404"/>
      <c r="AB71" s="404"/>
      <c r="AC71" s="404" t="e">
        <f t="shared" si="11"/>
        <v>#N/A</v>
      </c>
      <c r="AD71" s="534"/>
      <c r="AE71" s="404"/>
      <c r="AF71" s="404"/>
      <c r="AG71" s="404"/>
      <c r="AH71" s="404" t="e">
        <f t="shared" si="12"/>
        <v>#N/A</v>
      </c>
      <c r="AI71" s="534"/>
      <c r="AJ71" s="404"/>
      <c r="AK71" s="404"/>
      <c r="AL71" s="404"/>
      <c r="AM71" s="404" t="e">
        <f t="shared" si="13"/>
        <v>#N/A</v>
      </c>
      <c r="AN71" s="534"/>
      <c r="AO71" s="404"/>
      <c r="AP71" s="404"/>
      <c r="AQ71" s="404"/>
      <c r="AR71" s="404" t="e">
        <f t="shared" si="14"/>
        <v>#N/A</v>
      </c>
      <c r="AS71" s="534"/>
      <c r="AT71" s="404"/>
      <c r="AU71" s="404"/>
      <c r="AV71" s="404"/>
      <c r="AW71" s="404" t="e">
        <f t="shared" si="15"/>
        <v>#N/A</v>
      </c>
      <c r="AX71" s="534"/>
    </row>
    <row r="72" spans="2:50" ht="15.5">
      <c r="B72" s="575" t="s">
        <v>704</v>
      </c>
      <c r="C72" s="576"/>
      <c r="D72" s="576"/>
      <c r="E72" s="576"/>
      <c r="F72" s="576"/>
      <c r="G72" s="576"/>
      <c r="H72" s="576"/>
      <c r="I72" s="208"/>
      <c r="J72" s="203"/>
      <c r="K72" s="208"/>
      <c r="L72" s="208"/>
      <c r="M72" s="204"/>
      <c r="N72" s="559" t="s">
        <v>705</v>
      </c>
      <c r="O72" s="559" t="s">
        <v>706</v>
      </c>
      <c r="P72" s="554">
        <f>P37+7</f>
        <v>46000</v>
      </c>
      <c r="Q72" s="533"/>
      <c r="R72" s="533"/>
      <c r="S72" s="533"/>
      <c r="T72" s="533"/>
      <c r="U72" s="551">
        <f>P72+1</f>
        <v>46001</v>
      </c>
      <c r="V72" s="552"/>
      <c r="W72" s="552"/>
      <c r="X72" s="552"/>
      <c r="Y72" s="553"/>
      <c r="Z72" s="551">
        <f>U72+1</f>
        <v>46002</v>
      </c>
      <c r="AA72" s="552"/>
      <c r="AB72" s="552"/>
      <c r="AC72" s="552"/>
      <c r="AD72" s="553"/>
      <c r="AE72" s="551">
        <f>Z72+1</f>
        <v>46003</v>
      </c>
      <c r="AF72" s="552"/>
      <c r="AG72" s="552"/>
      <c r="AH72" s="552"/>
      <c r="AI72" s="553"/>
      <c r="AJ72" s="551">
        <f>AE72+1</f>
        <v>46004</v>
      </c>
      <c r="AK72" s="552"/>
      <c r="AL72" s="552"/>
      <c r="AM72" s="552"/>
      <c r="AN72" s="553"/>
      <c r="AO72" s="551">
        <f>AJ72+1</f>
        <v>46005</v>
      </c>
      <c r="AP72" s="552"/>
      <c r="AQ72" s="552"/>
      <c r="AR72" s="552"/>
      <c r="AS72" s="553"/>
      <c r="AT72" s="551">
        <f>AO72+1</f>
        <v>46006</v>
      </c>
      <c r="AU72" s="552"/>
      <c r="AV72" s="552"/>
      <c r="AW72" s="552"/>
      <c r="AX72" s="553"/>
    </row>
    <row r="73" spans="2:50" ht="15.5">
      <c r="B73" s="558"/>
      <c r="C73" s="558"/>
      <c r="D73" s="558"/>
      <c r="E73" s="558"/>
      <c r="F73" s="558"/>
      <c r="G73" s="558"/>
      <c r="H73" s="558"/>
      <c r="I73" s="205"/>
      <c r="J73" s="205"/>
      <c r="K73" s="205"/>
      <c r="L73" s="205"/>
      <c r="M73" s="206"/>
      <c r="N73" s="560"/>
      <c r="O73" s="560"/>
      <c r="P73" s="554" t="s">
        <v>707</v>
      </c>
      <c r="Q73" s="533"/>
      <c r="R73" s="533"/>
      <c r="S73" s="533"/>
      <c r="T73" s="533"/>
      <c r="U73" s="554" t="s">
        <v>708</v>
      </c>
      <c r="V73" s="533"/>
      <c r="W73" s="533"/>
      <c r="X73" s="533"/>
      <c r="Y73" s="533"/>
      <c r="Z73" s="554" t="s">
        <v>709</v>
      </c>
      <c r="AA73" s="533"/>
      <c r="AB73" s="533"/>
      <c r="AC73" s="533"/>
      <c r="AD73" s="533"/>
      <c r="AE73" s="554" t="s">
        <v>710</v>
      </c>
      <c r="AF73" s="533"/>
      <c r="AG73" s="533"/>
      <c r="AH73" s="533"/>
      <c r="AI73" s="533"/>
      <c r="AJ73" s="554" t="s">
        <v>711</v>
      </c>
      <c r="AK73" s="533"/>
      <c r="AL73" s="533"/>
      <c r="AM73" s="533"/>
      <c r="AN73" s="533"/>
      <c r="AO73" s="554" t="s">
        <v>712</v>
      </c>
      <c r="AP73" s="533"/>
      <c r="AQ73" s="533"/>
      <c r="AR73" s="533"/>
      <c r="AS73" s="533"/>
      <c r="AT73" s="554" t="s">
        <v>713</v>
      </c>
      <c r="AU73" s="533"/>
      <c r="AV73" s="533"/>
      <c r="AW73" s="533"/>
      <c r="AX73" s="533"/>
    </row>
    <row r="74" spans="2:50">
      <c r="B74" s="544" t="s">
        <v>649</v>
      </c>
      <c r="C74" s="544" t="s">
        <v>650</v>
      </c>
      <c r="D74" s="544"/>
      <c r="E74" s="544" t="s">
        <v>651</v>
      </c>
      <c r="F74" s="544"/>
      <c r="G74" s="544"/>
      <c r="H74" s="561" t="s">
        <v>652</v>
      </c>
      <c r="I74" s="583" t="s">
        <v>653</v>
      </c>
      <c r="J74" s="583"/>
      <c r="K74" s="583"/>
      <c r="L74" s="584" t="s">
        <v>652</v>
      </c>
      <c r="M74" s="567" t="s">
        <v>654</v>
      </c>
      <c r="N74" s="544"/>
      <c r="O74" s="544" t="s">
        <v>655</v>
      </c>
      <c r="P74" s="548" t="s">
        <v>656</v>
      </c>
      <c r="Q74" s="549"/>
      <c r="R74" s="549"/>
      <c r="S74" s="550"/>
      <c r="T74" s="544" t="s">
        <v>652</v>
      </c>
      <c r="U74" s="548" t="s">
        <v>656</v>
      </c>
      <c r="V74" s="549"/>
      <c r="W74" s="549"/>
      <c r="X74" s="550"/>
      <c r="Y74" s="544" t="s">
        <v>652</v>
      </c>
      <c r="Z74" s="548" t="s">
        <v>656</v>
      </c>
      <c r="AA74" s="549"/>
      <c r="AB74" s="549"/>
      <c r="AC74" s="550"/>
      <c r="AD74" s="544" t="s">
        <v>652</v>
      </c>
      <c r="AE74" s="548" t="s">
        <v>656</v>
      </c>
      <c r="AF74" s="549"/>
      <c r="AG74" s="549"/>
      <c r="AH74" s="550"/>
      <c r="AI74" s="544" t="s">
        <v>652</v>
      </c>
      <c r="AJ74" s="548" t="s">
        <v>656</v>
      </c>
      <c r="AK74" s="549"/>
      <c r="AL74" s="549"/>
      <c r="AM74" s="550"/>
      <c r="AN74" s="544" t="s">
        <v>652</v>
      </c>
      <c r="AO74" s="548" t="s">
        <v>656</v>
      </c>
      <c r="AP74" s="549"/>
      <c r="AQ74" s="549"/>
      <c r="AR74" s="550"/>
      <c r="AS74" s="544" t="s">
        <v>652</v>
      </c>
      <c r="AT74" s="548" t="s">
        <v>656</v>
      </c>
      <c r="AU74" s="549"/>
      <c r="AV74" s="549"/>
      <c r="AW74" s="550"/>
      <c r="AX74" s="544" t="s">
        <v>652</v>
      </c>
    </row>
    <row r="75" spans="2:50">
      <c r="B75" s="544"/>
      <c r="C75" s="544"/>
      <c r="D75" s="544"/>
      <c r="E75" s="544" t="s">
        <v>657</v>
      </c>
      <c r="F75" s="544"/>
      <c r="G75" s="544"/>
      <c r="H75" s="562"/>
      <c r="I75" s="583" t="s">
        <v>657</v>
      </c>
      <c r="J75" s="583"/>
      <c r="K75" s="583"/>
      <c r="L75" s="585"/>
      <c r="M75" s="568"/>
      <c r="N75" s="544"/>
      <c r="O75" s="544"/>
      <c r="P75" s="548" t="s">
        <v>658</v>
      </c>
      <c r="Q75" s="549"/>
      <c r="R75" s="549"/>
      <c r="S75" s="550"/>
      <c r="T75" s="544"/>
      <c r="U75" s="548" t="s">
        <v>658</v>
      </c>
      <c r="V75" s="549"/>
      <c r="W75" s="549"/>
      <c r="X75" s="550"/>
      <c r="Y75" s="544"/>
      <c r="Z75" s="548" t="s">
        <v>658</v>
      </c>
      <c r="AA75" s="549"/>
      <c r="AB75" s="549"/>
      <c r="AC75" s="550"/>
      <c r="AD75" s="544"/>
      <c r="AE75" s="548" t="s">
        <v>658</v>
      </c>
      <c r="AF75" s="549"/>
      <c r="AG75" s="549"/>
      <c r="AH75" s="550"/>
      <c r="AI75" s="544"/>
      <c r="AJ75" s="548" t="s">
        <v>658</v>
      </c>
      <c r="AK75" s="549"/>
      <c r="AL75" s="549"/>
      <c r="AM75" s="550"/>
      <c r="AN75" s="544"/>
      <c r="AO75" s="548" t="s">
        <v>658</v>
      </c>
      <c r="AP75" s="549"/>
      <c r="AQ75" s="549"/>
      <c r="AR75" s="550"/>
      <c r="AS75" s="544"/>
      <c r="AT75" s="548" t="s">
        <v>658</v>
      </c>
      <c r="AU75" s="549"/>
      <c r="AV75" s="549"/>
      <c r="AW75" s="550"/>
      <c r="AX75" s="544"/>
    </row>
    <row r="76" spans="2:50">
      <c r="B76" s="544"/>
      <c r="C76" s="544"/>
      <c r="D76" s="544"/>
      <c r="E76" s="403" t="s">
        <v>659</v>
      </c>
      <c r="F76" s="403" t="s">
        <v>660</v>
      </c>
      <c r="G76" s="403" t="s">
        <v>661</v>
      </c>
      <c r="H76" s="563"/>
      <c r="I76" s="402" t="s">
        <v>659</v>
      </c>
      <c r="J76" s="402" t="s">
        <v>660</v>
      </c>
      <c r="K76" s="402" t="s">
        <v>661</v>
      </c>
      <c r="L76" s="586"/>
      <c r="M76" s="569"/>
      <c r="N76" s="544"/>
      <c r="O76" s="544"/>
      <c r="P76" s="403" t="s">
        <v>659</v>
      </c>
      <c r="Q76" s="403" t="s">
        <v>660</v>
      </c>
      <c r="R76" s="403" t="s">
        <v>661</v>
      </c>
      <c r="S76" s="403" t="s">
        <v>654</v>
      </c>
      <c r="T76" s="544"/>
      <c r="U76" s="403" t="s">
        <v>659</v>
      </c>
      <c r="V76" s="403" t="s">
        <v>660</v>
      </c>
      <c r="W76" s="403" t="s">
        <v>661</v>
      </c>
      <c r="X76" s="403" t="s">
        <v>654</v>
      </c>
      <c r="Y76" s="544"/>
      <c r="Z76" s="403" t="s">
        <v>659</v>
      </c>
      <c r="AA76" s="403" t="s">
        <v>660</v>
      </c>
      <c r="AB76" s="403" t="s">
        <v>661</v>
      </c>
      <c r="AC76" s="403" t="s">
        <v>654</v>
      </c>
      <c r="AD76" s="544"/>
      <c r="AE76" s="403" t="s">
        <v>659</v>
      </c>
      <c r="AF76" s="403" t="s">
        <v>660</v>
      </c>
      <c r="AG76" s="403" t="s">
        <v>661</v>
      </c>
      <c r="AH76" s="403" t="s">
        <v>654</v>
      </c>
      <c r="AI76" s="544"/>
      <c r="AJ76" s="403" t="s">
        <v>659</v>
      </c>
      <c r="AK76" s="403" t="s">
        <v>660</v>
      </c>
      <c r="AL76" s="403" t="s">
        <v>661</v>
      </c>
      <c r="AM76" s="403" t="s">
        <v>654</v>
      </c>
      <c r="AN76" s="544"/>
      <c r="AO76" s="403" t="s">
        <v>659</v>
      </c>
      <c r="AP76" s="403" t="s">
        <v>660</v>
      </c>
      <c r="AQ76" s="403" t="s">
        <v>661</v>
      </c>
      <c r="AR76" s="403" t="s">
        <v>654</v>
      </c>
      <c r="AS76" s="544"/>
      <c r="AT76" s="403" t="s">
        <v>659</v>
      </c>
      <c r="AU76" s="403" t="s">
        <v>660</v>
      </c>
      <c r="AV76" s="403" t="s">
        <v>661</v>
      </c>
      <c r="AW76" s="403" t="s">
        <v>654</v>
      </c>
      <c r="AX76" s="544"/>
    </row>
    <row r="77" spans="2:50">
      <c r="B77" s="544" t="s">
        <v>714</v>
      </c>
      <c r="C77" s="404">
        <v>1</v>
      </c>
      <c r="D77" s="226" t="s">
        <v>374</v>
      </c>
      <c r="E77" s="182">
        <v>6</v>
      </c>
      <c r="F77" s="404">
        <v>1500</v>
      </c>
      <c r="G77" s="405">
        <v>250</v>
      </c>
      <c r="H77" s="597">
        <f>AVERAGE(G77:G106)</f>
        <v>100.64</v>
      </c>
      <c r="I77" s="408">
        <f>AVERAGE(P77,U77,Z77,AE77,AJ77,AO77,AT77)</f>
        <v>6</v>
      </c>
      <c r="J77" s="408">
        <f>AVERAGE(Q77,V77,AA77,AF77,AK77,AP77,AU77)</f>
        <v>1505.3310446180676</v>
      </c>
      <c r="K77" s="406">
        <f>AVERAGE(R77,W77,AB77,AG77,AL77,AQ77,AV77)</f>
        <v>250.88850743634458</v>
      </c>
      <c r="L77" s="587">
        <f>IFERROR(AVERAGE(K77:K106),"-")</f>
        <v>86.526635419121106</v>
      </c>
      <c r="M77" s="407">
        <f>RANK(K77, K$77:$K$106)</f>
        <v>1</v>
      </c>
      <c r="N77" s="544"/>
      <c r="O77" s="544"/>
      <c r="P77" s="182">
        <v>6</v>
      </c>
      <c r="Q77" s="182">
        <v>1480.7273684210529</v>
      </c>
      <c r="R77" s="182">
        <v>246.78789473684216</v>
      </c>
      <c r="S77" s="404">
        <f>RANK(R77, R$77:R$106)</f>
        <v>1</v>
      </c>
      <c r="T77" s="534">
        <f>AVERAGE(R77:R106)</f>
        <v>86.8946970010483</v>
      </c>
      <c r="U77" s="182">
        <v>6</v>
      </c>
      <c r="V77" s="182">
        <v>1524.8152173913045</v>
      </c>
      <c r="W77" s="182">
        <v>254.1358695652174</v>
      </c>
      <c r="X77" s="404">
        <f>RANK(W77, W$77:W$106)</f>
        <v>1</v>
      </c>
      <c r="Y77" s="534">
        <f>AVERAGE(W77:W106)</f>
        <v>87.391056059005081</v>
      </c>
      <c r="Z77" s="182">
        <v>6</v>
      </c>
      <c r="AA77" s="182">
        <v>1538.3892857142857</v>
      </c>
      <c r="AB77" s="182">
        <v>256.39821428571429</v>
      </c>
      <c r="AC77" s="404">
        <f>RANK(AB77, AB$77:AB$106)</f>
        <v>1</v>
      </c>
      <c r="AD77" s="534">
        <f>AVERAGE(AB77:AB106)</f>
        <v>86.187108459619921</v>
      </c>
      <c r="AE77" s="182">
        <v>6</v>
      </c>
      <c r="AF77" s="182">
        <v>1501.0806629834251</v>
      </c>
      <c r="AG77" s="182">
        <v>250.18011049723751</v>
      </c>
      <c r="AH77" s="404">
        <f>RANK(AG77, AG$77:AG$106)</f>
        <v>1</v>
      </c>
      <c r="AI77" s="534">
        <f>AVERAGE(AG77:AG106)</f>
        <v>85.421304649320518</v>
      </c>
      <c r="AJ77" s="182">
        <v>6</v>
      </c>
      <c r="AK77" s="182">
        <v>1488.2078212290501</v>
      </c>
      <c r="AL77" s="182">
        <v>248.03463687150835</v>
      </c>
      <c r="AM77" s="404">
        <f>RANK(AL77, AL$77:AL$106)</f>
        <v>1</v>
      </c>
      <c r="AN77" s="534">
        <f>AVERAGE(AL77:AL106)</f>
        <v>85.800562372963327</v>
      </c>
      <c r="AO77" s="182">
        <v>6</v>
      </c>
      <c r="AP77" s="182">
        <v>1507.299029126214</v>
      </c>
      <c r="AQ77" s="182">
        <v>251.21650485436899</v>
      </c>
      <c r="AR77" s="404">
        <f>RANK(AQ77, AQ$77:AQ$106)</f>
        <v>1</v>
      </c>
      <c r="AS77" s="534">
        <f>AVERAGE(AQ77:AQ106)</f>
        <v>87.480365850454092</v>
      </c>
      <c r="AT77" s="182">
        <v>6</v>
      </c>
      <c r="AU77" s="182">
        <v>1496.7979274611403</v>
      </c>
      <c r="AV77" s="182">
        <v>249.46632124352337</v>
      </c>
      <c r="AW77" s="404">
        <f>RANK(AV77, AV$77:AV$106)</f>
        <v>1</v>
      </c>
      <c r="AX77" s="534">
        <f>AVERAGE(AV77:AV106)</f>
        <v>86.511353541436662</v>
      </c>
    </row>
    <row r="78" spans="2:50">
      <c r="B78" s="533"/>
      <c r="C78" s="404">
        <v>2</v>
      </c>
      <c r="D78" s="226" t="s">
        <v>398</v>
      </c>
      <c r="E78" s="182">
        <v>6</v>
      </c>
      <c r="F78" s="404">
        <v>1500</v>
      </c>
      <c r="G78" s="405">
        <v>250</v>
      </c>
      <c r="H78" s="598"/>
      <c r="I78" s="408">
        <f t="shared" ref="I78:K99" si="18">AVERAGE(P78,U78,Z78,AE78,AJ78,AO78,AT78)</f>
        <v>7</v>
      </c>
      <c r="J78" s="408">
        <f t="shared" si="18"/>
        <v>1442.3585400625248</v>
      </c>
      <c r="K78" s="406">
        <f t="shared" si="18"/>
        <v>206.05122000893206</v>
      </c>
      <c r="L78" s="588"/>
      <c r="M78" s="407">
        <f>RANK(K78, K$77:$K$106)</f>
        <v>2</v>
      </c>
      <c r="N78" s="544"/>
      <c r="O78" s="544"/>
      <c r="P78" s="182">
        <v>7</v>
      </c>
      <c r="Q78" s="182">
        <v>1474.2</v>
      </c>
      <c r="R78" s="182">
        <v>210.6</v>
      </c>
      <c r="S78" s="404">
        <f t="shared" ref="S78:S106" si="19">RANK(R78, R$77:R$106)</f>
        <v>2</v>
      </c>
      <c r="T78" s="534"/>
      <c r="U78" s="182">
        <v>7</v>
      </c>
      <c r="V78" s="182">
        <v>1438.8235294117646</v>
      </c>
      <c r="W78" s="182">
        <v>205.54621848739495</v>
      </c>
      <c r="X78" s="404">
        <f t="shared" ref="X78:X106" si="20">RANK(W78, W$77:W$106)</f>
        <v>2</v>
      </c>
      <c r="Y78" s="534"/>
      <c r="Z78" s="182">
        <v>7</v>
      </c>
      <c r="AA78" s="182">
        <v>1448.2352941176471</v>
      </c>
      <c r="AB78" s="182">
        <v>206.890756302521</v>
      </c>
      <c r="AC78" s="404">
        <f t="shared" ref="AC78:AC106" si="21">RANK(AB78, AB$77:AB$106)</f>
        <v>2</v>
      </c>
      <c r="AD78" s="534"/>
      <c r="AE78" s="182">
        <v>7</v>
      </c>
      <c r="AF78" s="182">
        <v>1426.5168539325841</v>
      </c>
      <c r="AG78" s="182">
        <v>203.78812199036915</v>
      </c>
      <c r="AH78" s="404">
        <f t="shared" ref="AH78:AH106" si="22">RANK(AG78, AG$77:AG$106)</f>
        <v>2</v>
      </c>
      <c r="AI78" s="534"/>
      <c r="AJ78" s="182">
        <v>7</v>
      </c>
      <c r="AK78" s="182">
        <v>1417.5824175824177</v>
      </c>
      <c r="AL78" s="182">
        <v>202.51177394034539</v>
      </c>
      <c r="AM78" s="404">
        <f t="shared" ref="AM78:AM106" si="23">RANK(AL78, AL$77:AL$106)</f>
        <v>2</v>
      </c>
      <c r="AN78" s="534"/>
      <c r="AO78" s="182">
        <v>7</v>
      </c>
      <c r="AP78" s="182">
        <v>1438.6516853932585</v>
      </c>
      <c r="AQ78" s="182">
        <v>205.52166934189407</v>
      </c>
      <c r="AR78" s="404">
        <f t="shared" ref="AR78:AR106" si="24">RANK(AQ78, AQ$77:AQ$106)</f>
        <v>2</v>
      </c>
      <c r="AS78" s="534"/>
      <c r="AT78" s="182">
        <v>7</v>
      </c>
      <c r="AU78" s="182">
        <v>1452.4999999999998</v>
      </c>
      <c r="AV78" s="182">
        <v>207.49999999999997</v>
      </c>
      <c r="AW78" s="404">
        <f t="shared" ref="AW78:AW106" si="25">RANK(AV78, AV$77:AV$106)</f>
        <v>2</v>
      </c>
      <c r="AX78" s="534"/>
    </row>
    <row r="79" spans="2:50">
      <c r="B79" s="533"/>
      <c r="C79" s="404">
        <v>3</v>
      </c>
      <c r="D79" s="226" t="s">
        <v>375</v>
      </c>
      <c r="E79" s="182">
        <v>17</v>
      </c>
      <c r="F79" s="404">
        <v>1500</v>
      </c>
      <c r="G79" s="405">
        <v>88.2</v>
      </c>
      <c r="H79" s="598"/>
      <c r="I79" s="408">
        <f t="shared" si="18"/>
        <v>17</v>
      </c>
      <c r="J79" s="408">
        <f t="shared" si="18"/>
        <v>1295.9978657738304</v>
      </c>
      <c r="K79" s="406">
        <f t="shared" si="18"/>
        <v>76.235168574931208</v>
      </c>
      <c r="L79" s="588"/>
      <c r="M79" s="407">
        <f>RANK(K79, K$77:$K$106)</f>
        <v>12</v>
      </c>
      <c r="N79" s="544"/>
      <c r="O79" s="544"/>
      <c r="P79" s="182">
        <v>17</v>
      </c>
      <c r="Q79" s="182">
        <v>1297.3170731707312</v>
      </c>
      <c r="R79" s="182">
        <v>76.312769010043013</v>
      </c>
      <c r="S79" s="404">
        <f t="shared" si="19"/>
        <v>12</v>
      </c>
      <c r="T79" s="534"/>
      <c r="U79" s="182">
        <v>17</v>
      </c>
      <c r="V79" s="182">
        <v>1278.9873417721526</v>
      </c>
      <c r="W79" s="182">
        <v>75.234549516008983</v>
      </c>
      <c r="X79" s="404">
        <f t="shared" si="20"/>
        <v>14</v>
      </c>
      <c r="Y79" s="534"/>
      <c r="Z79" s="182">
        <v>17</v>
      </c>
      <c r="AA79" s="182">
        <v>1315.3246753246758</v>
      </c>
      <c r="AB79" s="182">
        <v>77.372039724980937</v>
      </c>
      <c r="AC79" s="404">
        <f t="shared" si="21"/>
        <v>11</v>
      </c>
      <c r="AD79" s="534"/>
      <c r="AE79" s="182">
        <v>17</v>
      </c>
      <c r="AF79" s="182">
        <v>1283.9999999999995</v>
      </c>
      <c r="AG79" s="182">
        <v>75.529411764705856</v>
      </c>
      <c r="AH79" s="404">
        <f t="shared" si="22"/>
        <v>11</v>
      </c>
      <c r="AI79" s="534"/>
      <c r="AJ79" s="182">
        <v>17</v>
      </c>
      <c r="AK79" s="182">
        <v>1278.8059701492537</v>
      </c>
      <c r="AL79" s="182">
        <v>75.223880597014926</v>
      </c>
      <c r="AM79" s="404">
        <f t="shared" si="23"/>
        <v>11</v>
      </c>
      <c r="AN79" s="534"/>
      <c r="AO79" s="182">
        <v>17</v>
      </c>
      <c r="AP79" s="182">
        <v>1308.8000000000006</v>
      </c>
      <c r="AQ79" s="182">
        <v>76.988235294117686</v>
      </c>
      <c r="AR79" s="404">
        <f t="shared" si="24"/>
        <v>11</v>
      </c>
      <c r="AS79" s="534"/>
      <c r="AT79" s="182">
        <v>17</v>
      </c>
      <c r="AU79" s="182">
        <v>1308.7499999999995</v>
      </c>
      <c r="AV79" s="182">
        <v>76.98529411764703</v>
      </c>
      <c r="AW79" s="404">
        <f t="shared" si="25"/>
        <v>11</v>
      </c>
      <c r="AX79" s="534"/>
    </row>
    <row r="80" spans="2:50">
      <c r="B80" s="533"/>
      <c r="C80" s="404">
        <v>4</v>
      </c>
      <c r="D80" s="226" t="s">
        <v>355</v>
      </c>
      <c r="E80" s="182">
        <v>21</v>
      </c>
      <c r="F80" s="404">
        <v>1500</v>
      </c>
      <c r="G80" s="405">
        <v>71.400000000000006</v>
      </c>
      <c r="H80" s="598"/>
      <c r="I80" s="408">
        <f t="shared" si="18"/>
        <v>20</v>
      </c>
      <c r="J80" s="408">
        <f t="shared" si="18"/>
        <v>1284.7893347097499</v>
      </c>
      <c r="K80" s="406">
        <f t="shared" si="18"/>
        <v>64.239466735487483</v>
      </c>
      <c r="L80" s="588"/>
      <c r="M80" s="407">
        <f>RANK(K80, K$77:$K$106)</f>
        <v>24</v>
      </c>
      <c r="N80" s="544"/>
      <c r="O80" s="544"/>
      <c r="P80" s="182">
        <v>20</v>
      </c>
      <c r="Q80" s="182">
        <v>1275.6000000000004</v>
      </c>
      <c r="R80" s="182">
        <v>63.780000000000015</v>
      </c>
      <c r="S80" s="404">
        <f t="shared" si="19"/>
        <v>24</v>
      </c>
      <c r="T80" s="534"/>
      <c r="U80" s="182">
        <v>20</v>
      </c>
      <c r="V80" s="182">
        <v>1286.2500000000005</v>
      </c>
      <c r="W80" s="182">
        <v>64.312500000000028</v>
      </c>
      <c r="X80" s="404">
        <f t="shared" si="20"/>
        <v>24</v>
      </c>
      <c r="Y80" s="534"/>
      <c r="Z80" s="182">
        <v>20</v>
      </c>
      <c r="AA80" s="182">
        <v>1310.4545454545455</v>
      </c>
      <c r="AB80" s="182">
        <v>65.52272727272728</v>
      </c>
      <c r="AC80" s="404">
        <f t="shared" si="21"/>
        <v>22</v>
      </c>
      <c r="AD80" s="534"/>
      <c r="AE80" s="182">
        <v>20</v>
      </c>
      <c r="AF80" s="182">
        <v>1271.7073170731703</v>
      </c>
      <c r="AG80" s="182">
        <v>63.585365853658516</v>
      </c>
      <c r="AH80" s="404">
        <f t="shared" si="22"/>
        <v>24</v>
      </c>
      <c r="AI80" s="534"/>
      <c r="AJ80" s="182">
        <v>20</v>
      </c>
      <c r="AK80" s="182">
        <v>1288.6363636363635</v>
      </c>
      <c r="AL80" s="182">
        <v>64.431818181818173</v>
      </c>
      <c r="AM80" s="404">
        <f t="shared" si="23"/>
        <v>24</v>
      </c>
      <c r="AN80" s="534"/>
      <c r="AO80" s="182">
        <v>20</v>
      </c>
      <c r="AP80" s="182">
        <v>1271.489361702128</v>
      </c>
      <c r="AQ80" s="182">
        <v>63.574468085106403</v>
      </c>
      <c r="AR80" s="404">
        <f t="shared" si="24"/>
        <v>24</v>
      </c>
      <c r="AS80" s="534"/>
      <c r="AT80" s="182">
        <v>20</v>
      </c>
      <c r="AU80" s="182">
        <v>1289.3877551020412</v>
      </c>
      <c r="AV80" s="182">
        <v>64.469387755102062</v>
      </c>
      <c r="AW80" s="404">
        <f t="shared" si="25"/>
        <v>24</v>
      </c>
      <c r="AX80" s="534"/>
    </row>
    <row r="81" spans="2:50">
      <c r="B81" s="533"/>
      <c r="C81" s="404">
        <v>5</v>
      </c>
      <c r="D81" s="226" t="s">
        <v>353</v>
      </c>
      <c r="E81" s="182">
        <v>16</v>
      </c>
      <c r="F81" s="404">
        <v>1500</v>
      </c>
      <c r="G81" s="405">
        <v>93.8</v>
      </c>
      <c r="H81" s="598"/>
      <c r="I81" s="408">
        <f t="shared" si="18"/>
        <v>16</v>
      </c>
      <c r="J81" s="408">
        <f t="shared" si="18"/>
        <v>1278.03979641094</v>
      </c>
      <c r="K81" s="406">
        <f t="shared" si="18"/>
        <v>79.877487275683748</v>
      </c>
      <c r="L81" s="588"/>
      <c r="M81" s="407">
        <f>RANK(K81, K$77:$K$106)</f>
        <v>7</v>
      </c>
      <c r="N81" s="544"/>
      <c r="O81" s="544"/>
      <c r="P81" s="182">
        <v>16</v>
      </c>
      <c r="Q81" s="182">
        <v>1275.5555555555561</v>
      </c>
      <c r="R81" s="182">
        <v>79.722222222222257</v>
      </c>
      <c r="S81" s="404">
        <f t="shared" si="19"/>
        <v>9</v>
      </c>
      <c r="T81" s="534"/>
      <c r="U81" s="182">
        <v>16</v>
      </c>
      <c r="V81" s="182">
        <v>1272.0000000000005</v>
      </c>
      <c r="W81" s="182">
        <v>79.500000000000028</v>
      </c>
      <c r="X81" s="404">
        <f t="shared" si="20"/>
        <v>9</v>
      </c>
      <c r="Y81" s="534"/>
      <c r="Z81" s="182">
        <v>16</v>
      </c>
      <c r="AA81" s="182">
        <v>1278.3673469387759</v>
      </c>
      <c r="AB81" s="182">
        <v>79.897959183673493</v>
      </c>
      <c r="AC81" s="404">
        <f t="shared" si="21"/>
        <v>9</v>
      </c>
      <c r="AD81" s="534"/>
      <c r="AE81" s="182">
        <v>16</v>
      </c>
      <c r="AF81" s="182">
        <v>1262.7906976744184</v>
      </c>
      <c r="AG81" s="182">
        <v>78.924418604651152</v>
      </c>
      <c r="AH81" s="404">
        <f t="shared" si="22"/>
        <v>6</v>
      </c>
      <c r="AI81" s="534"/>
      <c r="AJ81" s="182">
        <v>16</v>
      </c>
      <c r="AK81" s="182">
        <v>1288.1632653061229</v>
      </c>
      <c r="AL81" s="182">
        <v>80.510204081632679</v>
      </c>
      <c r="AM81" s="404">
        <f t="shared" si="23"/>
        <v>8</v>
      </c>
      <c r="AN81" s="534"/>
      <c r="AO81" s="182">
        <v>16</v>
      </c>
      <c r="AP81" s="182">
        <v>1303.8461538461524</v>
      </c>
      <c r="AQ81" s="182">
        <v>81.490384615384528</v>
      </c>
      <c r="AR81" s="404">
        <f t="shared" si="24"/>
        <v>6</v>
      </c>
      <c r="AS81" s="534"/>
      <c r="AT81" s="182">
        <v>16</v>
      </c>
      <c r="AU81" s="182">
        <v>1265.5555555555545</v>
      </c>
      <c r="AV81" s="182">
        <v>79.097222222222157</v>
      </c>
      <c r="AW81" s="404">
        <f t="shared" si="25"/>
        <v>9</v>
      </c>
      <c r="AX81" s="534"/>
    </row>
    <row r="82" spans="2:50">
      <c r="B82" s="533"/>
      <c r="C82" s="404">
        <v>6</v>
      </c>
      <c r="D82" s="226" t="s">
        <v>382</v>
      </c>
      <c r="E82" s="182">
        <v>15</v>
      </c>
      <c r="F82" s="404">
        <v>1565</v>
      </c>
      <c r="G82" s="405">
        <v>104.3</v>
      </c>
      <c r="H82" s="598"/>
      <c r="I82" s="408">
        <f t="shared" si="18"/>
        <v>15</v>
      </c>
      <c r="J82" s="408">
        <f t="shared" si="18"/>
        <v>1343.7285645210773</v>
      </c>
      <c r="K82" s="406">
        <f t="shared" si="18"/>
        <v>89.581904301405146</v>
      </c>
      <c r="L82" s="588"/>
      <c r="M82" s="407">
        <f>RANK(K82, K$77:$K$106)</f>
        <v>3</v>
      </c>
      <c r="N82" s="544"/>
      <c r="O82" s="544"/>
      <c r="P82" s="182">
        <v>15</v>
      </c>
      <c r="Q82" s="182">
        <v>1351.7647058823527</v>
      </c>
      <c r="R82" s="182">
        <v>90.117647058823508</v>
      </c>
      <c r="S82" s="404">
        <f t="shared" si="19"/>
        <v>3</v>
      </c>
      <c r="T82" s="534"/>
      <c r="U82" s="182">
        <v>15</v>
      </c>
      <c r="V82" s="182">
        <v>1362.2222222222217</v>
      </c>
      <c r="W82" s="182">
        <v>90.814814814814781</v>
      </c>
      <c r="X82" s="404">
        <f t="shared" si="20"/>
        <v>3</v>
      </c>
      <c r="Y82" s="534"/>
      <c r="Z82" s="182">
        <v>15</v>
      </c>
      <c r="AA82" s="182">
        <v>1356.0000000000002</v>
      </c>
      <c r="AB82" s="182">
        <v>90.40000000000002</v>
      </c>
      <c r="AC82" s="404">
        <f t="shared" si="21"/>
        <v>3</v>
      </c>
      <c r="AD82" s="534"/>
      <c r="AE82" s="182">
        <v>15</v>
      </c>
      <c r="AF82" s="182">
        <v>1323.2432432432422</v>
      </c>
      <c r="AG82" s="182">
        <v>88.216216216216154</v>
      </c>
      <c r="AH82" s="404">
        <f t="shared" si="22"/>
        <v>3</v>
      </c>
      <c r="AI82" s="534"/>
      <c r="AJ82" s="182">
        <v>15</v>
      </c>
      <c r="AK82" s="182">
        <v>1336.7088607594928</v>
      </c>
      <c r="AL82" s="182">
        <v>89.11392405063286</v>
      </c>
      <c r="AM82" s="404">
        <f t="shared" si="23"/>
        <v>3</v>
      </c>
      <c r="AN82" s="534"/>
      <c r="AO82" s="182">
        <v>15</v>
      </c>
      <c r="AP82" s="182">
        <v>1344.8275862068963</v>
      </c>
      <c r="AQ82" s="182">
        <v>89.655172413793082</v>
      </c>
      <c r="AR82" s="404">
        <f t="shared" si="24"/>
        <v>3</v>
      </c>
      <c r="AS82" s="534"/>
      <c r="AT82" s="182">
        <v>15</v>
      </c>
      <c r="AU82" s="182">
        <v>1331.3333333333335</v>
      </c>
      <c r="AV82" s="182">
        <v>88.75555555555556</v>
      </c>
      <c r="AW82" s="404">
        <f t="shared" si="25"/>
        <v>3</v>
      </c>
      <c r="AX82" s="534"/>
    </row>
    <row r="83" spans="2:50">
      <c r="B83" s="533"/>
      <c r="C83" s="404">
        <v>7</v>
      </c>
      <c r="D83" s="226" t="s">
        <v>343</v>
      </c>
      <c r="E83" s="182">
        <v>14</v>
      </c>
      <c r="F83" s="404">
        <v>1440</v>
      </c>
      <c r="G83" s="405">
        <v>102.9</v>
      </c>
      <c r="H83" s="598"/>
      <c r="I83" s="408">
        <f t="shared" si="18"/>
        <v>15</v>
      </c>
      <c r="J83" s="408">
        <f t="shared" si="18"/>
        <v>1248.9207429356595</v>
      </c>
      <c r="K83" s="406">
        <f t="shared" si="18"/>
        <v>83.261382862377303</v>
      </c>
      <c r="L83" s="588"/>
      <c r="M83" s="407">
        <f>RANK(K83, K$77:$K$106)</f>
        <v>4</v>
      </c>
      <c r="N83" s="544"/>
      <c r="O83" s="544"/>
      <c r="P83" s="182">
        <v>15</v>
      </c>
      <c r="Q83" s="182">
        <v>1267.0588235294103</v>
      </c>
      <c r="R83" s="182">
        <v>84.470588235294016</v>
      </c>
      <c r="S83" s="404">
        <f t="shared" si="19"/>
        <v>4</v>
      </c>
      <c r="T83" s="534"/>
      <c r="U83" s="182">
        <v>15</v>
      </c>
      <c r="V83" s="182">
        <v>1268.823529411763</v>
      </c>
      <c r="W83" s="182">
        <v>84.588235294117538</v>
      </c>
      <c r="X83" s="404">
        <f t="shared" si="20"/>
        <v>4</v>
      </c>
      <c r="Y83" s="534"/>
      <c r="Z83" s="182">
        <v>15</v>
      </c>
      <c r="AA83" s="182">
        <v>1264.1379310344803</v>
      </c>
      <c r="AB83" s="182">
        <v>84.275862068965353</v>
      </c>
      <c r="AC83" s="404">
        <f t="shared" si="21"/>
        <v>5</v>
      </c>
      <c r="AD83" s="534"/>
      <c r="AE83" s="182">
        <v>15</v>
      </c>
      <c r="AF83" s="182">
        <v>1247.5862068965494</v>
      </c>
      <c r="AG83" s="182">
        <v>83.172413793103289</v>
      </c>
      <c r="AH83" s="404">
        <f t="shared" si="22"/>
        <v>5</v>
      </c>
      <c r="AI83" s="534"/>
      <c r="AJ83" s="182">
        <v>15</v>
      </c>
      <c r="AK83" s="182">
        <v>1109.0322580645145</v>
      </c>
      <c r="AL83" s="182">
        <v>73.93548387096763</v>
      </c>
      <c r="AM83" s="404">
        <f t="shared" si="23"/>
        <v>12</v>
      </c>
      <c r="AN83" s="534"/>
      <c r="AO83" s="182">
        <v>15</v>
      </c>
      <c r="AP83" s="182">
        <v>1269.6774193548367</v>
      </c>
      <c r="AQ83" s="182">
        <v>84.645161290322449</v>
      </c>
      <c r="AR83" s="404">
        <f t="shared" si="24"/>
        <v>5</v>
      </c>
      <c r="AS83" s="534"/>
      <c r="AT83" s="182">
        <v>15</v>
      </c>
      <c r="AU83" s="182">
        <v>1316.1290322580626</v>
      </c>
      <c r="AV83" s="182">
        <v>87.741935483870833</v>
      </c>
      <c r="AW83" s="404">
        <f t="shared" si="25"/>
        <v>4</v>
      </c>
      <c r="AX83" s="534"/>
    </row>
    <row r="84" spans="2:50">
      <c r="B84" s="533"/>
      <c r="C84" s="404">
        <v>8</v>
      </c>
      <c r="D84" s="226" t="s">
        <v>381</v>
      </c>
      <c r="E84" s="182">
        <v>16</v>
      </c>
      <c r="F84" s="404">
        <v>1440</v>
      </c>
      <c r="G84" s="405">
        <v>90</v>
      </c>
      <c r="H84" s="598"/>
      <c r="I84" s="408">
        <f t="shared" si="18"/>
        <v>16</v>
      </c>
      <c r="J84" s="408">
        <f t="shared" si="18"/>
        <v>1286.6940889954501</v>
      </c>
      <c r="K84" s="406">
        <f t="shared" si="18"/>
        <v>80.418380562215631</v>
      </c>
      <c r="L84" s="588"/>
      <c r="M84" s="407">
        <f>RANK(K84, K$77:$K$106)</f>
        <v>6</v>
      </c>
      <c r="N84" s="544"/>
      <c r="O84" s="544"/>
      <c r="P84" s="182">
        <v>16</v>
      </c>
      <c r="Q84" s="182">
        <v>1263.6000000000004</v>
      </c>
      <c r="R84" s="182">
        <v>78.975000000000023</v>
      </c>
      <c r="S84" s="404">
        <f t="shared" si="19"/>
        <v>10</v>
      </c>
      <c r="T84" s="534"/>
      <c r="U84" s="182">
        <v>16</v>
      </c>
      <c r="V84" s="182">
        <v>1280.8695652173915</v>
      </c>
      <c r="W84" s="182">
        <v>80.054347826086968</v>
      </c>
      <c r="X84" s="404">
        <f t="shared" si="20"/>
        <v>7</v>
      </c>
      <c r="Y84" s="534"/>
      <c r="Z84" s="182">
        <v>16</v>
      </c>
      <c r="AA84" s="182">
        <v>1313.9999999999995</v>
      </c>
      <c r="AB84" s="182">
        <v>82.124999999999972</v>
      </c>
      <c r="AC84" s="404">
        <f t="shared" si="21"/>
        <v>7</v>
      </c>
      <c r="AD84" s="534"/>
      <c r="AE84" s="182">
        <v>16</v>
      </c>
      <c r="AF84" s="182">
        <v>1244.2857142857138</v>
      </c>
      <c r="AG84" s="182">
        <v>77.76785714285711</v>
      </c>
      <c r="AH84" s="404">
        <f t="shared" si="22"/>
        <v>8</v>
      </c>
      <c r="AI84" s="534"/>
      <c r="AJ84" s="182">
        <v>16</v>
      </c>
      <c r="AK84" s="182">
        <v>1298.5714285714282</v>
      </c>
      <c r="AL84" s="182">
        <v>81.160714285714263</v>
      </c>
      <c r="AM84" s="404">
        <f t="shared" si="23"/>
        <v>6</v>
      </c>
      <c r="AN84" s="534"/>
      <c r="AO84" s="182">
        <v>16</v>
      </c>
      <c r="AP84" s="182">
        <v>1300.8510638297876</v>
      </c>
      <c r="AQ84" s="182">
        <v>81.303191489361723</v>
      </c>
      <c r="AR84" s="404">
        <f t="shared" si="24"/>
        <v>7</v>
      </c>
      <c r="AS84" s="534"/>
      <c r="AT84" s="182">
        <v>16</v>
      </c>
      <c r="AU84" s="182">
        <v>1304.68085106383</v>
      </c>
      <c r="AV84" s="182">
        <v>81.542553191489375</v>
      </c>
      <c r="AW84" s="404">
        <f t="shared" si="25"/>
        <v>7</v>
      </c>
      <c r="AX84" s="534"/>
    </row>
    <row r="85" spans="2:50">
      <c r="B85" s="533"/>
      <c r="C85" s="404">
        <v>9</v>
      </c>
      <c r="D85" s="226" t="s">
        <v>377</v>
      </c>
      <c r="E85" s="182">
        <v>18</v>
      </c>
      <c r="F85" s="404">
        <v>1440</v>
      </c>
      <c r="G85" s="405">
        <v>80</v>
      </c>
      <c r="H85" s="598"/>
      <c r="I85" s="408">
        <f t="shared" si="18"/>
        <v>18</v>
      </c>
      <c r="J85" s="408">
        <f t="shared" si="18"/>
        <v>1181.1458004749588</v>
      </c>
      <c r="K85" s="406">
        <f t="shared" si="18"/>
        <v>65.619211137497715</v>
      </c>
      <c r="L85" s="588"/>
      <c r="M85" s="407">
        <f>RANK(K85, K$77:$K$106)</f>
        <v>23</v>
      </c>
      <c r="N85" s="544"/>
      <c r="O85" s="544"/>
      <c r="P85" s="182">
        <v>18</v>
      </c>
      <c r="Q85" s="182">
        <v>1176.3636363636376</v>
      </c>
      <c r="R85" s="182">
        <v>65.35353535353542</v>
      </c>
      <c r="S85" s="404">
        <f t="shared" si="19"/>
        <v>23</v>
      </c>
      <c r="T85" s="534"/>
      <c r="U85" s="182">
        <v>18</v>
      </c>
      <c r="V85" s="182">
        <v>1170.4615384615399</v>
      </c>
      <c r="W85" s="182">
        <v>65.025641025641107</v>
      </c>
      <c r="X85" s="404">
        <f t="shared" si="20"/>
        <v>23</v>
      </c>
      <c r="Y85" s="534"/>
      <c r="Z85" s="182">
        <v>18</v>
      </c>
      <c r="AA85" s="182">
        <v>1220.0000000000005</v>
      </c>
      <c r="AB85" s="182">
        <v>67.7777777777778</v>
      </c>
      <c r="AC85" s="404">
        <f t="shared" si="21"/>
        <v>21</v>
      </c>
      <c r="AD85" s="534"/>
      <c r="AE85" s="182">
        <v>18</v>
      </c>
      <c r="AF85" s="182">
        <v>1178.4905660377365</v>
      </c>
      <c r="AG85" s="182">
        <v>65.47169811320758</v>
      </c>
      <c r="AH85" s="404">
        <f t="shared" si="22"/>
        <v>23</v>
      </c>
      <c r="AI85" s="534"/>
      <c r="AJ85" s="182">
        <v>18</v>
      </c>
      <c r="AK85" s="182">
        <v>1165.2000000000003</v>
      </c>
      <c r="AL85" s="182">
        <v>64.733333333333348</v>
      </c>
      <c r="AM85" s="404">
        <f t="shared" si="23"/>
        <v>23</v>
      </c>
      <c r="AN85" s="534"/>
      <c r="AO85" s="182">
        <v>18</v>
      </c>
      <c r="AP85" s="182">
        <v>1193.8983050847467</v>
      </c>
      <c r="AQ85" s="182">
        <v>66.327683615819254</v>
      </c>
      <c r="AR85" s="404">
        <f t="shared" si="24"/>
        <v>23</v>
      </c>
      <c r="AS85" s="534"/>
      <c r="AT85" s="182">
        <v>18</v>
      </c>
      <c r="AU85" s="182">
        <v>1163.6065573770502</v>
      </c>
      <c r="AV85" s="182">
        <v>64.644808743169449</v>
      </c>
      <c r="AW85" s="404">
        <f t="shared" si="25"/>
        <v>23</v>
      </c>
      <c r="AX85" s="534"/>
    </row>
    <row r="86" spans="2:50">
      <c r="B86" s="533"/>
      <c r="C86" s="404">
        <v>10</v>
      </c>
      <c r="D86" s="226" t="s">
        <v>380</v>
      </c>
      <c r="E86" s="182">
        <v>18</v>
      </c>
      <c r="F86" s="404">
        <v>1636</v>
      </c>
      <c r="G86" s="405">
        <v>90.9</v>
      </c>
      <c r="H86" s="598"/>
      <c r="I86" s="408">
        <f t="shared" si="18"/>
        <v>18</v>
      </c>
      <c r="J86" s="408">
        <f t="shared" si="18"/>
        <v>1278.4093098267253</v>
      </c>
      <c r="K86" s="406">
        <f t="shared" si="18"/>
        <v>71.022739434818078</v>
      </c>
      <c r="L86" s="588"/>
      <c r="M86" s="407">
        <f>RANK(K86, K$77:$K$106)</f>
        <v>17</v>
      </c>
      <c r="N86" s="544"/>
      <c r="O86" s="544"/>
      <c r="P86" s="182">
        <v>18</v>
      </c>
      <c r="Q86" s="182">
        <v>1281.2903225806463</v>
      </c>
      <c r="R86" s="182">
        <v>71.182795698924792</v>
      </c>
      <c r="S86" s="404">
        <f t="shared" si="19"/>
        <v>18</v>
      </c>
      <c r="T86" s="534"/>
      <c r="U86" s="182">
        <v>18</v>
      </c>
      <c r="V86" s="182">
        <v>1289.4545454545464</v>
      </c>
      <c r="W86" s="182">
        <v>71.636363636363683</v>
      </c>
      <c r="X86" s="404">
        <f t="shared" si="20"/>
        <v>19</v>
      </c>
      <c r="Y86" s="534"/>
      <c r="Z86" s="182">
        <v>18</v>
      </c>
      <c r="AA86" s="182">
        <v>1260.0000000000005</v>
      </c>
      <c r="AB86" s="182">
        <v>70.000000000000028</v>
      </c>
      <c r="AC86" s="404">
        <f t="shared" si="21"/>
        <v>17</v>
      </c>
      <c r="AD86" s="534"/>
      <c r="AE86" s="182">
        <v>18</v>
      </c>
      <c r="AF86" s="182">
        <v>1245.2631578947378</v>
      </c>
      <c r="AG86" s="182">
        <v>69.18128654970765</v>
      </c>
      <c r="AH86" s="404">
        <f t="shared" si="22"/>
        <v>19</v>
      </c>
      <c r="AI86" s="534"/>
      <c r="AJ86" s="182">
        <v>18</v>
      </c>
      <c r="AK86" s="182">
        <v>1283.3333333333339</v>
      </c>
      <c r="AL86" s="182">
        <v>71.296296296296333</v>
      </c>
      <c r="AM86" s="404">
        <f t="shared" si="23"/>
        <v>17</v>
      </c>
      <c r="AN86" s="534"/>
      <c r="AO86" s="182">
        <v>18</v>
      </c>
      <c r="AP86" s="182">
        <v>1303.8095238095252</v>
      </c>
      <c r="AQ86" s="182">
        <v>72.433862433862515</v>
      </c>
      <c r="AR86" s="404">
        <f t="shared" si="24"/>
        <v>19</v>
      </c>
      <c r="AS86" s="534"/>
      <c r="AT86" s="182">
        <v>18</v>
      </c>
      <c r="AU86" s="182">
        <v>1285.7142857142871</v>
      </c>
      <c r="AV86" s="182">
        <v>71.428571428571502</v>
      </c>
      <c r="AW86" s="404">
        <f t="shared" si="25"/>
        <v>15</v>
      </c>
      <c r="AX86" s="534"/>
    </row>
    <row r="87" spans="2:50">
      <c r="B87" s="533"/>
      <c r="C87" s="404">
        <v>11</v>
      </c>
      <c r="D87" s="226" t="s">
        <v>379</v>
      </c>
      <c r="E87" s="182">
        <v>18</v>
      </c>
      <c r="F87" s="404">
        <v>1636</v>
      </c>
      <c r="G87" s="405">
        <v>90.9</v>
      </c>
      <c r="H87" s="598"/>
      <c r="I87" s="408">
        <f t="shared" si="18"/>
        <v>18</v>
      </c>
      <c r="J87" s="408">
        <f t="shared" si="18"/>
        <v>1268.3272880951624</v>
      </c>
      <c r="K87" s="406">
        <f t="shared" si="18"/>
        <v>70.462627116397911</v>
      </c>
      <c r="L87" s="588"/>
      <c r="M87" s="407">
        <f>RANK(K87, K$77:$K$106)</f>
        <v>21</v>
      </c>
      <c r="N87" s="544"/>
      <c r="O87" s="544"/>
      <c r="P87" s="182">
        <v>18</v>
      </c>
      <c r="Q87" s="182">
        <v>1251.4285714285718</v>
      </c>
      <c r="R87" s="182">
        <v>69.523809523809547</v>
      </c>
      <c r="S87" s="404">
        <f t="shared" si="19"/>
        <v>20</v>
      </c>
      <c r="T87" s="534"/>
      <c r="U87" s="182">
        <v>18</v>
      </c>
      <c r="V87" s="182">
        <v>1258.6666666666667</v>
      </c>
      <c r="W87" s="182">
        <v>69.925925925925924</v>
      </c>
      <c r="X87" s="404">
        <f t="shared" si="20"/>
        <v>21</v>
      </c>
      <c r="Y87" s="534"/>
      <c r="Z87" s="182">
        <v>18</v>
      </c>
      <c r="AA87" s="182">
        <v>1243.9024390243897</v>
      </c>
      <c r="AB87" s="182">
        <v>69.10569105691053</v>
      </c>
      <c r="AC87" s="404">
        <f t="shared" si="21"/>
        <v>18</v>
      </c>
      <c r="AD87" s="534"/>
      <c r="AE87" s="182">
        <v>18</v>
      </c>
      <c r="AF87" s="182">
        <v>1305.365853658536</v>
      </c>
      <c r="AG87" s="182">
        <v>72.520325203252</v>
      </c>
      <c r="AH87" s="404">
        <f t="shared" si="22"/>
        <v>14</v>
      </c>
      <c r="AI87" s="534"/>
      <c r="AJ87" s="182">
        <v>18</v>
      </c>
      <c r="AK87" s="182">
        <v>1292.8571428571424</v>
      </c>
      <c r="AL87" s="182">
        <v>71.825396825396808</v>
      </c>
      <c r="AM87" s="404">
        <f t="shared" si="23"/>
        <v>15</v>
      </c>
      <c r="AN87" s="534"/>
      <c r="AO87" s="182">
        <v>18</v>
      </c>
      <c r="AP87" s="182">
        <v>1267.3469387755106</v>
      </c>
      <c r="AQ87" s="182">
        <v>70.408163265306143</v>
      </c>
      <c r="AR87" s="404">
        <f t="shared" si="24"/>
        <v>21</v>
      </c>
      <c r="AS87" s="534"/>
      <c r="AT87" s="182">
        <v>18</v>
      </c>
      <c r="AU87" s="182">
        <v>1258.7234042553193</v>
      </c>
      <c r="AV87" s="182">
        <v>69.929078014184412</v>
      </c>
      <c r="AW87" s="404">
        <f t="shared" si="25"/>
        <v>20</v>
      </c>
      <c r="AX87" s="534"/>
    </row>
    <row r="88" spans="2:50">
      <c r="B88" s="533"/>
      <c r="C88" s="404">
        <v>12</v>
      </c>
      <c r="D88" s="226" t="s">
        <v>356</v>
      </c>
      <c r="E88" s="182">
        <v>17</v>
      </c>
      <c r="F88" s="404">
        <v>1500</v>
      </c>
      <c r="G88" s="405">
        <v>88.2</v>
      </c>
      <c r="H88" s="598"/>
      <c r="I88" s="408">
        <f t="shared" si="18"/>
        <v>17.428571428571427</v>
      </c>
      <c r="J88" s="408">
        <f t="shared" si="18"/>
        <v>1288.940060403344</v>
      </c>
      <c r="K88" s="406">
        <f t="shared" si="18"/>
        <v>74.025727106721519</v>
      </c>
      <c r="L88" s="588"/>
      <c r="M88" s="407">
        <f>RANK(K88, K$77:$K$106)</f>
        <v>14</v>
      </c>
      <c r="N88" s="544"/>
      <c r="O88" s="544"/>
      <c r="P88" s="182">
        <v>17</v>
      </c>
      <c r="Q88" s="182">
        <v>1292.608695652174</v>
      </c>
      <c r="R88" s="182">
        <v>76.035805626598474</v>
      </c>
      <c r="S88" s="404">
        <f t="shared" si="19"/>
        <v>13</v>
      </c>
      <c r="T88" s="534"/>
      <c r="U88" s="182">
        <v>17</v>
      </c>
      <c r="V88" s="182">
        <v>1300</v>
      </c>
      <c r="W88" s="182">
        <v>76.470588235294116</v>
      </c>
      <c r="X88" s="404">
        <f t="shared" si="20"/>
        <v>11</v>
      </c>
      <c r="Y88" s="534"/>
      <c r="Z88" s="182">
        <v>18</v>
      </c>
      <c r="AA88" s="182">
        <v>1287.6923076923069</v>
      </c>
      <c r="AB88" s="182">
        <v>71.53846153846149</v>
      </c>
      <c r="AC88" s="404">
        <f t="shared" si="21"/>
        <v>13</v>
      </c>
      <c r="AD88" s="534"/>
      <c r="AE88" s="182">
        <v>17</v>
      </c>
      <c r="AF88" s="182">
        <v>1302.6315789473674</v>
      </c>
      <c r="AG88" s="182">
        <v>76.62538699690397</v>
      </c>
      <c r="AH88" s="404">
        <f t="shared" si="22"/>
        <v>9</v>
      </c>
      <c r="AI88" s="534"/>
      <c r="AJ88" s="182">
        <v>18</v>
      </c>
      <c r="AK88" s="182">
        <v>1292.8571428571424</v>
      </c>
      <c r="AL88" s="182">
        <v>71.825396825396808</v>
      </c>
      <c r="AM88" s="404">
        <f t="shared" si="23"/>
        <v>15</v>
      </c>
      <c r="AN88" s="534"/>
      <c r="AO88" s="182">
        <v>17</v>
      </c>
      <c r="AP88" s="182">
        <v>1284</v>
      </c>
      <c r="AQ88" s="182">
        <v>75.529411764705884</v>
      </c>
      <c r="AR88" s="404">
        <f t="shared" si="24"/>
        <v>13</v>
      </c>
      <c r="AS88" s="534"/>
      <c r="AT88" s="182">
        <v>18</v>
      </c>
      <c r="AU88" s="182">
        <v>1262.7906976744184</v>
      </c>
      <c r="AV88" s="182">
        <v>70.155038759689916</v>
      </c>
      <c r="AW88" s="404">
        <f t="shared" si="25"/>
        <v>19</v>
      </c>
      <c r="AX88" s="534"/>
    </row>
    <row r="89" spans="2:50">
      <c r="B89" s="533"/>
      <c r="C89" s="404">
        <v>13</v>
      </c>
      <c r="D89" s="226" t="s">
        <v>606</v>
      </c>
      <c r="E89" s="182">
        <v>18</v>
      </c>
      <c r="F89" s="404">
        <v>1440</v>
      </c>
      <c r="G89" s="405">
        <v>80</v>
      </c>
      <c r="H89" s="598"/>
      <c r="I89" s="408">
        <f t="shared" si="18"/>
        <v>18.428571428571427</v>
      </c>
      <c r="J89" s="408">
        <f t="shared" si="18"/>
        <v>1332.3266813605119</v>
      </c>
      <c r="K89" s="406">
        <f t="shared" si="18"/>
        <v>72.364605594006179</v>
      </c>
      <c r="L89" s="588"/>
      <c r="M89" s="407">
        <f>RANK(K89, K$77:$K$106)</f>
        <v>15</v>
      </c>
      <c r="N89" s="544"/>
      <c r="O89" s="544"/>
      <c r="P89" s="182">
        <v>18</v>
      </c>
      <c r="Q89" s="182">
        <v>1362.3529411764705</v>
      </c>
      <c r="R89" s="182">
        <v>75.686274509803923</v>
      </c>
      <c r="S89" s="404">
        <f t="shared" si="19"/>
        <v>15</v>
      </c>
      <c r="T89" s="534"/>
      <c r="U89" s="182">
        <v>18</v>
      </c>
      <c r="V89" s="182">
        <v>1352.3684210526305</v>
      </c>
      <c r="W89" s="182">
        <v>75.131578947368368</v>
      </c>
      <c r="X89" s="404">
        <f t="shared" si="20"/>
        <v>15</v>
      </c>
      <c r="Y89" s="534"/>
      <c r="Z89" s="182">
        <v>19</v>
      </c>
      <c r="AA89" s="182">
        <v>1312.3943661971816</v>
      </c>
      <c r="AB89" s="182">
        <v>69.073387694588504</v>
      </c>
      <c r="AC89" s="404">
        <f t="shared" si="21"/>
        <v>19</v>
      </c>
      <c r="AD89" s="534"/>
      <c r="AE89" s="182">
        <v>18</v>
      </c>
      <c r="AF89" s="182">
        <v>1303.7142857142844</v>
      </c>
      <c r="AG89" s="182">
        <v>72.42857142857136</v>
      </c>
      <c r="AH89" s="404">
        <f t="shared" si="22"/>
        <v>15</v>
      </c>
      <c r="AI89" s="534"/>
      <c r="AJ89" s="182">
        <v>19</v>
      </c>
      <c r="AK89" s="182">
        <v>1332.4675324675318</v>
      </c>
      <c r="AL89" s="182">
        <v>70.129870129870099</v>
      </c>
      <c r="AM89" s="404">
        <f t="shared" si="23"/>
        <v>21</v>
      </c>
      <c r="AN89" s="534"/>
      <c r="AO89" s="182">
        <v>18</v>
      </c>
      <c r="AP89" s="182">
        <v>1349.2682926829264</v>
      </c>
      <c r="AQ89" s="182">
        <v>74.959349593495915</v>
      </c>
      <c r="AR89" s="404">
        <f t="shared" si="24"/>
        <v>14</v>
      </c>
      <c r="AS89" s="534"/>
      <c r="AT89" s="182">
        <v>19</v>
      </c>
      <c r="AU89" s="182">
        <v>1313.7209302325577</v>
      </c>
      <c r="AV89" s="182">
        <v>69.143206854345138</v>
      </c>
      <c r="AW89" s="404">
        <f t="shared" si="25"/>
        <v>21</v>
      </c>
      <c r="AX89" s="534"/>
    </row>
    <row r="90" spans="2:50">
      <c r="B90" s="533"/>
      <c r="C90" s="404">
        <v>14</v>
      </c>
      <c r="D90" s="226" t="s">
        <v>384</v>
      </c>
      <c r="E90" s="182">
        <v>15</v>
      </c>
      <c r="F90" s="404">
        <v>1440</v>
      </c>
      <c r="G90" s="405">
        <v>96</v>
      </c>
      <c r="H90" s="598"/>
      <c r="I90" s="408">
        <f t="shared" si="18"/>
        <v>15.857142857142858</v>
      </c>
      <c r="J90" s="408">
        <f t="shared" si="18"/>
        <v>1295.4199829873728</v>
      </c>
      <c r="K90" s="406">
        <f t="shared" si="18"/>
        <v>81.737125560087421</v>
      </c>
      <c r="L90" s="588"/>
      <c r="M90" s="407">
        <f>RANK(K90, K$77:$K$106)</f>
        <v>5</v>
      </c>
      <c r="N90" s="544"/>
      <c r="O90" s="544"/>
      <c r="P90" s="182">
        <v>16</v>
      </c>
      <c r="Q90" s="182">
        <v>1284.0000000000014</v>
      </c>
      <c r="R90" s="182">
        <v>80.250000000000085</v>
      </c>
      <c r="S90" s="404">
        <f t="shared" si="19"/>
        <v>8</v>
      </c>
      <c r="T90" s="534"/>
      <c r="U90" s="182">
        <v>16</v>
      </c>
      <c r="V90" s="182">
        <v>1312.6153846153861</v>
      </c>
      <c r="W90" s="182">
        <v>82.038461538461632</v>
      </c>
      <c r="X90" s="404">
        <f t="shared" si="20"/>
        <v>5</v>
      </c>
      <c r="Y90" s="534"/>
      <c r="Z90" s="182">
        <v>15</v>
      </c>
      <c r="AA90" s="182">
        <v>1299.2727272727282</v>
      </c>
      <c r="AB90" s="182">
        <v>86.618181818181881</v>
      </c>
      <c r="AC90" s="404">
        <f t="shared" si="21"/>
        <v>4</v>
      </c>
      <c r="AD90" s="534"/>
      <c r="AE90" s="182">
        <v>16</v>
      </c>
      <c r="AF90" s="182">
        <v>1248.813559322035</v>
      </c>
      <c r="AG90" s="182">
        <v>78.050847457627185</v>
      </c>
      <c r="AH90" s="404">
        <f t="shared" si="22"/>
        <v>7</v>
      </c>
      <c r="AI90" s="534"/>
      <c r="AJ90" s="182">
        <v>16</v>
      </c>
      <c r="AK90" s="182">
        <v>1302.5454545454552</v>
      </c>
      <c r="AL90" s="182">
        <v>81.409090909090949</v>
      </c>
      <c r="AM90" s="404">
        <f t="shared" si="23"/>
        <v>5</v>
      </c>
      <c r="AN90" s="534"/>
      <c r="AO90" s="182">
        <v>16</v>
      </c>
      <c r="AP90" s="182">
        <v>1297.7419354838723</v>
      </c>
      <c r="AQ90" s="182">
        <v>81.108870967742021</v>
      </c>
      <c r="AR90" s="404">
        <f t="shared" si="24"/>
        <v>9</v>
      </c>
      <c r="AS90" s="534"/>
      <c r="AT90" s="182">
        <v>16</v>
      </c>
      <c r="AU90" s="182">
        <v>1322.9508196721322</v>
      </c>
      <c r="AV90" s="182">
        <v>82.684426229508261</v>
      </c>
      <c r="AW90" s="404">
        <f t="shared" si="25"/>
        <v>5</v>
      </c>
      <c r="AX90" s="534"/>
    </row>
    <row r="91" spans="2:50">
      <c r="B91" s="533"/>
      <c r="C91" s="404">
        <v>15</v>
      </c>
      <c r="D91" s="226" t="s">
        <v>345</v>
      </c>
      <c r="E91" s="182">
        <v>17</v>
      </c>
      <c r="F91" s="404">
        <v>1440</v>
      </c>
      <c r="G91" s="405">
        <v>84.7</v>
      </c>
      <c r="H91" s="598"/>
      <c r="I91" s="408">
        <f t="shared" si="18"/>
        <v>17</v>
      </c>
      <c r="J91" s="408">
        <f t="shared" si="18"/>
        <v>1324.6563750190719</v>
      </c>
      <c r="K91" s="406">
        <f t="shared" si="18"/>
        <v>77.920963236416</v>
      </c>
      <c r="L91" s="588"/>
      <c r="M91" s="407">
        <f>RANK(K91, K$77:$K$106)</f>
        <v>11</v>
      </c>
      <c r="N91" s="544"/>
      <c r="O91" s="544"/>
      <c r="P91" s="182">
        <v>17</v>
      </c>
      <c r="Q91" s="182">
        <v>1328.0412371134025</v>
      </c>
      <c r="R91" s="182">
        <v>78.120072771376613</v>
      </c>
      <c r="S91" s="404">
        <f t="shared" si="19"/>
        <v>11</v>
      </c>
      <c r="T91" s="534"/>
      <c r="U91" s="182">
        <v>17</v>
      </c>
      <c r="V91" s="182">
        <v>1349.3023255813951</v>
      </c>
      <c r="W91" s="182">
        <v>79.370725034199708</v>
      </c>
      <c r="X91" s="404">
        <f t="shared" si="20"/>
        <v>10</v>
      </c>
      <c r="Y91" s="534"/>
      <c r="Z91" s="182">
        <v>17</v>
      </c>
      <c r="AA91" s="182">
        <v>1308.1578947368412</v>
      </c>
      <c r="AB91" s="182">
        <v>76.950464396284772</v>
      </c>
      <c r="AC91" s="404">
        <f t="shared" si="21"/>
        <v>12</v>
      </c>
      <c r="AD91" s="534"/>
      <c r="AE91" s="182">
        <v>17</v>
      </c>
      <c r="AF91" s="182">
        <v>1302.1428571428567</v>
      </c>
      <c r="AG91" s="182">
        <v>76.596638655462158</v>
      </c>
      <c r="AH91" s="404">
        <f t="shared" si="22"/>
        <v>10</v>
      </c>
      <c r="AI91" s="534"/>
      <c r="AJ91" s="182">
        <v>17</v>
      </c>
      <c r="AK91" s="182">
        <v>1311.4285714285716</v>
      </c>
      <c r="AL91" s="182">
        <v>77.142857142857153</v>
      </c>
      <c r="AM91" s="404">
        <f t="shared" si="23"/>
        <v>10</v>
      </c>
      <c r="AN91" s="534"/>
      <c r="AO91" s="182">
        <v>17</v>
      </c>
      <c r="AP91" s="182">
        <v>1356.5217391304348</v>
      </c>
      <c r="AQ91" s="182">
        <v>79.795396419437338</v>
      </c>
      <c r="AR91" s="404">
        <f t="shared" si="24"/>
        <v>10</v>
      </c>
      <c r="AS91" s="534"/>
      <c r="AT91" s="182">
        <v>17</v>
      </c>
      <c r="AU91" s="182">
        <v>1317.0000000000005</v>
      </c>
      <c r="AV91" s="182">
        <v>77.470588235294144</v>
      </c>
      <c r="AW91" s="404">
        <f t="shared" si="25"/>
        <v>10</v>
      </c>
      <c r="AX91" s="534"/>
    </row>
    <row r="92" spans="2:50">
      <c r="B92" s="533"/>
      <c r="C92" s="404">
        <v>16</v>
      </c>
      <c r="D92" s="226" t="s">
        <v>376</v>
      </c>
      <c r="E92" s="182">
        <v>17</v>
      </c>
      <c r="F92" s="404">
        <v>1636</v>
      </c>
      <c r="G92" s="405">
        <v>96.3</v>
      </c>
      <c r="H92" s="598"/>
      <c r="I92" s="408">
        <f t="shared" si="18"/>
        <v>17</v>
      </c>
      <c r="J92" s="408">
        <f t="shared" si="18"/>
        <v>1200.9537808449277</v>
      </c>
      <c r="K92" s="406">
        <f t="shared" si="18"/>
        <v>70.644340049701611</v>
      </c>
      <c r="L92" s="588"/>
      <c r="M92" s="407">
        <f>RANK(K92, K$77:$K$106)</f>
        <v>20</v>
      </c>
      <c r="N92" s="544"/>
      <c r="O92" s="544"/>
      <c r="P92" s="182">
        <v>17</v>
      </c>
      <c r="Q92" s="182">
        <v>1287.0967741935463</v>
      </c>
      <c r="R92" s="182">
        <v>75.711574952561548</v>
      </c>
      <c r="S92" s="404">
        <f t="shared" si="19"/>
        <v>14</v>
      </c>
      <c r="T92" s="534"/>
      <c r="U92" s="182">
        <v>17</v>
      </c>
      <c r="V92" s="182">
        <v>1262.0689655172389</v>
      </c>
      <c r="W92" s="182">
        <v>74.239350912778761</v>
      </c>
      <c r="X92" s="404">
        <f t="shared" si="20"/>
        <v>16</v>
      </c>
      <c r="Y92" s="534"/>
      <c r="Z92" s="182">
        <v>17</v>
      </c>
      <c r="AA92" s="182">
        <v>1079.9999999999975</v>
      </c>
      <c r="AB92" s="182">
        <v>63.529411764705735</v>
      </c>
      <c r="AC92" s="404">
        <f t="shared" si="21"/>
        <v>23</v>
      </c>
      <c r="AD92" s="534"/>
      <c r="AE92" s="182">
        <v>17</v>
      </c>
      <c r="AF92" s="182">
        <v>1114.8387096774175</v>
      </c>
      <c r="AG92" s="182">
        <v>65.578747628083377</v>
      </c>
      <c r="AH92" s="404">
        <f t="shared" si="22"/>
        <v>22</v>
      </c>
      <c r="AI92" s="534"/>
      <c r="AJ92" s="182">
        <v>17</v>
      </c>
      <c r="AK92" s="182">
        <v>1120.7142857142833</v>
      </c>
      <c r="AL92" s="182">
        <v>65.924369747899021</v>
      </c>
      <c r="AM92" s="404">
        <f t="shared" si="23"/>
        <v>22</v>
      </c>
      <c r="AN92" s="534"/>
      <c r="AO92" s="182">
        <v>17</v>
      </c>
      <c r="AP92" s="182">
        <v>1271.6129032258045</v>
      </c>
      <c r="AQ92" s="182">
        <v>74.800759013282615</v>
      </c>
      <c r="AR92" s="404">
        <f t="shared" si="24"/>
        <v>15</v>
      </c>
      <c r="AS92" s="534"/>
      <c r="AT92" s="182">
        <v>17</v>
      </c>
      <c r="AU92" s="182">
        <v>1270.3448275862042</v>
      </c>
      <c r="AV92" s="182">
        <v>74.726166328600243</v>
      </c>
      <c r="AW92" s="404">
        <f t="shared" si="25"/>
        <v>14</v>
      </c>
      <c r="AX92" s="534"/>
    </row>
    <row r="93" spans="2:50">
      <c r="B93" s="533"/>
      <c r="C93" s="404">
        <v>17</v>
      </c>
      <c r="D93" s="226" t="s">
        <v>378</v>
      </c>
      <c r="E93" s="182">
        <v>18</v>
      </c>
      <c r="F93" s="404">
        <v>1440</v>
      </c>
      <c r="G93" s="405">
        <v>80</v>
      </c>
      <c r="H93" s="598"/>
      <c r="I93" s="408">
        <f t="shared" si="18"/>
        <v>17.142857142857142</v>
      </c>
      <c r="J93" s="408">
        <f t="shared" si="18"/>
        <v>1286.5098431549673</v>
      </c>
      <c r="K93" s="406">
        <f t="shared" si="18"/>
        <v>75.064804699391829</v>
      </c>
      <c r="L93" s="588"/>
      <c r="M93" s="407">
        <f>RANK(K93, K$77:$K$106)</f>
        <v>13</v>
      </c>
      <c r="N93" s="544"/>
      <c r="O93" s="544"/>
      <c r="P93" s="182">
        <v>18</v>
      </c>
      <c r="Q93" s="182">
        <v>1311.4285714285727</v>
      </c>
      <c r="R93" s="182">
        <v>72.857142857142932</v>
      </c>
      <c r="S93" s="404">
        <f t="shared" si="19"/>
        <v>17</v>
      </c>
      <c r="T93" s="534"/>
      <c r="U93" s="182">
        <v>17</v>
      </c>
      <c r="V93" s="182">
        <v>1293.2142857142867</v>
      </c>
      <c r="W93" s="182">
        <v>76.071428571428626</v>
      </c>
      <c r="X93" s="404">
        <f t="shared" si="20"/>
        <v>12</v>
      </c>
      <c r="Y93" s="534"/>
      <c r="Z93" s="182">
        <v>17</v>
      </c>
      <c r="AA93" s="182">
        <v>1316.4705882352948</v>
      </c>
      <c r="AB93" s="182">
        <v>77.43944636678205</v>
      </c>
      <c r="AC93" s="404">
        <f t="shared" si="21"/>
        <v>10</v>
      </c>
      <c r="AD93" s="534"/>
      <c r="AE93" s="182">
        <v>17</v>
      </c>
      <c r="AF93" s="182">
        <v>1272.0000000000009</v>
      </c>
      <c r="AG93" s="182">
        <v>74.823529411764753</v>
      </c>
      <c r="AH93" s="404">
        <f t="shared" si="22"/>
        <v>13</v>
      </c>
      <c r="AI93" s="534"/>
      <c r="AJ93" s="182">
        <v>17</v>
      </c>
      <c r="AK93" s="182">
        <v>1249.6551724137939</v>
      </c>
      <c r="AL93" s="182">
        <v>73.509127789046701</v>
      </c>
      <c r="AM93" s="404">
        <f t="shared" si="23"/>
        <v>13</v>
      </c>
      <c r="AN93" s="534"/>
      <c r="AO93" s="182">
        <v>17</v>
      </c>
      <c r="AP93" s="182">
        <v>1260.895522388058</v>
      </c>
      <c r="AQ93" s="182">
        <v>74.170324846356351</v>
      </c>
      <c r="AR93" s="404">
        <f t="shared" si="24"/>
        <v>16</v>
      </c>
      <c r="AS93" s="534"/>
      <c r="AT93" s="182">
        <v>17</v>
      </c>
      <c r="AU93" s="182">
        <v>1301.9047619047633</v>
      </c>
      <c r="AV93" s="182">
        <v>76.582633053221372</v>
      </c>
      <c r="AW93" s="404">
        <f t="shared" si="25"/>
        <v>12</v>
      </c>
      <c r="AX93" s="534"/>
    </row>
    <row r="94" spans="2:50">
      <c r="B94" s="533"/>
      <c r="C94" s="404">
        <v>18</v>
      </c>
      <c r="D94" s="226" t="s">
        <v>385</v>
      </c>
      <c r="E94" s="182">
        <v>18</v>
      </c>
      <c r="F94" s="404">
        <v>1500</v>
      </c>
      <c r="G94" s="405">
        <v>83.3</v>
      </c>
      <c r="H94" s="598"/>
      <c r="I94" s="408">
        <f t="shared" si="18"/>
        <v>18</v>
      </c>
      <c r="J94" s="408">
        <f t="shared" si="18"/>
        <v>1275.1936816570283</v>
      </c>
      <c r="K94" s="406">
        <f t="shared" si="18"/>
        <v>70.844093425390454</v>
      </c>
      <c r="L94" s="588"/>
      <c r="M94" s="407">
        <f>RANK(K94, K$77:$K$106)</f>
        <v>19</v>
      </c>
      <c r="N94" s="544"/>
      <c r="O94" s="544"/>
      <c r="P94" s="182">
        <v>18</v>
      </c>
      <c r="Q94" s="182">
        <v>1243.9285714285722</v>
      </c>
      <c r="R94" s="182">
        <v>69.107142857142904</v>
      </c>
      <c r="S94" s="404">
        <f t="shared" si="19"/>
        <v>21</v>
      </c>
      <c r="T94" s="534"/>
      <c r="U94" s="182">
        <v>18</v>
      </c>
      <c r="V94" s="182">
        <v>1306.4150943396232</v>
      </c>
      <c r="W94" s="182">
        <v>72.578616352201294</v>
      </c>
      <c r="X94" s="404">
        <f t="shared" si="20"/>
        <v>18</v>
      </c>
      <c r="Y94" s="534"/>
      <c r="Z94" s="182">
        <v>18</v>
      </c>
      <c r="AA94" s="182">
        <v>1269.7959183673472</v>
      </c>
      <c r="AB94" s="182">
        <v>70.544217687074848</v>
      </c>
      <c r="AC94" s="404">
        <f t="shared" si="21"/>
        <v>15</v>
      </c>
      <c r="AD94" s="534"/>
      <c r="AE94" s="182">
        <v>18</v>
      </c>
      <c r="AF94" s="182">
        <v>1276.4705882352946</v>
      </c>
      <c r="AG94" s="182">
        <v>70.915032679738587</v>
      </c>
      <c r="AH94" s="404">
        <f t="shared" si="22"/>
        <v>17</v>
      </c>
      <c r="AI94" s="534"/>
      <c r="AJ94" s="182">
        <v>18</v>
      </c>
      <c r="AK94" s="182">
        <v>1272.6923076923085</v>
      </c>
      <c r="AL94" s="182">
        <v>70.705128205128247</v>
      </c>
      <c r="AM94" s="404">
        <f t="shared" si="23"/>
        <v>19</v>
      </c>
      <c r="AN94" s="534"/>
      <c r="AO94" s="182">
        <v>18</v>
      </c>
      <c r="AP94" s="182">
        <v>1276.3636363636372</v>
      </c>
      <c r="AQ94" s="182">
        <v>70.909090909090949</v>
      </c>
      <c r="AR94" s="404">
        <f t="shared" si="24"/>
        <v>20</v>
      </c>
      <c r="AS94" s="534"/>
      <c r="AT94" s="182">
        <v>18</v>
      </c>
      <c r="AU94" s="182">
        <v>1280.6896551724146</v>
      </c>
      <c r="AV94" s="182">
        <v>71.149425287356365</v>
      </c>
      <c r="AW94" s="404">
        <f t="shared" si="25"/>
        <v>16</v>
      </c>
      <c r="AX94" s="534"/>
    </row>
    <row r="95" spans="2:50">
      <c r="B95" s="533"/>
      <c r="C95" s="404">
        <v>19</v>
      </c>
      <c r="D95" s="226" t="s">
        <v>467</v>
      </c>
      <c r="E95" s="182">
        <v>17</v>
      </c>
      <c r="F95" s="404">
        <v>1440</v>
      </c>
      <c r="G95" s="405">
        <v>84.7</v>
      </c>
      <c r="H95" s="598"/>
      <c r="I95" s="408">
        <f t="shared" si="18"/>
        <v>17</v>
      </c>
      <c r="J95" s="408">
        <f t="shared" si="18"/>
        <v>1224.4559446693006</v>
      </c>
      <c r="K95" s="406">
        <f t="shared" si="18"/>
        <v>72.026820274664757</v>
      </c>
      <c r="L95" s="588"/>
      <c r="M95" s="407">
        <f>RANK(K95, K$77:$K$106)</f>
        <v>16</v>
      </c>
      <c r="N95" s="544"/>
      <c r="O95" s="544"/>
      <c r="P95" s="182">
        <v>17</v>
      </c>
      <c r="Q95" s="182">
        <v>1246.6666666666656</v>
      </c>
      <c r="R95" s="182">
        <v>73.333333333333272</v>
      </c>
      <c r="S95" s="404">
        <f t="shared" si="19"/>
        <v>16</v>
      </c>
      <c r="T95" s="534"/>
      <c r="U95" s="182">
        <v>17</v>
      </c>
      <c r="V95" s="182">
        <v>1256.2499999999982</v>
      </c>
      <c r="W95" s="182">
        <v>73.897058823529306</v>
      </c>
      <c r="X95" s="404">
        <f t="shared" si="20"/>
        <v>17</v>
      </c>
      <c r="Y95" s="534"/>
      <c r="Z95" s="182">
        <v>17</v>
      </c>
      <c r="AA95" s="182">
        <v>1054.8387096774177</v>
      </c>
      <c r="AB95" s="182">
        <v>62.049335863377507</v>
      </c>
      <c r="AC95" s="404">
        <f t="shared" si="21"/>
        <v>24</v>
      </c>
      <c r="AD95" s="534"/>
      <c r="AE95" s="182">
        <v>17</v>
      </c>
      <c r="AF95" s="182">
        <v>1221.999999999998</v>
      </c>
      <c r="AG95" s="182">
        <v>71.88235294117635</v>
      </c>
      <c r="AH95" s="404">
        <f t="shared" si="22"/>
        <v>16</v>
      </c>
      <c r="AI95" s="534"/>
      <c r="AJ95" s="182">
        <v>17</v>
      </c>
      <c r="AK95" s="182">
        <v>1241.3793103448252</v>
      </c>
      <c r="AL95" s="182">
        <v>73.022312373225006</v>
      </c>
      <c r="AM95" s="404">
        <f t="shared" si="23"/>
        <v>14</v>
      </c>
      <c r="AN95" s="534"/>
      <c r="AO95" s="182">
        <v>17</v>
      </c>
      <c r="AP95" s="182">
        <v>1249.4117647058806</v>
      </c>
      <c r="AQ95" s="182">
        <v>73.494809688581213</v>
      </c>
      <c r="AR95" s="404">
        <f t="shared" si="24"/>
        <v>17</v>
      </c>
      <c r="AS95" s="534"/>
      <c r="AT95" s="182">
        <v>17</v>
      </c>
      <c r="AU95" s="182">
        <v>1300.6451612903206</v>
      </c>
      <c r="AV95" s="182">
        <v>76.508538899430619</v>
      </c>
      <c r="AW95" s="404">
        <f t="shared" si="25"/>
        <v>13</v>
      </c>
      <c r="AX95" s="534"/>
    </row>
    <row r="96" spans="2:50">
      <c r="B96" s="533"/>
      <c r="C96" s="404">
        <v>20</v>
      </c>
      <c r="D96" s="226" t="s">
        <v>513</v>
      </c>
      <c r="E96" s="182">
        <v>18</v>
      </c>
      <c r="F96" s="404">
        <v>1385</v>
      </c>
      <c r="G96" s="405">
        <v>76.900000000000006</v>
      </c>
      <c r="H96" s="598"/>
      <c r="I96" s="408">
        <f t="shared" si="18"/>
        <v>17.142857142857142</v>
      </c>
      <c r="J96" s="408">
        <f t="shared" si="18"/>
        <v>1186.5475804998678</v>
      </c>
      <c r="K96" s="406">
        <f t="shared" si="18"/>
        <v>69.240766767371909</v>
      </c>
      <c r="L96" s="588"/>
      <c r="M96" s="407">
        <f>RANK(K96, K$77:$K$106)</f>
        <v>22</v>
      </c>
      <c r="N96" s="544"/>
      <c r="O96" s="544"/>
      <c r="P96" s="182">
        <v>18</v>
      </c>
      <c r="Q96" s="182">
        <v>1191.2727272727279</v>
      </c>
      <c r="R96" s="182">
        <v>66.181818181818215</v>
      </c>
      <c r="S96" s="404">
        <f t="shared" si="19"/>
        <v>22</v>
      </c>
      <c r="T96" s="534"/>
      <c r="U96" s="182">
        <v>17</v>
      </c>
      <c r="V96" s="182">
        <v>1176.2264150943402</v>
      </c>
      <c r="W96" s="182">
        <v>69.189789123196476</v>
      </c>
      <c r="X96" s="404">
        <f t="shared" si="20"/>
        <v>22</v>
      </c>
      <c r="Y96" s="534"/>
      <c r="Z96" s="182">
        <v>17</v>
      </c>
      <c r="AA96" s="182">
        <v>1193.6842105263149</v>
      </c>
      <c r="AB96" s="182">
        <v>70.216718266253821</v>
      </c>
      <c r="AC96" s="404">
        <f t="shared" si="21"/>
        <v>16</v>
      </c>
      <c r="AD96" s="534"/>
      <c r="AE96" s="182">
        <v>17</v>
      </c>
      <c r="AF96" s="182">
        <v>1163.9999999999995</v>
      </c>
      <c r="AG96" s="182">
        <v>68.470588235294088</v>
      </c>
      <c r="AH96" s="404">
        <f t="shared" si="22"/>
        <v>21</v>
      </c>
      <c r="AI96" s="534"/>
      <c r="AJ96" s="182">
        <v>17</v>
      </c>
      <c r="AK96" s="182">
        <v>1203.8297872340427</v>
      </c>
      <c r="AL96" s="182">
        <v>70.813516896120163</v>
      </c>
      <c r="AM96" s="404">
        <f t="shared" si="23"/>
        <v>18</v>
      </c>
      <c r="AN96" s="534"/>
      <c r="AO96" s="182">
        <v>17</v>
      </c>
      <c r="AP96" s="182">
        <v>1167.9310344827595</v>
      </c>
      <c r="AQ96" s="182">
        <v>68.701825557809386</v>
      </c>
      <c r="AR96" s="404">
        <f t="shared" si="24"/>
        <v>22</v>
      </c>
      <c r="AS96" s="534"/>
      <c r="AT96" s="182">
        <v>17</v>
      </c>
      <c r="AU96" s="182">
        <v>1208.8888888888896</v>
      </c>
      <c r="AV96" s="182">
        <v>71.111111111111157</v>
      </c>
      <c r="AW96" s="404">
        <f t="shared" si="25"/>
        <v>17</v>
      </c>
      <c r="AX96" s="534"/>
    </row>
    <row r="97" spans="2:50">
      <c r="B97" s="533"/>
      <c r="C97" s="404">
        <v>21</v>
      </c>
      <c r="D97" s="226" t="s">
        <v>580</v>
      </c>
      <c r="E97" s="182">
        <v>18</v>
      </c>
      <c r="F97" s="404">
        <v>1440</v>
      </c>
      <c r="G97" s="405">
        <v>80</v>
      </c>
      <c r="H97" s="598"/>
      <c r="I97" s="408">
        <f t="shared" si="18"/>
        <v>18</v>
      </c>
      <c r="J97" s="408">
        <f t="shared" si="18"/>
        <v>1277.3740151247473</v>
      </c>
      <c r="K97" s="406">
        <f t="shared" si="18"/>
        <v>70.965223062485947</v>
      </c>
      <c r="L97" s="588"/>
      <c r="M97" s="407">
        <f>RANK(K97, K$77:$K$106)</f>
        <v>18</v>
      </c>
      <c r="N97" s="544"/>
      <c r="O97" s="544"/>
      <c r="P97" s="182">
        <v>18</v>
      </c>
      <c r="Q97" s="182">
        <v>1260.0000000000016</v>
      </c>
      <c r="R97" s="182">
        <v>70.000000000000085</v>
      </c>
      <c r="S97" s="404">
        <f t="shared" si="19"/>
        <v>19</v>
      </c>
      <c r="T97" s="534"/>
      <c r="U97" s="182">
        <v>18</v>
      </c>
      <c r="V97" s="182">
        <v>1275.4838709677433</v>
      </c>
      <c r="W97" s="182">
        <v>70.860215053763511</v>
      </c>
      <c r="X97" s="404">
        <f t="shared" si="20"/>
        <v>20</v>
      </c>
      <c r="Y97" s="534"/>
      <c r="Z97" s="182">
        <v>18</v>
      </c>
      <c r="AA97" s="182">
        <v>1274.4000000000003</v>
      </c>
      <c r="AB97" s="182">
        <v>70.800000000000011</v>
      </c>
      <c r="AC97" s="404">
        <f t="shared" si="21"/>
        <v>14</v>
      </c>
      <c r="AD97" s="534"/>
      <c r="AE97" s="182">
        <v>18</v>
      </c>
      <c r="AF97" s="182">
        <v>1264.7058823529419</v>
      </c>
      <c r="AG97" s="182">
        <v>70.261437908496774</v>
      </c>
      <c r="AH97" s="404">
        <f t="shared" si="22"/>
        <v>18</v>
      </c>
      <c r="AI97" s="534"/>
      <c r="AJ97" s="182">
        <v>18</v>
      </c>
      <c r="AK97" s="182">
        <v>1271.0204081632655</v>
      </c>
      <c r="AL97" s="182">
        <v>70.612244897959201</v>
      </c>
      <c r="AM97" s="404">
        <f t="shared" si="23"/>
        <v>20</v>
      </c>
      <c r="AN97" s="534"/>
      <c r="AO97" s="182">
        <v>18</v>
      </c>
      <c r="AP97" s="182">
        <v>1317.8947368421063</v>
      </c>
      <c r="AQ97" s="182">
        <v>73.216374269005911</v>
      </c>
      <c r="AR97" s="404">
        <f t="shared" si="24"/>
        <v>18</v>
      </c>
      <c r="AS97" s="534"/>
      <c r="AT97" s="182">
        <v>18</v>
      </c>
      <c r="AU97" s="182">
        <v>1278.1132075471705</v>
      </c>
      <c r="AV97" s="182">
        <v>71.006289308176136</v>
      </c>
      <c r="AW97" s="404">
        <f t="shared" si="25"/>
        <v>18</v>
      </c>
      <c r="AX97" s="534"/>
    </row>
    <row r="98" spans="2:50">
      <c r="B98" s="533"/>
      <c r="C98" s="404">
        <v>22</v>
      </c>
      <c r="D98" s="226" t="s">
        <v>607</v>
      </c>
      <c r="E98" s="182">
        <v>15</v>
      </c>
      <c r="F98" s="404">
        <v>1500</v>
      </c>
      <c r="G98" s="405">
        <v>100</v>
      </c>
      <c r="H98" s="598"/>
      <c r="I98" s="408">
        <f t="shared" si="18"/>
        <v>16.571428571428573</v>
      </c>
      <c r="J98" s="408">
        <f t="shared" si="18"/>
        <v>1280.7600636266102</v>
      </c>
      <c r="K98" s="406">
        <f t="shared" si="18"/>
        <v>77.973213649155994</v>
      </c>
      <c r="L98" s="588"/>
      <c r="M98" s="407">
        <f>RANK(K98, K$77:$K$106)</f>
        <v>10</v>
      </c>
      <c r="N98" s="544"/>
      <c r="O98" s="544"/>
      <c r="P98" s="182">
        <v>16</v>
      </c>
      <c r="Q98" s="182">
        <v>1303.2000000000003</v>
      </c>
      <c r="R98" s="182">
        <v>81.450000000000017</v>
      </c>
      <c r="S98" s="404">
        <f t="shared" si="19"/>
        <v>5</v>
      </c>
      <c r="T98" s="534"/>
      <c r="U98" s="182">
        <v>16</v>
      </c>
      <c r="V98" s="182">
        <v>1304.0425531914896</v>
      </c>
      <c r="W98" s="182">
        <v>81.502659574468098</v>
      </c>
      <c r="X98" s="404">
        <f t="shared" si="20"/>
        <v>6</v>
      </c>
      <c r="Y98" s="534"/>
      <c r="Z98" s="182">
        <v>19</v>
      </c>
      <c r="AA98" s="182">
        <v>1290.4109589041086</v>
      </c>
      <c r="AB98" s="182">
        <v>67.916366258110983</v>
      </c>
      <c r="AC98" s="404">
        <f t="shared" si="21"/>
        <v>20</v>
      </c>
      <c r="AD98" s="534"/>
      <c r="AE98" s="182">
        <v>15</v>
      </c>
      <c r="AF98" s="182">
        <v>1260.7142857142853</v>
      </c>
      <c r="AG98" s="182">
        <v>84.047619047619023</v>
      </c>
      <c r="AH98" s="404">
        <f t="shared" si="22"/>
        <v>4</v>
      </c>
      <c r="AI98" s="534"/>
      <c r="AJ98" s="182">
        <v>16</v>
      </c>
      <c r="AK98" s="182">
        <v>1286.4285714285709</v>
      </c>
      <c r="AL98" s="182">
        <v>80.40178571428568</v>
      </c>
      <c r="AM98" s="404">
        <f t="shared" si="23"/>
        <v>9</v>
      </c>
      <c r="AN98" s="534"/>
      <c r="AO98" s="182">
        <v>15</v>
      </c>
      <c r="AP98" s="182">
        <v>1270.7368421052633</v>
      </c>
      <c r="AQ98" s="182">
        <v>84.715789473684225</v>
      </c>
      <c r="AR98" s="404">
        <f t="shared" si="24"/>
        <v>4</v>
      </c>
      <c r="AS98" s="534"/>
      <c r="AT98" s="182">
        <v>19</v>
      </c>
      <c r="AU98" s="182">
        <v>1249.7872340425533</v>
      </c>
      <c r="AV98" s="182">
        <v>65.778275475923863</v>
      </c>
      <c r="AW98" s="404">
        <f t="shared" si="25"/>
        <v>22</v>
      </c>
      <c r="AX98" s="534"/>
    </row>
    <row r="99" spans="2:50">
      <c r="B99" s="533"/>
      <c r="C99" s="404">
        <v>23</v>
      </c>
      <c r="D99" s="226" t="s">
        <v>620</v>
      </c>
      <c r="E99" s="182">
        <v>16</v>
      </c>
      <c r="F99" s="404">
        <v>1500</v>
      </c>
      <c r="G99" s="405">
        <v>93.8</v>
      </c>
      <c r="H99" s="598"/>
      <c r="I99" s="408">
        <f t="shared" si="18"/>
        <v>16</v>
      </c>
      <c r="J99" s="408">
        <f t="shared" si="18"/>
        <v>1274.3860676639938</v>
      </c>
      <c r="K99" s="406">
        <f t="shared" si="18"/>
        <v>79.649129228999612</v>
      </c>
      <c r="L99" s="588"/>
      <c r="M99" s="407">
        <f>RANK(K99, K$77:$K$106)</f>
        <v>8</v>
      </c>
      <c r="N99" s="544"/>
      <c r="O99" s="544"/>
      <c r="P99" s="182">
        <v>16</v>
      </c>
      <c r="Q99" s="182">
        <v>1301.6666666666656</v>
      </c>
      <c r="R99" s="182">
        <v>81.3541666666666</v>
      </c>
      <c r="S99" s="404">
        <f t="shared" si="19"/>
        <v>6</v>
      </c>
      <c r="T99" s="534"/>
      <c r="U99" s="182">
        <v>16</v>
      </c>
      <c r="V99" s="182">
        <v>1276.6666666666656</v>
      </c>
      <c r="W99" s="182">
        <v>79.7916666666666</v>
      </c>
      <c r="X99" s="404">
        <f t="shared" si="20"/>
        <v>8</v>
      </c>
      <c r="Y99" s="534"/>
      <c r="Z99" s="182">
        <v>16</v>
      </c>
      <c r="AA99" s="182">
        <v>1318.0645161290302</v>
      </c>
      <c r="AB99" s="182">
        <v>82.379032258064385</v>
      </c>
      <c r="AC99" s="404">
        <f t="shared" si="21"/>
        <v>6</v>
      </c>
      <c r="AD99" s="534"/>
      <c r="AE99" s="182">
        <v>16</v>
      </c>
      <c r="AF99" s="182">
        <v>1103.2258064516111</v>
      </c>
      <c r="AG99" s="182">
        <v>68.951612903225694</v>
      </c>
      <c r="AH99" s="404">
        <f t="shared" si="22"/>
        <v>20</v>
      </c>
      <c r="AI99" s="534"/>
      <c r="AJ99" s="182">
        <v>16</v>
      </c>
      <c r="AK99" s="182">
        <v>1309.2857142857115</v>
      </c>
      <c r="AL99" s="182">
        <v>81.830357142856968</v>
      </c>
      <c r="AM99" s="404">
        <f t="shared" si="23"/>
        <v>4</v>
      </c>
      <c r="AN99" s="534"/>
      <c r="AO99" s="182">
        <v>16</v>
      </c>
      <c r="AP99" s="182">
        <v>1297.9999999999977</v>
      </c>
      <c r="AQ99" s="182">
        <v>81.124999999999858</v>
      </c>
      <c r="AR99" s="404">
        <f t="shared" si="24"/>
        <v>8</v>
      </c>
      <c r="AS99" s="534"/>
      <c r="AT99" s="182">
        <v>16</v>
      </c>
      <c r="AU99" s="182">
        <v>1313.7931034482733</v>
      </c>
      <c r="AV99" s="182">
        <v>82.112068965517082</v>
      </c>
      <c r="AW99" s="404">
        <f t="shared" si="25"/>
        <v>6</v>
      </c>
      <c r="AX99" s="534"/>
    </row>
    <row r="100" spans="2:50">
      <c r="B100" s="533"/>
      <c r="C100" s="404">
        <v>24</v>
      </c>
      <c r="D100" s="226" t="s">
        <v>621</v>
      </c>
      <c r="E100" s="182">
        <v>20</v>
      </c>
      <c r="F100" s="404">
        <v>1500</v>
      </c>
      <c r="G100" s="405">
        <v>75</v>
      </c>
      <c r="H100" s="598"/>
      <c r="I100" s="408">
        <f t="shared" ref="I100:K101" si="26">AVERAGE(P100,U100,Z100,AE100,AJ100,AO100,AT100)</f>
        <v>19.857142857142858</v>
      </c>
      <c r="J100" s="408">
        <f t="shared" si="26"/>
        <v>1083.1321008412128</v>
      </c>
      <c r="K100" s="406">
        <f t="shared" si="26"/>
        <v>54.563946926182709</v>
      </c>
      <c r="L100" s="588"/>
      <c r="M100" s="407">
        <f>RANK(K100, K$77:$K$106)</f>
        <v>25</v>
      </c>
      <c r="N100" s="544"/>
      <c r="O100" s="544"/>
      <c r="P100" s="404">
        <v>20</v>
      </c>
      <c r="Q100" s="405">
        <v>1086.0550458715604</v>
      </c>
      <c r="R100" s="405">
        <v>54.302752293578024</v>
      </c>
      <c r="S100" s="404">
        <f t="shared" si="19"/>
        <v>25</v>
      </c>
      <c r="T100" s="534"/>
      <c r="U100" s="404">
        <v>19</v>
      </c>
      <c r="V100" s="405">
        <v>1083.5294117647063</v>
      </c>
      <c r="W100" s="405">
        <v>57.027863777089806</v>
      </c>
      <c r="X100" s="404">
        <f t="shared" si="20"/>
        <v>25</v>
      </c>
      <c r="Y100" s="534"/>
      <c r="Z100" s="404">
        <v>20</v>
      </c>
      <c r="AA100" s="405">
        <v>1095.1724137931033</v>
      </c>
      <c r="AB100" s="405">
        <v>54.75862068965516</v>
      </c>
      <c r="AC100" s="404">
        <f t="shared" si="21"/>
        <v>25</v>
      </c>
      <c r="AD100" s="534"/>
      <c r="AE100" s="404">
        <v>20</v>
      </c>
      <c r="AF100" s="405">
        <v>1074.065934065934</v>
      </c>
      <c r="AG100" s="405">
        <v>53.703296703296701</v>
      </c>
      <c r="AH100" s="404">
        <f t="shared" si="22"/>
        <v>25</v>
      </c>
      <c r="AI100" s="534"/>
      <c r="AJ100" s="404">
        <v>20</v>
      </c>
      <c r="AK100" s="405">
        <v>1076.2500000000002</v>
      </c>
      <c r="AL100" s="405">
        <v>53.812500000000014</v>
      </c>
      <c r="AM100" s="404">
        <f t="shared" si="23"/>
        <v>25</v>
      </c>
      <c r="AN100" s="534"/>
      <c r="AO100" s="404">
        <v>20</v>
      </c>
      <c r="AP100" s="405">
        <v>1101.7142857142862</v>
      </c>
      <c r="AQ100" s="405">
        <v>55.08571428571431</v>
      </c>
      <c r="AR100" s="404">
        <f t="shared" si="24"/>
        <v>25</v>
      </c>
      <c r="AS100" s="534"/>
      <c r="AT100" s="404">
        <v>20</v>
      </c>
      <c r="AU100" s="405">
        <v>1065.1376146788998</v>
      </c>
      <c r="AV100" s="405">
        <v>53.256880733944989</v>
      </c>
      <c r="AW100" s="404">
        <f t="shared" si="25"/>
        <v>25</v>
      </c>
      <c r="AX100" s="534"/>
    </row>
    <row r="101" spans="2:50">
      <c r="B101" s="533"/>
      <c r="C101" s="404">
        <v>25</v>
      </c>
      <c r="D101" s="226" t="s">
        <v>715</v>
      </c>
      <c r="E101" s="182">
        <v>17</v>
      </c>
      <c r="F101" s="404">
        <v>1440</v>
      </c>
      <c r="G101" s="405">
        <v>84.7</v>
      </c>
      <c r="H101" s="598"/>
      <c r="I101" s="408">
        <f t="shared" si="26"/>
        <v>16.428571428571427</v>
      </c>
      <c r="J101" s="408">
        <f t="shared" si="26"/>
        <v>1288.1530006579283</v>
      </c>
      <c r="K101" s="406">
        <f t="shared" si="26"/>
        <v>78.487030451361534</v>
      </c>
      <c r="L101" s="588"/>
      <c r="M101" s="407">
        <f>RANK(K101, K$77:$K$106)</f>
        <v>9</v>
      </c>
      <c r="N101" s="544"/>
      <c r="O101" s="544"/>
      <c r="P101" s="404">
        <v>16</v>
      </c>
      <c r="Q101" s="405">
        <v>1298.4172661870505</v>
      </c>
      <c r="R101" s="405">
        <v>81.151079136690655</v>
      </c>
      <c r="S101" s="404">
        <f t="shared" si="19"/>
        <v>7</v>
      </c>
      <c r="T101" s="534"/>
      <c r="U101" s="404">
        <v>17</v>
      </c>
      <c r="V101" s="405">
        <v>1289.1428571428576</v>
      </c>
      <c r="W101" s="405">
        <v>75.831932773109273</v>
      </c>
      <c r="X101" s="404">
        <f t="shared" si="20"/>
        <v>13</v>
      </c>
      <c r="Y101" s="534"/>
      <c r="Z101" s="404">
        <v>16</v>
      </c>
      <c r="AA101" s="405">
        <v>1297.5686274509808</v>
      </c>
      <c r="AB101" s="405">
        <v>81.098039215686299</v>
      </c>
      <c r="AC101" s="404">
        <f t="shared" si="21"/>
        <v>8</v>
      </c>
      <c r="AD101" s="534"/>
      <c r="AE101" s="404">
        <v>17</v>
      </c>
      <c r="AF101" s="405">
        <v>1272.6153846153854</v>
      </c>
      <c r="AG101" s="405">
        <v>74.859728506787377</v>
      </c>
      <c r="AH101" s="404">
        <f t="shared" si="22"/>
        <v>12</v>
      </c>
      <c r="AI101" s="534"/>
      <c r="AJ101" s="404">
        <v>16</v>
      </c>
      <c r="AK101" s="405">
        <v>1297.5686274509808</v>
      </c>
      <c r="AL101" s="405">
        <v>81.098039215686299</v>
      </c>
      <c r="AM101" s="404">
        <f t="shared" si="23"/>
        <v>7</v>
      </c>
      <c r="AN101" s="534"/>
      <c r="AO101" s="404">
        <v>17</v>
      </c>
      <c r="AP101" s="405">
        <v>1289.1428571428578</v>
      </c>
      <c r="AQ101" s="405">
        <v>75.831932773109287</v>
      </c>
      <c r="AR101" s="404">
        <f t="shared" si="24"/>
        <v>12</v>
      </c>
      <c r="AS101" s="534"/>
      <c r="AT101" s="404">
        <v>16</v>
      </c>
      <c r="AU101" s="405">
        <v>1272.6153846153854</v>
      </c>
      <c r="AV101" s="405">
        <v>79.53846153846159</v>
      </c>
      <c r="AW101" s="404">
        <f t="shared" si="25"/>
        <v>8</v>
      </c>
      <c r="AX101" s="534"/>
    </row>
    <row r="102" spans="2:50">
      <c r="B102" s="533"/>
      <c r="C102" s="404">
        <v>26</v>
      </c>
      <c r="D102" s="226"/>
      <c r="E102" s="182"/>
      <c r="F102" s="404"/>
      <c r="G102" s="405"/>
      <c r="H102" s="598"/>
      <c r="I102" s="408"/>
      <c r="J102" s="408"/>
      <c r="K102" s="406"/>
      <c r="L102" s="588"/>
      <c r="M102" s="407" t="e">
        <f>RANK(K102, K$77:$K$106)</f>
        <v>#N/A</v>
      </c>
      <c r="N102" s="544"/>
      <c r="O102" s="544"/>
      <c r="P102" s="404"/>
      <c r="Q102" s="405"/>
      <c r="R102" s="405"/>
      <c r="S102" s="404" t="e">
        <f t="shared" si="19"/>
        <v>#N/A</v>
      </c>
      <c r="T102" s="534"/>
      <c r="U102" s="404"/>
      <c r="V102" s="405"/>
      <c r="W102" s="405"/>
      <c r="X102" s="404" t="e">
        <f t="shared" si="20"/>
        <v>#N/A</v>
      </c>
      <c r="Y102" s="534"/>
      <c r="Z102" s="404"/>
      <c r="AA102" s="405"/>
      <c r="AB102" s="405"/>
      <c r="AC102" s="404" t="e">
        <f t="shared" si="21"/>
        <v>#N/A</v>
      </c>
      <c r="AD102" s="534"/>
      <c r="AE102" s="404"/>
      <c r="AF102" s="405"/>
      <c r="AG102" s="405"/>
      <c r="AH102" s="404" t="e">
        <f t="shared" si="22"/>
        <v>#N/A</v>
      </c>
      <c r="AI102" s="534"/>
      <c r="AJ102" s="404"/>
      <c r="AK102" s="405"/>
      <c r="AL102" s="405"/>
      <c r="AM102" s="404" t="e">
        <f t="shared" si="23"/>
        <v>#N/A</v>
      </c>
      <c r="AN102" s="534"/>
      <c r="AO102" s="404"/>
      <c r="AP102" s="405"/>
      <c r="AQ102" s="405"/>
      <c r="AR102" s="404" t="e">
        <f t="shared" si="24"/>
        <v>#N/A</v>
      </c>
      <c r="AS102" s="534"/>
      <c r="AT102" s="404"/>
      <c r="AU102" s="405"/>
      <c r="AV102" s="405"/>
      <c r="AW102" s="404" t="e">
        <f t="shared" si="25"/>
        <v>#N/A</v>
      </c>
      <c r="AX102" s="534"/>
    </row>
    <row r="103" spans="2:50">
      <c r="B103" s="533"/>
      <c r="C103" s="404">
        <v>27</v>
      </c>
      <c r="D103" s="226"/>
      <c r="E103" s="182"/>
      <c r="F103" s="404"/>
      <c r="G103" s="405"/>
      <c r="H103" s="598"/>
      <c r="I103" s="408"/>
      <c r="J103" s="408"/>
      <c r="K103" s="406"/>
      <c r="L103" s="588"/>
      <c r="M103" s="407" t="e">
        <f>RANK(K103, K$77:$K$106)</f>
        <v>#N/A</v>
      </c>
      <c r="N103" s="544"/>
      <c r="O103" s="544"/>
      <c r="P103" s="404"/>
      <c r="Q103" s="405"/>
      <c r="R103" s="405"/>
      <c r="S103" s="404" t="e">
        <f t="shared" si="19"/>
        <v>#N/A</v>
      </c>
      <c r="T103" s="534"/>
      <c r="U103" s="404"/>
      <c r="V103" s="405"/>
      <c r="W103" s="405"/>
      <c r="X103" s="404" t="e">
        <f t="shared" si="20"/>
        <v>#N/A</v>
      </c>
      <c r="Y103" s="534"/>
      <c r="Z103" s="404"/>
      <c r="AA103" s="405"/>
      <c r="AB103" s="405"/>
      <c r="AC103" s="404" t="e">
        <f t="shared" si="21"/>
        <v>#N/A</v>
      </c>
      <c r="AD103" s="534"/>
      <c r="AE103" s="404"/>
      <c r="AF103" s="405"/>
      <c r="AG103" s="405"/>
      <c r="AH103" s="404" t="e">
        <f t="shared" si="22"/>
        <v>#N/A</v>
      </c>
      <c r="AI103" s="534"/>
      <c r="AJ103" s="404"/>
      <c r="AK103" s="405"/>
      <c r="AL103" s="405"/>
      <c r="AM103" s="404" t="e">
        <f t="shared" si="23"/>
        <v>#N/A</v>
      </c>
      <c r="AN103" s="534"/>
      <c r="AO103" s="404"/>
      <c r="AP103" s="405"/>
      <c r="AQ103" s="405"/>
      <c r="AR103" s="404" t="e">
        <f t="shared" si="24"/>
        <v>#N/A</v>
      </c>
      <c r="AS103" s="534"/>
      <c r="AT103" s="404"/>
      <c r="AU103" s="405"/>
      <c r="AV103" s="405"/>
      <c r="AW103" s="404" t="e">
        <f t="shared" si="25"/>
        <v>#N/A</v>
      </c>
      <c r="AX103" s="534"/>
    </row>
    <row r="104" spans="2:50">
      <c r="B104" s="533"/>
      <c r="C104" s="404">
        <v>28</v>
      </c>
      <c r="D104" s="226"/>
      <c r="E104" s="182"/>
      <c r="F104" s="404"/>
      <c r="G104" s="405"/>
      <c r="H104" s="598"/>
      <c r="I104" s="408"/>
      <c r="J104" s="408"/>
      <c r="K104" s="406"/>
      <c r="L104" s="588"/>
      <c r="M104" s="407" t="e">
        <f>RANK(K104, K$77:$K$106)</f>
        <v>#N/A</v>
      </c>
      <c r="N104" s="544"/>
      <c r="O104" s="544"/>
      <c r="P104" s="404"/>
      <c r="Q104" s="405"/>
      <c r="R104" s="405"/>
      <c r="S104" s="404" t="e">
        <f t="shared" si="19"/>
        <v>#N/A</v>
      </c>
      <c r="T104" s="534"/>
      <c r="U104" s="404"/>
      <c r="V104" s="405"/>
      <c r="W104" s="405"/>
      <c r="X104" s="404" t="e">
        <f t="shared" si="20"/>
        <v>#N/A</v>
      </c>
      <c r="Y104" s="534"/>
      <c r="Z104" s="404"/>
      <c r="AA104" s="405"/>
      <c r="AB104" s="405"/>
      <c r="AC104" s="404" t="e">
        <f t="shared" si="21"/>
        <v>#N/A</v>
      </c>
      <c r="AD104" s="534"/>
      <c r="AE104" s="404"/>
      <c r="AF104" s="405"/>
      <c r="AG104" s="405"/>
      <c r="AH104" s="404" t="e">
        <f t="shared" si="22"/>
        <v>#N/A</v>
      </c>
      <c r="AI104" s="534"/>
      <c r="AJ104" s="404"/>
      <c r="AK104" s="405"/>
      <c r="AL104" s="405"/>
      <c r="AM104" s="404" t="e">
        <f t="shared" si="23"/>
        <v>#N/A</v>
      </c>
      <c r="AN104" s="534"/>
      <c r="AO104" s="404"/>
      <c r="AP104" s="405"/>
      <c r="AQ104" s="405"/>
      <c r="AR104" s="404" t="e">
        <f t="shared" si="24"/>
        <v>#N/A</v>
      </c>
      <c r="AS104" s="534"/>
      <c r="AT104" s="404"/>
      <c r="AU104" s="405"/>
      <c r="AV104" s="405"/>
      <c r="AW104" s="404" t="e">
        <f t="shared" si="25"/>
        <v>#N/A</v>
      </c>
      <c r="AX104" s="534"/>
    </row>
    <row r="105" spans="2:50">
      <c r="B105" s="533"/>
      <c r="C105" s="404">
        <v>29</v>
      </c>
      <c r="D105" s="226"/>
      <c r="E105" s="182"/>
      <c r="F105" s="404"/>
      <c r="G105" s="405"/>
      <c r="H105" s="598"/>
      <c r="I105" s="202"/>
      <c r="J105" s="202"/>
      <c r="K105" s="202"/>
      <c r="L105" s="588"/>
      <c r="M105" s="407" t="e">
        <f>RANK(K105, K$77:$K$106)</f>
        <v>#N/A</v>
      </c>
      <c r="N105" s="544"/>
      <c r="O105" s="544"/>
      <c r="P105" s="404"/>
      <c r="Q105" s="404"/>
      <c r="R105" s="404"/>
      <c r="S105" s="404" t="e">
        <f t="shared" si="19"/>
        <v>#N/A</v>
      </c>
      <c r="T105" s="534"/>
      <c r="U105" s="404"/>
      <c r="V105" s="404"/>
      <c r="W105" s="404"/>
      <c r="X105" s="404" t="e">
        <f t="shared" si="20"/>
        <v>#N/A</v>
      </c>
      <c r="Y105" s="534"/>
      <c r="Z105" s="404"/>
      <c r="AA105" s="404"/>
      <c r="AB105" s="404"/>
      <c r="AC105" s="404" t="e">
        <f t="shared" si="21"/>
        <v>#N/A</v>
      </c>
      <c r="AD105" s="534"/>
      <c r="AE105" s="404"/>
      <c r="AF105" s="404"/>
      <c r="AG105" s="404"/>
      <c r="AH105" s="404" t="e">
        <f t="shared" si="22"/>
        <v>#N/A</v>
      </c>
      <c r="AI105" s="534"/>
      <c r="AJ105" s="404"/>
      <c r="AK105" s="404"/>
      <c r="AL105" s="404"/>
      <c r="AM105" s="404" t="e">
        <f t="shared" si="23"/>
        <v>#N/A</v>
      </c>
      <c r="AN105" s="534"/>
      <c r="AO105" s="404"/>
      <c r="AP105" s="404"/>
      <c r="AQ105" s="404"/>
      <c r="AR105" s="404" t="e">
        <f t="shared" si="24"/>
        <v>#N/A</v>
      </c>
      <c r="AS105" s="534"/>
      <c r="AT105" s="404"/>
      <c r="AU105" s="404"/>
      <c r="AV105" s="404"/>
      <c r="AW105" s="404" t="e">
        <f t="shared" si="25"/>
        <v>#N/A</v>
      </c>
      <c r="AX105" s="534"/>
    </row>
    <row r="106" spans="2:50">
      <c r="B106" s="533"/>
      <c r="C106" s="404">
        <v>30</v>
      </c>
      <c r="D106" s="226"/>
      <c r="E106" s="182"/>
      <c r="F106" s="404"/>
      <c r="G106" s="405"/>
      <c r="H106" s="599"/>
      <c r="I106" s="202"/>
      <c r="J106" s="202"/>
      <c r="K106" s="202"/>
      <c r="L106" s="589"/>
      <c r="M106" s="407" t="e">
        <f>RANK(K106, K$77:$K$106)</f>
        <v>#N/A</v>
      </c>
      <c r="N106" s="544"/>
      <c r="O106" s="544"/>
      <c r="P106" s="404"/>
      <c r="Q106" s="404"/>
      <c r="R106" s="404"/>
      <c r="S106" s="404" t="e">
        <f t="shared" si="19"/>
        <v>#N/A</v>
      </c>
      <c r="T106" s="534"/>
      <c r="U106" s="404"/>
      <c r="V106" s="404"/>
      <c r="W106" s="404"/>
      <c r="X106" s="404" t="e">
        <f t="shared" si="20"/>
        <v>#N/A</v>
      </c>
      <c r="Y106" s="534"/>
      <c r="Z106" s="404"/>
      <c r="AA106" s="404"/>
      <c r="AB106" s="404"/>
      <c r="AC106" s="404" t="e">
        <f t="shared" si="21"/>
        <v>#N/A</v>
      </c>
      <c r="AD106" s="534"/>
      <c r="AE106" s="404"/>
      <c r="AF106" s="404"/>
      <c r="AG106" s="404"/>
      <c r="AH106" s="404" t="e">
        <f t="shared" si="22"/>
        <v>#N/A</v>
      </c>
      <c r="AI106" s="534"/>
      <c r="AJ106" s="404"/>
      <c r="AK106" s="404"/>
      <c r="AL106" s="404"/>
      <c r="AM106" s="404" t="e">
        <f t="shared" si="23"/>
        <v>#N/A</v>
      </c>
      <c r="AN106" s="534"/>
      <c r="AO106" s="404"/>
      <c r="AP106" s="404"/>
      <c r="AQ106" s="404"/>
      <c r="AR106" s="404" t="e">
        <f t="shared" si="24"/>
        <v>#N/A</v>
      </c>
      <c r="AS106" s="534"/>
      <c r="AT106" s="404"/>
      <c r="AU106" s="404"/>
      <c r="AV106" s="404"/>
      <c r="AW106" s="404" t="e">
        <f t="shared" si="25"/>
        <v>#N/A</v>
      </c>
      <c r="AX106" s="534"/>
    </row>
    <row r="107" spans="2:50" ht="15.5">
      <c r="B107" s="555" t="s">
        <v>704</v>
      </c>
      <c r="C107" s="556"/>
      <c r="D107" s="556"/>
      <c r="E107" s="556"/>
      <c r="F107" s="556"/>
      <c r="G107" s="556"/>
      <c r="H107" s="557"/>
      <c r="I107" s="208"/>
      <c r="J107" s="208"/>
      <c r="K107" s="208"/>
      <c r="L107" s="208"/>
      <c r="M107" s="207"/>
      <c r="N107" s="559" t="s">
        <v>705</v>
      </c>
      <c r="O107" s="559" t="s">
        <v>706</v>
      </c>
      <c r="P107" s="554">
        <f>P72+7</f>
        <v>46007</v>
      </c>
      <c r="Q107" s="533"/>
      <c r="R107" s="533"/>
      <c r="S107" s="533"/>
      <c r="T107" s="533"/>
      <c r="U107" s="551">
        <f>P107+1</f>
        <v>46008</v>
      </c>
      <c r="V107" s="552"/>
      <c r="W107" s="552"/>
      <c r="X107" s="552"/>
      <c r="Y107" s="553"/>
      <c r="Z107" s="551">
        <f>U107+1</f>
        <v>46009</v>
      </c>
      <c r="AA107" s="552"/>
      <c r="AB107" s="552"/>
      <c r="AC107" s="552"/>
      <c r="AD107" s="553"/>
      <c r="AE107" s="551">
        <f>Z107+1</f>
        <v>46010</v>
      </c>
      <c r="AF107" s="552"/>
      <c r="AG107" s="552"/>
      <c r="AH107" s="552"/>
      <c r="AI107" s="553"/>
      <c r="AJ107" s="551">
        <f>AE107+1</f>
        <v>46011</v>
      </c>
      <c r="AK107" s="552"/>
      <c r="AL107" s="552"/>
      <c r="AM107" s="552"/>
      <c r="AN107" s="553"/>
      <c r="AO107" s="551">
        <f>AJ107+1</f>
        <v>46012</v>
      </c>
      <c r="AP107" s="552"/>
      <c r="AQ107" s="552"/>
      <c r="AR107" s="552"/>
      <c r="AS107" s="553"/>
      <c r="AT107" s="551">
        <f>AO107+1</f>
        <v>46013</v>
      </c>
      <c r="AU107" s="552"/>
      <c r="AV107" s="552"/>
      <c r="AW107" s="552"/>
      <c r="AX107" s="553"/>
    </row>
    <row r="108" spans="2:50" ht="15.5">
      <c r="B108" s="558"/>
      <c r="C108" s="558"/>
      <c r="D108" s="558"/>
      <c r="E108" s="558"/>
      <c r="F108" s="558"/>
      <c r="G108" s="558"/>
      <c r="H108" s="558"/>
      <c r="I108" s="205"/>
      <c r="J108" s="205"/>
      <c r="K108" s="205"/>
      <c r="L108" s="205"/>
      <c r="M108" s="206"/>
      <c r="N108" s="560"/>
      <c r="O108" s="560"/>
      <c r="P108" s="554" t="s">
        <v>707</v>
      </c>
      <c r="Q108" s="533"/>
      <c r="R108" s="533"/>
      <c r="S108" s="533"/>
      <c r="T108" s="533"/>
      <c r="U108" s="554" t="s">
        <v>708</v>
      </c>
      <c r="V108" s="533"/>
      <c r="W108" s="533"/>
      <c r="X108" s="533"/>
      <c r="Y108" s="533"/>
      <c r="Z108" s="554" t="s">
        <v>709</v>
      </c>
      <c r="AA108" s="533"/>
      <c r="AB108" s="533"/>
      <c r="AC108" s="533"/>
      <c r="AD108" s="533"/>
      <c r="AE108" s="554" t="s">
        <v>710</v>
      </c>
      <c r="AF108" s="533"/>
      <c r="AG108" s="533"/>
      <c r="AH108" s="533"/>
      <c r="AI108" s="533"/>
      <c r="AJ108" s="554" t="s">
        <v>711</v>
      </c>
      <c r="AK108" s="533"/>
      <c r="AL108" s="533"/>
      <c r="AM108" s="533"/>
      <c r="AN108" s="533"/>
      <c r="AO108" s="554" t="s">
        <v>712</v>
      </c>
      <c r="AP108" s="533"/>
      <c r="AQ108" s="533"/>
      <c r="AR108" s="533"/>
      <c r="AS108" s="533"/>
      <c r="AT108" s="554" t="s">
        <v>713</v>
      </c>
      <c r="AU108" s="533"/>
      <c r="AV108" s="533"/>
      <c r="AW108" s="533"/>
      <c r="AX108" s="533"/>
    </row>
    <row r="109" spans="2:50">
      <c r="B109" s="544" t="s">
        <v>649</v>
      </c>
      <c r="C109" s="544" t="s">
        <v>650</v>
      </c>
      <c r="D109" s="544"/>
      <c r="E109" s="544" t="s">
        <v>651</v>
      </c>
      <c r="F109" s="544"/>
      <c r="G109" s="544"/>
      <c r="H109" s="561" t="s">
        <v>652</v>
      </c>
      <c r="I109" s="583" t="s">
        <v>653</v>
      </c>
      <c r="J109" s="583"/>
      <c r="K109" s="583"/>
      <c r="L109" s="584" t="s">
        <v>652</v>
      </c>
      <c r="M109" s="567" t="s">
        <v>654</v>
      </c>
      <c r="N109" s="544"/>
      <c r="O109" s="544" t="s">
        <v>655</v>
      </c>
      <c r="P109" s="548" t="s">
        <v>656</v>
      </c>
      <c r="Q109" s="549"/>
      <c r="R109" s="549"/>
      <c r="S109" s="550"/>
      <c r="T109" s="544" t="s">
        <v>652</v>
      </c>
      <c r="U109" s="548" t="s">
        <v>656</v>
      </c>
      <c r="V109" s="549"/>
      <c r="W109" s="549"/>
      <c r="X109" s="550"/>
      <c r="Y109" s="544" t="s">
        <v>652</v>
      </c>
      <c r="Z109" s="548" t="s">
        <v>656</v>
      </c>
      <c r="AA109" s="549"/>
      <c r="AB109" s="549"/>
      <c r="AC109" s="550"/>
      <c r="AD109" s="544" t="s">
        <v>652</v>
      </c>
      <c r="AE109" s="548" t="s">
        <v>656</v>
      </c>
      <c r="AF109" s="549"/>
      <c r="AG109" s="549"/>
      <c r="AH109" s="550"/>
      <c r="AI109" s="544" t="s">
        <v>652</v>
      </c>
      <c r="AJ109" s="548" t="s">
        <v>656</v>
      </c>
      <c r="AK109" s="549"/>
      <c r="AL109" s="549"/>
      <c r="AM109" s="550"/>
      <c r="AN109" s="544" t="s">
        <v>652</v>
      </c>
      <c r="AO109" s="548" t="s">
        <v>656</v>
      </c>
      <c r="AP109" s="549"/>
      <c r="AQ109" s="549"/>
      <c r="AR109" s="550"/>
      <c r="AS109" s="544" t="s">
        <v>652</v>
      </c>
      <c r="AT109" s="548" t="s">
        <v>656</v>
      </c>
      <c r="AU109" s="549"/>
      <c r="AV109" s="549"/>
      <c r="AW109" s="550"/>
      <c r="AX109" s="544" t="s">
        <v>652</v>
      </c>
    </row>
    <row r="110" spans="2:50">
      <c r="B110" s="544"/>
      <c r="C110" s="544"/>
      <c r="D110" s="544"/>
      <c r="E110" s="544" t="s">
        <v>657</v>
      </c>
      <c r="F110" s="544"/>
      <c r="G110" s="544"/>
      <c r="H110" s="562"/>
      <c r="I110" s="583" t="s">
        <v>657</v>
      </c>
      <c r="J110" s="583"/>
      <c r="K110" s="583"/>
      <c r="L110" s="585"/>
      <c r="M110" s="568"/>
      <c r="N110" s="544"/>
      <c r="O110" s="544"/>
      <c r="P110" s="548" t="s">
        <v>658</v>
      </c>
      <c r="Q110" s="549"/>
      <c r="R110" s="549"/>
      <c r="S110" s="550"/>
      <c r="T110" s="544"/>
      <c r="U110" s="548" t="s">
        <v>658</v>
      </c>
      <c r="V110" s="549"/>
      <c r="W110" s="549"/>
      <c r="X110" s="550"/>
      <c r="Y110" s="544"/>
      <c r="Z110" s="548" t="s">
        <v>658</v>
      </c>
      <c r="AA110" s="549"/>
      <c r="AB110" s="549"/>
      <c r="AC110" s="550"/>
      <c r="AD110" s="544"/>
      <c r="AE110" s="548" t="s">
        <v>658</v>
      </c>
      <c r="AF110" s="549"/>
      <c r="AG110" s="549"/>
      <c r="AH110" s="550"/>
      <c r="AI110" s="544"/>
      <c r="AJ110" s="548" t="s">
        <v>658</v>
      </c>
      <c r="AK110" s="549"/>
      <c r="AL110" s="549"/>
      <c r="AM110" s="550"/>
      <c r="AN110" s="544"/>
      <c r="AO110" s="548" t="s">
        <v>658</v>
      </c>
      <c r="AP110" s="549"/>
      <c r="AQ110" s="549"/>
      <c r="AR110" s="550"/>
      <c r="AS110" s="544"/>
      <c r="AT110" s="548" t="s">
        <v>658</v>
      </c>
      <c r="AU110" s="549"/>
      <c r="AV110" s="549"/>
      <c r="AW110" s="550"/>
      <c r="AX110" s="544"/>
    </row>
    <row r="111" spans="2:50">
      <c r="B111" s="544"/>
      <c r="C111" s="544"/>
      <c r="D111" s="544"/>
      <c r="E111" s="403" t="s">
        <v>659</v>
      </c>
      <c r="F111" s="403" t="s">
        <v>660</v>
      </c>
      <c r="G111" s="403" t="s">
        <v>661</v>
      </c>
      <c r="H111" s="563"/>
      <c r="I111" s="402" t="s">
        <v>659</v>
      </c>
      <c r="J111" s="402" t="s">
        <v>660</v>
      </c>
      <c r="K111" s="402" t="s">
        <v>661</v>
      </c>
      <c r="L111" s="586"/>
      <c r="M111" s="569"/>
      <c r="N111" s="544"/>
      <c r="O111" s="544"/>
      <c r="P111" s="403" t="s">
        <v>659</v>
      </c>
      <c r="Q111" s="403" t="s">
        <v>660</v>
      </c>
      <c r="R111" s="403" t="s">
        <v>661</v>
      </c>
      <c r="S111" s="403" t="s">
        <v>654</v>
      </c>
      <c r="T111" s="544"/>
      <c r="U111" s="403" t="s">
        <v>659</v>
      </c>
      <c r="V111" s="403" t="s">
        <v>660</v>
      </c>
      <c r="W111" s="403" t="s">
        <v>661</v>
      </c>
      <c r="X111" s="403" t="s">
        <v>654</v>
      </c>
      <c r="Y111" s="544"/>
      <c r="Z111" s="403" t="s">
        <v>659</v>
      </c>
      <c r="AA111" s="403" t="s">
        <v>660</v>
      </c>
      <c r="AB111" s="403" t="s">
        <v>661</v>
      </c>
      <c r="AC111" s="403" t="s">
        <v>654</v>
      </c>
      <c r="AD111" s="544"/>
      <c r="AE111" s="403" t="s">
        <v>659</v>
      </c>
      <c r="AF111" s="403" t="s">
        <v>660</v>
      </c>
      <c r="AG111" s="403" t="s">
        <v>661</v>
      </c>
      <c r="AH111" s="403" t="s">
        <v>654</v>
      </c>
      <c r="AI111" s="544"/>
      <c r="AJ111" s="403" t="s">
        <v>659</v>
      </c>
      <c r="AK111" s="403" t="s">
        <v>660</v>
      </c>
      <c r="AL111" s="403" t="s">
        <v>661</v>
      </c>
      <c r="AM111" s="403" t="s">
        <v>654</v>
      </c>
      <c r="AN111" s="544"/>
      <c r="AO111" s="403" t="s">
        <v>659</v>
      </c>
      <c r="AP111" s="403" t="s">
        <v>660</v>
      </c>
      <c r="AQ111" s="403" t="s">
        <v>661</v>
      </c>
      <c r="AR111" s="403" t="s">
        <v>654</v>
      </c>
      <c r="AS111" s="544"/>
      <c r="AT111" s="403" t="s">
        <v>659</v>
      </c>
      <c r="AU111" s="403" t="s">
        <v>660</v>
      </c>
      <c r="AV111" s="403" t="s">
        <v>661</v>
      </c>
      <c r="AW111" s="403" t="s">
        <v>654</v>
      </c>
      <c r="AX111" s="544"/>
    </row>
    <row r="112" spans="2:50">
      <c r="B112" s="544" t="s">
        <v>714</v>
      </c>
      <c r="C112" s="404">
        <v>1</v>
      </c>
      <c r="D112" s="226" t="s">
        <v>374</v>
      </c>
      <c r="E112" s="182">
        <v>6</v>
      </c>
      <c r="F112" s="404">
        <v>1500</v>
      </c>
      <c r="G112" s="405">
        <v>250</v>
      </c>
      <c r="H112" s="597">
        <f>AVERAGE(G112:G141)</f>
        <v>98.75555555555556</v>
      </c>
      <c r="I112" s="408">
        <f>AVERAGE(P112,U112,Z112,AE112,AJ112,AO112,AT112)</f>
        <v>6</v>
      </c>
      <c r="J112" s="408">
        <f>AVERAGE(Q112,V112,AA112,AF112,AK112,AP112,AU112)</f>
        <v>1419.8817863511522</v>
      </c>
      <c r="K112" s="406">
        <f>AVERAGE(R112,W112,AB112,AG112,AL112,AQ112,AV112)</f>
        <v>236.64696439185869</v>
      </c>
      <c r="L112" s="587">
        <f>IFERROR(AVERAGE(K112:K141),"-")</f>
        <v>84.822133550219434</v>
      </c>
      <c r="M112" s="407">
        <f>RANK(K112, K$112:$K$141)</f>
        <v>1</v>
      </c>
      <c r="N112" s="544"/>
      <c r="O112" s="544"/>
      <c r="P112" s="182">
        <v>6</v>
      </c>
      <c r="Q112" s="182">
        <v>1418.4923076923073</v>
      </c>
      <c r="R112" s="182">
        <v>236.41538461538457</v>
      </c>
      <c r="S112" s="404">
        <f>RANK(R112, R$112:R$141)</f>
        <v>2</v>
      </c>
      <c r="T112" s="534">
        <f>AVERAGE(R112:R141)</f>
        <v>87.452599959548891</v>
      </c>
      <c r="U112" s="182">
        <v>6</v>
      </c>
      <c r="V112" s="182">
        <v>1438.6806282722512</v>
      </c>
      <c r="W112" s="182">
        <v>239.78010471204186</v>
      </c>
      <c r="X112" s="404">
        <f>RANK(W112, W$112:W$141)</f>
        <v>1</v>
      </c>
      <c r="Y112" s="534">
        <f>AVERAGE(W112:W141)</f>
        <v>86.620147808763988</v>
      </c>
      <c r="Z112" s="182">
        <v>6</v>
      </c>
      <c r="AA112" s="182">
        <v>1390.2408376963347</v>
      </c>
      <c r="AB112" s="182">
        <v>231.70680628272245</v>
      </c>
      <c r="AC112" s="404">
        <f>RANK(AB112, AB$112:AB$141)</f>
        <v>1</v>
      </c>
      <c r="AD112" s="534">
        <f>AVERAGE(AB112:AB141)</f>
        <v>85.277420467102289</v>
      </c>
      <c r="AE112" s="182">
        <v>6</v>
      </c>
      <c r="AF112" s="182">
        <v>1449.3139534883719</v>
      </c>
      <c r="AG112" s="182">
        <v>241.55232558139531</v>
      </c>
      <c r="AH112" s="404">
        <f>RANK(AG112, AG$112:AG$141)</f>
        <v>1</v>
      </c>
      <c r="AI112" s="534">
        <f>AVERAGE(AG112:AG141)</f>
        <v>86.332739529484897</v>
      </c>
      <c r="AJ112" s="182">
        <v>6</v>
      </c>
      <c r="AK112" s="182">
        <v>1445.6065573770495</v>
      </c>
      <c r="AL112" s="182">
        <v>240.93442622950826</v>
      </c>
      <c r="AM112" s="404">
        <f>RANK(AL112, AL$112:AL$141)</f>
        <v>1</v>
      </c>
      <c r="AN112" s="534">
        <f>AVERAGE(AL112:AL141)</f>
        <v>85.805900753483584</v>
      </c>
      <c r="AO112" s="182">
        <v>6</v>
      </c>
      <c r="AP112" s="182">
        <v>1398.6936416184967</v>
      </c>
      <c r="AQ112" s="182">
        <v>233.11560693641613</v>
      </c>
      <c r="AR112" s="404">
        <f>RANK(AQ112, AQ$112:AQ$141)</f>
        <v>1</v>
      </c>
      <c r="AS112" s="534">
        <f>AVERAGE(AQ112:AQ141)</f>
        <v>86.22218710249075</v>
      </c>
      <c r="AT112" s="182">
        <v>6</v>
      </c>
      <c r="AU112" s="182">
        <v>1398.1445783132526</v>
      </c>
      <c r="AV112" s="182">
        <v>233.02409638554209</v>
      </c>
      <c r="AW112" s="404">
        <f>RANK(AV112, AV$112:AV$141)</f>
        <v>1</v>
      </c>
      <c r="AX112" s="534">
        <f>AVERAGE(AV112:AV141)</f>
        <v>85.221025033317332</v>
      </c>
    </row>
    <row r="113" spans="2:50">
      <c r="B113" s="533"/>
      <c r="C113" s="404">
        <v>2</v>
      </c>
      <c r="D113" s="226" t="s">
        <v>398</v>
      </c>
      <c r="E113" s="182">
        <v>6</v>
      </c>
      <c r="F113" s="404">
        <v>1500</v>
      </c>
      <c r="G113" s="405">
        <v>250</v>
      </c>
      <c r="H113" s="598"/>
      <c r="I113" s="408">
        <f t="shared" ref="I113:K135" si="27">AVERAGE(P113,U113,Z113,AE113,AJ113,AO113,AT113)</f>
        <v>6.8571428571428568</v>
      </c>
      <c r="J113" s="408">
        <f t="shared" si="27"/>
        <v>1460.570026692023</v>
      </c>
      <c r="K113" s="406">
        <f t="shared" si="27"/>
        <v>213.6114384464054</v>
      </c>
      <c r="L113" s="588"/>
      <c r="M113" s="407">
        <f>RANK(K113, K$112:$K$141)</f>
        <v>2</v>
      </c>
      <c r="N113" s="544"/>
      <c r="O113" s="544"/>
      <c r="P113" s="182">
        <v>6</v>
      </c>
      <c r="Q113" s="182">
        <v>1457.8217821782173</v>
      </c>
      <c r="R113" s="182">
        <v>242.97029702970289</v>
      </c>
      <c r="S113" s="404">
        <f t="shared" ref="S113:S141" si="28">RANK(R113, R$112:R$141)</f>
        <v>1</v>
      </c>
      <c r="T113" s="534"/>
      <c r="U113" s="182">
        <v>7</v>
      </c>
      <c r="V113" s="182">
        <v>1434.4897959183702</v>
      </c>
      <c r="W113" s="182">
        <v>204.92711370262433</v>
      </c>
      <c r="X113" s="404">
        <f t="shared" ref="X113:X141" si="29">RANK(W113, W$112:W$141)</f>
        <v>2</v>
      </c>
      <c r="Y113" s="534"/>
      <c r="Z113" s="182">
        <v>7</v>
      </c>
      <c r="AA113" s="182">
        <v>1426.0606060606065</v>
      </c>
      <c r="AB113" s="182">
        <v>203.72294372294377</v>
      </c>
      <c r="AC113" s="404">
        <f t="shared" ref="AC113:AC141" si="30">RANK(AB113, AB$112:AB$141)</f>
        <v>2</v>
      </c>
      <c r="AD113" s="534"/>
      <c r="AE113" s="182">
        <v>7</v>
      </c>
      <c r="AF113" s="182">
        <v>1454.2857142857138</v>
      </c>
      <c r="AG113" s="182">
        <v>207.75510204081624</v>
      </c>
      <c r="AH113" s="404">
        <f t="shared" ref="AH113:AH141" si="31">RANK(AG113, AG$112:AG$141)</f>
        <v>2</v>
      </c>
      <c r="AI113" s="534"/>
      <c r="AJ113" s="182">
        <v>7</v>
      </c>
      <c r="AK113" s="182">
        <v>1477.2413793103447</v>
      </c>
      <c r="AL113" s="182">
        <v>211.03448275862067</v>
      </c>
      <c r="AM113" s="404">
        <f t="shared" ref="AM113:AM141" si="32">RANK(AL113, AL$112:AL$141)</f>
        <v>2</v>
      </c>
      <c r="AN113" s="534"/>
      <c r="AO113" s="182">
        <v>7</v>
      </c>
      <c r="AP113" s="182">
        <v>1475.4545454545455</v>
      </c>
      <c r="AQ113" s="182">
        <v>210.77922077922079</v>
      </c>
      <c r="AR113" s="404">
        <f t="shared" ref="AR113:AR141" si="33">RANK(AQ113, AQ$112:AQ$141)</f>
        <v>2</v>
      </c>
      <c r="AS113" s="534"/>
      <c r="AT113" s="182">
        <v>7</v>
      </c>
      <c r="AU113" s="182">
        <v>1498.6363636363635</v>
      </c>
      <c r="AV113" s="182">
        <v>214.09090909090907</v>
      </c>
      <c r="AW113" s="404">
        <f t="shared" ref="AW113:AW141" si="34">RANK(AV113, AV$112:AV$141)</f>
        <v>2</v>
      </c>
      <c r="AX113" s="534"/>
    </row>
    <row r="114" spans="2:50">
      <c r="B114" s="533"/>
      <c r="C114" s="404">
        <v>3</v>
      </c>
      <c r="D114" s="226" t="s">
        <v>375</v>
      </c>
      <c r="E114" s="182">
        <v>17</v>
      </c>
      <c r="F114" s="404">
        <v>1500</v>
      </c>
      <c r="G114" s="405">
        <v>88.2</v>
      </c>
      <c r="H114" s="598"/>
      <c r="I114" s="408">
        <f t="shared" si="27"/>
        <v>17.285714285714285</v>
      </c>
      <c r="J114" s="408">
        <f t="shared" si="27"/>
        <v>1319.9756329345071</v>
      </c>
      <c r="K114" s="406">
        <f t="shared" si="27"/>
        <v>76.4613201656679</v>
      </c>
      <c r="L114" s="588"/>
      <c r="M114" s="407">
        <f>RANK(K114, K$112:$K$141)</f>
        <v>11</v>
      </c>
      <c r="N114" s="544"/>
      <c r="O114" s="544"/>
      <c r="P114" s="182">
        <v>17</v>
      </c>
      <c r="Q114" s="182">
        <v>1360.8421052631591</v>
      </c>
      <c r="R114" s="182">
        <v>80.049535603715242</v>
      </c>
      <c r="S114" s="404">
        <f t="shared" si="28"/>
        <v>7</v>
      </c>
      <c r="T114" s="534"/>
      <c r="U114" s="182">
        <v>19</v>
      </c>
      <c r="V114" s="182">
        <v>1338.8571428571477</v>
      </c>
      <c r="W114" s="182">
        <v>70.466165413534085</v>
      </c>
      <c r="X114" s="404">
        <f t="shared" si="29"/>
        <v>19</v>
      </c>
      <c r="Y114" s="534"/>
      <c r="Z114" s="182">
        <v>17</v>
      </c>
      <c r="AA114" s="182">
        <v>1310.833333333338</v>
      </c>
      <c r="AB114" s="182">
        <v>77.107843137255173</v>
      </c>
      <c r="AC114" s="404">
        <f t="shared" si="30"/>
        <v>10</v>
      </c>
      <c r="AD114" s="534"/>
      <c r="AE114" s="182">
        <v>17</v>
      </c>
      <c r="AF114" s="182">
        <v>1352.2222222222229</v>
      </c>
      <c r="AG114" s="182">
        <v>79.542483660130756</v>
      </c>
      <c r="AH114" s="404">
        <f t="shared" si="31"/>
        <v>9</v>
      </c>
      <c r="AI114" s="534"/>
      <c r="AJ114" s="182">
        <v>17</v>
      </c>
      <c r="AK114" s="182">
        <v>1345.0746268656717</v>
      </c>
      <c r="AL114" s="182">
        <v>79.122036874451283</v>
      </c>
      <c r="AM114" s="404">
        <f t="shared" si="32"/>
        <v>7</v>
      </c>
      <c r="AN114" s="534"/>
      <c r="AO114" s="182">
        <v>17</v>
      </c>
      <c r="AP114" s="182">
        <v>1285.6000000000047</v>
      </c>
      <c r="AQ114" s="182">
        <v>75.623529411764977</v>
      </c>
      <c r="AR114" s="404">
        <f t="shared" si="33"/>
        <v>12</v>
      </c>
      <c r="AS114" s="534"/>
      <c r="AT114" s="182">
        <v>17</v>
      </c>
      <c r="AU114" s="182">
        <v>1246.4000000000044</v>
      </c>
      <c r="AV114" s="182">
        <v>73.317647058823795</v>
      </c>
      <c r="AW114" s="404">
        <f t="shared" si="34"/>
        <v>17</v>
      </c>
      <c r="AX114" s="534"/>
    </row>
    <row r="115" spans="2:50">
      <c r="B115" s="533"/>
      <c r="C115" s="404">
        <v>4</v>
      </c>
      <c r="D115" s="226" t="s">
        <v>355</v>
      </c>
      <c r="E115" s="182">
        <v>21</v>
      </c>
      <c r="F115" s="404">
        <v>1500</v>
      </c>
      <c r="G115" s="405">
        <v>71.400000000000006</v>
      </c>
      <c r="H115" s="598"/>
      <c r="I115" s="408">
        <f t="shared" si="27"/>
        <v>21</v>
      </c>
      <c r="J115" s="408">
        <f t="shared" si="27"/>
        <v>1323.0806103232794</v>
      </c>
      <c r="K115" s="406">
        <f t="shared" si="27"/>
        <v>63.003838586822837</v>
      </c>
      <c r="L115" s="588"/>
      <c r="M115" s="407">
        <f>RANK(K115, K$112:$K$141)</f>
        <v>25</v>
      </c>
      <c r="N115" s="544"/>
      <c r="O115" s="544"/>
      <c r="P115" s="182">
        <v>21</v>
      </c>
      <c r="Q115" s="182">
        <v>1345.909090909091</v>
      </c>
      <c r="R115" s="182">
        <v>64.090909090909093</v>
      </c>
      <c r="S115" s="404">
        <f t="shared" si="28"/>
        <v>24</v>
      </c>
      <c r="T115" s="534"/>
      <c r="U115" s="182">
        <v>21</v>
      </c>
      <c r="V115" s="182">
        <v>1310.2325581395348</v>
      </c>
      <c r="W115" s="182">
        <v>62.392026578073086</v>
      </c>
      <c r="X115" s="404">
        <f t="shared" si="29"/>
        <v>24</v>
      </c>
      <c r="Y115" s="534"/>
      <c r="Z115" s="182">
        <v>21</v>
      </c>
      <c r="AA115" s="182">
        <v>1289.3333333333333</v>
      </c>
      <c r="AB115" s="182">
        <v>61.396825396825392</v>
      </c>
      <c r="AC115" s="404">
        <f t="shared" si="30"/>
        <v>24</v>
      </c>
      <c r="AD115" s="534"/>
      <c r="AE115" s="182">
        <v>21</v>
      </c>
      <c r="AF115" s="182">
        <v>1332.3076923076917</v>
      </c>
      <c r="AG115" s="182">
        <v>63.443223443223417</v>
      </c>
      <c r="AH115" s="404">
        <f t="shared" si="31"/>
        <v>24</v>
      </c>
      <c r="AI115" s="534"/>
      <c r="AJ115" s="182">
        <v>21</v>
      </c>
      <c r="AK115" s="182">
        <v>1357.674418604651</v>
      </c>
      <c r="AL115" s="182">
        <v>64.651162790697668</v>
      </c>
      <c r="AM115" s="404">
        <f t="shared" si="32"/>
        <v>24</v>
      </c>
      <c r="AN115" s="534"/>
      <c r="AO115" s="182">
        <v>21</v>
      </c>
      <c r="AP115" s="182">
        <v>1326.9767441860463</v>
      </c>
      <c r="AQ115" s="182">
        <v>63.189368770764112</v>
      </c>
      <c r="AR115" s="404">
        <f t="shared" si="33"/>
        <v>24</v>
      </c>
      <c r="AS115" s="534"/>
      <c r="AT115" s="182">
        <v>21</v>
      </c>
      <c r="AU115" s="182">
        <v>1299.1304347826085</v>
      </c>
      <c r="AV115" s="182">
        <v>61.863354037267072</v>
      </c>
      <c r="AW115" s="404">
        <f t="shared" si="34"/>
        <v>25</v>
      </c>
      <c r="AX115" s="534"/>
    </row>
    <row r="116" spans="2:50">
      <c r="B116" s="533"/>
      <c r="C116" s="404">
        <v>5</v>
      </c>
      <c r="D116" s="226" t="s">
        <v>353</v>
      </c>
      <c r="E116" s="182">
        <v>16</v>
      </c>
      <c r="F116" s="404">
        <v>1500</v>
      </c>
      <c r="G116" s="405">
        <v>93.8</v>
      </c>
      <c r="H116" s="598"/>
      <c r="I116" s="408">
        <f t="shared" si="27"/>
        <v>16</v>
      </c>
      <c r="J116" s="408">
        <f t="shared" si="27"/>
        <v>1316.6283173348395</v>
      </c>
      <c r="K116" s="406">
        <f t="shared" si="27"/>
        <v>82.289269833427468</v>
      </c>
      <c r="L116" s="588"/>
      <c r="M116" s="407">
        <f>RANK(K116, K$112:$K$141)</f>
        <v>4</v>
      </c>
      <c r="N116" s="544"/>
      <c r="O116" s="544"/>
      <c r="P116" s="182">
        <v>16</v>
      </c>
      <c r="Q116" s="182">
        <v>1326.1224489795923</v>
      </c>
      <c r="R116" s="182">
        <v>82.882653061224516</v>
      </c>
      <c r="S116" s="404">
        <f t="shared" si="28"/>
        <v>5</v>
      </c>
      <c r="T116" s="534"/>
      <c r="U116" s="182">
        <v>16</v>
      </c>
      <c r="V116" s="182">
        <v>1337.5000000000005</v>
      </c>
      <c r="W116" s="182">
        <v>83.593750000000028</v>
      </c>
      <c r="X116" s="404">
        <f t="shared" si="29"/>
        <v>5</v>
      </c>
      <c r="Y116" s="534"/>
      <c r="Z116" s="182">
        <v>16</v>
      </c>
      <c r="AA116" s="182">
        <v>1301.7391304347825</v>
      </c>
      <c r="AB116" s="182">
        <v>81.358695652173907</v>
      </c>
      <c r="AC116" s="404">
        <f t="shared" si="30"/>
        <v>6</v>
      </c>
      <c r="AD116" s="534"/>
      <c r="AE116" s="182">
        <v>16</v>
      </c>
      <c r="AF116" s="182">
        <v>1315.909090909091</v>
      </c>
      <c r="AG116" s="182">
        <v>82.244318181818187</v>
      </c>
      <c r="AH116" s="404">
        <f t="shared" si="31"/>
        <v>5</v>
      </c>
      <c r="AI116" s="534"/>
      <c r="AJ116" s="182">
        <v>16</v>
      </c>
      <c r="AK116" s="182">
        <v>1331.2500000000005</v>
      </c>
      <c r="AL116" s="182">
        <v>83.203125000000028</v>
      </c>
      <c r="AM116" s="404">
        <f t="shared" si="32"/>
        <v>4</v>
      </c>
      <c r="AN116" s="534"/>
      <c r="AO116" s="182">
        <v>16</v>
      </c>
      <c r="AP116" s="182">
        <v>1290.0000000000007</v>
      </c>
      <c r="AQ116" s="182">
        <v>80.625000000000043</v>
      </c>
      <c r="AR116" s="404">
        <f t="shared" si="33"/>
        <v>6</v>
      </c>
      <c r="AS116" s="534"/>
      <c r="AT116" s="182">
        <v>16</v>
      </c>
      <c r="AU116" s="182">
        <v>1313.8775510204084</v>
      </c>
      <c r="AV116" s="182">
        <v>82.117346938775526</v>
      </c>
      <c r="AW116" s="404">
        <f t="shared" si="34"/>
        <v>7</v>
      </c>
      <c r="AX116" s="534"/>
    </row>
    <row r="117" spans="2:50">
      <c r="B117" s="533"/>
      <c r="C117" s="404">
        <v>6</v>
      </c>
      <c r="D117" s="226" t="s">
        <v>382</v>
      </c>
      <c r="E117" s="182">
        <v>16</v>
      </c>
      <c r="F117" s="404">
        <v>1565</v>
      </c>
      <c r="G117" s="405">
        <v>97.8</v>
      </c>
      <c r="H117" s="598"/>
      <c r="I117" s="408">
        <f t="shared" si="27"/>
        <v>15.142857142857142</v>
      </c>
      <c r="J117" s="408">
        <f t="shared" si="27"/>
        <v>1381.8991397527639</v>
      </c>
      <c r="K117" s="406">
        <f t="shared" si="27"/>
        <v>91.316928865723099</v>
      </c>
      <c r="L117" s="588"/>
      <c r="M117" s="407">
        <f>RANK(K117, K$112:$K$141)</f>
        <v>3</v>
      </c>
      <c r="N117" s="544"/>
      <c r="O117" s="544"/>
      <c r="P117" s="182">
        <v>15</v>
      </c>
      <c r="Q117" s="182">
        <v>1398.987341772151</v>
      </c>
      <c r="R117" s="182">
        <v>93.265822784810069</v>
      </c>
      <c r="S117" s="404">
        <f t="shared" si="28"/>
        <v>3</v>
      </c>
      <c r="T117" s="534"/>
      <c r="U117" s="182">
        <v>15</v>
      </c>
      <c r="V117" s="182">
        <v>1391.842105263157</v>
      </c>
      <c r="W117" s="182">
        <v>92.789473684210463</v>
      </c>
      <c r="X117" s="404">
        <f t="shared" si="29"/>
        <v>3</v>
      </c>
      <c r="Y117" s="534"/>
      <c r="Z117" s="182">
        <v>15</v>
      </c>
      <c r="AA117" s="182">
        <v>1381.6666666666656</v>
      </c>
      <c r="AB117" s="182">
        <v>92.111111111111043</v>
      </c>
      <c r="AC117" s="404">
        <f t="shared" si="30"/>
        <v>3</v>
      </c>
      <c r="AD117" s="534"/>
      <c r="AE117" s="182">
        <v>16</v>
      </c>
      <c r="AF117" s="182">
        <v>1360.2631578947357</v>
      </c>
      <c r="AG117" s="182">
        <v>85.016447368420984</v>
      </c>
      <c r="AH117" s="404">
        <f t="shared" si="31"/>
        <v>3</v>
      </c>
      <c r="AI117" s="534"/>
      <c r="AJ117" s="182">
        <v>15</v>
      </c>
      <c r="AK117" s="182">
        <v>1408.0519480519472</v>
      </c>
      <c r="AL117" s="182">
        <v>93.870129870129816</v>
      </c>
      <c r="AM117" s="404">
        <f t="shared" si="32"/>
        <v>3</v>
      </c>
      <c r="AN117" s="534"/>
      <c r="AO117" s="182">
        <v>15</v>
      </c>
      <c r="AP117" s="182">
        <v>1378</v>
      </c>
      <c r="AQ117" s="182">
        <v>91.86666666666666</v>
      </c>
      <c r="AR117" s="404">
        <f t="shared" si="33"/>
        <v>3</v>
      </c>
      <c r="AS117" s="534"/>
      <c r="AT117" s="182">
        <v>15</v>
      </c>
      <c r="AU117" s="182">
        <v>1354.4827586206895</v>
      </c>
      <c r="AV117" s="182">
        <v>90.298850574712631</v>
      </c>
      <c r="AW117" s="404">
        <f t="shared" si="34"/>
        <v>3</v>
      </c>
      <c r="AX117" s="534"/>
    </row>
    <row r="118" spans="2:50">
      <c r="B118" s="533"/>
      <c r="C118" s="404">
        <v>7</v>
      </c>
      <c r="D118" s="226" t="s">
        <v>343</v>
      </c>
      <c r="E118" s="182">
        <v>14</v>
      </c>
      <c r="F118" s="404">
        <v>1440</v>
      </c>
      <c r="G118" s="405">
        <v>102.9</v>
      </c>
      <c r="H118" s="598"/>
      <c r="I118" s="408">
        <f t="shared" si="27"/>
        <v>15</v>
      </c>
      <c r="J118" s="408">
        <f t="shared" si="27"/>
        <v>1232.709061655806</v>
      </c>
      <c r="K118" s="406">
        <f t="shared" si="27"/>
        <v>82.180604110387065</v>
      </c>
      <c r="L118" s="588"/>
      <c r="M118" s="407">
        <f>RANK(K118, K$112:$K$141)</f>
        <v>5</v>
      </c>
      <c r="N118" s="544"/>
      <c r="O118" s="544"/>
      <c r="P118" s="182">
        <v>15</v>
      </c>
      <c r="Q118" s="182">
        <v>1299.3749999999982</v>
      </c>
      <c r="R118" s="182">
        <v>86.624999999999872</v>
      </c>
      <c r="S118" s="404">
        <f t="shared" si="28"/>
        <v>4</v>
      </c>
      <c r="T118" s="534"/>
      <c r="U118" s="182">
        <v>15</v>
      </c>
      <c r="V118" s="182">
        <v>1277.9999999999977</v>
      </c>
      <c r="W118" s="182">
        <v>85.199999999999847</v>
      </c>
      <c r="X118" s="404">
        <f t="shared" si="29"/>
        <v>4</v>
      </c>
      <c r="Y118" s="534"/>
      <c r="Z118" s="182">
        <v>15</v>
      </c>
      <c r="AA118" s="182">
        <v>1110.9677419354821</v>
      </c>
      <c r="AB118" s="182">
        <v>74.064516129032143</v>
      </c>
      <c r="AC118" s="404">
        <f t="shared" si="30"/>
        <v>13</v>
      </c>
      <c r="AD118" s="534"/>
      <c r="AE118" s="182">
        <v>15</v>
      </c>
      <c r="AF118" s="182">
        <v>1245.9999999999977</v>
      </c>
      <c r="AG118" s="182">
        <v>83.066666666666521</v>
      </c>
      <c r="AH118" s="404">
        <f t="shared" si="31"/>
        <v>4</v>
      </c>
      <c r="AI118" s="534"/>
      <c r="AJ118" s="182">
        <v>15</v>
      </c>
      <c r="AK118" s="182">
        <v>1123.4482758620668</v>
      </c>
      <c r="AL118" s="182">
        <v>74.89655172413778</v>
      </c>
      <c r="AM118" s="404">
        <f t="shared" si="32"/>
        <v>12</v>
      </c>
      <c r="AN118" s="534"/>
      <c r="AO118" s="182">
        <v>15</v>
      </c>
      <c r="AP118" s="182">
        <v>1275.9999999999977</v>
      </c>
      <c r="AQ118" s="182">
        <v>85.066666666666521</v>
      </c>
      <c r="AR118" s="404">
        <f t="shared" si="33"/>
        <v>4</v>
      </c>
      <c r="AS118" s="534"/>
      <c r="AT118" s="182">
        <v>15</v>
      </c>
      <c r="AU118" s="182">
        <v>1295.172413793101</v>
      </c>
      <c r="AV118" s="182">
        <v>86.344827586206733</v>
      </c>
      <c r="AW118" s="404">
        <f t="shared" si="34"/>
        <v>4</v>
      </c>
      <c r="AX118" s="534"/>
    </row>
    <row r="119" spans="2:50">
      <c r="B119" s="533"/>
      <c r="C119" s="404">
        <v>8</v>
      </c>
      <c r="D119" s="226" t="s">
        <v>381</v>
      </c>
      <c r="E119" s="182">
        <v>16</v>
      </c>
      <c r="F119" s="404">
        <v>1440</v>
      </c>
      <c r="G119" s="405">
        <v>90</v>
      </c>
      <c r="H119" s="598"/>
      <c r="I119" s="408">
        <f t="shared" si="27"/>
        <v>16</v>
      </c>
      <c r="J119" s="408">
        <f t="shared" si="27"/>
        <v>1275.7347748738146</v>
      </c>
      <c r="K119" s="406">
        <f t="shared" si="27"/>
        <v>79.73342342961341</v>
      </c>
      <c r="L119" s="588"/>
      <c r="M119" s="407">
        <f>RANK(K119, K$112:$K$141)</f>
        <v>8</v>
      </c>
      <c r="N119" s="544"/>
      <c r="O119" s="544"/>
      <c r="P119" s="182">
        <v>16</v>
      </c>
      <c r="Q119" s="182">
        <v>1248.5106382978724</v>
      </c>
      <c r="R119" s="182">
        <v>78.031914893617028</v>
      </c>
      <c r="S119" s="404">
        <f t="shared" si="28"/>
        <v>11</v>
      </c>
      <c r="T119" s="534"/>
      <c r="U119" s="182">
        <v>16</v>
      </c>
      <c r="V119" s="182">
        <v>1279.5348837209301</v>
      </c>
      <c r="W119" s="182">
        <v>79.970930232558132</v>
      </c>
      <c r="X119" s="404">
        <f t="shared" si="29"/>
        <v>9</v>
      </c>
      <c r="Y119" s="534"/>
      <c r="Z119" s="182">
        <v>16</v>
      </c>
      <c r="AA119" s="182">
        <v>1278.4615384615377</v>
      </c>
      <c r="AB119" s="182">
        <v>79.903846153846104</v>
      </c>
      <c r="AC119" s="404">
        <f t="shared" si="30"/>
        <v>7</v>
      </c>
      <c r="AD119" s="534"/>
      <c r="AE119" s="182">
        <v>16</v>
      </c>
      <c r="AF119" s="182">
        <v>1279.9999999999995</v>
      </c>
      <c r="AG119" s="182">
        <v>79.999999999999972</v>
      </c>
      <c r="AH119" s="404">
        <f t="shared" si="31"/>
        <v>8</v>
      </c>
      <c r="AI119" s="534"/>
      <c r="AJ119" s="182">
        <v>16</v>
      </c>
      <c r="AK119" s="182">
        <v>1253.1818181818182</v>
      </c>
      <c r="AL119" s="182">
        <v>78.32386363636364</v>
      </c>
      <c r="AM119" s="404">
        <f t="shared" si="32"/>
        <v>8</v>
      </c>
      <c r="AN119" s="534"/>
      <c r="AO119" s="182">
        <v>16</v>
      </c>
      <c r="AP119" s="182">
        <v>1310.4545454545455</v>
      </c>
      <c r="AQ119" s="182">
        <v>81.903409090909093</v>
      </c>
      <c r="AR119" s="404">
        <f t="shared" si="33"/>
        <v>5</v>
      </c>
      <c r="AS119" s="534"/>
      <c r="AT119" s="182">
        <v>16</v>
      </c>
      <c r="AU119" s="182">
        <v>1279.9999999999995</v>
      </c>
      <c r="AV119" s="182">
        <v>79.999999999999972</v>
      </c>
      <c r="AW119" s="404">
        <f t="shared" si="34"/>
        <v>9</v>
      </c>
      <c r="AX119" s="534"/>
    </row>
    <row r="120" spans="2:50">
      <c r="B120" s="533"/>
      <c r="C120" s="404">
        <v>9</v>
      </c>
      <c r="D120" s="226" t="s">
        <v>377</v>
      </c>
      <c r="E120" s="182">
        <v>18</v>
      </c>
      <c r="F120" s="404">
        <v>1440</v>
      </c>
      <c r="G120" s="405">
        <v>80</v>
      </c>
      <c r="H120" s="598"/>
      <c r="I120" s="408">
        <f t="shared" si="27"/>
        <v>17.142857142857142</v>
      </c>
      <c r="J120" s="408">
        <f t="shared" si="27"/>
        <v>1179.6868156460275</v>
      </c>
      <c r="K120" s="406">
        <f t="shared" si="27"/>
        <v>68.839653954901706</v>
      </c>
      <c r="L120" s="588"/>
      <c r="M120" s="407">
        <f>RANK(K120, K$112:$K$141)</f>
        <v>23</v>
      </c>
      <c r="N120" s="544"/>
      <c r="O120" s="544"/>
      <c r="P120" s="182">
        <v>18</v>
      </c>
      <c r="Q120" s="182">
        <v>1186.0000000000011</v>
      </c>
      <c r="R120" s="182">
        <v>65.888888888888957</v>
      </c>
      <c r="S120" s="404">
        <f t="shared" si="28"/>
        <v>23</v>
      </c>
      <c r="T120" s="534"/>
      <c r="U120" s="182">
        <v>17</v>
      </c>
      <c r="V120" s="182">
        <v>1184.2105263157903</v>
      </c>
      <c r="W120" s="182">
        <v>69.659442724458245</v>
      </c>
      <c r="X120" s="404">
        <f t="shared" si="29"/>
        <v>22</v>
      </c>
      <c r="Y120" s="534"/>
      <c r="Z120" s="182">
        <v>17</v>
      </c>
      <c r="AA120" s="182">
        <v>1161.6000000000004</v>
      </c>
      <c r="AB120" s="182">
        <v>68.32941176470591</v>
      </c>
      <c r="AC120" s="404">
        <f t="shared" si="30"/>
        <v>22</v>
      </c>
      <c r="AD120" s="534"/>
      <c r="AE120" s="182">
        <v>17</v>
      </c>
      <c r="AF120" s="182">
        <v>1202.3529411764709</v>
      </c>
      <c r="AG120" s="182">
        <v>70.726643598615937</v>
      </c>
      <c r="AH120" s="404">
        <f t="shared" si="31"/>
        <v>21</v>
      </c>
      <c r="AI120" s="534"/>
      <c r="AJ120" s="182">
        <v>17</v>
      </c>
      <c r="AK120" s="182">
        <v>1167.6000000000004</v>
      </c>
      <c r="AL120" s="182">
        <v>68.682352941176489</v>
      </c>
      <c r="AM120" s="404">
        <f t="shared" si="32"/>
        <v>21</v>
      </c>
      <c r="AN120" s="534"/>
      <c r="AO120" s="182">
        <v>17</v>
      </c>
      <c r="AP120" s="182">
        <v>1197.9310344827595</v>
      </c>
      <c r="AQ120" s="182">
        <v>70.466531440162328</v>
      </c>
      <c r="AR120" s="404">
        <f t="shared" si="33"/>
        <v>22</v>
      </c>
      <c r="AS120" s="534"/>
      <c r="AT120" s="182">
        <v>17</v>
      </c>
      <c r="AU120" s="182">
        <v>1158.1132075471705</v>
      </c>
      <c r="AV120" s="182">
        <v>68.124306326304151</v>
      </c>
      <c r="AW120" s="404">
        <f t="shared" si="34"/>
        <v>23</v>
      </c>
      <c r="AX120" s="534"/>
    </row>
    <row r="121" spans="2:50">
      <c r="B121" s="533"/>
      <c r="C121" s="404">
        <v>10</v>
      </c>
      <c r="D121" s="226" t="s">
        <v>380</v>
      </c>
      <c r="E121" s="182">
        <v>18</v>
      </c>
      <c r="F121" s="404">
        <v>1636</v>
      </c>
      <c r="G121" s="405">
        <v>90.9</v>
      </c>
      <c r="H121" s="598"/>
      <c r="I121" s="408">
        <f t="shared" si="27"/>
        <v>18</v>
      </c>
      <c r="J121" s="408">
        <f t="shared" si="27"/>
        <v>1286.1989082698765</v>
      </c>
      <c r="K121" s="406">
        <f t="shared" si="27"/>
        <v>71.455494903882027</v>
      </c>
      <c r="L121" s="588"/>
      <c r="M121" s="407">
        <f>RANK(K121, K$112:$K$141)</f>
        <v>19</v>
      </c>
      <c r="N121" s="544"/>
      <c r="O121" s="544"/>
      <c r="P121" s="182">
        <v>18</v>
      </c>
      <c r="Q121" s="182">
        <v>1307.0000000000011</v>
      </c>
      <c r="R121" s="182">
        <v>72.611111111111171</v>
      </c>
      <c r="S121" s="404">
        <f t="shared" si="28"/>
        <v>15</v>
      </c>
      <c r="T121" s="534"/>
      <c r="U121" s="182">
        <v>18</v>
      </c>
      <c r="V121" s="182">
        <v>1287.7777777777783</v>
      </c>
      <c r="W121" s="182">
        <v>71.543209876543244</v>
      </c>
      <c r="X121" s="404">
        <f t="shared" si="29"/>
        <v>17</v>
      </c>
      <c r="Y121" s="534"/>
      <c r="Z121" s="182">
        <v>18</v>
      </c>
      <c r="AA121" s="182">
        <v>1264.6153846153852</v>
      </c>
      <c r="AB121" s="182">
        <v>70.256410256410291</v>
      </c>
      <c r="AC121" s="404">
        <f t="shared" si="30"/>
        <v>19</v>
      </c>
      <c r="AD121" s="534"/>
      <c r="AE121" s="182">
        <v>18</v>
      </c>
      <c r="AF121" s="182">
        <v>1300.3846153846162</v>
      </c>
      <c r="AG121" s="182">
        <v>72.24358974358978</v>
      </c>
      <c r="AH121" s="404">
        <f t="shared" si="31"/>
        <v>19</v>
      </c>
      <c r="AI121" s="534"/>
      <c r="AJ121" s="182">
        <v>18</v>
      </c>
      <c r="AK121" s="182">
        <v>1286.0377358490573</v>
      </c>
      <c r="AL121" s="182">
        <v>71.446540880503179</v>
      </c>
      <c r="AM121" s="404">
        <f t="shared" si="32"/>
        <v>16</v>
      </c>
      <c r="AN121" s="534"/>
      <c r="AO121" s="182">
        <v>18</v>
      </c>
      <c r="AP121" s="182">
        <v>1275.9375000000016</v>
      </c>
      <c r="AQ121" s="182">
        <v>70.885416666666757</v>
      </c>
      <c r="AR121" s="404">
        <f t="shared" si="33"/>
        <v>20</v>
      </c>
      <c r="AS121" s="534"/>
      <c r="AT121" s="182">
        <v>18</v>
      </c>
      <c r="AU121" s="182">
        <v>1281.6393442622964</v>
      </c>
      <c r="AV121" s="182">
        <v>71.202185792349795</v>
      </c>
      <c r="AW121" s="404">
        <f t="shared" si="34"/>
        <v>18</v>
      </c>
      <c r="AX121" s="534"/>
    </row>
    <row r="122" spans="2:50">
      <c r="B122" s="533"/>
      <c r="C122" s="404">
        <v>11</v>
      </c>
      <c r="D122" s="226" t="s">
        <v>379</v>
      </c>
      <c r="E122" s="182">
        <v>18</v>
      </c>
      <c r="F122" s="404">
        <v>1636</v>
      </c>
      <c r="G122" s="405">
        <v>90.9</v>
      </c>
      <c r="H122" s="598"/>
      <c r="I122" s="408">
        <f t="shared" si="27"/>
        <v>18</v>
      </c>
      <c r="J122" s="408">
        <f t="shared" si="27"/>
        <v>1272.1906668846027</v>
      </c>
      <c r="K122" s="406">
        <f t="shared" si="27"/>
        <v>70.677259271366822</v>
      </c>
      <c r="L122" s="588"/>
      <c r="M122" s="407">
        <f>RANK(K122, K$112:$K$141)</f>
        <v>21</v>
      </c>
      <c r="N122" s="544"/>
      <c r="O122" s="544"/>
      <c r="P122" s="182">
        <v>18</v>
      </c>
      <c r="Q122" s="182">
        <v>1274.3478260869565</v>
      </c>
      <c r="R122" s="182">
        <v>70.79710144927536</v>
      </c>
      <c r="S122" s="404">
        <f t="shared" si="28"/>
        <v>16</v>
      </c>
      <c r="T122" s="534"/>
      <c r="U122" s="182">
        <v>18</v>
      </c>
      <c r="V122" s="182">
        <v>1258.6363636363635</v>
      </c>
      <c r="W122" s="182">
        <v>69.924242424242422</v>
      </c>
      <c r="X122" s="404">
        <f t="shared" si="29"/>
        <v>20</v>
      </c>
      <c r="Y122" s="534"/>
      <c r="Z122" s="182">
        <v>18</v>
      </c>
      <c r="AA122" s="182">
        <v>1294.7368421052622</v>
      </c>
      <c r="AB122" s="182">
        <v>71.92982456140345</v>
      </c>
      <c r="AC122" s="404">
        <f t="shared" si="30"/>
        <v>15</v>
      </c>
      <c r="AD122" s="534"/>
      <c r="AE122" s="182">
        <v>18</v>
      </c>
      <c r="AF122" s="182">
        <v>1258.6363636363635</v>
      </c>
      <c r="AG122" s="182">
        <v>69.924242424242422</v>
      </c>
      <c r="AH122" s="404">
        <f t="shared" si="31"/>
        <v>22</v>
      </c>
      <c r="AI122" s="534"/>
      <c r="AJ122" s="182">
        <v>18</v>
      </c>
      <c r="AK122" s="182">
        <v>1262.7272727272727</v>
      </c>
      <c r="AL122" s="182">
        <v>70.151515151515156</v>
      </c>
      <c r="AM122" s="404">
        <f t="shared" si="32"/>
        <v>19</v>
      </c>
      <c r="AN122" s="534"/>
      <c r="AO122" s="182">
        <v>18</v>
      </c>
      <c r="AP122" s="182">
        <v>1287.5000000000005</v>
      </c>
      <c r="AQ122" s="182">
        <v>71.5277777777778</v>
      </c>
      <c r="AR122" s="404">
        <f t="shared" si="33"/>
        <v>19</v>
      </c>
      <c r="AS122" s="534"/>
      <c r="AT122" s="182">
        <v>18</v>
      </c>
      <c r="AU122" s="182">
        <v>1268.7500000000005</v>
      </c>
      <c r="AV122" s="182">
        <v>70.486111111111143</v>
      </c>
      <c r="AW122" s="404">
        <f t="shared" si="34"/>
        <v>21</v>
      </c>
      <c r="AX122" s="534"/>
    </row>
    <row r="123" spans="2:50">
      <c r="B123" s="533"/>
      <c r="C123" s="404">
        <v>12</v>
      </c>
      <c r="D123" s="226" t="s">
        <v>356</v>
      </c>
      <c r="E123" s="182">
        <v>17</v>
      </c>
      <c r="F123" s="404">
        <v>1500</v>
      </c>
      <c r="G123" s="405">
        <v>88.2</v>
      </c>
      <c r="H123" s="598"/>
      <c r="I123" s="408">
        <f t="shared" si="27"/>
        <v>17</v>
      </c>
      <c r="J123" s="408">
        <f t="shared" si="27"/>
        <v>1280.5754617043815</v>
      </c>
      <c r="K123" s="406">
        <f t="shared" si="27"/>
        <v>75.327968335551844</v>
      </c>
      <c r="L123" s="588"/>
      <c r="M123" s="407">
        <f>RANK(K123, K$112:$K$141)</f>
        <v>13</v>
      </c>
      <c r="N123" s="544"/>
      <c r="O123" s="544"/>
      <c r="P123" s="182">
        <v>17</v>
      </c>
      <c r="Q123" s="182">
        <v>1282.6666666666665</v>
      </c>
      <c r="R123" s="182">
        <v>75.45098039215685</v>
      </c>
      <c r="S123" s="404">
        <f t="shared" si="28"/>
        <v>13</v>
      </c>
      <c r="T123" s="534"/>
      <c r="U123" s="182">
        <v>17</v>
      </c>
      <c r="V123" s="182">
        <v>1284.8780487804875</v>
      </c>
      <c r="W123" s="182">
        <v>75.581061692969854</v>
      </c>
      <c r="X123" s="404">
        <f t="shared" si="29"/>
        <v>13</v>
      </c>
      <c r="Y123" s="534"/>
      <c r="Z123" s="182">
        <v>17</v>
      </c>
      <c r="AA123" s="182">
        <v>1250.7692307692303</v>
      </c>
      <c r="AB123" s="182">
        <v>73.574660633484129</v>
      </c>
      <c r="AC123" s="404">
        <f t="shared" si="30"/>
        <v>14</v>
      </c>
      <c r="AD123" s="534"/>
      <c r="AE123" s="182">
        <v>17</v>
      </c>
      <c r="AF123" s="182">
        <v>1248.5714285714282</v>
      </c>
      <c r="AG123" s="182">
        <v>73.445378151260485</v>
      </c>
      <c r="AH123" s="404">
        <f t="shared" si="31"/>
        <v>14</v>
      </c>
      <c r="AI123" s="534"/>
      <c r="AJ123" s="182">
        <v>17</v>
      </c>
      <c r="AK123" s="182">
        <v>1316.9999999999995</v>
      </c>
      <c r="AL123" s="182">
        <v>77.470588235294088</v>
      </c>
      <c r="AM123" s="404">
        <f t="shared" si="32"/>
        <v>10</v>
      </c>
      <c r="AN123" s="534"/>
      <c r="AO123" s="182">
        <v>17</v>
      </c>
      <c r="AP123" s="182">
        <v>1287.1428571428567</v>
      </c>
      <c r="AQ123" s="182">
        <v>75.71428571428568</v>
      </c>
      <c r="AR123" s="404">
        <f t="shared" si="33"/>
        <v>11</v>
      </c>
      <c r="AS123" s="534"/>
      <c r="AT123" s="182">
        <v>17</v>
      </c>
      <c r="AU123" s="182">
        <v>1292.9999999999995</v>
      </c>
      <c r="AV123" s="182">
        <v>76.05882352941174</v>
      </c>
      <c r="AW123" s="404">
        <f t="shared" si="34"/>
        <v>13</v>
      </c>
      <c r="AX123" s="534"/>
    </row>
    <row r="124" spans="2:50">
      <c r="B124" s="533"/>
      <c r="C124" s="404">
        <v>13</v>
      </c>
      <c r="D124" s="226" t="s">
        <v>606</v>
      </c>
      <c r="E124" s="182">
        <v>18</v>
      </c>
      <c r="F124" s="404">
        <v>1440</v>
      </c>
      <c r="G124" s="405">
        <v>80</v>
      </c>
      <c r="H124" s="598"/>
      <c r="I124" s="408">
        <f t="shared" si="27"/>
        <v>18.428571428571427</v>
      </c>
      <c r="J124" s="408">
        <f t="shared" si="27"/>
        <v>1344.3716817839772</v>
      </c>
      <c r="K124" s="406">
        <f t="shared" si="27"/>
        <v>73.006361986798694</v>
      </c>
      <c r="L124" s="588"/>
      <c r="M124" s="407">
        <f>RANK(K124, K$112:$K$141)</f>
        <v>15</v>
      </c>
      <c r="N124" s="544"/>
      <c r="O124" s="544"/>
      <c r="P124" s="182">
        <v>19</v>
      </c>
      <c r="Q124" s="182">
        <v>1337.5609756097556</v>
      </c>
      <c r="R124" s="182">
        <v>70.397946084723984</v>
      </c>
      <c r="S124" s="404">
        <f t="shared" si="28"/>
        <v>17</v>
      </c>
      <c r="T124" s="534"/>
      <c r="U124" s="182">
        <v>19</v>
      </c>
      <c r="V124" s="182">
        <v>1324.799999999999</v>
      </c>
      <c r="W124" s="182">
        <v>69.726315789473631</v>
      </c>
      <c r="X124" s="404">
        <f t="shared" si="29"/>
        <v>21</v>
      </c>
      <c r="Y124" s="534"/>
      <c r="Z124" s="182">
        <v>18</v>
      </c>
      <c r="AA124" s="182">
        <v>1336.7647058823545</v>
      </c>
      <c r="AB124" s="182">
        <v>74.264705882353027</v>
      </c>
      <c r="AC124" s="404">
        <f t="shared" si="30"/>
        <v>12</v>
      </c>
      <c r="AD124" s="534"/>
      <c r="AE124" s="182">
        <v>18</v>
      </c>
      <c r="AF124" s="182">
        <v>1353.8028169014071</v>
      </c>
      <c r="AG124" s="182">
        <v>75.211267605633736</v>
      </c>
      <c r="AH124" s="404">
        <f t="shared" si="31"/>
        <v>13</v>
      </c>
      <c r="AI124" s="534"/>
      <c r="AJ124" s="182">
        <v>18</v>
      </c>
      <c r="AK124" s="182">
        <v>1346.9999999999995</v>
      </c>
      <c r="AL124" s="182">
        <v>74.833333333333314</v>
      </c>
      <c r="AM124" s="404">
        <f t="shared" si="32"/>
        <v>13</v>
      </c>
      <c r="AN124" s="534"/>
      <c r="AO124" s="182">
        <v>19</v>
      </c>
      <c r="AP124" s="182">
        <v>1361.842105263157</v>
      </c>
      <c r="AQ124" s="182">
        <v>71.675900277008267</v>
      </c>
      <c r="AR124" s="404">
        <f t="shared" si="33"/>
        <v>18</v>
      </c>
      <c r="AS124" s="534"/>
      <c r="AT124" s="182">
        <v>18</v>
      </c>
      <c r="AU124" s="182">
        <v>1348.831168831168</v>
      </c>
      <c r="AV124" s="182">
        <v>74.935064935064887</v>
      </c>
      <c r="AW124" s="404">
        <f t="shared" si="34"/>
        <v>15</v>
      </c>
      <c r="AX124" s="534"/>
    </row>
    <row r="125" spans="2:50">
      <c r="B125" s="533"/>
      <c r="C125" s="404">
        <v>14</v>
      </c>
      <c r="D125" s="226" t="s">
        <v>384</v>
      </c>
      <c r="E125" s="182">
        <v>15</v>
      </c>
      <c r="F125" s="404">
        <v>1440</v>
      </c>
      <c r="G125" s="405">
        <v>96</v>
      </c>
      <c r="H125" s="598"/>
      <c r="I125" s="408">
        <f t="shared" si="27"/>
        <v>16</v>
      </c>
      <c r="J125" s="408">
        <f t="shared" si="27"/>
        <v>1278.3014667184532</v>
      </c>
      <c r="K125" s="406">
        <f t="shared" si="27"/>
        <v>79.893841669903324</v>
      </c>
      <c r="L125" s="588"/>
      <c r="M125" s="407">
        <f>RANK(K125, K$112:$K$141)</f>
        <v>7</v>
      </c>
      <c r="N125" s="544"/>
      <c r="O125" s="544"/>
      <c r="P125" s="182">
        <v>16</v>
      </c>
      <c r="Q125" s="182">
        <v>1261.8750000000016</v>
      </c>
      <c r="R125" s="182">
        <v>78.867187500000099</v>
      </c>
      <c r="S125" s="404">
        <f t="shared" si="28"/>
        <v>9</v>
      </c>
      <c r="T125" s="534"/>
      <c r="U125" s="182">
        <v>16</v>
      </c>
      <c r="V125" s="182">
        <v>1267.8688524590175</v>
      </c>
      <c r="W125" s="182">
        <v>79.241803278688593</v>
      </c>
      <c r="X125" s="404">
        <f t="shared" si="29"/>
        <v>10</v>
      </c>
      <c r="Y125" s="534"/>
      <c r="Z125" s="182">
        <v>16</v>
      </c>
      <c r="AA125" s="182">
        <v>1267.6363636363644</v>
      </c>
      <c r="AB125" s="182">
        <v>79.227272727272776</v>
      </c>
      <c r="AC125" s="404">
        <f t="shared" si="30"/>
        <v>9</v>
      </c>
      <c r="AD125" s="534"/>
      <c r="AE125" s="182">
        <v>16</v>
      </c>
      <c r="AF125" s="182">
        <v>1283.157894736843</v>
      </c>
      <c r="AG125" s="182">
        <v>80.197368421052687</v>
      </c>
      <c r="AH125" s="404">
        <f t="shared" si="31"/>
        <v>7</v>
      </c>
      <c r="AI125" s="534"/>
      <c r="AJ125" s="182">
        <v>16</v>
      </c>
      <c r="AK125" s="182">
        <v>1278.9473684210536</v>
      </c>
      <c r="AL125" s="182">
        <v>79.934210526315852</v>
      </c>
      <c r="AM125" s="404">
        <f t="shared" si="32"/>
        <v>5</v>
      </c>
      <c r="AN125" s="534"/>
      <c r="AO125" s="182">
        <v>16</v>
      </c>
      <c r="AP125" s="182">
        <v>1269.6774193548399</v>
      </c>
      <c r="AQ125" s="182">
        <v>79.354838709677495</v>
      </c>
      <c r="AR125" s="404">
        <f t="shared" si="33"/>
        <v>8</v>
      </c>
      <c r="AS125" s="534"/>
      <c r="AT125" s="182">
        <v>16</v>
      </c>
      <c r="AU125" s="182">
        <v>1318.9473684210536</v>
      </c>
      <c r="AV125" s="182">
        <v>82.434210526315852</v>
      </c>
      <c r="AW125" s="404">
        <f t="shared" si="34"/>
        <v>5</v>
      </c>
      <c r="AX125" s="534"/>
    </row>
    <row r="126" spans="2:50">
      <c r="B126" s="533"/>
      <c r="C126" s="404">
        <v>15</v>
      </c>
      <c r="D126" s="226" t="s">
        <v>345</v>
      </c>
      <c r="E126" s="182">
        <v>17</v>
      </c>
      <c r="F126" s="404">
        <v>1440</v>
      </c>
      <c r="G126" s="405">
        <v>84.7</v>
      </c>
      <c r="H126" s="598"/>
      <c r="I126" s="408">
        <f t="shared" si="27"/>
        <v>17</v>
      </c>
      <c r="J126" s="408">
        <f t="shared" si="27"/>
        <v>1324.7977535210152</v>
      </c>
      <c r="K126" s="406">
        <f t="shared" si="27"/>
        <v>77.929279618883228</v>
      </c>
      <c r="L126" s="588"/>
      <c r="M126" s="407">
        <f>RANK(K126, K$112:$K$141)</f>
        <v>9</v>
      </c>
      <c r="N126" s="544"/>
      <c r="O126" s="544"/>
      <c r="P126" s="182">
        <v>17</v>
      </c>
      <c r="Q126" s="182">
        <v>1341.7021276595747</v>
      </c>
      <c r="R126" s="182">
        <v>78.923654568210281</v>
      </c>
      <c r="S126" s="404">
        <f t="shared" si="28"/>
        <v>8</v>
      </c>
      <c r="T126" s="534"/>
      <c r="U126" s="182">
        <v>17</v>
      </c>
      <c r="V126" s="182">
        <v>1303.0588235294117</v>
      </c>
      <c r="W126" s="182">
        <v>76.650519031141869</v>
      </c>
      <c r="X126" s="404">
        <f t="shared" si="29"/>
        <v>12</v>
      </c>
      <c r="Y126" s="534"/>
      <c r="Z126" s="182">
        <v>17</v>
      </c>
      <c r="AA126" s="182">
        <v>1351.6666666666656</v>
      </c>
      <c r="AB126" s="182">
        <v>79.509803921568562</v>
      </c>
      <c r="AC126" s="404">
        <f t="shared" si="30"/>
        <v>8</v>
      </c>
      <c r="AD126" s="534"/>
      <c r="AE126" s="182">
        <v>17</v>
      </c>
      <c r="AF126" s="182">
        <v>1320.7594936708854</v>
      </c>
      <c r="AG126" s="182">
        <v>77.691734921816789</v>
      </c>
      <c r="AH126" s="404">
        <f t="shared" si="31"/>
        <v>10</v>
      </c>
      <c r="AI126" s="534"/>
      <c r="AJ126" s="182">
        <v>17</v>
      </c>
      <c r="AK126" s="182">
        <v>1320.6382978723407</v>
      </c>
      <c r="AL126" s="182">
        <v>77.684605757196508</v>
      </c>
      <c r="AM126" s="404">
        <f t="shared" si="32"/>
        <v>9</v>
      </c>
      <c r="AN126" s="534"/>
      <c r="AO126" s="182">
        <v>17</v>
      </c>
      <c r="AP126" s="182">
        <v>1310.4255319148938</v>
      </c>
      <c r="AQ126" s="182">
        <v>77.083854818523164</v>
      </c>
      <c r="AR126" s="404">
        <f t="shared" si="33"/>
        <v>10</v>
      </c>
      <c r="AS126" s="534"/>
      <c r="AT126" s="182">
        <v>17</v>
      </c>
      <c r="AU126" s="182">
        <v>1325.3333333333333</v>
      </c>
      <c r="AV126" s="182">
        <v>77.960784313725483</v>
      </c>
      <c r="AW126" s="404">
        <f t="shared" si="34"/>
        <v>10</v>
      </c>
      <c r="AX126" s="534"/>
    </row>
    <row r="127" spans="2:50">
      <c r="B127" s="533"/>
      <c r="C127" s="404">
        <v>16</v>
      </c>
      <c r="D127" s="226" t="s">
        <v>376</v>
      </c>
      <c r="E127" s="182">
        <v>17</v>
      </c>
      <c r="F127" s="404">
        <v>1636</v>
      </c>
      <c r="G127" s="405">
        <v>96.3</v>
      </c>
      <c r="H127" s="598"/>
      <c r="I127" s="408">
        <f t="shared" si="27"/>
        <v>17</v>
      </c>
      <c r="J127" s="408">
        <f t="shared" si="27"/>
        <v>1276.4751526251532</v>
      </c>
      <c r="K127" s="406">
        <f t="shared" si="27"/>
        <v>75.086773683832547</v>
      </c>
      <c r="L127" s="588"/>
      <c r="M127" s="407">
        <f>RANK(K127, K$112:$K$141)</f>
        <v>14</v>
      </c>
      <c r="N127" s="544"/>
      <c r="O127" s="544"/>
      <c r="P127" s="182">
        <v>17</v>
      </c>
      <c r="Q127" s="182">
        <v>1121.2499999999984</v>
      </c>
      <c r="R127" s="182">
        <v>65.955882352941089</v>
      </c>
      <c r="S127" s="404">
        <f t="shared" si="28"/>
        <v>22</v>
      </c>
      <c r="T127" s="534"/>
      <c r="U127" s="182">
        <v>17</v>
      </c>
      <c r="V127" s="182">
        <v>1377.6923076923124</v>
      </c>
      <c r="W127" s="182">
        <v>81.040723981900726</v>
      </c>
      <c r="X127" s="404">
        <f t="shared" si="29"/>
        <v>8</v>
      </c>
      <c r="Y127" s="534"/>
      <c r="Z127" s="182">
        <v>17</v>
      </c>
      <c r="AA127" s="182">
        <v>1188.4615384615354</v>
      </c>
      <c r="AB127" s="182">
        <v>69.909502262443254</v>
      </c>
      <c r="AC127" s="404">
        <f t="shared" si="30"/>
        <v>20</v>
      </c>
      <c r="AD127" s="534"/>
      <c r="AE127" s="182">
        <v>17</v>
      </c>
      <c r="AF127" s="182">
        <v>1315.2000000000046</v>
      </c>
      <c r="AG127" s="182">
        <v>77.364705882353206</v>
      </c>
      <c r="AH127" s="404">
        <f t="shared" si="31"/>
        <v>11</v>
      </c>
      <c r="AI127" s="534"/>
      <c r="AJ127" s="182">
        <v>17</v>
      </c>
      <c r="AK127" s="182">
        <v>1282.5000000000045</v>
      </c>
      <c r="AL127" s="182">
        <v>75.441176470588502</v>
      </c>
      <c r="AM127" s="404">
        <f t="shared" si="32"/>
        <v>11</v>
      </c>
      <c r="AN127" s="534"/>
      <c r="AO127" s="182">
        <v>17</v>
      </c>
      <c r="AP127" s="182">
        <v>1327.9999999999977</v>
      </c>
      <c r="AQ127" s="182">
        <v>78.117647058823394</v>
      </c>
      <c r="AR127" s="404">
        <f t="shared" si="33"/>
        <v>9</v>
      </c>
      <c r="AS127" s="534"/>
      <c r="AT127" s="182">
        <v>17</v>
      </c>
      <c r="AU127" s="182">
        <v>1322.222222222219</v>
      </c>
      <c r="AV127" s="182">
        <v>77.777777777777587</v>
      </c>
      <c r="AW127" s="404">
        <f t="shared" si="34"/>
        <v>11</v>
      </c>
      <c r="AX127" s="534"/>
    </row>
    <row r="128" spans="2:50">
      <c r="B128" s="533"/>
      <c r="C128" s="404">
        <v>17</v>
      </c>
      <c r="D128" s="226" t="s">
        <v>378</v>
      </c>
      <c r="E128" s="182">
        <v>18</v>
      </c>
      <c r="F128" s="404">
        <v>1440</v>
      </c>
      <c r="G128" s="405">
        <v>80</v>
      </c>
      <c r="H128" s="598"/>
      <c r="I128" s="408">
        <f t="shared" si="27"/>
        <v>18</v>
      </c>
      <c r="J128" s="408">
        <f t="shared" si="27"/>
        <v>1286.5845950824216</v>
      </c>
      <c r="K128" s="406">
        <f t="shared" si="27"/>
        <v>71.476921949023421</v>
      </c>
      <c r="L128" s="588"/>
      <c r="M128" s="407">
        <f>RANK(K128, K$112:$K$141)</f>
        <v>18</v>
      </c>
      <c r="N128" s="544"/>
      <c r="O128" s="544"/>
      <c r="P128" s="182">
        <v>18</v>
      </c>
      <c r="Q128" s="182">
        <v>1257.2307692307704</v>
      </c>
      <c r="R128" s="182">
        <v>69.846153846153911</v>
      </c>
      <c r="S128" s="404">
        <f t="shared" si="28"/>
        <v>19</v>
      </c>
      <c r="T128" s="534"/>
      <c r="U128" s="182">
        <v>18</v>
      </c>
      <c r="V128" s="182">
        <v>1322.1052631578957</v>
      </c>
      <c r="W128" s="182">
        <v>73.450292397660874</v>
      </c>
      <c r="X128" s="404">
        <f t="shared" si="29"/>
        <v>15</v>
      </c>
      <c r="Y128" s="534"/>
      <c r="Z128" s="182">
        <v>18</v>
      </c>
      <c r="AA128" s="182">
        <v>1273.8461538461545</v>
      </c>
      <c r="AB128" s="182">
        <v>70.769230769230802</v>
      </c>
      <c r="AC128" s="404">
        <f t="shared" si="30"/>
        <v>17</v>
      </c>
      <c r="AD128" s="534"/>
      <c r="AE128" s="182">
        <v>18</v>
      </c>
      <c r="AF128" s="182">
        <v>1295.3571428571438</v>
      </c>
      <c r="AG128" s="182">
        <v>71.964285714285765</v>
      </c>
      <c r="AH128" s="404">
        <f t="shared" si="31"/>
        <v>20</v>
      </c>
      <c r="AI128" s="534"/>
      <c r="AJ128" s="182">
        <v>18</v>
      </c>
      <c r="AK128" s="182">
        <v>1292.0689655172423</v>
      </c>
      <c r="AL128" s="182">
        <v>71.781609195402353</v>
      </c>
      <c r="AM128" s="404">
        <f t="shared" si="32"/>
        <v>15</v>
      </c>
      <c r="AN128" s="534"/>
      <c r="AO128" s="182">
        <v>18</v>
      </c>
      <c r="AP128" s="182">
        <v>1290.967741935485</v>
      </c>
      <c r="AQ128" s="182">
        <v>71.720430107526951</v>
      </c>
      <c r="AR128" s="404">
        <f t="shared" si="33"/>
        <v>17</v>
      </c>
      <c r="AS128" s="534"/>
      <c r="AT128" s="182">
        <v>18</v>
      </c>
      <c r="AU128" s="182">
        <v>1274.5161290322592</v>
      </c>
      <c r="AV128" s="182">
        <v>70.806451612903288</v>
      </c>
      <c r="AW128" s="404">
        <f t="shared" si="34"/>
        <v>19</v>
      </c>
      <c r="AX128" s="534"/>
    </row>
    <row r="129" spans="2:50">
      <c r="B129" s="533"/>
      <c r="C129" s="404">
        <v>18</v>
      </c>
      <c r="D129" s="226" t="s">
        <v>385</v>
      </c>
      <c r="E129" s="182">
        <v>18</v>
      </c>
      <c r="F129" s="404">
        <v>1500</v>
      </c>
      <c r="G129" s="405">
        <v>83.3</v>
      </c>
      <c r="H129" s="598"/>
      <c r="I129" s="408">
        <f t="shared" si="27"/>
        <v>18</v>
      </c>
      <c r="J129" s="408">
        <f t="shared" si="27"/>
        <v>1284.6496144311877</v>
      </c>
      <c r="K129" s="406">
        <f t="shared" si="27"/>
        <v>71.369423023954866</v>
      </c>
      <c r="L129" s="588"/>
      <c r="M129" s="407">
        <f>RANK(K129, K$112:$K$141)</f>
        <v>20</v>
      </c>
      <c r="N129" s="544"/>
      <c r="O129" s="544"/>
      <c r="P129" s="182">
        <v>18</v>
      </c>
      <c r="Q129" s="182">
        <v>1253.4545454545464</v>
      </c>
      <c r="R129" s="182">
        <v>69.636363636363683</v>
      </c>
      <c r="S129" s="404">
        <f t="shared" si="28"/>
        <v>20</v>
      </c>
      <c r="T129" s="534"/>
      <c r="U129" s="182">
        <v>18</v>
      </c>
      <c r="V129" s="182">
        <v>1294.8000000000004</v>
      </c>
      <c r="W129" s="182">
        <v>71.933333333333351</v>
      </c>
      <c r="X129" s="404">
        <f t="shared" si="29"/>
        <v>16</v>
      </c>
      <c r="Y129" s="534"/>
      <c r="Z129" s="182">
        <v>18</v>
      </c>
      <c r="AA129" s="182">
        <v>1264.8979591836739</v>
      </c>
      <c r="AB129" s="182">
        <v>70.272108843537438</v>
      </c>
      <c r="AC129" s="404">
        <f t="shared" si="30"/>
        <v>18</v>
      </c>
      <c r="AD129" s="534"/>
      <c r="AE129" s="182">
        <v>18</v>
      </c>
      <c r="AF129" s="182">
        <v>1303.5294117647063</v>
      </c>
      <c r="AG129" s="182">
        <v>72.418300653594798</v>
      </c>
      <c r="AH129" s="404">
        <f t="shared" si="31"/>
        <v>18</v>
      </c>
      <c r="AI129" s="534"/>
      <c r="AJ129" s="182">
        <v>18</v>
      </c>
      <c r="AK129" s="182">
        <v>1260.0000000000009</v>
      </c>
      <c r="AL129" s="182">
        <v>70.000000000000057</v>
      </c>
      <c r="AM129" s="404">
        <f t="shared" si="32"/>
        <v>20</v>
      </c>
      <c r="AN129" s="534"/>
      <c r="AO129" s="182">
        <v>18</v>
      </c>
      <c r="AP129" s="182">
        <v>1294.6153846153852</v>
      </c>
      <c r="AQ129" s="182">
        <v>71.923076923076962</v>
      </c>
      <c r="AR129" s="404">
        <f t="shared" si="33"/>
        <v>16</v>
      </c>
      <c r="AS129" s="534"/>
      <c r="AT129" s="182">
        <v>18</v>
      </c>
      <c r="AU129" s="182">
        <v>1321.2500000000005</v>
      </c>
      <c r="AV129" s="182">
        <v>73.4027777777778</v>
      </c>
      <c r="AW129" s="404">
        <f t="shared" si="34"/>
        <v>16</v>
      </c>
      <c r="AX129" s="534"/>
    </row>
    <row r="130" spans="2:50">
      <c r="B130" s="533"/>
      <c r="C130" s="404">
        <v>19</v>
      </c>
      <c r="D130" s="226" t="s">
        <v>467</v>
      </c>
      <c r="E130" s="182">
        <v>17</v>
      </c>
      <c r="F130" s="404">
        <v>1440</v>
      </c>
      <c r="G130" s="405">
        <v>84.7</v>
      </c>
      <c r="H130" s="598"/>
      <c r="I130" s="408">
        <f t="shared" si="27"/>
        <v>17</v>
      </c>
      <c r="J130" s="408">
        <f t="shared" si="27"/>
        <v>1227.6423284569835</v>
      </c>
      <c r="K130" s="406">
        <f t="shared" si="27"/>
        <v>72.214254615116687</v>
      </c>
      <c r="L130" s="588"/>
      <c r="M130" s="407">
        <f>RANK(K130, K$112:$K$141)</f>
        <v>16</v>
      </c>
      <c r="N130" s="544"/>
      <c r="O130" s="544"/>
      <c r="P130" s="182">
        <v>17</v>
      </c>
      <c r="Q130" s="182">
        <v>1273.1249999999982</v>
      </c>
      <c r="R130" s="182">
        <v>74.889705882352828</v>
      </c>
      <c r="S130" s="404">
        <f t="shared" si="28"/>
        <v>14</v>
      </c>
      <c r="T130" s="534"/>
      <c r="U130" s="182">
        <v>17</v>
      </c>
      <c r="V130" s="182">
        <v>1261.9999999999977</v>
      </c>
      <c r="W130" s="182">
        <v>74.23529411764693</v>
      </c>
      <c r="X130" s="404">
        <f t="shared" si="29"/>
        <v>14</v>
      </c>
      <c r="Y130" s="534"/>
      <c r="Z130" s="182">
        <v>17</v>
      </c>
      <c r="AA130" s="182">
        <v>1166.8965517241422</v>
      </c>
      <c r="AB130" s="182">
        <v>68.640973630831894</v>
      </c>
      <c r="AC130" s="404">
        <f t="shared" si="30"/>
        <v>21</v>
      </c>
      <c r="AD130" s="534"/>
      <c r="AE130" s="182">
        <v>17</v>
      </c>
      <c r="AF130" s="182">
        <v>1231.1111111111154</v>
      </c>
      <c r="AG130" s="182">
        <v>72.418300653595026</v>
      </c>
      <c r="AH130" s="404">
        <f t="shared" si="31"/>
        <v>17</v>
      </c>
      <c r="AI130" s="534"/>
      <c r="AJ130" s="182">
        <v>17</v>
      </c>
      <c r="AK130" s="182">
        <v>1109.9999999999982</v>
      </c>
      <c r="AL130" s="182">
        <v>65.294117647058712</v>
      </c>
      <c r="AM130" s="404">
        <f t="shared" si="32"/>
        <v>23</v>
      </c>
      <c r="AN130" s="534"/>
      <c r="AO130" s="182">
        <v>17</v>
      </c>
      <c r="AP130" s="182">
        <v>1256.3636363636347</v>
      </c>
      <c r="AQ130" s="182">
        <v>73.903743315507924</v>
      </c>
      <c r="AR130" s="404">
        <f t="shared" si="33"/>
        <v>14</v>
      </c>
      <c r="AS130" s="534"/>
      <c r="AT130" s="182">
        <v>17</v>
      </c>
      <c r="AU130" s="182">
        <v>1293.9999999999977</v>
      </c>
      <c r="AV130" s="182">
        <v>76.117647058823394</v>
      </c>
      <c r="AW130" s="404">
        <f t="shared" si="34"/>
        <v>12</v>
      </c>
      <c r="AX130" s="534"/>
    </row>
    <row r="131" spans="2:50">
      <c r="B131" s="533"/>
      <c r="C131" s="404">
        <v>20</v>
      </c>
      <c r="D131" s="226" t="s">
        <v>513</v>
      </c>
      <c r="E131" s="182">
        <v>18</v>
      </c>
      <c r="F131" s="404">
        <v>1385</v>
      </c>
      <c r="G131" s="405">
        <v>76.900000000000006</v>
      </c>
      <c r="H131" s="598"/>
      <c r="I131" s="408">
        <f t="shared" si="27"/>
        <v>18</v>
      </c>
      <c r="J131" s="408">
        <f t="shared" si="27"/>
        <v>1188.0488793296772</v>
      </c>
      <c r="K131" s="406">
        <f t="shared" si="27"/>
        <v>66.002715518315412</v>
      </c>
      <c r="L131" s="588"/>
      <c r="M131" s="407">
        <f>RANK(K131, K$112:$K$141)</f>
        <v>24</v>
      </c>
      <c r="N131" s="544"/>
      <c r="O131" s="544"/>
      <c r="P131" s="182">
        <v>18</v>
      </c>
      <c r="Q131" s="182">
        <v>1207.9245283018874</v>
      </c>
      <c r="R131" s="182">
        <v>67.106918238993742</v>
      </c>
      <c r="S131" s="404">
        <f t="shared" si="28"/>
        <v>21</v>
      </c>
      <c r="T131" s="534"/>
      <c r="U131" s="182">
        <v>18</v>
      </c>
      <c r="V131" s="182">
        <v>1175.510204081633</v>
      </c>
      <c r="W131" s="182">
        <v>65.306122448979607</v>
      </c>
      <c r="X131" s="404">
        <f t="shared" si="29"/>
        <v>23</v>
      </c>
      <c r="Y131" s="534"/>
      <c r="Z131" s="182">
        <v>18</v>
      </c>
      <c r="AA131" s="182">
        <v>1201.5789473684204</v>
      </c>
      <c r="AB131" s="182">
        <v>66.754385964912245</v>
      </c>
      <c r="AC131" s="404">
        <f t="shared" si="30"/>
        <v>23</v>
      </c>
      <c r="AD131" s="534"/>
      <c r="AE131" s="182">
        <v>18</v>
      </c>
      <c r="AF131" s="182">
        <v>1165.263157894736</v>
      </c>
      <c r="AG131" s="182">
        <v>64.736842105263108</v>
      </c>
      <c r="AH131" s="404">
        <f t="shared" si="31"/>
        <v>23</v>
      </c>
      <c r="AI131" s="534"/>
      <c r="AJ131" s="182">
        <v>18</v>
      </c>
      <c r="AK131" s="182">
        <v>1196.1702127659578</v>
      </c>
      <c r="AL131" s="182">
        <v>66.45390070921988</v>
      </c>
      <c r="AM131" s="404">
        <f t="shared" si="32"/>
        <v>22</v>
      </c>
      <c r="AN131" s="534"/>
      <c r="AO131" s="182">
        <v>18</v>
      </c>
      <c r="AP131" s="182">
        <v>1208.0769230769235</v>
      </c>
      <c r="AQ131" s="182">
        <v>67.115384615384642</v>
      </c>
      <c r="AR131" s="404">
        <f t="shared" si="33"/>
        <v>23</v>
      </c>
      <c r="AS131" s="534"/>
      <c r="AT131" s="182">
        <v>18</v>
      </c>
      <c r="AU131" s="182">
        <v>1161.8181818181827</v>
      </c>
      <c r="AV131" s="182">
        <v>64.545454545454589</v>
      </c>
      <c r="AW131" s="404">
        <f t="shared" si="34"/>
        <v>24</v>
      </c>
      <c r="AX131" s="534"/>
    </row>
    <row r="132" spans="2:50">
      <c r="B132" s="533"/>
      <c r="C132" s="404">
        <v>21</v>
      </c>
      <c r="D132" s="226" t="s">
        <v>580</v>
      </c>
      <c r="E132" s="182">
        <v>18</v>
      </c>
      <c r="F132" s="404">
        <v>1440</v>
      </c>
      <c r="G132" s="405">
        <v>80</v>
      </c>
      <c r="H132" s="598"/>
      <c r="I132" s="408">
        <f t="shared" si="27"/>
        <v>18</v>
      </c>
      <c r="J132" s="408">
        <f t="shared" si="27"/>
        <v>1288.3614864879544</v>
      </c>
      <c r="K132" s="406">
        <f t="shared" si="27"/>
        <v>71.575638138219688</v>
      </c>
      <c r="L132" s="588"/>
      <c r="M132" s="407">
        <f>RANK(K132, K$112:$K$141)</f>
        <v>17</v>
      </c>
      <c r="N132" s="544"/>
      <c r="O132" s="544"/>
      <c r="P132" s="182">
        <v>18</v>
      </c>
      <c r="Q132" s="182">
        <v>1265.2631578947378</v>
      </c>
      <c r="R132" s="182">
        <v>70.292397660818764</v>
      </c>
      <c r="S132" s="404">
        <f t="shared" si="28"/>
        <v>18</v>
      </c>
      <c r="T132" s="534"/>
      <c r="U132" s="182">
        <v>18</v>
      </c>
      <c r="V132" s="182">
        <v>1282.5000000000011</v>
      </c>
      <c r="W132" s="182">
        <v>71.250000000000057</v>
      </c>
      <c r="X132" s="404">
        <f t="shared" si="29"/>
        <v>18</v>
      </c>
      <c r="Y132" s="534"/>
      <c r="Z132" s="182">
        <v>18</v>
      </c>
      <c r="AA132" s="182">
        <v>1292</v>
      </c>
      <c r="AB132" s="182">
        <v>71.777777777777771</v>
      </c>
      <c r="AC132" s="404">
        <f t="shared" si="30"/>
        <v>16</v>
      </c>
      <c r="AD132" s="534"/>
      <c r="AE132" s="182">
        <v>18</v>
      </c>
      <c r="AF132" s="182">
        <v>1313.617021276596</v>
      </c>
      <c r="AG132" s="182">
        <v>72.978723404255334</v>
      </c>
      <c r="AH132" s="404">
        <f t="shared" si="31"/>
        <v>15</v>
      </c>
      <c r="AI132" s="534"/>
      <c r="AJ132" s="182">
        <v>18</v>
      </c>
      <c r="AK132" s="182">
        <v>1279.2000000000005</v>
      </c>
      <c r="AL132" s="182">
        <v>71.066666666666691</v>
      </c>
      <c r="AM132" s="404">
        <f t="shared" si="32"/>
        <v>18</v>
      </c>
      <c r="AN132" s="534"/>
      <c r="AO132" s="182">
        <v>18</v>
      </c>
      <c r="AP132" s="182">
        <v>1316.5384615384623</v>
      </c>
      <c r="AQ132" s="182">
        <v>73.141025641025692</v>
      </c>
      <c r="AR132" s="404">
        <f t="shared" si="33"/>
        <v>15</v>
      </c>
      <c r="AS132" s="534"/>
      <c r="AT132" s="182">
        <v>18</v>
      </c>
      <c r="AU132" s="182">
        <v>1269.4117647058829</v>
      </c>
      <c r="AV132" s="182">
        <v>70.522875816993491</v>
      </c>
      <c r="AW132" s="404">
        <f t="shared" si="34"/>
        <v>20</v>
      </c>
      <c r="AX132" s="534"/>
    </row>
    <row r="133" spans="2:50">
      <c r="B133" s="533"/>
      <c r="C133" s="404">
        <v>22</v>
      </c>
      <c r="D133" s="226" t="s">
        <v>607</v>
      </c>
      <c r="E133" s="182">
        <v>15</v>
      </c>
      <c r="F133" s="404">
        <v>1500</v>
      </c>
      <c r="G133" s="405">
        <v>100</v>
      </c>
      <c r="H133" s="598"/>
      <c r="I133" s="408">
        <f t="shared" si="27"/>
        <v>16</v>
      </c>
      <c r="J133" s="408">
        <f t="shared" si="27"/>
        <v>1288.2074874685002</v>
      </c>
      <c r="K133" s="406">
        <f t="shared" si="27"/>
        <v>80.512967966781261</v>
      </c>
      <c r="L133" s="588"/>
      <c r="M133" s="407">
        <f>RANK(K133, K$112:$K$141)</f>
        <v>6</v>
      </c>
      <c r="N133" s="544"/>
      <c r="O133" s="544"/>
      <c r="P133" s="182">
        <v>16</v>
      </c>
      <c r="Q133" s="182">
        <v>1258.7096774193549</v>
      </c>
      <c r="R133" s="182">
        <v>78.66935483870968</v>
      </c>
      <c r="S133" s="404">
        <f t="shared" si="28"/>
        <v>10</v>
      </c>
      <c r="T133" s="534"/>
      <c r="U133" s="182">
        <v>16</v>
      </c>
      <c r="V133" s="182">
        <v>1312.1428571428569</v>
      </c>
      <c r="W133" s="182">
        <v>82.008928571428555</v>
      </c>
      <c r="X133" s="404">
        <f t="shared" si="29"/>
        <v>7</v>
      </c>
      <c r="Y133" s="534"/>
      <c r="Z133" s="182">
        <v>16</v>
      </c>
      <c r="AA133" s="182">
        <v>1307.9999999999989</v>
      </c>
      <c r="AB133" s="182">
        <v>81.749999999999929</v>
      </c>
      <c r="AC133" s="404">
        <f t="shared" si="30"/>
        <v>4</v>
      </c>
      <c r="AD133" s="534"/>
      <c r="AE133" s="182">
        <v>16</v>
      </c>
      <c r="AF133" s="182">
        <v>1288.0519480519472</v>
      </c>
      <c r="AG133" s="182">
        <v>80.5032467532467</v>
      </c>
      <c r="AH133" s="404">
        <f t="shared" si="31"/>
        <v>6</v>
      </c>
      <c r="AI133" s="534"/>
      <c r="AJ133" s="182">
        <v>16</v>
      </c>
      <c r="AK133" s="182">
        <v>1269.7674418604647</v>
      </c>
      <c r="AL133" s="182">
        <v>79.360465116279045</v>
      </c>
      <c r="AM133" s="404">
        <f t="shared" si="32"/>
        <v>6</v>
      </c>
      <c r="AN133" s="534"/>
      <c r="AO133" s="182">
        <v>16</v>
      </c>
      <c r="AP133" s="182">
        <v>1282</v>
      </c>
      <c r="AQ133" s="182">
        <v>80.125</v>
      </c>
      <c r="AR133" s="404">
        <f t="shared" si="33"/>
        <v>7</v>
      </c>
      <c r="AS133" s="534"/>
      <c r="AT133" s="182">
        <v>16</v>
      </c>
      <c r="AU133" s="182">
        <v>1298.7804878048776</v>
      </c>
      <c r="AV133" s="182">
        <v>81.173780487804848</v>
      </c>
      <c r="AW133" s="404">
        <f t="shared" si="34"/>
        <v>8</v>
      </c>
      <c r="AX133" s="534"/>
    </row>
    <row r="134" spans="2:50">
      <c r="B134" s="533"/>
      <c r="C134" s="404">
        <v>23</v>
      </c>
      <c r="D134" s="226" t="s">
        <v>620</v>
      </c>
      <c r="E134" s="182">
        <v>16</v>
      </c>
      <c r="F134" s="404">
        <v>1500</v>
      </c>
      <c r="G134" s="405">
        <v>93.8</v>
      </c>
      <c r="H134" s="598"/>
      <c r="I134" s="408">
        <f t="shared" si="27"/>
        <v>16</v>
      </c>
      <c r="J134" s="408">
        <f t="shared" si="27"/>
        <v>1239.8367346938751</v>
      </c>
      <c r="K134" s="406">
        <f t="shared" si="27"/>
        <v>77.489795918367193</v>
      </c>
      <c r="L134" s="588"/>
      <c r="M134" s="407">
        <f>RANK(K134, K$112:$K$141)</f>
        <v>10</v>
      </c>
      <c r="N134" s="544"/>
      <c r="O134" s="544"/>
      <c r="P134" s="182">
        <v>16</v>
      </c>
      <c r="Q134" s="182">
        <v>1299.9999999999977</v>
      </c>
      <c r="R134" s="182">
        <v>81.249999999999858</v>
      </c>
      <c r="S134" s="404">
        <f t="shared" si="28"/>
        <v>6</v>
      </c>
      <c r="T134" s="534"/>
      <c r="U134" s="182">
        <v>16</v>
      </c>
      <c r="V134" s="182">
        <v>1323.9999999999977</v>
      </c>
      <c r="W134" s="182">
        <v>82.749999999999858</v>
      </c>
      <c r="X134" s="404">
        <f t="shared" si="29"/>
        <v>6</v>
      </c>
      <c r="Y134" s="534"/>
      <c r="Z134" s="182">
        <v>16</v>
      </c>
      <c r="AA134" s="182">
        <v>1307.1428571428544</v>
      </c>
      <c r="AB134" s="182">
        <v>81.696428571428399</v>
      </c>
      <c r="AC134" s="404">
        <f t="shared" si="30"/>
        <v>5</v>
      </c>
      <c r="AD134" s="534"/>
      <c r="AE134" s="182">
        <v>16</v>
      </c>
      <c r="AF134" s="182">
        <v>1159.9999999999964</v>
      </c>
      <c r="AG134" s="182">
        <v>72.499999999999773</v>
      </c>
      <c r="AH134" s="404">
        <f t="shared" si="31"/>
        <v>16</v>
      </c>
      <c r="AI134" s="534"/>
      <c r="AJ134" s="182">
        <v>16</v>
      </c>
      <c r="AK134" s="182">
        <v>1137.8571428571404</v>
      </c>
      <c r="AL134" s="182">
        <v>71.116071428571274</v>
      </c>
      <c r="AM134" s="404">
        <f t="shared" si="32"/>
        <v>17</v>
      </c>
      <c r="AN134" s="534"/>
      <c r="AO134" s="182">
        <v>16</v>
      </c>
      <c r="AP134" s="182">
        <v>1131.999999999998</v>
      </c>
      <c r="AQ134" s="182">
        <v>70.749999999999872</v>
      </c>
      <c r="AR134" s="404">
        <f t="shared" si="33"/>
        <v>21</v>
      </c>
      <c r="AS134" s="534"/>
      <c r="AT134" s="182">
        <v>16</v>
      </c>
      <c r="AU134" s="182">
        <v>1317.8571428571399</v>
      </c>
      <c r="AV134" s="182">
        <v>82.366071428571246</v>
      </c>
      <c r="AW134" s="404">
        <f t="shared" si="34"/>
        <v>6</v>
      </c>
      <c r="AX134" s="534"/>
    </row>
    <row r="135" spans="2:50">
      <c r="B135" s="533"/>
      <c r="C135" s="404">
        <v>24</v>
      </c>
      <c r="D135" s="226" t="s">
        <v>621</v>
      </c>
      <c r="E135" s="182">
        <v>20</v>
      </c>
      <c r="F135" s="404">
        <v>1500</v>
      </c>
      <c r="G135" s="405">
        <v>75</v>
      </c>
      <c r="H135" s="598"/>
      <c r="I135" s="408">
        <f t="shared" si="27"/>
        <v>20</v>
      </c>
      <c r="J135" s="408">
        <f t="shared" si="27"/>
        <v>1094.4627803670212</v>
      </c>
      <c r="K135" s="406">
        <f t="shared" si="27"/>
        <v>54.723139018351048</v>
      </c>
      <c r="L135" s="588"/>
      <c r="M135" s="407">
        <f>RANK(K135, K$112:$K$141)</f>
        <v>27</v>
      </c>
      <c r="N135" s="544"/>
      <c r="O135" s="544"/>
      <c r="P135" s="404">
        <v>20</v>
      </c>
      <c r="Q135" s="405">
        <v>1095.2941176470592</v>
      </c>
      <c r="R135" s="405">
        <v>54.764705882352963</v>
      </c>
      <c r="S135" s="404">
        <f t="shared" si="28"/>
        <v>25</v>
      </c>
      <c r="T135" s="534"/>
      <c r="U135" s="404">
        <v>20</v>
      </c>
      <c r="V135" s="405">
        <v>1094.68085106383</v>
      </c>
      <c r="W135" s="405">
        <v>54.7340425531915</v>
      </c>
      <c r="X135" s="404">
        <f t="shared" si="29"/>
        <v>25</v>
      </c>
      <c r="Y135" s="534"/>
      <c r="Z135" s="404">
        <v>20</v>
      </c>
      <c r="AA135" s="405">
        <v>1102.9629629629626</v>
      </c>
      <c r="AB135" s="405">
        <v>55.148148148148131</v>
      </c>
      <c r="AC135" s="404">
        <f t="shared" si="30"/>
        <v>25</v>
      </c>
      <c r="AD135" s="534"/>
      <c r="AE135" s="404">
        <v>20</v>
      </c>
      <c r="AF135" s="405">
        <v>1092.5581395348836</v>
      </c>
      <c r="AG135" s="405">
        <v>54.627906976744178</v>
      </c>
      <c r="AH135" s="404">
        <f t="shared" si="31"/>
        <v>25</v>
      </c>
      <c r="AI135" s="534"/>
      <c r="AJ135" s="404">
        <v>20</v>
      </c>
      <c r="AK135" s="405">
        <v>1091.3333333333335</v>
      </c>
      <c r="AL135" s="405">
        <v>54.566666666666677</v>
      </c>
      <c r="AM135" s="404">
        <f t="shared" si="32"/>
        <v>25</v>
      </c>
      <c r="AN135" s="534"/>
      <c r="AO135" s="404">
        <v>20</v>
      </c>
      <c r="AP135" s="405">
        <v>1089.0909090909076</v>
      </c>
      <c r="AQ135" s="405">
        <v>54.454545454545382</v>
      </c>
      <c r="AR135" s="404">
        <f t="shared" si="33"/>
        <v>25</v>
      </c>
      <c r="AS135" s="534"/>
      <c r="AT135" s="404">
        <v>20</v>
      </c>
      <c r="AU135" s="405">
        <v>1095.3191489361704</v>
      </c>
      <c r="AV135" s="405">
        <v>54.765957446808521</v>
      </c>
      <c r="AW135" s="404">
        <f t="shared" si="34"/>
        <v>27</v>
      </c>
      <c r="AX135" s="534"/>
    </row>
    <row r="136" spans="2:50">
      <c r="B136" s="533"/>
      <c r="C136" s="404">
        <v>25</v>
      </c>
      <c r="D136" s="226" t="s">
        <v>715</v>
      </c>
      <c r="E136" s="182">
        <v>17</v>
      </c>
      <c r="F136" s="404">
        <v>1440</v>
      </c>
      <c r="G136" s="405">
        <v>84.7</v>
      </c>
      <c r="H136" s="598"/>
      <c r="I136" s="408">
        <f t="shared" ref="I136:K138" si="35">AVERAGE(P136,U136,Z136,AE136,AJ136,AO136,AT136)</f>
        <v>17</v>
      </c>
      <c r="J136" s="408">
        <f t="shared" si="35"/>
        <v>1293.6810057486157</v>
      </c>
      <c r="K136" s="406">
        <f t="shared" si="35"/>
        <v>76.098882691095042</v>
      </c>
      <c r="L136" s="588"/>
      <c r="M136" s="407">
        <f>RANK(K136, K$112:$K$141)</f>
        <v>12</v>
      </c>
      <c r="N136" s="544"/>
      <c r="O136" s="544"/>
      <c r="P136" s="404">
        <v>17</v>
      </c>
      <c r="Q136" s="405">
        <v>1302.797202797203</v>
      </c>
      <c r="R136" s="405">
        <v>76.635129576306056</v>
      </c>
      <c r="S136" s="404">
        <f t="shared" si="28"/>
        <v>12</v>
      </c>
      <c r="T136" s="534"/>
      <c r="U136" s="404">
        <v>17</v>
      </c>
      <c r="V136" s="405">
        <v>1314.929577464789</v>
      </c>
      <c r="W136" s="405">
        <v>77.348798674399347</v>
      </c>
      <c r="X136" s="404">
        <f t="shared" si="29"/>
        <v>11</v>
      </c>
      <c r="Y136" s="534"/>
      <c r="Z136" s="404">
        <v>17</v>
      </c>
      <c r="AA136" s="405">
        <v>1304.7887323943664</v>
      </c>
      <c r="AB136" s="405">
        <v>76.752278376139202</v>
      </c>
      <c r="AC136" s="404">
        <f t="shared" si="30"/>
        <v>11</v>
      </c>
      <c r="AD136" s="534"/>
      <c r="AE136" s="404">
        <v>17</v>
      </c>
      <c r="AF136" s="405">
        <v>1304.6715328467153</v>
      </c>
      <c r="AG136" s="405">
        <v>76.745384285100897</v>
      </c>
      <c r="AH136" s="404">
        <f t="shared" si="31"/>
        <v>12</v>
      </c>
      <c r="AI136" s="534"/>
      <c r="AJ136" s="404">
        <v>17</v>
      </c>
      <c r="AK136" s="405">
        <v>1255.0746268656717</v>
      </c>
      <c r="AL136" s="405">
        <v>73.827919227392456</v>
      </c>
      <c r="AM136" s="404">
        <f t="shared" si="32"/>
        <v>14</v>
      </c>
      <c r="AN136" s="534"/>
      <c r="AO136" s="404">
        <v>17</v>
      </c>
      <c r="AP136" s="405">
        <v>1282.2377622377624</v>
      </c>
      <c r="AQ136" s="405">
        <v>75.425750719868375</v>
      </c>
      <c r="AR136" s="404">
        <f t="shared" si="33"/>
        <v>13</v>
      </c>
      <c r="AS136" s="534"/>
      <c r="AT136" s="404">
        <v>17</v>
      </c>
      <c r="AU136" s="405">
        <v>1291.267605633803</v>
      </c>
      <c r="AV136" s="405">
        <v>75.956917978459003</v>
      </c>
      <c r="AW136" s="404">
        <f t="shared" si="34"/>
        <v>14</v>
      </c>
      <c r="AX136" s="534"/>
    </row>
    <row r="137" spans="2:50">
      <c r="B137" s="533"/>
      <c r="C137" s="404">
        <v>26</v>
      </c>
      <c r="D137" s="226" t="s">
        <v>716</v>
      </c>
      <c r="E137" s="182">
        <v>18</v>
      </c>
      <c r="F137" s="404">
        <v>1385</v>
      </c>
      <c r="G137" s="405">
        <v>76.900000000000006</v>
      </c>
      <c r="H137" s="598"/>
      <c r="I137" s="408">
        <f t="shared" si="35"/>
        <v>18</v>
      </c>
      <c r="J137" s="408">
        <f t="shared" si="35"/>
        <v>1107.1698113207542</v>
      </c>
      <c r="K137" s="406">
        <f t="shared" si="35"/>
        <v>61.509433962264126</v>
      </c>
      <c r="L137" s="588"/>
      <c r="M137" s="407">
        <f>RANK(K137, K$112:$K$141)</f>
        <v>26</v>
      </c>
      <c r="N137" s="544"/>
      <c r="O137" s="544"/>
      <c r="P137" s="404"/>
      <c r="Q137" s="405"/>
      <c r="R137" s="405"/>
      <c r="S137" s="404" t="e">
        <f t="shared" si="28"/>
        <v>#N/A</v>
      </c>
      <c r="T137" s="534"/>
      <c r="U137" s="404"/>
      <c r="V137" s="405"/>
      <c r="W137" s="405"/>
      <c r="X137" s="404" t="e">
        <f t="shared" si="29"/>
        <v>#N/A</v>
      </c>
      <c r="Y137" s="534"/>
      <c r="Z137" s="404"/>
      <c r="AA137" s="405"/>
      <c r="AB137" s="405"/>
      <c r="AC137" s="404" t="e">
        <f t="shared" si="30"/>
        <v>#N/A</v>
      </c>
      <c r="AD137" s="534"/>
      <c r="AE137" s="404"/>
      <c r="AF137" s="405"/>
      <c r="AG137" s="405"/>
      <c r="AH137" s="404" t="e">
        <f t="shared" si="31"/>
        <v>#N/A</v>
      </c>
      <c r="AI137" s="534"/>
      <c r="AJ137" s="404"/>
      <c r="AK137" s="405"/>
      <c r="AL137" s="405"/>
      <c r="AM137" s="404" t="e">
        <f t="shared" si="32"/>
        <v>#N/A</v>
      </c>
      <c r="AN137" s="534"/>
      <c r="AO137" s="404"/>
      <c r="AP137" s="405"/>
      <c r="AQ137" s="405"/>
      <c r="AR137" s="404" t="e">
        <f t="shared" si="33"/>
        <v>#N/A</v>
      </c>
      <c r="AS137" s="534"/>
      <c r="AT137" s="404">
        <v>18</v>
      </c>
      <c r="AU137" s="405">
        <v>1107.1698113207542</v>
      </c>
      <c r="AV137" s="405">
        <v>61.509433962264126</v>
      </c>
      <c r="AW137" s="404">
        <f t="shared" si="34"/>
        <v>26</v>
      </c>
      <c r="AX137" s="534"/>
    </row>
    <row r="138" spans="2:50">
      <c r="B138" s="533"/>
      <c r="C138" s="404">
        <v>27</v>
      </c>
      <c r="D138" s="226" t="s">
        <v>717</v>
      </c>
      <c r="E138" s="182">
        <v>18</v>
      </c>
      <c r="F138" s="404">
        <v>1440</v>
      </c>
      <c r="G138" s="405">
        <v>80</v>
      </c>
      <c r="H138" s="598"/>
      <c r="I138" s="408">
        <f t="shared" si="35"/>
        <v>18</v>
      </c>
      <c r="J138" s="408">
        <f t="shared" si="35"/>
        <v>1255.7522123893814</v>
      </c>
      <c r="K138" s="406">
        <f t="shared" si="35"/>
        <v>69.764011799410071</v>
      </c>
      <c r="L138" s="588"/>
      <c r="M138" s="407">
        <f>RANK(K138, K$112:$K$141)</f>
        <v>22</v>
      </c>
      <c r="N138" s="544"/>
      <c r="O138" s="544"/>
      <c r="P138" s="404"/>
      <c r="Q138" s="405"/>
      <c r="R138" s="405"/>
      <c r="S138" s="404" t="e">
        <f t="shared" si="28"/>
        <v>#N/A</v>
      </c>
      <c r="T138" s="534"/>
      <c r="U138" s="404"/>
      <c r="V138" s="405"/>
      <c r="W138" s="405"/>
      <c r="X138" s="404" t="e">
        <f t="shared" si="29"/>
        <v>#N/A</v>
      </c>
      <c r="Y138" s="534"/>
      <c r="Z138" s="404"/>
      <c r="AA138" s="405"/>
      <c r="AB138" s="405"/>
      <c r="AC138" s="404" t="e">
        <f t="shared" si="30"/>
        <v>#N/A</v>
      </c>
      <c r="AD138" s="534"/>
      <c r="AE138" s="404"/>
      <c r="AF138" s="405"/>
      <c r="AG138" s="405"/>
      <c r="AH138" s="404" t="e">
        <f t="shared" si="31"/>
        <v>#N/A</v>
      </c>
      <c r="AI138" s="534"/>
      <c r="AJ138" s="404"/>
      <c r="AK138" s="405"/>
      <c r="AL138" s="405"/>
      <c r="AM138" s="404" t="e">
        <f t="shared" si="32"/>
        <v>#N/A</v>
      </c>
      <c r="AN138" s="534"/>
      <c r="AO138" s="404"/>
      <c r="AP138" s="405"/>
      <c r="AQ138" s="405"/>
      <c r="AR138" s="404" t="e">
        <f t="shared" si="33"/>
        <v>#N/A</v>
      </c>
      <c r="AS138" s="534"/>
      <c r="AT138" s="404">
        <v>18</v>
      </c>
      <c r="AU138" s="405">
        <v>1255.7522123893814</v>
      </c>
      <c r="AV138" s="405">
        <v>69.764011799410071</v>
      </c>
      <c r="AW138" s="404">
        <f t="shared" si="34"/>
        <v>22</v>
      </c>
      <c r="AX138" s="534"/>
    </row>
    <row r="139" spans="2:50">
      <c r="B139" s="533"/>
      <c r="C139" s="404">
        <v>28</v>
      </c>
      <c r="D139" s="226"/>
      <c r="E139" s="182"/>
      <c r="F139" s="404"/>
      <c r="G139" s="405"/>
      <c r="H139" s="598"/>
      <c r="I139" s="408"/>
      <c r="J139" s="408"/>
      <c r="K139" s="406"/>
      <c r="L139" s="588"/>
      <c r="M139" s="407" t="e">
        <f>RANK(K139, K$112:$K$141)</f>
        <v>#N/A</v>
      </c>
      <c r="N139" s="544"/>
      <c r="O139" s="544"/>
      <c r="P139" s="404"/>
      <c r="Q139" s="405"/>
      <c r="R139" s="405"/>
      <c r="S139" s="404" t="e">
        <f t="shared" si="28"/>
        <v>#N/A</v>
      </c>
      <c r="T139" s="534"/>
      <c r="U139" s="404"/>
      <c r="V139" s="405"/>
      <c r="W139" s="405"/>
      <c r="X139" s="404" t="e">
        <f t="shared" si="29"/>
        <v>#N/A</v>
      </c>
      <c r="Y139" s="534"/>
      <c r="Z139" s="404"/>
      <c r="AA139" s="405"/>
      <c r="AB139" s="405"/>
      <c r="AC139" s="404" t="e">
        <f t="shared" si="30"/>
        <v>#N/A</v>
      </c>
      <c r="AD139" s="534"/>
      <c r="AE139" s="404"/>
      <c r="AF139" s="405"/>
      <c r="AG139" s="405"/>
      <c r="AH139" s="404" t="e">
        <f t="shared" si="31"/>
        <v>#N/A</v>
      </c>
      <c r="AI139" s="534"/>
      <c r="AJ139" s="404"/>
      <c r="AK139" s="405"/>
      <c r="AL139" s="405"/>
      <c r="AM139" s="404" t="e">
        <f t="shared" si="32"/>
        <v>#N/A</v>
      </c>
      <c r="AN139" s="534"/>
      <c r="AO139" s="404"/>
      <c r="AP139" s="405"/>
      <c r="AQ139" s="405"/>
      <c r="AR139" s="404" t="e">
        <f t="shared" si="33"/>
        <v>#N/A</v>
      </c>
      <c r="AS139" s="534"/>
      <c r="AT139" s="404"/>
      <c r="AU139" s="405"/>
      <c r="AV139" s="405"/>
      <c r="AW139" s="404" t="e">
        <f t="shared" si="34"/>
        <v>#N/A</v>
      </c>
      <c r="AX139" s="534"/>
    </row>
    <row r="140" spans="2:50">
      <c r="B140" s="533"/>
      <c r="C140" s="404">
        <v>29</v>
      </c>
      <c r="D140" s="226"/>
      <c r="E140" s="182"/>
      <c r="F140" s="404"/>
      <c r="G140" s="405"/>
      <c r="H140" s="598"/>
      <c r="I140" s="202"/>
      <c r="J140" s="202"/>
      <c r="K140" s="202"/>
      <c r="L140" s="588"/>
      <c r="M140" s="407" t="e">
        <f>RANK(K140, K$112:$K$141)</f>
        <v>#N/A</v>
      </c>
      <c r="N140" s="544"/>
      <c r="O140" s="544"/>
      <c r="P140" s="404"/>
      <c r="Q140" s="404"/>
      <c r="R140" s="404"/>
      <c r="S140" s="404" t="e">
        <f t="shared" si="28"/>
        <v>#N/A</v>
      </c>
      <c r="T140" s="534"/>
      <c r="U140" s="404"/>
      <c r="V140" s="404"/>
      <c r="W140" s="404"/>
      <c r="X140" s="404" t="e">
        <f t="shared" si="29"/>
        <v>#N/A</v>
      </c>
      <c r="Y140" s="534"/>
      <c r="Z140" s="404"/>
      <c r="AA140" s="404"/>
      <c r="AB140" s="404"/>
      <c r="AC140" s="404" t="e">
        <f t="shared" si="30"/>
        <v>#N/A</v>
      </c>
      <c r="AD140" s="534"/>
      <c r="AE140" s="404"/>
      <c r="AF140" s="404"/>
      <c r="AG140" s="404"/>
      <c r="AH140" s="404" t="e">
        <f t="shared" si="31"/>
        <v>#N/A</v>
      </c>
      <c r="AI140" s="534"/>
      <c r="AJ140" s="404"/>
      <c r="AK140" s="404"/>
      <c r="AL140" s="404"/>
      <c r="AM140" s="404" t="e">
        <f t="shared" si="32"/>
        <v>#N/A</v>
      </c>
      <c r="AN140" s="534"/>
      <c r="AO140" s="404"/>
      <c r="AP140" s="404"/>
      <c r="AQ140" s="404"/>
      <c r="AR140" s="404" t="e">
        <f t="shared" si="33"/>
        <v>#N/A</v>
      </c>
      <c r="AS140" s="534"/>
      <c r="AT140" s="404"/>
      <c r="AU140" s="404"/>
      <c r="AV140" s="404"/>
      <c r="AW140" s="404" t="e">
        <f t="shared" si="34"/>
        <v>#N/A</v>
      </c>
      <c r="AX140" s="534"/>
    </row>
    <row r="141" spans="2:50">
      <c r="B141" s="533"/>
      <c r="C141" s="404">
        <v>30</v>
      </c>
      <c r="D141" s="226"/>
      <c r="E141" s="182"/>
      <c r="F141" s="404"/>
      <c r="G141" s="405"/>
      <c r="H141" s="599"/>
      <c r="I141" s="202"/>
      <c r="J141" s="202"/>
      <c r="K141" s="202"/>
      <c r="L141" s="589"/>
      <c r="M141" s="407" t="e">
        <f>RANK(K141, K$112:$K$141)</f>
        <v>#N/A</v>
      </c>
      <c r="N141" s="544"/>
      <c r="O141" s="544"/>
      <c r="P141" s="404"/>
      <c r="Q141" s="404"/>
      <c r="R141" s="404"/>
      <c r="S141" s="404" t="e">
        <f t="shared" si="28"/>
        <v>#N/A</v>
      </c>
      <c r="T141" s="534"/>
      <c r="U141" s="404"/>
      <c r="V141" s="404"/>
      <c r="W141" s="404"/>
      <c r="X141" s="404" t="e">
        <f t="shared" si="29"/>
        <v>#N/A</v>
      </c>
      <c r="Y141" s="534"/>
      <c r="Z141" s="404"/>
      <c r="AA141" s="404"/>
      <c r="AB141" s="404"/>
      <c r="AC141" s="404" t="e">
        <f t="shared" si="30"/>
        <v>#N/A</v>
      </c>
      <c r="AD141" s="534"/>
      <c r="AE141" s="404"/>
      <c r="AF141" s="404"/>
      <c r="AG141" s="404"/>
      <c r="AH141" s="404" t="e">
        <f t="shared" si="31"/>
        <v>#N/A</v>
      </c>
      <c r="AI141" s="534"/>
      <c r="AJ141" s="404"/>
      <c r="AK141" s="404"/>
      <c r="AL141" s="404"/>
      <c r="AM141" s="404" t="e">
        <f t="shared" si="32"/>
        <v>#N/A</v>
      </c>
      <c r="AN141" s="534"/>
      <c r="AO141" s="404"/>
      <c r="AP141" s="404"/>
      <c r="AQ141" s="404"/>
      <c r="AR141" s="404" t="e">
        <f t="shared" si="33"/>
        <v>#N/A</v>
      </c>
      <c r="AS141" s="534"/>
      <c r="AT141" s="404"/>
      <c r="AU141" s="404"/>
      <c r="AV141" s="404"/>
      <c r="AW141" s="404" t="e">
        <f t="shared" si="34"/>
        <v>#N/A</v>
      </c>
      <c r="AX141" s="534"/>
    </row>
    <row r="142" spans="2:50" ht="15.5">
      <c r="B142" s="555" t="s">
        <v>704</v>
      </c>
      <c r="C142" s="556"/>
      <c r="D142" s="556"/>
      <c r="E142" s="556"/>
      <c r="F142" s="556"/>
      <c r="G142" s="556"/>
      <c r="H142" s="557"/>
      <c r="I142" s="208"/>
      <c r="J142" s="208"/>
      <c r="K142" s="208"/>
      <c r="L142" s="208"/>
      <c r="M142" s="207"/>
      <c r="N142" s="559" t="s">
        <v>705</v>
      </c>
      <c r="O142" s="559" t="s">
        <v>706</v>
      </c>
      <c r="P142" s="554">
        <f>P107+7</f>
        <v>46014</v>
      </c>
      <c r="Q142" s="533"/>
      <c r="R142" s="533"/>
      <c r="S142" s="533"/>
      <c r="T142" s="533"/>
      <c r="U142" s="551">
        <f>P142+1</f>
        <v>46015</v>
      </c>
      <c r="V142" s="552"/>
      <c r="W142" s="552"/>
      <c r="X142" s="552"/>
      <c r="Y142" s="553"/>
      <c r="Z142" s="551">
        <f>U142+1</f>
        <v>46016</v>
      </c>
      <c r="AA142" s="552"/>
      <c r="AB142" s="552"/>
      <c r="AC142" s="552"/>
      <c r="AD142" s="553"/>
      <c r="AE142" s="551">
        <f>Z142+1</f>
        <v>46017</v>
      </c>
      <c r="AF142" s="552"/>
      <c r="AG142" s="552"/>
      <c r="AH142" s="552"/>
      <c r="AI142" s="553"/>
      <c r="AJ142" s="551">
        <f>AE142+1</f>
        <v>46018</v>
      </c>
      <c r="AK142" s="552"/>
      <c r="AL142" s="552"/>
      <c r="AM142" s="552"/>
      <c r="AN142" s="553"/>
      <c r="AO142" s="551">
        <f>AJ142+1</f>
        <v>46019</v>
      </c>
      <c r="AP142" s="552"/>
      <c r="AQ142" s="552"/>
      <c r="AR142" s="552"/>
      <c r="AS142" s="553"/>
      <c r="AT142" s="551">
        <f>AO142+1</f>
        <v>46020</v>
      </c>
      <c r="AU142" s="552"/>
      <c r="AV142" s="552"/>
      <c r="AW142" s="552"/>
      <c r="AX142" s="553"/>
    </row>
    <row r="143" spans="2:50" ht="15.5">
      <c r="B143" s="558"/>
      <c r="C143" s="558"/>
      <c r="D143" s="558"/>
      <c r="E143" s="558"/>
      <c r="F143" s="558"/>
      <c r="G143" s="558"/>
      <c r="H143" s="558"/>
      <c r="I143" s="205"/>
      <c r="J143" s="205"/>
      <c r="K143" s="205"/>
      <c r="L143" s="205"/>
      <c r="M143" s="206"/>
      <c r="N143" s="560"/>
      <c r="O143" s="560"/>
      <c r="P143" s="554" t="s">
        <v>707</v>
      </c>
      <c r="Q143" s="533"/>
      <c r="R143" s="533"/>
      <c r="S143" s="533"/>
      <c r="T143" s="533"/>
      <c r="U143" s="554" t="s">
        <v>708</v>
      </c>
      <c r="V143" s="533"/>
      <c r="W143" s="533"/>
      <c r="X143" s="533"/>
      <c r="Y143" s="533"/>
      <c r="Z143" s="554" t="s">
        <v>709</v>
      </c>
      <c r="AA143" s="533"/>
      <c r="AB143" s="533"/>
      <c r="AC143" s="533"/>
      <c r="AD143" s="533"/>
      <c r="AE143" s="554" t="s">
        <v>710</v>
      </c>
      <c r="AF143" s="533"/>
      <c r="AG143" s="533"/>
      <c r="AH143" s="533"/>
      <c r="AI143" s="533"/>
      <c r="AJ143" s="554" t="s">
        <v>711</v>
      </c>
      <c r="AK143" s="533"/>
      <c r="AL143" s="533"/>
      <c r="AM143" s="533"/>
      <c r="AN143" s="533"/>
      <c r="AO143" s="554" t="s">
        <v>712</v>
      </c>
      <c r="AP143" s="533"/>
      <c r="AQ143" s="533"/>
      <c r="AR143" s="533"/>
      <c r="AS143" s="533"/>
      <c r="AT143" s="554" t="s">
        <v>713</v>
      </c>
      <c r="AU143" s="533"/>
      <c r="AV143" s="533"/>
      <c r="AW143" s="533"/>
      <c r="AX143" s="533"/>
    </row>
    <row r="144" spans="2:50">
      <c r="B144" s="544" t="s">
        <v>649</v>
      </c>
      <c r="C144" s="544" t="s">
        <v>650</v>
      </c>
      <c r="D144" s="544"/>
      <c r="E144" s="544" t="s">
        <v>651</v>
      </c>
      <c r="F144" s="544"/>
      <c r="G144" s="544"/>
      <c r="H144" s="561" t="s">
        <v>652</v>
      </c>
      <c r="I144" s="583" t="s">
        <v>653</v>
      </c>
      <c r="J144" s="583"/>
      <c r="K144" s="583"/>
      <c r="L144" s="584" t="s">
        <v>652</v>
      </c>
      <c r="M144" s="567" t="s">
        <v>654</v>
      </c>
      <c r="N144" s="544"/>
      <c r="O144" s="544" t="s">
        <v>655</v>
      </c>
      <c r="P144" s="548" t="s">
        <v>656</v>
      </c>
      <c r="Q144" s="549"/>
      <c r="R144" s="549"/>
      <c r="S144" s="550"/>
      <c r="T144" s="544" t="s">
        <v>652</v>
      </c>
      <c r="U144" s="548" t="s">
        <v>656</v>
      </c>
      <c r="V144" s="549"/>
      <c r="W144" s="549"/>
      <c r="X144" s="550"/>
      <c r="Y144" s="544" t="s">
        <v>652</v>
      </c>
      <c r="Z144" s="548" t="s">
        <v>656</v>
      </c>
      <c r="AA144" s="549"/>
      <c r="AB144" s="549"/>
      <c r="AC144" s="550"/>
      <c r="AD144" s="544" t="s">
        <v>652</v>
      </c>
      <c r="AE144" s="548" t="s">
        <v>656</v>
      </c>
      <c r="AF144" s="549"/>
      <c r="AG144" s="549"/>
      <c r="AH144" s="550"/>
      <c r="AI144" s="544" t="s">
        <v>652</v>
      </c>
      <c r="AJ144" s="548" t="s">
        <v>656</v>
      </c>
      <c r="AK144" s="549"/>
      <c r="AL144" s="549"/>
      <c r="AM144" s="550"/>
      <c r="AN144" s="544" t="s">
        <v>652</v>
      </c>
      <c r="AO144" s="548" t="s">
        <v>656</v>
      </c>
      <c r="AP144" s="549"/>
      <c r="AQ144" s="549"/>
      <c r="AR144" s="550"/>
      <c r="AS144" s="544" t="s">
        <v>652</v>
      </c>
      <c r="AT144" s="548" t="s">
        <v>656</v>
      </c>
      <c r="AU144" s="549"/>
      <c r="AV144" s="549"/>
      <c r="AW144" s="550"/>
      <c r="AX144" s="544" t="s">
        <v>652</v>
      </c>
    </row>
    <row r="145" spans="2:50">
      <c r="B145" s="544"/>
      <c r="C145" s="544"/>
      <c r="D145" s="544"/>
      <c r="E145" s="544" t="s">
        <v>657</v>
      </c>
      <c r="F145" s="544"/>
      <c r="G145" s="544"/>
      <c r="H145" s="562"/>
      <c r="I145" s="583" t="s">
        <v>657</v>
      </c>
      <c r="J145" s="583"/>
      <c r="K145" s="583"/>
      <c r="L145" s="585"/>
      <c r="M145" s="568"/>
      <c r="N145" s="544"/>
      <c r="O145" s="544"/>
      <c r="P145" s="548" t="s">
        <v>658</v>
      </c>
      <c r="Q145" s="549"/>
      <c r="R145" s="549"/>
      <c r="S145" s="550"/>
      <c r="T145" s="544"/>
      <c r="U145" s="548" t="s">
        <v>658</v>
      </c>
      <c r="V145" s="549"/>
      <c r="W145" s="549"/>
      <c r="X145" s="550"/>
      <c r="Y145" s="544"/>
      <c r="Z145" s="548" t="s">
        <v>658</v>
      </c>
      <c r="AA145" s="549"/>
      <c r="AB145" s="549"/>
      <c r="AC145" s="550"/>
      <c r="AD145" s="544"/>
      <c r="AE145" s="548" t="s">
        <v>658</v>
      </c>
      <c r="AF145" s="549"/>
      <c r="AG145" s="549"/>
      <c r="AH145" s="550"/>
      <c r="AI145" s="544"/>
      <c r="AJ145" s="548" t="s">
        <v>658</v>
      </c>
      <c r="AK145" s="549"/>
      <c r="AL145" s="549"/>
      <c r="AM145" s="550"/>
      <c r="AN145" s="544"/>
      <c r="AO145" s="548" t="s">
        <v>658</v>
      </c>
      <c r="AP145" s="549"/>
      <c r="AQ145" s="549"/>
      <c r="AR145" s="550"/>
      <c r="AS145" s="544"/>
      <c r="AT145" s="548" t="s">
        <v>658</v>
      </c>
      <c r="AU145" s="549"/>
      <c r="AV145" s="549"/>
      <c r="AW145" s="550"/>
      <c r="AX145" s="544"/>
    </row>
    <row r="146" spans="2:50">
      <c r="B146" s="544"/>
      <c r="C146" s="544"/>
      <c r="D146" s="544"/>
      <c r="E146" s="403" t="s">
        <v>659</v>
      </c>
      <c r="F146" s="403" t="s">
        <v>660</v>
      </c>
      <c r="G146" s="403" t="s">
        <v>661</v>
      </c>
      <c r="H146" s="563"/>
      <c r="I146" s="402" t="s">
        <v>659</v>
      </c>
      <c r="J146" s="402" t="s">
        <v>660</v>
      </c>
      <c r="K146" s="402" t="s">
        <v>661</v>
      </c>
      <c r="L146" s="586"/>
      <c r="M146" s="569"/>
      <c r="N146" s="544"/>
      <c r="O146" s="544"/>
      <c r="P146" s="403" t="s">
        <v>659</v>
      </c>
      <c r="Q146" s="403" t="s">
        <v>660</v>
      </c>
      <c r="R146" s="403" t="s">
        <v>661</v>
      </c>
      <c r="S146" s="403" t="s">
        <v>654</v>
      </c>
      <c r="T146" s="544"/>
      <c r="U146" s="403" t="s">
        <v>659</v>
      </c>
      <c r="V146" s="403" t="s">
        <v>660</v>
      </c>
      <c r="W146" s="403" t="s">
        <v>661</v>
      </c>
      <c r="X146" s="403" t="s">
        <v>654</v>
      </c>
      <c r="Y146" s="544"/>
      <c r="Z146" s="403" t="s">
        <v>659</v>
      </c>
      <c r="AA146" s="403" t="s">
        <v>660</v>
      </c>
      <c r="AB146" s="403" t="s">
        <v>661</v>
      </c>
      <c r="AC146" s="403" t="s">
        <v>654</v>
      </c>
      <c r="AD146" s="544"/>
      <c r="AE146" s="403" t="s">
        <v>659</v>
      </c>
      <c r="AF146" s="403" t="s">
        <v>660</v>
      </c>
      <c r="AG146" s="403" t="s">
        <v>661</v>
      </c>
      <c r="AH146" s="403" t="s">
        <v>654</v>
      </c>
      <c r="AI146" s="544"/>
      <c r="AJ146" s="403" t="s">
        <v>659</v>
      </c>
      <c r="AK146" s="403" t="s">
        <v>660</v>
      </c>
      <c r="AL146" s="403" t="s">
        <v>661</v>
      </c>
      <c r="AM146" s="403" t="s">
        <v>654</v>
      </c>
      <c r="AN146" s="544"/>
      <c r="AO146" s="403" t="s">
        <v>659</v>
      </c>
      <c r="AP146" s="403" t="s">
        <v>660</v>
      </c>
      <c r="AQ146" s="403" t="s">
        <v>661</v>
      </c>
      <c r="AR146" s="403" t="s">
        <v>654</v>
      </c>
      <c r="AS146" s="544"/>
      <c r="AT146" s="403" t="s">
        <v>659</v>
      </c>
      <c r="AU146" s="403" t="s">
        <v>660</v>
      </c>
      <c r="AV146" s="403" t="s">
        <v>661</v>
      </c>
      <c r="AW146" s="403" t="s">
        <v>654</v>
      </c>
      <c r="AX146" s="544"/>
    </row>
    <row r="147" spans="2:50">
      <c r="B147" s="544" t="s">
        <v>714</v>
      </c>
      <c r="C147" s="404">
        <v>1</v>
      </c>
      <c r="D147" s="226" t="s">
        <v>374</v>
      </c>
      <c r="E147" s="182">
        <v>6</v>
      </c>
      <c r="F147" s="404">
        <v>1500</v>
      </c>
      <c r="G147" s="405">
        <v>250</v>
      </c>
      <c r="H147" s="597">
        <f>AVERAGE(G147:G176)</f>
        <v>98.253571428571419</v>
      </c>
      <c r="I147" s="408">
        <f>AVERAGE(P147,U147,Z147,AE147,AJ147,AO147,AT147)</f>
        <v>6</v>
      </c>
      <c r="J147" s="408">
        <f>AVERAGE(Q147,V147,AA147,AF147,AK147,AP147,AU147)</f>
        <v>1410.6916386627811</v>
      </c>
      <c r="K147" s="406">
        <f>AVERAGE(R147,W147,AB147,AG147,AL147,AQ147,AV147)</f>
        <v>235.11527311046351</v>
      </c>
      <c r="L147" s="587">
        <f>IFERROR(AVERAGE(K147:K176),"-")</f>
        <v>84.04829343302049</v>
      </c>
      <c r="M147" s="407">
        <f>RANK(K147, K$147:$K$176)</f>
        <v>1</v>
      </c>
      <c r="N147" s="544"/>
      <c r="O147" s="544"/>
      <c r="P147" s="182">
        <v>6</v>
      </c>
      <c r="Q147" s="182">
        <v>1418.2941176470588</v>
      </c>
      <c r="R147" s="182">
        <v>236.38235294117646</v>
      </c>
      <c r="S147" s="404">
        <f>RANK(R147, R$147:R$176)</f>
        <v>1</v>
      </c>
      <c r="T147" s="534">
        <f>AVERAGE(R147:R176)</f>
        <v>83.630067711155206</v>
      </c>
      <c r="U147" s="182">
        <v>6</v>
      </c>
      <c r="V147" s="182">
        <v>1435.7853658536578</v>
      </c>
      <c r="W147" s="182">
        <v>239.29756097560963</v>
      </c>
      <c r="X147" s="404">
        <f>RANK(W147, W$147:W$176)</f>
        <v>1</v>
      </c>
      <c r="Y147" s="534">
        <f>AVERAGE(W147:W176)</f>
        <v>84.872068180845673</v>
      </c>
      <c r="Z147" s="182">
        <v>6</v>
      </c>
      <c r="AA147" s="182">
        <v>1398.3389312977099</v>
      </c>
      <c r="AB147" s="182">
        <v>233.05648854961831</v>
      </c>
      <c r="AC147" s="404">
        <f>RANK(AB147, AB$147:AB$176)</f>
        <v>1</v>
      </c>
      <c r="AD147" s="534">
        <f>AVERAGE(AB147:AB176)</f>
        <v>84.091578558576842</v>
      </c>
      <c r="AE147" s="182">
        <v>6</v>
      </c>
      <c r="AF147" s="182">
        <v>1396.2285714285711</v>
      </c>
      <c r="AG147" s="182">
        <v>232.70476190476185</v>
      </c>
      <c r="AH147" s="404">
        <f>RANK(AG147, AG$147:AG$176)</f>
        <v>1</v>
      </c>
      <c r="AI147" s="534">
        <f>AVERAGE(AG147:AG176)</f>
        <v>83.770528258944552</v>
      </c>
      <c r="AJ147" s="182">
        <v>6</v>
      </c>
      <c r="AK147" s="182">
        <v>1412.9611510791367</v>
      </c>
      <c r="AL147" s="182">
        <v>235.49352517985611</v>
      </c>
      <c r="AM147" s="404">
        <f>RANK(AL147, AL$147:AL$176)</f>
        <v>1</v>
      </c>
      <c r="AN147" s="534">
        <f>AVERAGE(AL147:AL176)</f>
        <v>84.337110787316519</v>
      </c>
      <c r="AO147" s="182">
        <v>6</v>
      </c>
      <c r="AP147" s="182">
        <v>1410.1333333333334</v>
      </c>
      <c r="AQ147" s="182">
        <v>235.02222222222224</v>
      </c>
      <c r="AR147" s="404">
        <f>RANK(AQ147, AQ$147:AQ$176)</f>
        <v>1</v>
      </c>
      <c r="AS147" s="534">
        <f>AVERAGE(AQ147:AQ176)</f>
        <v>84.702649691295875</v>
      </c>
      <c r="AT147" s="182">
        <v>6</v>
      </c>
      <c r="AU147" s="182">
        <v>1403.1000000000004</v>
      </c>
      <c r="AV147" s="182">
        <v>233.85000000000005</v>
      </c>
      <c r="AW147" s="404">
        <f>RANK(AV147, AV$147:AV$176)</f>
        <v>1</v>
      </c>
      <c r="AX147" s="534">
        <f>AVERAGE(AV147:AV176)</f>
        <v>83.962938252965571</v>
      </c>
    </row>
    <row r="148" spans="2:50">
      <c r="B148" s="533"/>
      <c r="C148" s="404">
        <v>2</v>
      </c>
      <c r="D148" s="226" t="s">
        <v>398</v>
      </c>
      <c r="E148" s="182">
        <v>6</v>
      </c>
      <c r="F148" s="404">
        <v>1500</v>
      </c>
      <c r="G148" s="405">
        <v>250</v>
      </c>
      <c r="H148" s="598"/>
      <c r="I148" s="408">
        <f t="shared" ref="I148:K170" si="36">AVERAGE(P148,U148,Z148,AE148,AJ148,AO148,AT148)</f>
        <v>7</v>
      </c>
      <c r="J148" s="408">
        <f t="shared" si="36"/>
        <v>1479.6007818984688</v>
      </c>
      <c r="K148" s="406">
        <f t="shared" si="36"/>
        <v>211.37154027120982</v>
      </c>
      <c r="L148" s="588"/>
      <c r="M148" s="407">
        <f>RANK(K148, K$147:$K$176)</f>
        <v>2</v>
      </c>
      <c r="N148" s="544"/>
      <c r="O148" s="544"/>
      <c r="P148" s="182">
        <v>7</v>
      </c>
      <c r="Q148" s="182">
        <v>1496.629213483146</v>
      </c>
      <c r="R148" s="182">
        <v>213.80417335473516</v>
      </c>
      <c r="S148" s="404">
        <f t="shared" ref="S148:S176" si="37">RANK(R148, R$147:R$176)</f>
        <v>2</v>
      </c>
      <c r="T148" s="534"/>
      <c r="U148" s="182">
        <v>7</v>
      </c>
      <c r="V148" s="182">
        <v>1485.1764705882351</v>
      </c>
      <c r="W148" s="182">
        <v>212.16806722689074</v>
      </c>
      <c r="X148" s="404">
        <f t="shared" ref="X148:X176" si="38">RANK(W148, W$147:W$176)</f>
        <v>2</v>
      </c>
      <c r="Y148" s="534"/>
      <c r="Z148" s="182">
        <v>7</v>
      </c>
      <c r="AA148" s="182">
        <v>1470.3225806451615</v>
      </c>
      <c r="AB148" s="182">
        <v>210.04608294930878</v>
      </c>
      <c r="AC148" s="404">
        <f t="shared" ref="AC148:AC176" si="39">RANK(AB148, AB$147:AB$176)</f>
        <v>2</v>
      </c>
      <c r="AD148" s="534"/>
      <c r="AE148" s="182">
        <v>7</v>
      </c>
      <c r="AF148" s="182">
        <v>1486.2162162162169</v>
      </c>
      <c r="AG148" s="182">
        <v>212.31660231660243</v>
      </c>
      <c r="AH148" s="404">
        <f t="shared" ref="AH148:AH176" si="40">RANK(AG148, AG$147:AG$176)</f>
        <v>2</v>
      </c>
      <c r="AI148" s="534"/>
      <c r="AJ148" s="182">
        <v>7</v>
      </c>
      <c r="AK148" s="182">
        <v>1471.8072289156621</v>
      </c>
      <c r="AL148" s="182">
        <v>210.25817555938031</v>
      </c>
      <c r="AM148" s="404">
        <f t="shared" ref="AM148:AM176" si="41">RANK(AL148, AL$147:AL$176)</f>
        <v>2</v>
      </c>
      <c r="AN148" s="534"/>
      <c r="AO148" s="182">
        <v>7</v>
      </c>
      <c r="AP148" s="182">
        <v>1478.6666666666667</v>
      </c>
      <c r="AQ148" s="182">
        <v>211.23809523809524</v>
      </c>
      <c r="AR148" s="404">
        <f t="shared" ref="AR148:AR176" si="42">RANK(AQ148, AQ$147:AQ$176)</f>
        <v>2</v>
      </c>
      <c r="AS148" s="534"/>
      <c r="AT148" s="182">
        <v>7</v>
      </c>
      <c r="AU148" s="182">
        <v>1468.3870967741937</v>
      </c>
      <c r="AV148" s="182">
        <v>209.76958525345623</v>
      </c>
      <c r="AW148" s="404">
        <f t="shared" ref="AW148:AW176" si="43">RANK(AV148, AV$147:AV$176)</f>
        <v>2</v>
      </c>
      <c r="AX148" s="534"/>
    </row>
    <row r="149" spans="2:50">
      <c r="B149" s="533"/>
      <c r="C149" s="404">
        <v>3</v>
      </c>
      <c r="D149" s="226" t="s">
        <v>375</v>
      </c>
      <c r="E149" s="182">
        <v>17</v>
      </c>
      <c r="F149" s="404">
        <v>1500</v>
      </c>
      <c r="G149" s="405">
        <v>88.2</v>
      </c>
      <c r="H149" s="598"/>
      <c r="I149" s="408">
        <f t="shared" si="36"/>
        <v>17</v>
      </c>
      <c r="J149" s="408">
        <f t="shared" si="36"/>
        <v>1331.2017991627542</v>
      </c>
      <c r="K149" s="406">
        <f t="shared" si="36"/>
        <v>78.30598818604436</v>
      </c>
      <c r="L149" s="588"/>
      <c r="M149" s="407">
        <f>RANK(K149, K$147:$K$176)</f>
        <v>10</v>
      </c>
      <c r="N149" s="544"/>
      <c r="O149" s="544"/>
      <c r="P149" s="182">
        <v>17</v>
      </c>
      <c r="Q149" s="182">
        <v>1345.217391304348</v>
      </c>
      <c r="R149" s="182">
        <v>79.130434782608702</v>
      </c>
      <c r="S149" s="404">
        <f t="shared" si="37"/>
        <v>6</v>
      </c>
      <c r="T149" s="534"/>
      <c r="U149" s="182">
        <v>17</v>
      </c>
      <c r="V149" s="182">
        <v>1326.2686567164178</v>
      </c>
      <c r="W149" s="182">
        <v>78.015803336259864</v>
      </c>
      <c r="X149" s="404">
        <f t="shared" si="38"/>
        <v>10</v>
      </c>
      <c r="Y149" s="534"/>
      <c r="Z149" s="182">
        <v>17</v>
      </c>
      <c r="AA149" s="182">
        <v>1321.6216216216221</v>
      </c>
      <c r="AB149" s="182">
        <v>77.742448330683658</v>
      </c>
      <c r="AC149" s="404">
        <f t="shared" si="39"/>
        <v>7</v>
      </c>
      <c r="AD149" s="534"/>
      <c r="AE149" s="182">
        <v>17</v>
      </c>
      <c r="AF149" s="182">
        <v>1335.6000000000004</v>
      </c>
      <c r="AG149" s="182">
        <v>78.564705882352968</v>
      </c>
      <c r="AH149" s="404">
        <f t="shared" si="40"/>
        <v>10</v>
      </c>
      <c r="AI149" s="534"/>
      <c r="AJ149" s="182">
        <v>17</v>
      </c>
      <c r="AK149" s="182">
        <v>1340.357142857144</v>
      </c>
      <c r="AL149" s="182">
        <v>78.844537815126117</v>
      </c>
      <c r="AM149" s="404">
        <f t="shared" si="41"/>
        <v>9</v>
      </c>
      <c r="AN149" s="534"/>
      <c r="AO149" s="182">
        <v>17</v>
      </c>
      <c r="AP149" s="182">
        <v>1313.7313432835822</v>
      </c>
      <c r="AQ149" s="182">
        <v>77.278314310798947</v>
      </c>
      <c r="AR149" s="404">
        <f t="shared" si="42"/>
        <v>10</v>
      </c>
      <c r="AS149" s="534"/>
      <c r="AT149" s="182">
        <v>17</v>
      </c>
      <c r="AU149" s="182">
        <v>1335.6164383561645</v>
      </c>
      <c r="AV149" s="182">
        <v>78.565672844480261</v>
      </c>
      <c r="AW149" s="404">
        <f t="shared" si="43"/>
        <v>10</v>
      </c>
      <c r="AX149" s="534"/>
    </row>
    <row r="150" spans="2:50">
      <c r="B150" s="533"/>
      <c r="C150" s="404">
        <v>4</v>
      </c>
      <c r="D150" s="226" t="s">
        <v>355</v>
      </c>
      <c r="E150" s="182">
        <v>21</v>
      </c>
      <c r="F150" s="404">
        <v>1500</v>
      </c>
      <c r="G150" s="405">
        <v>71.400000000000006</v>
      </c>
      <c r="H150" s="598"/>
      <c r="I150" s="408">
        <f t="shared" si="36"/>
        <v>20</v>
      </c>
      <c r="J150" s="408">
        <f t="shared" si="36"/>
        <v>1321.3157295159504</v>
      </c>
      <c r="K150" s="406">
        <f t="shared" si="36"/>
        <v>66.065786475797523</v>
      </c>
      <c r="L150" s="588"/>
      <c r="M150" s="407">
        <f>RANK(K150, K$147:$K$176)</f>
        <v>25</v>
      </c>
      <c r="N150" s="544"/>
      <c r="O150" s="544"/>
      <c r="P150" s="182">
        <v>20</v>
      </c>
      <c r="Q150" s="182">
        <v>1301.3333333333335</v>
      </c>
      <c r="R150" s="182">
        <v>65.066666666666677</v>
      </c>
      <c r="S150" s="404">
        <f t="shared" si="37"/>
        <v>22</v>
      </c>
      <c r="T150" s="534"/>
      <c r="U150" s="182">
        <v>20</v>
      </c>
      <c r="V150" s="182">
        <v>1337.872340425532</v>
      </c>
      <c r="W150" s="182">
        <v>66.893617021276597</v>
      </c>
      <c r="X150" s="404">
        <f t="shared" si="38"/>
        <v>24</v>
      </c>
      <c r="Y150" s="534"/>
      <c r="Z150" s="182">
        <v>20</v>
      </c>
      <c r="AA150" s="182">
        <v>1314.6666666666667</v>
      </c>
      <c r="AB150" s="182">
        <v>65.733333333333334</v>
      </c>
      <c r="AC150" s="404">
        <f t="shared" si="39"/>
        <v>24</v>
      </c>
      <c r="AD150" s="534"/>
      <c r="AE150" s="182">
        <v>20</v>
      </c>
      <c r="AF150" s="182">
        <v>1332.972972972972</v>
      </c>
      <c r="AG150" s="182">
        <v>66.648648648648603</v>
      </c>
      <c r="AH150" s="404">
        <f t="shared" si="40"/>
        <v>22</v>
      </c>
      <c r="AI150" s="534"/>
      <c r="AJ150" s="182">
        <v>20</v>
      </c>
      <c r="AK150" s="182">
        <v>1309.7560975609751</v>
      </c>
      <c r="AL150" s="182">
        <v>65.487804878048763</v>
      </c>
      <c r="AM150" s="404">
        <f t="shared" si="41"/>
        <v>25</v>
      </c>
      <c r="AN150" s="534"/>
      <c r="AO150" s="182">
        <v>20</v>
      </c>
      <c r="AP150" s="182">
        <v>1329.9999999999995</v>
      </c>
      <c r="AQ150" s="182">
        <v>66.499999999999972</v>
      </c>
      <c r="AR150" s="404">
        <f t="shared" si="42"/>
        <v>24</v>
      </c>
      <c r="AS150" s="534"/>
      <c r="AT150" s="182">
        <v>20</v>
      </c>
      <c r="AU150" s="182">
        <v>1322.608695652174</v>
      </c>
      <c r="AV150" s="182">
        <v>66.130434782608702</v>
      </c>
      <c r="AW150" s="404">
        <f t="shared" si="43"/>
        <v>24</v>
      </c>
      <c r="AX150" s="534"/>
    </row>
    <row r="151" spans="2:50">
      <c r="B151" s="533"/>
      <c r="C151" s="404">
        <v>5</v>
      </c>
      <c r="D151" s="226" t="s">
        <v>353</v>
      </c>
      <c r="E151" s="182">
        <v>16</v>
      </c>
      <c r="F151" s="404">
        <v>1500</v>
      </c>
      <c r="G151" s="405">
        <v>93.8</v>
      </c>
      <c r="H151" s="598"/>
      <c r="I151" s="408">
        <f t="shared" si="36"/>
        <v>16</v>
      </c>
      <c r="J151" s="408">
        <f t="shared" si="36"/>
        <v>1316.5847456995216</v>
      </c>
      <c r="K151" s="406">
        <f t="shared" si="36"/>
        <v>82.286546606220099</v>
      </c>
      <c r="L151" s="588"/>
      <c r="M151" s="407">
        <f>RANK(K151, K$147:$K$176)</f>
        <v>4</v>
      </c>
      <c r="N151" s="544"/>
      <c r="O151" s="544"/>
      <c r="P151" s="182">
        <v>16</v>
      </c>
      <c r="Q151" s="182">
        <v>1293.0612244897941</v>
      </c>
      <c r="R151" s="182">
        <v>80.81632653061213</v>
      </c>
      <c r="S151" s="404">
        <f t="shared" si="37"/>
        <v>5</v>
      </c>
      <c r="T151" s="534"/>
      <c r="U151" s="182">
        <v>16</v>
      </c>
      <c r="V151" s="182">
        <v>1301.6326530612248</v>
      </c>
      <c r="W151" s="182">
        <v>81.35204081632655</v>
      </c>
      <c r="X151" s="404">
        <f t="shared" si="38"/>
        <v>4</v>
      </c>
      <c r="Y151" s="534"/>
      <c r="Z151" s="182">
        <v>16</v>
      </c>
      <c r="AA151" s="182">
        <v>1361.7391304347802</v>
      </c>
      <c r="AB151" s="182">
        <v>85.108695652173765</v>
      </c>
      <c r="AC151" s="404">
        <f t="shared" si="39"/>
        <v>4</v>
      </c>
      <c r="AD151" s="534"/>
      <c r="AE151" s="182">
        <v>16</v>
      </c>
      <c r="AF151" s="182">
        <v>1312.8571428571424</v>
      </c>
      <c r="AG151" s="182">
        <v>82.053571428571402</v>
      </c>
      <c r="AH151" s="404">
        <f t="shared" si="40"/>
        <v>5</v>
      </c>
      <c r="AI151" s="534"/>
      <c r="AJ151" s="182">
        <v>16</v>
      </c>
      <c r="AK151" s="182">
        <v>1320.0000000000023</v>
      </c>
      <c r="AL151" s="182">
        <v>82.500000000000142</v>
      </c>
      <c r="AM151" s="404">
        <f t="shared" si="41"/>
        <v>5</v>
      </c>
      <c r="AN151" s="534"/>
      <c r="AO151" s="182">
        <v>16</v>
      </c>
      <c r="AP151" s="182">
        <v>1317.391304347826</v>
      </c>
      <c r="AQ151" s="182">
        <v>82.336956521739125</v>
      </c>
      <c r="AR151" s="404">
        <f t="shared" si="42"/>
        <v>5</v>
      </c>
      <c r="AS151" s="534"/>
      <c r="AT151" s="182">
        <v>16</v>
      </c>
      <c r="AU151" s="182">
        <v>1309.4117647058808</v>
      </c>
      <c r="AV151" s="182">
        <v>81.838235294117553</v>
      </c>
      <c r="AW151" s="404">
        <f t="shared" si="43"/>
        <v>6</v>
      </c>
      <c r="AX151" s="534"/>
    </row>
    <row r="152" spans="2:50">
      <c r="B152" s="533"/>
      <c r="C152" s="404">
        <v>6</v>
      </c>
      <c r="D152" s="226" t="s">
        <v>382</v>
      </c>
      <c r="E152" s="182">
        <v>16</v>
      </c>
      <c r="F152" s="404">
        <v>1565</v>
      </c>
      <c r="G152" s="405">
        <v>97.8</v>
      </c>
      <c r="H152" s="598"/>
      <c r="I152" s="408">
        <f t="shared" si="36"/>
        <v>15</v>
      </c>
      <c r="J152" s="408">
        <f t="shared" si="36"/>
        <v>1396.3008157903375</v>
      </c>
      <c r="K152" s="406">
        <f t="shared" si="36"/>
        <v>93.086721052689171</v>
      </c>
      <c r="L152" s="588"/>
      <c r="M152" s="407">
        <f>RANK(K152, K$147:$K$176)</f>
        <v>3</v>
      </c>
      <c r="N152" s="544"/>
      <c r="O152" s="544"/>
      <c r="P152" s="182">
        <v>15</v>
      </c>
      <c r="Q152" s="182">
        <v>1374.8148148148143</v>
      </c>
      <c r="R152" s="182">
        <v>91.654320987654287</v>
      </c>
      <c r="S152" s="404">
        <f t="shared" si="37"/>
        <v>3</v>
      </c>
      <c r="T152" s="534"/>
      <c r="U152" s="182">
        <v>15</v>
      </c>
      <c r="V152" s="182">
        <v>1392.6315789473672</v>
      </c>
      <c r="W152" s="182">
        <v>92.842105263157819</v>
      </c>
      <c r="X152" s="404">
        <f t="shared" si="38"/>
        <v>3</v>
      </c>
      <c r="Y152" s="534"/>
      <c r="Z152" s="182">
        <v>15</v>
      </c>
      <c r="AA152" s="182">
        <v>1415.6521739130421</v>
      </c>
      <c r="AB152" s="182">
        <v>94.376811594202806</v>
      </c>
      <c r="AC152" s="404">
        <f t="shared" si="39"/>
        <v>3</v>
      </c>
      <c r="AD152" s="534"/>
      <c r="AE152" s="182">
        <v>15</v>
      </c>
      <c r="AF152" s="182">
        <v>1403.1428571428557</v>
      </c>
      <c r="AG152" s="182">
        <v>93.542857142857045</v>
      </c>
      <c r="AH152" s="404">
        <f t="shared" si="40"/>
        <v>3</v>
      </c>
      <c r="AI152" s="534"/>
      <c r="AJ152" s="182">
        <v>15</v>
      </c>
      <c r="AK152" s="182">
        <v>1394.3999999999987</v>
      </c>
      <c r="AL152" s="182">
        <v>92.959999999999908</v>
      </c>
      <c r="AM152" s="404">
        <f t="shared" si="41"/>
        <v>3</v>
      </c>
      <c r="AN152" s="534"/>
      <c r="AO152" s="182">
        <v>15</v>
      </c>
      <c r="AP152" s="182">
        <v>1400.7142857142853</v>
      </c>
      <c r="AQ152" s="182">
        <v>93.380952380952351</v>
      </c>
      <c r="AR152" s="404">
        <f t="shared" si="42"/>
        <v>3</v>
      </c>
      <c r="AS152" s="534"/>
      <c r="AT152" s="182">
        <v>15</v>
      </c>
      <c r="AU152" s="182">
        <v>1392.7499999999995</v>
      </c>
      <c r="AV152" s="182">
        <v>92.849999999999966</v>
      </c>
      <c r="AW152" s="404">
        <f t="shared" si="43"/>
        <v>3</v>
      </c>
      <c r="AX152" s="534"/>
    </row>
    <row r="153" spans="2:50">
      <c r="B153" s="533"/>
      <c r="C153" s="404">
        <v>7</v>
      </c>
      <c r="D153" s="226" t="s">
        <v>343</v>
      </c>
      <c r="E153" s="182">
        <v>14</v>
      </c>
      <c r="F153" s="404">
        <v>1440</v>
      </c>
      <c r="G153" s="405">
        <v>102.9</v>
      </c>
      <c r="H153" s="598"/>
      <c r="I153" s="408">
        <f t="shared" si="36"/>
        <v>15</v>
      </c>
      <c r="J153" s="408">
        <f t="shared" si="36"/>
        <v>1177.6981595196455</v>
      </c>
      <c r="K153" s="406">
        <f t="shared" si="36"/>
        <v>78.513210634643045</v>
      </c>
      <c r="L153" s="588"/>
      <c r="M153" s="407">
        <f>RANK(K153, K$147:$K$176)</f>
        <v>9</v>
      </c>
      <c r="N153" s="544"/>
      <c r="O153" s="544"/>
      <c r="P153" s="182">
        <v>15</v>
      </c>
      <c r="Q153" s="182">
        <v>1123.1249999999984</v>
      </c>
      <c r="R153" s="182">
        <v>74.874999999999901</v>
      </c>
      <c r="S153" s="404">
        <f t="shared" si="37"/>
        <v>11</v>
      </c>
      <c r="T153" s="534"/>
      <c r="U153" s="182">
        <v>15</v>
      </c>
      <c r="V153" s="182">
        <v>1120.6451612903209</v>
      </c>
      <c r="W153" s="182">
        <v>74.709677419354719</v>
      </c>
      <c r="X153" s="404">
        <f t="shared" si="38"/>
        <v>14</v>
      </c>
      <c r="Y153" s="534"/>
      <c r="Z153" s="182">
        <v>15</v>
      </c>
      <c r="AA153" s="182">
        <v>1105.1612903225789</v>
      </c>
      <c r="AB153" s="182">
        <v>73.677419354838591</v>
      </c>
      <c r="AC153" s="404">
        <f t="shared" si="39"/>
        <v>14</v>
      </c>
      <c r="AD153" s="534"/>
      <c r="AE153" s="182">
        <v>15</v>
      </c>
      <c r="AF153" s="182">
        <v>1285.7142857142828</v>
      </c>
      <c r="AG153" s="182">
        <v>85.714285714285523</v>
      </c>
      <c r="AH153" s="404">
        <f t="shared" si="40"/>
        <v>4</v>
      </c>
      <c r="AI153" s="534"/>
      <c r="AJ153" s="182">
        <v>15</v>
      </c>
      <c r="AK153" s="182">
        <v>1057.2413793103428</v>
      </c>
      <c r="AL153" s="182">
        <v>70.482758620689523</v>
      </c>
      <c r="AM153" s="404">
        <f t="shared" si="41"/>
        <v>19</v>
      </c>
      <c r="AN153" s="534"/>
      <c r="AO153" s="182">
        <v>15</v>
      </c>
      <c r="AP153" s="182">
        <v>1287.9999999999977</v>
      </c>
      <c r="AQ153" s="182">
        <v>85.866666666666518</v>
      </c>
      <c r="AR153" s="404">
        <f t="shared" si="42"/>
        <v>4</v>
      </c>
      <c r="AS153" s="534"/>
      <c r="AT153" s="182">
        <v>15</v>
      </c>
      <c r="AU153" s="182">
        <v>1263.999999999998</v>
      </c>
      <c r="AV153" s="182">
        <v>84.266666666666524</v>
      </c>
      <c r="AW153" s="404">
        <f t="shared" si="43"/>
        <v>4</v>
      </c>
      <c r="AX153" s="534"/>
    </row>
    <row r="154" spans="2:50">
      <c r="B154" s="533"/>
      <c r="C154" s="404">
        <v>8</v>
      </c>
      <c r="D154" s="226" t="s">
        <v>381</v>
      </c>
      <c r="E154" s="182">
        <v>16</v>
      </c>
      <c r="F154" s="404">
        <v>1440</v>
      </c>
      <c r="G154" s="405">
        <v>90</v>
      </c>
      <c r="H154" s="598"/>
      <c r="I154" s="408">
        <f t="shared" si="36"/>
        <v>16.571428571428573</v>
      </c>
      <c r="J154" s="408">
        <f t="shared" si="36"/>
        <v>1273.7322457677144</v>
      </c>
      <c r="K154" s="406">
        <f t="shared" si="36"/>
        <v>76.935723103540923</v>
      </c>
      <c r="L154" s="588"/>
      <c r="M154" s="407">
        <f>RANK(K154, K$147:$K$176)</f>
        <v>11</v>
      </c>
      <c r="N154" s="544"/>
      <c r="O154" s="544"/>
      <c r="P154" s="182">
        <v>17</v>
      </c>
      <c r="Q154" s="182">
        <v>1271.7391304347825</v>
      </c>
      <c r="R154" s="182">
        <v>74.808184143222505</v>
      </c>
      <c r="S154" s="404">
        <f t="shared" si="37"/>
        <v>12</v>
      </c>
      <c r="T154" s="534"/>
      <c r="U154" s="182">
        <v>16</v>
      </c>
      <c r="V154" s="182">
        <v>1282.1052631578939</v>
      </c>
      <c r="W154" s="182">
        <v>80.131578947368368</v>
      </c>
      <c r="X154" s="404">
        <f t="shared" si="38"/>
        <v>5</v>
      </c>
      <c r="Y154" s="534"/>
      <c r="Z154" s="182">
        <v>17</v>
      </c>
      <c r="AA154" s="182">
        <v>1294.054054054053</v>
      </c>
      <c r="AB154" s="182">
        <v>76.120826709061944</v>
      </c>
      <c r="AC154" s="404">
        <f t="shared" si="39"/>
        <v>12</v>
      </c>
      <c r="AD154" s="534"/>
      <c r="AE154" s="182">
        <v>16</v>
      </c>
      <c r="AF154" s="182">
        <v>1279.4999999999995</v>
      </c>
      <c r="AG154" s="182">
        <v>79.968749999999972</v>
      </c>
      <c r="AH154" s="404">
        <f t="shared" si="40"/>
        <v>7</v>
      </c>
      <c r="AI154" s="534"/>
      <c r="AJ154" s="182">
        <v>16</v>
      </c>
      <c r="AK154" s="182">
        <v>1265.9999999999995</v>
      </c>
      <c r="AL154" s="182">
        <v>79.124999999999972</v>
      </c>
      <c r="AM154" s="404">
        <f t="shared" si="41"/>
        <v>7</v>
      </c>
      <c r="AN154" s="534"/>
      <c r="AO154" s="182">
        <v>17</v>
      </c>
      <c r="AP154" s="182">
        <v>1262.7272727272727</v>
      </c>
      <c r="AQ154" s="182">
        <v>74.278074866310163</v>
      </c>
      <c r="AR154" s="404">
        <f t="shared" si="42"/>
        <v>13</v>
      </c>
      <c r="AS154" s="534"/>
      <c r="AT154" s="182">
        <v>17</v>
      </c>
      <c r="AU154" s="182">
        <v>1259.9999999999995</v>
      </c>
      <c r="AV154" s="182">
        <v>74.117647058823508</v>
      </c>
      <c r="AW154" s="404">
        <f t="shared" si="43"/>
        <v>13</v>
      </c>
      <c r="AX154" s="534"/>
    </row>
    <row r="155" spans="2:50">
      <c r="B155" s="533"/>
      <c r="C155" s="404">
        <v>9</v>
      </c>
      <c r="D155" s="226" t="s">
        <v>377</v>
      </c>
      <c r="E155" s="182">
        <v>18</v>
      </c>
      <c r="F155" s="404">
        <v>1440</v>
      </c>
      <c r="G155" s="405">
        <v>80</v>
      </c>
      <c r="H155" s="598"/>
      <c r="I155" s="408">
        <f t="shared" si="36"/>
        <v>18</v>
      </c>
      <c r="J155" s="408">
        <f t="shared" si="36"/>
        <v>1173.3119597367026</v>
      </c>
      <c r="K155" s="406">
        <f t="shared" si="36"/>
        <v>65.183997763150145</v>
      </c>
      <c r="L155" s="588"/>
      <c r="M155" s="407">
        <f>RANK(K155, K$147:$K$176)</f>
        <v>26</v>
      </c>
      <c r="N155" s="544"/>
      <c r="O155" s="544"/>
      <c r="P155" s="182">
        <v>18</v>
      </c>
      <c r="Q155" s="182">
        <v>1162.6415094339629</v>
      </c>
      <c r="R155" s="182">
        <v>64.591194968553495</v>
      </c>
      <c r="S155" s="404">
        <f t="shared" si="37"/>
        <v>24</v>
      </c>
      <c r="T155" s="534"/>
      <c r="U155" s="182">
        <v>18</v>
      </c>
      <c r="V155" s="182">
        <v>1190.2040816326535</v>
      </c>
      <c r="W155" s="182">
        <v>66.122448979591866</v>
      </c>
      <c r="X155" s="404">
        <f t="shared" si="38"/>
        <v>25</v>
      </c>
      <c r="Y155" s="534"/>
      <c r="Z155" s="182">
        <v>18</v>
      </c>
      <c r="AA155" s="182">
        <v>1176.2500000000002</v>
      </c>
      <c r="AB155" s="182">
        <v>65.347222222222229</v>
      </c>
      <c r="AC155" s="404">
        <f t="shared" si="39"/>
        <v>25</v>
      </c>
      <c r="AD155" s="534"/>
      <c r="AE155" s="182">
        <v>18</v>
      </c>
      <c r="AF155" s="182">
        <v>1166.4000000000003</v>
      </c>
      <c r="AG155" s="182">
        <v>64.800000000000011</v>
      </c>
      <c r="AH155" s="404">
        <f t="shared" si="40"/>
        <v>24</v>
      </c>
      <c r="AI155" s="534"/>
      <c r="AJ155" s="182">
        <v>18</v>
      </c>
      <c r="AK155" s="182">
        <v>1179.1304347826085</v>
      </c>
      <c r="AL155" s="182">
        <v>65.50724637681158</v>
      </c>
      <c r="AM155" s="404">
        <f t="shared" si="41"/>
        <v>24</v>
      </c>
      <c r="AN155" s="534"/>
      <c r="AO155" s="182">
        <v>18</v>
      </c>
      <c r="AP155" s="182">
        <v>1172.3076923076931</v>
      </c>
      <c r="AQ155" s="182">
        <v>65.128205128205167</v>
      </c>
      <c r="AR155" s="404">
        <f t="shared" si="42"/>
        <v>25</v>
      </c>
      <c r="AS155" s="534"/>
      <c r="AT155" s="182">
        <v>18</v>
      </c>
      <c r="AU155" s="182">
        <v>1166.2500000000005</v>
      </c>
      <c r="AV155" s="182">
        <v>64.791666666666686</v>
      </c>
      <c r="AW155" s="404">
        <f t="shared" si="43"/>
        <v>25</v>
      </c>
      <c r="AX155" s="534"/>
    </row>
    <row r="156" spans="2:50">
      <c r="B156" s="533"/>
      <c r="C156" s="404">
        <v>10</v>
      </c>
      <c r="D156" s="226" t="s">
        <v>380</v>
      </c>
      <c r="E156" s="182">
        <v>18</v>
      </c>
      <c r="F156" s="404">
        <v>1636</v>
      </c>
      <c r="G156" s="405">
        <v>90.9</v>
      </c>
      <c r="H156" s="598"/>
      <c r="I156" s="408">
        <f t="shared" si="36"/>
        <v>18</v>
      </c>
      <c r="J156" s="408">
        <f t="shared" si="36"/>
        <v>1289.5391480371823</v>
      </c>
      <c r="K156" s="406">
        <f t="shared" si="36"/>
        <v>71.641063779843464</v>
      </c>
      <c r="L156" s="588"/>
      <c r="M156" s="407">
        <f>RANK(K156, K$147:$K$176)</f>
        <v>18</v>
      </c>
      <c r="N156" s="544"/>
      <c r="O156" s="544"/>
      <c r="P156" s="182">
        <v>18</v>
      </c>
      <c r="Q156" s="182">
        <v>1300.7142857142867</v>
      </c>
      <c r="R156" s="182">
        <v>72.261904761904816</v>
      </c>
      <c r="S156" s="404">
        <f t="shared" si="37"/>
        <v>16</v>
      </c>
      <c r="T156" s="534"/>
      <c r="U156" s="182">
        <v>18</v>
      </c>
      <c r="V156" s="182">
        <v>1289.4117647058829</v>
      </c>
      <c r="W156" s="182">
        <v>71.633986928104605</v>
      </c>
      <c r="X156" s="404">
        <f t="shared" si="38"/>
        <v>20</v>
      </c>
      <c r="Y156" s="534"/>
      <c r="Z156" s="182">
        <v>18</v>
      </c>
      <c r="AA156" s="182">
        <v>1304.0816326530617</v>
      </c>
      <c r="AB156" s="182">
        <v>72.448979591836761</v>
      </c>
      <c r="AC156" s="404">
        <f t="shared" si="39"/>
        <v>16</v>
      </c>
      <c r="AD156" s="534"/>
      <c r="AE156" s="182">
        <v>18</v>
      </c>
      <c r="AF156" s="182">
        <v>1290.0000000000007</v>
      </c>
      <c r="AG156" s="182">
        <v>71.6666666666667</v>
      </c>
      <c r="AH156" s="404">
        <f t="shared" si="40"/>
        <v>14</v>
      </c>
      <c r="AI156" s="534"/>
      <c r="AJ156" s="182">
        <v>18</v>
      </c>
      <c r="AK156" s="182">
        <v>1266.6666666666672</v>
      </c>
      <c r="AL156" s="182">
        <v>70.370370370370395</v>
      </c>
      <c r="AM156" s="404">
        <f t="shared" si="41"/>
        <v>20</v>
      </c>
      <c r="AN156" s="534"/>
      <c r="AO156" s="182">
        <v>18</v>
      </c>
      <c r="AP156" s="182">
        <v>1295.1724137931044</v>
      </c>
      <c r="AQ156" s="182">
        <v>71.954022988505798</v>
      </c>
      <c r="AR156" s="404">
        <f t="shared" si="42"/>
        <v>19</v>
      </c>
      <c r="AS156" s="534"/>
      <c r="AT156" s="182">
        <v>18</v>
      </c>
      <c r="AU156" s="182">
        <v>1280.7272727272734</v>
      </c>
      <c r="AV156" s="182">
        <v>71.151515151515184</v>
      </c>
      <c r="AW156" s="404">
        <f t="shared" si="43"/>
        <v>18</v>
      </c>
      <c r="AX156" s="534"/>
    </row>
    <row r="157" spans="2:50">
      <c r="B157" s="533"/>
      <c r="C157" s="404">
        <v>11</v>
      </c>
      <c r="D157" s="226" t="s">
        <v>379</v>
      </c>
      <c r="E157" s="182">
        <v>18</v>
      </c>
      <c r="F157" s="404">
        <v>1636</v>
      </c>
      <c r="G157" s="405">
        <v>90.9</v>
      </c>
      <c r="H157" s="598"/>
      <c r="I157" s="408">
        <f t="shared" si="36"/>
        <v>18</v>
      </c>
      <c r="J157" s="408">
        <f t="shared" si="36"/>
        <v>1290.513133360309</v>
      </c>
      <c r="K157" s="406">
        <f t="shared" si="36"/>
        <v>71.695174075572723</v>
      </c>
      <c r="L157" s="588"/>
      <c r="M157" s="407">
        <f>RANK(K157, K$147:$K$176)</f>
        <v>17</v>
      </c>
      <c r="N157" s="544"/>
      <c r="O157" s="544"/>
      <c r="P157" s="182">
        <v>18</v>
      </c>
      <c r="Q157" s="182">
        <v>1302.2727272727273</v>
      </c>
      <c r="R157" s="182">
        <v>72.348484848484844</v>
      </c>
      <c r="S157" s="404">
        <f t="shared" si="37"/>
        <v>14</v>
      </c>
      <c r="T157" s="534"/>
      <c r="U157" s="182">
        <v>18</v>
      </c>
      <c r="V157" s="182">
        <v>1316.7567567567557</v>
      </c>
      <c r="W157" s="182">
        <v>73.153153153153099</v>
      </c>
      <c r="X157" s="404">
        <f t="shared" si="38"/>
        <v>18</v>
      </c>
      <c r="Y157" s="534"/>
      <c r="Z157" s="182">
        <v>18</v>
      </c>
      <c r="AA157" s="182">
        <v>1229.1891891891883</v>
      </c>
      <c r="AB157" s="182">
        <v>68.288288288288243</v>
      </c>
      <c r="AC157" s="404">
        <f t="shared" si="39"/>
        <v>21</v>
      </c>
      <c r="AD157" s="534"/>
      <c r="AE157" s="182">
        <v>18</v>
      </c>
      <c r="AF157" s="182">
        <v>1265.9999999999995</v>
      </c>
      <c r="AG157" s="182">
        <v>70.333333333333314</v>
      </c>
      <c r="AH157" s="404">
        <f t="shared" si="40"/>
        <v>17</v>
      </c>
      <c r="AI157" s="534"/>
      <c r="AJ157" s="182">
        <v>18</v>
      </c>
      <c r="AK157" s="182">
        <v>1310.2702702702693</v>
      </c>
      <c r="AL157" s="182">
        <v>72.792792792792739</v>
      </c>
      <c r="AM157" s="404">
        <f t="shared" si="41"/>
        <v>14</v>
      </c>
      <c r="AN157" s="534"/>
      <c r="AO157" s="182">
        <v>18</v>
      </c>
      <c r="AP157" s="182">
        <v>1297.674418604651</v>
      </c>
      <c r="AQ157" s="182">
        <v>72.093023255813947</v>
      </c>
      <c r="AR157" s="404">
        <f t="shared" si="42"/>
        <v>18</v>
      </c>
      <c r="AS157" s="534"/>
      <c r="AT157" s="182">
        <v>18</v>
      </c>
      <c r="AU157" s="182">
        <v>1311.4285714285711</v>
      </c>
      <c r="AV157" s="182">
        <v>72.857142857142833</v>
      </c>
      <c r="AW157" s="404">
        <f t="shared" si="43"/>
        <v>15</v>
      </c>
      <c r="AX157" s="534"/>
    </row>
    <row r="158" spans="2:50">
      <c r="B158" s="533"/>
      <c r="C158" s="404">
        <v>12</v>
      </c>
      <c r="D158" s="226" t="s">
        <v>356</v>
      </c>
      <c r="E158" s="182">
        <v>17</v>
      </c>
      <c r="F158" s="404">
        <v>1500</v>
      </c>
      <c r="G158" s="405">
        <v>88.2</v>
      </c>
      <c r="H158" s="598"/>
      <c r="I158" s="408">
        <f t="shared" si="36"/>
        <v>17.714285714285715</v>
      </c>
      <c r="J158" s="408">
        <f t="shared" si="36"/>
        <v>1278.6476424193518</v>
      </c>
      <c r="K158" s="406">
        <f t="shared" si="36"/>
        <v>72.227056564980657</v>
      </c>
      <c r="L158" s="588"/>
      <c r="M158" s="407">
        <f>RANK(K158, K$147:$K$176)</f>
        <v>16</v>
      </c>
      <c r="N158" s="544"/>
      <c r="O158" s="544"/>
      <c r="P158" s="182">
        <v>18</v>
      </c>
      <c r="Q158" s="182">
        <v>1255.8139534883719</v>
      </c>
      <c r="R158" s="182">
        <v>69.767441860465112</v>
      </c>
      <c r="S158" s="404">
        <f t="shared" si="37"/>
        <v>20</v>
      </c>
      <c r="T158" s="534"/>
      <c r="U158" s="182">
        <v>17</v>
      </c>
      <c r="V158" s="182">
        <v>1244.9999999999995</v>
      </c>
      <c r="W158" s="182">
        <v>73.23529411764703</v>
      </c>
      <c r="X158" s="404">
        <f t="shared" si="38"/>
        <v>16</v>
      </c>
      <c r="Y158" s="534"/>
      <c r="Z158" s="182">
        <v>17</v>
      </c>
      <c r="AA158" s="182">
        <v>1306.2857142857131</v>
      </c>
      <c r="AB158" s="182">
        <v>76.840336134453707</v>
      </c>
      <c r="AC158" s="404">
        <f t="shared" si="39"/>
        <v>11</v>
      </c>
      <c r="AD158" s="534"/>
      <c r="AE158" s="182">
        <v>18</v>
      </c>
      <c r="AF158" s="182">
        <v>1276.9230769230762</v>
      </c>
      <c r="AG158" s="182">
        <v>70.940170940170901</v>
      </c>
      <c r="AH158" s="404">
        <f t="shared" si="40"/>
        <v>15</v>
      </c>
      <c r="AI158" s="534"/>
      <c r="AJ158" s="182">
        <v>18</v>
      </c>
      <c r="AK158" s="182">
        <v>1281.1764705882338</v>
      </c>
      <c r="AL158" s="182">
        <v>71.176470588235205</v>
      </c>
      <c r="AM158" s="404">
        <f t="shared" si="41"/>
        <v>17</v>
      </c>
      <c r="AN158" s="534"/>
      <c r="AO158" s="182">
        <v>18</v>
      </c>
      <c r="AP158" s="182">
        <v>1302.6315789473674</v>
      </c>
      <c r="AQ158" s="182">
        <v>72.368421052631518</v>
      </c>
      <c r="AR158" s="404">
        <f t="shared" si="42"/>
        <v>16</v>
      </c>
      <c r="AS158" s="534"/>
      <c r="AT158" s="182">
        <v>18</v>
      </c>
      <c r="AU158" s="182">
        <v>1282.7027027027016</v>
      </c>
      <c r="AV158" s="182">
        <v>71.261261261261197</v>
      </c>
      <c r="AW158" s="404">
        <f t="shared" si="43"/>
        <v>16</v>
      </c>
      <c r="AX158" s="534"/>
    </row>
    <row r="159" spans="2:50">
      <c r="B159" s="533"/>
      <c r="C159" s="404">
        <v>13</v>
      </c>
      <c r="D159" s="226" t="s">
        <v>606</v>
      </c>
      <c r="E159" s="182">
        <v>18</v>
      </c>
      <c r="F159" s="404">
        <v>1440</v>
      </c>
      <c r="G159" s="405">
        <v>80</v>
      </c>
      <c r="H159" s="598"/>
      <c r="I159" s="408">
        <f t="shared" si="36"/>
        <v>18.428571428571427</v>
      </c>
      <c r="J159" s="408">
        <f t="shared" si="36"/>
        <v>1336.4778320366934</v>
      </c>
      <c r="K159" s="406">
        <f t="shared" si="36"/>
        <v>72.587412057942373</v>
      </c>
      <c r="L159" s="588"/>
      <c r="M159" s="407">
        <f>RANK(K159, K$147:$K$176)</f>
        <v>15</v>
      </c>
      <c r="N159" s="544"/>
      <c r="O159" s="544"/>
      <c r="P159" s="182">
        <v>18</v>
      </c>
      <c r="Q159" s="182">
        <v>1344.1463414634143</v>
      </c>
      <c r="R159" s="182">
        <v>74.674796747967463</v>
      </c>
      <c r="S159" s="404">
        <f t="shared" si="37"/>
        <v>13</v>
      </c>
      <c r="T159" s="534"/>
      <c r="U159" s="182">
        <v>18</v>
      </c>
      <c r="V159" s="182">
        <v>1348.0000000000011</v>
      </c>
      <c r="W159" s="182">
        <v>74.888888888888957</v>
      </c>
      <c r="X159" s="404">
        <f t="shared" si="38"/>
        <v>13</v>
      </c>
      <c r="Y159" s="534"/>
      <c r="Z159" s="182">
        <v>19</v>
      </c>
      <c r="AA159" s="182">
        <v>1296.7164179104495</v>
      </c>
      <c r="AB159" s="182">
        <v>68.248232521602603</v>
      </c>
      <c r="AC159" s="404">
        <f t="shared" si="39"/>
        <v>22</v>
      </c>
      <c r="AD159" s="534"/>
      <c r="AE159" s="182">
        <v>18</v>
      </c>
      <c r="AF159" s="182">
        <v>1330.9859154929566</v>
      </c>
      <c r="AG159" s="182">
        <v>73.94366197183092</v>
      </c>
      <c r="AH159" s="404">
        <f t="shared" si="40"/>
        <v>13</v>
      </c>
      <c r="AI159" s="534"/>
      <c r="AJ159" s="182">
        <v>18</v>
      </c>
      <c r="AK159" s="182">
        <v>1354.9253731343267</v>
      </c>
      <c r="AL159" s="182">
        <v>75.273631840795929</v>
      </c>
      <c r="AM159" s="404">
        <f t="shared" si="41"/>
        <v>13</v>
      </c>
      <c r="AN159" s="534"/>
      <c r="AO159" s="182">
        <v>19</v>
      </c>
      <c r="AP159" s="182">
        <v>1341.6666666666656</v>
      </c>
      <c r="AQ159" s="182">
        <v>70.614035087719245</v>
      </c>
      <c r="AR159" s="404">
        <f t="shared" si="42"/>
        <v>21</v>
      </c>
      <c r="AS159" s="534"/>
      <c r="AT159" s="182">
        <v>19</v>
      </c>
      <c r="AU159" s="182">
        <v>1338.9041095890402</v>
      </c>
      <c r="AV159" s="182">
        <v>70.468637346791596</v>
      </c>
      <c r="AW159" s="404">
        <f t="shared" si="43"/>
        <v>20</v>
      </c>
      <c r="AX159" s="534"/>
    </row>
    <row r="160" spans="2:50">
      <c r="B160" s="533"/>
      <c r="C160" s="404">
        <v>14</v>
      </c>
      <c r="D160" s="226" t="s">
        <v>384</v>
      </c>
      <c r="E160" s="182">
        <v>15</v>
      </c>
      <c r="F160" s="404">
        <v>1440</v>
      </c>
      <c r="G160" s="405">
        <v>96</v>
      </c>
      <c r="H160" s="598"/>
      <c r="I160" s="408">
        <f t="shared" si="36"/>
        <v>15.857142857142858</v>
      </c>
      <c r="J160" s="408">
        <f t="shared" si="36"/>
        <v>1266.4797651232382</v>
      </c>
      <c r="K160" s="406">
        <f t="shared" si="36"/>
        <v>79.901852488122174</v>
      </c>
      <c r="L160" s="588"/>
      <c r="M160" s="407">
        <f>RANK(K160, K$147:$K$176)</f>
        <v>6</v>
      </c>
      <c r="N160" s="544"/>
      <c r="O160" s="544"/>
      <c r="P160" s="182">
        <v>16</v>
      </c>
      <c r="Q160" s="182">
        <v>1256.4705882352946</v>
      </c>
      <c r="R160" s="182">
        <v>78.529411764705912</v>
      </c>
      <c r="S160" s="404">
        <f t="shared" si="37"/>
        <v>8</v>
      </c>
      <c r="T160" s="534"/>
      <c r="U160" s="182">
        <v>16</v>
      </c>
      <c r="V160" s="182">
        <v>1249.6551724137939</v>
      </c>
      <c r="W160" s="182">
        <v>78.103448275862121</v>
      </c>
      <c r="X160" s="404">
        <f t="shared" si="38"/>
        <v>9</v>
      </c>
      <c r="Y160" s="534"/>
      <c r="Z160" s="182">
        <v>16</v>
      </c>
      <c r="AA160" s="182">
        <v>1243.0188679245289</v>
      </c>
      <c r="AB160" s="182">
        <v>77.688679245283055</v>
      </c>
      <c r="AC160" s="404">
        <f t="shared" si="39"/>
        <v>8</v>
      </c>
      <c r="AD160" s="534"/>
      <c r="AE160" s="182">
        <v>16</v>
      </c>
      <c r="AF160" s="182">
        <v>1263.2142857142867</v>
      </c>
      <c r="AG160" s="182">
        <v>78.950892857142918</v>
      </c>
      <c r="AH160" s="404">
        <f t="shared" si="40"/>
        <v>9</v>
      </c>
      <c r="AI160" s="534"/>
      <c r="AJ160" s="182">
        <v>15</v>
      </c>
      <c r="AK160" s="182">
        <v>1254.736842105264</v>
      </c>
      <c r="AL160" s="182">
        <v>83.649122807017605</v>
      </c>
      <c r="AM160" s="404">
        <f t="shared" si="41"/>
        <v>4</v>
      </c>
      <c r="AN160" s="534"/>
      <c r="AO160" s="182">
        <v>16</v>
      </c>
      <c r="AP160" s="182">
        <v>1311.7241379310353</v>
      </c>
      <c r="AQ160" s="182">
        <v>81.982758620689708</v>
      </c>
      <c r="AR160" s="404">
        <f t="shared" si="42"/>
        <v>6</v>
      </c>
      <c r="AS160" s="534"/>
      <c r="AT160" s="182">
        <v>16</v>
      </c>
      <c r="AU160" s="182">
        <v>1286.5384615384623</v>
      </c>
      <c r="AV160" s="182">
        <v>80.408653846153896</v>
      </c>
      <c r="AW160" s="404">
        <f t="shared" si="43"/>
        <v>7</v>
      </c>
      <c r="AX160" s="534"/>
    </row>
    <row r="161" spans="2:50">
      <c r="B161" s="533"/>
      <c r="C161" s="404">
        <v>15</v>
      </c>
      <c r="D161" s="226" t="s">
        <v>345</v>
      </c>
      <c r="E161" s="182">
        <v>17</v>
      </c>
      <c r="F161" s="404">
        <v>1440</v>
      </c>
      <c r="G161" s="405">
        <v>84.7</v>
      </c>
      <c r="H161" s="598"/>
      <c r="I161" s="408">
        <f t="shared" si="36"/>
        <v>17</v>
      </c>
      <c r="J161" s="408">
        <f t="shared" si="36"/>
        <v>1339.7815925559189</v>
      </c>
      <c r="K161" s="406">
        <f t="shared" si="36"/>
        <v>78.810681915054047</v>
      </c>
      <c r="L161" s="588"/>
      <c r="M161" s="408">
        <f>RANK(K161, K$147:$K$176)</f>
        <v>8</v>
      </c>
      <c r="N161" s="544"/>
      <c r="O161" s="544"/>
      <c r="P161" s="182">
        <v>17</v>
      </c>
      <c r="Q161" s="182">
        <v>1337.2340425531916</v>
      </c>
      <c r="R161" s="182">
        <v>78.660826032540683</v>
      </c>
      <c r="S161" s="404">
        <f t="shared" si="37"/>
        <v>7</v>
      </c>
      <c r="T161" s="534"/>
      <c r="U161" s="182">
        <v>17</v>
      </c>
      <c r="V161" s="182">
        <v>1341.4925373134311</v>
      </c>
      <c r="W161" s="182">
        <v>78.911325724319468</v>
      </c>
      <c r="X161" s="404">
        <f t="shared" si="38"/>
        <v>6</v>
      </c>
      <c r="Y161" s="534"/>
      <c r="Z161" s="182">
        <v>17</v>
      </c>
      <c r="AA161" s="182">
        <v>1336.4383561643824</v>
      </c>
      <c r="AB161" s="182">
        <v>78.614020950846026</v>
      </c>
      <c r="AC161" s="404">
        <f t="shared" si="39"/>
        <v>6</v>
      </c>
      <c r="AD161" s="534"/>
      <c r="AE161" s="182">
        <v>17</v>
      </c>
      <c r="AF161" s="182">
        <v>1348.831168831168</v>
      </c>
      <c r="AG161" s="182">
        <v>79.343009931245177</v>
      </c>
      <c r="AH161" s="404">
        <f t="shared" si="40"/>
        <v>8</v>
      </c>
      <c r="AI161" s="534"/>
      <c r="AJ161" s="182">
        <v>17</v>
      </c>
      <c r="AK161" s="182">
        <v>1335.9036144578308</v>
      </c>
      <c r="AL161" s="182">
        <v>78.582565556342985</v>
      </c>
      <c r="AM161" s="404">
        <f t="shared" si="41"/>
        <v>10</v>
      </c>
      <c r="AN161" s="534"/>
      <c r="AO161" s="182">
        <v>17</v>
      </c>
      <c r="AP161" s="182">
        <v>1343.5714285714282</v>
      </c>
      <c r="AQ161" s="182">
        <v>79.033613445378137</v>
      </c>
      <c r="AR161" s="404">
        <f t="shared" si="42"/>
        <v>9</v>
      </c>
      <c r="AS161" s="534"/>
      <c r="AT161" s="182">
        <v>17</v>
      </c>
      <c r="AU161" s="182">
        <v>1335</v>
      </c>
      <c r="AV161" s="182">
        <v>78.529411764705884</v>
      </c>
      <c r="AW161" s="404">
        <f t="shared" si="43"/>
        <v>11</v>
      </c>
      <c r="AX161" s="534"/>
    </row>
    <row r="162" spans="2:50">
      <c r="B162" s="533"/>
      <c r="C162" s="404">
        <v>16</v>
      </c>
      <c r="D162" s="226" t="s">
        <v>376</v>
      </c>
      <c r="E162" s="182">
        <v>17</v>
      </c>
      <c r="F162" s="404">
        <v>1636</v>
      </c>
      <c r="G162" s="405">
        <v>96.3</v>
      </c>
      <c r="H162" s="598"/>
      <c r="I162" s="408">
        <f t="shared" si="36"/>
        <v>17</v>
      </c>
      <c r="J162" s="408">
        <f t="shared" si="36"/>
        <v>1283.1540459540445</v>
      </c>
      <c r="K162" s="406">
        <f t="shared" si="36"/>
        <v>75.479649762002609</v>
      </c>
      <c r="L162" s="588"/>
      <c r="M162" s="408">
        <f>RANK(K162, K$147:$K$176)</f>
        <v>14</v>
      </c>
      <c r="N162" s="544"/>
      <c r="O162" s="544"/>
      <c r="P162" s="182">
        <v>17</v>
      </c>
      <c r="Q162" s="182">
        <v>1100.7692307692278</v>
      </c>
      <c r="R162" s="182">
        <v>64.751131221719277</v>
      </c>
      <c r="S162" s="404">
        <f t="shared" si="37"/>
        <v>23</v>
      </c>
      <c r="T162" s="534"/>
      <c r="U162" s="182">
        <v>17</v>
      </c>
      <c r="V162" s="182">
        <v>1339.2000000000048</v>
      </c>
      <c r="W162" s="182">
        <v>78.776470588235583</v>
      </c>
      <c r="X162" s="404">
        <f t="shared" si="38"/>
        <v>8</v>
      </c>
      <c r="Y162" s="534"/>
      <c r="Z162" s="182">
        <v>17</v>
      </c>
      <c r="AA162" s="182">
        <v>1319.999999999995</v>
      </c>
      <c r="AB162" s="182">
        <v>77.647058823529122</v>
      </c>
      <c r="AC162" s="404">
        <f t="shared" si="39"/>
        <v>9</v>
      </c>
      <c r="AD162" s="534"/>
      <c r="AE162" s="182">
        <v>17</v>
      </c>
      <c r="AF162" s="182">
        <v>1099.9999999999973</v>
      </c>
      <c r="AG162" s="182">
        <v>64.705882352941018</v>
      </c>
      <c r="AH162" s="404">
        <f t="shared" si="40"/>
        <v>25</v>
      </c>
      <c r="AI162" s="534"/>
      <c r="AJ162" s="182">
        <v>17</v>
      </c>
      <c r="AK162" s="182">
        <v>1344.5454545454593</v>
      </c>
      <c r="AL162" s="182">
        <v>79.090909090909363</v>
      </c>
      <c r="AM162" s="404">
        <f t="shared" si="41"/>
        <v>8</v>
      </c>
      <c r="AN162" s="534"/>
      <c r="AO162" s="182">
        <v>17</v>
      </c>
      <c r="AP162" s="182">
        <v>1351.1999999999962</v>
      </c>
      <c r="AQ162" s="182">
        <v>79.482352941176245</v>
      </c>
      <c r="AR162" s="404">
        <f t="shared" si="42"/>
        <v>8</v>
      </c>
      <c r="AS162" s="534"/>
      <c r="AT162" s="182">
        <v>17</v>
      </c>
      <c r="AU162" s="182">
        <v>1426.363636363631</v>
      </c>
      <c r="AV162" s="182">
        <v>83.903743315507711</v>
      </c>
      <c r="AW162" s="404">
        <f t="shared" si="43"/>
        <v>5</v>
      </c>
      <c r="AX162" s="534"/>
    </row>
    <row r="163" spans="2:50">
      <c r="B163" s="533"/>
      <c r="C163" s="404">
        <v>17</v>
      </c>
      <c r="D163" s="226" t="s">
        <v>378</v>
      </c>
      <c r="E163" s="182">
        <v>18</v>
      </c>
      <c r="F163" s="404">
        <v>1440</v>
      </c>
      <c r="G163" s="405">
        <v>80</v>
      </c>
      <c r="H163" s="598"/>
      <c r="I163" s="408">
        <f t="shared" si="36"/>
        <v>17</v>
      </c>
      <c r="J163" s="408">
        <f t="shared" si="36"/>
        <v>1285.2117964950517</v>
      </c>
      <c r="K163" s="406">
        <f t="shared" si="36"/>
        <v>75.600693911473627</v>
      </c>
      <c r="L163" s="588"/>
      <c r="M163" s="408">
        <f>RANK(K163, K$147:$K$176)</f>
        <v>13</v>
      </c>
      <c r="N163" s="544"/>
      <c r="O163" s="544"/>
      <c r="P163" s="182">
        <v>17</v>
      </c>
      <c r="Q163" s="182">
        <v>1283.6065573770504</v>
      </c>
      <c r="R163" s="182">
        <v>75.506268081002972</v>
      </c>
      <c r="S163" s="404">
        <f t="shared" si="37"/>
        <v>10</v>
      </c>
      <c r="T163" s="534"/>
      <c r="U163" s="182">
        <v>17</v>
      </c>
      <c r="V163" s="182">
        <v>1305.882352941177</v>
      </c>
      <c r="W163" s="182">
        <v>76.816608996539827</v>
      </c>
      <c r="X163" s="404">
        <f t="shared" si="38"/>
        <v>11</v>
      </c>
      <c r="Y163" s="534"/>
      <c r="Z163" s="182">
        <v>17</v>
      </c>
      <c r="AA163" s="182">
        <v>1293.0612244897964</v>
      </c>
      <c r="AB163" s="182">
        <v>76.062424969988015</v>
      </c>
      <c r="AC163" s="404">
        <f t="shared" si="39"/>
        <v>13</v>
      </c>
      <c r="AD163" s="534"/>
      <c r="AE163" s="182">
        <v>17</v>
      </c>
      <c r="AF163" s="182">
        <v>1276.9811320754725</v>
      </c>
      <c r="AG163" s="182">
        <v>75.116537180910143</v>
      </c>
      <c r="AH163" s="404">
        <f t="shared" si="40"/>
        <v>11</v>
      </c>
      <c r="AI163" s="534"/>
      <c r="AJ163" s="182">
        <v>17</v>
      </c>
      <c r="AK163" s="182">
        <v>1301.8867924528308</v>
      </c>
      <c r="AL163" s="182">
        <v>76.581576026637109</v>
      </c>
      <c r="AM163" s="404">
        <f t="shared" si="41"/>
        <v>12</v>
      </c>
      <c r="AN163" s="534"/>
      <c r="AO163" s="182">
        <v>17</v>
      </c>
      <c r="AP163" s="182">
        <v>1277.0000000000011</v>
      </c>
      <c r="AQ163" s="182">
        <v>75.117647058823593</v>
      </c>
      <c r="AR163" s="404">
        <f t="shared" si="42"/>
        <v>11</v>
      </c>
      <c r="AS163" s="534"/>
      <c r="AT163" s="182">
        <v>17</v>
      </c>
      <c r="AU163" s="182">
        <v>1258.0645161290333</v>
      </c>
      <c r="AV163" s="182">
        <v>74.00379506641373</v>
      </c>
      <c r="AW163" s="404">
        <f t="shared" si="43"/>
        <v>14</v>
      </c>
      <c r="AX163" s="534"/>
    </row>
    <row r="164" spans="2:50">
      <c r="B164" s="533"/>
      <c r="C164" s="404">
        <v>18</v>
      </c>
      <c r="D164" s="226" t="s">
        <v>385</v>
      </c>
      <c r="E164" s="182">
        <v>18</v>
      </c>
      <c r="F164" s="404">
        <v>1500</v>
      </c>
      <c r="G164" s="405">
        <v>83.3</v>
      </c>
      <c r="H164" s="598"/>
      <c r="I164" s="408">
        <f t="shared" si="36"/>
        <v>18</v>
      </c>
      <c r="J164" s="408">
        <f t="shared" si="36"/>
        <v>1273.355579114763</v>
      </c>
      <c r="K164" s="406">
        <f t="shared" si="36"/>
        <v>70.741976617486841</v>
      </c>
      <c r="L164" s="588"/>
      <c r="M164" s="408">
        <f>RANK(K164, K$147:$K$176)</f>
        <v>21</v>
      </c>
      <c r="N164" s="544"/>
      <c r="O164" s="544"/>
      <c r="P164" s="182">
        <v>18</v>
      </c>
      <c r="Q164" s="182">
        <v>1276.6666666666674</v>
      </c>
      <c r="R164" s="182">
        <v>70.925925925925966</v>
      </c>
      <c r="S164" s="404">
        <f t="shared" si="37"/>
        <v>18</v>
      </c>
      <c r="T164" s="534"/>
      <c r="U164" s="182">
        <v>18</v>
      </c>
      <c r="V164" s="182">
        <v>1246.6666666666667</v>
      </c>
      <c r="W164" s="182">
        <v>69.259259259259267</v>
      </c>
      <c r="X164" s="404">
        <f t="shared" si="38"/>
        <v>22</v>
      </c>
      <c r="Y164" s="534"/>
      <c r="Z164" s="182">
        <v>18</v>
      </c>
      <c r="AA164" s="182">
        <v>1302.6666666666667</v>
      </c>
      <c r="AB164" s="182">
        <v>72.370370370370381</v>
      </c>
      <c r="AC164" s="404">
        <f t="shared" si="39"/>
        <v>17</v>
      </c>
      <c r="AD164" s="534"/>
      <c r="AE164" s="182">
        <v>18</v>
      </c>
      <c r="AF164" s="182">
        <v>1244.4000000000003</v>
      </c>
      <c r="AG164" s="182">
        <v>69.133333333333354</v>
      </c>
      <c r="AH164" s="404">
        <f t="shared" si="40"/>
        <v>19</v>
      </c>
      <c r="AI164" s="534"/>
      <c r="AJ164" s="182">
        <v>18</v>
      </c>
      <c r="AK164" s="182">
        <v>1302.2727272727273</v>
      </c>
      <c r="AL164" s="182">
        <v>72.348484848484844</v>
      </c>
      <c r="AM164" s="404">
        <f t="shared" si="41"/>
        <v>15</v>
      </c>
      <c r="AN164" s="534"/>
      <c r="AO164" s="182">
        <v>18</v>
      </c>
      <c r="AP164" s="182">
        <v>1300.4081632653065</v>
      </c>
      <c r="AQ164" s="182">
        <v>72.244897959183689</v>
      </c>
      <c r="AR164" s="404">
        <f t="shared" si="42"/>
        <v>17</v>
      </c>
      <c r="AS164" s="534"/>
      <c r="AT164" s="182">
        <v>18</v>
      </c>
      <c r="AU164" s="182">
        <v>1240.4081632653065</v>
      </c>
      <c r="AV164" s="182">
        <v>68.91156462585036</v>
      </c>
      <c r="AW164" s="404">
        <f t="shared" si="43"/>
        <v>22</v>
      </c>
      <c r="AX164" s="534"/>
    </row>
    <row r="165" spans="2:50">
      <c r="B165" s="533"/>
      <c r="C165" s="404">
        <v>19</v>
      </c>
      <c r="D165" s="226" t="s">
        <v>467</v>
      </c>
      <c r="E165" s="182">
        <v>17</v>
      </c>
      <c r="F165" s="404">
        <v>1440</v>
      </c>
      <c r="G165" s="405">
        <v>84.7</v>
      </c>
      <c r="H165" s="598"/>
      <c r="I165" s="408">
        <f t="shared" si="36"/>
        <v>17</v>
      </c>
      <c r="J165" s="408">
        <f t="shared" si="36"/>
        <v>1154.2132709813591</v>
      </c>
      <c r="K165" s="406">
        <f t="shared" si="36"/>
        <v>67.8948982930211</v>
      </c>
      <c r="L165" s="588"/>
      <c r="M165" s="408">
        <f>RANK(K165, K$147:$K$176)</f>
        <v>24</v>
      </c>
      <c r="N165" s="544"/>
      <c r="O165" s="544"/>
      <c r="P165" s="182">
        <v>17</v>
      </c>
      <c r="Q165" s="182">
        <v>1094.4827586206875</v>
      </c>
      <c r="R165" s="182">
        <v>64.381338742393382</v>
      </c>
      <c r="S165" s="404">
        <f t="shared" si="37"/>
        <v>25</v>
      </c>
      <c r="T165" s="534"/>
      <c r="U165" s="182">
        <v>17</v>
      </c>
      <c r="V165" s="182">
        <v>1281.5999999999883</v>
      </c>
      <c r="W165" s="182">
        <v>75.388235294116953</v>
      </c>
      <c r="X165" s="404">
        <f t="shared" si="38"/>
        <v>12</v>
      </c>
      <c r="Y165" s="534"/>
      <c r="Z165" s="182">
        <v>17</v>
      </c>
      <c r="AA165" s="182">
        <v>1133.5714285714262</v>
      </c>
      <c r="AB165" s="182">
        <v>66.680672268907415</v>
      </c>
      <c r="AC165" s="404">
        <f t="shared" si="39"/>
        <v>23</v>
      </c>
      <c r="AD165" s="534"/>
      <c r="AE165" s="182">
        <v>17</v>
      </c>
      <c r="AF165" s="182">
        <v>1124.4444444444418</v>
      </c>
      <c r="AG165" s="182">
        <v>66.143790849673053</v>
      </c>
      <c r="AH165" s="404">
        <f t="shared" si="40"/>
        <v>23</v>
      </c>
      <c r="AI165" s="534"/>
      <c r="AJ165" s="182">
        <v>17</v>
      </c>
      <c r="AK165" s="182">
        <v>1115.5555555555529</v>
      </c>
      <c r="AL165" s="182">
        <v>65.620915032679591</v>
      </c>
      <c r="AM165" s="404">
        <f t="shared" si="41"/>
        <v>23</v>
      </c>
      <c r="AN165" s="534"/>
      <c r="AO165" s="182">
        <v>17</v>
      </c>
      <c r="AP165" s="182">
        <v>1234.8387096774172</v>
      </c>
      <c r="AQ165" s="182">
        <v>72.637571157495131</v>
      </c>
      <c r="AR165" s="404">
        <f t="shared" si="42"/>
        <v>15</v>
      </c>
      <c r="AS165" s="534"/>
      <c r="AT165" s="182">
        <v>17</v>
      </c>
      <c r="AU165" s="182">
        <v>1094.9999999999977</v>
      </c>
      <c r="AV165" s="182">
        <v>64.41176470588222</v>
      </c>
      <c r="AW165" s="404">
        <f t="shared" si="43"/>
        <v>26</v>
      </c>
      <c r="AX165" s="534"/>
    </row>
    <row r="166" spans="2:50">
      <c r="B166" s="533"/>
      <c r="C166" s="404">
        <v>20</v>
      </c>
      <c r="D166" s="226" t="s">
        <v>513</v>
      </c>
      <c r="E166" s="182">
        <v>18</v>
      </c>
      <c r="F166" s="404">
        <v>1385</v>
      </c>
      <c r="G166" s="405">
        <v>76.900000000000006</v>
      </c>
      <c r="H166" s="598"/>
      <c r="I166" s="408">
        <f t="shared" si="36"/>
        <v>17.285714285714285</v>
      </c>
      <c r="J166" s="408">
        <f t="shared" si="36"/>
        <v>1232.0905037690741</v>
      </c>
      <c r="K166" s="406">
        <f t="shared" si="36"/>
        <v>71.265294406050643</v>
      </c>
      <c r="L166" s="588"/>
      <c r="M166" s="408">
        <f>RANK(K166, K$147:$K$176)</f>
        <v>20</v>
      </c>
      <c r="N166" s="544"/>
      <c r="O166" s="544"/>
      <c r="P166" s="182">
        <v>17</v>
      </c>
      <c r="Q166" s="182">
        <v>1206.4285714285722</v>
      </c>
      <c r="R166" s="182">
        <v>70.966386554621891</v>
      </c>
      <c r="S166" s="404">
        <f t="shared" si="37"/>
        <v>17</v>
      </c>
      <c r="T166" s="534"/>
      <c r="U166" s="182">
        <v>18</v>
      </c>
      <c r="V166" s="182">
        <v>1317.1428571428567</v>
      </c>
      <c r="W166" s="182">
        <v>73.174603174603149</v>
      </c>
      <c r="X166" s="404">
        <f t="shared" si="38"/>
        <v>17</v>
      </c>
      <c r="Y166" s="534"/>
      <c r="Z166" s="182">
        <v>18</v>
      </c>
      <c r="AA166" s="182">
        <v>1275.9999999999977</v>
      </c>
      <c r="AB166" s="182">
        <v>70.888888888888758</v>
      </c>
      <c r="AC166" s="404">
        <f t="shared" si="39"/>
        <v>19</v>
      </c>
      <c r="AD166" s="534"/>
      <c r="AE166" s="182">
        <v>17</v>
      </c>
      <c r="AF166" s="182">
        <v>1141.6216216216208</v>
      </c>
      <c r="AG166" s="182">
        <v>67.15421303656592</v>
      </c>
      <c r="AH166" s="404">
        <f t="shared" si="40"/>
        <v>21</v>
      </c>
      <c r="AI166" s="534"/>
      <c r="AJ166" s="182">
        <v>17</v>
      </c>
      <c r="AK166" s="182">
        <v>1202.8571428571379</v>
      </c>
      <c r="AL166" s="182">
        <v>70.756302521008109</v>
      </c>
      <c r="AM166" s="404">
        <f t="shared" si="41"/>
        <v>18</v>
      </c>
      <c r="AN166" s="534"/>
      <c r="AO166" s="182">
        <v>17</v>
      </c>
      <c r="AP166" s="182">
        <v>1269.3333333333333</v>
      </c>
      <c r="AQ166" s="182">
        <v>74.666666666666657</v>
      </c>
      <c r="AR166" s="404">
        <f t="shared" si="42"/>
        <v>12</v>
      </c>
      <c r="AS166" s="534"/>
      <c r="AT166" s="182">
        <v>17</v>
      </c>
      <c r="AU166" s="182">
        <v>1211.2500000000005</v>
      </c>
      <c r="AV166" s="182">
        <v>71.250000000000028</v>
      </c>
      <c r="AW166" s="404">
        <f t="shared" si="43"/>
        <v>17</v>
      </c>
      <c r="AX166" s="534"/>
    </row>
    <row r="167" spans="2:50">
      <c r="B167" s="533"/>
      <c r="C167" s="404">
        <v>21</v>
      </c>
      <c r="D167" s="226" t="s">
        <v>580</v>
      </c>
      <c r="E167" s="182">
        <v>18</v>
      </c>
      <c r="F167" s="404">
        <v>1440</v>
      </c>
      <c r="G167" s="405">
        <v>80</v>
      </c>
      <c r="H167" s="598"/>
      <c r="I167" s="408">
        <f t="shared" si="36"/>
        <v>18</v>
      </c>
      <c r="J167" s="408">
        <f t="shared" si="36"/>
        <v>1286.2913466228079</v>
      </c>
      <c r="K167" s="406">
        <f t="shared" si="36"/>
        <v>71.460630367933774</v>
      </c>
      <c r="L167" s="588"/>
      <c r="M167" s="408">
        <f>RANK(K167, K$147:$K$176)</f>
        <v>19</v>
      </c>
      <c r="N167" s="544"/>
      <c r="O167" s="544"/>
      <c r="P167" s="182">
        <v>18</v>
      </c>
      <c r="Q167" s="182">
        <v>1302.1276595744685</v>
      </c>
      <c r="R167" s="182">
        <v>72.340425531914917</v>
      </c>
      <c r="S167" s="404">
        <f t="shared" si="37"/>
        <v>15</v>
      </c>
      <c r="T167" s="534"/>
      <c r="U167" s="182">
        <v>18</v>
      </c>
      <c r="V167" s="182">
        <v>1255.2000000000003</v>
      </c>
      <c r="W167" s="182">
        <v>69.733333333333348</v>
      </c>
      <c r="X167" s="404">
        <f t="shared" si="38"/>
        <v>21</v>
      </c>
      <c r="Y167" s="534"/>
      <c r="Z167" s="182">
        <v>18</v>
      </c>
      <c r="AA167" s="182">
        <v>1309.7560975609751</v>
      </c>
      <c r="AB167" s="182">
        <v>72.764227642276396</v>
      </c>
      <c r="AC167" s="404">
        <f t="shared" si="39"/>
        <v>15</v>
      </c>
      <c r="AD167" s="534"/>
      <c r="AE167" s="182">
        <v>18</v>
      </c>
      <c r="AF167" s="182">
        <v>1275.0000000000005</v>
      </c>
      <c r="AG167" s="182">
        <v>70.833333333333357</v>
      </c>
      <c r="AH167" s="404">
        <f t="shared" si="40"/>
        <v>16</v>
      </c>
      <c r="AI167" s="534"/>
      <c r="AJ167" s="182">
        <v>18</v>
      </c>
      <c r="AK167" s="182">
        <v>1294.6666666666667</v>
      </c>
      <c r="AL167" s="182">
        <v>71.925925925925924</v>
      </c>
      <c r="AM167" s="404">
        <f t="shared" si="41"/>
        <v>16</v>
      </c>
      <c r="AN167" s="534"/>
      <c r="AO167" s="182">
        <v>18</v>
      </c>
      <c r="AP167" s="182">
        <v>1292.9411764705887</v>
      </c>
      <c r="AQ167" s="182">
        <v>71.830065359477146</v>
      </c>
      <c r="AR167" s="404">
        <f t="shared" si="42"/>
        <v>20</v>
      </c>
      <c r="AS167" s="534"/>
      <c r="AT167" s="182">
        <v>18</v>
      </c>
      <c r="AU167" s="182">
        <v>1274.3478260869565</v>
      </c>
      <c r="AV167" s="182">
        <v>70.79710144927536</v>
      </c>
      <c r="AW167" s="404">
        <f t="shared" si="43"/>
        <v>19</v>
      </c>
      <c r="AX167" s="534"/>
    </row>
    <row r="168" spans="2:50">
      <c r="B168" s="533"/>
      <c r="C168" s="404">
        <v>22</v>
      </c>
      <c r="D168" s="226" t="s">
        <v>607</v>
      </c>
      <c r="E168" s="182">
        <v>15</v>
      </c>
      <c r="F168" s="404">
        <v>1500</v>
      </c>
      <c r="G168" s="405">
        <v>100</v>
      </c>
      <c r="H168" s="598"/>
      <c r="I168" s="408">
        <f t="shared" si="36"/>
        <v>15.857142857142858</v>
      </c>
      <c r="J168" s="408">
        <f t="shared" si="36"/>
        <v>1280.7478039704433</v>
      </c>
      <c r="K168" s="406">
        <f t="shared" si="36"/>
        <v>80.804158898430998</v>
      </c>
      <c r="L168" s="588"/>
      <c r="M168" s="408">
        <f>RANK(K168, K$147:$K$176)</f>
        <v>5</v>
      </c>
      <c r="N168" s="544"/>
      <c r="O168" s="544"/>
      <c r="P168" s="182">
        <v>15</v>
      </c>
      <c r="Q168" s="182">
        <v>1272.4675324675318</v>
      </c>
      <c r="R168" s="182">
        <v>84.831168831168782</v>
      </c>
      <c r="S168" s="404">
        <f t="shared" si="37"/>
        <v>4</v>
      </c>
      <c r="T168" s="534"/>
      <c r="U168" s="182">
        <v>16</v>
      </c>
      <c r="V168" s="182">
        <v>1262.5352112676044</v>
      </c>
      <c r="W168" s="182">
        <v>78.908450704225274</v>
      </c>
      <c r="X168" s="404">
        <f t="shared" si="38"/>
        <v>7</v>
      </c>
      <c r="Y168" s="534"/>
      <c r="Z168" s="182">
        <v>16</v>
      </c>
      <c r="AA168" s="182">
        <v>1269.5652173913029</v>
      </c>
      <c r="AB168" s="182">
        <v>79.347826086956431</v>
      </c>
      <c r="AC168" s="404">
        <f t="shared" si="39"/>
        <v>5</v>
      </c>
      <c r="AD168" s="534"/>
      <c r="AE168" s="182">
        <v>16</v>
      </c>
      <c r="AF168" s="182">
        <v>1304.1666666666656</v>
      </c>
      <c r="AG168" s="182">
        <v>81.5104166666666</v>
      </c>
      <c r="AH168" s="404">
        <f t="shared" si="40"/>
        <v>6</v>
      </c>
      <c r="AI168" s="534"/>
      <c r="AJ168" s="182">
        <v>16</v>
      </c>
      <c r="AK168" s="182">
        <v>1290.7894736842095</v>
      </c>
      <c r="AL168" s="182">
        <v>80.674342105263094</v>
      </c>
      <c r="AM168" s="404">
        <f t="shared" si="41"/>
        <v>6</v>
      </c>
      <c r="AN168" s="534"/>
      <c r="AO168" s="182">
        <v>16</v>
      </c>
      <c r="AP168" s="182">
        <v>1306.4999999999995</v>
      </c>
      <c r="AQ168" s="182">
        <v>81.656249999999972</v>
      </c>
      <c r="AR168" s="404">
        <f t="shared" si="42"/>
        <v>7</v>
      </c>
      <c r="AS168" s="534"/>
      <c r="AT168" s="182">
        <v>16</v>
      </c>
      <c r="AU168" s="182">
        <v>1259.2105263157887</v>
      </c>
      <c r="AV168" s="182">
        <v>78.700657894736793</v>
      </c>
      <c r="AW168" s="404">
        <f t="shared" si="43"/>
        <v>9</v>
      </c>
      <c r="AX168" s="534"/>
    </row>
    <row r="169" spans="2:50">
      <c r="B169" s="533"/>
      <c r="C169" s="404">
        <v>23</v>
      </c>
      <c r="D169" s="226" t="s">
        <v>620</v>
      </c>
      <c r="E169" s="182">
        <v>16</v>
      </c>
      <c r="F169" s="404">
        <v>1500</v>
      </c>
      <c r="G169" s="405">
        <v>93.8</v>
      </c>
      <c r="H169" s="598"/>
      <c r="I169" s="408">
        <f t="shared" si="36"/>
        <v>16</v>
      </c>
      <c r="J169" s="408">
        <f t="shared" si="36"/>
        <v>1122.1870469527114</v>
      </c>
      <c r="K169" s="406">
        <f t="shared" si="36"/>
        <v>70.136690434544462</v>
      </c>
      <c r="L169" s="588"/>
      <c r="M169" s="408">
        <f>RANK(K169, K$147:$K$176)</f>
        <v>22</v>
      </c>
      <c r="N169" s="544"/>
      <c r="O169" s="544"/>
      <c r="P169" s="182">
        <v>16</v>
      </c>
      <c r="Q169" s="182">
        <v>1131.999999999998</v>
      </c>
      <c r="R169" s="182">
        <v>70.749999999999872</v>
      </c>
      <c r="S169" s="404">
        <f t="shared" si="37"/>
        <v>19</v>
      </c>
      <c r="T169" s="534"/>
      <c r="U169" s="182">
        <v>16</v>
      </c>
      <c r="V169" s="182">
        <v>1103.999999999998</v>
      </c>
      <c r="W169" s="182">
        <v>68.999999999999872</v>
      </c>
      <c r="X169" s="404">
        <f t="shared" si="38"/>
        <v>23</v>
      </c>
      <c r="Y169" s="534"/>
      <c r="Z169" s="182">
        <v>16</v>
      </c>
      <c r="AA169" s="182">
        <v>1154.4827586206875</v>
      </c>
      <c r="AB169" s="182">
        <v>72.155172413792968</v>
      </c>
      <c r="AC169" s="404">
        <f t="shared" si="39"/>
        <v>18</v>
      </c>
      <c r="AD169" s="534"/>
      <c r="AE169" s="182">
        <v>16</v>
      </c>
      <c r="AF169" s="182">
        <v>1108.7999999999968</v>
      </c>
      <c r="AG169" s="182">
        <v>69.299999999999798</v>
      </c>
      <c r="AH169" s="404">
        <f t="shared" si="40"/>
        <v>18</v>
      </c>
      <c r="AI169" s="534"/>
      <c r="AJ169" s="182">
        <v>16</v>
      </c>
      <c r="AK169" s="182">
        <v>1111.3043478260834</v>
      </c>
      <c r="AL169" s="182">
        <v>69.45652173913021</v>
      </c>
      <c r="AM169" s="404">
        <f t="shared" si="41"/>
        <v>21</v>
      </c>
      <c r="AN169" s="534"/>
      <c r="AO169" s="182">
        <v>16</v>
      </c>
      <c r="AP169" s="182">
        <v>1122.4999999999966</v>
      </c>
      <c r="AQ169" s="182">
        <v>70.156249999999787</v>
      </c>
      <c r="AR169" s="404">
        <f t="shared" si="42"/>
        <v>22</v>
      </c>
      <c r="AS169" s="534"/>
      <c r="AT169" s="182">
        <v>16</v>
      </c>
      <c r="AU169" s="182">
        <v>1122.2222222222197</v>
      </c>
      <c r="AV169" s="182">
        <v>70.138888888888729</v>
      </c>
      <c r="AW169" s="404">
        <f t="shared" si="43"/>
        <v>21</v>
      </c>
      <c r="AX169" s="534"/>
    </row>
    <row r="170" spans="2:50">
      <c r="B170" s="533"/>
      <c r="C170" s="404">
        <v>24</v>
      </c>
      <c r="D170" s="226" t="s">
        <v>621</v>
      </c>
      <c r="E170" s="182">
        <v>20</v>
      </c>
      <c r="F170" s="404">
        <v>1500</v>
      </c>
      <c r="G170" s="405">
        <v>75</v>
      </c>
      <c r="H170" s="598"/>
      <c r="I170" s="408">
        <f t="shared" si="36"/>
        <v>20</v>
      </c>
      <c r="J170" s="408">
        <f t="shared" si="36"/>
        <v>1089.4410562267715</v>
      </c>
      <c r="K170" s="406">
        <f t="shared" si="36"/>
        <v>54.472052811338578</v>
      </c>
      <c r="L170" s="588"/>
      <c r="M170" s="408">
        <f>RANK(K170, K$147:$K$176)</f>
        <v>28</v>
      </c>
      <c r="N170" s="544"/>
      <c r="O170" s="544"/>
      <c r="P170" s="404">
        <v>20</v>
      </c>
      <c r="Q170" s="405">
        <v>1079.9999999999995</v>
      </c>
      <c r="R170" s="405">
        <v>53.999999999999979</v>
      </c>
      <c r="S170" s="404">
        <f t="shared" si="37"/>
        <v>27</v>
      </c>
      <c r="T170" s="534"/>
      <c r="U170" s="404">
        <v>20</v>
      </c>
      <c r="V170" s="405">
        <v>1116.3380281690129</v>
      </c>
      <c r="W170" s="405">
        <v>55.816901408450647</v>
      </c>
      <c r="X170" s="404">
        <f t="shared" si="38"/>
        <v>27</v>
      </c>
      <c r="Y170" s="534"/>
      <c r="Z170" s="404">
        <v>20</v>
      </c>
      <c r="AA170" s="405">
        <v>1067.6923076923072</v>
      </c>
      <c r="AB170" s="405">
        <v>53.384615384615358</v>
      </c>
      <c r="AC170" s="404">
        <f t="shared" si="39"/>
        <v>27</v>
      </c>
      <c r="AD170" s="534"/>
      <c r="AE170" s="404">
        <v>20</v>
      </c>
      <c r="AF170" s="405">
        <v>1116.799999999999</v>
      </c>
      <c r="AG170" s="405">
        <v>55.839999999999954</v>
      </c>
      <c r="AH170" s="404">
        <f t="shared" si="40"/>
        <v>27</v>
      </c>
      <c r="AI170" s="534"/>
      <c r="AJ170" s="404">
        <v>20</v>
      </c>
      <c r="AK170" s="405">
        <v>1071.2195121951215</v>
      </c>
      <c r="AL170" s="405">
        <v>53.560975609756078</v>
      </c>
      <c r="AM170" s="404">
        <f t="shared" si="41"/>
        <v>27</v>
      </c>
      <c r="AN170" s="534"/>
      <c r="AO170" s="404">
        <v>20</v>
      </c>
      <c r="AP170" s="405">
        <v>1071.627906976744</v>
      </c>
      <c r="AQ170" s="405">
        <v>53.581395348837205</v>
      </c>
      <c r="AR170" s="404">
        <f t="shared" si="42"/>
        <v>27</v>
      </c>
      <c r="AS170" s="534"/>
      <c r="AT170" s="404">
        <v>20</v>
      </c>
      <c r="AU170" s="405">
        <v>1102.4096385542164</v>
      </c>
      <c r="AV170" s="405">
        <v>55.12048192771082</v>
      </c>
      <c r="AW170" s="404">
        <f t="shared" si="43"/>
        <v>28</v>
      </c>
      <c r="AX170" s="534"/>
    </row>
    <row r="171" spans="2:50">
      <c r="B171" s="533"/>
      <c r="C171" s="404">
        <v>25</v>
      </c>
      <c r="D171" s="226" t="s">
        <v>715</v>
      </c>
      <c r="E171" s="182">
        <v>17</v>
      </c>
      <c r="F171" s="404">
        <v>1440</v>
      </c>
      <c r="G171" s="405">
        <v>84.7</v>
      </c>
      <c r="H171" s="598"/>
      <c r="I171" s="408">
        <f t="shared" ref="I171:K174" si="44">AVERAGE(P171,U171,Z171,AE171,AJ171,AO171,AT171)</f>
        <v>17</v>
      </c>
      <c r="J171" s="408">
        <f t="shared" si="44"/>
        <v>1291.7366482668347</v>
      </c>
      <c r="K171" s="406">
        <f t="shared" si="44"/>
        <v>75.984508721578521</v>
      </c>
      <c r="L171" s="588"/>
      <c r="M171" s="408">
        <f>RANK(K171, K$147:$K$176)</f>
        <v>12</v>
      </c>
      <c r="N171" s="544"/>
      <c r="O171" s="544"/>
      <c r="P171" s="404">
        <v>17</v>
      </c>
      <c r="Q171" s="405">
        <v>1304.8543689320393</v>
      </c>
      <c r="R171" s="405">
        <v>76.756139348943492</v>
      </c>
      <c r="S171" s="404">
        <f t="shared" si="37"/>
        <v>9</v>
      </c>
      <c r="T171" s="534"/>
      <c r="U171" s="404">
        <v>17</v>
      </c>
      <c r="V171" s="405">
        <v>1262.1621621621612</v>
      </c>
      <c r="W171" s="405">
        <v>74.244833068362425</v>
      </c>
      <c r="X171" s="404">
        <f t="shared" si="38"/>
        <v>15</v>
      </c>
      <c r="Y171" s="534"/>
      <c r="Z171" s="404">
        <v>17</v>
      </c>
      <c r="AA171" s="405">
        <v>1313.5294117647065</v>
      </c>
      <c r="AB171" s="405">
        <v>77.266435986159209</v>
      </c>
      <c r="AC171" s="404">
        <f t="shared" si="39"/>
        <v>10</v>
      </c>
      <c r="AD171" s="534"/>
      <c r="AE171" s="404">
        <v>17</v>
      </c>
      <c r="AF171" s="405">
        <v>1276.1290322580649</v>
      </c>
      <c r="AG171" s="405">
        <v>75.066413662239114</v>
      </c>
      <c r="AH171" s="404">
        <f t="shared" si="40"/>
        <v>12</v>
      </c>
      <c r="AI171" s="534"/>
      <c r="AJ171" s="404">
        <v>17</v>
      </c>
      <c r="AK171" s="405">
        <v>1315.8000000000004</v>
      </c>
      <c r="AL171" s="405">
        <v>77.40000000000002</v>
      </c>
      <c r="AM171" s="404">
        <f t="shared" si="41"/>
        <v>11</v>
      </c>
      <c r="AN171" s="534"/>
      <c r="AO171" s="404">
        <v>17</v>
      </c>
      <c r="AP171" s="405">
        <v>1256.2162162162169</v>
      </c>
      <c r="AQ171" s="405">
        <v>73.89507154213041</v>
      </c>
      <c r="AR171" s="404">
        <f t="shared" si="42"/>
        <v>14</v>
      </c>
      <c r="AS171" s="534"/>
      <c r="AT171" s="404">
        <v>17</v>
      </c>
      <c r="AU171" s="405">
        <v>1313.4653465346541</v>
      </c>
      <c r="AV171" s="405">
        <v>77.262667443214951</v>
      </c>
      <c r="AW171" s="404">
        <f t="shared" si="43"/>
        <v>12</v>
      </c>
      <c r="AX171" s="534"/>
    </row>
    <row r="172" spans="2:50">
      <c r="B172" s="533"/>
      <c r="C172" s="404">
        <v>26</v>
      </c>
      <c r="D172" s="226" t="s">
        <v>716</v>
      </c>
      <c r="E172" s="182">
        <v>18</v>
      </c>
      <c r="F172" s="404">
        <v>1385</v>
      </c>
      <c r="G172" s="405">
        <v>76.900000000000006</v>
      </c>
      <c r="H172" s="598"/>
      <c r="I172" s="408">
        <f t="shared" si="44"/>
        <v>19</v>
      </c>
      <c r="J172" s="408">
        <f t="shared" si="44"/>
        <v>1087.7108555801053</v>
      </c>
      <c r="K172" s="406">
        <f t="shared" si="44"/>
        <v>57.247939767373964</v>
      </c>
      <c r="L172" s="588"/>
      <c r="M172" s="408">
        <f>RANK(K172, K$147:$K$176)</f>
        <v>27</v>
      </c>
      <c r="N172" s="544"/>
      <c r="O172" s="544"/>
      <c r="P172" s="404">
        <v>19</v>
      </c>
      <c r="Q172" s="405">
        <v>1064.7843137254906</v>
      </c>
      <c r="R172" s="405">
        <v>56.041279669762666</v>
      </c>
      <c r="S172" s="404">
        <f t="shared" si="37"/>
        <v>26</v>
      </c>
      <c r="T172" s="534"/>
      <c r="U172" s="404">
        <v>19</v>
      </c>
      <c r="V172" s="405">
        <v>1084.6567164179105</v>
      </c>
      <c r="W172" s="405">
        <v>57.087195600942657</v>
      </c>
      <c r="X172" s="404">
        <f t="shared" si="38"/>
        <v>26</v>
      </c>
      <c r="Y172" s="534"/>
      <c r="Z172" s="404">
        <v>19</v>
      </c>
      <c r="AA172" s="405">
        <v>1112.7741935483873</v>
      </c>
      <c r="AB172" s="405">
        <v>58.567062818336176</v>
      </c>
      <c r="AC172" s="404">
        <f t="shared" si="39"/>
        <v>26</v>
      </c>
      <c r="AD172" s="534"/>
      <c r="AE172" s="404">
        <v>19</v>
      </c>
      <c r="AF172" s="405">
        <v>1076.1481481481478</v>
      </c>
      <c r="AG172" s="405">
        <v>56.639376218323569</v>
      </c>
      <c r="AH172" s="404">
        <f t="shared" si="40"/>
        <v>26</v>
      </c>
      <c r="AI172" s="534"/>
      <c r="AJ172" s="404">
        <v>19</v>
      </c>
      <c r="AK172" s="405">
        <v>1112.4705882352939</v>
      </c>
      <c r="AL172" s="405">
        <v>58.551083591331256</v>
      </c>
      <c r="AM172" s="404">
        <f t="shared" si="41"/>
        <v>26</v>
      </c>
      <c r="AN172" s="534"/>
      <c r="AO172" s="404">
        <v>19</v>
      </c>
      <c r="AP172" s="405">
        <v>1058.6086956521738</v>
      </c>
      <c r="AQ172" s="405">
        <v>55.716247139588091</v>
      </c>
      <c r="AR172" s="404">
        <f t="shared" si="42"/>
        <v>26</v>
      </c>
      <c r="AS172" s="534"/>
      <c r="AT172" s="404">
        <v>19</v>
      </c>
      <c r="AU172" s="405">
        <v>1104.5333333333335</v>
      </c>
      <c r="AV172" s="405">
        <v>58.133333333333347</v>
      </c>
      <c r="AW172" s="404">
        <f t="shared" si="43"/>
        <v>27</v>
      </c>
      <c r="AX172" s="534"/>
    </row>
    <row r="173" spans="2:50">
      <c r="B173" s="533"/>
      <c r="C173" s="404">
        <v>27</v>
      </c>
      <c r="D173" s="226" t="s">
        <v>717</v>
      </c>
      <c r="E173" s="182">
        <v>18</v>
      </c>
      <c r="F173" s="404">
        <v>1440</v>
      </c>
      <c r="G173" s="405">
        <v>80</v>
      </c>
      <c r="H173" s="598"/>
      <c r="I173" s="408">
        <f t="shared" si="44"/>
        <v>18</v>
      </c>
      <c r="J173" s="408">
        <f t="shared" si="44"/>
        <v>1243.8570257371271</v>
      </c>
      <c r="K173" s="406">
        <f t="shared" si="44"/>
        <v>69.103168096507062</v>
      </c>
      <c r="L173" s="588"/>
      <c r="M173" s="408">
        <f>RANK(K173, K$147:$K$176)</f>
        <v>23</v>
      </c>
      <c r="N173" s="544"/>
      <c r="O173" s="544"/>
      <c r="P173" s="404">
        <v>18</v>
      </c>
      <c r="Q173" s="405">
        <v>1249.024390243902</v>
      </c>
      <c r="R173" s="405">
        <v>69.390243902438996</v>
      </c>
      <c r="S173" s="404">
        <f t="shared" si="37"/>
        <v>21</v>
      </c>
      <c r="T173" s="534"/>
      <c r="U173" s="404">
        <v>18</v>
      </c>
      <c r="V173" s="405">
        <v>1293.8571428571415</v>
      </c>
      <c r="W173" s="405">
        <v>71.880952380952309</v>
      </c>
      <c r="X173" s="404">
        <f t="shared" si="38"/>
        <v>19</v>
      </c>
      <c r="Y173" s="534"/>
      <c r="Z173" s="404">
        <v>18</v>
      </c>
      <c r="AA173" s="405">
        <v>1260.0000000000045</v>
      </c>
      <c r="AB173" s="405">
        <v>70.000000000000256</v>
      </c>
      <c r="AC173" s="404">
        <f t="shared" si="39"/>
        <v>20</v>
      </c>
      <c r="AD173" s="534"/>
      <c r="AE173" s="404">
        <v>18</v>
      </c>
      <c r="AF173" s="405">
        <v>1239.6428571428617</v>
      </c>
      <c r="AG173" s="405">
        <v>68.869047619047876</v>
      </c>
      <c r="AH173" s="404">
        <f t="shared" si="40"/>
        <v>20</v>
      </c>
      <c r="AI173" s="534"/>
      <c r="AJ173" s="404">
        <v>18</v>
      </c>
      <c r="AK173" s="405">
        <v>1235.3571428571472</v>
      </c>
      <c r="AL173" s="405">
        <v>68.630952380952621</v>
      </c>
      <c r="AM173" s="404">
        <f t="shared" si="41"/>
        <v>22</v>
      </c>
      <c r="AN173" s="534"/>
      <c r="AO173" s="404">
        <v>18</v>
      </c>
      <c r="AP173" s="405">
        <v>1204.4117647058868</v>
      </c>
      <c r="AQ173" s="405">
        <v>66.911764705882604</v>
      </c>
      <c r="AR173" s="404">
        <f t="shared" si="42"/>
        <v>23</v>
      </c>
      <c r="AS173" s="534"/>
      <c r="AT173" s="404">
        <v>18</v>
      </c>
      <c r="AU173" s="405">
        <v>1224.7058823529455</v>
      </c>
      <c r="AV173" s="405">
        <v>68.039215686274758</v>
      </c>
      <c r="AW173" s="404">
        <f t="shared" si="43"/>
        <v>23</v>
      </c>
      <c r="AX173" s="534"/>
    </row>
    <row r="174" spans="2:50">
      <c r="B174" s="533"/>
      <c r="C174" s="404">
        <v>28</v>
      </c>
      <c r="D174" s="226" t="s">
        <v>718</v>
      </c>
      <c r="E174" s="182">
        <v>17</v>
      </c>
      <c r="F174" s="404">
        <v>1440</v>
      </c>
      <c r="G174" s="405">
        <v>84.7</v>
      </c>
      <c r="H174" s="598"/>
      <c r="I174" s="408">
        <f t="shared" si="44"/>
        <v>17</v>
      </c>
      <c r="J174" s="408">
        <f t="shared" si="44"/>
        <v>1350.3529411764703</v>
      </c>
      <c r="K174" s="406">
        <f t="shared" si="44"/>
        <v>79.432525951557068</v>
      </c>
      <c r="L174" s="588"/>
      <c r="M174" s="408">
        <f>RANK(K174, K$147:$K$176)</f>
        <v>7</v>
      </c>
      <c r="N174" s="544"/>
      <c r="O174" s="544"/>
      <c r="P174" s="404"/>
      <c r="Q174" s="405"/>
      <c r="R174" s="405"/>
      <c r="S174" s="404" t="e">
        <f t="shared" si="37"/>
        <v>#N/A</v>
      </c>
      <c r="T174" s="534"/>
      <c r="U174" s="404"/>
      <c r="V174" s="405"/>
      <c r="W174" s="405"/>
      <c r="X174" s="404" t="e">
        <f t="shared" si="38"/>
        <v>#N/A</v>
      </c>
      <c r="Y174" s="534"/>
      <c r="Z174" s="404"/>
      <c r="AA174" s="405"/>
      <c r="AB174" s="405"/>
      <c r="AC174" s="404" t="e">
        <f t="shared" si="39"/>
        <v>#N/A</v>
      </c>
      <c r="AD174" s="534"/>
      <c r="AE174" s="404"/>
      <c r="AF174" s="405"/>
      <c r="AG174" s="405"/>
      <c r="AH174" s="404" t="e">
        <f t="shared" si="40"/>
        <v>#N/A</v>
      </c>
      <c r="AI174" s="534"/>
      <c r="AJ174" s="404"/>
      <c r="AK174" s="405"/>
      <c r="AL174" s="405"/>
      <c r="AM174" s="404" t="e">
        <f t="shared" si="41"/>
        <v>#N/A</v>
      </c>
      <c r="AN174" s="534"/>
      <c r="AO174" s="404"/>
      <c r="AP174" s="405"/>
      <c r="AQ174" s="405"/>
      <c r="AR174" s="404" t="e">
        <f t="shared" si="42"/>
        <v>#N/A</v>
      </c>
      <c r="AS174" s="534"/>
      <c r="AT174" s="404">
        <v>17</v>
      </c>
      <c r="AU174" s="405">
        <v>1350.3529411764703</v>
      </c>
      <c r="AV174" s="405">
        <v>79.432525951557068</v>
      </c>
      <c r="AW174" s="404">
        <f t="shared" si="43"/>
        <v>8</v>
      </c>
      <c r="AX174" s="534"/>
    </row>
    <row r="175" spans="2:50">
      <c r="B175" s="533"/>
      <c r="C175" s="404">
        <v>29</v>
      </c>
      <c r="D175" s="226"/>
      <c r="E175" s="182"/>
      <c r="F175" s="404"/>
      <c r="G175" s="405"/>
      <c r="H175" s="598"/>
      <c r="I175" s="202"/>
      <c r="J175" s="202"/>
      <c r="K175" s="202"/>
      <c r="L175" s="588"/>
      <c r="M175" s="408" t="e">
        <f>RANK(K175, K$147:$K$176)</f>
        <v>#N/A</v>
      </c>
      <c r="N175" s="544"/>
      <c r="O175" s="544"/>
      <c r="P175" s="404"/>
      <c r="Q175" s="404"/>
      <c r="R175" s="404"/>
      <c r="S175" s="404" t="e">
        <f t="shared" si="37"/>
        <v>#N/A</v>
      </c>
      <c r="T175" s="534"/>
      <c r="U175" s="404"/>
      <c r="V175" s="404"/>
      <c r="W175" s="404"/>
      <c r="X175" s="404" t="e">
        <f t="shared" si="38"/>
        <v>#N/A</v>
      </c>
      <c r="Y175" s="534"/>
      <c r="Z175" s="404"/>
      <c r="AA175" s="404"/>
      <c r="AB175" s="404"/>
      <c r="AC175" s="404" t="e">
        <f t="shared" si="39"/>
        <v>#N/A</v>
      </c>
      <c r="AD175" s="534"/>
      <c r="AE175" s="404"/>
      <c r="AF175" s="404"/>
      <c r="AG175" s="404"/>
      <c r="AH175" s="404" t="e">
        <f t="shared" si="40"/>
        <v>#N/A</v>
      </c>
      <c r="AI175" s="534"/>
      <c r="AJ175" s="404"/>
      <c r="AK175" s="404"/>
      <c r="AL175" s="404"/>
      <c r="AM175" s="404" t="e">
        <f t="shared" si="41"/>
        <v>#N/A</v>
      </c>
      <c r="AN175" s="534"/>
      <c r="AO175" s="404"/>
      <c r="AP175" s="404"/>
      <c r="AQ175" s="404"/>
      <c r="AR175" s="404" t="e">
        <f t="shared" si="42"/>
        <v>#N/A</v>
      </c>
      <c r="AS175" s="534"/>
      <c r="AT175" s="404"/>
      <c r="AU175" s="404"/>
      <c r="AV175" s="404"/>
      <c r="AW175" s="404" t="e">
        <f t="shared" si="43"/>
        <v>#N/A</v>
      </c>
      <c r="AX175" s="534"/>
    </row>
    <row r="176" spans="2:50">
      <c r="B176" s="533"/>
      <c r="C176" s="404">
        <v>30</v>
      </c>
      <c r="D176" s="226"/>
      <c r="E176" s="182"/>
      <c r="F176" s="404"/>
      <c r="G176" s="405"/>
      <c r="H176" s="599"/>
      <c r="I176" s="202"/>
      <c r="J176" s="202"/>
      <c r="K176" s="202"/>
      <c r="L176" s="589"/>
      <c r="M176" s="408" t="e">
        <f>RANK(K176, K$147:$K$176)</f>
        <v>#N/A</v>
      </c>
      <c r="N176" s="544"/>
      <c r="O176" s="544"/>
      <c r="P176" s="404"/>
      <c r="Q176" s="404"/>
      <c r="R176" s="404"/>
      <c r="S176" s="404" t="e">
        <f t="shared" si="37"/>
        <v>#N/A</v>
      </c>
      <c r="T176" s="534"/>
      <c r="U176" s="404"/>
      <c r="V176" s="404"/>
      <c r="W176" s="404"/>
      <c r="X176" s="404" t="e">
        <f t="shared" si="38"/>
        <v>#N/A</v>
      </c>
      <c r="Y176" s="534"/>
      <c r="Z176" s="404"/>
      <c r="AA176" s="404"/>
      <c r="AB176" s="404"/>
      <c r="AC176" s="404" t="e">
        <f t="shared" si="39"/>
        <v>#N/A</v>
      </c>
      <c r="AD176" s="534"/>
      <c r="AE176" s="404"/>
      <c r="AF176" s="404"/>
      <c r="AG176" s="404"/>
      <c r="AH176" s="404" t="e">
        <f t="shared" si="40"/>
        <v>#N/A</v>
      </c>
      <c r="AI176" s="534"/>
      <c r="AJ176" s="404"/>
      <c r="AK176" s="404"/>
      <c r="AL176" s="404"/>
      <c r="AM176" s="404" t="e">
        <f t="shared" si="41"/>
        <v>#N/A</v>
      </c>
      <c r="AN176" s="534"/>
      <c r="AO176" s="404"/>
      <c r="AP176" s="404"/>
      <c r="AQ176" s="404"/>
      <c r="AR176" s="404" t="e">
        <f t="shared" si="42"/>
        <v>#N/A</v>
      </c>
      <c r="AS176" s="534"/>
      <c r="AT176" s="404"/>
      <c r="AU176" s="404"/>
      <c r="AV176" s="404"/>
      <c r="AW176" s="404" t="e">
        <f t="shared" si="43"/>
        <v>#N/A</v>
      </c>
      <c r="AX176" s="534"/>
    </row>
    <row r="177" spans="2:50" ht="15.5">
      <c r="B177" s="555" t="s">
        <v>163</v>
      </c>
      <c r="C177" s="556"/>
      <c r="D177" s="556"/>
      <c r="E177" s="556"/>
      <c r="F177" s="556"/>
      <c r="G177" s="556"/>
      <c r="H177" s="557"/>
      <c r="I177" s="208"/>
      <c r="J177" s="208"/>
      <c r="K177" s="208"/>
      <c r="L177" s="208"/>
      <c r="M177" s="207"/>
      <c r="N177" s="559" t="s">
        <v>156</v>
      </c>
      <c r="O177" s="559" t="s">
        <v>105</v>
      </c>
      <c r="P177" s="554">
        <f>P142+7</f>
        <v>46021</v>
      </c>
      <c r="Q177" s="533"/>
      <c r="R177" s="533"/>
      <c r="S177" s="533"/>
      <c r="T177" s="533"/>
      <c r="U177" s="551">
        <f>P177+1</f>
        <v>46022</v>
      </c>
      <c r="V177" s="552"/>
      <c r="W177" s="552"/>
      <c r="X177" s="552"/>
      <c r="Y177" s="553"/>
      <c r="Z177" s="551">
        <f>U177+1</f>
        <v>46023</v>
      </c>
      <c r="AA177" s="552"/>
      <c r="AB177" s="552"/>
      <c r="AC177" s="552"/>
      <c r="AD177" s="553"/>
      <c r="AE177" s="551">
        <f>Z177+1</f>
        <v>46024</v>
      </c>
      <c r="AF177" s="552"/>
      <c r="AG177" s="552"/>
      <c r="AH177" s="552"/>
      <c r="AI177" s="553"/>
      <c r="AJ177" s="551">
        <f>AE177+1</f>
        <v>46025</v>
      </c>
      <c r="AK177" s="552"/>
      <c r="AL177" s="552"/>
      <c r="AM177" s="552"/>
      <c r="AN177" s="553"/>
      <c r="AO177" s="551">
        <f>AJ177+1</f>
        <v>46026</v>
      </c>
      <c r="AP177" s="552"/>
      <c r="AQ177" s="552"/>
      <c r="AR177" s="552"/>
      <c r="AS177" s="553"/>
      <c r="AT177" s="551">
        <f>AO177+1</f>
        <v>46027</v>
      </c>
      <c r="AU177" s="552"/>
      <c r="AV177" s="552"/>
      <c r="AW177" s="552"/>
      <c r="AX177" s="553"/>
    </row>
    <row r="178" spans="2:50" ht="15.5">
      <c r="B178" s="558"/>
      <c r="C178" s="558"/>
      <c r="D178" s="558"/>
      <c r="E178" s="558"/>
      <c r="F178" s="558"/>
      <c r="G178" s="558"/>
      <c r="H178" s="558"/>
      <c r="I178" s="205"/>
      <c r="J178" s="205"/>
      <c r="K178" s="205"/>
      <c r="L178" s="205"/>
      <c r="M178" s="206"/>
      <c r="N178" s="560"/>
      <c r="O178" s="560"/>
      <c r="P178" s="554" t="s">
        <v>158</v>
      </c>
      <c r="Q178" s="533"/>
      <c r="R178" s="533"/>
      <c r="S178" s="533"/>
      <c r="T178" s="533"/>
      <c r="U178" s="554" t="s">
        <v>114</v>
      </c>
      <c r="V178" s="533"/>
      <c r="W178" s="533"/>
      <c r="X178" s="533"/>
      <c r="Y178" s="533"/>
      <c r="Z178" s="554" t="s">
        <v>159</v>
      </c>
      <c r="AA178" s="533"/>
      <c r="AB178" s="533"/>
      <c r="AC178" s="533"/>
      <c r="AD178" s="533"/>
      <c r="AE178" s="554" t="s">
        <v>157</v>
      </c>
      <c r="AF178" s="533"/>
      <c r="AG178" s="533"/>
      <c r="AH178" s="533"/>
      <c r="AI178" s="533"/>
      <c r="AJ178" s="554" t="s">
        <v>160</v>
      </c>
      <c r="AK178" s="533"/>
      <c r="AL178" s="533"/>
      <c r="AM178" s="533"/>
      <c r="AN178" s="533"/>
      <c r="AO178" s="554" t="s">
        <v>115</v>
      </c>
      <c r="AP178" s="533"/>
      <c r="AQ178" s="533"/>
      <c r="AR178" s="533"/>
      <c r="AS178" s="533"/>
      <c r="AT178" s="554" t="s">
        <v>162</v>
      </c>
      <c r="AU178" s="533"/>
      <c r="AV178" s="533"/>
      <c r="AW178" s="533"/>
      <c r="AX178" s="533"/>
    </row>
    <row r="179" spans="2:50">
      <c r="B179" s="544" t="s">
        <v>886</v>
      </c>
      <c r="C179" s="544" t="s">
        <v>887</v>
      </c>
      <c r="D179" s="544"/>
      <c r="E179" s="544" t="s">
        <v>888</v>
      </c>
      <c r="F179" s="544"/>
      <c r="G179" s="544"/>
      <c r="H179" s="561" t="s">
        <v>889</v>
      </c>
      <c r="I179" s="544" t="s">
        <v>890</v>
      </c>
      <c r="J179" s="544"/>
      <c r="K179" s="544"/>
      <c r="L179" s="561" t="s">
        <v>889</v>
      </c>
      <c r="M179" s="559" t="s">
        <v>891</v>
      </c>
      <c r="N179" s="544"/>
      <c r="O179" s="544" t="s">
        <v>892</v>
      </c>
      <c r="P179" s="548" t="s">
        <v>893</v>
      </c>
      <c r="Q179" s="549"/>
      <c r="R179" s="549"/>
      <c r="S179" s="550"/>
      <c r="T179" s="544" t="s">
        <v>889</v>
      </c>
      <c r="U179" s="548" t="s">
        <v>893</v>
      </c>
      <c r="V179" s="549"/>
      <c r="W179" s="549"/>
      <c r="X179" s="550"/>
      <c r="Y179" s="544" t="s">
        <v>889</v>
      </c>
      <c r="Z179" s="548" t="s">
        <v>423</v>
      </c>
      <c r="AA179" s="549"/>
      <c r="AB179" s="549"/>
      <c r="AC179" s="550"/>
      <c r="AD179" s="544" t="s">
        <v>421</v>
      </c>
      <c r="AE179" s="548" t="s">
        <v>423</v>
      </c>
      <c r="AF179" s="549"/>
      <c r="AG179" s="549"/>
      <c r="AH179" s="550"/>
      <c r="AI179" s="544" t="s">
        <v>421</v>
      </c>
      <c r="AJ179" s="548" t="s">
        <v>423</v>
      </c>
      <c r="AK179" s="549"/>
      <c r="AL179" s="549"/>
      <c r="AM179" s="550"/>
      <c r="AN179" s="544" t="s">
        <v>421</v>
      </c>
      <c r="AO179" s="548" t="s">
        <v>423</v>
      </c>
      <c r="AP179" s="549"/>
      <c r="AQ179" s="549"/>
      <c r="AR179" s="550"/>
      <c r="AS179" s="544" t="s">
        <v>421</v>
      </c>
      <c r="AT179" s="548" t="s">
        <v>423</v>
      </c>
      <c r="AU179" s="549"/>
      <c r="AV179" s="549"/>
      <c r="AW179" s="550"/>
      <c r="AX179" s="544" t="s">
        <v>421</v>
      </c>
    </row>
    <row r="180" spans="2:50">
      <c r="B180" s="544"/>
      <c r="C180" s="544"/>
      <c r="D180" s="544"/>
      <c r="E180" s="544" t="s">
        <v>894</v>
      </c>
      <c r="F180" s="544"/>
      <c r="G180" s="544"/>
      <c r="H180" s="562"/>
      <c r="I180" s="544" t="s">
        <v>894</v>
      </c>
      <c r="J180" s="544"/>
      <c r="K180" s="544"/>
      <c r="L180" s="562"/>
      <c r="M180" s="564"/>
      <c r="N180" s="544"/>
      <c r="O180" s="544"/>
      <c r="P180" s="548" t="s">
        <v>895</v>
      </c>
      <c r="Q180" s="549"/>
      <c r="R180" s="549"/>
      <c r="S180" s="550"/>
      <c r="T180" s="544"/>
      <c r="U180" s="548" t="s">
        <v>895</v>
      </c>
      <c r="V180" s="549"/>
      <c r="W180" s="549"/>
      <c r="X180" s="550"/>
      <c r="Y180" s="544"/>
      <c r="Z180" s="548" t="s">
        <v>429</v>
      </c>
      <c r="AA180" s="549"/>
      <c r="AB180" s="549"/>
      <c r="AC180" s="550"/>
      <c r="AD180" s="544"/>
      <c r="AE180" s="548" t="s">
        <v>429</v>
      </c>
      <c r="AF180" s="549"/>
      <c r="AG180" s="549"/>
      <c r="AH180" s="550"/>
      <c r="AI180" s="544"/>
      <c r="AJ180" s="548" t="s">
        <v>429</v>
      </c>
      <c r="AK180" s="549"/>
      <c r="AL180" s="549"/>
      <c r="AM180" s="550"/>
      <c r="AN180" s="544"/>
      <c r="AO180" s="548" t="s">
        <v>429</v>
      </c>
      <c r="AP180" s="549"/>
      <c r="AQ180" s="549"/>
      <c r="AR180" s="550"/>
      <c r="AS180" s="544"/>
      <c r="AT180" s="548" t="s">
        <v>429</v>
      </c>
      <c r="AU180" s="549"/>
      <c r="AV180" s="549"/>
      <c r="AW180" s="550"/>
      <c r="AX180" s="544"/>
    </row>
    <row r="181" spans="2:50">
      <c r="B181" s="544"/>
      <c r="C181" s="544"/>
      <c r="D181" s="544"/>
      <c r="E181" s="426" t="s">
        <v>896</v>
      </c>
      <c r="F181" s="426" t="s">
        <v>897</v>
      </c>
      <c r="G181" s="426" t="s">
        <v>898</v>
      </c>
      <c r="H181" s="563"/>
      <c r="I181" s="426" t="s">
        <v>896</v>
      </c>
      <c r="J181" s="426" t="s">
        <v>897</v>
      </c>
      <c r="K181" s="426" t="s">
        <v>898</v>
      </c>
      <c r="L181" s="563"/>
      <c r="M181" s="560"/>
      <c r="N181" s="544"/>
      <c r="O181" s="544"/>
      <c r="P181" s="426" t="s">
        <v>896</v>
      </c>
      <c r="Q181" s="426" t="s">
        <v>897</v>
      </c>
      <c r="R181" s="426" t="s">
        <v>898</v>
      </c>
      <c r="S181" s="426" t="s">
        <v>891</v>
      </c>
      <c r="T181" s="544"/>
      <c r="U181" s="426" t="s">
        <v>896</v>
      </c>
      <c r="V181" s="426" t="s">
        <v>897</v>
      </c>
      <c r="W181" s="426" t="s">
        <v>898</v>
      </c>
      <c r="X181" s="426" t="s">
        <v>891</v>
      </c>
      <c r="Y181" s="544"/>
      <c r="Z181" s="305" t="s">
        <v>430</v>
      </c>
      <c r="AA181" s="305" t="s">
        <v>431</v>
      </c>
      <c r="AB181" s="305" t="s">
        <v>432</v>
      </c>
      <c r="AC181" s="305" t="s">
        <v>422</v>
      </c>
      <c r="AD181" s="544"/>
      <c r="AE181" s="305" t="s">
        <v>430</v>
      </c>
      <c r="AF181" s="305" t="s">
        <v>431</v>
      </c>
      <c r="AG181" s="305" t="s">
        <v>432</v>
      </c>
      <c r="AH181" s="305" t="s">
        <v>422</v>
      </c>
      <c r="AI181" s="544"/>
      <c r="AJ181" s="305" t="s">
        <v>430</v>
      </c>
      <c r="AK181" s="305" t="s">
        <v>431</v>
      </c>
      <c r="AL181" s="305" t="s">
        <v>432</v>
      </c>
      <c r="AM181" s="305" t="s">
        <v>422</v>
      </c>
      <c r="AN181" s="544"/>
      <c r="AO181" s="305" t="s">
        <v>430</v>
      </c>
      <c r="AP181" s="305" t="s">
        <v>431</v>
      </c>
      <c r="AQ181" s="305" t="s">
        <v>432</v>
      </c>
      <c r="AR181" s="305" t="s">
        <v>422</v>
      </c>
      <c r="AS181" s="544"/>
      <c r="AT181" s="305" t="s">
        <v>430</v>
      </c>
      <c r="AU181" s="305" t="s">
        <v>431</v>
      </c>
      <c r="AV181" s="305" t="s">
        <v>432</v>
      </c>
      <c r="AW181" s="305" t="s">
        <v>422</v>
      </c>
      <c r="AX181" s="544"/>
    </row>
    <row r="182" spans="2:50">
      <c r="B182" s="544" t="s">
        <v>133</v>
      </c>
      <c r="C182" s="463">
        <v>1</v>
      </c>
      <c r="D182" s="467" t="s">
        <v>374</v>
      </c>
      <c r="E182" s="464">
        <v>6</v>
      </c>
      <c r="F182" s="464">
        <v>1500</v>
      </c>
      <c r="G182" s="464">
        <v>250</v>
      </c>
      <c r="H182" s="546">
        <f>AVERAGE(G182:G211)</f>
        <v>98.253571428571419</v>
      </c>
      <c r="I182" s="464">
        <f>AVERAGE(P182,U182,Z182,AE182,AJ182,AO182,AT182)</f>
        <v>6</v>
      </c>
      <c r="J182" s="464">
        <f>AVERAGE(Q182,V182,AA182,AF182,AK182,AP182,AU182)</f>
        <v>1389.7959183673474</v>
      </c>
      <c r="K182" s="465">
        <f>AVERAGE(R182,W182,AB182,AG182,AL182,AQ182,AV182)</f>
        <v>231.63265306122457</v>
      </c>
      <c r="L182" s="546">
        <f>AVERAGE(K182:K211)</f>
        <v>83.65661623622772</v>
      </c>
      <c r="M182" s="464">
        <f>RANK(K182, K$182:$K$211)</f>
        <v>1</v>
      </c>
      <c r="N182" s="544"/>
      <c r="O182" s="544"/>
      <c r="P182" s="463">
        <v>6</v>
      </c>
      <c r="Q182" s="464">
        <v>1411.1999999999998</v>
      </c>
      <c r="R182" s="464">
        <v>235.19999999999996</v>
      </c>
      <c r="S182" s="463">
        <f>RANK(R182, R$182:R$211)</f>
        <v>1</v>
      </c>
      <c r="T182" s="536">
        <f>AVERAGE(R182:R211)</f>
        <v>84.596004153434862</v>
      </c>
      <c r="U182" s="463">
        <v>6</v>
      </c>
      <c r="V182" s="464">
        <v>1368.3918367346951</v>
      </c>
      <c r="W182" s="464">
        <v>228.06530612244919</v>
      </c>
      <c r="X182" s="463">
        <f>RANK(W182, W$182:W$211)</f>
        <v>1</v>
      </c>
      <c r="Y182" s="536">
        <f>AVERAGE(W182:W211)</f>
        <v>82.717228319020592</v>
      </c>
      <c r="Z182" s="182"/>
      <c r="AA182" s="182"/>
      <c r="AB182" s="182"/>
      <c r="AC182" s="304" t="e">
        <f>RANK(AB182, AB$147:AB$176)</f>
        <v>#N/A</v>
      </c>
      <c r="AD182" s="534" t="e">
        <f>AVERAGE(AB182:AB211)</f>
        <v>#DIV/0!</v>
      </c>
      <c r="AE182" s="182"/>
      <c r="AF182" s="182"/>
      <c r="AG182" s="182"/>
      <c r="AH182" s="304" t="e">
        <f>RANK(AG182, AG$147:AG$176)</f>
        <v>#N/A</v>
      </c>
      <c r="AI182" s="534" t="e">
        <f>AVERAGE(AG182:AG211)</f>
        <v>#DIV/0!</v>
      </c>
      <c r="AJ182" s="182"/>
      <c r="AK182" s="182"/>
      <c r="AL182" s="182"/>
      <c r="AM182" s="304" t="e">
        <f>RANK(AL182, AL$147:AL$176)</f>
        <v>#N/A</v>
      </c>
      <c r="AN182" s="534" t="e">
        <f>AVERAGE(AL182:AL211)</f>
        <v>#DIV/0!</v>
      </c>
      <c r="AO182" s="182"/>
      <c r="AP182" s="182"/>
      <c r="AQ182" s="182"/>
      <c r="AR182" s="304" t="e">
        <f>RANK(AQ182, AQ$147:AQ$176)</f>
        <v>#N/A</v>
      </c>
      <c r="AS182" s="534" t="e">
        <f>AVERAGE(AQ182:AQ211)</f>
        <v>#DIV/0!</v>
      </c>
      <c r="AT182" s="182"/>
      <c r="AU182" s="182"/>
      <c r="AV182" s="182"/>
      <c r="AW182" s="304" t="e">
        <f>RANK(AV182, AV$147:AV$176)</f>
        <v>#N/A</v>
      </c>
      <c r="AX182" s="534" t="e">
        <f>AVERAGE(AV182:AV211)</f>
        <v>#DIV/0!</v>
      </c>
    </row>
    <row r="183" spans="2:50">
      <c r="B183" s="565"/>
      <c r="C183" s="463">
        <v>2</v>
      </c>
      <c r="D183" s="467" t="s">
        <v>398</v>
      </c>
      <c r="E183" s="464">
        <v>6</v>
      </c>
      <c r="F183" s="464">
        <v>1500</v>
      </c>
      <c r="G183" s="464">
        <v>250</v>
      </c>
      <c r="H183" s="547"/>
      <c r="I183" s="464">
        <f t="shared" ref="I183:K203" si="45">AVERAGE(P183,U183,Z183,AE183,AJ183,AO183,AT183)</f>
        <v>7</v>
      </c>
      <c r="J183" s="464">
        <f t="shared" si="45"/>
        <v>1472.9545454545455</v>
      </c>
      <c r="K183" s="465">
        <f t="shared" si="45"/>
        <v>210.42207792207796</v>
      </c>
      <c r="L183" s="547"/>
      <c r="M183" s="464">
        <f>RANK(K183, K$182:$K$211)</f>
        <v>2</v>
      </c>
      <c r="N183" s="544"/>
      <c r="O183" s="544"/>
      <c r="P183" s="463">
        <v>7</v>
      </c>
      <c r="Q183" s="464">
        <v>1480.0000000000002</v>
      </c>
      <c r="R183" s="464">
        <v>211.42857142857147</v>
      </c>
      <c r="S183" s="463">
        <f t="shared" ref="S183:S211" si="46">RANK(R183, R$182:R$211)</f>
        <v>2</v>
      </c>
      <c r="T183" s="536"/>
      <c r="U183" s="463">
        <v>7</v>
      </c>
      <c r="V183" s="464">
        <v>1465.909090909091</v>
      </c>
      <c r="W183" s="464">
        <v>209.41558441558442</v>
      </c>
      <c r="X183" s="463">
        <f t="shared" ref="X183:X211" si="47">RANK(W183, W$182:W$211)</f>
        <v>2</v>
      </c>
      <c r="Y183" s="536"/>
      <c r="Z183" s="182"/>
      <c r="AA183" s="182"/>
      <c r="AB183" s="182"/>
      <c r="AC183" s="304" t="e">
        <f t="shared" ref="AC183:AC211" si="48">RANK(AB183, AB$147:AB$176)</f>
        <v>#N/A</v>
      </c>
      <c r="AD183" s="534"/>
      <c r="AE183" s="182"/>
      <c r="AF183" s="182"/>
      <c r="AG183" s="182"/>
      <c r="AH183" s="304" t="e">
        <f t="shared" ref="AH183:AH211" si="49">RANK(AG183, AG$147:AG$176)</f>
        <v>#N/A</v>
      </c>
      <c r="AI183" s="534"/>
      <c r="AJ183" s="182"/>
      <c r="AK183" s="182"/>
      <c r="AL183" s="182"/>
      <c r="AM183" s="304" t="e">
        <f t="shared" ref="AM183:AM211" si="50">RANK(AL183, AL$147:AL$176)</f>
        <v>#N/A</v>
      </c>
      <c r="AN183" s="534"/>
      <c r="AO183" s="182"/>
      <c r="AP183" s="182"/>
      <c r="AQ183" s="182"/>
      <c r="AR183" s="304" t="e">
        <f t="shared" ref="AR183:AR211" si="51">RANK(AQ183, AQ$147:AQ$176)</f>
        <v>#N/A</v>
      </c>
      <c r="AS183" s="534"/>
      <c r="AT183" s="182"/>
      <c r="AU183" s="182"/>
      <c r="AV183" s="182"/>
      <c r="AW183" s="304" t="e">
        <f t="shared" ref="AW183:AW211" si="52">RANK(AV183, AV$147:AV$176)</f>
        <v>#N/A</v>
      </c>
      <c r="AX183" s="534"/>
    </row>
    <row r="184" spans="2:50">
      <c r="B184" s="565"/>
      <c r="C184" s="463">
        <v>3</v>
      </c>
      <c r="D184" s="467" t="s">
        <v>375</v>
      </c>
      <c r="E184" s="464">
        <v>17</v>
      </c>
      <c r="F184" s="464">
        <v>1500</v>
      </c>
      <c r="G184" s="464">
        <v>88.2</v>
      </c>
      <c r="H184" s="547"/>
      <c r="I184" s="464">
        <f t="shared" si="45"/>
        <v>17</v>
      </c>
      <c r="J184" s="464">
        <f t="shared" si="45"/>
        <v>1325.9699248120307</v>
      </c>
      <c r="K184" s="465">
        <f t="shared" si="45"/>
        <v>77.998230871295931</v>
      </c>
      <c r="L184" s="547"/>
      <c r="M184" s="464">
        <f>RANK(K184, K$182:$K$211)</f>
        <v>10</v>
      </c>
      <c r="N184" s="544"/>
      <c r="O184" s="544"/>
      <c r="P184" s="463">
        <v>17</v>
      </c>
      <c r="Q184" s="464">
        <v>1304.5714285714289</v>
      </c>
      <c r="R184" s="464">
        <v>76.739495798319354</v>
      </c>
      <c r="S184" s="463">
        <f t="shared" si="46"/>
        <v>12</v>
      </c>
      <c r="T184" s="536"/>
      <c r="U184" s="463">
        <v>17</v>
      </c>
      <c r="V184" s="464">
        <v>1347.3684210526326</v>
      </c>
      <c r="W184" s="464">
        <v>79.256965944272508</v>
      </c>
      <c r="X184" s="463">
        <f t="shared" si="47"/>
        <v>8</v>
      </c>
      <c r="Y184" s="536"/>
      <c r="Z184" s="182"/>
      <c r="AA184" s="182"/>
      <c r="AB184" s="182"/>
      <c r="AC184" s="304" t="e">
        <f t="shared" si="48"/>
        <v>#N/A</v>
      </c>
      <c r="AD184" s="534"/>
      <c r="AE184" s="182"/>
      <c r="AF184" s="182"/>
      <c r="AG184" s="182"/>
      <c r="AH184" s="304" t="e">
        <f t="shared" si="49"/>
        <v>#N/A</v>
      </c>
      <c r="AI184" s="534"/>
      <c r="AJ184" s="182"/>
      <c r="AK184" s="182"/>
      <c r="AL184" s="182"/>
      <c r="AM184" s="304" t="e">
        <f t="shared" si="50"/>
        <v>#N/A</v>
      </c>
      <c r="AN184" s="534"/>
      <c r="AO184" s="182"/>
      <c r="AP184" s="182"/>
      <c r="AQ184" s="182"/>
      <c r="AR184" s="304" t="e">
        <f t="shared" si="51"/>
        <v>#N/A</v>
      </c>
      <c r="AS184" s="534"/>
      <c r="AT184" s="182"/>
      <c r="AU184" s="182"/>
      <c r="AV184" s="182"/>
      <c r="AW184" s="304" t="e">
        <f t="shared" si="52"/>
        <v>#N/A</v>
      </c>
      <c r="AX184" s="534"/>
    </row>
    <row r="185" spans="2:50">
      <c r="B185" s="565"/>
      <c r="C185" s="463">
        <v>4</v>
      </c>
      <c r="D185" s="467" t="s">
        <v>355</v>
      </c>
      <c r="E185" s="464">
        <v>21</v>
      </c>
      <c r="F185" s="464">
        <v>1500</v>
      </c>
      <c r="G185" s="464">
        <v>71.400000000000006</v>
      </c>
      <c r="H185" s="547"/>
      <c r="I185" s="464">
        <f t="shared" si="45"/>
        <v>20</v>
      </c>
      <c r="J185" s="464">
        <f t="shared" si="45"/>
        <v>1306.0714285714284</v>
      </c>
      <c r="K185" s="465">
        <f t="shared" si="45"/>
        <v>65.303571428571416</v>
      </c>
      <c r="L185" s="547"/>
      <c r="M185" s="464">
        <f>RANK(K185, K$182:$K$211)</f>
        <v>25</v>
      </c>
      <c r="N185" s="544"/>
      <c r="O185" s="544"/>
      <c r="P185" s="463">
        <v>20</v>
      </c>
      <c r="Q185" s="464">
        <v>1305</v>
      </c>
      <c r="R185" s="464">
        <v>65.25</v>
      </c>
      <c r="S185" s="463">
        <f t="shared" si="46"/>
        <v>25</v>
      </c>
      <c r="T185" s="536"/>
      <c r="U185" s="463">
        <v>20</v>
      </c>
      <c r="V185" s="464">
        <v>1307.1428571428567</v>
      </c>
      <c r="W185" s="464">
        <v>65.357142857142833</v>
      </c>
      <c r="X185" s="463">
        <f t="shared" si="47"/>
        <v>23</v>
      </c>
      <c r="Y185" s="536"/>
      <c r="Z185" s="182"/>
      <c r="AA185" s="182"/>
      <c r="AB185" s="182"/>
      <c r="AC185" s="304" t="e">
        <f t="shared" si="48"/>
        <v>#N/A</v>
      </c>
      <c r="AD185" s="534"/>
      <c r="AE185" s="182"/>
      <c r="AF185" s="182"/>
      <c r="AG185" s="182"/>
      <c r="AH185" s="304" t="e">
        <f t="shared" si="49"/>
        <v>#N/A</v>
      </c>
      <c r="AI185" s="534"/>
      <c r="AJ185" s="182"/>
      <c r="AK185" s="182"/>
      <c r="AL185" s="182"/>
      <c r="AM185" s="304" t="e">
        <f t="shared" si="50"/>
        <v>#N/A</v>
      </c>
      <c r="AN185" s="534"/>
      <c r="AO185" s="182"/>
      <c r="AP185" s="182"/>
      <c r="AQ185" s="182"/>
      <c r="AR185" s="304" t="e">
        <f t="shared" si="51"/>
        <v>#N/A</v>
      </c>
      <c r="AS185" s="534"/>
      <c r="AT185" s="182"/>
      <c r="AU185" s="182"/>
      <c r="AV185" s="182"/>
      <c r="AW185" s="304" t="e">
        <f t="shared" si="52"/>
        <v>#N/A</v>
      </c>
      <c r="AX185" s="534"/>
    </row>
    <row r="186" spans="2:50">
      <c r="B186" s="565"/>
      <c r="C186" s="463">
        <v>5</v>
      </c>
      <c r="D186" s="467" t="s">
        <v>353</v>
      </c>
      <c r="E186" s="464">
        <v>16</v>
      </c>
      <c r="F186" s="464">
        <v>1500</v>
      </c>
      <c r="G186" s="464">
        <v>93.8</v>
      </c>
      <c r="H186" s="547"/>
      <c r="I186" s="464">
        <f t="shared" si="45"/>
        <v>16</v>
      </c>
      <c r="J186" s="464">
        <f t="shared" si="45"/>
        <v>1325.1704545454536</v>
      </c>
      <c r="K186" s="465">
        <f t="shared" si="45"/>
        <v>82.82315340909085</v>
      </c>
      <c r="L186" s="547"/>
      <c r="M186" s="464">
        <f>RANK(K186, K$182:$K$211)</f>
        <v>5</v>
      </c>
      <c r="N186" s="544"/>
      <c r="O186" s="544"/>
      <c r="P186" s="463">
        <v>16</v>
      </c>
      <c r="Q186" s="464">
        <v>1341.249999999998</v>
      </c>
      <c r="R186" s="464">
        <v>83.828124999999872</v>
      </c>
      <c r="S186" s="463">
        <f t="shared" si="46"/>
        <v>4</v>
      </c>
      <c r="T186" s="536"/>
      <c r="U186" s="463">
        <v>16</v>
      </c>
      <c r="V186" s="464">
        <v>1309.090909090909</v>
      </c>
      <c r="W186" s="464">
        <v>81.818181818181813</v>
      </c>
      <c r="X186" s="463">
        <f t="shared" si="47"/>
        <v>5</v>
      </c>
      <c r="Y186" s="536"/>
      <c r="Z186" s="182"/>
      <c r="AA186" s="182"/>
      <c r="AB186" s="182"/>
      <c r="AC186" s="304" t="e">
        <f t="shared" si="48"/>
        <v>#N/A</v>
      </c>
      <c r="AD186" s="534"/>
      <c r="AE186" s="182"/>
      <c r="AF186" s="182"/>
      <c r="AG186" s="182"/>
      <c r="AH186" s="304" t="e">
        <f t="shared" si="49"/>
        <v>#N/A</v>
      </c>
      <c r="AI186" s="534"/>
      <c r="AJ186" s="182"/>
      <c r="AK186" s="182"/>
      <c r="AL186" s="182"/>
      <c r="AM186" s="304" t="e">
        <f t="shared" si="50"/>
        <v>#N/A</v>
      </c>
      <c r="AN186" s="534"/>
      <c r="AO186" s="182"/>
      <c r="AP186" s="182"/>
      <c r="AQ186" s="182"/>
      <c r="AR186" s="304" t="e">
        <f t="shared" si="51"/>
        <v>#N/A</v>
      </c>
      <c r="AS186" s="534"/>
      <c r="AT186" s="182"/>
      <c r="AU186" s="182"/>
      <c r="AV186" s="182"/>
      <c r="AW186" s="304" t="e">
        <f t="shared" si="52"/>
        <v>#N/A</v>
      </c>
      <c r="AX186" s="534"/>
    </row>
    <row r="187" spans="2:50">
      <c r="B187" s="565"/>
      <c r="C187" s="463">
        <v>6</v>
      </c>
      <c r="D187" s="467" t="s">
        <v>382</v>
      </c>
      <c r="E187" s="464">
        <v>16</v>
      </c>
      <c r="F187" s="464">
        <v>1565</v>
      </c>
      <c r="G187" s="464">
        <v>97.8</v>
      </c>
      <c r="H187" s="547"/>
      <c r="I187" s="464">
        <f t="shared" si="45"/>
        <v>15</v>
      </c>
      <c r="J187" s="464">
        <f t="shared" si="45"/>
        <v>1382.8081279147227</v>
      </c>
      <c r="K187" s="465">
        <f t="shared" si="45"/>
        <v>92.187208527648181</v>
      </c>
      <c r="L187" s="547"/>
      <c r="M187" s="464">
        <f>RANK(K187, K$182:$K$211)</f>
        <v>3</v>
      </c>
      <c r="N187" s="544"/>
      <c r="O187" s="544"/>
      <c r="P187" s="463">
        <v>15</v>
      </c>
      <c r="Q187" s="464">
        <v>1377.7215189873409</v>
      </c>
      <c r="R187" s="464">
        <v>91.848101265822734</v>
      </c>
      <c r="S187" s="463">
        <f t="shared" si="46"/>
        <v>3</v>
      </c>
      <c r="T187" s="536"/>
      <c r="U187" s="463">
        <v>15</v>
      </c>
      <c r="V187" s="464">
        <v>1387.8947368421043</v>
      </c>
      <c r="W187" s="464">
        <v>92.526315789473614</v>
      </c>
      <c r="X187" s="463">
        <f t="shared" si="47"/>
        <v>3</v>
      </c>
      <c r="Y187" s="536"/>
      <c r="Z187" s="182"/>
      <c r="AA187" s="182"/>
      <c r="AB187" s="182"/>
      <c r="AC187" s="304" t="e">
        <f t="shared" si="48"/>
        <v>#N/A</v>
      </c>
      <c r="AD187" s="534"/>
      <c r="AE187" s="182"/>
      <c r="AF187" s="182"/>
      <c r="AG187" s="182"/>
      <c r="AH187" s="304" t="e">
        <f t="shared" si="49"/>
        <v>#N/A</v>
      </c>
      <c r="AI187" s="534"/>
      <c r="AJ187" s="182"/>
      <c r="AK187" s="182"/>
      <c r="AL187" s="182"/>
      <c r="AM187" s="304" t="e">
        <f t="shared" si="50"/>
        <v>#N/A</v>
      </c>
      <c r="AN187" s="534"/>
      <c r="AO187" s="182"/>
      <c r="AP187" s="182"/>
      <c r="AQ187" s="182"/>
      <c r="AR187" s="304" t="e">
        <f t="shared" si="51"/>
        <v>#N/A</v>
      </c>
      <c r="AS187" s="534"/>
      <c r="AT187" s="182"/>
      <c r="AU187" s="182"/>
      <c r="AV187" s="182"/>
      <c r="AW187" s="304" t="e">
        <f t="shared" si="52"/>
        <v>#N/A</v>
      </c>
      <c r="AX187" s="534"/>
    </row>
    <row r="188" spans="2:50">
      <c r="B188" s="565"/>
      <c r="C188" s="463">
        <v>7</v>
      </c>
      <c r="D188" s="313" t="s">
        <v>903</v>
      </c>
      <c r="E188" s="464">
        <v>14</v>
      </c>
      <c r="F188" s="464">
        <v>1440</v>
      </c>
      <c r="G188" s="464">
        <v>102.9</v>
      </c>
      <c r="H188" s="547"/>
      <c r="I188" s="464">
        <f t="shared" si="45"/>
        <v>15</v>
      </c>
      <c r="J188" s="464">
        <f t="shared" si="45"/>
        <v>1184.4470046082927</v>
      </c>
      <c r="K188" s="465">
        <f t="shared" si="45"/>
        <v>78.963133640552854</v>
      </c>
      <c r="L188" s="547"/>
      <c r="M188" s="464">
        <f>RANK(K188, K$182:$K$211)</f>
        <v>9</v>
      </c>
      <c r="N188" s="544"/>
      <c r="O188" s="544"/>
      <c r="P188" s="463">
        <v>15</v>
      </c>
      <c r="Q188" s="464">
        <v>1250.3225806451592</v>
      </c>
      <c r="R188" s="464">
        <v>83.354838709677281</v>
      </c>
      <c r="S188" s="463">
        <f t="shared" si="46"/>
        <v>6</v>
      </c>
      <c r="T188" s="536"/>
      <c r="U188" s="463">
        <v>15</v>
      </c>
      <c r="V188" s="464">
        <v>1118.5714285714262</v>
      </c>
      <c r="W188" s="464">
        <v>74.571428571428413</v>
      </c>
      <c r="X188" s="463">
        <f t="shared" si="47"/>
        <v>13</v>
      </c>
      <c r="Y188" s="536"/>
      <c r="Z188" s="182"/>
      <c r="AA188" s="182"/>
      <c r="AB188" s="182"/>
      <c r="AC188" s="304" t="e">
        <f t="shared" si="48"/>
        <v>#N/A</v>
      </c>
      <c r="AD188" s="534"/>
      <c r="AE188" s="182"/>
      <c r="AF188" s="182"/>
      <c r="AG188" s="182"/>
      <c r="AH188" s="304" t="e">
        <f t="shared" si="49"/>
        <v>#N/A</v>
      </c>
      <c r="AI188" s="534"/>
      <c r="AJ188" s="182"/>
      <c r="AK188" s="182"/>
      <c r="AL188" s="182"/>
      <c r="AM188" s="304" t="e">
        <f t="shared" si="50"/>
        <v>#N/A</v>
      </c>
      <c r="AN188" s="534"/>
      <c r="AO188" s="182"/>
      <c r="AP188" s="182"/>
      <c r="AQ188" s="182"/>
      <c r="AR188" s="304" t="e">
        <f t="shared" si="51"/>
        <v>#N/A</v>
      </c>
      <c r="AS188" s="534"/>
      <c r="AT188" s="182"/>
      <c r="AU188" s="182"/>
      <c r="AV188" s="182"/>
      <c r="AW188" s="304" t="e">
        <f t="shared" si="52"/>
        <v>#N/A</v>
      </c>
      <c r="AX188" s="534"/>
    </row>
    <row r="189" spans="2:50">
      <c r="B189" s="565"/>
      <c r="C189" s="463">
        <v>8</v>
      </c>
      <c r="D189" s="313" t="s">
        <v>904</v>
      </c>
      <c r="E189" s="464">
        <v>16</v>
      </c>
      <c r="F189" s="464">
        <v>1440</v>
      </c>
      <c r="G189" s="464">
        <v>90</v>
      </c>
      <c r="H189" s="547"/>
      <c r="I189" s="464">
        <f t="shared" si="45"/>
        <v>17</v>
      </c>
      <c r="J189" s="464">
        <f t="shared" si="45"/>
        <v>1279.5121951219508</v>
      </c>
      <c r="K189" s="465">
        <f t="shared" si="45"/>
        <v>75.265423242467676</v>
      </c>
      <c r="L189" s="547"/>
      <c r="M189" s="464">
        <f>RANK(K189, K$182:$K$211)</f>
        <v>13</v>
      </c>
      <c r="N189" s="544"/>
      <c r="O189" s="544"/>
      <c r="P189" s="463">
        <v>17</v>
      </c>
      <c r="Q189" s="464">
        <v>1279.024390243902</v>
      </c>
      <c r="R189" s="464">
        <v>75.236728837876583</v>
      </c>
      <c r="S189" s="463">
        <f t="shared" si="46"/>
        <v>14</v>
      </c>
      <c r="T189" s="536"/>
      <c r="U189" s="463">
        <v>17</v>
      </c>
      <c r="V189" s="464">
        <v>1279.9999999999993</v>
      </c>
      <c r="W189" s="464">
        <v>75.294117647058783</v>
      </c>
      <c r="X189" s="463">
        <f t="shared" si="47"/>
        <v>11</v>
      </c>
      <c r="Y189" s="536"/>
      <c r="Z189" s="182"/>
      <c r="AA189" s="182"/>
      <c r="AB189" s="182"/>
      <c r="AC189" s="304" t="e">
        <f t="shared" si="48"/>
        <v>#N/A</v>
      </c>
      <c r="AD189" s="534"/>
      <c r="AE189" s="182"/>
      <c r="AF189" s="182"/>
      <c r="AG189" s="182"/>
      <c r="AH189" s="304" t="e">
        <f t="shared" si="49"/>
        <v>#N/A</v>
      </c>
      <c r="AI189" s="534"/>
      <c r="AJ189" s="182"/>
      <c r="AK189" s="182"/>
      <c r="AL189" s="182"/>
      <c r="AM189" s="304" t="e">
        <f t="shared" si="50"/>
        <v>#N/A</v>
      </c>
      <c r="AN189" s="534"/>
      <c r="AO189" s="182"/>
      <c r="AP189" s="182"/>
      <c r="AQ189" s="182"/>
      <c r="AR189" s="304" t="e">
        <f t="shared" si="51"/>
        <v>#N/A</v>
      </c>
      <c r="AS189" s="534"/>
      <c r="AT189" s="182"/>
      <c r="AU189" s="182"/>
      <c r="AV189" s="182"/>
      <c r="AW189" s="304" t="e">
        <f t="shared" si="52"/>
        <v>#N/A</v>
      </c>
      <c r="AX189" s="534"/>
    </row>
    <row r="190" spans="2:50">
      <c r="B190" s="565"/>
      <c r="C190" s="463">
        <v>9</v>
      </c>
      <c r="D190" s="313" t="s">
        <v>905</v>
      </c>
      <c r="E190" s="464">
        <v>18</v>
      </c>
      <c r="F190" s="464">
        <v>1440</v>
      </c>
      <c r="G190" s="464">
        <v>80</v>
      </c>
      <c r="H190" s="547"/>
      <c r="I190" s="464">
        <f t="shared" si="45"/>
        <v>18</v>
      </c>
      <c r="J190" s="464">
        <f t="shared" si="45"/>
        <v>1180.4081632653065</v>
      </c>
      <c r="K190" s="465">
        <f t="shared" si="45"/>
        <v>65.578231292517017</v>
      </c>
      <c r="L190" s="547"/>
      <c r="M190" s="464">
        <f>RANK(K190, K$182:$K$211)</f>
        <v>24</v>
      </c>
      <c r="N190" s="544"/>
      <c r="O190" s="544"/>
      <c r="P190" s="463">
        <v>18</v>
      </c>
      <c r="Q190" s="464">
        <v>1192.6530612244901</v>
      </c>
      <c r="R190" s="464">
        <v>66.258503401360556</v>
      </c>
      <c r="S190" s="463">
        <f t="shared" si="46"/>
        <v>24</v>
      </c>
      <c r="T190" s="536"/>
      <c r="U190" s="463">
        <v>18</v>
      </c>
      <c r="V190" s="464">
        <v>1168.1632653061229</v>
      </c>
      <c r="W190" s="464">
        <v>64.897959183673493</v>
      </c>
      <c r="X190" s="463">
        <f t="shared" si="47"/>
        <v>25</v>
      </c>
      <c r="Y190" s="536"/>
      <c r="Z190" s="182"/>
      <c r="AA190" s="182"/>
      <c r="AB190" s="182"/>
      <c r="AC190" s="304" t="e">
        <f t="shared" si="48"/>
        <v>#N/A</v>
      </c>
      <c r="AD190" s="534"/>
      <c r="AE190" s="182"/>
      <c r="AF190" s="182"/>
      <c r="AG190" s="182"/>
      <c r="AH190" s="304" t="e">
        <f t="shared" si="49"/>
        <v>#N/A</v>
      </c>
      <c r="AI190" s="534"/>
      <c r="AJ190" s="182"/>
      <c r="AK190" s="182"/>
      <c r="AL190" s="182"/>
      <c r="AM190" s="304" t="e">
        <f t="shared" si="50"/>
        <v>#N/A</v>
      </c>
      <c r="AN190" s="534"/>
      <c r="AO190" s="182"/>
      <c r="AP190" s="182"/>
      <c r="AQ190" s="182"/>
      <c r="AR190" s="304" t="e">
        <f t="shared" si="51"/>
        <v>#N/A</v>
      </c>
      <c r="AS190" s="534"/>
      <c r="AT190" s="182"/>
      <c r="AU190" s="182"/>
      <c r="AV190" s="182"/>
      <c r="AW190" s="304" t="e">
        <f t="shared" si="52"/>
        <v>#N/A</v>
      </c>
      <c r="AX190" s="534"/>
    </row>
    <row r="191" spans="2:50">
      <c r="B191" s="565"/>
      <c r="C191" s="463">
        <v>10</v>
      </c>
      <c r="D191" s="313" t="s">
        <v>906</v>
      </c>
      <c r="E191" s="464">
        <v>18</v>
      </c>
      <c r="F191" s="464">
        <v>1636</v>
      </c>
      <c r="G191" s="464">
        <v>90.9</v>
      </c>
      <c r="H191" s="547"/>
      <c r="I191" s="464">
        <f t="shared" si="45"/>
        <v>18</v>
      </c>
      <c r="J191" s="464">
        <f t="shared" si="45"/>
        <v>1265.8730158730164</v>
      </c>
      <c r="K191" s="465">
        <f t="shared" si="45"/>
        <v>70.326278659612029</v>
      </c>
      <c r="L191" s="547"/>
      <c r="M191" s="464">
        <f>RANK(K191, K$182:$K$211)</f>
        <v>20</v>
      </c>
      <c r="N191" s="544"/>
      <c r="O191" s="544"/>
      <c r="P191" s="463">
        <v>18</v>
      </c>
      <c r="Q191" s="464">
        <v>1288.8888888888896</v>
      </c>
      <c r="R191" s="464">
        <v>71.604938271604979</v>
      </c>
      <c r="S191" s="463">
        <f t="shared" si="46"/>
        <v>19</v>
      </c>
      <c r="T191" s="536"/>
      <c r="U191" s="463">
        <v>18</v>
      </c>
      <c r="V191" s="464">
        <v>1242.8571428571431</v>
      </c>
      <c r="W191" s="464">
        <v>69.047619047619065</v>
      </c>
      <c r="X191" s="463">
        <f t="shared" si="47"/>
        <v>19</v>
      </c>
      <c r="Y191" s="536"/>
      <c r="Z191" s="182"/>
      <c r="AA191" s="182"/>
      <c r="AB191" s="182"/>
      <c r="AC191" s="304" t="e">
        <f t="shared" si="48"/>
        <v>#N/A</v>
      </c>
      <c r="AD191" s="534"/>
      <c r="AE191" s="182"/>
      <c r="AF191" s="182"/>
      <c r="AG191" s="182"/>
      <c r="AH191" s="304" t="e">
        <f t="shared" si="49"/>
        <v>#N/A</v>
      </c>
      <c r="AI191" s="534"/>
      <c r="AJ191" s="182"/>
      <c r="AK191" s="182"/>
      <c r="AL191" s="182"/>
      <c r="AM191" s="304" t="e">
        <f t="shared" si="50"/>
        <v>#N/A</v>
      </c>
      <c r="AN191" s="534"/>
      <c r="AO191" s="182"/>
      <c r="AP191" s="182"/>
      <c r="AQ191" s="182"/>
      <c r="AR191" s="304" t="e">
        <f t="shared" si="51"/>
        <v>#N/A</v>
      </c>
      <c r="AS191" s="534"/>
      <c r="AT191" s="182"/>
      <c r="AU191" s="182"/>
      <c r="AV191" s="182"/>
      <c r="AW191" s="304" t="e">
        <f t="shared" si="52"/>
        <v>#N/A</v>
      </c>
      <c r="AX191" s="534"/>
    </row>
    <row r="192" spans="2:50">
      <c r="B192" s="565"/>
      <c r="C192" s="463">
        <v>11</v>
      </c>
      <c r="D192" s="313" t="s">
        <v>907</v>
      </c>
      <c r="E192" s="464">
        <v>18</v>
      </c>
      <c r="F192" s="464">
        <v>1636</v>
      </c>
      <c r="G192" s="464">
        <v>90.9</v>
      </c>
      <c r="H192" s="547"/>
      <c r="I192" s="464">
        <f t="shared" si="45"/>
        <v>18</v>
      </c>
      <c r="J192" s="464">
        <f t="shared" si="45"/>
        <v>1286.5444015444009</v>
      </c>
      <c r="K192" s="465">
        <f t="shared" si="45"/>
        <v>71.474688974688945</v>
      </c>
      <c r="L192" s="547"/>
      <c r="M192" s="464">
        <f>RANK(K192, K$182:$K$211)</f>
        <v>15</v>
      </c>
      <c r="N192" s="544"/>
      <c r="O192" s="544"/>
      <c r="P192" s="463">
        <v>18</v>
      </c>
      <c r="Q192" s="464">
        <v>1287.1428571428567</v>
      </c>
      <c r="R192" s="464">
        <v>71.507936507936478</v>
      </c>
      <c r="S192" s="463">
        <f t="shared" si="46"/>
        <v>20</v>
      </c>
      <c r="T192" s="536"/>
      <c r="U192" s="463">
        <v>18</v>
      </c>
      <c r="V192" s="464">
        <v>1285.9459459459451</v>
      </c>
      <c r="W192" s="464">
        <v>71.441441441441398</v>
      </c>
      <c r="X192" s="463">
        <f t="shared" si="47"/>
        <v>16</v>
      </c>
      <c r="Y192" s="536"/>
      <c r="Z192" s="182"/>
      <c r="AA192" s="182"/>
      <c r="AB192" s="182"/>
      <c r="AC192" s="304" t="e">
        <f t="shared" si="48"/>
        <v>#N/A</v>
      </c>
      <c r="AD192" s="534"/>
      <c r="AE192" s="182"/>
      <c r="AF192" s="182"/>
      <c r="AG192" s="182"/>
      <c r="AH192" s="304" t="e">
        <f t="shared" si="49"/>
        <v>#N/A</v>
      </c>
      <c r="AI192" s="534"/>
      <c r="AJ192" s="182"/>
      <c r="AK192" s="182"/>
      <c r="AL192" s="182"/>
      <c r="AM192" s="304" t="e">
        <f t="shared" si="50"/>
        <v>#N/A</v>
      </c>
      <c r="AN192" s="534"/>
      <c r="AO192" s="182"/>
      <c r="AP192" s="182"/>
      <c r="AQ192" s="182"/>
      <c r="AR192" s="304" t="e">
        <f t="shared" si="51"/>
        <v>#N/A</v>
      </c>
      <c r="AS192" s="534"/>
      <c r="AT192" s="182"/>
      <c r="AU192" s="182"/>
      <c r="AV192" s="182"/>
      <c r="AW192" s="304" t="e">
        <f t="shared" si="52"/>
        <v>#N/A</v>
      </c>
      <c r="AX192" s="534"/>
    </row>
    <row r="193" spans="2:50">
      <c r="B193" s="565"/>
      <c r="C193" s="463">
        <v>12</v>
      </c>
      <c r="D193" s="313" t="s">
        <v>908</v>
      </c>
      <c r="E193" s="464">
        <v>17</v>
      </c>
      <c r="F193" s="464">
        <v>1500</v>
      </c>
      <c r="G193" s="464">
        <v>88.2</v>
      </c>
      <c r="H193" s="547"/>
      <c r="I193" s="464">
        <f t="shared" si="45"/>
        <v>17.5</v>
      </c>
      <c r="J193" s="464">
        <f t="shared" si="45"/>
        <v>1310.6666666666661</v>
      </c>
      <c r="K193" s="465">
        <f t="shared" si="45"/>
        <v>74.952069716775554</v>
      </c>
      <c r="L193" s="547"/>
      <c r="M193" s="464">
        <f>RANK(K193, K$182:$K$211)</f>
        <v>14</v>
      </c>
      <c r="N193" s="544"/>
      <c r="O193" s="544"/>
      <c r="P193" s="463">
        <v>17</v>
      </c>
      <c r="Q193" s="464">
        <v>1307.9999999999995</v>
      </c>
      <c r="R193" s="464">
        <v>76.941176470588204</v>
      </c>
      <c r="S193" s="463">
        <f t="shared" si="46"/>
        <v>10</v>
      </c>
      <c r="T193" s="536"/>
      <c r="U193" s="463">
        <v>18</v>
      </c>
      <c r="V193" s="464">
        <v>1313.3333333333323</v>
      </c>
      <c r="W193" s="464">
        <v>72.962962962962905</v>
      </c>
      <c r="X193" s="463">
        <f t="shared" si="47"/>
        <v>14</v>
      </c>
      <c r="Y193" s="536"/>
      <c r="Z193" s="182"/>
      <c r="AA193" s="182"/>
      <c r="AB193" s="182"/>
      <c r="AC193" s="304" t="e">
        <f t="shared" si="48"/>
        <v>#N/A</v>
      </c>
      <c r="AD193" s="534"/>
      <c r="AE193" s="182"/>
      <c r="AF193" s="182"/>
      <c r="AG193" s="182"/>
      <c r="AH193" s="304" t="e">
        <f t="shared" si="49"/>
        <v>#N/A</v>
      </c>
      <c r="AI193" s="534"/>
      <c r="AJ193" s="182"/>
      <c r="AK193" s="182"/>
      <c r="AL193" s="182"/>
      <c r="AM193" s="304" t="e">
        <f t="shared" si="50"/>
        <v>#N/A</v>
      </c>
      <c r="AN193" s="534"/>
      <c r="AO193" s="182"/>
      <c r="AP193" s="182"/>
      <c r="AQ193" s="182"/>
      <c r="AR193" s="304" t="e">
        <f t="shared" si="51"/>
        <v>#N/A</v>
      </c>
      <c r="AS193" s="534"/>
      <c r="AT193" s="182"/>
      <c r="AU193" s="182"/>
      <c r="AV193" s="182"/>
      <c r="AW193" s="304" t="e">
        <f t="shared" si="52"/>
        <v>#N/A</v>
      </c>
      <c r="AX193" s="534"/>
    </row>
    <row r="194" spans="2:50">
      <c r="B194" s="565"/>
      <c r="C194" s="463">
        <v>13</v>
      </c>
      <c r="D194" s="313" t="s">
        <v>909</v>
      </c>
      <c r="E194" s="464">
        <v>18</v>
      </c>
      <c r="F194" s="464">
        <v>1440</v>
      </c>
      <c r="G194" s="464">
        <v>80</v>
      </c>
      <c r="H194" s="547"/>
      <c r="I194" s="464">
        <f t="shared" si="45"/>
        <v>18.5</v>
      </c>
      <c r="J194" s="464">
        <f t="shared" si="45"/>
        <v>1319.0386100386088</v>
      </c>
      <c r="K194" s="465">
        <f t="shared" si="45"/>
        <v>71.322834112307731</v>
      </c>
      <c r="L194" s="547"/>
      <c r="M194" s="464">
        <f>RANK(K194, K$182:$K$211)</f>
        <v>16</v>
      </c>
      <c r="N194" s="544"/>
      <c r="O194" s="544"/>
      <c r="P194" s="463">
        <v>19</v>
      </c>
      <c r="Q194" s="464">
        <v>1338.6486486486476</v>
      </c>
      <c r="R194" s="464">
        <v>70.455192034139344</v>
      </c>
      <c r="S194" s="463">
        <f t="shared" si="46"/>
        <v>22</v>
      </c>
      <c r="T194" s="536"/>
      <c r="U194" s="463">
        <v>18</v>
      </c>
      <c r="V194" s="464">
        <v>1299.42857142857</v>
      </c>
      <c r="W194" s="464">
        <v>72.190476190476105</v>
      </c>
      <c r="X194" s="463">
        <f t="shared" si="47"/>
        <v>15</v>
      </c>
      <c r="Y194" s="536"/>
      <c r="Z194" s="182"/>
      <c r="AA194" s="182"/>
      <c r="AB194" s="182"/>
      <c r="AC194" s="304" t="e">
        <f t="shared" si="48"/>
        <v>#N/A</v>
      </c>
      <c r="AD194" s="534"/>
      <c r="AE194" s="182"/>
      <c r="AF194" s="182"/>
      <c r="AG194" s="182"/>
      <c r="AH194" s="304" t="e">
        <f t="shared" si="49"/>
        <v>#N/A</v>
      </c>
      <c r="AI194" s="534"/>
      <c r="AJ194" s="182"/>
      <c r="AK194" s="182"/>
      <c r="AL194" s="182"/>
      <c r="AM194" s="304" t="e">
        <f t="shared" si="50"/>
        <v>#N/A</v>
      </c>
      <c r="AN194" s="534"/>
      <c r="AO194" s="182"/>
      <c r="AP194" s="182"/>
      <c r="AQ194" s="182"/>
      <c r="AR194" s="304" t="e">
        <f t="shared" si="51"/>
        <v>#N/A</v>
      </c>
      <c r="AS194" s="534"/>
      <c r="AT194" s="182"/>
      <c r="AU194" s="182"/>
      <c r="AV194" s="182"/>
      <c r="AW194" s="304" t="e">
        <f t="shared" si="52"/>
        <v>#N/A</v>
      </c>
      <c r="AX194" s="534"/>
    </row>
    <row r="195" spans="2:50">
      <c r="B195" s="565"/>
      <c r="C195" s="463">
        <v>14</v>
      </c>
      <c r="D195" s="313" t="s">
        <v>910</v>
      </c>
      <c r="E195" s="464">
        <v>15</v>
      </c>
      <c r="F195" s="464">
        <v>1440</v>
      </c>
      <c r="G195" s="464">
        <v>96</v>
      </c>
      <c r="H195" s="547"/>
      <c r="I195" s="464">
        <f t="shared" si="45"/>
        <v>16</v>
      </c>
      <c r="J195" s="464">
        <f t="shared" si="45"/>
        <v>1279.5835777126108</v>
      </c>
      <c r="K195" s="465">
        <f t="shared" si="45"/>
        <v>79.973973607038175</v>
      </c>
      <c r="L195" s="547"/>
      <c r="M195" s="464">
        <f>RANK(K195, K$182:$K$211)</f>
        <v>7</v>
      </c>
      <c r="N195" s="544"/>
      <c r="O195" s="544"/>
      <c r="P195" s="463">
        <v>16</v>
      </c>
      <c r="Q195" s="464">
        <v>1252.2580645161302</v>
      </c>
      <c r="R195" s="464">
        <v>78.266129032258135</v>
      </c>
      <c r="S195" s="463">
        <f t="shared" si="46"/>
        <v>9</v>
      </c>
      <c r="T195" s="536"/>
      <c r="U195" s="463">
        <v>16</v>
      </c>
      <c r="V195" s="464">
        <v>1306.9090909090917</v>
      </c>
      <c r="W195" s="464">
        <v>81.68181818181823</v>
      </c>
      <c r="X195" s="463">
        <f t="shared" si="47"/>
        <v>6</v>
      </c>
      <c r="Y195" s="536"/>
      <c r="Z195" s="182"/>
      <c r="AA195" s="182"/>
      <c r="AB195" s="182"/>
      <c r="AC195" s="304" t="e">
        <f t="shared" si="48"/>
        <v>#N/A</v>
      </c>
      <c r="AD195" s="534"/>
      <c r="AE195" s="182"/>
      <c r="AF195" s="182"/>
      <c r="AG195" s="182"/>
      <c r="AH195" s="304" t="e">
        <f t="shared" si="49"/>
        <v>#N/A</v>
      </c>
      <c r="AI195" s="534"/>
      <c r="AJ195" s="182"/>
      <c r="AK195" s="182"/>
      <c r="AL195" s="182"/>
      <c r="AM195" s="304" t="e">
        <f t="shared" si="50"/>
        <v>#N/A</v>
      </c>
      <c r="AN195" s="534"/>
      <c r="AO195" s="182"/>
      <c r="AP195" s="182"/>
      <c r="AQ195" s="182"/>
      <c r="AR195" s="304" t="e">
        <f t="shared" si="51"/>
        <v>#N/A</v>
      </c>
      <c r="AS195" s="534"/>
      <c r="AT195" s="182"/>
      <c r="AU195" s="182"/>
      <c r="AV195" s="182"/>
      <c r="AW195" s="304" t="e">
        <f t="shared" si="52"/>
        <v>#N/A</v>
      </c>
      <c r="AX195" s="534"/>
    </row>
    <row r="196" spans="2:50">
      <c r="B196" s="565"/>
      <c r="C196" s="463">
        <v>15</v>
      </c>
      <c r="D196" s="313" t="s">
        <v>911</v>
      </c>
      <c r="E196" s="464">
        <v>17</v>
      </c>
      <c r="F196" s="464">
        <v>1440</v>
      </c>
      <c r="G196" s="464">
        <v>84.7</v>
      </c>
      <c r="H196" s="547"/>
      <c r="I196" s="464">
        <f t="shared" si="45"/>
        <v>16</v>
      </c>
      <c r="J196" s="464">
        <f t="shared" si="45"/>
        <v>1342.0265038713515</v>
      </c>
      <c r="K196" s="465">
        <f t="shared" si="45"/>
        <v>83.876656491959466</v>
      </c>
      <c r="L196" s="547"/>
      <c r="M196" s="464">
        <f>RANK(K196, K$182:$K$211)</f>
        <v>4</v>
      </c>
      <c r="N196" s="544"/>
      <c r="O196" s="544"/>
      <c r="P196" s="463">
        <v>16</v>
      </c>
      <c r="Q196" s="464">
        <v>1340.2173913043478</v>
      </c>
      <c r="R196" s="464">
        <v>83.763586956521735</v>
      </c>
      <c r="S196" s="463">
        <f t="shared" si="46"/>
        <v>5</v>
      </c>
      <c r="T196" s="536"/>
      <c r="U196" s="463">
        <v>16</v>
      </c>
      <c r="V196" s="464">
        <v>1343.8356164383551</v>
      </c>
      <c r="W196" s="464">
        <v>83.989726027397197</v>
      </c>
      <c r="X196" s="463">
        <f t="shared" si="47"/>
        <v>4</v>
      </c>
      <c r="Y196" s="536"/>
      <c r="Z196" s="182"/>
      <c r="AA196" s="182"/>
      <c r="AB196" s="182"/>
      <c r="AC196" s="304" t="e">
        <f t="shared" si="48"/>
        <v>#N/A</v>
      </c>
      <c r="AD196" s="534"/>
      <c r="AE196" s="182"/>
      <c r="AF196" s="182"/>
      <c r="AG196" s="182"/>
      <c r="AH196" s="304" t="e">
        <f t="shared" si="49"/>
        <v>#N/A</v>
      </c>
      <c r="AI196" s="534"/>
      <c r="AJ196" s="182"/>
      <c r="AK196" s="182"/>
      <c r="AL196" s="182"/>
      <c r="AM196" s="304" t="e">
        <f t="shared" si="50"/>
        <v>#N/A</v>
      </c>
      <c r="AN196" s="534"/>
      <c r="AO196" s="182"/>
      <c r="AP196" s="182"/>
      <c r="AQ196" s="182"/>
      <c r="AR196" s="304" t="e">
        <f t="shared" si="51"/>
        <v>#N/A</v>
      </c>
      <c r="AS196" s="534"/>
      <c r="AT196" s="182"/>
      <c r="AU196" s="182"/>
      <c r="AV196" s="182"/>
      <c r="AW196" s="304" t="e">
        <f t="shared" si="52"/>
        <v>#N/A</v>
      </c>
      <c r="AX196" s="534"/>
    </row>
    <row r="197" spans="2:50">
      <c r="B197" s="565"/>
      <c r="C197" s="463">
        <v>16</v>
      </c>
      <c r="D197" s="313" t="s">
        <v>912</v>
      </c>
      <c r="E197" s="464">
        <v>17</v>
      </c>
      <c r="F197" s="464">
        <v>1636</v>
      </c>
      <c r="G197" s="464">
        <v>96.3</v>
      </c>
      <c r="H197" s="547"/>
      <c r="I197" s="464">
        <f t="shared" si="45"/>
        <v>17</v>
      </c>
      <c r="J197" s="464">
        <f t="shared" si="45"/>
        <v>1157.9166666666633</v>
      </c>
      <c r="K197" s="465">
        <f t="shared" si="45"/>
        <v>68.112745098039028</v>
      </c>
      <c r="L197" s="547"/>
      <c r="M197" s="464">
        <f>RANK(K197, K$182:$K$211)</f>
        <v>23</v>
      </c>
      <c r="N197" s="544"/>
      <c r="O197" s="544"/>
      <c r="P197" s="463">
        <v>17</v>
      </c>
      <c r="Q197" s="464">
        <v>1222.4999999999961</v>
      </c>
      <c r="R197" s="464">
        <v>71.911764705882121</v>
      </c>
      <c r="S197" s="463">
        <f t="shared" si="46"/>
        <v>17</v>
      </c>
      <c r="T197" s="536"/>
      <c r="U197" s="463">
        <v>17</v>
      </c>
      <c r="V197" s="464">
        <v>1093.3333333333308</v>
      </c>
      <c r="W197" s="464">
        <v>64.313725490195921</v>
      </c>
      <c r="X197" s="463">
        <f t="shared" si="47"/>
        <v>26</v>
      </c>
      <c r="Y197" s="536"/>
      <c r="Z197" s="182"/>
      <c r="AA197" s="182"/>
      <c r="AB197" s="182"/>
      <c r="AC197" s="304" t="e">
        <f t="shared" si="48"/>
        <v>#N/A</v>
      </c>
      <c r="AD197" s="534"/>
      <c r="AE197" s="182"/>
      <c r="AF197" s="182"/>
      <c r="AG197" s="182"/>
      <c r="AH197" s="304" t="e">
        <f t="shared" si="49"/>
        <v>#N/A</v>
      </c>
      <c r="AI197" s="534"/>
      <c r="AJ197" s="182"/>
      <c r="AK197" s="182"/>
      <c r="AL197" s="182"/>
      <c r="AM197" s="304" t="e">
        <f t="shared" si="50"/>
        <v>#N/A</v>
      </c>
      <c r="AN197" s="534"/>
      <c r="AO197" s="182"/>
      <c r="AP197" s="182"/>
      <c r="AQ197" s="182"/>
      <c r="AR197" s="304" t="e">
        <f t="shared" si="51"/>
        <v>#N/A</v>
      </c>
      <c r="AS197" s="534"/>
      <c r="AT197" s="182"/>
      <c r="AU197" s="182"/>
      <c r="AV197" s="182"/>
      <c r="AW197" s="304" t="e">
        <f t="shared" si="52"/>
        <v>#N/A</v>
      </c>
      <c r="AX197" s="534"/>
    </row>
    <row r="198" spans="2:50">
      <c r="B198" s="565"/>
      <c r="C198" s="463">
        <v>17</v>
      </c>
      <c r="D198" s="313" t="s">
        <v>913</v>
      </c>
      <c r="E198" s="464">
        <v>18</v>
      </c>
      <c r="F198" s="464">
        <v>1440</v>
      </c>
      <c r="G198" s="464">
        <v>80</v>
      </c>
      <c r="H198" s="547"/>
      <c r="I198" s="464">
        <f t="shared" si="45"/>
        <v>17</v>
      </c>
      <c r="J198" s="464">
        <f t="shared" si="45"/>
        <v>1295.1432078559742</v>
      </c>
      <c r="K198" s="465">
        <f t="shared" si="45"/>
        <v>76.184894579763181</v>
      </c>
      <c r="L198" s="547"/>
      <c r="M198" s="464">
        <f>RANK(K198, K$182:$K$211)</f>
        <v>11</v>
      </c>
      <c r="N198" s="544"/>
      <c r="O198" s="544"/>
      <c r="P198" s="463">
        <v>17</v>
      </c>
      <c r="Q198" s="464">
        <v>1307.3076923076931</v>
      </c>
      <c r="R198" s="464">
        <v>76.900452488687833</v>
      </c>
      <c r="S198" s="463">
        <f t="shared" si="46"/>
        <v>11</v>
      </c>
      <c r="T198" s="536"/>
      <c r="U198" s="463">
        <v>17</v>
      </c>
      <c r="V198" s="464">
        <v>1282.9787234042553</v>
      </c>
      <c r="W198" s="464">
        <v>75.469336670838544</v>
      </c>
      <c r="X198" s="463">
        <f t="shared" si="47"/>
        <v>10</v>
      </c>
      <c r="Y198" s="536"/>
      <c r="Z198" s="182"/>
      <c r="AA198" s="182"/>
      <c r="AB198" s="182"/>
      <c r="AC198" s="304" t="e">
        <f t="shared" si="48"/>
        <v>#N/A</v>
      </c>
      <c r="AD198" s="534"/>
      <c r="AE198" s="182"/>
      <c r="AF198" s="182"/>
      <c r="AG198" s="182"/>
      <c r="AH198" s="304" t="e">
        <f t="shared" si="49"/>
        <v>#N/A</v>
      </c>
      <c r="AI198" s="534"/>
      <c r="AJ198" s="182"/>
      <c r="AK198" s="182"/>
      <c r="AL198" s="182"/>
      <c r="AM198" s="304" t="e">
        <f t="shared" si="50"/>
        <v>#N/A</v>
      </c>
      <c r="AN198" s="534"/>
      <c r="AO198" s="182"/>
      <c r="AP198" s="182"/>
      <c r="AQ198" s="182"/>
      <c r="AR198" s="304" t="e">
        <f t="shared" si="51"/>
        <v>#N/A</v>
      </c>
      <c r="AS198" s="534"/>
      <c r="AT198" s="182"/>
      <c r="AU198" s="182"/>
      <c r="AV198" s="182"/>
      <c r="AW198" s="304" t="e">
        <f t="shared" si="52"/>
        <v>#N/A</v>
      </c>
      <c r="AX198" s="534"/>
    </row>
    <row r="199" spans="2:50">
      <c r="B199" s="565"/>
      <c r="C199" s="463">
        <v>18</v>
      </c>
      <c r="D199" s="313" t="s">
        <v>914</v>
      </c>
      <c r="E199" s="464">
        <v>18</v>
      </c>
      <c r="F199" s="464">
        <v>1500</v>
      </c>
      <c r="G199" s="464">
        <v>83.3</v>
      </c>
      <c r="H199" s="547"/>
      <c r="I199" s="464">
        <f t="shared" si="45"/>
        <v>18</v>
      </c>
      <c r="J199" s="464">
        <f t="shared" si="45"/>
        <v>1280.207930367505</v>
      </c>
      <c r="K199" s="465">
        <f t="shared" si="45"/>
        <v>71.12266279819471</v>
      </c>
      <c r="L199" s="547"/>
      <c r="M199" s="464">
        <f>RANK(K199, K$182:$K$211)</f>
        <v>18</v>
      </c>
      <c r="N199" s="544"/>
      <c r="O199" s="544"/>
      <c r="P199" s="463">
        <v>18</v>
      </c>
      <c r="Q199" s="464">
        <v>1307.2340425531916</v>
      </c>
      <c r="R199" s="464">
        <v>72.62411347517731</v>
      </c>
      <c r="S199" s="463">
        <f t="shared" si="46"/>
        <v>16</v>
      </c>
      <c r="T199" s="536"/>
      <c r="U199" s="463">
        <v>18</v>
      </c>
      <c r="V199" s="464">
        <v>1253.1818181818182</v>
      </c>
      <c r="W199" s="464">
        <v>69.621212121212125</v>
      </c>
      <c r="X199" s="463">
        <f t="shared" si="47"/>
        <v>18</v>
      </c>
      <c r="Y199" s="536"/>
      <c r="Z199" s="182"/>
      <c r="AA199" s="182"/>
      <c r="AB199" s="182"/>
      <c r="AC199" s="304" t="e">
        <f t="shared" si="48"/>
        <v>#N/A</v>
      </c>
      <c r="AD199" s="534"/>
      <c r="AE199" s="182"/>
      <c r="AF199" s="182"/>
      <c r="AG199" s="182"/>
      <c r="AH199" s="304" t="e">
        <f t="shared" si="49"/>
        <v>#N/A</v>
      </c>
      <c r="AI199" s="534"/>
      <c r="AJ199" s="182"/>
      <c r="AK199" s="182"/>
      <c r="AL199" s="182"/>
      <c r="AM199" s="304" t="e">
        <f t="shared" si="50"/>
        <v>#N/A</v>
      </c>
      <c r="AN199" s="534"/>
      <c r="AO199" s="182"/>
      <c r="AP199" s="182"/>
      <c r="AQ199" s="182"/>
      <c r="AR199" s="304" t="e">
        <f t="shared" si="51"/>
        <v>#N/A</v>
      </c>
      <c r="AS199" s="534"/>
      <c r="AT199" s="182"/>
      <c r="AU199" s="182"/>
      <c r="AV199" s="182"/>
      <c r="AW199" s="304" t="e">
        <f t="shared" si="52"/>
        <v>#N/A</v>
      </c>
      <c r="AX199" s="534"/>
    </row>
    <row r="200" spans="2:50">
      <c r="B200" s="565"/>
      <c r="C200" s="463">
        <v>19</v>
      </c>
      <c r="D200" s="313" t="s">
        <v>915</v>
      </c>
      <c r="E200" s="464">
        <v>17</v>
      </c>
      <c r="F200" s="464">
        <v>1440</v>
      </c>
      <c r="G200" s="464">
        <v>84.7</v>
      </c>
      <c r="H200" s="547"/>
      <c r="I200" s="464">
        <f t="shared" si="45"/>
        <v>17</v>
      </c>
      <c r="J200" s="464">
        <f t="shared" si="45"/>
        <v>1103.3333333333308</v>
      </c>
      <c r="K200" s="465">
        <f t="shared" si="45"/>
        <v>64.901960784313573</v>
      </c>
      <c r="L200" s="547"/>
      <c r="M200" s="464">
        <f>RANK(K200, K$182:$K$211)</f>
        <v>26</v>
      </c>
      <c r="N200" s="544"/>
      <c r="O200" s="544"/>
      <c r="P200" s="463">
        <v>17</v>
      </c>
      <c r="Q200" s="464">
        <v>1097.7777777777751</v>
      </c>
      <c r="R200" s="464">
        <v>64.575163398692652</v>
      </c>
      <c r="S200" s="463">
        <f t="shared" si="46"/>
        <v>26</v>
      </c>
      <c r="T200" s="536"/>
      <c r="U200" s="463">
        <v>17</v>
      </c>
      <c r="V200" s="464">
        <v>1108.8888888888864</v>
      </c>
      <c r="W200" s="464">
        <v>65.228758169934494</v>
      </c>
      <c r="X200" s="463">
        <f t="shared" si="47"/>
        <v>24</v>
      </c>
      <c r="Y200" s="536"/>
      <c r="Z200" s="182"/>
      <c r="AA200" s="182"/>
      <c r="AB200" s="182"/>
      <c r="AC200" s="304" t="e">
        <f t="shared" si="48"/>
        <v>#N/A</v>
      </c>
      <c r="AD200" s="534"/>
      <c r="AE200" s="182"/>
      <c r="AF200" s="182"/>
      <c r="AG200" s="182"/>
      <c r="AH200" s="304" t="e">
        <f t="shared" si="49"/>
        <v>#N/A</v>
      </c>
      <c r="AI200" s="534"/>
      <c r="AJ200" s="182"/>
      <c r="AK200" s="182"/>
      <c r="AL200" s="182"/>
      <c r="AM200" s="304" t="e">
        <f t="shared" si="50"/>
        <v>#N/A</v>
      </c>
      <c r="AN200" s="534"/>
      <c r="AO200" s="182"/>
      <c r="AP200" s="182"/>
      <c r="AQ200" s="182"/>
      <c r="AR200" s="304" t="e">
        <f t="shared" si="51"/>
        <v>#N/A</v>
      </c>
      <c r="AS200" s="534"/>
      <c r="AT200" s="182"/>
      <c r="AU200" s="182"/>
      <c r="AV200" s="182"/>
      <c r="AW200" s="304" t="e">
        <f t="shared" si="52"/>
        <v>#N/A</v>
      </c>
      <c r="AX200" s="534"/>
    </row>
    <row r="201" spans="2:50">
      <c r="B201" s="565"/>
      <c r="C201" s="463">
        <v>20</v>
      </c>
      <c r="D201" s="313" t="s">
        <v>916</v>
      </c>
      <c r="E201" s="464">
        <v>18</v>
      </c>
      <c r="F201" s="464">
        <v>1385</v>
      </c>
      <c r="G201" s="464">
        <v>76.900000000000006</v>
      </c>
      <c r="H201" s="547"/>
      <c r="I201" s="464">
        <f t="shared" si="45"/>
        <v>17</v>
      </c>
      <c r="J201" s="464">
        <f t="shared" si="45"/>
        <v>1211.3492063492067</v>
      </c>
      <c r="K201" s="465">
        <f t="shared" si="45"/>
        <v>71.255835667600394</v>
      </c>
      <c r="L201" s="547"/>
      <c r="M201" s="464">
        <f>RANK(K201, K$182:$K$211)</f>
        <v>17</v>
      </c>
      <c r="N201" s="544"/>
      <c r="O201" s="544"/>
      <c r="P201" s="463">
        <v>17</v>
      </c>
      <c r="Q201" s="464">
        <v>1265.5555555555561</v>
      </c>
      <c r="R201" s="464">
        <v>74.444444444444471</v>
      </c>
      <c r="S201" s="463">
        <f t="shared" si="46"/>
        <v>15</v>
      </c>
      <c r="T201" s="536"/>
      <c r="U201" s="463">
        <v>17</v>
      </c>
      <c r="V201" s="464">
        <v>1157.1428571428576</v>
      </c>
      <c r="W201" s="464">
        <v>68.067226890756331</v>
      </c>
      <c r="X201" s="463">
        <f t="shared" si="47"/>
        <v>22</v>
      </c>
      <c r="Y201" s="536"/>
      <c r="Z201" s="182"/>
      <c r="AA201" s="182"/>
      <c r="AB201" s="182"/>
      <c r="AC201" s="304" t="e">
        <f t="shared" si="48"/>
        <v>#N/A</v>
      </c>
      <c r="AD201" s="534"/>
      <c r="AE201" s="182"/>
      <c r="AF201" s="182"/>
      <c r="AG201" s="182"/>
      <c r="AH201" s="304" t="e">
        <f t="shared" si="49"/>
        <v>#N/A</v>
      </c>
      <c r="AI201" s="534"/>
      <c r="AJ201" s="182"/>
      <c r="AK201" s="182"/>
      <c r="AL201" s="182"/>
      <c r="AM201" s="304" t="e">
        <f t="shared" si="50"/>
        <v>#N/A</v>
      </c>
      <c r="AN201" s="534"/>
      <c r="AO201" s="182"/>
      <c r="AP201" s="182"/>
      <c r="AQ201" s="182"/>
      <c r="AR201" s="304" t="e">
        <f t="shared" si="51"/>
        <v>#N/A</v>
      </c>
      <c r="AS201" s="534"/>
      <c r="AT201" s="182"/>
      <c r="AU201" s="182"/>
      <c r="AV201" s="182"/>
      <c r="AW201" s="304" t="e">
        <f t="shared" si="52"/>
        <v>#N/A</v>
      </c>
      <c r="AX201" s="534"/>
    </row>
    <row r="202" spans="2:50">
      <c r="B202" s="565"/>
      <c r="C202" s="463">
        <v>21</v>
      </c>
      <c r="D202" s="313" t="s">
        <v>917</v>
      </c>
      <c r="E202" s="464">
        <v>18</v>
      </c>
      <c r="F202" s="464">
        <v>1440</v>
      </c>
      <c r="G202" s="464">
        <v>80</v>
      </c>
      <c r="H202" s="547"/>
      <c r="I202" s="464">
        <f t="shared" si="45"/>
        <v>18</v>
      </c>
      <c r="J202" s="464">
        <f t="shared" si="45"/>
        <v>1273.5430157261794</v>
      </c>
      <c r="K202" s="465">
        <f t="shared" si="45"/>
        <v>70.752389762565542</v>
      </c>
      <c r="L202" s="547"/>
      <c r="M202" s="464">
        <f>RANK(K202, K$182:$K$211)</f>
        <v>19</v>
      </c>
      <c r="N202" s="544"/>
      <c r="O202" s="544"/>
      <c r="P202" s="463">
        <v>18</v>
      </c>
      <c r="Q202" s="464">
        <v>1273.0434782608695</v>
      </c>
      <c r="R202" s="464">
        <v>70.724637681159422</v>
      </c>
      <c r="S202" s="463">
        <f t="shared" si="46"/>
        <v>21</v>
      </c>
      <c r="T202" s="536"/>
      <c r="U202" s="463">
        <v>18</v>
      </c>
      <c r="V202" s="464">
        <v>1274.0425531914896</v>
      </c>
      <c r="W202" s="464">
        <v>70.780141843971649</v>
      </c>
      <c r="X202" s="463">
        <f t="shared" si="47"/>
        <v>17</v>
      </c>
      <c r="Y202" s="536"/>
      <c r="Z202" s="182"/>
      <c r="AA202" s="182"/>
      <c r="AB202" s="182"/>
      <c r="AC202" s="304" t="e">
        <f t="shared" si="48"/>
        <v>#N/A</v>
      </c>
      <c r="AD202" s="534"/>
      <c r="AE202" s="182"/>
      <c r="AF202" s="182"/>
      <c r="AG202" s="182"/>
      <c r="AH202" s="304" t="e">
        <f t="shared" si="49"/>
        <v>#N/A</v>
      </c>
      <c r="AI202" s="534"/>
      <c r="AJ202" s="182"/>
      <c r="AK202" s="182"/>
      <c r="AL202" s="182"/>
      <c r="AM202" s="304" t="e">
        <f t="shared" si="50"/>
        <v>#N/A</v>
      </c>
      <c r="AN202" s="534"/>
      <c r="AO202" s="182"/>
      <c r="AP202" s="182"/>
      <c r="AQ202" s="182"/>
      <c r="AR202" s="304" t="e">
        <f t="shared" si="51"/>
        <v>#N/A</v>
      </c>
      <c r="AS202" s="534"/>
      <c r="AT202" s="182"/>
      <c r="AU202" s="182"/>
      <c r="AV202" s="182"/>
      <c r="AW202" s="304" t="e">
        <f t="shared" si="52"/>
        <v>#N/A</v>
      </c>
      <c r="AX202" s="534"/>
    </row>
    <row r="203" spans="2:50">
      <c r="B203" s="565"/>
      <c r="C203" s="463">
        <v>22</v>
      </c>
      <c r="D203" s="313" t="s">
        <v>918</v>
      </c>
      <c r="E203" s="464">
        <v>15</v>
      </c>
      <c r="F203" s="464">
        <v>1500</v>
      </c>
      <c r="G203" s="464">
        <v>100</v>
      </c>
      <c r="H203" s="547"/>
      <c r="I203" s="464">
        <f t="shared" si="45"/>
        <v>16</v>
      </c>
      <c r="J203" s="464">
        <f t="shared" si="45"/>
        <v>1292.4751243781097</v>
      </c>
      <c r="K203" s="465">
        <f t="shared" si="45"/>
        <v>80.779695273631859</v>
      </c>
      <c r="L203" s="547"/>
      <c r="M203" s="464">
        <f>RANK(K203, K$182:$K$211)</f>
        <v>6</v>
      </c>
      <c r="N203" s="544"/>
      <c r="O203" s="544"/>
      <c r="P203" s="463">
        <v>16</v>
      </c>
      <c r="Q203" s="464">
        <v>1301.6666666666656</v>
      </c>
      <c r="R203" s="464">
        <v>81.3541666666666</v>
      </c>
      <c r="S203" s="463">
        <f t="shared" si="46"/>
        <v>7</v>
      </c>
      <c r="T203" s="536"/>
      <c r="U203" s="463">
        <v>16</v>
      </c>
      <c r="V203" s="464">
        <v>1283.2835820895539</v>
      </c>
      <c r="W203" s="464">
        <v>80.205223880597117</v>
      </c>
      <c r="X203" s="463">
        <f t="shared" si="47"/>
        <v>7</v>
      </c>
      <c r="Y203" s="536"/>
      <c r="Z203" s="182"/>
      <c r="AA203" s="182"/>
      <c r="AB203" s="182"/>
      <c r="AC203" s="304" t="e">
        <f t="shared" si="48"/>
        <v>#N/A</v>
      </c>
      <c r="AD203" s="534"/>
      <c r="AE203" s="182"/>
      <c r="AF203" s="182"/>
      <c r="AG203" s="182"/>
      <c r="AH203" s="304" t="e">
        <f t="shared" si="49"/>
        <v>#N/A</v>
      </c>
      <c r="AI203" s="534"/>
      <c r="AJ203" s="182"/>
      <c r="AK203" s="182"/>
      <c r="AL203" s="182"/>
      <c r="AM203" s="304" t="e">
        <f t="shared" si="50"/>
        <v>#N/A</v>
      </c>
      <c r="AN203" s="534"/>
      <c r="AO203" s="182"/>
      <c r="AP203" s="182"/>
      <c r="AQ203" s="182"/>
      <c r="AR203" s="304" t="e">
        <f t="shared" si="51"/>
        <v>#N/A</v>
      </c>
      <c r="AS203" s="534"/>
      <c r="AT203" s="182"/>
      <c r="AU203" s="182"/>
      <c r="AV203" s="182"/>
      <c r="AW203" s="304" t="e">
        <f t="shared" si="52"/>
        <v>#N/A</v>
      </c>
      <c r="AX203" s="534"/>
    </row>
    <row r="204" spans="2:50">
      <c r="B204" s="565"/>
      <c r="C204" s="463">
        <v>23</v>
      </c>
      <c r="D204" s="313" t="s">
        <v>919</v>
      </c>
      <c r="E204" s="464">
        <v>16</v>
      </c>
      <c r="F204" s="464">
        <v>1500</v>
      </c>
      <c r="G204" s="464">
        <v>93.8</v>
      </c>
      <c r="H204" s="547"/>
      <c r="I204" s="464">
        <f t="shared" ref="I204:K209" si="53">AVERAGE(P204,U204,Z204,AE204,AJ204,AO204,AT204)</f>
        <v>16</v>
      </c>
      <c r="J204" s="464">
        <f t="shared" si="53"/>
        <v>1100.2173913043443</v>
      </c>
      <c r="K204" s="465">
        <f t="shared" si="53"/>
        <v>68.763586956521522</v>
      </c>
      <c r="L204" s="547"/>
      <c r="M204" s="464">
        <f>RANK(K204, K$182:$K$211)</f>
        <v>22</v>
      </c>
      <c r="N204" s="544"/>
      <c r="O204" s="544"/>
      <c r="P204" s="463">
        <v>16</v>
      </c>
      <c r="Q204" s="464">
        <v>1109.999999999997</v>
      </c>
      <c r="R204" s="464">
        <v>69.374999999999815</v>
      </c>
      <c r="S204" s="463">
        <f t="shared" si="46"/>
        <v>23</v>
      </c>
      <c r="T204" s="536"/>
      <c r="U204" s="463">
        <v>16</v>
      </c>
      <c r="V204" s="464">
        <v>1090.4347826086919</v>
      </c>
      <c r="W204" s="464">
        <v>68.152173913043242</v>
      </c>
      <c r="X204" s="463">
        <f t="shared" si="47"/>
        <v>20</v>
      </c>
      <c r="Y204" s="536"/>
      <c r="Z204" s="182"/>
      <c r="AA204" s="182"/>
      <c r="AB204" s="182"/>
      <c r="AC204" s="304" t="e">
        <f t="shared" si="48"/>
        <v>#N/A</v>
      </c>
      <c r="AD204" s="534"/>
      <c r="AE204" s="182"/>
      <c r="AF204" s="182"/>
      <c r="AG204" s="182"/>
      <c r="AH204" s="304" t="e">
        <f t="shared" si="49"/>
        <v>#N/A</v>
      </c>
      <c r="AI204" s="534"/>
      <c r="AJ204" s="182"/>
      <c r="AK204" s="182"/>
      <c r="AL204" s="182"/>
      <c r="AM204" s="304" t="e">
        <f t="shared" si="50"/>
        <v>#N/A</v>
      </c>
      <c r="AN204" s="534"/>
      <c r="AO204" s="182"/>
      <c r="AP204" s="182"/>
      <c r="AQ204" s="182"/>
      <c r="AR204" s="304" t="e">
        <f t="shared" si="51"/>
        <v>#N/A</v>
      </c>
      <c r="AS204" s="534"/>
      <c r="AT204" s="182"/>
      <c r="AU204" s="182"/>
      <c r="AV204" s="182"/>
      <c r="AW204" s="304" t="e">
        <f t="shared" si="52"/>
        <v>#N/A</v>
      </c>
      <c r="AX204" s="534"/>
    </row>
    <row r="205" spans="2:50">
      <c r="B205" s="565"/>
      <c r="C205" s="463">
        <v>24</v>
      </c>
      <c r="D205" s="313" t="s">
        <v>920</v>
      </c>
      <c r="E205" s="464">
        <v>20</v>
      </c>
      <c r="F205" s="464">
        <v>1500</v>
      </c>
      <c r="G205" s="464">
        <v>75</v>
      </c>
      <c r="H205" s="547"/>
      <c r="I205" s="464">
        <f t="shared" si="53"/>
        <v>20</v>
      </c>
      <c r="J205" s="464">
        <f t="shared" si="53"/>
        <v>1107.4285714285702</v>
      </c>
      <c r="K205" s="465">
        <f t="shared" si="53"/>
        <v>55.37142857142851</v>
      </c>
      <c r="L205" s="547"/>
      <c r="M205" s="464">
        <f>RANK(K205, K$182:$K$211)</f>
        <v>28</v>
      </c>
      <c r="N205" s="544"/>
      <c r="O205" s="544"/>
      <c r="P205" s="463">
        <v>20</v>
      </c>
      <c r="Q205" s="464">
        <v>1156.2857142857131</v>
      </c>
      <c r="R205" s="464">
        <v>57.814285714285653</v>
      </c>
      <c r="S205" s="463">
        <f t="shared" si="46"/>
        <v>28</v>
      </c>
      <c r="T205" s="536"/>
      <c r="U205" s="463">
        <v>20</v>
      </c>
      <c r="V205" s="464">
        <v>1058.5714285714275</v>
      </c>
      <c r="W205" s="464">
        <v>52.928571428571374</v>
      </c>
      <c r="X205" s="463">
        <f t="shared" si="47"/>
        <v>28</v>
      </c>
      <c r="Y205" s="536"/>
      <c r="Z205" s="318"/>
      <c r="AA205" s="319"/>
      <c r="AB205" s="319"/>
      <c r="AC205" s="304" t="e">
        <f t="shared" si="48"/>
        <v>#N/A</v>
      </c>
      <c r="AD205" s="534"/>
      <c r="AE205" s="318"/>
      <c r="AF205" s="319"/>
      <c r="AG205" s="319"/>
      <c r="AH205" s="304" t="e">
        <f t="shared" si="49"/>
        <v>#N/A</v>
      </c>
      <c r="AI205" s="534"/>
      <c r="AJ205" s="318"/>
      <c r="AK205" s="319"/>
      <c r="AL205" s="319"/>
      <c r="AM205" s="304" t="e">
        <f t="shared" si="50"/>
        <v>#N/A</v>
      </c>
      <c r="AN205" s="534"/>
      <c r="AO205" s="318"/>
      <c r="AP205" s="319"/>
      <c r="AQ205" s="319"/>
      <c r="AR205" s="304" t="e">
        <f t="shared" si="51"/>
        <v>#N/A</v>
      </c>
      <c r="AS205" s="534"/>
      <c r="AT205" s="318"/>
      <c r="AU205" s="319"/>
      <c r="AV205" s="319"/>
      <c r="AW205" s="304" t="e">
        <f t="shared" si="52"/>
        <v>#N/A</v>
      </c>
      <c r="AX205" s="534"/>
    </row>
    <row r="206" spans="2:50">
      <c r="B206" s="565"/>
      <c r="C206" s="463">
        <v>25</v>
      </c>
      <c r="D206" s="313" t="s">
        <v>922</v>
      </c>
      <c r="E206" s="464">
        <v>17</v>
      </c>
      <c r="F206" s="464">
        <v>1440</v>
      </c>
      <c r="G206" s="464">
        <v>84.7</v>
      </c>
      <c r="H206" s="547"/>
      <c r="I206" s="464">
        <f t="shared" si="53"/>
        <v>17</v>
      </c>
      <c r="J206" s="464">
        <f t="shared" si="53"/>
        <v>1288.5248447204967</v>
      </c>
      <c r="K206" s="465">
        <f t="shared" si="53"/>
        <v>75.795579101205689</v>
      </c>
      <c r="L206" s="547"/>
      <c r="M206" s="464">
        <f>RANK(K206, K$182:$K$211)</f>
        <v>12</v>
      </c>
      <c r="N206" s="544"/>
      <c r="O206" s="544"/>
      <c r="P206" s="463">
        <v>17</v>
      </c>
      <c r="Q206" s="464">
        <v>1298.4782608695652</v>
      </c>
      <c r="R206" s="464">
        <v>76.381074168797952</v>
      </c>
      <c r="S206" s="463">
        <f t="shared" si="46"/>
        <v>13</v>
      </c>
      <c r="T206" s="536"/>
      <c r="U206" s="463">
        <v>17</v>
      </c>
      <c r="V206" s="464">
        <v>1278.5714285714282</v>
      </c>
      <c r="W206" s="464">
        <v>75.210084033613427</v>
      </c>
      <c r="X206" s="463">
        <f t="shared" si="47"/>
        <v>12</v>
      </c>
      <c r="Y206" s="536"/>
      <c r="Z206" s="318"/>
      <c r="AA206" s="319"/>
      <c r="AB206" s="319"/>
      <c r="AC206" s="304" t="e">
        <f t="shared" si="48"/>
        <v>#N/A</v>
      </c>
      <c r="AD206" s="534"/>
      <c r="AE206" s="318"/>
      <c r="AF206" s="319"/>
      <c r="AG206" s="319"/>
      <c r="AH206" s="304" t="e">
        <f t="shared" si="49"/>
        <v>#N/A</v>
      </c>
      <c r="AI206" s="534"/>
      <c r="AJ206" s="318"/>
      <c r="AK206" s="319"/>
      <c r="AL206" s="319"/>
      <c r="AM206" s="304" t="e">
        <f t="shared" si="50"/>
        <v>#N/A</v>
      </c>
      <c r="AN206" s="534"/>
      <c r="AO206" s="318"/>
      <c r="AP206" s="319"/>
      <c r="AQ206" s="319"/>
      <c r="AR206" s="304" t="e">
        <f t="shared" si="51"/>
        <v>#N/A</v>
      </c>
      <c r="AS206" s="534"/>
      <c r="AT206" s="318"/>
      <c r="AU206" s="319"/>
      <c r="AV206" s="319"/>
      <c r="AW206" s="304" t="e">
        <f t="shared" si="52"/>
        <v>#N/A</v>
      </c>
      <c r="AX206" s="534"/>
    </row>
    <row r="207" spans="2:50">
      <c r="B207" s="565"/>
      <c r="C207" s="463">
        <v>26</v>
      </c>
      <c r="D207" s="313" t="s">
        <v>923</v>
      </c>
      <c r="E207" s="464">
        <v>18</v>
      </c>
      <c r="F207" s="464">
        <v>1385</v>
      </c>
      <c r="G207" s="464">
        <v>76.900000000000006</v>
      </c>
      <c r="H207" s="547"/>
      <c r="I207" s="464">
        <f t="shared" si="53"/>
        <v>19</v>
      </c>
      <c r="J207" s="464">
        <f t="shared" si="53"/>
        <v>1101.7200000000003</v>
      </c>
      <c r="K207" s="465">
        <f t="shared" si="53"/>
        <v>57.985263157894749</v>
      </c>
      <c r="L207" s="547"/>
      <c r="M207" s="464">
        <f>RANK(K207, K$182:$K$211)</f>
        <v>27</v>
      </c>
      <c r="N207" s="544"/>
      <c r="O207" s="544"/>
      <c r="P207" s="463">
        <v>19</v>
      </c>
      <c r="Q207" s="464">
        <v>1105.4400000000005</v>
      </c>
      <c r="R207" s="464">
        <v>58.181052631578972</v>
      </c>
      <c r="S207" s="463">
        <f t="shared" si="46"/>
        <v>27</v>
      </c>
      <c r="T207" s="536"/>
      <c r="U207" s="463">
        <v>19</v>
      </c>
      <c r="V207" s="464">
        <v>1098</v>
      </c>
      <c r="W207" s="464">
        <v>57.789473684210527</v>
      </c>
      <c r="X207" s="463">
        <f t="shared" si="47"/>
        <v>27</v>
      </c>
      <c r="Y207" s="536"/>
      <c r="Z207" s="318"/>
      <c r="AA207" s="319"/>
      <c r="AB207" s="319"/>
      <c r="AC207" s="304" t="e">
        <f t="shared" si="48"/>
        <v>#N/A</v>
      </c>
      <c r="AD207" s="534"/>
      <c r="AE207" s="318"/>
      <c r="AF207" s="319"/>
      <c r="AG207" s="319"/>
      <c r="AH207" s="304" t="e">
        <f t="shared" si="49"/>
        <v>#N/A</v>
      </c>
      <c r="AI207" s="534"/>
      <c r="AJ207" s="318"/>
      <c r="AK207" s="319"/>
      <c r="AL207" s="319"/>
      <c r="AM207" s="304" t="e">
        <f t="shared" si="50"/>
        <v>#N/A</v>
      </c>
      <c r="AN207" s="534"/>
      <c r="AO207" s="318"/>
      <c r="AP207" s="319"/>
      <c r="AQ207" s="319"/>
      <c r="AR207" s="304" t="e">
        <f t="shared" si="51"/>
        <v>#N/A</v>
      </c>
      <c r="AS207" s="534"/>
      <c r="AT207" s="318"/>
      <c r="AU207" s="319"/>
      <c r="AV207" s="319"/>
      <c r="AW207" s="304" t="e">
        <f t="shared" si="52"/>
        <v>#N/A</v>
      </c>
      <c r="AX207" s="534"/>
    </row>
    <row r="208" spans="2:50">
      <c r="B208" s="565"/>
      <c r="C208" s="463">
        <v>27</v>
      </c>
      <c r="D208" s="313" t="s">
        <v>924</v>
      </c>
      <c r="E208" s="464">
        <v>18</v>
      </c>
      <c r="F208" s="464">
        <v>1440</v>
      </c>
      <c r="G208" s="464">
        <v>80</v>
      </c>
      <c r="H208" s="547"/>
      <c r="I208" s="464">
        <f t="shared" si="53"/>
        <v>18</v>
      </c>
      <c r="J208" s="464">
        <f t="shared" si="53"/>
        <v>1259.3750000000045</v>
      </c>
      <c r="K208" s="465">
        <f t="shared" si="53"/>
        <v>69.965277777778027</v>
      </c>
      <c r="L208" s="547"/>
      <c r="M208" s="464">
        <f>RANK(K208, K$182:$K$211)</f>
        <v>21</v>
      </c>
      <c r="N208" s="544"/>
      <c r="O208" s="544"/>
      <c r="P208" s="463">
        <v>18</v>
      </c>
      <c r="Q208" s="464">
        <v>1292.5000000000045</v>
      </c>
      <c r="R208" s="464">
        <v>71.805555555555813</v>
      </c>
      <c r="S208" s="463">
        <f t="shared" si="46"/>
        <v>18</v>
      </c>
      <c r="T208" s="536"/>
      <c r="U208" s="463">
        <v>18</v>
      </c>
      <c r="V208" s="464">
        <v>1226.2500000000043</v>
      </c>
      <c r="W208" s="464">
        <v>68.125000000000242</v>
      </c>
      <c r="X208" s="463">
        <f t="shared" si="47"/>
        <v>21</v>
      </c>
      <c r="Y208" s="536"/>
      <c r="Z208" s="318"/>
      <c r="AA208" s="319"/>
      <c r="AB208" s="319"/>
      <c r="AC208" s="304" t="e">
        <f t="shared" si="48"/>
        <v>#N/A</v>
      </c>
      <c r="AD208" s="534"/>
      <c r="AE208" s="318"/>
      <c r="AF208" s="319"/>
      <c r="AG208" s="319"/>
      <c r="AH208" s="304" t="e">
        <f t="shared" si="49"/>
        <v>#N/A</v>
      </c>
      <c r="AI208" s="534"/>
      <c r="AJ208" s="318"/>
      <c r="AK208" s="319"/>
      <c r="AL208" s="319"/>
      <c r="AM208" s="304" t="e">
        <f t="shared" si="50"/>
        <v>#N/A</v>
      </c>
      <c r="AN208" s="534"/>
      <c r="AO208" s="318"/>
      <c r="AP208" s="319"/>
      <c r="AQ208" s="319"/>
      <c r="AR208" s="304" t="e">
        <f t="shared" si="51"/>
        <v>#N/A</v>
      </c>
      <c r="AS208" s="534"/>
      <c r="AT208" s="318"/>
      <c r="AU208" s="319"/>
      <c r="AV208" s="319"/>
      <c r="AW208" s="304" t="e">
        <f t="shared" si="52"/>
        <v>#N/A</v>
      </c>
      <c r="AX208" s="534"/>
    </row>
    <row r="209" spans="2:50">
      <c r="B209" s="565"/>
      <c r="C209" s="463">
        <v>28</v>
      </c>
      <c r="D209" s="466" t="s">
        <v>718</v>
      </c>
      <c r="E209" s="464">
        <v>17</v>
      </c>
      <c r="F209" s="464">
        <v>1440</v>
      </c>
      <c r="G209" s="464">
        <v>84.7</v>
      </c>
      <c r="H209" s="547"/>
      <c r="I209" s="464">
        <f t="shared" si="53"/>
        <v>17</v>
      </c>
      <c r="J209" s="464">
        <f t="shared" si="53"/>
        <v>1347.9937521693846</v>
      </c>
      <c r="K209" s="465">
        <f t="shared" si="53"/>
        <v>79.293750127610849</v>
      </c>
      <c r="L209" s="547"/>
      <c r="M209" s="464">
        <f>RANK(K209, K$182:$K$211)</f>
        <v>8</v>
      </c>
      <c r="N209" s="544"/>
      <c r="O209" s="544"/>
      <c r="P209" s="463">
        <v>17</v>
      </c>
      <c r="Q209" s="464">
        <v>1375.5223880596998</v>
      </c>
      <c r="R209" s="464">
        <v>80.913081650570575</v>
      </c>
      <c r="S209" s="463">
        <f t="shared" si="46"/>
        <v>8</v>
      </c>
      <c r="T209" s="536"/>
      <c r="U209" s="463">
        <v>17</v>
      </c>
      <c r="V209" s="464">
        <v>1320.4651162790694</v>
      </c>
      <c r="W209" s="464">
        <v>77.674418604651137</v>
      </c>
      <c r="X209" s="463">
        <f t="shared" si="47"/>
        <v>9</v>
      </c>
      <c r="Y209" s="536"/>
      <c r="Z209" s="304"/>
      <c r="AA209" s="307"/>
      <c r="AB209" s="307"/>
      <c r="AC209" s="304" t="e">
        <f t="shared" si="48"/>
        <v>#N/A</v>
      </c>
      <c r="AD209" s="534"/>
      <c r="AE209" s="304"/>
      <c r="AF209" s="307"/>
      <c r="AG209" s="307"/>
      <c r="AH209" s="304" t="e">
        <f t="shared" si="49"/>
        <v>#N/A</v>
      </c>
      <c r="AI209" s="534"/>
      <c r="AJ209" s="304"/>
      <c r="AK209" s="307"/>
      <c r="AL209" s="307"/>
      <c r="AM209" s="304" t="e">
        <f t="shared" si="50"/>
        <v>#N/A</v>
      </c>
      <c r="AN209" s="534"/>
      <c r="AO209" s="304"/>
      <c r="AP209" s="304"/>
      <c r="AQ209" s="304"/>
      <c r="AR209" s="304" t="e">
        <f t="shared" si="51"/>
        <v>#N/A</v>
      </c>
      <c r="AS209" s="534"/>
      <c r="AT209" s="304"/>
      <c r="AU209" s="307"/>
      <c r="AV209" s="307"/>
      <c r="AW209" s="304" t="e">
        <f t="shared" si="52"/>
        <v>#N/A</v>
      </c>
      <c r="AX209" s="534"/>
    </row>
    <row r="210" spans="2:50">
      <c r="B210" s="565"/>
      <c r="C210" s="463">
        <v>29</v>
      </c>
      <c r="D210" s="467"/>
      <c r="E210" s="464" t="str">
        <f>IFERROR(VLOOKUP($D210,[3]ST總表!$B$3:$F$999,2,0),"")</f>
        <v/>
      </c>
      <c r="F210" s="464" t="str">
        <f>IFERROR(VLOOKUP($D210,[3]ST總表!$B$3:$F$999,3,0),"")</f>
        <v/>
      </c>
      <c r="G210" s="464" t="str">
        <f>IFERROR(VLOOKUP($D210,[3]ST總表!$B$3:$F$999,4,0),"")</f>
        <v/>
      </c>
      <c r="H210" s="547"/>
      <c r="I210" s="463"/>
      <c r="J210" s="463"/>
      <c r="K210" s="463"/>
      <c r="L210" s="547"/>
      <c r="M210" s="464" t="e">
        <f>RANK(K210, K$182:$K$211)</f>
        <v>#N/A</v>
      </c>
      <c r="N210" s="544"/>
      <c r="O210" s="544"/>
      <c r="P210" s="463"/>
      <c r="Q210" s="464"/>
      <c r="R210" s="464"/>
      <c r="S210" s="463" t="e">
        <f t="shared" si="46"/>
        <v>#N/A</v>
      </c>
      <c r="T210" s="536"/>
      <c r="U210" s="463"/>
      <c r="V210" s="464"/>
      <c r="W210" s="464"/>
      <c r="X210" s="463" t="e">
        <f t="shared" si="47"/>
        <v>#N/A</v>
      </c>
      <c r="Y210" s="536"/>
      <c r="Z210" s="304"/>
      <c r="AA210" s="304"/>
      <c r="AB210" s="304"/>
      <c r="AC210" s="304" t="e">
        <f t="shared" si="48"/>
        <v>#N/A</v>
      </c>
      <c r="AD210" s="534"/>
      <c r="AE210" s="304"/>
      <c r="AF210" s="304"/>
      <c r="AG210" s="304"/>
      <c r="AH210" s="304" t="e">
        <f t="shared" si="49"/>
        <v>#N/A</v>
      </c>
      <c r="AI210" s="534"/>
      <c r="AJ210" s="304"/>
      <c r="AK210" s="304"/>
      <c r="AL210" s="304"/>
      <c r="AM210" s="304" t="e">
        <f t="shared" si="50"/>
        <v>#N/A</v>
      </c>
      <c r="AN210" s="534"/>
      <c r="AO210" s="304"/>
      <c r="AP210" s="304"/>
      <c r="AQ210" s="304"/>
      <c r="AR210" s="304" t="e">
        <f t="shared" si="51"/>
        <v>#N/A</v>
      </c>
      <c r="AS210" s="534"/>
      <c r="AT210" s="304"/>
      <c r="AU210" s="304"/>
      <c r="AV210" s="304"/>
      <c r="AW210" s="304" t="e">
        <f t="shared" si="52"/>
        <v>#N/A</v>
      </c>
      <c r="AX210" s="534"/>
    </row>
    <row r="211" spans="2:50">
      <c r="B211" s="565"/>
      <c r="C211" s="463">
        <v>30</v>
      </c>
      <c r="D211" s="467"/>
      <c r="E211" s="464" t="str">
        <f>IFERROR(VLOOKUP($D211,[3]ST總表!$B$3:$F$999,2,0),"")</f>
        <v/>
      </c>
      <c r="F211" s="464" t="str">
        <f>IFERROR(VLOOKUP($D211,[3]ST總表!$B$3:$F$999,3,0),"")</f>
        <v/>
      </c>
      <c r="G211" s="464" t="str">
        <f>IFERROR(VLOOKUP($D211,[3]ST總表!$B$3:$F$999,4,0),"")</f>
        <v/>
      </c>
      <c r="H211" s="606"/>
      <c r="I211" s="463"/>
      <c r="J211" s="463"/>
      <c r="K211" s="463"/>
      <c r="L211" s="606"/>
      <c r="M211" s="464" t="e">
        <f>RANK(K211, K$182:$K$211)</f>
        <v>#N/A</v>
      </c>
      <c r="N211" s="544"/>
      <c r="O211" s="544"/>
      <c r="P211" s="463"/>
      <c r="Q211" s="464"/>
      <c r="R211" s="464"/>
      <c r="S211" s="463" t="e">
        <f t="shared" si="46"/>
        <v>#N/A</v>
      </c>
      <c r="T211" s="536"/>
      <c r="U211" s="463"/>
      <c r="V211" s="464"/>
      <c r="W211" s="464"/>
      <c r="X211" s="463" t="e">
        <f t="shared" si="47"/>
        <v>#N/A</v>
      </c>
      <c r="Y211" s="536"/>
      <c r="Z211" s="304"/>
      <c r="AA211" s="304"/>
      <c r="AB211" s="304"/>
      <c r="AC211" s="304" t="e">
        <f t="shared" si="48"/>
        <v>#N/A</v>
      </c>
      <c r="AD211" s="534"/>
      <c r="AE211" s="304"/>
      <c r="AF211" s="304"/>
      <c r="AG211" s="304"/>
      <c r="AH211" s="304" t="e">
        <f t="shared" si="49"/>
        <v>#N/A</v>
      </c>
      <c r="AI211" s="534"/>
      <c r="AJ211" s="304"/>
      <c r="AK211" s="304"/>
      <c r="AL211" s="304"/>
      <c r="AM211" s="304" t="e">
        <f t="shared" si="50"/>
        <v>#N/A</v>
      </c>
      <c r="AN211" s="534"/>
      <c r="AO211" s="304"/>
      <c r="AP211" s="304"/>
      <c r="AQ211" s="304"/>
      <c r="AR211" s="304" t="e">
        <f t="shared" si="51"/>
        <v>#N/A</v>
      </c>
      <c r="AS211" s="534"/>
      <c r="AT211" s="304"/>
      <c r="AU211" s="304"/>
      <c r="AV211" s="304"/>
      <c r="AW211" s="304" t="e">
        <f t="shared" si="52"/>
        <v>#N/A</v>
      </c>
      <c r="AX211" s="534"/>
    </row>
    <row r="213" spans="2:50" ht="15.5">
      <c r="B213" s="540" t="s">
        <v>485</v>
      </c>
      <c r="C213" s="541"/>
      <c r="D213" s="541"/>
      <c r="E213" s="541"/>
      <c r="F213" s="541"/>
      <c r="G213" s="541"/>
      <c r="H213" s="542"/>
      <c r="I213" s="308"/>
      <c r="J213" s="308"/>
      <c r="K213" s="308"/>
      <c r="L213" s="308"/>
      <c r="M213" s="309"/>
    </row>
    <row r="214" spans="2:50" ht="15.5">
      <c r="B214" s="543"/>
      <c r="C214" s="543"/>
      <c r="D214" s="543"/>
      <c r="E214" s="543"/>
      <c r="F214" s="543"/>
      <c r="G214" s="543"/>
      <c r="H214" s="543"/>
      <c r="I214" s="310"/>
      <c r="J214" s="310"/>
      <c r="K214" s="310"/>
      <c r="L214" s="310"/>
      <c r="M214" s="311"/>
    </row>
    <row r="215" spans="2:50">
      <c r="B215" s="544" t="s">
        <v>486</v>
      </c>
      <c r="C215" s="544" t="s">
        <v>487</v>
      </c>
      <c r="D215" s="544"/>
      <c r="E215" s="544" t="s">
        <v>488</v>
      </c>
      <c r="F215" s="544"/>
      <c r="G215" s="544"/>
      <c r="H215" s="544" t="s">
        <v>489</v>
      </c>
      <c r="I215" s="545" t="s">
        <v>490</v>
      </c>
      <c r="J215" s="545"/>
      <c r="K215" s="545"/>
      <c r="L215" s="545" t="s">
        <v>489</v>
      </c>
      <c r="M215" s="545" t="s">
        <v>491</v>
      </c>
    </row>
    <row r="216" spans="2:50">
      <c r="B216" s="544"/>
      <c r="C216" s="544"/>
      <c r="D216" s="544"/>
      <c r="E216" s="544" t="s">
        <v>492</v>
      </c>
      <c r="F216" s="544"/>
      <c r="G216" s="544"/>
      <c r="H216" s="544"/>
      <c r="I216" s="545" t="s">
        <v>492</v>
      </c>
      <c r="J216" s="545"/>
      <c r="K216" s="545"/>
      <c r="L216" s="545"/>
      <c r="M216" s="545"/>
    </row>
    <row r="217" spans="2:50">
      <c r="B217" s="544"/>
      <c r="C217" s="544"/>
      <c r="D217" s="544"/>
      <c r="E217" s="305" t="s">
        <v>493</v>
      </c>
      <c r="F217" s="305" t="s">
        <v>494</v>
      </c>
      <c r="G217" s="305" t="s">
        <v>495</v>
      </c>
      <c r="H217" s="544"/>
      <c r="I217" s="312" t="s">
        <v>493</v>
      </c>
      <c r="J217" s="312" t="s">
        <v>494</v>
      </c>
      <c r="K217" s="312" t="s">
        <v>495</v>
      </c>
      <c r="L217" s="545"/>
      <c r="M217" s="545"/>
    </row>
    <row r="218" spans="2:50">
      <c r="B218" s="544" t="s">
        <v>134</v>
      </c>
      <c r="C218" s="304">
        <v>1</v>
      </c>
      <c r="D218" s="304" t="s">
        <v>374</v>
      </c>
      <c r="E218" s="182">
        <v>6</v>
      </c>
      <c r="F218" s="304">
        <v>1600</v>
      </c>
      <c r="G218" s="307">
        <v>266.66666666666669</v>
      </c>
      <c r="H218" s="534">
        <f>AVERAGE(G218:G247)</f>
        <v>98.811670602789007</v>
      </c>
      <c r="I218" s="199">
        <f t="shared" ref="I218:J242" si="54">AVERAGEIF($D$7:$D$211,$D218,I$7:I$211)</f>
        <v>6</v>
      </c>
      <c r="J218" s="199">
        <f t="shared" si="54"/>
        <v>1451.7457984440068</v>
      </c>
      <c r="K218" s="468">
        <f t="shared" ref="K218:K243" si="55">AVERAGEIF($D$7:$D$211,$D218,K$7:K$211)</f>
        <v>241.95763307400111</v>
      </c>
      <c r="L218" s="535">
        <f>AVERAGE(K218:K247)</f>
        <v>85.691582876659822</v>
      </c>
      <c r="M218" s="199">
        <f>RANK(K218, K$218:$K$247)</f>
        <v>1</v>
      </c>
    </row>
    <row r="219" spans="2:50">
      <c r="B219" s="533"/>
      <c r="C219" s="304">
        <v>2</v>
      </c>
      <c r="D219" s="304" t="s">
        <v>398</v>
      </c>
      <c r="E219" s="182">
        <v>6</v>
      </c>
      <c r="F219" s="304">
        <v>1500</v>
      </c>
      <c r="G219" s="307">
        <v>250</v>
      </c>
      <c r="H219" s="534"/>
      <c r="I219" s="199">
        <f t="shared" si="54"/>
        <v>6.6428571428571432</v>
      </c>
      <c r="J219" s="199">
        <f t="shared" si="54"/>
        <v>1471.4237402837844</v>
      </c>
      <c r="K219" s="468">
        <f t="shared" si="55"/>
        <v>222.82767243019154</v>
      </c>
      <c r="L219" s="535"/>
      <c r="M219" s="199">
        <f>RANK(K219, K$218:$K$247)</f>
        <v>2</v>
      </c>
    </row>
    <row r="220" spans="2:50">
      <c r="B220" s="533"/>
      <c r="C220" s="304">
        <v>3</v>
      </c>
      <c r="D220" s="470" t="s">
        <v>375</v>
      </c>
      <c r="E220" s="182">
        <v>17</v>
      </c>
      <c r="F220" s="304">
        <v>1500</v>
      </c>
      <c r="G220" s="307">
        <v>88.235294117647058</v>
      </c>
      <c r="H220" s="534"/>
      <c r="I220" s="199">
        <f t="shared" si="54"/>
        <v>17.047619047619047</v>
      </c>
      <c r="J220" s="199">
        <f t="shared" si="54"/>
        <v>1301.2440818871207</v>
      </c>
      <c r="K220" s="468">
        <f t="shared" si="55"/>
        <v>76.346385305927186</v>
      </c>
      <c r="L220" s="535"/>
      <c r="M220" s="199">
        <f>RANK(K220, K$218:$K$247)</f>
        <v>11</v>
      </c>
    </row>
    <row r="221" spans="2:50">
      <c r="B221" s="533"/>
      <c r="C221" s="304">
        <v>4</v>
      </c>
      <c r="D221" s="475" t="s">
        <v>981</v>
      </c>
      <c r="E221" s="182">
        <v>19</v>
      </c>
      <c r="F221" s="304">
        <v>1500</v>
      </c>
      <c r="G221" s="307">
        <v>78.94736842105263</v>
      </c>
      <c r="H221" s="534"/>
      <c r="I221" s="199">
        <f t="shared" si="54"/>
        <v>20.095238095238095</v>
      </c>
      <c r="J221" s="199">
        <f t="shared" si="54"/>
        <v>1297.3989058025093</v>
      </c>
      <c r="K221" s="468">
        <f t="shared" si="55"/>
        <v>64.606203162893948</v>
      </c>
      <c r="L221" s="535"/>
      <c r="M221" s="199">
        <f>RANK(K221, K$218:$K$247)</f>
        <v>24</v>
      </c>
    </row>
    <row r="222" spans="2:50">
      <c r="B222" s="533"/>
      <c r="C222" s="304">
        <v>5</v>
      </c>
      <c r="D222" s="470" t="s">
        <v>353</v>
      </c>
      <c r="E222" s="182">
        <v>16</v>
      </c>
      <c r="F222" s="304">
        <v>1500</v>
      </c>
      <c r="G222" s="307">
        <v>93.75</v>
      </c>
      <c r="H222" s="534"/>
      <c r="I222" s="199">
        <f t="shared" si="54"/>
        <v>16.023809523809522</v>
      </c>
      <c r="J222" s="199">
        <f t="shared" si="54"/>
        <v>1315.4618226856367</v>
      </c>
      <c r="K222" s="468">
        <f t="shared" si="55"/>
        <v>82.10242548533644</v>
      </c>
      <c r="L222" s="535"/>
      <c r="M222" s="199">
        <f>RANK(K222, K$218:$K$247)</f>
        <v>4</v>
      </c>
    </row>
    <row r="223" spans="2:50">
      <c r="B223" s="533"/>
      <c r="C223" s="304">
        <v>6</v>
      </c>
      <c r="D223" s="471" t="s">
        <v>980</v>
      </c>
      <c r="E223" s="182">
        <v>16</v>
      </c>
      <c r="F223" s="304">
        <v>1565</v>
      </c>
      <c r="G223" s="307">
        <v>97.8125</v>
      </c>
      <c r="H223" s="534"/>
      <c r="I223" s="199">
        <f t="shared" si="54"/>
        <v>15.261904761904761</v>
      </c>
      <c r="J223" s="199">
        <f t="shared" si="54"/>
        <v>1370.8273915334939</v>
      </c>
      <c r="K223" s="468">
        <f t="shared" si="55"/>
        <v>89.913688113612821</v>
      </c>
      <c r="L223" s="535"/>
      <c r="M223" s="199">
        <f>RANK(K223, K$218:$K$247)</f>
        <v>3</v>
      </c>
    </row>
    <row r="224" spans="2:50">
      <c r="B224" s="533"/>
      <c r="C224" s="304">
        <v>7</v>
      </c>
      <c r="D224" s="475" t="s">
        <v>903</v>
      </c>
      <c r="E224" s="182">
        <v>16</v>
      </c>
      <c r="F224" s="304">
        <v>1440</v>
      </c>
      <c r="G224" s="307">
        <v>90</v>
      </c>
      <c r="H224" s="534"/>
      <c r="I224" s="199">
        <f t="shared" si="54"/>
        <v>15.166666666666666</v>
      </c>
      <c r="J224" s="199">
        <f t="shared" si="54"/>
        <v>1204.684416888741</v>
      </c>
      <c r="K224" s="468">
        <f t="shared" si="55"/>
        <v>79.521785199990134</v>
      </c>
      <c r="L224" s="535"/>
      <c r="M224" s="199">
        <f>RANK(K224, K$218:$K$247)</f>
        <v>7</v>
      </c>
    </row>
    <row r="225" spans="2:13">
      <c r="B225" s="533"/>
      <c r="C225" s="304">
        <v>8</v>
      </c>
      <c r="D225" s="474" t="s">
        <v>381</v>
      </c>
      <c r="E225" s="182">
        <v>17</v>
      </c>
      <c r="F225" s="304">
        <v>1440</v>
      </c>
      <c r="G225" s="307">
        <v>84.705882352941174</v>
      </c>
      <c r="H225" s="534"/>
      <c r="I225" s="199">
        <f t="shared" si="54"/>
        <v>16.428571428571427</v>
      </c>
      <c r="J225" s="199">
        <f t="shared" si="54"/>
        <v>1253.7218209911568</v>
      </c>
      <c r="K225" s="468">
        <f t="shared" si="55"/>
        <v>76.425320605734441</v>
      </c>
      <c r="L225" s="535"/>
      <c r="M225" s="199">
        <f>RANK(K225, K$218:$K$247)</f>
        <v>10</v>
      </c>
    </row>
    <row r="226" spans="2:13">
      <c r="B226" s="533"/>
      <c r="C226" s="304">
        <v>9</v>
      </c>
      <c r="D226" s="476" t="s">
        <v>1014</v>
      </c>
      <c r="E226" s="182">
        <v>18</v>
      </c>
      <c r="F226" s="304">
        <v>1440</v>
      </c>
      <c r="G226" s="307">
        <v>80</v>
      </c>
      <c r="H226" s="534"/>
      <c r="I226" s="199">
        <f t="shared" si="54"/>
        <v>17.857142857142858</v>
      </c>
      <c r="J226" s="199">
        <f t="shared" si="54"/>
        <v>1184.2599111723664</v>
      </c>
      <c r="K226" s="468">
        <f t="shared" si="55"/>
        <v>66.342466875707416</v>
      </c>
      <c r="L226" s="535"/>
      <c r="M226" s="199">
        <f>RANK(K226, K$218:$K$247)</f>
        <v>23</v>
      </c>
    </row>
    <row r="227" spans="2:13">
      <c r="B227" s="533"/>
      <c r="C227" s="304">
        <v>10</v>
      </c>
      <c r="D227" s="472" t="s">
        <v>380</v>
      </c>
      <c r="E227" s="182">
        <v>19</v>
      </c>
      <c r="F227" s="304">
        <v>1636</v>
      </c>
      <c r="G227" s="307">
        <v>86.10526315789474</v>
      </c>
      <c r="H227" s="534"/>
      <c r="I227" s="199">
        <f t="shared" si="54"/>
        <v>18</v>
      </c>
      <c r="J227" s="199">
        <f t="shared" si="54"/>
        <v>1274.0507110251656</v>
      </c>
      <c r="K227" s="468">
        <f t="shared" si="55"/>
        <v>70.780595056953644</v>
      </c>
      <c r="L227" s="535"/>
      <c r="M227" s="199">
        <f>RANK(K227, K$218:$K$247)</f>
        <v>21</v>
      </c>
    </row>
    <row r="228" spans="2:13">
      <c r="B228" s="533"/>
      <c r="C228" s="304">
        <v>11</v>
      </c>
      <c r="D228" s="472" t="s">
        <v>379</v>
      </c>
      <c r="E228" s="182">
        <v>19</v>
      </c>
      <c r="F228" s="304">
        <v>1636</v>
      </c>
      <c r="G228" s="307">
        <v>86.10526315789474</v>
      </c>
      <c r="H228" s="534"/>
      <c r="I228" s="199">
        <f t="shared" si="54"/>
        <v>18</v>
      </c>
      <c r="J228" s="199">
        <f t="shared" si="54"/>
        <v>1276.9500493353219</v>
      </c>
      <c r="K228" s="468">
        <f t="shared" si="55"/>
        <v>70.941669407517892</v>
      </c>
      <c r="L228" s="535"/>
      <c r="M228" s="199">
        <f>RANK(K228, K$218:$K$247)</f>
        <v>20</v>
      </c>
    </row>
    <row r="229" spans="2:13">
      <c r="B229" s="533"/>
      <c r="C229" s="304">
        <v>12</v>
      </c>
      <c r="D229" s="470" t="s">
        <v>383</v>
      </c>
      <c r="E229" s="182">
        <v>17</v>
      </c>
      <c r="F229" s="304">
        <v>1500</v>
      </c>
      <c r="G229" s="307">
        <v>88.235294117647058</v>
      </c>
      <c r="H229" s="534"/>
      <c r="I229" s="199">
        <f t="shared" si="54"/>
        <v>16.5</v>
      </c>
      <c r="J229" s="199">
        <f t="shared" si="54"/>
        <v>1280.0855623856119</v>
      </c>
      <c r="K229" s="468">
        <f t="shared" si="55"/>
        <v>77.617629048146853</v>
      </c>
      <c r="L229" s="535"/>
      <c r="M229" s="199">
        <f>RANK(K229, K$218:$K$247)</f>
        <v>9</v>
      </c>
    </row>
    <row r="230" spans="2:13">
      <c r="B230" s="533"/>
      <c r="C230" s="304">
        <v>13</v>
      </c>
      <c r="D230" s="470" t="s">
        <v>356</v>
      </c>
      <c r="E230" s="182">
        <v>17</v>
      </c>
      <c r="F230" s="304">
        <v>1500</v>
      </c>
      <c r="G230" s="307">
        <v>88.235294117647058</v>
      </c>
      <c r="H230" s="534"/>
      <c r="I230" s="199">
        <f t="shared" si="54"/>
        <v>17.44047619047619</v>
      </c>
      <c r="J230" s="199">
        <f t="shared" si="54"/>
        <v>1290.0546379013804</v>
      </c>
      <c r="K230" s="468">
        <f t="shared" si="55"/>
        <v>74.021866511055819</v>
      </c>
      <c r="L230" s="535"/>
      <c r="M230" s="199">
        <f>RANK(K230, K$218:$K$247)</f>
        <v>14</v>
      </c>
    </row>
    <row r="231" spans="2:13">
      <c r="B231" s="533"/>
      <c r="C231" s="304">
        <v>14</v>
      </c>
      <c r="D231" s="471" t="s">
        <v>1012</v>
      </c>
      <c r="E231" s="182">
        <v>17</v>
      </c>
      <c r="F231" s="304">
        <v>1440</v>
      </c>
      <c r="G231" s="307">
        <v>84.705882352941174</v>
      </c>
      <c r="H231" s="534"/>
      <c r="I231" s="199">
        <f t="shared" si="54"/>
        <v>18.130952380952383</v>
      </c>
      <c r="J231" s="199">
        <f t="shared" si="54"/>
        <v>1329.4332020495801</v>
      </c>
      <c r="K231" s="468">
        <f t="shared" si="55"/>
        <v>73.40936074517623</v>
      </c>
      <c r="L231" s="535"/>
      <c r="M231" s="199">
        <f>RANK(K231, K$218:$K$247)</f>
        <v>15</v>
      </c>
    </row>
    <row r="232" spans="2:13">
      <c r="B232" s="533"/>
      <c r="C232" s="304">
        <v>15</v>
      </c>
      <c r="D232" s="470" t="s">
        <v>384</v>
      </c>
      <c r="E232" s="182">
        <v>15</v>
      </c>
      <c r="F232" s="304">
        <v>1440</v>
      </c>
      <c r="G232" s="307">
        <v>96</v>
      </c>
      <c r="H232" s="534"/>
      <c r="I232" s="199">
        <f t="shared" si="54"/>
        <v>15.880952380952381</v>
      </c>
      <c r="J232" s="199">
        <f t="shared" si="54"/>
        <v>1277.4707227528179</v>
      </c>
      <c r="K232" s="468">
        <f t="shared" si="55"/>
        <v>80.476369918860314</v>
      </c>
      <c r="L232" s="535"/>
      <c r="M232" s="199">
        <f>RANK(K232, K$218:$K$247)</f>
        <v>5</v>
      </c>
    </row>
    <row r="233" spans="2:13">
      <c r="B233" s="533"/>
      <c r="C233" s="304">
        <v>16</v>
      </c>
      <c r="D233" s="470" t="s">
        <v>345</v>
      </c>
      <c r="E233" s="182">
        <v>16</v>
      </c>
      <c r="F233" s="304">
        <v>1440</v>
      </c>
      <c r="G233" s="307">
        <v>90</v>
      </c>
      <c r="H233" s="534"/>
      <c r="I233" s="199">
        <f t="shared" si="54"/>
        <v>16.666666666666668</v>
      </c>
      <c r="J233" s="199">
        <f t="shared" si="54"/>
        <v>1326.0765857214449</v>
      </c>
      <c r="K233" s="468">
        <f t="shared" si="55"/>
        <v>79.625654444557838</v>
      </c>
      <c r="L233" s="535"/>
      <c r="M233" s="199">
        <f>RANK(K233, K$218:$K$247)</f>
        <v>6</v>
      </c>
    </row>
    <row r="234" spans="2:13">
      <c r="B234" s="533"/>
      <c r="C234" s="304">
        <v>17</v>
      </c>
      <c r="D234" s="473" t="s">
        <v>1015</v>
      </c>
      <c r="E234" s="182">
        <v>17</v>
      </c>
      <c r="F234" s="304">
        <v>1636</v>
      </c>
      <c r="G234" s="307">
        <v>96.235294117647058</v>
      </c>
      <c r="H234" s="534"/>
      <c r="I234" s="199">
        <f t="shared" si="54"/>
        <v>17</v>
      </c>
      <c r="J234" s="199">
        <f t="shared" si="54"/>
        <v>1240.1804536160657</v>
      </c>
      <c r="K234" s="468">
        <f t="shared" si="55"/>
        <v>72.951791389180315</v>
      </c>
      <c r="L234" s="535"/>
      <c r="M234" s="199">
        <f>RANK(K234, K$218:$K$247)</f>
        <v>16</v>
      </c>
    </row>
    <row r="235" spans="2:13">
      <c r="B235" s="533"/>
      <c r="C235" s="304">
        <v>18</v>
      </c>
      <c r="D235" s="473" t="s">
        <v>1016</v>
      </c>
      <c r="E235" s="182">
        <v>18</v>
      </c>
      <c r="F235" s="304">
        <v>1440</v>
      </c>
      <c r="G235" s="307">
        <v>80</v>
      </c>
      <c r="H235" s="534"/>
      <c r="I235" s="199">
        <f t="shared" si="54"/>
        <v>17.214285714285712</v>
      </c>
      <c r="J235" s="199">
        <f t="shared" si="54"/>
        <v>1285.467493322567</v>
      </c>
      <c r="K235" s="468">
        <f t="shared" si="55"/>
        <v>74.713105142528647</v>
      </c>
      <c r="L235" s="535"/>
      <c r="M235" s="199">
        <f>RANK(K235, K$218:$K$247)</f>
        <v>13</v>
      </c>
    </row>
    <row r="236" spans="2:13">
      <c r="B236" s="533"/>
      <c r="C236" s="304">
        <v>19</v>
      </c>
      <c r="D236" s="475" t="s">
        <v>1019</v>
      </c>
      <c r="E236" s="182">
        <v>18</v>
      </c>
      <c r="F236" s="304">
        <v>1500</v>
      </c>
      <c r="G236" s="307">
        <v>83.333333333333329</v>
      </c>
      <c r="H236" s="534"/>
      <c r="I236" s="199">
        <f t="shared" si="54"/>
        <v>18</v>
      </c>
      <c r="J236" s="199">
        <f t="shared" si="54"/>
        <v>1109.3823529411779</v>
      </c>
      <c r="K236" s="468">
        <f t="shared" si="55"/>
        <v>61.632352941176549</v>
      </c>
      <c r="L236" s="535"/>
      <c r="M236" s="199">
        <f>RANK(K236, K$218:$K$247)</f>
        <v>25</v>
      </c>
    </row>
    <row r="237" spans="2:13">
      <c r="B237" s="533"/>
      <c r="C237" s="304">
        <v>20</v>
      </c>
      <c r="D237" s="471" t="s">
        <v>1011</v>
      </c>
      <c r="E237" s="182">
        <v>18</v>
      </c>
      <c r="F237" s="304">
        <v>1500</v>
      </c>
      <c r="G237" s="307">
        <v>83.333333333333329</v>
      </c>
      <c r="H237" s="534"/>
      <c r="I237" s="199">
        <f t="shared" si="54"/>
        <v>18</v>
      </c>
      <c r="J237" s="199">
        <f t="shared" si="54"/>
        <v>1282.961968323925</v>
      </c>
      <c r="K237" s="468">
        <f t="shared" si="55"/>
        <v>71.275664906884714</v>
      </c>
      <c r="L237" s="535"/>
      <c r="M237" s="199">
        <f>RANK(K237, K$218:$K$247)</f>
        <v>18</v>
      </c>
    </row>
    <row r="238" spans="2:13">
      <c r="B238" s="533"/>
      <c r="C238" s="304">
        <v>21</v>
      </c>
      <c r="D238" s="473" t="s">
        <v>1017</v>
      </c>
      <c r="E238" s="182">
        <v>17</v>
      </c>
      <c r="F238" s="304">
        <v>1440</v>
      </c>
      <c r="G238" s="307">
        <v>84.705882352941174</v>
      </c>
      <c r="H238" s="534"/>
      <c r="I238" s="199">
        <f t="shared" si="54"/>
        <v>17</v>
      </c>
      <c r="J238" s="199">
        <f t="shared" si="54"/>
        <v>1209.4799000252563</v>
      </c>
      <c r="K238" s="468">
        <f t="shared" si="55"/>
        <v>71.145876472073908</v>
      </c>
      <c r="L238" s="535"/>
      <c r="M238" s="199">
        <f>RANK(K238, K$218:$K$247)</f>
        <v>19</v>
      </c>
    </row>
    <row r="239" spans="2:13">
      <c r="B239" s="533"/>
      <c r="C239" s="304">
        <v>22</v>
      </c>
      <c r="D239" s="473" t="s">
        <v>1018</v>
      </c>
      <c r="E239" s="182">
        <v>18</v>
      </c>
      <c r="F239" s="304">
        <v>1385</v>
      </c>
      <c r="G239" s="307">
        <v>76.944444444444443</v>
      </c>
      <c r="H239" s="534"/>
      <c r="I239" s="199">
        <f t="shared" si="54"/>
        <v>17.404761904761902</v>
      </c>
      <c r="J239" s="199">
        <f t="shared" si="54"/>
        <v>1198.5577809077288</v>
      </c>
      <c r="K239" s="468">
        <f t="shared" si="55"/>
        <v>68.915469427870789</v>
      </c>
      <c r="L239" s="535"/>
      <c r="M239" s="199">
        <f>RANK(K239, K$218:$K$247)</f>
        <v>22</v>
      </c>
    </row>
    <row r="240" spans="2:13">
      <c r="B240" s="533"/>
      <c r="C240" s="304">
        <v>23</v>
      </c>
      <c r="D240" s="471" t="s">
        <v>1013</v>
      </c>
      <c r="E240" s="182">
        <v>17</v>
      </c>
      <c r="F240" s="304">
        <v>1440</v>
      </c>
      <c r="G240" s="307">
        <v>84.705882352941174</v>
      </c>
      <c r="H240" s="534"/>
      <c r="I240" s="199">
        <f t="shared" si="54"/>
        <v>17.833333333333332</v>
      </c>
      <c r="J240" s="199">
        <f t="shared" si="54"/>
        <v>1275.6046017654778</v>
      </c>
      <c r="K240" s="468">
        <f t="shared" si="55"/>
        <v>71.547398811976265</v>
      </c>
      <c r="L240" s="535"/>
      <c r="M240" s="199">
        <f>RANK(K240, K$218:$K$247)</f>
        <v>17</v>
      </c>
    </row>
    <row r="241" spans="2:13">
      <c r="B241" s="533"/>
      <c r="C241" s="304">
        <v>24</v>
      </c>
      <c r="D241" s="470" t="s">
        <v>607</v>
      </c>
      <c r="E241" s="182">
        <v>19</v>
      </c>
      <c r="F241" s="304">
        <v>1500</v>
      </c>
      <c r="G241" s="307">
        <v>78.94736842105263</v>
      </c>
      <c r="H241" s="534"/>
      <c r="I241" s="199">
        <f t="shared" si="54"/>
        <v>16.5</v>
      </c>
      <c r="J241" s="199">
        <f t="shared" si="54"/>
        <v>1288.0979261061896</v>
      </c>
      <c r="K241" s="468">
        <f t="shared" si="55"/>
        <v>78.565337257863689</v>
      </c>
      <c r="L241" s="535"/>
      <c r="M241" s="199">
        <f>RANK(K241, K$218:$K$247)</f>
        <v>8</v>
      </c>
    </row>
    <row r="242" spans="2:13">
      <c r="B242" s="533"/>
      <c r="C242" s="304">
        <v>25</v>
      </c>
      <c r="D242" s="470" t="s">
        <v>620</v>
      </c>
      <c r="E242" s="182">
        <v>17</v>
      </c>
      <c r="F242" s="304">
        <v>1500</v>
      </c>
      <c r="G242" s="307">
        <v>88.235294117647058</v>
      </c>
      <c r="H242" s="534"/>
      <c r="I242" s="401">
        <f t="shared" si="54"/>
        <v>16.166666666666668</v>
      </c>
      <c r="J242" s="401">
        <f t="shared" si="54"/>
        <v>1220.4443316630416</v>
      </c>
      <c r="K242" s="468">
        <f t="shared" si="55"/>
        <v>75.486410434822446</v>
      </c>
      <c r="L242" s="535"/>
      <c r="M242" s="199">
        <f>RANK(K242, K$218:$K$247)</f>
        <v>12</v>
      </c>
    </row>
    <row r="243" spans="2:13">
      <c r="B243" s="533"/>
      <c r="C243" s="304">
        <v>26</v>
      </c>
      <c r="D243" s="473" t="s">
        <v>920</v>
      </c>
      <c r="E243" s="182">
        <v>19</v>
      </c>
      <c r="F243" s="304">
        <v>1200</v>
      </c>
      <c r="G243" s="307">
        <v>63.157894736842103</v>
      </c>
      <c r="H243" s="534"/>
      <c r="I243" s="401">
        <f t="shared" ref="I243:J243" si="56">AVERAGEIF($D$7:$D$211,$D243,I$7:I$211)</f>
        <v>19.942857142857143</v>
      </c>
      <c r="J243" s="401">
        <f t="shared" si="56"/>
        <v>1093.3141899857451</v>
      </c>
      <c r="K243" s="468">
        <f t="shared" si="55"/>
        <v>54.831022623114315</v>
      </c>
      <c r="L243" s="535"/>
      <c r="M243" s="199">
        <f>RANK(K243, K$218:$K$247)</f>
        <v>26</v>
      </c>
    </row>
    <row r="244" spans="2:13">
      <c r="B244" s="533"/>
      <c r="C244" s="304">
        <v>27</v>
      </c>
      <c r="D244" s="304"/>
      <c r="E244" s="182"/>
      <c r="F244" s="304"/>
      <c r="G244" s="307"/>
      <c r="H244" s="534"/>
      <c r="I244" s="199"/>
      <c r="J244" s="199"/>
      <c r="K244" s="199"/>
      <c r="L244" s="535"/>
      <c r="M244" s="199" t="e">
        <f>RANK(K244, K$218:$K$247)</f>
        <v>#N/A</v>
      </c>
    </row>
    <row r="245" spans="2:13">
      <c r="B245" s="533"/>
      <c r="C245" s="304">
        <v>28</v>
      </c>
      <c r="D245" s="304"/>
      <c r="E245" s="182"/>
      <c r="F245" s="304"/>
      <c r="G245" s="307"/>
      <c r="H245" s="534"/>
      <c r="I245" s="199"/>
      <c r="J245" s="199"/>
      <c r="K245" s="199"/>
      <c r="L245" s="535"/>
      <c r="M245" s="199" t="e">
        <f>RANK(K245, K$218:$K$247)</f>
        <v>#N/A</v>
      </c>
    </row>
    <row r="246" spans="2:13">
      <c r="B246" s="533"/>
      <c r="C246" s="304">
        <v>29</v>
      </c>
      <c r="D246" s="304"/>
      <c r="E246" s="182"/>
      <c r="F246" s="304"/>
      <c r="G246" s="307"/>
      <c r="H246" s="534"/>
      <c r="I246" s="199"/>
      <c r="J246" s="199"/>
      <c r="K246" s="199"/>
      <c r="L246" s="535"/>
      <c r="M246" s="199" t="e">
        <f>RANK(K246, K$218:$K$247)</f>
        <v>#N/A</v>
      </c>
    </row>
    <row r="247" spans="2:13">
      <c r="B247" s="533"/>
      <c r="C247" s="304">
        <v>30</v>
      </c>
      <c r="D247" s="304"/>
      <c r="E247" s="182"/>
      <c r="F247" s="304"/>
      <c r="G247" s="307"/>
      <c r="H247" s="534"/>
      <c r="I247" s="199"/>
      <c r="J247" s="199"/>
      <c r="K247" s="199"/>
      <c r="L247" s="535"/>
      <c r="M247" s="199" t="e">
        <f>RANK(K247, K$218:$K$247)</f>
        <v>#N/A</v>
      </c>
    </row>
  </sheetData>
  <mergeCells count="367">
    <mergeCell ref="B147:B176"/>
    <mergeCell ref="AS147:AS176"/>
    <mergeCell ref="AX147:AX176"/>
    <mergeCell ref="AO145:AR145"/>
    <mergeCell ref="AT145:AW145"/>
    <mergeCell ref="AO144:AR144"/>
    <mergeCell ref="AS144:AS146"/>
    <mergeCell ref="AT144:AW144"/>
    <mergeCell ref="AX144:AX146"/>
    <mergeCell ref="AJ145:AM145"/>
    <mergeCell ref="AN147:AN176"/>
    <mergeCell ref="AN144:AN146"/>
    <mergeCell ref="AJ144:AM144"/>
    <mergeCell ref="C144:D146"/>
    <mergeCell ref="E144:G144"/>
    <mergeCell ref="H144:H146"/>
    <mergeCell ref="I144:K144"/>
    <mergeCell ref="L144:L146"/>
    <mergeCell ref="AD144:AD146"/>
    <mergeCell ref="AE144:AH144"/>
    <mergeCell ref="AI144:AI146"/>
    <mergeCell ref="AE145:AH145"/>
    <mergeCell ref="Z145:AC145"/>
    <mergeCell ref="Y144:Y146"/>
    <mergeCell ref="Z144:AC144"/>
    <mergeCell ref="P144:S144"/>
    <mergeCell ref="T144:T146"/>
    <mergeCell ref="U144:X144"/>
    <mergeCell ref="E145:G145"/>
    <mergeCell ref="I145:K145"/>
    <mergeCell ref="P145:S145"/>
    <mergeCell ref="U145:X145"/>
    <mergeCell ref="M144:M146"/>
    <mergeCell ref="N144:N176"/>
    <mergeCell ref="O144:O176"/>
    <mergeCell ref="H147:H176"/>
    <mergeCell ref="L147:L176"/>
    <mergeCell ref="T147:T176"/>
    <mergeCell ref="Y147:Y176"/>
    <mergeCell ref="AX112:AX141"/>
    <mergeCell ref="B142:H143"/>
    <mergeCell ref="N142:N143"/>
    <mergeCell ref="O142:O143"/>
    <mergeCell ref="P142:T142"/>
    <mergeCell ref="U142:Y142"/>
    <mergeCell ref="Z142:AD142"/>
    <mergeCell ref="AE142:AI142"/>
    <mergeCell ref="AJ142:AN142"/>
    <mergeCell ref="AO142:AS142"/>
    <mergeCell ref="AT142:AX142"/>
    <mergeCell ref="P143:T143"/>
    <mergeCell ref="U143:Y143"/>
    <mergeCell ref="Z143:AD143"/>
    <mergeCell ref="AE143:AI143"/>
    <mergeCell ref="AJ143:AN143"/>
    <mergeCell ref="AO143:AS143"/>
    <mergeCell ref="AT143:AX143"/>
    <mergeCell ref="AO110:AR110"/>
    <mergeCell ref="AT110:AW110"/>
    <mergeCell ref="B112:B141"/>
    <mergeCell ref="H112:H141"/>
    <mergeCell ref="L112:L141"/>
    <mergeCell ref="T112:T141"/>
    <mergeCell ref="Y112:Y141"/>
    <mergeCell ref="AD112:AD141"/>
    <mergeCell ref="AI112:AI141"/>
    <mergeCell ref="AN112:AN141"/>
    <mergeCell ref="AN109:AN111"/>
    <mergeCell ref="AO109:AR109"/>
    <mergeCell ref="AS109:AS111"/>
    <mergeCell ref="AT109:AW109"/>
    <mergeCell ref="B109:B111"/>
    <mergeCell ref="C109:D111"/>
    <mergeCell ref="AS112:AS141"/>
    <mergeCell ref="H109:H111"/>
    <mergeCell ref="I109:K109"/>
    <mergeCell ref="L109:L111"/>
    <mergeCell ref="AD147:AD176"/>
    <mergeCell ref="AI147:AI176"/>
    <mergeCell ref="B144:B146"/>
    <mergeCell ref="AX109:AX111"/>
    <mergeCell ref="E110:G110"/>
    <mergeCell ref="I110:K110"/>
    <mergeCell ref="P110:S110"/>
    <mergeCell ref="U110:X110"/>
    <mergeCell ref="Z110:AC110"/>
    <mergeCell ref="Y109:Y111"/>
    <mergeCell ref="Z109:AC109"/>
    <mergeCell ref="AD109:AD111"/>
    <mergeCell ref="AE109:AH109"/>
    <mergeCell ref="AI109:AI111"/>
    <mergeCell ref="AJ109:AM109"/>
    <mergeCell ref="AE110:AH110"/>
    <mergeCell ref="AJ110:AM110"/>
    <mergeCell ref="M109:M111"/>
    <mergeCell ref="N109:N141"/>
    <mergeCell ref="O109:O141"/>
    <mergeCell ref="P109:S109"/>
    <mergeCell ref="T109:T111"/>
    <mergeCell ref="U109:X109"/>
    <mergeCell ref="E109:G109"/>
    <mergeCell ref="AX77:AX106"/>
    <mergeCell ref="B107:H108"/>
    <mergeCell ref="N107:N108"/>
    <mergeCell ref="O107:O108"/>
    <mergeCell ref="P107:T107"/>
    <mergeCell ref="U107:Y107"/>
    <mergeCell ref="Z107:AD107"/>
    <mergeCell ref="AE107:AI107"/>
    <mergeCell ref="AJ107:AN107"/>
    <mergeCell ref="AO107:AS107"/>
    <mergeCell ref="AT107:AX107"/>
    <mergeCell ref="P108:T108"/>
    <mergeCell ref="U108:Y108"/>
    <mergeCell ref="Z108:AD108"/>
    <mergeCell ref="AE108:AI108"/>
    <mergeCell ref="AJ108:AN108"/>
    <mergeCell ref="AO108:AS108"/>
    <mergeCell ref="AT108:AX108"/>
    <mergeCell ref="AO75:AR75"/>
    <mergeCell ref="AT75:AW75"/>
    <mergeCell ref="B77:B106"/>
    <mergeCell ref="H77:H106"/>
    <mergeCell ref="L77:L106"/>
    <mergeCell ref="T77:T106"/>
    <mergeCell ref="Y77:Y106"/>
    <mergeCell ref="AD77:AD106"/>
    <mergeCell ref="AI77:AI106"/>
    <mergeCell ref="AN77:AN106"/>
    <mergeCell ref="AN74:AN76"/>
    <mergeCell ref="AO74:AR74"/>
    <mergeCell ref="AS74:AS76"/>
    <mergeCell ref="AT74:AW74"/>
    <mergeCell ref="B74:B76"/>
    <mergeCell ref="C74:D76"/>
    <mergeCell ref="AS77:AS106"/>
    <mergeCell ref="AX74:AX76"/>
    <mergeCell ref="E75:G75"/>
    <mergeCell ref="I75:K75"/>
    <mergeCell ref="P75:S75"/>
    <mergeCell ref="U75:X75"/>
    <mergeCell ref="Z75:AC75"/>
    <mergeCell ref="Y74:Y76"/>
    <mergeCell ref="Z74:AC74"/>
    <mergeCell ref="AD74:AD76"/>
    <mergeCell ref="AE74:AH74"/>
    <mergeCell ref="AI74:AI76"/>
    <mergeCell ref="AJ74:AM74"/>
    <mergeCell ref="AE75:AH75"/>
    <mergeCell ref="AJ75:AM75"/>
    <mergeCell ref="M74:M76"/>
    <mergeCell ref="N74:N106"/>
    <mergeCell ref="O74:O106"/>
    <mergeCell ref="P74:S74"/>
    <mergeCell ref="T74:T76"/>
    <mergeCell ref="U74:X74"/>
    <mergeCell ref="E74:G74"/>
    <mergeCell ref="H74:H76"/>
    <mergeCell ref="I74:K74"/>
    <mergeCell ref="L74:L76"/>
    <mergeCell ref="AX42:AX71"/>
    <mergeCell ref="B72:H73"/>
    <mergeCell ref="N72:N73"/>
    <mergeCell ref="O72:O73"/>
    <mergeCell ref="P72:T72"/>
    <mergeCell ref="U72:Y72"/>
    <mergeCell ref="Z72:AD72"/>
    <mergeCell ref="AE72:AI72"/>
    <mergeCell ref="AJ72:AN72"/>
    <mergeCell ref="AO72:AS72"/>
    <mergeCell ref="AT72:AX72"/>
    <mergeCell ref="P73:T73"/>
    <mergeCell ref="U73:Y73"/>
    <mergeCell ref="Z73:AD73"/>
    <mergeCell ref="AE73:AI73"/>
    <mergeCell ref="AJ73:AN73"/>
    <mergeCell ref="AO73:AS73"/>
    <mergeCell ref="AT73:AX73"/>
    <mergeCell ref="AO40:AR40"/>
    <mergeCell ref="AT40:AW40"/>
    <mergeCell ref="B42:B71"/>
    <mergeCell ref="H42:H71"/>
    <mergeCell ref="L42:L71"/>
    <mergeCell ref="T42:T71"/>
    <mergeCell ref="Y42:Y71"/>
    <mergeCell ref="AD42:AD71"/>
    <mergeCell ref="AI42:AI71"/>
    <mergeCell ref="AN42:AN71"/>
    <mergeCell ref="AN39:AN41"/>
    <mergeCell ref="AO39:AR39"/>
    <mergeCell ref="AS39:AS41"/>
    <mergeCell ref="AT39:AW39"/>
    <mergeCell ref="B39:B41"/>
    <mergeCell ref="C39:D41"/>
    <mergeCell ref="AS42:AS71"/>
    <mergeCell ref="AX39:AX41"/>
    <mergeCell ref="E40:G40"/>
    <mergeCell ref="I40:K40"/>
    <mergeCell ref="P40:S40"/>
    <mergeCell ref="U40:X40"/>
    <mergeCell ref="Z40:AC40"/>
    <mergeCell ref="Y39:Y41"/>
    <mergeCell ref="Z39:AC39"/>
    <mergeCell ref="AD39:AD41"/>
    <mergeCell ref="AE39:AH39"/>
    <mergeCell ref="AI39:AI41"/>
    <mergeCell ref="AJ39:AM39"/>
    <mergeCell ref="AE40:AH40"/>
    <mergeCell ref="AJ40:AM40"/>
    <mergeCell ref="M39:M41"/>
    <mergeCell ref="N39:N71"/>
    <mergeCell ref="O39:O71"/>
    <mergeCell ref="P39:S39"/>
    <mergeCell ref="T39:T41"/>
    <mergeCell ref="U39:X39"/>
    <mergeCell ref="E39:G39"/>
    <mergeCell ref="H39:H41"/>
    <mergeCell ref="I39:K39"/>
    <mergeCell ref="L39:L41"/>
    <mergeCell ref="AT37:AX37"/>
    <mergeCell ref="P38:T38"/>
    <mergeCell ref="U38:Y38"/>
    <mergeCell ref="Z38:AD38"/>
    <mergeCell ref="AE38:AI38"/>
    <mergeCell ref="AJ38:AN38"/>
    <mergeCell ref="AO38:AS38"/>
    <mergeCell ref="AT38:AX38"/>
    <mergeCell ref="AX7:AX36"/>
    <mergeCell ref="B37:H38"/>
    <mergeCell ref="N37:N38"/>
    <mergeCell ref="O37:O38"/>
    <mergeCell ref="P37:T37"/>
    <mergeCell ref="U37:Y37"/>
    <mergeCell ref="Z37:AD37"/>
    <mergeCell ref="AE37:AI37"/>
    <mergeCell ref="AJ37:AN37"/>
    <mergeCell ref="AO37:AS37"/>
    <mergeCell ref="AD4:AD6"/>
    <mergeCell ref="AT5:AW5"/>
    <mergeCell ref="B7:B36"/>
    <mergeCell ref="H7:H36"/>
    <mergeCell ref="L7:L36"/>
    <mergeCell ref="T7:T36"/>
    <mergeCell ref="Y7:Y36"/>
    <mergeCell ref="AD7:AD36"/>
    <mergeCell ref="AI7:AI36"/>
    <mergeCell ref="AN7:AN36"/>
    <mergeCell ref="AS7:AS36"/>
    <mergeCell ref="B4:B6"/>
    <mergeCell ref="C4:D6"/>
    <mergeCell ref="E4:G4"/>
    <mergeCell ref="H4:H6"/>
    <mergeCell ref="I4:K4"/>
    <mergeCell ref="L4:L6"/>
    <mergeCell ref="M4:M6"/>
    <mergeCell ref="N4:N36"/>
    <mergeCell ref="O4:O36"/>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AT178:AX178"/>
    <mergeCell ref="E180:G180"/>
    <mergeCell ref="I180:K180"/>
    <mergeCell ref="P180:S180"/>
    <mergeCell ref="U180:X180"/>
    <mergeCell ref="Z180:AC180"/>
    <mergeCell ref="AE180:AH180"/>
    <mergeCell ref="P178:T178"/>
    <mergeCell ref="U178:Y178"/>
    <mergeCell ref="Z178:AD178"/>
    <mergeCell ref="AE178:AI178"/>
    <mergeCell ref="AJ178:AN178"/>
    <mergeCell ref="AO178:AS178"/>
    <mergeCell ref="Z179:AC179"/>
    <mergeCell ref="B177:H178"/>
    <mergeCell ref="N177:N178"/>
    <mergeCell ref="O177:O178"/>
    <mergeCell ref="P177:T177"/>
    <mergeCell ref="U177:Y177"/>
    <mergeCell ref="Z177:AD177"/>
    <mergeCell ref="AE177:AI177"/>
    <mergeCell ref="AJ177:AN177"/>
    <mergeCell ref="AO177:AS177"/>
    <mergeCell ref="AT177:AX177"/>
    <mergeCell ref="AI179:AI181"/>
    <mergeCell ref="AJ179:AM179"/>
    <mergeCell ref="AN179:AN181"/>
    <mergeCell ref="AO179:AR179"/>
    <mergeCell ref="AS179:AS181"/>
    <mergeCell ref="B179:B181"/>
    <mergeCell ref="C179:D181"/>
    <mergeCell ref="E179:G179"/>
    <mergeCell ref="H179:H181"/>
    <mergeCell ref="I179:K179"/>
    <mergeCell ref="L179:L181"/>
    <mergeCell ref="M179:M181"/>
    <mergeCell ref="N179:N211"/>
    <mergeCell ref="O179:O211"/>
    <mergeCell ref="M215:M217"/>
    <mergeCell ref="E216:G216"/>
    <mergeCell ref="I216:K216"/>
    <mergeCell ref="AX179:AX181"/>
    <mergeCell ref="B182:B211"/>
    <mergeCell ref="H182:H211"/>
    <mergeCell ref="L182:L211"/>
    <mergeCell ref="T182:T211"/>
    <mergeCell ref="Y182:Y211"/>
    <mergeCell ref="AD182:AD211"/>
    <mergeCell ref="AI182:AI211"/>
    <mergeCell ref="AN182:AN211"/>
    <mergeCell ref="AS182:AS211"/>
    <mergeCell ref="AX182:AX211"/>
    <mergeCell ref="AT179:AW179"/>
    <mergeCell ref="P179:S179"/>
    <mergeCell ref="T179:T181"/>
    <mergeCell ref="U179:X179"/>
    <mergeCell ref="Y179:Y181"/>
    <mergeCell ref="AJ180:AM180"/>
    <mergeCell ref="AO180:AR180"/>
    <mergeCell ref="AT180:AW180"/>
    <mergeCell ref="AD179:AD181"/>
    <mergeCell ref="AE179:AH179"/>
    <mergeCell ref="B218:B247"/>
    <mergeCell ref="H218:H247"/>
    <mergeCell ref="L218:L247"/>
    <mergeCell ref="B213:H214"/>
    <mergeCell ref="B215:B217"/>
    <mergeCell ref="C215:D217"/>
    <mergeCell ref="E215:G215"/>
    <mergeCell ref="H215:H217"/>
    <mergeCell ref="I215:K215"/>
    <mergeCell ref="L215:L217"/>
  </mergeCells>
  <phoneticPr fontId="11" type="noConversion"/>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142"/>
  <sheetViews>
    <sheetView topLeftCell="A112" zoomScale="70" zoomScaleNormal="70" workbookViewId="0">
      <pane xSplit="15" topLeftCell="P1" activePane="topRight" state="frozen"/>
      <selection activeCell="B144" sqref="B144:AX176"/>
      <selection pane="topRight" activeCell="J147" sqref="J147"/>
    </sheetView>
  </sheetViews>
  <sheetFormatPr defaultColWidth="8.81640625" defaultRowHeight="12.5"/>
  <cols>
    <col min="1" max="1" width="5.54296875" style="108" customWidth="1"/>
    <col min="2" max="2" width="12.453125" style="108" customWidth="1"/>
    <col min="3" max="3" width="8.81640625" style="107"/>
    <col min="4" max="4" width="26.453125" style="107" customWidth="1"/>
    <col min="5" max="7" width="8.453125" style="107" customWidth="1"/>
    <col min="8" max="8" width="11.1796875" style="107" bestFit="1" customWidth="1"/>
    <col min="9" max="12" width="11.1796875" style="107" customWidth="1"/>
    <col min="13" max="13" width="13.54296875" style="107" customWidth="1"/>
    <col min="14" max="14" width="9.81640625" style="107" customWidth="1"/>
    <col min="15" max="15" width="7.1796875" style="107" customWidth="1"/>
    <col min="16" max="18" width="12.81640625" style="107" customWidth="1"/>
    <col min="19" max="19" width="5.453125" style="107" customWidth="1"/>
    <col min="20" max="20" width="12.81640625" style="107" customWidth="1"/>
    <col min="21" max="23" width="12.81640625" style="108" customWidth="1"/>
    <col min="24" max="24" width="5.453125" style="107" customWidth="1"/>
    <col min="25" max="28" width="12.81640625" style="108" customWidth="1"/>
    <col min="29" max="29" width="5.453125" style="107" customWidth="1"/>
    <col min="30" max="30" width="12.81640625" style="108" customWidth="1"/>
    <col min="31" max="33" width="12.54296875" style="108" customWidth="1"/>
    <col min="34" max="34" width="5.453125" style="107" customWidth="1"/>
    <col min="35" max="35" width="13" style="108" customWidth="1"/>
    <col min="36" max="38" width="12.54296875" style="108" customWidth="1"/>
    <col min="39" max="39" width="5.453125" style="107" customWidth="1"/>
    <col min="40" max="40" width="13" style="108" customWidth="1"/>
    <col min="41" max="43" width="13.1796875" style="108" customWidth="1"/>
    <col min="44" max="44" width="5.453125" style="108" customWidth="1"/>
    <col min="45" max="48" width="13.1796875" style="108" customWidth="1"/>
    <col min="49" max="49" width="5.453125" style="108" customWidth="1"/>
    <col min="50" max="50" width="13.1796875" style="108" customWidth="1"/>
    <col min="51" max="16384" width="8.81640625" style="108"/>
  </cols>
  <sheetData>
    <row r="1" spans="1:54" ht="21">
      <c r="A1" s="75"/>
      <c r="B1" s="221" t="s">
        <v>330</v>
      </c>
      <c r="C1" s="220">
        <f>AVERAGE(L7,L27,L47,L67,L87,L107)</f>
        <v>70.412868253133169</v>
      </c>
    </row>
    <row r="2" spans="1:54" ht="15.5">
      <c r="A2" s="81"/>
      <c r="B2" s="555" t="s">
        <v>163</v>
      </c>
      <c r="C2" s="555"/>
      <c r="D2" s="555"/>
      <c r="E2" s="555"/>
      <c r="F2" s="555"/>
      <c r="G2" s="555"/>
      <c r="H2" s="555"/>
      <c r="I2" s="287"/>
      <c r="J2" s="287"/>
      <c r="K2" s="287"/>
      <c r="L2" s="287"/>
      <c r="M2" s="197"/>
      <c r="N2" s="559" t="s">
        <v>156</v>
      </c>
      <c r="O2" s="559" t="s">
        <v>155</v>
      </c>
      <c r="P2" s="607"/>
      <c r="Q2" s="608"/>
      <c r="R2" s="608"/>
      <c r="S2" s="608"/>
      <c r="T2" s="609"/>
      <c r="U2" s="554"/>
      <c r="V2" s="533"/>
      <c r="W2" s="533"/>
      <c r="X2" s="533"/>
      <c r="Y2" s="533"/>
      <c r="Z2" s="554"/>
      <c r="AA2" s="533"/>
      <c r="AB2" s="533"/>
      <c r="AC2" s="533"/>
      <c r="AD2" s="533"/>
      <c r="AE2" s="554"/>
      <c r="AF2" s="533"/>
      <c r="AG2" s="533"/>
      <c r="AH2" s="533"/>
      <c r="AI2" s="533"/>
      <c r="AJ2" s="554">
        <v>45962</v>
      </c>
      <c r="AK2" s="533"/>
      <c r="AL2" s="533"/>
      <c r="AM2" s="533"/>
      <c r="AN2" s="533"/>
      <c r="AO2" s="554">
        <f>AJ2+1</f>
        <v>45963</v>
      </c>
      <c r="AP2" s="533"/>
      <c r="AQ2" s="533"/>
      <c r="AR2" s="533"/>
      <c r="AS2" s="533"/>
      <c r="AT2" s="554">
        <v>46357</v>
      </c>
      <c r="AU2" s="533"/>
      <c r="AV2" s="533"/>
      <c r="AW2" s="533"/>
      <c r="AX2" s="533"/>
    </row>
    <row r="3" spans="1:54" ht="15.5">
      <c r="A3" s="81"/>
      <c r="B3" s="566"/>
      <c r="C3" s="566"/>
      <c r="D3" s="566"/>
      <c r="E3" s="566"/>
      <c r="F3" s="566"/>
      <c r="G3" s="566"/>
      <c r="H3" s="566"/>
      <c r="I3" s="288"/>
      <c r="J3" s="288"/>
      <c r="K3" s="288"/>
      <c r="L3" s="288"/>
      <c r="M3" s="198"/>
      <c r="N3" s="560"/>
      <c r="O3" s="560"/>
      <c r="P3" s="551"/>
      <c r="Q3" s="552"/>
      <c r="R3" s="552"/>
      <c r="S3" s="552"/>
      <c r="T3" s="553"/>
      <c r="U3" s="551"/>
      <c r="V3" s="552"/>
      <c r="W3" s="552"/>
      <c r="X3" s="552"/>
      <c r="Y3" s="553"/>
      <c r="Z3" s="551"/>
      <c r="AA3" s="552"/>
      <c r="AB3" s="552"/>
      <c r="AC3" s="552"/>
      <c r="AD3" s="553"/>
      <c r="AE3" s="551"/>
      <c r="AF3" s="552"/>
      <c r="AG3" s="552"/>
      <c r="AH3" s="552"/>
      <c r="AI3" s="553"/>
      <c r="AJ3" s="551" t="s">
        <v>160</v>
      </c>
      <c r="AK3" s="552"/>
      <c r="AL3" s="552"/>
      <c r="AM3" s="552"/>
      <c r="AN3" s="553"/>
      <c r="AO3" s="551" t="s">
        <v>161</v>
      </c>
      <c r="AP3" s="552"/>
      <c r="AQ3" s="552"/>
      <c r="AR3" s="552"/>
      <c r="AS3" s="553"/>
      <c r="AT3" s="551" t="s">
        <v>162</v>
      </c>
      <c r="AU3" s="552"/>
      <c r="AV3" s="552"/>
      <c r="AW3" s="552"/>
      <c r="AX3" s="553"/>
    </row>
    <row r="4" spans="1:54">
      <c r="A4" s="81"/>
      <c r="B4" s="544" t="s">
        <v>649</v>
      </c>
      <c r="C4" s="544" t="s">
        <v>650</v>
      </c>
      <c r="D4" s="544"/>
      <c r="E4" s="544" t="s">
        <v>651</v>
      </c>
      <c r="F4" s="544"/>
      <c r="G4" s="544"/>
      <c r="H4" s="561" t="s">
        <v>652</v>
      </c>
      <c r="I4" s="583" t="s">
        <v>653</v>
      </c>
      <c r="J4" s="583"/>
      <c r="K4" s="583"/>
      <c r="L4" s="584" t="s">
        <v>652</v>
      </c>
      <c r="M4" s="567" t="s">
        <v>654</v>
      </c>
      <c r="N4" s="544"/>
      <c r="O4" s="544" t="s">
        <v>655</v>
      </c>
      <c r="P4" s="548" t="s">
        <v>656</v>
      </c>
      <c r="Q4" s="549"/>
      <c r="R4" s="549"/>
      <c r="S4" s="550"/>
      <c r="T4" s="544" t="s">
        <v>652</v>
      </c>
      <c r="U4" s="548" t="s">
        <v>656</v>
      </c>
      <c r="V4" s="549"/>
      <c r="W4" s="549"/>
      <c r="X4" s="550"/>
      <c r="Y4" s="544" t="s">
        <v>652</v>
      </c>
      <c r="Z4" s="548" t="s">
        <v>656</v>
      </c>
      <c r="AA4" s="549"/>
      <c r="AB4" s="549"/>
      <c r="AC4" s="550"/>
      <c r="AD4" s="544" t="s">
        <v>652</v>
      </c>
      <c r="AE4" s="548" t="s">
        <v>656</v>
      </c>
      <c r="AF4" s="549"/>
      <c r="AG4" s="549"/>
      <c r="AH4" s="550"/>
      <c r="AI4" s="544" t="s">
        <v>652</v>
      </c>
      <c r="AJ4" s="548" t="s">
        <v>656</v>
      </c>
      <c r="AK4" s="549"/>
      <c r="AL4" s="549"/>
      <c r="AM4" s="550"/>
      <c r="AN4" s="544" t="s">
        <v>652</v>
      </c>
      <c r="AO4" s="548" t="s">
        <v>656</v>
      </c>
      <c r="AP4" s="549"/>
      <c r="AQ4" s="549"/>
      <c r="AR4" s="550"/>
      <c r="AS4" s="544" t="s">
        <v>652</v>
      </c>
      <c r="AT4" s="548" t="s">
        <v>656</v>
      </c>
      <c r="AU4" s="549"/>
      <c r="AV4" s="549"/>
      <c r="AW4" s="550"/>
      <c r="AX4" s="544" t="s">
        <v>652</v>
      </c>
    </row>
    <row r="5" spans="1:54">
      <c r="A5" s="81"/>
      <c r="B5" s="544"/>
      <c r="C5" s="544"/>
      <c r="D5" s="544"/>
      <c r="E5" s="544" t="s">
        <v>657</v>
      </c>
      <c r="F5" s="544"/>
      <c r="G5" s="544"/>
      <c r="H5" s="562"/>
      <c r="I5" s="583" t="s">
        <v>657</v>
      </c>
      <c r="J5" s="583"/>
      <c r="K5" s="583"/>
      <c r="L5" s="585"/>
      <c r="M5" s="568"/>
      <c r="N5" s="544"/>
      <c r="O5" s="544"/>
      <c r="P5" s="548" t="s">
        <v>658</v>
      </c>
      <c r="Q5" s="549"/>
      <c r="R5" s="549"/>
      <c r="S5" s="550"/>
      <c r="T5" s="544"/>
      <c r="U5" s="548" t="s">
        <v>658</v>
      </c>
      <c r="V5" s="549"/>
      <c r="W5" s="549"/>
      <c r="X5" s="550"/>
      <c r="Y5" s="544"/>
      <c r="Z5" s="548" t="s">
        <v>658</v>
      </c>
      <c r="AA5" s="549"/>
      <c r="AB5" s="549"/>
      <c r="AC5" s="550"/>
      <c r="AD5" s="544"/>
      <c r="AE5" s="548" t="s">
        <v>658</v>
      </c>
      <c r="AF5" s="549"/>
      <c r="AG5" s="549"/>
      <c r="AH5" s="550"/>
      <c r="AI5" s="544"/>
      <c r="AJ5" s="548" t="s">
        <v>658</v>
      </c>
      <c r="AK5" s="549"/>
      <c r="AL5" s="549"/>
      <c r="AM5" s="550"/>
      <c r="AN5" s="544"/>
      <c r="AO5" s="548" t="s">
        <v>658</v>
      </c>
      <c r="AP5" s="549"/>
      <c r="AQ5" s="549"/>
      <c r="AR5" s="550"/>
      <c r="AS5" s="544"/>
      <c r="AT5" s="548" t="s">
        <v>658</v>
      </c>
      <c r="AU5" s="549"/>
      <c r="AV5" s="549"/>
      <c r="AW5" s="550"/>
      <c r="AX5" s="544"/>
    </row>
    <row r="6" spans="1:54">
      <c r="A6" s="79"/>
      <c r="B6" s="544"/>
      <c r="C6" s="544"/>
      <c r="D6" s="544"/>
      <c r="E6" s="403" t="s">
        <v>659</v>
      </c>
      <c r="F6" s="403" t="s">
        <v>660</v>
      </c>
      <c r="G6" s="403" t="s">
        <v>661</v>
      </c>
      <c r="H6" s="563"/>
      <c r="I6" s="402" t="s">
        <v>659</v>
      </c>
      <c r="J6" s="402" t="s">
        <v>660</v>
      </c>
      <c r="K6" s="402" t="s">
        <v>661</v>
      </c>
      <c r="L6" s="586"/>
      <c r="M6" s="569"/>
      <c r="N6" s="544"/>
      <c r="O6" s="544"/>
      <c r="P6" s="403" t="s">
        <v>659</v>
      </c>
      <c r="Q6" s="403" t="s">
        <v>660</v>
      </c>
      <c r="R6" s="403" t="s">
        <v>661</v>
      </c>
      <c r="S6" s="403" t="s">
        <v>654</v>
      </c>
      <c r="T6" s="544"/>
      <c r="U6" s="403" t="s">
        <v>659</v>
      </c>
      <c r="V6" s="403" t="s">
        <v>660</v>
      </c>
      <c r="W6" s="403" t="s">
        <v>661</v>
      </c>
      <c r="X6" s="403" t="s">
        <v>654</v>
      </c>
      <c r="Y6" s="544"/>
      <c r="Z6" s="403" t="s">
        <v>659</v>
      </c>
      <c r="AA6" s="403" t="s">
        <v>660</v>
      </c>
      <c r="AB6" s="403" t="s">
        <v>661</v>
      </c>
      <c r="AC6" s="403" t="s">
        <v>654</v>
      </c>
      <c r="AD6" s="544"/>
      <c r="AE6" s="403" t="s">
        <v>659</v>
      </c>
      <c r="AF6" s="403" t="s">
        <v>660</v>
      </c>
      <c r="AG6" s="403" t="s">
        <v>661</v>
      </c>
      <c r="AH6" s="403" t="s">
        <v>654</v>
      </c>
      <c r="AI6" s="544"/>
      <c r="AJ6" s="403" t="s">
        <v>659</v>
      </c>
      <c r="AK6" s="403" t="s">
        <v>660</v>
      </c>
      <c r="AL6" s="403" t="s">
        <v>661</v>
      </c>
      <c r="AM6" s="403" t="s">
        <v>654</v>
      </c>
      <c r="AN6" s="544"/>
      <c r="AO6" s="403" t="s">
        <v>659</v>
      </c>
      <c r="AP6" s="403" t="s">
        <v>660</v>
      </c>
      <c r="AQ6" s="403" t="s">
        <v>661</v>
      </c>
      <c r="AR6" s="403" t="s">
        <v>654</v>
      </c>
      <c r="AS6" s="544"/>
      <c r="AT6" s="403" t="s">
        <v>659</v>
      </c>
      <c r="AU6" s="403" t="s">
        <v>660</v>
      </c>
      <c r="AV6" s="403" t="s">
        <v>661</v>
      </c>
      <c r="AW6" s="403" t="s">
        <v>654</v>
      </c>
      <c r="AX6" s="544"/>
    </row>
    <row r="7" spans="1:54">
      <c r="A7" s="81"/>
      <c r="B7" s="544" t="s">
        <v>719</v>
      </c>
      <c r="C7" s="404">
        <v>1</v>
      </c>
      <c r="D7" s="226" t="s">
        <v>386</v>
      </c>
      <c r="E7" s="182">
        <v>18</v>
      </c>
      <c r="F7" s="404">
        <v>1440</v>
      </c>
      <c r="G7" s="405">
        <v>80</v>
      </c>
      <c r="H7" s="597">
        <f>AVERAGE(G7:G21)</f>
        <v>78.280890389781646</v>
      </c>
      <c r="I7" s="408">
        <f>AVERAGE(P7,U7,Z7,AE7,AJ7,AO7,AT7)</f>
        <v>18</v>
      </c>
      <c r="J7" s="408">
        <f>AVERAGE(Q7,V7,AA7,AF7,AK7,AP7,AU7)</f>
        <v>1217.7108433734941</v>
      </c>
      <c r="K7" s="406">
        <f>AVERAGE(R7,W7,AB7,AG7,AL7,AQ7,AV7)</f>
        <v>67.650602409638566</v>
      </c>
      <c r="L7" s="587">
        <f>IFERROR(AVERAGE(K7:K21),"-")</f>
        <v>68.869189108608907</v>
      </c>
      <c r="M7" s="407">
        <f>RANK(K7, $K$7:K$21)</f>
        <v>6</v>
      </c>
      <c r="N7" s="544"/>
      <c r="O7" s="544"/>
      <c r="P7" s="182"/>
      <c r="Q7" s="405"/>
      <c r="R7" s="405"/>
      <c r="S7" s="404" t="e">
        <f t="shared" ref="S7:S21" si="0">RANK(R7, R$7:R$21)</f>
        <v>#N/A</v>
      </c>
      <c r="T7" s="534" t="e">
        <f t="shared" ref="T7" si="1">AVERAGE(R7:R21)</f>
        <v>#DIV/0!</v>
      </c>
      <c r="U7" s="182"/>
      <c r="V7" s="405"/>
      <c r="W7" s="405"/>
      <c r="X7" s="404" t="e">
        <f t="shared" ref="X7:X21" si="2">RANK(W7, W$7:W$21)</f>
        <v>#N/A</v>
      </c>
      <c r="Y7" s="534" t="e">
        <f t="shared" ref="Y7" si="3">AVERAGE(W7:W21)</f>
        <v>#DIV/0!</v>
      </c>
      <c r="Z7" s="182"/>
      <c r="AA7" s="405"/>
      <c r="AB7" s="405"/>
      <c r="AC7" s="404" t="e">
        <f t="shared" ref="AC7:AC21" si="4">RANK(AB7, AB$7:AB$21)</f>
        <v>#N/A</v>
      </c>
      <c r="AD7" s="534" t="e">
        <f t="shared" ref="AD7" si="5">AVERAGE(AB7:AB21)</f>
        <v>#DIV/0!</v>
      </c>
      <c r="AE7" s="182"/>
      <c r="AF7" s="405"/>
      <c r="AG7" s="405"/>
      <c r="AH7" s="404" t="e">
        <f t="shared" ref="AH7:AH21" si="6">RANK(AG7, AG$7:AG$21)</f>
        <v>#N/A</v>
      </c>
      <c r="AI7" s="534" t="e">
        <f t="shared" ref="AI7" si="7">AVERAGE(AG7:AG21)</f>
        <v>#DIV/0!</v>
      </c>
      <c r="AJ7" s="182"/>
      <c r="AK7" s="405"/>
      <c r="AL7" s="405"/>
      <c r="AM7" s="404" t="e">
        <f t="shared" ref="AM7:AM21" si="8">RANK(AL7, AL$7:AL$21)</f>
        <v>#N/A</v>
      </c>
      <c r="AN7" s="534" t="e">
        <f t="shared" ref="AN7" si="9">AVERAGE(AL7:AL21)</f>
        <v>#DIV/0!</v>
      </c>
      <c r="AO7" s="182"/>
      <c r="AP7" s="405"/>
      <c r="AQ7" s="405"/>
      <c r="AR7" s="404" t="e">
        <f t="shared" ref="AR7:AR21" si="10">RANK(AQ7, AQ$7:AQ$21)</f>
        <v>#N/A</v>
      </c>
      <c r="AS7" s="534" t="e">
        <f t="shared" ref="AS7" si="11">AVERAGE(AQ7:AQ21)</f>
        <v>#DIV/0!</v>
      </c>
      <c r="AT7" s="182">
        <v>18</v>
      </c>
      <c r="AU7" s="405">
        <v>1217.7108433734941</v>
      </c>
      <c r="AV7" s="405">
        <v>67.650602409638566</v>
      </c>
      <c r="AW7" s="404">
        <f>RANK(AV7, AV$7:AV$21)</f>
        <v>6</v>
      </c>
      <c r="AX7" s="534">
        <f>AVERAGE(AV7:AV21)</f>
        <v>68.869189108608907</v>
      </c>
      <c r="AZ7" s="321" t="e">
        <f>RANK(AX7, $K$7:AX$21)</f>
        <v>#N/A</v>
      </c>
      <c r="BB7" s="318" t="e">
        <f>RANK(BA7, BA$7:BA$21)</f>
        <v>#N/A</v>
      </c>
    </row>
    <row r="8" spans="1:54" ht="15" customHeight="1">
      <c r="A8" s="81"/>
      <c r="B8" s="533"/>
      <c r="C8" s="404">
        <v>2</v>
      </c>
      <c r="D8" s="226" t="s">
        <v>387</v>
      </c>
      <c r="E8" s="182">
        <v>18</v>
      </c>
      <c r="F8" s="404">
        <v>1440</v>
      </c>
      <c r="G8" s="405">
        <v>80</v>
      </c>
      <c r="H8" s="598"/>
      <c r="I8" s="408">
        <f t="shared" ref="I8:K17" si="12">AVERAGE(P8,U8,Z8,AE8,AJ8,AO8,AT8)</f>
        <v>18</v>
      </c>
      <c r="J8" s="408">
        <f t="shared" si="12"/>
        <v>1225.0909090909099</v>
      </c>
      <c r="K8" s="406">
        <f t="shared" si="12"/>
        <v>68.060606060606105</v>
      </c>
      <c r="L8" s="588"/>
      <c r="M8" s="407">
        <f>RANK(K8, $K$7:K$21)</f>
        <v>5</v>
      </c>
      <c r="N8" s="544"/>
      <c r="O8" s="544"/>
      <c r="P8" s="404"/>
      <c r="Q8" s="405"/>
      <c r="R8" s="405"/>
      <c r="S8" s="404" t="e">
        <f t="shared" si="0"/>
        <v>#N/A</v>
      </c>
      <c r="T8" s="534"/>
      <c r="U8" s="404"/>
      <c r="V8" s="405"/>
      <c r="W8" s="405"/>
      <c r="X8" s="404" t="e">
        <f t="shared" si="2"/>
        <v>#N/A</v>
      </c>
      <c r="Y8" s="534"/>
      <c r="Z8" s="404"/>
      <c r="AA8" s="405"/>
      <c r="AB8" s="405"/>
      <c r="AC8" s="404" t="e">
        <f t="shared" si="4"/>
        <v>#N/A</v>
      </c>
      <c r="AD8" s="534"/>
      <c r="AE8" s="404"/>
      <c r="AF8" s="405"/>
      <c r="AG8" s="405"/>
      <c r="AH8" s="404" t="e">
        <f t="shared" si="6"/>
        <v>#N/A</v>
      </c>
      <c r="AI8" s="534"/>
      <c r="AJ8" s="404"/>
      <c r="AK8" s="405"/>
      <c r="AL8" s="405"/>
      <c r="AM8" s="404" t="e">
        <f t="shared" si="8"/>
        <v>#N/A</v>
      </c>
      <c r="AN8" s="534"/>
      <c r="AO8" s="404"/>
      <c r="AP8" s="405"/>
      <c r="AQ8" s="405"/>
      <c r="AR8" s="404" t="e">
        <f t="shared" si="10"/>
        <v>#N/A</v>
      </c>
      <c r="AS8" s="534"/>
      <c r="AT8" s="404">
        <v>18</v>
      </c>
      <c r="AU8" s="405">
        <v>1225.0909090909099</v>
      </c>
      <c r="AV8" s="405">
        <v>68.060606060606105</v>
      </c>
      <c r="AW8" s="404">
        <f t="shared" ref="AW8:AW21" si="13">RANK(AV8, AV$7:AV$21)</f>
        <v>5</v>
      </c>
      <c r="AX8" s="534"/>
      <c r="AZ8" s="321" t="e">
        <f>RANK(AX8, $K$7:AX$21)</f>
        <v>#N/A</v>
      </c>
      <c r="BB8" s="318" t="e">
        <f t="shared" ref="BB8:BB21" si="14">RANK(BA8, BA$7:BA$21)</f>
        <v>#N/A</v>
      </c>
    </row>
    <row r="9" spans="1:54">
      <c r="A9" s="81"/>
      <c r="B9" s="533"/>
      <c r="C9" s="404">
        <v>3</v>
      </c>
      <c r="D9" s="226" t="s">
        <v>389</v>
      </c>
      <c r="E9" s="182">
        <v>17</v>
      </c>
      <c r="F9" s="404">
        <v>1636</v>
      </c>
      <c r="G9" s="405">
        <v>96.235294117647058</v>
      </c>
      <c r="H9" s="598"/>
      <c r="I9" s="408">
        <f t="shared" si="12"/>
        <v>17</v>
      </c>
      <c r="J9" s="408">
        <f t="shared" si="12"/>
        <v>1344.000000000002</v>
      </c>
      <c r="K9" s="406">
        <f t="shared" si="12"/>
        <v>79.058823529411882</v>
      </c>
      <c r="L9" s="588"/>
      <c r="M9" s="407">
        <f>RANK(K9, $K$7:K$21)</f>
        <v>2</v>
      </c>
      <c r="N9" s="544"/>
      <c r="O9" s="544"/>
      <c r="P9" s="404"/>
      <c r="Q9" s="405"/>
      <c r="R9" s="405"/>
      <c r="S9" s="404" t="e">
        <f t="shared" si="0"/>
        <v>#N/A</v>
      </c>
      <c r="T9" s="534"/>
      <c r="U9" s="404"/>
      <c r="V9" s="405"/>
      <c r="W9" s="405"/>
      <c r="X9" s="404" t="e">
        <f t="shared" si="2"/>
        <v>#N/A</v>
      </c>
      <c r="Y9" s="534"/>
      <c r="Z9" s="404"/>
      <c r="AA9" s="405"/>
      <c r="AB9" s="405"/>
      <c r="AC9" s="404" t="e">
        <f t="shared" si="4"/>
        <v>#N/A</v>
      </c>
      <c r="AD9" s="534"/>
      <c r="AE9" s="404"/>
      <c r="AF9" s="405"/>
      <c r="AG9" s="405"/>
      <c r="AH9" s="404" t="e">
        <f t="shared" si="6"/>
        <v>#N/A</v>
      </c>
      <c r="AI9" s="534"/>
      <c r="AJ9" s="404"/>
      <c r="AK9" s="405"/>
      <c r="AL9" s="405"/>
      <c r="AM9" s="404" t="e">
        <f t="shared" si="8"/>
        <v>#N/A</v>
      </c>
      <c r="AN9" s="534"/>
      <c r="AO9" s="404"/>
      <c r="AP9" s="405"/>
      <c r="AQ9" s="405"/>
      <c r="AR9" s="404" t="e">
        <f t="shared" si="10"/>
        <v>#N/A</v>
      </c>
      <c r="AS9" s="534"/>
      <c r="AT9" s="404">
        <v>17</v>
      </c>
      <c r="AU9" s="405">
        <v>1344.000000000002</v>
      </c>
      <c r="AV9" s="405">
        <v>79.058823529411882</v>
      </c>
      <c r="AW9" s="404">
        <f t="shared" si="13"/>
        <v>2</v>
      </c>
      <c r="AX9" s="534"/>
      <c r="AZ9" s="321" t="e">
        <f>RANK(AX9, $K$7:AX$21)</f>
        <v>#N/A</v>
      </c>
      <c r="BB9" s="318" t="e">
        <f t="shared" si="14"/>
        <v>#N/A</v>
      </c>
    </row>
    <row r="10" spans="1:54">
      <c r="A10" s="81"/>
      <c r="B10" s="533"/>
      <c r="C10" s="404">
        <v>4</v>
      </c>
      <c r="D10" s="226" t="s">
        <v>388</v>
      </c>
      <c r="E10" s="182">
        <v>18</v>
      </c>
      <c r="F10" s="404">
        <v>1440</v>
      </c>
      <c r="G10" s="405">
        <v>80</v>
      </c>
      <c r="H10" s="598"/>
      <c r="I10" s="408">
        <f t="shared" si="12"/>
        <v>18</v>
      </c>
      <c r="J10" s="408">
        <f t="shared" si="12"/>
        <v>1280.9032258064497</v>
      </c>
      <c r="K10" s="406">
        <f t="shared" si="12"/>
        <v>71.161290322580541</v>
      </c>
      <c r="L10" s="588"/>
      <c r="M10" s="407">
        <f>RANK(K10, $K$7:K$21)</f>
        <v>4</v>
      </c>
      <c r="N10" s="544"/>
      <c r="O10" s="544"/>
      <c r="P10" s="404"/>
      <c r="Q10" s="405"/>
      <c r="R10" s="405"/>
      <c r="S10" s="404" t="e">
        <f t="shared" si="0"/>
        <v>#N/A</v>
      </c>
      <c r="T10" s="534"/>
      <c r="U10" s="404"/>
      <c r="V10" s="405"/>
      <c r="W10" s="405"/>
      <c r="X10" s="404" t="e">
        <f t="shared" si="2"/>
        <v>#N/A</v>
      </c>
      <c r="Y10" s="534"/>
      <c r="Z10" s="404"/>
      <c r="AA10" s="405"/>
      <c r="AB10" s="405"/>
      <c r="AC10" s="404" t="e">
        <f t="shared" si="4"/>
        <v>#N/A</v>
      </c>
      <c r="AD10" s="534"/>
      <c r="AE10" s="404"/>
      <c r="AF10" s="405"/>
      <c r="AG10" s="405"/>
      <c r="AH10" s="404" t="e">
        <f t="shared" si="6"/>
        <v>#N/A</v>
      </c>
      <c r="AI10" s="534"/>
      <c r="AJ10" s="404"/>
      <c r="AK10" s="405"/>
      <c r="AL10" s="405"/>
      <c r="AM10" s="404" t="e">
        <f t="shared" si="8"/>
        <v>#N/A</v>
      </c>
      <c r="AN10" s="534"/>
      <c r="AO10" s="404"/>
      <c r="AP10" s="405"/>
      <c r="AQ10" s="405"/>
      <c r="AR10" s="404" t="e">
        <f t="shared" si="10"/>
        <v>#N/A</v>
      </c>
      <c r="AS10" s="534"/>
      <c r="AT10" s="404">
        <v>18</v>
      </c>
      <c r="AU10" s="405">
        <v>1280.9032258064497</v>
      </c>
      <c r="AV10" s="405">
        <v>71.161290322580541</v>
      </c>
      <c r="AW10" s="404">
        <f t="shared" si="13"/>
        <v>4</v>
      </c>
      <c r="AX10" s="534"/>
      <c r="AZ10" s="321" t="e">
        <f>RANK(AX10, $K$7:AX$21)</f>
        <v>#N/A</v>
      </c>
      <c r="BB10" s="318" t="e">
        <f t="shared" si="14"/>
        <v>#N/A</v>
      </c>
    </row>
    <row r="11" spans="1:54">
      <c r="A11" s="81"/>
      <c r="B11" s="533"/>
      <c r="C11" s="404">
        <v>5</v>
      </c>
      <c r="D11" s="226" t="s">
        <v>390</v>
      </c>
      <c r="E11" s="182">
        <v>19</v>
      </c>
      <c r="F11" s="404">
        <v>1440</v>
      </c>
      <c r="G11" s="405">
        <v>75.78947368421052</v>
      </c>
      <c r="H11" s="598"/>
      <c r="I11" s="408">
        <f t="shared" si="12"/>
        <v>19</v>
      </c>
      <c r="J11" s="408">
        <f t="shared" si="12"/>
        <v>1252</v>
      </c>
      <c r="K11" s="406">
        <f t="shared" si="12"/>
        <v>65.89473684210526</v>
      </c>
      <c r="L11" s="588"/>
      <c r="M11" s="407">
        <f>RANK(K11, $K$7:K$21)</f>
        <v>7</v>
      </c>
      <c r="N11" s="544"/>
      <c r="O11" s="544"/>
      <c r="P11" s="404"/>
      <c r="Q11" s="405"/>
      <c r="R11" s="405"/>
      <c r="S11" s="404" t="e">
        <f t="shared" si="0"/>
        <v>#N/A</v>
      </c>
      <c r="T11" s="534"/>
      <c r="U11" s="404"/>
      <c r="V11" s="405"/>
      <c r="W11" s="405"/>
      <c r="X11" s="404" t="e">
        <f t="shared" si="2"/>
        <v>#N/A</v>
      </c>
      <c r="Y11" s="534"/>
      <c r="Z11" s="404"/>
      <c r="AA11" s="405"/>
      <c r="AB11" s="405"/>
      <c r="AC11" s="404" t="e">
        <f t="shared" si="4"/>
        <v>#N/A</v>
      </c>
      <c r="AD11" s="534"/>
      <c r="AE11" s="404"/>
      <c r="AF11" s="405"/>
      <c r="AG11" s="405"/>
      <c r="AH11" s="404" t="e">
        <f t="shared" si="6"/>
        <v>#N/A</v>
      </c>
      <c r="AI11" s="534"/>
      <c r="AJ11" s="404"/>
      <c r="AK11" s="405"/>
      <c r="AL11" s="405"/>
      <c r="AM11" s="404" t="e">
        <f t="shared" si="8"/>
        <v>#N/A</v>
      </c>
      <c r="AN11" s="534"/>
      <c r="AO11" s="404"/>
      <c r="AP11" s="405"/>
      <c r="AQ11" s="405"/>
      <c r="AR11" s="404" t="e">
        <f t="shared" si="10"/>
        <v>#N/A</v>
      </c>
      <c r="AS11" s="534"/>
      <c r="AT11" s="404">
        <v>19</v>
      </c>
      <c r="AU11" s="405">
        <v>1252</v>
      </c>
      <c r="AV11" s="405">
        <v>65.89473684210526</v>
      </c>
      <c r="AW11" s="404">
        <f t="shared" si="13"/>
        <v>7</v>
      </c>
      <c r="AX11" s="534"/>
      <c r="AZ11" s="321" t="e">
        <f>RANK(AX11, $K$7:AX$21)</f>
        <v>#N/A</v>
      </c>
      <c r="BB11" s="318" t="e">
        <f t="shared" si="14"/>
        <v>#N/A</v>
      </c>
    </row>
    <row r="12" spans="1:54">
      <c r="A12" s="81"/>
      <c r="B12" s="533"/>
      <c r="C12" s="404">
        <v>6</v>
      </c>
      <c r="D12" s="226" t="s">
        <v>391</v>
      </c>
      <c r="E12" s="182">
        <v>21</v>
      </c>
      <c r="F12" s="404">
        <v>1385</v>
      </c>
      <c r="G12" s="405">
        <v>65.952380952380949</v>
      </c>
      <c r="H12" s="598"/>
      <c r="I12" s="408">
        <f t="shared" si="12"/>
        <v>20</v>
      </c>
      <c r="J12" s="408">
        <f t="shared" si="12"/>
        <v>1255.0909090909099</v>
      </c>
      <c r="K12" s="406">
        <f t="shared" si="12"/>
        <v>62.754545454545493</v>
      </c>
      <c r="L12" s="588"/>
      <c r="M12" s="407">
        <f>RANK(K12, $K$7:K$21)</f>
        <v>9</v>
      </c>
      <c r="N12" s="544"/>
      <c r="O12" s="544"/>
      <c r="P12" s="404"/>
      <c r="Q12" s="405"/>
      <c r="R12" s="405"/>
      <c r="S12" s="404" t="e">
        <f t="shared" si="0"/>
        <v>#N/A</v>
      </c>
      <c r="T12" s="534"/>
      <c r="U12" s="404"/>
      <c r="V12" s="405"/>
      <c r="W12" s="405"/>
      <c r="X12" s="404" t="e">
        <f t="shared" si="2"/>
        <v>#N/A</v>
      </c>
      <c r="Y12" s="534"/>
      <c r="Z12" s="404"/>
      <c r="AA12" s="405"/>
      <c r="AB12" s="405"/>
      <c r="AC12" s="404" t="e">
        <f t="shared" si="4"/>
        <v>#N/A</v>
      </c>
      <c r="AD12" s="534"/>
      <c r="AE12" s="404"/>
      <c r="AF12" s="405"/>
      <c r="AG12" s="405"/>
      <c r="AH12" s="404" t="e">
        <f t="shared" si="6"/>
        <v>#N/A</v>
      </c>
      <c r="AI12" s="534"/>
      <c r="AJ12" s="404"/>
      <c r="AK12" s="405"/>
      <c r="AL12" s="405"/>
      <c r="AM12" s="404" t="e">
        <f t="shared" si="8"/>
        <v>#N/A</v>
      </c>
      <c r="AN12" s="534"/>
      <c r="AO12" s="404"/>
      <c r="AP12" s="405"/>
      <c r="AQ12" s="405"/>
      <c r="AR12" s="404" t="e">
        <f t="shared" si="10"/>
        <v>#N/A</v>
      </c>
      <c r="AS12" s="534"/>
      <c r="AT12" s="404">
        <v>20</v>
      </c>
      <c r="AU12" s="405">
        <v>1255.0909090909099</v>
      </c>
      <c r="AV12" s="405">
        <v>62.754545454545493</v>
      </c>
      <c r="AW12" s="404">
        <f t="shared" si="13"/>
        <v>9</v>
      </c>
      <c r="AX12" s="534"/>
      <c r="AZ12" s="321" t="e">
        <f>RANK(AX12, $K$7:AX$21)</f>
        <v>#N/A</v>
      </c>
      <c r="BB12" s="318" t="e">
        <f t="shared" si="14"/>
        <v>#N/A</v>
      </c>
    </row>
    <row r="13" spans="1:54">
      <c r="A13" s="81"/>
      <c r="B13" s="533"/>
      <c r="C13" s="404">
        <v>7</v>
      </c>
      <c r="D13" s="226" t="s">
        <v>392</v>
      </c>
      <c r="E13" s="182">
        <v>20</v>
      </c>
      <c r="F13" s="404">
        <v>1440</v>
      </c>
      <c r="G13" s="405">
        <v>72</v>
      </c>
      <c r="H13" s="598"/>
      <c r="I13" s="408">
        <f t="shared" si="12"/>
        <v>20</v>
      </c>
      <c r="J13" s="408">
        <f t="shared" si="12"/>
        <v>1227.1428571428567</v>
      </c>
      <c r="K13" s="406">
        <f t="shared" si="12"/>
        <v>61.357142857142833</v>
      </c>
      <c r="L13" s="588"/>
      <c r="M13" s="407">
        <f>RANK(K13, $K$7:K$21)</f>
        <v>10</v>
      </c>
      <c r="N13" s="544"/>
      <c r="O13" s="544"/>
      <c r="P13" s="404"/>
      <c r="Q13" s="405"/>
      <c r="R13" s="405"/>
      <c r="S13" s="404" t="e">
        <f t="shared" si="0"/>
        <v>#N/A</v>
      </c>
      <c r="T13" s="534"/>
      <c r="U13" s="404"/>
      <c r="V13" s="405"/>
      <c r="W13" s="405"/>
      <c r="X13" s="404" t="e">
        <f t="shared" si="2"/>
        <v>#N/A</v>
      </c>
      <c r="Y13" s="534"/>
      <c r="Z13" s="404"/>
      <c r="AA13" s="405"/>
      <c r="AB13" s="405"/>
      <c r="AC13" s="404" t="e">
        <f t="shared" si="4"/>
        <v>#N/A</v>
      </c>
      <c r="AD13" s="534"/>
      <c r="AE13" s="404"/>
      <c r="AF13" s="405"/>
      <c r="AG13" s="405"/>
      <c r="AH13" s="404" t="e">
        <f t="shared" si="6"/>
        <v>#N/A</v>
      </c>
      <c r="AI13" s="534"/>
      <c r="AJ13" s="404"/>
      <c r="AK13" s="405"/>
      <c r="AL13" s="405"/>
      <c r="AM13" s="404" t="e">
        <f t="shared" si="8"/>
        <v>#N/A</v>
      </c>
      <c r="AN13" s="534"/>
      <c r="AO13" s="404"/>
      <c r="AP13" s="405"/>
      <c r="AQ13" s="405"/>
      <c r="AR13" s="404" t="e">
        <f t="shared" si="10"/>
        <v>#N/A</v>
      </c>
      <c r="AS13" s="534"/>
      <c r="AT13" s="404">
        <v>20</v>
      </c>
      <c r="AU13" s="405">
        <v>1227.1428571428567</v>
      </c>
      <c r="AV13" s="405">
        <v>61.357142857142833</v>
      </c>
      <c r="AW13" s="404">
        <f t="shared" si="13"/>
        <v>10</v>
      </c>
      <c r="AX13" s="534"/>
      <c r="AZ13" s="321" t="e">
        <f>RANK(AX13, $K$7:AX$21)</f>
        <v>#N/A</v>
      </c>
      <c r="BB13" s="318" t="e">
        <f t="shared" si="14"/>
        <v>#N/A</v>
      </c>
    </row>
    <row r="14" spans="1:54">
      <c r="A14" s="81"/>
      <c r="B14" s="533"/>
      <c r="C14" s="404">
        <v>8</v>
      </c>
      <c r="D14" s="226" t="s">
        <v>504</v>
      </c>
      <c r="E14" s="182">
        <v>18</v>
      </c>
      <c r="F14" s="404">
        <v>1385</v>
      </c>
      <c r="G14" s="405">
        <v>76.944444444444443</v>
      </c>
      <c r="H14" s="598"/>
      <c r="I14" s="408">
        <f t="shared" si="12"/>
        <v>18</v>
      </c>
      <c r="J14" s="408">
        <f t="shared" si="12"/>
        <v>1185.2727272727263</v>
      </c>
      <c r="K14" s="406">
        <f t="shared" si="12"/>
        <v>65.848484848484802</v>
      </c>
      <c r="L14" s="588"/>
      <c r="M14" s="407">
        <f>RANK(K14, $K$7:K$21)</f>
        <v>8</v>
      </c>
      <c r="N14" s="544"/>
      <c r="O14" s="544"/>
      <c r="P14" s="404"/>
      <c r="Q14" s="405"/>
      <c r="R14" s="405"/>
      <c r="S14" s="404" t="e">
        <f t="shared" si="0"/>
        <v>#N/A</v>
      </c>
      <c r="T14" s="534"/>
      <c r="U14" s="404"/>
      <c r="V14" s="405"/>
      <c r="W14" s="405"/>
      <c r="X14" s="404" t="e">
        <f t="shared" si="2"/>
        <v>#N/A</v>
      </c>
      <c r="Y14" s="534"/>
      <c r="Z14" s="404"/>
      <c r="AA14" s="405"/>
      <c r="AB14" s="405"/>
      <c r="AC14" s="404" t="e">
        <f t="shared" si="4"/>
        <v>#N/A</v>
      </c>
      <c r="AD14" s="534"/>
      <c r="AE14" s="404"/>
      <c r="AF14" s="405"/>
      <c r="AG14" s="405"/>
      <c r="AH14" s="404" t="e">
        <f t="shared" si="6"/>
        <v>#N/A</v>
      </c>
      <c r="AI14" s="534"/>
      <c r="AJ14" s="404"/>
      <c r="AK14" s="405"/>
      <c r="AL14" s="405"/>
      <c r="AM14" s="404" t="e">
        <f t="shared" si="8"/>
        <v>#N/A</v>
      </c>
      <c r="AN14" s="534"/>
      <c r="AO14" s="404"/>
      <c r="AP14" s="405"/>
      <c r="AQ14" s="405"/>
      <c r="AR14" s="404" t="e">
        <f t="shared" si="10"/>
        <v>#N/A</v>
      </c>
      <c r="AS14" s="534"/>
      <c r="AT14" s="404">
        <v>18</v>
      </c>
      <c r="AU14" s="405">
        <v>1185.2727272727263</v>
      </c>
      <c r="AV14" s="405">
        <v>65.848484848484802</v>
      </c>
      <c r="AW14" s="404">
        <f t="shared" si="13"/>
        <v>8</v>
      </c>
      <c r="AX14" s="534"/>
      <c r="AZ14" s="321" t="e">
        <f>RANK(AX14, $K$7:AX$21)</f>
        <v>#N/A</v>
      </c>
      <c r="BB14" s="318" t="e">
        <f t="shared" si="14"/>
        <v>#N/A</v>
      </c>
    </row>
    <row r="15" spans="1:54">
      <c r="A15" s="81"/>
      <c r="B15" s="533"/>
      <c r="C15" s="404">
        <v>9</v>
      </c>
      <c r="D15" s="226" t="s">
        <v>507</v>
      </c>
      <c r="E15" s="182">
        <v>21</v>
      </c>
      <c r="F15" s="404">
        <v>1385</v>
      </c>
      <c r="G15" s="405">
        <v>65.952380952380949</v>
      </c>
      <c r="H15" s="598"/>
      <c r="I15" s="408">
        <f t="shared" si="12"/>
        <v>20</v>
      </c>
      <c r="J15" s="408">
        <f t="shared" si="12"/>
        <v>1207.0588235294133</v>
      </c>
      <c r="K15" s="406">
        <f t="shared" si="12"/>
        <v>60.352941176470665</v>
      </c>
      <c r="L15" s="588"/>
      <c r="M15" s="407">
        <f>RANK(K15, $K$7:K$21)</f>
        <v>11</v>
      </c>
      <c r="N15" s="544"/>
      <c r="O15" s="544"/>
      <c r="P15" s="404"/>
      <c r="Q15" s="405"/>
      <c r="R15" s="405"/>
      <c r="S15" s="404" t="e">
        <f t="shared" si="0"/>
        <v>#N/A</v>
      </c>
      <c r="T15" s="534"/>
      <c r="U15" s="404"/>
      <c r="V15" s="405"/>
      <c r="W15" s="405"/>
      <c r="X15" s="404" t="e">
        <f t="shared" si="2"/>
        <v>#N/A</v>
      </c>
      <c r="Y15" s="534"/>
      <c r="Z15" s="404"/>
      <c r="AA15" s="405"/>
      <c r="AB15" s="405"/>
      <c r="AC15" s="404" t="e">
        <f t="shared" si="4"/>
        <v>#N/A</v>
      </c>
      <c r="AD15" s="534"/>
      <c r="AE15" s="404"/>
      <c r="AF15" s="405"/>
      <c r="AG15" s="405"/>
      <c r="AH15" s="404" t="e">
        <f t="shared" si="6"/>
        <v>#N/A</v>
      </c>
      <c r="AI15" s="534"/>
      <c r="AJ15" s="404"/>
      <c r="AK15" s="405"/>
      <c r="AL15" s="405"/>
      <c r="AM15" s="404" t="e">
        <f t="shared" si="8"/>
        <v>#N/A</v>
      </c>
      <c r="AN15" s="534"/>
      <c r="AO15" s="404"/>
      <c r="AP15" s="405"/>
      <c r="AQ15" s="405"/>
      <c r="AR15" s="404" t="e">
        <f t="shared" si="10"/>
        <v>#N/A</v>
      </c>
      <c r="AS15" s="534"/>
      <c r="AT15" s="404">
        <v>20</v>
      </c>
      <c r="AU15" s="405">
        <v>1207.0588235294133</v>
      </c>
      <c r="AV15" s="405">
        <v>60.352941176470665</v>
      </c>
      <c r="AW15" s="404">
        <f t="shared" si="13"/>
        <v>11</v>
      </c>
      <c r="AX15" s="534"/>
      <c r="AZ15" s="321" t="e">
        <f>RANK(AX15, $K$7:AX$21)</f>
        <v>#N/A</v>
      </c>
      <c r="BB15" s="318" t="e">
        <f t="shared" si="14"/>
        <v>#N/A</v>
      </c>
    </row>
    <row r="16" spans="1:54">
      <c r="A16" s="81"/>
      <c r="B16" s="533"/>
      <c r="C16" s="404">
        <v>10</v>
      </c>
      <c r="D16" s="226" t="s">
        <v>549</v>
      </c>
      <c r="E16" s="182">
        <v>16</v>
      </c>
      <c r="F16" s="404">
        <v>1565</v>
      </c>
      <c r="G16" s="405">
        <v>97.8125</v>
      </c>
      <c r="H16" s="598"/>
      <c r="I16" s="408">
        <f t="shared" si="12"/>
        <v>15</v>
      </c>
      <c r="J16" s="408">
        <f t="shared" si="12"/>
        <v>1214.9999999999995</v>
      </c>
      <c r="K16" s="406">
        <f t="shared" si="12"/>
        <v>80.999999999999972</v>
      </c>
      <c r="L16" s="588"/>
      <c r="M16" s="407">
        <f>RANK(K16, $K$7:K$21)</f>
        <v>1</v>
      </c>
      <c r="N16" s="544"/>
      <c r="O16" s="544"/>
      <c r="P16" s="404"/>
      <c r="Q16" s="405"/>
      <c r="R16" s="405"/>
      <c r="S16" s="404" t="e">
        <f t="shared" si="0"/>
        <v>#N/A</v>
      </c>
      <c r="T16" s="534"/>
      <c r="U16" s="404"/>
      <c r="V16" s="405"/>
      <c r="W16" s="405"/>
      <c r="X16" s="404" t="e">
        <f t="shared" si="2"/>
        <v>#N/A</v>
      </c>
      <c r="Y16" s="534"/>
      <c r="Z16" s="404"/>
      <c r="AA16" s="405"/>
      <c r="AB16" s="405"/>
      <c r="AC16" s="404" t="e">
        <f t="shared" si="4"/>
        <v>#N/A</v>
      </c>
      <c r="AD16" s="534"/>
      <c r="AE16" s="404"/>
      <c r="AF16" s="405"/>
      <c r="AG16" s="405"/>
      <c r="AH16" s="404" t="e">
        <f t="shared" si="6"/>
        <v>#N/A</v>
      </c>
      <c r="AI16" s="534"/>
      <c r="AJ16" s="404"/>
      <c r="AK16" s="405"/>
      <c r="AL16" s="405"/>
      <c r="AM16" s="404" t="e">
        <f t="shared" si="8"/>
        <v>#N/A</v>
      </c>
      <c r="AN16" s="534"/>
      <c r="AO16" s="404"/>
      <c r="AP16" s="405"/>
      <c r="AQ16" s="405"/>
      <c r="AR16" s="404" t="e">
        <f t="shared" si="10"/>
        <v>#N/A</v>
      </c>
      <c r="AS16" s="534"/>
      <c r="AT16" s="404">
        <v>15</v>
      </c>
      <c r="AU16" s="405">
        <v>1214.9999999999995</v>
      </c>
      <c r="AV16" s="405">
        <v>80.999999999999972</v>
      </c>
      <c r="AW16" s="404">
        <f t="shared" si="13"/>
        <v>1</v>
      </c>
      <c r="AX16" s="534"/>
      <c r="AZ16" s="321" t="e">
        <f>RANK(AX16, $K$7:AX$21)</f>
        <v>#N/A</v>
      </c>
      <c r="BB16" s="318" t="e">
        <f t="shared" si="14"/>
        <v>#N/A</v>
      </c>
    </row>
    <row r="17" spans="2:54">
      <c r="B17" s="533"/>
      <c r="C17" s="404">
        <v>11</v>
      </c>
      <c r="D17" s="226" t="s">
        <v>581</v>
      </c>
      <c r="E17" s="182">
        <v>19</v>
      </c>
      <c r="F17" s="404">
        <v>1440</v>
      </c>
      <c r="G17" s="405">
        <v>75.78947368421052</v>
      </c>
      <c r="H17" s="598"/>
      <c r="I17" s="408">
        <f t="shared" si="12"/>
        <v>17</v>
      </c>
      <c r="J17" s="408">
        <f t="shared" si="12"/>
        <v>1265.1724137931028</v>
      </c>
      <c r="K17" s="406">
        <f t="shared" si="12"/>
        <v>74.421906693711932</v>
      </c>
      <c r="L17" s="588"/>
      <c r="M17" s="407">
        <f>RANK(K17, $K$7:K$21)</f>
        <v>3</v>
      </c>
      <c r="N17" s="544"/>
      <c r="O17" s="544"/>
      <c r="P17" s="404"/>
      <c r="Q17" s="405"/>
      <c r="R17" s="405"/>
      <c r="S17" s="404" t="e">
        <f t="shared" si="0"/>
        <v>#N/A</v>
      </c>
      <c r="T17" s="534"/>
      <c r="U17" s="404"/>
      <c r="V17" s="405"/>
      <c r="W17" s="405"/>
      <c r="X17" s="404" t="e">
        <f t="shared" si="2"/>
        <v>#N/A</v>
      </c>
      <c r="Y17" s="534"/>
      <c r="Z17" s="404"/>
      <c r="AA17" s="405"/>
      <c r="AB17" s="405"/>
      <c r="AC17" s="404" t="e">
        <f t="shared" si="4"/>
        <v>#N/A</v>
      </c>
      <c r="AD17" s="534"/>
      <c r="AE17" s="404"/>
      <c r="AF17" s="405"/>
      <c r="AG17" s="405"/>
      <c r="AH17" s="404" t="e">
        <f t="shared" si="6"/>
        <v>#N/A</v>
      </c>
      <c r="AI17" s="534"/>
      <c r="AJ17" s="404"/>
      <c r="AK17" s="405"/>
      <c r="AL17" s="405"/>
      <c r="AM17" s="404" t="e">
        <f t="shared" si="8"/>
        <v>#N/A</v>
      </c>
      <c r="AN17" s="534"/>
      <c r="AO17" s="404"/>
      <c r="AP17" s="405"/>
      <c r="AQ17" s="405"/>
      <c r="AR17" s="404" t="e">
        <f t="shared" si="10"/>
        <v>#N/A</v>
      </c>
      <c r="AS17" s="534"/>
      <c r="AT17" s="404">
        <v>17</v>
      </c>
      <c r="AU17" s="405">
        <v>1265.1724137931028</v>
      </c>
      <c r="AV17" s="405">
        <v>74.421906693711932</v>
      </c>
      <c r="AW17" s="404">
        <f t="shared" si="13"/>
        <v>3</v>
      </c>
      <c r="AX17" s="534"/>
      <c r="AZ17" s="321" t="e">
        <f>RANK(AX17, $K$7:AX$21)</f>
        <v>#N/A</v>
      </c>
      <c r="BB17" s="318" t="e">
        <f t="shared" si="14"/>
        <v>#N/A</v>
      </c>
    </row>
    <row r="18" spans="2:54">
      <c r="B18" s="533"/>
      <c r="C18" s="404">
        <v>12</v>
      </c>
      <c r="D18" s="226" t="s">
        <v>625</v>
      </c>
      <c r="E18" s="182">
        <v>19</v>
      </c>
      <c r="F18" s="404">
        <v>1385</v>
      </c>
      <c r="G18" s="405">
        <v>72.89473684210526</v>
      </c>
      <c r="H18" s="598"/>
      <c r="I18" s="202"/>
      <c r="J18" s="202"/>
      <c r="K18" s="202"/>
      <c r="L18" s="588"/>
      <c r="M18" s="407" t="e">
        <f>RANK(K18, $K$7:K$21)</f>
        <v>#N/A</v>
      </c>
      <c r="N18" s="544"/>
      <c r="O18" s="544"/>
      <c r="P18" s="404"/>
      <c r="Q18" s="405"/>
      <c r="R18" s="405"/>
      <c r="S18" s="404" t="e">
        <f t="shared" si="0"/>
        <v>#N/A</v>
      </c>
      <c r="T18" s="534"/>
      <c r="U18" s="404"/>
      <c r="V18" s="405"/>
      <c r="W18" s="405"/>
      <c r="X18" s="404" t="e">
        <f t="shared" si="2"/>
        <v>#N/A</v>
      </c>
      <c r="Y18" s="534"/>
      <c r="Z18" s="404"/>
      <c r="AA18" s="405"/>
      <c r="AB18" s="405"/>
      <c r="AC18" s="404" t="e">
        <f t="shared" si="4"/>
        <v>#N/A</v>
      </c>
      <c r="AD18" s="534"/>
      <c r="AE18" s="404"/>
      <c r="AF18" s="405"/>
      <c r="AG18" s="405"/>
      <c r="AH18" s="404" t="e">
        <f t="shared" si="6"/>
        <v>#N/A</v>
      </c>
      <c r="AI18" s="534"/>
      <c r="AJ18" s="404"/>
      <c r="AK18" s="405"/>
      <c r="AL18" s="405"/>
      <c r="AM18" s="404" t="e">
        <f t="shared" si="8"/>
        <v>#N/A</v>
      </c>
      <c r="AN18" s="534"/>
      <c r="AO18" s="404"/>
      <c r="AP18" s="405"/>
      <c r="AQ18" s="405"/>
      <c r="AR18" s="404" t="e">
        <f t="shared" si="10"/>
        <v>#N/A</v>
      </c>
      <c r="AS18" s="534"/>
      <c r="AT18" s="404"/>
      <c r="AU18" s="405"/>
      <c r="AV18" s="405"/>
      <c r="AW18" s="404" t="e">
        <f t="shared" si="13"/>
        <v>#N/A</v>
      </c>
      <c r="AX18" s="534"/>
      <c r="AZ18" s="321" t="e">
        <f>RANK(AX18, $K$7:AX$21)</f>
        <v>#N/A</v>
      </c>
      <c r="BB18" s="318" t="e">
        <f t="shared" si="14"/>
        <v>#N/A</v>
      </c>
    </row>
    <row r="19" spans="2:54">
      <c r="B19" s="533"/>
      <c r="C19" s="404">
        <v>13</v>
      </c>
      <c r="D19" s="226"/>
      <c r="E19" s="182"/>
      <c r="F19" s="404"/>
      <c r="G19" s="405"/>
      <c r="H19" s="598"/>
      <c r="I19" s="202"/>
      <c r="J19" s="202"/>
      <c r="K19" s="202"/>
      <c r="L19" s="588"/>
      <c r="M19" s="407" t="e">
        <f>RANK(K19, $K$7:K$21)</f>
        <v>#N/A</v>
      </c>
      <c r="N19" s="544"/>
      <c r="O19" s="544"/>
      <c r="P19" s="404"/>
      <c r="Q19" s="405"/>
      <c r="R19" s="405"/>
      <c r="S19" s="404" t="e">
        <f t="shared" si="0"/>
        <v>#N/A</v>
      </c>
      <c r="T19" s="534"/>
      <c r="U19" s="404"/>
      <c r="V19" s="405"/>
      <c r="W19" s="405"/>
      <c r="X19" s="404" t="e">
        <f t="shared" si="2"/>
        <v>#N/A</v>
      </c>
      <c r="Y19" s="534"/>
      <c r="Z19" s="404"/>
      <c r="AA19" s="405"/>
      <c r="AB19" s="405"/>
      <c r="AC19" s="404" t="e">
        <f t="shared" si="4"/>
        <v>#N/A</v>
      </c>
      <c r="AD19" s="534"/>
      <c r="AE19" s="404"/>
      <c r="AF19" s="405"/>
      <c r="AG19" s="405"/>
      <c r="AH19" s="404" t="e">
        <f t="shared" si="6"/>
        <v>#N/A</v>
      </c>
      <c r="AI19" s="534"/>
      <c r="AJ19" s="404"/>
      <c r="AK19" s="405"/>
      <c r="AL19" s="405"/>
      <c r="AM19" s="404" t="e">
        <f t="shared" si="8"/>
        <v>#N/A</v>
      </c>
      <c r="AN19" s="534"/>
      <c r="AO19" s="404"/>
      <c r="AP19" s="405"/>
      <c r="AQ19" s="405"/>
      <c r="AR19" s="404" t="e">
        <f t="shared" si="10"/>
        <v>#N/A</v>
      </c>
      <c r="AS19" s="534"/>
      <c r="AT19" s="404"/>
      <c r="AU19" s="405"/>
      <c r="AV19" s="405"/>
      <c r="AW19" s="404" t="e">
        <f t="shared" si="13"/>
        <v>#N/A</v>
      </c>
      <c r="AX19" s="534"/>
      <c r="AZ19" s="321" t="e">
        <f>RANK(AX19, $K$7:AX$21)</f>
        <v>#N/A</v>
      </c>
      <c r="BB19" s="318" t="e">
        <f t="shared" si="14"/>
        <v>#N/A</v>
      </c>
    </row>
    <row r="20" spans="2:54">
      <c r="B20" s="533"/>
      <c r="C20" s="404">
        <v>14</v>
      </c>
      <c r="D20" s="226"/>
      <c r="E20" s="182"/>
      <c r="F20" s="404"/>
      <c r="G20" s="405"/>
      <c r="H20" s="598"/>
      <c r="I20" s="202"/>
      <c r="J20" s="202"/>
      <c r="K20" s="202"/>
      <c r="L20" s="588"/>
      <c r="M20" s="407" t="e">
        <f>RANK(K20, $K$7:K$21)</f>
        <v>#N/A</v>
      </c>
      <c r="N20" s="544"/>
      <c r="O20" s="544"/>
      <c r="P20" s="404"/>
      <c r="Q20" s="405"/>
      <c r="R20" s="405"/>
      <c r="S20" s="404" t="e">
        <f t="shared" si="0"/>
        <v>#N/A</v>
      </c>
      <c r="T20" s="534"/>
      <c r="U20" s="404"/>
      <c r="V20" s="405"/>
      <c r="W20" s="405"/>
      <c r="X20" s="404" t="e">
        <f t="shared" si="2"/>
        <v>#N/A</v>
      </c>
      <c r="Y20" s="534"/>
      <c r="Z20" s="404"/>
      <c r="AA20" s="405"/>
      <c r="AB20" s="405"/>
      <c r="AC20" s="404" t="e">
        <f t="shared" si="4"/>
        <v>#N/A</v>
      </c>
      <c r="AD20" s="534"/>
      <c r="AE20" s="404"/>
      <c r="AF20" s="405"/>
      <c r="AG20" s="405"/>
      <c r="AH20" s="404" t="e">
        <f t="shared" si="6"/>
        <v>#N/A</v>
      </c>
      <c r="AI20" s="534"/>
      <c r="AJ20" s="404"/>
      <c r="AK20" s="405"/>
      <c r="AL20" s="405"/>
      <c r="AM20" s="404" t="e">
        <f t="shared" si="8"/>
        <v>#N/A</v>
      </c>
      <c r="AN20" s="534"/>
      <c r="AO20" s="404"/>
      <c r="AP20" s="405"/>
      <c r="AQ20" s="405"/>
      <c r="AR20" s="404" t="e">
        <f t="shared" si="10"/>
        <v>#N/A</v>
      </c>
      <c r="AS20" s="534"/>
      <c r="AT20" s="404"/>
      <c r="AU20" s="405"/>
      <c r="AV20" s="405"/>
      <c r="AW20" s="404" t="e">
        <f t="shared" si="13"/>
        <v>#N/A</v>
      </c>
      <c r="AX20" s="534"/>
      <c r="AZ20" s="321" t="e">
        <f>RANK(AX20, $K$7:AX$21)</f>
        <v>#N/A</v>
      </c>
      <c r="BB20" s="318" t="e">
        <f t="shared" si="14"/>
        <v>#N/A</v>
      </c>
    </row>
    <row r="21" spans="2:54">
      <c r="B21" s="533"/>
      <c r="C21" s="404">
        <v>15</v>
      </c>
      <c r="D21" s="226"/>
      <c r="E21" s="182"/>
      <c r="F21" s="404"/>
      <c r="G21" s="405"/>
      <c r="H21" s="599"/>
      <c r="I21" s="202"/>
      <c r="J21" s="202"/>
      <c r="K21" s="202"/>
      <c r="L21" s="589"/>
      <c r="M21" s="408" t="e">
        <f>RANK(K21, $K$7:K$21)</f>
        <v>#N/A</v>
      </c>
      <c r="N21" s="544"/>
      <c r="O21" s="544"/>
      <c r="P21" s="404"/>
      <c r="Q21" s="405"/>
      <c r="R21" s="405"/>
      <c r="S21" s="404" t="e">
        <f t="shared" si="0"/>
        <v>#N/A</v>
      </c>
      <c r="T21" s="534"/>
      <c r="U21" s="404"/>
      <c r="V21" s="405"/>
      <c r="W21" s="405"/>
      <c r="X21" s="404" t="e">
        <f t="shared" si="2"/>
        <v>#N/A</v>
      </c>
      <c r="Y21" s="534"/>
      <c r="Z21" s="404"/>
      <c r="AA21" s="405"/>
      <c r="AB21" s="405"/>
      <c r="AC21" s="404" t="e">
        <f t="shared" si="4"/>
        <v>#N/A</v>
      </c>
      <c r="AD21" s="534"/>
      <c r="AE21" s="404"/>
      <c r="AF21" s="405"/>
      <c r="AG21" s="405"/>
      <c r="AH21" s="404" t="e">
        <f t="shared" si="6"/>
        <v>#N/A</v>
      </c>
      <c r="AI21" s="534"/>
      <c r="AJ21" s="404"/>
      <c r="AK21" s="405"/>
      <c r="AL21" s="405"/>
      <c r="AM21" s="404" t="e">
        <f t="shared" si="8"/>
        <v>#N/A</v>
      </c>
      <c r="AN21" s="534"/>
      <c r="AO21" s="404"/>
      <c r="AP21" s="405"/>
      <c r="AQ21" s="405"/>
      <c r="AR21" s="404" t="e">
        <f t="shared" si="10"/>
        <v>#N/A</v>
      </c>
      <c r="AS21" s="534"/>
      <c r="AT21" s="404"/>
      <c r="AU21" s="405"/>
      <c r="AV21" s="405"/>
      <c r="AW21" s="404" t="e">
        <f t="shared" si="13"/>
        <v>#N/A</v>
      </c>
      <c r="AX21" s="534"/>
      <c r="AZ21" s="320" t="e">
        <f>RANK(AX21, $K$7:AX$21)</f>
        <v>#N/A</v>
      </c>
      <c r="BB21" s="318" t="e">
        <f t="shared" si="14"/>
        <v>#N/A</v>
      </c>
    </row>
    <row r="22" spans="2:54" ht="15.5">
      <c r="B22" s="575" t="s">
        <v>704</v>
      </c>
      <c r="C22" s="576"/>
      <c r="D22" s="576"/>
      <c r="E22" s="576"/>
      <c r="F22" s="576"/>
      <c r="G22" s="576"/>
      <c r="H22" s="576"/>
      <c r="I22" s="203"/>
      <c r="J22" s="203"/>
      <c r="K22" s="203"/>
      <c r="L22" s="203"/>
      <c r="M22" s="204"/>
      <c r="N22" s="559" t="s">
        <v>705</v>
      </c>
      <c r="O22" s="559" t="s">
        <v>706</v>
      </c>
      <c r="P22" s="554">
        <v>45993</v>
      </c>
      <c r="Q22" s="533"/>
      <c r="R22" s="533"/>
      <c r="S22" s="533"/>
      <c r="T22" s="533"/>
      <c r="U22" s="554">
        <f>P22+1</f>
        <v>45994</v>
      </c>
      <c r="V22" s="533"/>
      <c r="W22" s="533"/>
      <c r="X22" s="533"/>
      <c r="Y22" s="533"/>
      <c r="Z22" s="554">
        <f>U22+1</f>
        <v>45995</v>
      </c>
      <c r="AA22" s="533"/>
      <c r="AB22" s="533"/>
      <c r="AC22" s="533"/>
      <c r="AD22" s="533"/>
      <c r="AE22" s="554">
        <f>Z22+1</f>
        <v>45996</v>
      </c>
      <c r="AF22" s="533"/>
      <c r="AG22" s="533"/>
      <c r="AH22" s="533"/>
      <c r="AI22" s="533"/>
      <c r="AJ22" s="554">
        <f>AE22+1</f>
        <v>45997</v>
      </c>
      <c r="AK22" s="533"/>
      <c r="AL22" s="533"/>
      <c r="AM22" s="533"/>
      <c r="AN22" s="533"/>
      <c r="AO22" s="554">
        <f>AJ22+1</f>
        <v>45998</v>
      </c>
      <c r="AP22" s="533"/>
      <c r="AQ22" s="533"/>
      <c r="AR22" s="533"/>
      <c r="AS22" s="533"/>
      <c r="AT22" s="554">
        <f>AO22+1</f>
        <v>45999</v>
      </c>
      <c r="AU22" s="533"/>
      <c r="AV22" s="533"/>
      <c r="AW22" s="533"/>
      <c r="AX22" s="533"/>
    </row>
    <row r="23" spans="2:54" ht="15.5">
      <c r="B23" s="558"/>
      <c r="C23" s="558"/>
      <c r="D23" s="558"/>
      <c r="E23" s="558"/>
      <c r="F23" s="558"/>
      <c r="G23" s="558"/>
      <c r="H23" s="558"/>
      <c r="I23" s="205"/>
      <c r="J23" s="205"/>
      <c r="K23" s="205"/>
      <c r="L23" s="205"/>
      <c r="M23" s="206"/>
      <c r="N23" s="560"/>
      <c r="O23" s="560"/>
      <c r="P23" s="554" t="s">
        <v>707</v>
      </c>
      <c r="Q23" s="533"/>
      <c r="R23" s="533"/>
      <c r="S23" s="533"/>
      <c r="T23" s="533"/>
      <c r="U23" s="554" t="s">
        <v>708</v>
      </c>
      <c r="V23" s="533"/>
      <c r="W23" s="533"/>
      <c r="X23" s="533"/>
      <c r="Y23" s="533"/>
      <c r="Z23" s="554" t="s">
        <v>709</v>
      </c>
      <c r="AA23" s="533"/>
      <c r="AB23" s="533"/>
      <c r="AC23" s="533"/>
      <c r="AD23" s="533"/>
      <c r="AE23" s="554" t="s">
        <v>710</v>
      </c>
      <c r="AF23" s="533"/>
      <c r="AG23" s="533"/>
      <c r="AH23" s="533"/>
      <c r="AI23" s="533"/>
      <c r="AJ23" s="554" t="s">
        <v>711</v>
      </c>
      <c r="AK23" s="533"/>
      <c r="AL23" s="533"/>
      <c r="AM23" s="533"/>
      <c r="AN23" s="533"/>
      <c r="AO23" s="554" t="s">
        <v>712</v>
      </c>
      <c r="AP23" s="533"/>
      <c r="AQ23" s="533"/>
      <c r="AR23" s="533"/>
      <c r="AS23" s="533"/>
      <c r="AT23" s="554" t="s">
        <v>713</v>
      </c>
      <c r="AU23" s="533"/>
      <c r="AV23" s="533"/>
      <c r="AW23" s="533"/>
      <c r="AX23" s="533"/>
    </row>
    <row r="24" spans="2:54">
      <c r="B24" s="544" t="s">
        <v>649</v>
      </c>
      <c r="C24" s="544" t="s">
        <v>650</v>
      </c>
      <c r="D24" s="544"/>
      <c r="E24" s="544" t="s">
        <v>651</v>
      </c>
      <c r="F24" s="544"/>
      <c r="G24" s="544"/>
      <c r="H24" s="561" t="s">
        <v>652</v>
      </c>
      <c r="I24" s="583" t="s">
        <v>653</v>
      </c>
      <c r="J24" s="583"/>
      <c r="K24" s="583"/>
      <c r="L24" s="584" t="s">
        <v>652</v>
      </c>
      <c r="M24" s="567" t="s">
        <v>654</v>
      </c>
      <c r="N24" s="544"/>
      <c r="O24" s="544" t="s">
        <v>655</v>
      </c>
      <c r="P24" s="548" t="s">
        <v>656</v>
      </c>
      <c r="Q24" s="549"/>
      <c r="R24" s="549"/>
      <c r="S24" s="550"/>
      <c r="T24" s="544" t="s">
        <v>652</v>
      </c>
      <c r="U24" s="548" t="s">
        <v>656</v>
      </c>
      <c r="V24" s="549"/>
      <c r="W24" s="549"/>
      <c r="X24" s="550"/>
      <c r="Y24" s="544" t="s">
        <v>652</v>
      </c>
      <c r="Z24" s="548" t="s">
        <v>656</v>
      </c>
      <c r="AA24" s="549"/>
      <c r="AB24" s="549"/>
      <c r="AC24" s="550"/>
      <c r="AD24" s="544" t="s">
        <v>652</v>
      </c>
      <c r="AE24" s="548" t="s">
        <v>656</v>
      </c>
      <c r="AF24" s="549"/>
      <c r="AG24" s="549"/>
      <c r="AH24" s="550"/>
      <c r="AI24" s="544" t="s">
        <v>652</v>
      </c>
      <c r="AJ24" s="548" t="s">
        <v>656</v>
      </c>
      <c r="AK24" s="549"/>
      <c r="AL24" s="549"/>
      <c r="AM24" s="550"/>
      <c r="AN24" s="544" t="s">
        <v>652</v>
      </c>
      <c r="AO24" s="548" t="s">
        <v>656</v>
      </c>
      <c r="AP24" s="549"/>
      <c r="AQ24" s="549"/>
      <c r="AR24" s="550"/>
      <c r="AS24" s="544" t="s">
        <v>652</v>
      </c>
      <c r="AT24" s="548" t="s">
        <v>656</v>
      </c>
      <c r="AU24" s="549"/>
      <c r="AV24" s="549"/>
      <c r="AW24" s="550"/>
      <c r="AX24" s="544" t="s">
        <v>652</v>
      </c>
    </row>
    <row r="25" spans="2:54">
      <c r="B25" s="544"/>
      <c r="C25" s="544"/>
      <c r="D25" s="544"/>
      <c r="E25" s="544" t="s">
        <v>657</v>
      </c>
      <c r="F25" s="544"/>
      <c r="G25" s="544"/>
      <c r="H25" s="562"/>
      <c r="I25" s="583" t="s">
        <v>657</v>
      </c>
      <c r="J25" s="583"/>
      <c r="K25" s="583"/>
      <c r="L25" s="585"/>
      <c r="M25" s="568"/>
      <c r="N25" s="544"/>
      <c r="O25" s="544"/>
      <c r="P25" s="548" t="s">
        <v>658</v>
      </c>
      <c r="Q25" s="549"/>
      <c r="R25" s="549"/>
      <c r="S25" s="550"/>
      <c r="T25" s="544"/>
      <c r="U25" s="548" t="s">
        <v>658</v>
      </c>
      <c r="V25" s="549"/>
      <c r="W25" s="549"/>
      <c r="X25" s="550"/>
      <c r="Y25" s="544"/>
      <c r="Z25" s="548" t="s">
        <v>658</v>
      </c>
      <c r="AA25" s="549"/>
      <c r="AB25" s="549"/>
      <c r="AC25" s="550"/>
      <c r="AD25" s="544"/>
      <c r="AE25" s="548" t="s">
        <v>658</v>
      </c>
      <c r="AF25" s="549"/>
      <c r="AG25" s="549"/>
      <c r="AH25" s="550"/>
      <c r="AI25" s="544"/>
      <c r="AJ25" s="548" t="s">
        <v>658</v>
      </c>
      <c r="AK25" s="549"/>
      <c r="AL25" s="549"/>
      <c r="AM25" s="550"/>
      <c r="AN25" s="544"/>
      <c r="AO25" s="548" t="s">
        <v>658</v>
      </c>
      <c r="AP25" s="549"/>
      <c r="AQ25" s="549"/>
      <c r="AR25" s="550"/>
      <c r="AS25" s="544"/>
      <c r="AT25" s="548" t="s">
        <v>658</v>
      </c>
      <c r="AU25" s="549"/>
      <c r="AV25" s="549"/>
      <c r="AW25" s="550"/>
      <c r="AX25" s="544"/>
    </row>
    <row r="26" spans="2:54">
      <c r="B26" s="544"/>
      <c r="C26" s="544"/>
      <c r="D26" s="544"/>
      <c r="E26" s="403" t="s">
        <v>659</v>
      </c>
      <c r="F26" s="403" t="s">
        <v>660</v>
      </c>
      <c r="G26" s="403" t="s">
        <v>661</v>
      </c>
      <c r="H26" s="563"/>
      <c r="I26" s="402" t="s">
        <v>659</v>
      </c>
      <c r="J26" s="402" t="s">
        <v>660</v>
      </c>
      <c r="K26" s="402" t="s">
        <v>661</v>
      </c>
      <c r="L26" s="586"/>
      <c r="M26" s="569"/>
      <c r="N26" s="544"/>
      <c r="O26" s="544"/>
      <c r="P26" s="403" t="s">
        <v>659</v>
      </c>
      <c r="Q26" s="403" t="s">
        <v>660</v>
      </c>
      <c r="R26" s="403" t="s">
        <v>661</v>
      </c>
      <c r="S26" s="403" t="s">
        <v>654</v>
      </c>
      <c r="T26" s="544"/>
      <c r="U26" s="403" t="s">
        <v>659</v>
      </c>
      <c r="V26" s="403" t="s">
        <v>660</v>
      </c>
      <c r="W26" s="403" t="s">
        <v>661</v>
      </c>
      <c r="X26" s="403" t="s">
        <v>654</v>
      </c>
      <c r="Y26" s="544"/>
      <c r="Z26" s="403" t="s">
        <v>659</v>
      </c>
      <c r="AA26" s="403" t="s">
        <v>660</v>
      </c>
      <c r="AB26" s="403" t="s">
        <v>661</v>
      </c>
      <c r="AC26" s="403" t="s">
        <v>654</v>
      </c>
      <c r="AD26" s="544"/>
      <c r="AE26" s="403" t="s">
        <v>659</v>
      </c>
      <c r="AF26" s="403" t="s">
        <v>660</v>
      </c>
      <c r="AG26" s="403" t="s">
        <v>661</v>
      </c>
      <c r="AH26" s="403" t="s">
        <v>654</v>
      </c>
      <c r="AI26" s="544"/>
      <c r="AJ26" s="403" t="s">
        <v>659</v>
      </c>
      <c r="AK26" s="403" t="s">
        <v>660</v>
      </c>
      <c r="AL26" s="403" t="s">
        <v>661</v>
      </c>
      <c r="AM26" s="403" t="s">
        <v>654</v>
      </c>
      <c r="AN26" s="544"/>
      <c r="AO26" s="403" t="s">
        <v>659</v>
      </c>
      <c r="AP26" s="403" t="s">
        <v>660</v>
      </c>
      <c r="AQ26" s="403" t="s">
        <v>661</v>
      </c>
      <c r="AR26" s="403" t="s">
        <v>654</v>
      </c>
      <c r="AS26" s="544"/>
      <c r="AT26" s="403" t="s">
        <v>659</v>
      </c>
      <c r="AU26" s="403" t="s">
        <v>660</v>
      </c>
      <c r="AV26" s="403" t="s">
        <v>661</v>
      </c>
      <c r="AW26" s="403" t="s">
        <v>654</v>
      </c>
      <c r="AX26" s="544"/>
    </row>
    <row r="27" spans="2:54">
      <c r="B27" s="544" t="s">
        <v>719</v>
      </c>
      <c r="C27" s="404">
        <v>1</v>
      </c>
      <c r="D27" s="226" t="s">
        <v>386</v>
      </c>
      <c r="E27" s="182">
        <v>18</v>
      </c>
      <c r="F27" s="404">
        <v>1440</v>
      </c>
      <c r="G27" s="405">
        <v>80</v>
      </c>
      <c r="H27" s="597">
        <f>AVERAGE(G27:G41)</f>
        <v>84.066666666666649</v>
      </c>
      <c r="I27" s="408">
        <f>AVERAGE(P27,U27,Z27,AE27,AJ27,AO27,AT27)</f>
        <v>18</v>
      </c>
      <c r="J27" s="408">
        <f>AVERAGE(Q27,V27,AA27,AF27,AK27,AP27,AU27)</f>
        <v>1251.8031852473976</v>
      </c>
      <c r="K27" s="406">
        <f>AVERAGE(R27,W27,AB27,AG27,AL27,AQ27,AV27)</f>
        <v>69.544621402633197</v>
      </c>
      <c r="L27" s="587">
        <f>IFERROR(AVERAGE(K27:K41),"-")</f>
        <v>70.580653561259055</v>
      </c>
      <c r="M27" s="407">
        <f>RANK(K27, K$27:$K$41)</f>
        <v>5</v>
      </c>
      <c r="N27" s="544"/>
      <c r="O27" s="544"/>
      <c r="P27" s="182">
        <v>18</v>
      </c>
      <c r="Q27" s="405">
        <v>1248.4660194174755</v>
      </c>
      <c r="R27" s="405">
        <v>69.359223300970868</v>
      </c>
      <c r="S27" s="404">
        <f t="shared" ref="S27:S41" si="15">RANK(R27, R$27:R$41)</f>
        <v>5</v>
      </c>
      <c r="T27" s="597">
        <f>AVERAGE(R27:R41)</f>
        <v>70.335157574831896</v>
      </c>
      <c r="U27" s="182">
        <v>18</v>
      </c>
      <c r="V27" s="405">
        <v>1266.6947368421056</v>
      </c>
      <c r="W27" s="405">
        <v>70.37192982456142</v>
      </c>
      <c r="X27" s="404">
        <f t="shared" ref="X27:X41" si="16">RANK(W27, W$27:W$41)</f>
        <v>5</v>
      </c>
      <c r="Y27" s="597">
        <f t="shared" ref="Y27" si="17">AVERAGE(W27:W41)</f>
        <v>70.865948305110706</v>
      </c>
      <c r="Z27" s="182">
        <v>18</v>
      </c>
      <c r="AA27" s="405">
        <v>1263.4762886597941</v>
      </c>
      <c r="AB27" s="405">
        <v>70.193127147766347</v>
      </c>
      <c r="AC27" s="404">
        <f t="shared" ref="AC27:AC41" si="18">RANK(AB27, AB$27:AB$41)</f>
        <v>6</v>
      </c>
      <c r="AD27" s="597">
        <f t="shared" ref="AD27" si="19">AVERAGE(AB27:AB41)</f>
        <v>70.90282359396484</v>
      </c>
      <c r="AE27" s="182">
        <v>18</v>
      </c>
      <c r="AF27" s="405">
        <v>1231.2779220779225</v>
      </c>
      <c r="AG27" s="405">
        <v>68.404329004329028</v>
      </c>
      <c r="AH27" s="404">
        <f t="shared" ref="AH27:AH41" si="20">RANK(AG27, AG$27:AG$41)</f>
        <v>7</v>
      </c>
      <c r="AI27" s="597">
        <f t="shared" ref="AI27" si="21">AVERAGE(AG27:AG41)</f>
        <v>69.882920486924164</v>
      </c>
      <c r="AJ27" s="182">
        <v>18</v>
      </c>
      <c r="AK27" s="405">
        <v>1228.3780219780219</v>
      </c>
      <c r="AL27" s="405">
        <v>68.243223443223442</v>
      </c>
      <c r="AM27" s="404">
        <f t="shared" ref="AM27:AM41" si="22">RANK(AL27, AL$27:AL$41)</f>
        <v>7</v>
      </c>
      <c r="AN27" s="597">
        <f t="shared" ref="AN27" si="23">AVERAGE(AL27:AL41)</f>
        <v>70.63629998362002</v>
      </c>
      <c r="AO27" s="182">
        <v>18</v>
      </c>
      <c r="AP27" s="405">
        <v>1270.623853211009</v>
      </c>
      <c r="AQ27" s="405">
        <v>70.590214067278282</v>
      </c>
      <c r="AR27" s="404">
        <f t="shared" ref="AR27:AR41" si="24">RANK(AQ27, AQ$27:AQ$41)</f>
        <v>6</v>
      </c>
      <c r="AS27" s="597">
        <f t="shared" ref="AS27" si="25">AVERAGE(AQ27:AQ41)</f>
        <v>70.786713534439713</v>
      </c>
      <c r="AT27" s="182">
        <v>18</v>
      </c>
      <c r="AU27" s="405">
        <v>1253.7054545454544</v>
      </c>
      <c r="AV27" s="405">
        <v>69.650303030303022</v>
      </c>
      <c r="AW27" s="404">
        <f t="shared" ref="AW27:AW41" si="26">RANK(AV27, AV$27:AV$41)</f>
        <v>7</v>
      </c>
      <c r="AX27" s="534">
        <f t="shared" ref="AX27" si="27">AVERAGE(AV27:AV41)</f>
        <v>70.654711449921976</v>
      </c>
    </row>
    <row r="28" spans="2:54">
      <c r="B28" s="533"/>
      <c r="C28" s="404">
        <v>2</v>
      </c>
      <c r="D28" s="226" t="s">
        <v>387</v>
      </c>
      <c r="E28" s="182">
        <v>19</v>
      </c>
      <c r="F28" s="404">
        <v>1440</v>
      </c>
      <c r="G28" s="405">
        <v>75.8</v>
      </c>
      <c r="H28" s="598"/>
      <c r="I28" s="408">
        <f t="shared" ref="I28:K38" si="28">AVERAGE(P28,U28,Z28,AE28,AJ28,AO28,AT28)</f>
        <v>18.428571428571427</v>
      </c>
      <c r="J28" s="408">
        <f t="shared" si="28"/>
        <v>1228.4484913561894</v>
      </c>
      <c r="K28" s="406">
        <f t="shared" si="28"/>
        <v>66.698776733229494</v>
      </c>
      <c r="L28" s="588"/>
      <c r="M28" s="407">
        <f>RANK(K28, K$27:$K$41)</f>
        <v>9</v>
      </c>
      <c r="N28" s="544"/>
      <c r="O28" s="544"/>
      <c r="P28" s="404">
        <v>18</v>
      </c>
      <c r="Q28" s="405">
        <v>1204.3902439024387</v>
      </c>
      <c r="R28" s="405">
        <v>66.910569105691039</v>
      </c>
      <c r="S28" s="404">
        <f t="shared" si="15"/>
        <v>9</v>
      </c>
      <c r="T28" s="598"/>
      <c r="U28" s="404">
        <v>18</v>
      </c>
      <c r="V28" s="405">
        <v>1226.3414634146336</v>
      </c>
      <c r="W28" s="405">
        <v>68.130081300812975</v>
      </c>
      <c r="X28" s="404">
        <f t="shared" si="16"/>
        <v>8</v>
      </c>
      <c r="Y28" s="598"/>
      <c r="Z28" s="404">
        <v>18</v>
      </c>
      <c r="AA28" s="405">
        <v>1244.2105263157887</v>
      </c>
      <c r="AB28" s="405">
        <v>69.122807017543821</v>
      </c>
      <c r="AC28" s="404">
        <f t="shared" si="18"/>
        <v>7</v>
      </c>
      <c r="AD28" s="598"/>
      <c r="AE28" s="404">
        <v>18</v>
      </c>
      <c r="AF28" s="405">
        <v>1217.4193548387109</v>
      </c>
      <c r="AG28" s="405">
        <v>67.6344086021506</v>
      </c>
      <c r="AH28" s="404">
        <f t="shared" si="20"/>
        <v>8</v>
      </c>
      <c r="AI28" s="598"/>
      <c r="AJ28" s="404">
        <v>19</v>
      </c>
      <c r="AK28" s="405">
        <v>1272.972972972972</v>
      </c>
      <c r="AL28" s="405">
        <v>66.998577524893264</v>
      </c>
      <c r="AM28" s="404">
        <f t="shared" si="22"/>
        <v>8</v>
      </c>
      <c r="AN28" s="598"/>
      <c r="AO28" s="404">
        <v>19</v>
      </c>
      <c r="AP28" s="405">
        <v>1227.8048780487802</v>
      </c>
      <c r="AQ28" s="405">
        <v>64.621309370988428</v>
      </c>
      <c r="AR28" s="404">
        <f t="shared" si="24"/>
        <v>10</v>
      </c>
      <c r="AS28" s="598"/>
      <c r="AT28" s="404">
        <v>19</v>
      </c>
      <c r="AU28" s="405">
        <v>1205.9999999999995</v>
      </c>
      <c r="AV28" s="405">
        <v>63.473684210526294</v>
      </c>
      <c r="AW28" s="404">
        <f t="shared" si="26"/>
        <v>12</v>
      </c>
      <c r="AX28" s="534"/>
    </row>
    <row r="29" spans="2:54">
      <c r="B29" s="533"/>
      <c r="C29" s="404">
        <v>3</v>
      </c>
      <c r="D29" s="226" t="s">
        <v>389</v>
      </c>
      <c r="E29" s="182">
        <v>17</v>
      </c>
      <c r="F29" s="404">
        <v>1636</v>
      </c>
      <c r="G29" s="405">
        <v>96.3</v>
      </c>
      <c r="H29" s="598"/>
      <c r="I29" s="408">
        <f t="shared" si="28"/>
        <v>17</v>
      </c>
      <c r="J29" s="408">
        <f t="shared" si="28"/>
        <v>1342.7246928433972</v>
      </c>
      <c r="K29" s="406">
        <f t="shared" si="28"/>
        <v>78.983805461376306</v>
      </c>
      <c r="L29" s="588"/>
      <c r="M29" s="407">
        <f>RANK(K29, K$27:$K$41)</f>
        <v>2</v>
      </c>
      <c r="N29" s="544"/>
      <c r="O29" s="544"/>
      <c r="P29" s="404">
        <v>17</v>
      </c>
      <c r="Q29" s="405">
        <v>1372.0000000000014</v>
      </c>
      <c r="R29" s="405">
        <v>80.705882352941259</v>
      </c>
      <c r="S29" s="404">
        <f t="shared" si="15"/>
        <v>2</v>
      </c>
      <c r="T29" s="598"/>
      <c r="U29" s="404">
        <v>17</v>
      </c>
      <c r="V29" s="405">
        <v>1350.967741935485</v>
      </c>
      <c r="W29" s="405">
        <v>79.468690702087358</v>
      </c>
      <c r="X29" s="404">
        <f t="shared" si="16"/>
        <v>2</v>
      </c>
      <c r="Y29" s="598"/>
      <c r="Z29" s="404">
        <v>17</v>
      </c>
      <c r="AA29" s="405">
        <v>1344.8275862068974</v>
      </c>
      <c r="AB29" s="405">
        <v>79.107505070993966</v>
      </c>
      <c r="AC29" s="404">
        <f t="shared" si="18"/>
        <v>2</v>
      </c>
      <c r="AD29" s="598"/>
      <c r="AE29" s="404">
        <v>17</v>
      </c>
      <c r="AF29" s="405">
        <v>1182.2222222222229</v>
      </c>
      <c r="AG29" s="405">
        <v>69.542483660130756</v>
      </c>
      <c r="AH29" s="404">
        <f t="shared" si="20"/>
        <v>6</v>
      </c>
      <c r="AI29" s="598"/>
      <c r="AJ29" s="404">
        <v>17</v>
      </c>
      <c r="AK29" s="405">
        <v>1356.4285714285725</v>
      </c>
      <c r="AL29" s="405">
        <v>79.789915966386616</v>
      </c>
      <c r="AM29" s="404">
        <f t="shared" si="22"/>
        <v>2</v>
      </c>
      <c r="AN29" s="598"/>
      <c r="AO29" s="404">
        <v>17</v>
      </c>
      <c r="AP29" s="405">
        <v>1397.1428571428582</v>
      </c>
      <c r="AQ29" s="405">
        <v>82.184873949579895</v>
      </c>
      <c r="AR29" s="404">
        <f t="shared" si="24"/>
        <v>1</v>
      </c>
      <c r="AS29" s="598"/>
      <c r="AT29" s="404">
        <v>17</v>
      </c>
      <c r="AU29" s="405">
        <v>1395.4838709677433</v>
      </c>
      <c r="AV29" s="405">
        <v>82.087286527514308</v>
      </c>
      <c r="AW29" s="404">
        <f t="shared" si="26"/>
        <v>1</v>
      </c>
      <c r="AX29" s="534"/>
    </row>
    <row r="30" spans="2:54">
      <c r="B30" s="533"/>
      <c r="C30" s="404">
        <v>4</v>
      </c>
      <c r="D30" s="226" t="s">
        <v>388</v>
      </c>
      <c r="E30" s="182">
        <v>17</v>
      </c>
      <c r="F30" s="404">
        <v>1440</v>
      </c>
      <c r="G30" s="405">
        <v>84.7</v>
      </c>
      <c r="H30" s="598"/>
      <c r="I30" s="408">
        <f t="shared" si="28"/>
        <v>17</v>
      </c>
      <c r="J30" s="408">
        <f t="shared" si="28"/>
        <v>1286.1459479464468</v>
      </c>
      <c r="K30" s="406">
        <f t="shared" si="28"/>
        <v>75.655643996849804</v>
      </c>
      <c r="L30" s="588"/>
      <c r="M30" s="407">
        <f>RANK(K30, K$27:$K$41)</f>
        <v>4</v>
      </c>
      <c r="N30" s="544"/>
      <c r="O30" s="544"/>
      <c r="P30" s="404">
        <v>17</v>
      </c>
      <c r="Q30" s="405">
        <v>1271.304347826087</v>
      </c>
      <c r="R30" s="405">
        <v>74.782608695652172</v>
      </c>
      <c r="S30" s="404">
        <f t="shared" si="15"/>
        <v>4</v>
      </c>
      <c r="T30" s="598"/>
      <c r="U30" s="404">
        <v>17</v>
      </c>
      <c r="V30" s="405">
        <v>1268.92561983471</v>
      </c>
      <c r="W30" s="405">
        <v>74.642683519688831</v>
      </c>
      <c r="X30" s="404">
        <f t="shared" si="16"/>
        <v>4</v>
      </c>
      <c r="Y30" s="598"/>
      <c r="Z30" s="404">
        <v>17</v>
      </c>
      <c r="AA30" s="405">
        <v>1274.8571428571427</v>
      </c>
      <c r="AB30" s="405">
        <v>74.991596638655452</v>
      </c>
      <c r="AC30" s="404">
        <f t="shared" si="18"/>
        <v>4</v>
      </c>
      <c r="AD30" s="598"/>
      <c r="AE30" s="404">
        <v>17</v>
      </c>
      <c r="AF30" s="405">
        <v>1291.1111111111109</v>
      </c>
      <c r="AG30" s="405">
        <v>75.94771241830064</v>
      </c>
      <c r="AH30" s="404">
        <f t="shared" si="20"/>
        <v>3</v>
      </c>
      <c r="AI30" s="598"/>
      <c r="AJ30" s="404">
        <v>17</v>
      </c>
      <c r="AK30" s="405">
        <v>1282.0000000000002</v>
      </c>
      <c r="AL30" s="405">
        <v>75.411764705882362</v>
      </c>
      <c r="AM30" s="404">
        <f t="shared" si="22"/>
        <v>3</v>
      </c>
      <c r="AN30" s="598"/>
      <c r="AO30" s="404">
        <v>17</v>
      </c>
      <c r="AP30" s="405">
        <v>1306.1870503597124</v>
      </c>
      <c r="AQ30" s="405">
        <v>76.834532374100732</v>
      </c>
      <c r="AR30" s="404">
        <f t="shared" si="24"/>
        <v>3</v>
      </c>
      <c r="AS30" s="598"/>
      <c r="AT30" s="404">
        <v>17</v>
      </c>
      <c r="AU30" s="405">
        <v>1308.6363636363637</v>
      </c>
      <c r="AV30" s="405">
        <v>76.978609625668454</v>
      </c>
      <c r="AW30" s="404">
        <f t="shared" si="26"/>
        <v>3</v>
      </c>
      <c r="AX30" s="534"/>
    </row>
    <row r="31" spans="2:54">
      <c r="B31" s="533"/>
      <c r="C31" s="404">
        <v>5</v>
      </c>
      <c r="D31" s="226" t="s">
        <v>390</v>
      </c>
      <c r="E31" s="182">
        <v>17</v>
      </c>
      <c r="F31" s="404">
        <v>1440</v>
      </c>
      <c r="G31" s="405">
        <v>84.7</v>
      </c>
      <c r="H31" s="598"/>
      <c r="I31" s="408">
        <f t="shared" si="28"/>
        <v>17.428571428571427</v>
      </c>
      <c r="J31" s="408">
        <f t="shared" si="28"/>
        <v>1208.7586580086584</v>
      </c>
      <c r="K31" s="406">
        <f t="shared" si="28"/>
        <v>69.448727470786295</v>
      </c>
      <c r="L31" s="588"/>
      <c r="M31" s="407">
        <f>RANK(K31, K$27:$K$41)</f>
        <v>6</v>
      </c>
      <c r="N31" s="544"/>
      <c r="O31" s="544"/>
      <c r="P31" s="404">
        <v>18</v>
      </c>
      <c r="Q31" s="405">
        <v>1223.9999999999989</v>
      </c>
      <c r="R31" s="405">
        <v>67.999999999999943</v>
      </c>
      <c r="S31" s="404">
        <f t="shared" si="15"/>
        <v>8</v>
      </c>
      <c r="T31" s="598"/>
      <c r="U31" s="404">
        <v>18</v>
      </c>
      <c r="V31" s="405">
        <v>1251.6666666666656</v>
      </c>
      <c r="W31" s="405">
        <v>69.537037037036981</v>
      </c>
      <c r="X31" s="404">
        <f t="shared" si="16"/>
        <v>7</v>
      </c>
      <c r="Y31" s="598"/>
      <c r="Z31" s="404">
        <v>17</v>
      </c>
      <c r="AA31" s="405">
        <v>1230.9090909090921</v>
      </c>
      <c r="AB31" s="405">
        <v>72.406417112299536</v>
      </c>
      <c r="AC31" s="404">
        <f t="shared" si="18"/>
        <v>5</v>
      </c>
      <c r="AD31" s="598"/>
      <c r="AE31" s="404">
        <v>18</v>
      </c>
      <c r="AF31" s="405">
        <v>1068.7500000000014</v>
      </c>
      <c r="AG31" s="405">
        <v>59.375000000000078</v>
      </c>
      <c r="AH31" s="404">
        <f t="shared" si="20"/>
        <v>12</v>
      </c>
      <c r="AI31" s="598"/>
      <c r="AJ31" s="404">
        <v>17</v>
      </c>
      <c r="AK31" s="405">
        <v>1237.5000000000014</v>
      </c>
      <c r="AL31" s="405">
        <v>72.794117647058897</v>
      </c>
      <c r="AM31" s="404">
        <f t="shared" si="22"/>
        <v>5</v>
      </c>
      <c r="AN31" s="598"/>
      <c r="AO31" s="404">
        <v>17</v>
      </c>
      <c r="AP31" s="405">
        <v>1221.8181818181831</v>
      </c>
      <c r="AQ31" s="405">
        <v>71.871657754010769</v>
      </c>
      <c r="AR31" s="404">
        <f t="shared" si="24"/>
        <v>5</v>
      </c>
      <c r="AS31" s="598"/>
      <c r="AT31" s="404">
        <v>17</v>
      </c>
      <c r="AU31" s="405">
        <v>1226.6666666666656</v>
      </c>
      <c r="AV31" s="405">
        <v>72.156862745097982</v>
      </c>
      <c r="AW31" s="404">
        <f t="shared" si="26"/>
        <v>5</v>
      </c>
      <c r="AX31" s="534"/>
    </row>
    <row r="32" spans="2:54">
      <c r="B32" s="533"/>
      <c r="C32" s="404">
        <v>6</v>
      </c>
      <c r="D32" s="226" t="s">
        <v>391</v>
      </c>
      <c r="E32" s="182">
        <v>19</v>
      </c>
      <c r="F32" s="404">
        <v>1385</v>
      </c>
      <c r="G32" s="405">
        <v>72.900000000000006</v>
      </c>
      <c r="H32" s="598"/>
      <c r="I32" s="408">
        <f t="shared" si="28"/>
        <v>19</v>
      </c>
      <c r="J32" s="408">
        <f t="shared" si="28"/>
        <v>1226.0293963472836</v>
      </c>
      <c r="K32" s="406">
        <f t="shared" si="28"/>
        <v>64.527862965646506</v>
      </c>
      <c r="L32" s="588"/>
      <c r="M32" s="407">
        <f>RANK(K32, K$27:$K$41)</f>
        <v>11</v>
      </c>
      <c r="N32" s="544"/>
      <c r="O32" s="544"/>
      <c r="P32" s="404">
        <v>19</v>
      </c>
      <c r="Q32" s="405">
        <v>1213.6363636363644</v>
      </c>
      <c r="R32" s="405">
        <v>63.875598086124441</v>
      </c>
      <c r="S32" s="404">
        <f t="shared" si="15"/>
        <v>11</v>
      </c>
      <c r="T32" s="598"/>
      <c r="U32" s="404">
        <v>19</v>
      </c>
      <c r="V32" s="405">
        <v>1208.2352941176478</v>
      </c>
      <c r="W32" s="405">
        <v>63.59133126934988</v>
      </c>
      <c r="X32" s="404">
        <f t="shared" si="16"/>
        <v>12</v>
      </c>
      <c r="Y32" s="598"/>
      <c r="Z32" s="404">
        <v>19</v>
      </c>
      <c r="AA32" s="405">
        <v>1241.0204081632655</v>
      </c>
      <c r="AB32" s="405">
        <v>65.316863587540297</v>
      </c>
      <c r="AC32" s="404">
        <f t="shared" si="18"/>
        <v>9</v>
      </c>
      <c r="AD32" s="598"/>
      <c r="AE32" s="404">
        <v>19</v>
      </c>
      <c r="AF32" s="405">
        <v>1247.8571428571424</v>
      </c>
      <c r="AG32" s="405">
        <v>65.676691729323281</v>
      </c>
      <c r="AH32" s="404">
        <f t="shared" si="20"/>
        <v>9</v>
      </c>
      <c r="AI32" s="598"/>
      <c r="AJ32" s="404">
        <v>19</v>
      </c>
      <c r="AK32" s="405">
        <v>1200.799999999999</v>
      </c>
      <c r="AL32" s="405">
        <v>63.199999999999953</v>
      </c>
      <c r="AM32" s="404">
        <f t="shared" si="22"/>
        <v>11</v>
      </c>
      <c r="AN32" s="598"/>
      <c r="AO32" s="404">
        <v>19</v>
      </c>
      <c r="AP32" s="405">
        <v>1242.7777777777783</v>
      </c>
      <c r="AQ32" s="405">
        <v>65.409356725146225</v>
      </c>
      <c r="AR32" s="404">
        <f t="shared" si="24"/>
        <v>8</v>
      </c>
      <c r="AS32" s="598"/>
      <c r="AT32" s="404">
        <v>19</v>
      </c>
      <c r="AU32" s="405">
        <v>1227.8787878787882</v>
      </c>
      <c r="AV32" s="405">
        <v>64.625199362041485</v>
      </c>
      <c r="AW32" s="404">
        <f t="shared" si="26"/>
        <v>10</v>
      </c>
      <c r="AX32" s="534"/>
    </row>
    <row r="33" spans="2:50">
      <c r="B33" s="533"/>
      <c r="C33" s="404">
        <v>7</v>
      </c>
      <c r="D33" s="226" t="s">
        <v>392</v>
      </c>
      <c r="E33" s="182">
        <v>19</v>
      </c>
      <c r="F33" s="404">
        <v>1440</v>
      </c>
      <c r="G33" s="405">
        <v>75.8</v>
      </c>
      <c r="H33" s="598"/>
      <c r="I33" s="408">
        <f t="shared" si="28"/>
        <v>19</v>
      </c>
      <c r="J33" s="408">
        <f t="shared" si="28"/>
        <v>1233.188026852557</v>
      </c>
      <c r="K33" s="406">
        <f t="shared" si="28"/>
        <v>64.90463299223984</v>
      </c>
      <c r="L33" s="588"/>
      <c r="M33" s="407">
        <f>RANK(K33, K$27:$K$41)</f>
        <v>10</v>
      </c>
      <c r="N33" s="544"/>
      <c r="O33" s="544"/>
      <c r="P33" s="404">
        <v>19</v>
      </c>
      <c r="Q33" s="405">
        <v>1217.6470588235309</v>
      </c>
      <c r="R33" s="405">
        <v>64.086687306501631</v>
      </c>
      <c r="S33" s="404">
        <f t="shared" si="15"/>
        <v>10</v>
      </c>
      <c r="T33" s="598"/>
      <c r="U33" s="404">
        <v>19</v>
      </c>
      <c r="V33" s="405">
        <v>1238.8732394366186</v>
      </c>
      <c r="W33" s="405">
        <v>65.203854707190459</v>
      </c>
      <c r="X33" s="404">
        <f t="shared" si="16"/>
        <v>10</v>
      </c>
      <c r="Y33" s="598"/>
      <c r="Z33" s="404">
        <v>19</v>
      </c>
      <c r="AA33" s="405">
        <v>1240.9090909090924</v>
      </c>
      <c r="AB33" s="405">
        <v>65.311004784689075</v>
      </c>
      <c r="AC33" s="404">
        <f t="shared" si="18"/>
        <v>10</v>
      </c>
      <c r="AD33" s="598"/>
      <c r="AE33" s="404">
        <v>19</v>
      </c>
      <c r="AF33" s="405">
        <v>1224.1935483870977</v>
      </c>
      <c r="AG33" s="405">
        <v>64.431239388794623</v>
      </c>
      <c r="AH33" s="404">
        <f t="shared" si="20"/>
        <v>10</v>
      </c>
      <c r="AI33" s="598"/>
      <c r="AJ33" s="404">
        <v>19</v>
      </c>
      <c r="AK33" s="405">
        <v>1260.0000000000014</v>
      </c>
      <c r="AL33" s="405">
        <v>66.315789473684276</v>
      </c>
      <c r="AM33" s="404">
        <f t="shared" si="22"/>
        <v>10</v>
      </c>
      <c r="AN33" s="598"/>
      <c r="AO33" s="404">
        <v>19</v>
      </c>
      <c r="AP33" s="405">
        <v>1210.1298701298695</v>
      </c>
      <c r="AQ33" s="405">
        <v>63.69104579630892</v>
      </c>
      <c r="AR33" s="404">
        <f t="shared" si="24"/>
        <v>11</v>
      </c>
      <c r="AS33" s="598"/>
      <c r="AT33" s="404">
        <v>19</v>
      </c>
      <c r="AU33" s="405">
        <v>1240.5633802816888</v>
      </c>
      <c r="AV33" s="405">
        <v>65.292809488509931</v>
      </c>
      <c r="AW33" s="404">
        <f t="shared" si="26"/>
        <v>8</v>
      </c>
      <c r="AX33" s="534"/>
    </row>
    <row r="34" spans="2:50">
      <c r="B34" s="533"/>
      <c r="C34" s="404">
        <v>8</v>
      </c>
      <c r="D34" s="226" t="s">
        <v>504</v>
      </c>
      <c r="E34" s="182">
        <v>17</v>
      </c>
      <c r="F34" s="404">
        <v>1385</v>
      </c>
      <c r="G34" s="405">
        <v>81.400000000000006</v>
      </c>
      <c r="H34" s="598"/>
      <c r="I34" s="408">
        <f t="shared" si="28"/>
        <v>17.142857142857142</v>
      </c>
      <c r="J34" s="408">
        <f t="shared" si="28"/>
        <v>1188.9497439133859</v>
      </c>
      <c r="K34" s="406">
        <f t="shared" si="28"/>
        <v>69.390924388785692</v>
      </c>
      <c r="L34" s="588"/>
      <c r="M34" s="407">
        <f>RANK(K34, K$27:$K$41)</f>
        <v>7</v>
      </c>
      <c r="N34" s="544"/>
      <c r="O34" s="544"/>
      <c r="P34" s="404">
        <v>17</v>
      </c>
      <c r="Q34" s="405">
        <v>1168.9411764705881</v>
      </c>
      <c r="R34" s="405">
        <v>68.761245674740479</v>
      </c>
      <c r="S34" s="404">
        <f t="shared" si="15"/>
        <v>6</v>
      </c>
      <c r="T34" s="598"/>
      <c r="U34" s="404">
        <v>17</v>
      </c>
      <c r="V34" s="405">
        <v>1189.4999999999995</v>
      </c>
      <c r="W34" s="405">
        <v>69.970588235294088</v>
      </c>
      <c r="X34" s="404">
        <f t="shared" si="16"/>
        <v>6</v>
      </c>
      <c r="Y34" s="598"/>
      <c r="Z34" s="404">
        <v>18</v>
      </c>
      <c r="AA34" s="405">
        <v>1172.3076923076917</v>
      </c>
      <c r="AB34" s="405">
        <v>65.128205128205096</v>
      </c>
      <c r="AC34" s="404">
        <f t="shared" si="18"/>
        <v>11</v>
      </c>
      <c r="AD34" s="598"/>
      <c r="AE34" s="404">
        <v>17</v>
      </c>
      <c r="AF34" s="405">
        <v>1211.8309859154917</v>
      </c>
      <c r="AG34" s="405">
        <v>71.284175642087746</v>
      </c>
      <c r="AH34" s="404">
        <f t="shared" si="20"/>
        <v>5</v>
      </c>
      <c r="AI34" s="598"/>
      <c r="AJ34" s="404">
        <v>17</v>
      </c>
      <c r="AK34" s="405">
        <v>1199.9999999999991</v>
      </c>
      <c r="AL34" s="405">
        <v>70.588235294117595</v>
      </c>
      <c r="AM34" s="404">
        <f t="shared" si="22"/>
        <v>6</v>
      </c>
      <c r="AN34" s="598"/>
      <c r="AO34" s="404">
        <v>17</v>
      </c>
      <c r="AP34" s="405">
        <v>1189.2631578947371</v>
      </c>
      <c r="AQ34" s="405">
        <v>69.956656346749241</v>
      </c>
      <c r="AR34" s="404">
        <f t="shared" si="24"/>
        <v>7</v>
      </c>
      <c r="AS34" s="598"/>
      <c r="AT34" s="404">
        <v>17</v>
      </c>
      <c r="AU34" s="405">
        <v>1190.8051948051943</v>
      </c>
      <c r="AV34" s="405">
        <v>70.047364400305554</v>
      </c>
      <c r="AW34" s="404">
        <f t="shared" si="26"/>
        <v>6</v>
      </c>
      <c r="AX34" s="534"/>
    </row>
    <row r="35" spans="2:50">
      <c r="B35" s="533"/>
      <c r="C35" s="404">
        <v>9</v>
      </c>
      <c r="D35" s="226" t="s">
        <v>507</v>
      </c>
      <c r="E35" s="182">
        <v>19</v>
      </c>
      <c r="F35" s="404">
        <v>1385</v>
      </c>
      <c r="G35" s="405">
        <v>72.900000000000006</v>
      </c>
      <c r="H35" s="598"/>
      <c r="I35" s="408">
        <f t="shared" si="28"/>
        <v>19</v>
      </c>
      <c r="J35" s="408">
        <f t="shared" si="28"/>
        <v>1185.9552574876107</v>
      </c>
      <c r="K35" s="406">
        <f t="shared" si="28"/>
        <v>62.418697762505829</v>
      </c>
      <c r="L35" s="588"/>
      <c r="M35" s="407">
        <f>RANK(K35, K$27:$K$41)</f>
        <v>12</v>
      </c>
      <c r="N35" s="544"/>
      <c r="O35" s="544"/>
      <c r="P35" s="404">
        <v>19</v>
      </c>
      <c r="Q35" s="405">
        <v>1168.8000000000002</v>
      </c>
      <c r="R35" s="405">
        <v>61.515789473684222</v>
      </c>
      <c r="S35" s="404">
        <f t="shared" si="15"/>
        <v>12</v>
      </c>
      <c r="T35" s="598"/>
      <c r="U35" s="404">
        <v>19</v>
      </c>
      <c r="V35" s="405">
        <v>1217.64705882353</v>
      </c>
      <c r="W35" s="405">
        <v>64.086687306501574</v>
      </c>
      <c r="X35" s="404">
        <f t="shared" si="16"/>
        <v>11</v>
      </c>
      <c r="Y35" s="598"/>
      <c r="Z35" s="404">
        <v>19</v>
      </c>
      <c r="AA35" s="405">
        <v>1172.4000000000003</v>
      </c>
      <c r="AB35" s="405">
        <v>61.705263157894755</v>
      </c>
      <c r="AC35" s="404">
        <f t="shared" si="18"/>
        <v>12</v>
      </c>
      <c r="AD35" s="598"/>
      <c r="AE35" s="404">
        <v>19</v>
      </c>
      <c r="AF35" s="405">
        <v>1174.6666666666667</v>
      </c>
      <c r="AG35" s="405">
        <v>61.824561403508774</v>
      </c>
      <c r="AH35" s="404">
        <f t="shared" si="20"/>
        <v>11</v>
      </c>
      <c r="AI35" s="598"/>
      <c r="AJ35" s="404">
        <v>19</v>
      </c>
      <c r="AK35" s="405">
        <v>1161.2500000000002</v>
      </c>
      <c r="AL35" s="405">
        <v>61.118421052631589</v>
      </c>
      <c r="AM35" s="404">
        <f t="shared" si="22"/>
        <v>12</v>
      </c>
      <c r="AN35" s="598"/>
      <c r="AO35" s="404">
        <v>19</v>
      </c>
      <c r="AP35" s="405">
        <v>1196.5384615384623</v>
      </c>
      <c r="AQ35" s="405">
        <v>62.975708502024332</v>
      </c>
      <c r="AR35" s="404">
        <f t="shared" si="24"/>
        <v>12</v>
      </c>
      <c r="AS35" s="598"/>
      <c r="AT35" s="404">
        <v>19</v>
      </c>
      <c r="AU35" s="405">
        <v>1210.3846153846162</v>
      </c>
      <c r="AV35" s="405">
        <v>63.704453441295584</v>
      </c>
      <c r="AW35" s="404">
        <f t="shared" si="26"/>
        <v>11</v>
      </c>
      <c r="AX35" s="534"/>
    </row>
    <row r="36" spans="2:50">
      <c r="B36" s="533"/>
      <c r="C36" s="404">
        <v>10</v>
      </c>
      <c r="D36" s="226" t="s">
        <v>549</v>
      </c>
      <c r="E36" s="182">
        <v>15</v>
      </c>
      <c r="F36" s="404">
        <v>1565</v>
      </c>
      <c r="G36" s="405">
        <v>104.3</v>
      </c>
      <c r="H36" s="598"/>
      <c r="I36" s="408">
        <f t="shared" si="28"/>
        <v>15</v>
      </c>
      <c r="J36" s="408">
        <f t="shared" si="28"/>
        <v>1028.1157240928389</v>
      </c>
      <c r="K36" s="406">
        <f t="shared" si="28"/>
        <v>68.541048272855932</v>
      </c>
      <c r="L36" s="588"/>
      <c r="M36" s="407">
        <f>RANK(K36, K$27:$K$41)</f>
        <v>8</v>
      </c>
      <c r="N36" s="544"/>
      <c r="O36" s="544"/>
      <c r="P36" s="404">
        <v>15</v>
      </c>
      <c r="Q36" s="405">
        <v>1025.2173913043478</v>
      </c>
      <c r="R36" s="405">
        <v>68.347826086956516</v>
      </c>
      <c r="S36" s="404">
        <f t="shared" si="15"/>
        <v>7</v>
      </c>
      <c r="T36" s="598"/>
      <c r="U36" s="404">
        <v>15</v>
      </c>
      <c r="V36" s="405">
        <v>1020</v>
      </c>
      <c r="W36" s="405">
        <v>68</v>
      </c>
      <c r="X36" s="404">
        <f t="shared" si="16"/>
        <v>9</v>
      </c>
      <c r="Y36" s="598"/>
      <c r="Z36" s="404">
        <v>15</v>
      </c>
      <c r="AA36" s="405">
        <v>1007.9999999999997</v>
      </c>
      <c r="AB36" s="405">
        <v>67.199999999999974</v>
      </c>
      <c r="AC36" s="404">
        <f t="shared" si="18"/>
        <v>8</v>
      </c>
      <c r="AD36" s="598"/>
      <c r="AE36" s="404">
        <v>15</v>
      </c>
      <c r="AF36" s="405">
        <v>1189.9999999999884</v>
      </c>
      <c r="AG36" s="405">
        <v>79.333333333332561</v>
      </c>
      <c r="AH36" s="404">
        <f t="shared" si="20"/>
        <v>2</v>
      </c>
      <c r="AI36" s="598"/>
      <c r="AJ36" s="404">
        <v>15</v>
      </c>
      <c r="AK36" s="405">
        <v>1004.2105263157888</v>
      </c>
      <c r="AL36" s="405">
        <v>66.947368421052587</v>
      </c>
      <c r="AM36" s="404">
        <f t="shared" si="22"/>
        <v>9</v>
      </c>
      <c r="AN36" s="598"/>
      <c r="AO36" s="404">
        <v>15</v>
      </c>
      <c r="AP36" s="405">
        <v>978.94736842105192</v>
      </c>
      <c r="AQ36" s="405">
        <v>65.263157894736793</v>
      </c>
      <c r="AR36" s="404">
        <f t="shared" si="24"/>
        <v>9</v>
      </c>
      <c r="AS36" s="598"/>
      <c r="AT36" s="404">
        <v>15</v>
      </c>
      <c r="AU36" s="405">
        <v>970.43478260869574</v>
      </c>
      <c r="AV36" s="405">
        <v>64.695652173913047</v>
      </c>
      <c r="AW36" s="404">
        <f t="shared" si="26"/>
        <v>9</v>
      </c>
      <c r="AX36" s="534"/>
    </row>
    <row r="37" spans="2:50">
      <c r="B37" s="533"/>
      <c r="C37" s="404">
        <v>11</v>
      </c>
      <c r="D37" s="226" t="s">
        <v>581</v>
      </c>
      <c r="E37" s="182">
        <v>16</v>
      </c>
      <c r="F37" s="404">
        <v>1440</v>
      </c>
      <c r="G37" s="405">
        <v>90</v>
      </c>
      <c r="H37" s="598"/>
      <c r="I37" s="408">
        <f t="shared" si="28"/>
        <v>16</v>
      </c>
      <c r="J37" s="408">
        <f t="shared" si="28"/>
        <v>1291.5035112687121</v>
      </c>
      <c r="K37" s="406">
        <f t="shared" si="28"/>
        <v>80.718969454294509</v>
      </c>
      <c r="L37" s="588"/>
      <c r="M37" s="407">
        <f>RANK(K37, K$27:$K$41)</f>
        <v>1</v>
      </c>
      <c r="N37" s="544"/>
      <c r="O37" s="544"/>
      <c r="P37" s="404">
        <v>16</v>
      </c>
      <c r="Q37" s="405">
        <v>1315.5737704918029</v>
      </c>
      <c r="R37" s="405">
        <v>82.223360655737679</v>
      </c>
      <c r="S37" s="404">
        <f t="shared" si="15"/>
        <v>1</v>
      </c>
      <c r="T37" s="598"/>
      <c r="U37" s="404">
        <v>16</v>
      </c>
      <c r="V37" s="405">
        <v>1287.4137931034475</v>
      </c>
      <c r="W37" s="405">
        <v>80.463362068965466</v>
      </c>
      <c r="X37" s="404">
        <f t="shared" si="16"/>
        <v>1</v>
      </c>
      <c r="Y37" s="598"/>
      <c r="Z37" s="404">
        <v>16</v>
      </c>
      <c r="AA37" s="405">
        <v>1306.9811320754725</v>
      </c>
      <c r="AB37" s="405">
        <v>81.68632075471703</v>
      </c>
      <c r="AC37" s="404">
        <f t="shared" si="18"/>
        <v>1</v>
      </c>
      <c r="AD37" s="598"/>
      <c r="AE37" s="404">
        <v>16</v>
      </c>
      <c r="AF37" s="405">
        <v>1280.2409638554213</v>
      </c>
      <c r="AG37" s="405">
        <v>80.015060240963834</v>
      </c>
      <c r="AH37" s="404">
        <f t="shared" si="20"/>
        <v>1</v>
      </c>
      <c r="AI37" s="598"/>
      <c r="AJ37" s="404">
        <v>16</v>
      </c>
      <c r="AK37" s="405">
        <v>1312.2000000000003</v>
      </c>
      <c r="AL37" s="405">
        <v>82.012500000000017</v>
      </c>
      <c r="AM37" s="404">
        <f t="shared" si="22"/>
        <v>1</v>
      </c>
      <c r="AN37" s="598"/>
      <c r="AO37" s="404">
        <v>16</v>
      </c>
      <c r="AP37" s="405">
        <v>1268.4374999999998</v>
      </c>
      <c r="AQ37" s="405">
        <v>79.277343749999986</v>
      </c>
      <c r="AR37" s="404">
        <f t="shared" si="24"/>
        <v>2</v>
      </c>
      <c r="AS37" s="598"/>
      <c r="AT37" s="404">
        <v>16</v>
      </c>
      <c r="AU37" s="405">
        <v>1269.6774193548383</v>
      </c>
      <c r="AV37" s="405">
        <v>79.354838709677395</v>
      </c>
      <c r="AW37" s="404">
        <f t="shared" si="26"/>
        <v>2</v>
      </c>
      <c r="AX37" s="534"/>
    </row>
    <row r="38" spans="2:50">
      <c r="B38" s="533"/>
      <c r="C38" s="404">
        <v>12</v>
      </c>
      <c r="D38" s="226" t="s">
        <v>625</v>
      </c>
      <c r="E38" s="182">
        <v>16</v>
      </c>
      <c r="F38" s="404">
        <v>1440</v>
      </c>
      <c r="G38" s="405">
        <v>90</v>
      </c>
      <c r="H38" s="598"/>
      <c r="I38" s="408">
        <f t="shared" si="28"/>
        <v>16.857142857142858</v>
      </c>
      <c r="J38" s="408">
        <f t="shared" si="28"/>
        <v>1283.0424165010627</v>
      </c>
      <c r="K38" s="406">
        <f t="shared" si="28"/>
        <v>76.134131833905144</v>
      </c>
      <c r="L38" s="588"/>
      <c r="M38" s="407">
        <f>RANK(K38, K$27:$K$41)</f>
        <v>3</v>
      </c>
      <c r="N38" s="544"/>
      <c r="O38" s="544"/>
      <c r="P38" s="404">
        <v>17</v>
      </c>
      <c r="Q38" s="405">
        <v>1282.7027027027016</v>
      </c>
      <c r="R38" s="405">
        <v>75.453100158982451</v>
      </c>
      <c r="S38" s="404">
        <f t="shared" si="15"/>
        <v>3</v>
      </c>
      <c r="T38" s="598"/>
      <c r="U38" s="404">
        <v>17</v>
      </c>
      <c r="V38" s="405">
        <v>1307.7272727272727</v>
      </c>
      <c r="W38" s="405">
        <v>76.925133689839569</v>
      </c>
      <c r="X38" s="404">
        <f t="shared" si="16"/>
        <v>3</v>
      </c>
      <c r="Y38" s="598"/>
      <c r="Z38" s="404">
        <v>16</v>
      </c>
      <c r="AA38" s="405">
        <v>1258.6363636363635</v>
      </c>
      <c r="AB38" s="405">
        <v>78.66477272727272</v>
      </c>
      <c r="AC38" s="404">
        <f t="shared" si="18"/>
        <v>3</v>
      </c>
      <c r="AD38" s="598"/>
      <c r="AE38" s="404">
        <v>17</v>
      </c>
      <c r="AF38" s="405">
        <v>1277.1428571428557</v>
      </c>
      <c r="AG38" s="405">
        <v>75.126050420167985</v>
      </c>
      <c r="AH38" s="404">
        <f t="shared" si="20"/>
        <v>4</v>
      </c>
      <c r="AI38" s="598"/>
      <c r="AJ38" s="404">
        <v>17</v>
      </c>
      <c r="AK38" s="405">
        <v>1261.6666666666656</v>
      </c>
      <c r="AL38" s="405">
        <v>74.215686274509736</v>
      </c>
      <c r="AM38" s="404">
        <f t="shared" si="22"/>
        <v>4</v>
      </c>
      <c r="AN38" s="598"/>
      <c r="AO38" s="404">
        <v>17</v>
      </c>
      <c r="AP38" s="405">
        <v>1305.000000000002</v>
      </c>
      <c r="AQ38" s="405">
        <v>76.764705882353056</v>
      </c>
      <c r="AR38" s="404">
        <f t="shared" si="24"/>
        <v>4</v>
      </c>
      <c r="AS38" s="598"/>
      <c r="AT38" s="404">
        <v>17</v>
      </c>
      <c r="AU38" s="405">
        <v>1288.421052631578</v>
      </c>
      <c r="AV38" s="405">
        <v>75.789473684210478</v>
      </c>
      <c r="AW38" s="404">
        <f t="shared" si="26"/>
        <v>4</v>
      </c>
      <c r="AX38" s="534"/>
    </row>
    <row r="39" spans="2:50">
      <c r="B39" s="533"/>
      <c r="C39" s="404">
        <v>13</v>
      </c>
      <c r="D39" s="226"/>
      <c r="E39" s="182"/>
      <c r="F39" s="404"/>
      <c r="G39" s="405"/>
      <c r="H39" s="598"/>
      <c r="I39" s="202"/>
      <c r="J39" s="202"/>
      <c r="K39" s="202"/>
      <c r="L39" s="588"/>
      <c r="M39" s="407" t="e">
        <f>RANK(K39, K$27:$K$41)</f>
        <v>#N/A</v>
      </c>
      <c r="N39" s="544"/>
      <c r="O39" s="544"/>
      <c r="P39" s="404"/>
      <c r="Q39" s="405"/>
      <c r="R39" s="405"/>
      <c r="S39" s="404" t="e">
        <f t="shared" si="15"/>
        <v>#N/A</v>
      </c>
      <c r="T39" s="598"/>
      <c r="U39" s="404"/>
      <c r="V39" s="405"/>
      <c r="W39" s="405"/>
      <c r="X39" s="404" t="e">
        <f t="shared" si="16"/>
        <v>#N/A</v>
      </c>
      <c r="Y39" s="598"/>
      <c r="Z39" s="404"/>
      <c r="AA39" s="405"/>
      <c r="AB39" s="405"/>
      <c r="AC39" s="404" t="e">
        <f t="shared" si="18"/>
        <v>#N/A</v>
      </c>
      <c r="AD39" s="598"/>
      <c r="AE39" s="404"/>
      <c r="AF39" s="405"/>
      <c r="AG39" s="405"/>
      <c r="AH39" s="404" t="e">
        <f t="shared" si="20"/>
        <v>#N/A</v>
      </c>
      <c r="AI39" s="598"/>
      <c r="AJ39" s="404"/>
      <c r="AK39" s="405"/>
      <c r="AL39" s="405"/>
      <c r="AM39" s="404" t="e">
        <f t="shared" si="22"/>
        <v>#N/A</v>
      </c>
      <c r="AN39" s="598"/>
      <c r="AO39" s="404"/>
      <c r="AP39" s="405"/>
      <c r="AQ39" s="405"/>
      <c r="AR39" s="404" t="e">
        <f t="shared" si="24"/>
        <v>#N/A</v>
      </c>
      <c r="AS39" s="598"/>
      <c r="AT39" s="404"/>
      <c r="AU39" s="405"/>
      <c r="AV39" s="405"/>
      <c r="AW39" s="404" t="e">
        <f t="shared" si="26"/>
        <v>#N/A</v>
      </c>
      <c r="AX39" s="534"/>
    </row>
    <row r="40" spans="2:50">
      <c r="B40" s="533"/>
      <c r="C40" s="404">
        <v>14</v>
      </c>
      <c r="D40" s="226"/>
      <c r="E40" s="182"/>
      <c r="F40" s="404"/>
      <c r="G40" s="405"/>
      <c r="H40" s="598"/>
      <c r="I40" s="202"/>
      <c r="J40" s="202"/>
      <c r="K40" s="202"/>
      <c r="L40" s="588"/>
      <c r="M40" s="407" t="e">
        <f>RANK(K40, K$27:$K$41)</f>
        <v>#N/A</v>
      </c>
      <c r="N40" s="544"/>
      <c r="O40" s="544"/>
      <c r="P40" s="404"/>
      <c r="Q40" s="405"/>
      <c r="R40" s="405"/>
      <c r="S40" s="404" t="e">
        <f t="shared" si="15"/>
        <v>#N/A</v>
      </c>
      <c r="T40" s="598"/>
      <c r="U40" s="404"/>
      <c r="V40" s="405"/>
      <c r="W40" s="405"/>
      <c r="X40" s="404" t="e">
        <f t="shared" si="16"/>
        <v>#N/A</v>
      </c>
      <c r="Y40" s="598"/>
      <c r="Z40" s="404"/>
      <c r="AA40" s="405"/>
      <c r="AB40" s="405"/>
      <c r="AC40" s="404" t="e">
        <f t="shared" si="18"/>
        <v>#N/A</v>
      </c>
      <c r="AD40" s="598"/>
      <c r="AE40" s="404"/>
      <c r="AF40" s="405"/>
      <c r="AG40" s="405"/>
      <c r="AH40" s="404" t="e">
        <f t="shared" si="20"/>
        <v>#N/A</v>
      </c>
      <c r="AI40" s="598"/>
      <c r="AJ40" s="404"/>
      <c r="AK40" s="405"/>
      <c r="AL40" s="405"/>
      <c r="AM40" s="404" t="e">
        <f t="shared" si="22"/>
        <v>#N/A</v>
      </c>
      <c r="AN40" s="598"/>
      <c r="AO40" s="404"/>
      <c r="AP40" s="405"/>
      <c r="AQ40" s="405"/>
      <c r="AR40" s="404" t="e">
        <f t="shared" si="24"/>
        <v>#N/A</v>
      </c>
      <c r="AS40" s="598"/>
      <c r="AT40" s="404"/>
      <c r="AU40" s="405"/>
      <c r="AV40" s="405"/>
      <c r="AW40" s="404" t="e">
        <f t="shared" si="26"/>
        <v>#N/A</v>
      </c>
      <c r="AX40" s="534"/>
    </row>
    <row r="41" spans="2:50">
      <c r="B41" s="533"/>
      <c r="C41" s="404">
        <v>15</v>
      </c>
      <c r="D41" s="226"/>
      <c r="E41" s="182"/>
      <c r="F41" s="404"/>
      <c r="G41" s="405"/>
      <c r="H41" s="599"/>
      <c r="I41" s="202"/>
      <c r="J41" s="202"/>
      <c r="K41" s="202"/>
      <c r="L41" s="589"/>
      <c r="M41" s="408" t="e">
        <f>RANK(K41, K$27:$K$41)</f>
        <v>#N/A</v>
      </c>
      <c r="N41" s="544"/>
      <c r="O41" s="544"/>
      <c r="P41" s="404"/>
      <c r="Q41" s="405"/>
      <c r="R41" s="405"/>
      <c r="S41" s="404" t="e">
        <f t="shared" si="15"/>
        <v>#N/A</v>
      </c>
      <c r="T41" s="599"/>
      <c r="U41" s="404"/>
      <c r="V41" s="405"/>
      <c r="W41" s="405"/>
      <c r="X41" s="404" t="e">
        <f t="shared" si="16"/>
        <v>#N/A</v>
      </c>
      <c r="Y41" s="599"/>
      <c r="Z41" s="404"/>
      <c r="AA41" s="405"/>
      <c r="AB41" s="405"/>
      <c r="AC41" s="404" t="e">
        <f t="shared" si="18"/>
        <v>#N/A</v>
      </c>
      <c r="AD41" s="599"/>
      <c r="AE41" s="404"/>
      <c r="AF41" s="405"/>
      <c r="AG41" s="405"/>
      <c r="AH41" s="404" t="e">
        <f t="shared" si="20"/>
        <v>#N/A</v>
      </c>
      <c r="AI41" s="599"/>
      <c r="AJ41" s="404"/>
      <c r="AK41" s="405"/>
      <c r="AL41" s="405"/>
      <c r="AM41" s="404" t="e">
        <f t="shared" si="22"/>
        <v>#N/A</v>
      </c>
      <c r="AN41" s="599"/>
      <c r="AO41" s="404"/>
      <c r="AP41" s="405"/>
      <c r="AQ41" s="405"/>
      <c r="AR41" s="404" t="e">
        <f t="shared" si="24"/>
        <v>#N/A</v>
      </c>
      <c r="AS41" s="599"/>
      <c r="AT41" s="404"/>
      <c r="AU41" s="405"/>
      <c r="AV41" s="405"/>
      <c r="AW41" s="404" t="e">
        <f t="shared" si="26"/>
        <v>#N/A</v>
      </c>
      <c r="AX41" s="534"/>
    </row>
    <row r="42" spans="2:50" ht="15.5">
      <c r="B42" s="575" t="s">
        <v>704</v>
      </c>
      <c r="C42" s="576"/>
      <c r="D42" s="576"/>
      <c r="E42" s="576"/>
      <c r="F42" s="576"/>
      <c r="G42" s="576"/>
      <c r="H42" s="576"/>
      <c r="I42" s="208"/>
      <c r="J42" s="203"/>
      <c r="K42" s="208"/>
      <c r="L42" s="208"/>
      <c r="M42" s="204"/>
      <c r="N42" s="559" t="s">
        <v>705</v>
      </c>
      <c r="O42" s="559" t="s">
        <v>706</v>
      </c>
      <c r="P42" s="554">
        <f>P22+7</f>
        <v>46000</v>
      </c>
      <c r="Q42" s="533"/>
      <c r="R42" s="533"/>
      <c r="S42" s="533"/>
      <c r="T42" s="533"/>
      <c r="U42" s="551">
        <f>P42+1</f>
        <v>46001</v>
      </c>
      <c r="V42" s="552"/>
      <c r="W42" s="552"/>
      <c r="X42" s="552"/>
      <c r="Y42" s="553"/>
      <c r="Z42" s="551">
        <f>U42+1</f>
        <v>46002</v>
      </c>
      <c r="AA42" s="552"/>
      <c r="AB42" s="552"/>
      <c r="AC42" s="552"/>
      <c r="AD42" s="553"/>
      <c r="AE42" s="551">
        <f>Z42+1</f>
        <v>46003</v>
      </c>
      <c r="AF42" s="552"/>
      <c r="AG42" s="552"/>
      <c r="AH42" s="552"/>
      <c r="AI42" s="553"/>
      <c r="AJ42" s="551">
        <f>AE42+1</f>
        <v>46004</v>
      </c>
      <c r="AK42" s="552"/>
      <c r="AL42" s="552"/>
      <c r="AM42" s="552"/>
      <c r="AN42" s="553"/>
      <c r="AO42" s="551">
        <f>AJ42+1</f>
        <v>46005</v>
      </c>
      <c r="AP42" s="552"/>
      <c r="AQ42" s="552"/>
      <c r="AR42" s="552"/>
      <c r="AS42" s="553"/>
      <c r="AT42" s="551">
        <f>AO42+1</f>
        <v>46006</v>
      </c>
      <c r="AU42" s="552"/>
      <c r="AV42" s="552"/>
      <c r="AW42" s="552"/>
      <c r="AX42" s="553"/>
    </row>
    <row r="43" spans="2:50" ht="15.5">
      <c r="B43" s="558"/>
      <c r="C43" s="558"/>
      <c r="D43" s="558"/>
      <c r="E43" s="558"/>
      <c r="F43" s="558"/>
      <c r="G43" s="558"/>
      <c r="H43" s="558"/>
      <c r="I43" s="205"/>
      <c r="J43" s="205"/>
      <c r="K43" s="205"/>
      <c r="L43" s="205"/>
      <c r="M43" s="206"/>
      <c r="N43" s="560"/>
      <c r="O43" s="560"/>
      <c r="P43" s="554" t="s">
        <v>707</v>
      </c>
      <c r="Q43" s="533"/>
      <c r="R43" s="533"/>
      <c r="S43" s="533"/>
      <c r="T43" s="533"/>
      <c r="U43" s="554" t="s">
        <v>708</v>
      </c>
      <c r="V43" s="533"/>
      <c r="W43" s="533"/>
      <c r="X43" s="533"/>
      <c r="Y43" s="533"/>
      <c r="Z43" s="554" t="s">
        <v>709</v>
      </c>
      <c r="AA43" s="533"/>
      <c r="AB43" s="533"/>
      <c r="AC43" s="533"/>
      <c r="AD43" s="533"/>
      <c r="AE43" s="554" t="s">
        <v>710</v>
      </c>
      <c r="AF43" s="533"/>
      <c r="AG43" s="533"/>
      <c r="AH43" s="533"/>
      <c r="AI43" s="533"/>
      <c r="AJ43" s="554" t="s">
        <v>711</v>
      </c>
      <c r="AK43" s="533"/>
      <c r="AL43" s="533"/>
      <c r="AM43" s="533"/>
      <c r="AN43" s="533"/>
      <c r="AO43" s="554" t="s">
        <v>712</v>
      </c>
      <c r="AP43" s="533"/>
      <c r="AQ43" s="533"/>
      <c r="AR43" s="533"/>
      <c r="AS43" s="533"/>
      <c r="AT43" s="554" t="s">
        <v>713</v>
      </c>
      <c r="AU43" s="533"/>
      <c r="AV43" s="533"/>
      <c r="AW43" s="533"/>
      <c r="AX43" s="533"/>
    </row>
    <row r="44" spans="2:50">
      <c r="B44" s="544" t="s">
        <v>649</v>
      </c>
      <c r="C44" s="544" t="s">
        <v>650</v>
      </c>
      <c r="D44" s="544"/>
      <c r="E44" s="544" t="s">
        <v>651</v>
      </c>
      <c r="F44" s="544"/>
      <c r="G44" s="544"/>
      <c r="H44" s="561" t="s">
        <v>652</v>
      </c>
      <c r="I44" s="583" t="s">
        <v>653</v>
      </c>
      <c r="J44" s="583"/>
      <c r="K44" s="583"/>
      <c r="L44" s="584" t="s">
        <v>652</v>
      </c>
      <c r="M44" s="567" t="s">
        <v>654</v>
      </c>
      <c r="N44" s="544"/>
      <c r="O44" s="544" t="s">
        <v>655</v>
      </c>
      <c r="P44" s="548" t="s">
        <v>656</v>
      </c>
      <c r="Q44" s="549"/>
      <c r="R44" s="549"/>
      <c r="S44" s="550"/>
      <c r="T44" s="544" t="s">
        <v>652</v>
      </c>
      <c r="U44" s="548" t="s">
        <v>656</v>
      </c>
      <c r="V44" s="549"/>
      <c r="W44" s="549"/>
      <c r="X44" s="550"/>
      <c r="Y44" s="544" t="s">
        <v>652</v>
      </c>
      <c r="Z44" s="548" t="s">
        <v>656</v>
      </c>
      <c r="AA44" s="549"/>
      <c r="AB44" s="549"/>
      <c r="AC44" s="550"/>
      <c r="AD44" s="544" t="s">
        <v>652</v>
      </c>
      <c r="AE44" s="548" t="s">
        <v>656</v>
      </c>
      <c r="AF44" s="549"/>
      <c r="AG44" s="549"/>
      <c r="AH44" s="550"/>
      <c r="AI44" s="544" t="s">
        <v>652</v>
      </c>
      <c r="AJ44" s="548" t="s">
        <v>656</v>
      </c>
      <c r="AK44" s="549"/>
      <c r="AL44" s="549"/>
      <c r="AM44" s="550"/>
      <c r="AN44" s="544" t="s">
        <v>652</v>
      </c>
      <c r="AO44" s="548" t="s">
        <v>656</v>
      </c>
      <c r="AP44" s="549"/>
      <c r="AQ44" s="549"/>
      <c r="AR44" s="550"/>
      <c r="AS44" s="544" t="s">
        <v>652</v>
      </c>
      <c r="AT44" s="548" t="s">
        <v>656</v>
      </c>
      <c r="AU44" s="549"/>
      <c r="AV44" s="549"/>
      <c r="AW44" s="550"/>
      <c r="AX44" s="544" t="s">
        <v>652</v>
      </c>
    </row>
    <row r="45" spans="2:50">
      <c r="B45" s="544"/>
      <c r="C45" s="544"/>
      <c r="D45" s="544"/>
      <c r="E45" s="544" t="s">
        <v>657</v>
      </c>
      <c r="F45" s="544"/>
      <c r="G45" s="544"/>
      <c r="H45" s="562"/>
      <c r="I45" s="583" t="s">
        <v>657</v>
      </c>
      <c r="J45" s="583"/>
      <c r="K45" s="583"/>
      <c r="L45" s="585"/>
      <c r="M45" s="568"/>
      <c r="N45" s="544"/>
      <c r="O45" s="544"/>
      <c r="P45" s="548" t="s">
        <v>658</v>
      </c>
      <c r="Q45" s="549"/>
      <c r="R45" s="549"/>
      <c r="S45" s="550"/>
      <c r="T45" s="544"/>
      <c r="U45" s="548" t="s">
        <v>658</v>
      </c>
      <c r="V45" s="549"/>
      <c r="W45" s="549"/>
      <c r="X45" s="550"/>
      <c r="Y45" s="544"/>
      <c r="Z45" s="548" t="s">
        <v>658</v>
      </c>
      <c r="AA45" s="549"/>
      <c r="AB45" s="549"/>
      <c r="AC45" s="550"/>
      <c r="AD45" s="544"/>
      <c r="AE45" s="548" t="s">
        <v>658</v>
      </c>
      <c r="AF45" s="549"/>
      <c r="AG45" s="549"/>
      <c r="AH45" s="550"/>
      <c r="AI45" s="544"/>
      <c r="AJ45" s="548" t="s">
        <v>658</v>
      </c>
      <c r="AK45" s="549"/>
      <c r="AL45" s="549"/>
      <c r="AM45" s="550"/>
      <c r="AN45" s="544"/>
      <c r="AO45" s="548" t="s">
        <v>658</v>
      </c>
      <c r="AP45" s="549"/>
      <c r="AQ45" s="549"/>
      <c r="AR45" s="550"/>
      <c r="AS45" s="544"/>
      <c r="AT45" s="548" t="s">
        <v>658</v>
      </c>
      <c r="AU45" s="549"/>
      <c r="AV45" s="549"/>
      <c r="AW45" s="550"/>
      <c r="AX45" s="544"/>
    </row>
    <row r="46" spans="2:50">
      <c r="B46" s="544"/>
      <c r="C46" s="544"/>
      <c r="D46" s="544"/>
      <c r="E46" s="403" t="s">
        <v>659</v>
      </c>
      <c r="F46" s="403" t="s">
        <v>660</v>
      </c>
      <c r="G46" s="403" t="s">
        <v>661</v>
      </c>
      <c r="H46" s="563"/>
      <c r="I46" s="402" t="s">
        <v>659</v>
      </c>
      <c r="J46" s="402" t="s">
        <v>660</v>
      </c>
      <c r="K46" s="402" t="s">
        <v>661</v>
      </c>
      <c r="L46" s="586"/>
      <c r="M46" s="569"/>
      <c r="N46" s="544"/>
      <c r="O46" s="544"/>
      <c r="P46" s="403" t="s">
        <v>659</v>
      </c>
      <c r="Q46" s="403" t="s">
        <v>660</v>
      </c>
      <c r="R46" s="403" t="s">
        <v>661</v>
      </c>
      <c r="S46" s="403" t="s">
        <v>654</v>
      </c>
      <c r="T46" s="544"/>
      <c r="U46" s="403" t="s">
        <v>659</v>
      </c>
      <c r="V46" s="403" t="s">
        <v>660</v>
      </c>
      <c r="W46" s="403" t="s">
        <v>661</v>
      </c>
      <c r="X46" s="403" t="s">
        <v>654</v>
      </c>
      <c r="Y46" s="544"/>
      <c r="Z46" s="403" t="s">
        <v>659</v>
      </c>
      <c r="AA46" s="403" t="s">
        <v>660</v>
      </c>
      <c r="AB46" s="403" t="s">
        <v>661</v>
      </c>
      <c r="AC46" s="403" t="s">
        <v>654</v>
      </c>
      <c r="AD46" s="544"/>
      <c r="AE46" s="403" t="s">
        <v>659</v>
      </c>
      <c r="AF46" s="403" t="s">
        <v>660</v>
      </c>
      <c r="AG46" s="403" t="s">
        <v>661</v>
      </c>
      <c r="AH46" s="403" t="s">
        <v>654</v>
      </c>
      <c r="AI46" s="544"/>
      <c r="AJ46" s="403" t="s">
        <v>659</v>
      </c>
      <c r="AK46" s="403" t="s">
        <v>660</v>
      </c>
      <c r="AL46" s="403" t="s">
        <v>661</v>
      </c>
      <c r="AM46" s="403" t="s">
        <v>654</v>
      </c>
      <c r="AN46" s="544"/>
      <c r="AO46" s="403" t="s">
        <v>659</v>
      </c>
      <c r="AP46" s="403" t="s">
        <v>660</v>
      </c>
      <c r="AQ46" s="403" t="s">
        <v>661</v>
      </c>
      <c r="AR46" s="403" t="s">
        <v>654</v>
      </c>
      <c r="AS46" s="544"/>
      <c r="AT46" s="403" t="s">
        <v>659</v>
      </c>
      <c r="AU46" s="403" t="s">
        <v>660</v>
      </c>
      <c r="AV46" s="403" t="s">
        <v>661</v>
      </c>
      <c r="AW46" s="403" t="s">
        <v>654</v>
      </c>
      <c r="AX46" s="544"/>
    </row>
    <row r="47" spans="2:50">
      <c r="B47" s="544" t="s">
        <v>719</v>
      </c>
      <c r="C47" s="404">
        <v>1</v>
      </c>
      <c r="D47" s="226" t="s">
        <v>386</v>
      </c>
      <c r="E47" s="182">
        <v>18</v>
      </c>
      <c r="F47" s="404">
        <v>1440</v>
      </c>
      <c r="G47" s="405">
        <v>80</v>
      </c>
      <c r="H47" s="597">
        <f>AVERAGE(G47:G61)</f>
        <v>84.066666666666649</v>
      </c>
      <c r="I47" s="408">
        <f>AVERAGE(P47,U47,Z47,AE47,AJ47,AO47,AT47)</f>
        <v>18</v>
      </c>
      <c r="J47" s="408">
        <f>AVERAGE(Q47,V47,AA47,AF47,AK47,AP47,AU47)</f>
        <v>1275.3750669022852</v>
      </c>
      <c r="K47" s="406">
        <f>AVERAGE(R47,W47,AB47,AG47,AL47,AQ47,AV47)</f>
        <v>70.854170383460286</v>
      </c>
      <c r="L47" s="587">
        <f>IFERROR(AVERAGE(K47:K61),"-")</f>
        <v>71.899258249759882</v>
      </c>
      <c r="M47" s="407">
        <f>RANK(K47, K$47:$K$61)</f>
        <v>9</v>
      </c>
      <c r="N47" s="544"/>
      <c r="O47" s="544"/>
      <c r="P47" s="182">
        <v>18</v>
      </c>
      <c r="Q47" s="182">
        <v>1256.5903846153853</v>
      </c>
      <c r="R47" s="182">
        <v>69.810576923076965</v>
      </c>
      <c r="S47" s="404">
        <f>RANK(R47, R$47:R$61)</f>
        <v>9</v>
      </c>
      <c r="T47" s="597">
        <f>AVERAGE(R47:R61)</f>
        <v>71.748278654209329</v>
      </c>
      <c r="U47" s="182">
        <v>18</v>
      </c>
      <c r="V47" s="182">
        <v>1281.6371134020624</v>
      </c>
      <c r="W47" s="182">
        <v>71.202061855670138</v>
      </c>
      <c r="X47" s="404">
        <f t="shared" ref="X47:X61" si="29">RANK(W47, W$47:W$61)</f>
        <v>8</v>
      </c>
      <c r="Y47" s="597">
        <f t="shared" ref="Y47" si="30">AVERAGE(W47:W61)</f>
        <v>71.517574123721289</v>
      </c>
      <c r="Z47" s="182">
        <v>18</v>
      </c>
      <c r="AA47" s="182">
        <v>1254.6195652173915</v>
      </c>
      <c r="AB47" s="182">
        <v>69.701086956521749</v>
      </c>
      <c r="AC47" s="404">
        <f t="shared" ref="AC47:AC61" si="31">RANK(AB47, AB$47:AB$61)</f>
        <v>9</v>
      </c>
      <c r="AD47" s="597">
        <f t="shared" ref="AD47" si="32">AVERAGE(AB47:AB61)</f>
        <v>72.94473159068734</v>
      </c>
      <c r="AE47" s="182">
        <v>18</v>
      </c>
      <c r="AF47" s="182">
        <v>1273.1250000000005</v>
      </c>
      <c r="AG47" s="182">
        <v>70.729166666666686</v>
      </c>
      <c r="AH47" s="404">
        <f t="shared" ref="AH47:AH61" si="33">RANK(AG47, AG$47:AG$61)</f>
        <v>7</v>
      </c>
      <c r="AI47" s="597">
        <f t="shared" ref="AI47" si="34">AVERAGE(AG47:AG61)</f>
        <v>70.484907338997147</v>
      </c>
      <c r="AJ47" s="182">
        <v>18</v>
      </c>
      <c r="AK47" s="182">
        <v>1271.0091743119265</v>
      </c>
      <c r="AL47" s="182">
        <v>70.611620795107029</v>
      </c>
      <c r="AM47" s="404">
        <f t="shared" ref="AM47:AM61" si="35">RANK(AL47, AL$47:AL$61)</f>
        <v>8</v>
      </c>
      <c r="AN47" s="597">
        <f t="shared" ref="AN47" si="36">AVERAGE(AL47:AL61)</f>
        <v>71.165042362070196</v>
      </c>
      <c r="AO47" s="182">
        <v>18</v>
      </c>
      <c r="AP47" s="182">
        <v>1291.8749999999998</v>
      </c>
      <c r="AQ47" s="182">
        <v>71.770833333333314</v>
      </c>
      <c r="AR47" s="404">
        <f t="shared" ref="AR47:AR61" si="37">RANK(AQ47, AQ$47:AQ$61)</f>
        <v>8</v>
      </c>
      <c r="AS47" s="597">
        <f t="shared" ref="AS47" si="38">AVERAGE(AQ47:AQ61)</f>
        <v>72.947734166796508</v>
      </c>
      <c r="AT47" s="182">
        <v>18</v>
      </c>
      <c r="AU47" s="182">
        <v>1298.7692307692305</v>
      </c>
      <c r="AV47" s="182">
        <v>72.153846153846132</v>
      </c>
      <c r="AW47" s="404">
        <f t="shared" ref="AW47:AW61" si="39">RANK(AV47, AV$47:AV$61)</f>
        <v>6</v>
      </c>
      <c r="AX47" s="534">
        <f t="shared" ref="AX47" si="40">AVERAGE(AV47:AV61)</f>
        <v>72.486539511837265</v>
      </c>
    </row>
    <row r="48" spans="2:50">
      <c r="B48" s="533"/>
      <c r="C48" s="404">
        <v>2</v>
      </c>
      <c r="D48" s="226" t="s">
        <v>387</v>
      </c>
      <c r="E48" s="182">
        <v>19</v>
      </c>
      <c r="F48" s="404">
        <v>1440</v>
      </c>
      <c r="G48" s="405">
        <v>75.8</v>
      </c>
      <c r="H48" s="598"/>
      <c r="I48" s="408">
        <f t="shared" ref="I48:K58" si="41">AVERAGE(P48,U48,Z48,AE48,AJ48,AO48,AT48)</f>
        <v>18</v>
      </c>
      <c r="J48" s="408">
        <f t="shared" si="41"/>
        <v>1275.4435829458857</v>
      </c>
      <c r="K48" s="406">
        <f t="shared" si="41"/>
        <v>70.857976830327004</v>
      </c>
      <c r="L48" s="588"/>
      <c r="M48" s="407">
        <f>RANK(K48, K$47:$K$61)</f>
        <v>8</v>
      </c>
      <c r="N48" s="544"/>
      <c r="O48" s="544"/>
      <c r="P48" s="182">
        <v>18</v>
      </c>
      <c r="Q48" s="182">
        <v>1264.8648648648641</v>
      </c>
      <c r="R48" s="182">
        <v>70.270270270270231</v>
      </c>
      <c r="S48" s="404">
        <f t="shared" ref="S48:S61" si="42">RANK(R48, R$47:R$61)</f>
        <v>8</v>
      </c>
      <c r="T48" s="598"/>
      <c r="U48" s="182">
        <v>18</v>
      </c>
      <c r="V48" s="182">
        <v>1287.5675675675666</v>
      </c>
      <c r="W48" s="182">
        <v>71.531531531531471</v>
      </c>
      <c r="X48" s="404">
        <f t="shared" si="29"/>
        <v>7</v>
      </c>
      <c r="Y48" s="598"/>
      <c r="Z48" s="182">
        <v>18</v>
      </c>
      <c r="AA48" s="182">
        <v>1289.1428571428557</v>
      </c>
      <c r="AB48" s="182">
        <v>71.619047619047535</v>
      </c>
      <c r="AC48" s="404">
        <f t="shared" si="31"/>
        <v>7</v>
      </c>
      <c r="AD48" s="598"/>
      <c r="AE48" s="182">
        <v>18</v>
      </c>
      <c r="AF48" s="182">
        <v>1244.5161290322562</v>
      </c>
      <c r="AG48" s="182">
        <v>69.13978494623646</v>
      </c>
      <c r="AH48" s="404">
        <f t="shared" si="33"/>
        <v>8</v>
      </c>
      <c r="AI48" s="598"/>
      <c r="AJ48" s="182">
        <v>18</v>
      </c>
      <c r="AK48" s="182">
        <v>1285.7142857142844</v>
      </c>
      <c r="AL48" s="182">
        <v>71.42857142857136</v>
      </c>
      <c r="AM48" s="404">
        <f t="shared" si="35"/>
        <v>7</v>
      </c>
      <c r="AN48" s="598"/>
      <c r="AO48" s="182">
        <v>18</v>
      </c>
      <c r="AP48" s="182">
        <v>1278.4615384615377</v>
      </c>
      <c r="AQ48" s="182">
        <v>71.025641025640979</v>
      </c>
      <c r="AR48" s="404">
        <f t="shared" si="37"/>
        <v>9</v>
      </c>
      <c r="AS48" s="598"/>
      <c r="AT48" s="182">
        <v>18</v>
      </c>
      <c r="AU48" s="182">
        <v>1277.8378378378368</v>
      </c>
      <c r="AV48" s="182">
        <v>70.990990990990937</v>
      </c>
      <c r="AW48" s="404">
        <f t="shared" si="39"/>
        <v>9</v>
      </c>
      <c r="AX48" s="534"/>
    </row>
    <row r="49" spans="2:50">
      <c r="B49" s="533"/>
      <c r="C49" s="404">
        <v>3</v>
      </c>
      <c r="D49" s="226" t="s">
        <v>389</v>
      </c>
      <c r="E49" s="182">
        <v>17</v>
      </c>
      <c r="F49" s="404">
        <v>1636</v>
      </c>
      <c r="G49" s="405">
        <v>96.3</v>
      </c>
      <c r="H49" s="598"/>
      <c r="I49" s="408">
        <f t="shared" si="41"/>
        <v>17.142857142857142</v>
      </c>
      <c r="J49" s="408">
        <f t="shared" si="41"/>
        <v>1376.4817065802256</v>
      </c>
      <c r="K49" s="406">
        <f t="shared" si="41"/>
        <v>80.30284548511132</v>
      </c>
      <c r="L49" s="588"/>
      <c r="M49" s="407">
        <f>RANK(K49, K$47:$K$61)</f>
        <v>1</v>
      </c>
      <c r="N49" s="544"/>
      <c r="O49" s="544"/>
      <c r="P49" s="182">
        <v>18</v>
      </c>
      <c r="Q49" s="182">
        <v>1427.9999999999975</v>
      </c>
      <c r="R49" s="182">
        <v>79.333333333333201</v>
      </c>
      <c r="S49" s="404">
        <f t="shared" si="42"/>
        <v>1</v>
      </c>
      <c r="T49" s="598"/>
      <c r="U49" s="182">
        <v>17</v>
      </c>
      <c r="V49" s="182">
        <v>1314.5454545454529</v>
      </c>
      <c r="W49" s="182">
        <v>77.326203208556052</v>
      </c>
      <c r="X49" s="404">
        <f t="shared" si="29"/>
        <v>2</v>
      </c>
      <c r="Y49" s="598"/>
      <c r="Z49" s="182">
        <v>17</v>
      </c>
      <c r="AA49" s="182">
        <v>1475.555555555552</v>
      </c>
      <c r="AB49" s="182">
        <v>86.797385620914824</v>
      </c>
      <c r="AC49" s="404">
        <f t="shared" si="31"/>
        <v>1</v>
      </c>
      <c r="AD49" s="598"/>
      <c r="AE49" s="182">
        <v>17</v>
      </c>
      <c r="AF49" s="182">
        <v>1220.0000000000005</v>
      </c>
      <c r="AG49" s="182">
        <v>71.76470588235297</v>
      </c>
      <c r="AH49" s="404">
        <f t="shared" si="33"/>
        <v>5</v>
      </c>
      <c r="AI49" s="598"/>
      <c r="AJ49" s="182">
        <v>17</v>
      </c>
      <c r="AK49" s="182">
        <v>1332.4137931034384</v>
      </c>
      <c r="AL49" s="182">
        <v>78.377281947261082</v>
      </c>
      <c r="AM49" s="404">
        <f t="shared" si="35"/>
        <v>1</v>
      </c>
      <c r="AN49" s="598"/>
      <c r="AO49" s="182">
        <v>17</v>
      </c>
      <c r="AP49" s="182">
        <v>1452.8571428571397</v>
      </c>
      <c r="AQ49" s="182">
        <v>85.462184873949397</v>
      </c>
      <c r="AR49" s="404">
        <f t="shared" si="37"/>
        <v>1</v>
      </c>
      <c r="AS49" s="598"/>
      <c r="AT49" s="182">
        <v>17</v>
      </c>
      <c r="AU49" s="182">
        <v>1411.9999999999975</v>
      </c>
      <c r="AV49" s="182">
        <v>83.058823529411612</v>
      </c>
      <c r="AW49" s="404">
        <f t="shared" si="39"/>
        <v>1</v>
      </c>
      <c r="AX49" s="534"/>
    </row>
    <row r="50" spans="2:50">
      <c r="B50" s="533"/>
      <c r="C50" s="404">
        <v>4</v>
      </c>
      <c r="D50" s="226" t="s">
        <v>388</v>
      </c>
      <c r="E50" s="182">
        <v>17</v>
      </c>
      <c r="F50" s="404">
        <v>1440</v>
      </c>
      <c r="G50" s="405">
        <v>84.7</v>
      </c>
      <c r="H50" s="598"/>
      <c r="I50" s="408">
        <f t="shared" si="41"/>
        <v>17</v>
      </c>
      <c r="J50" s="408">
        <f t="shared" si="41"/>
        <v>1276.9340338178361</v>
      </c>
      <c r="K50" s="406">
        <f t="shared" si="41"/>
        <v>75.113766695166831</v>
      </c>
      <c r="L50" s="588"/>
      <c r="M50" s="407">
        <f>RANK(K50, K$47:$K$61)</f>
        <v>4</v>
      </c>
      <c r="N50" s="544"/>
      <c r="O50" s="544"/>
      <c r="P50" s="182">
        <v>17</v>
      </c>
      <c r="Q50" s="182">
        <v>1283.5862068965519</v>
      </c>
      <c r="R50" s="182">
        <v>75.505070993914813</v>
      </c>
      <c r="S50" s="404">
        <f t="shared" si="42"/>
        <v>4</v>
      </c>
      <c r="T50" s="598"/>
      <c r="U50" s="182">
        <v>17</v>
      </c>
      <c r="V50" s="182">
        <v>1279.5675675675675</v>
      </c>
      <c r="W50" s="182">
        <v>75.268680445151034</v>
      </c>
      <c r="X50" s="404">
        <f t="shared" si="29"/>
        <v>3</v>
      </c>
      <c r="Y50" s="598"/>
      <c r="Z50" s="182">
        <v>17</v>
      </c>
      <c r="AA50" s="182">
        <v>1283.7735849056598</v>
      </c>
      <c r="AB50" s="182">
        <v>75.516093229744698</v>
      </c>
      <c r="AC50" s="404">
        <f t="shared" si="31"/>
        <v>5</v>
      </c>
      <c r="AD50" s="598"/>
      <c r="AE50" s="182">
        <v>17</v>
      </c>
      <c r="AF50" s="182">
        <v>1263.8181818181818</v>
      </c>
      <c r="AG50" s="182">
        <v>74.342245989304814</v>
      </c>
      <c r="AH50" s="404">
        <f t="shared" si="33"/>
        <v>3</v>
      </c>
      <c r="AI50" s="598"/>
      <c r="AJ50" s="182">
        <v>17</v>
      </c>
      <c r="AK50" s="182">
        <v>1276.7213114754093</v>
      </c>
      <c r="AL50" s="182">
        <v>75.101253616200552</v>
      </c>
      <c r="AM50" s="404">
        <f t="shared" si="35"/>
        <v>4</v>
      </c>
      <c r="AN50" s="598"/>
      <c r="AO50" s="182">
        <v>17</v>
      </c>
      <c r="AP50" s="182">
        <v>1293.566433566433</v>
      </c>
      <c r="AQ50" s="182">
        <v>76.092143150966649</v>
      </c>
      <c r="AR50" s="404">
        <f t="shared" si="37"/>
        <v>4</v>
      </c>
      <c r="AS50" s="598"/>
      <c r="AT50" s="182">
        <v>17</v>
      </c>
      <c r="AU50" s="182">
        <v>1257.5049504950498</v>
      </c>
      <c r="AV50" s="182">
        <v>73.970879440885284</v>
      </c>
      <c r="AW50" s="404">
        <f t="shared" si="39"/>
        <v>5</v>
      </c>
      <c r="AX50" s="534"/>
    </row>
    <row r="51" spans="2:50">
      <c r="B51" s="533"/>
      <c r="C51" s="404">
        <v>5</v>
      </c>
      <c r="D51" s="226" t="s">
        <v>390</v>
      </c>
      <c r="E51" s="182">
        <v>17</v>
      </c>
      <c r="F51" s="404">
        <v>1440</v>
      </c>
      <c r="G51" s="405">
        <v>84.7</v>
      </c>
      <c r="H51" s="598"/>
      <c r="I51" s="408">
        <f t="shared" si="41"/>
        <v>17.142857142857142</v>
      </c>
      <c r="J51" s="408">
        <f t="shared" si="41"/>
        <v>1236.1045229533963</v>
      </c>
      <c r="K51" s="406">
        <f t="shared" si="41"/>
        <v>72.109789865605961</v>
      </c>
      <c r="L51" s="588"/>
      <c r="M51" s="407">
        <f>RANK(K51, K$47:$K$61)</f>
        <v>7</v>
      </c>
      <c r="N51" s="544"/>
      <c r="O51" s="544"/>
      <c r="P51" s="182">
        <v>18</v>
      </c>
      <c r="Q51" s="182">
        <v>1289.9999999999982</v>
      </c>
      <c r="R51" s="182">
        <v>71.666666666666572</v>
      </c>
      <c r="S51" s="404">
        <f t="shared" si="42"/>
        <v>7</v>
      </c>
      <c r="T51" s="598"/>
      <c r="U51" s="182">
        <v>17</v>
      </c>
      <c r="V51" s="182">
        <v>1164.3243243243282</v>
      </c>
      <c r="W51" s="182">
        <v>68.489666136725191</v>
      </c>
      <c r="X51" s="404">
        <f t="shared" si="29"/>
        <v>9</v>
      </c>
      <c r="Y51" s="598"/>
      <c r="Z51" s="182">
        <v>17</v>
      </c>
      <c r="AA51" s="182">
        <v>1286.2499999999982</v>
      </c>
      <c r="AB51" s="182">
        <v>75.661764705882248</v>
      </c>
      <c r="AC51" s="404">
        <f t="shared" si="31"/>
        <v>4</v>
      </c>
      <c r="AD51" s="598"/>
      <c r="AE51" s="182">
        <v>17</v>
      </c>
      <c r="AF51" s="182">
        <v>1142.0689655172487</v>
      </c>
      <c r="AG51" s="182">
        <v>67.180527383367576</v>
      </c>
      <c r="AH51" s="404">
        <f t="shared" si="33"/>
        <v>9</v>
      </c>
      <c r="AI51" s="598"/>
      <c r="AJ51" s="182">
        <v>17</v>
      </c>
      <c r="AK51" s="182">
        <v>1227.0967741935494</v>
      </c>
      <c r="AL51" s="182">
        <v>72.182163187855849</v>
      </c>
      <c r="AM51" s="404">
        <f t="shared" si="35"/>
        <v>6</v>
      </c>
      <c r="AN51" s="598"/>
      <c r="AO51" s="182">
        <v>17</v>
      </c>
      <c r="AP51" s="182">
        <v>1258.2857142857131</v>
      </c>
      <c r="AQ51" s="182">
        <v>74.016806722689012</v>
      </c>
      <c r="AR51" s="404">
        <f t="shared" si="37"/>
        <v>6</v>
      </c>
      <c r="AS51" s="598"/>
      <c r="AT51" s="182">
        <v>17</v>
      </c>
      <c r="AU51" s="182">
        <v>1284.7058823529396</v>
      </c>
      <c r="AV51" s="182">
        <v>75.570934256055267</v>
      </c>
      <c r="AW51" s="404">
        <f t="shared" si="39"/>
        <v>4</v>
      </c>
      <c r="AX51" s="534"/>
    </row>
    <row r="52" spans="2:50">
      <c r="B52" s="533"/>
      <c r="C52" s="404">
        <v>6</v>
      </c>
      <c r="D52" s="226" t="s">
        <v>391</v>
      </c>
      <c r="E52" s="182">
        <v>19</v>
      </c>
      <c r="F52" s="404">
        <v>1385</v>
      </c>
      <c r="G52" s="405">
        <v>72.900000000000006</v>
      </c>
      <c r="H52" s="598"/>
      <c r="I52" s="408">
        <f t="shared" si="41"/>
        <v>19</v>
      </c>
      <c r="J52" s="408">
        <f t="shared" si="41"/>
        <v>1232.1685696337522</v>
      </c>
      <c r="K52" s="406">
        <f t="shared" si="41"/>
        <v>64.850977349144856</v>
      </c>
      <c r="L52" s="588"/>
      <c r="M52" s="407">
        <f>RANK(K52, K$47:$K$61)</f>
        <v>11</v>
      </c>
      <c r="N52" s="544"/>
      <c r="O52" s="544"/>
      <c r="P52" s="182">
        <v>19</v>
      </c>
      <c r="Q52" s="182">
        <v>1217.1428571428576</v>
      </c>
      <c r="R52" s="182">
        <v>64.06015037593987</v>
      </c>
      <c r="S52" s="404">
        <f t="shared" si="42"/>
        <v>11</v>
      </c>
      <c r="T52" s="598"/>
      <c r="U52" s="182">
        <v>19</v>
      </c>
      <c r="V52" s="182">
        <v>1245.2727272727282</v>
      </c>
      <c r="W52" s="182">
        <v>65.540669856459374</v>
      </c>
      <c r="X52" s="404">
        <f t="shared" si="29"/>
        <v>11</v>
      </c>
      <c r="Y52" s="598"/>
      <c r="Z52" s="182">
        <v>19</v>
      </c>
      <c r="AA52" s="182">
        <v>1213.4042553191491</v>
      </c>
      <c r="AB52" s="182">
        <v>63.863381858902585</v>
      </c>
      <c r="AC52" s="404">
        <f t="shared" si="31"/>
        <v>11</v>
      </c>
      <c r="AD52" s="598"/>
      <c r="AE52" s="182">
        <v>19</v>
      </c>
      <c r="AF52" s="182">
        <v>1218.8764044943821</v>
      </c>
      <c r="AG52" s="182">
        <v>64.151389710230632</v>
      </c>
      <c r="AH52" s="404">
        <f t="shared" si="33"/>
        <v>11</v>
      </c>
      <c r="AI52" s="598"/>
      <c r="AJ52" s="182">
        <v>19</v>
      </c>
      <c r="AK52" s="182">
        <v>1251.0638297872342</v>
      </c>
      <c r="AL52" s="182">
        <v>65.845464725643907</v>
      </c>
      <c r="AM52" s="404">
        <f t="shared" si="35"/>
        <v>10</v>
      </c>
      <c r="AN52" s="598"/>
      <c r="AO52" s="182">
        <v>19</v>
      </c>
      <c r="AP52" s="182">
        <v>1235.238095238095</v>
      </c>
      <c r="AQ52" s="182">
        <v>65.01253132832079</v>
      </c>
      <c r="AR52" s="404">
        <f t="shared" si="37"/>
        <v>11</v>
      </c>
      <c r="AS52" s="598"/>
      <c r="AT52" s="182">
        <v>19</v>
      </c>
      <c r="AU52" s="182">
        <v>1244.1818181818189</v>
      </c>
      <c r="AV52" s="182">
        <v>65.483253588516789</v>
      </c>
      <c r="AW52" s="404">
        <f t="shared" si="39"/>
        <v>11</v>
      </c>
      <c r="AX52" s="534"/>
    </row>
    <row r="53" spans="2:50">
      <c r="B53" s="533"/>
      <c r="C53" s="404">
        <v>7</v>
      </c>
      <c r="D53" s="226" t="s">
        <v>392</v>
      </c>
      <c r="E53" s="182">
        <v>19</v>
      </c>
      <c r="F53" s="404">
        <v>1440</v>
      </c>
      <c r="G53" s="405">
        <v>75.8</v>
      </c>
      <c r="H53" s="598"/>
      <c r="I53" s="408">
        <f t="shared" si="41"/>
        <v>19</v>
      </c>
      <c r="J53" s="408">
        <f t="shared" si="41"/>
        <v>1281.1805981585453</v>
      </c>
      <c r="K53" s="406">
        <f t="shared" si="41"/>
        <v>67.430557797818182</v>
      </c>
      <c r="L53" s="588"/>
      <c r="M53" s="407">
        <f>RANK(K53, K$47:$K$61)</f>
        <v>10</v>
      </c>
      <c r="N53" s="544"/>
      <c r="O53" s="544"/>
      <c r="P53" s="182">
        <v>19</v>
      </c>
      <c r="Q53" s="182">
        <v>1282.0588235294135</v>
      </c>
      <c r="R53" s="182">
        <v>67.476780185758614</v>
      </c>
      <c r="S53" s="404">
        <f t="shared" si="42"/>
        <v>10</v>
      </c>
      <c r="T53" s="598"/>
      <c r="U53" s="182">
        <v>19</v>
      </c>
      <c r="V53" s="182">
        <v>1287.7611940298523</v>
      </c>
      <c r="W53" s="182">
        <v>67.776904948939588</v>
      </c>
      <c r="X53" s="404">
        <f t="shared" si="29"/>
        <v>10</v>
      </c>
      <c r="Y53" s="598"/>
      <c r="Z53" s="182">
        <v>19</v>
      </c>
      <c r="AA53" s="182">
        <v>1291.4754098360668</v>
      </c>
      <c r="AB53" s="182">
        <v>67.972389991371941</v>
      </c>
      <c r="AC53" s="404">
        <f t="shared" si="31"/>
        <v>10</v>
      </c>
      <c r="AD53" s="598"/>
      <c r="AE53" s="182">
        <v>19</v>
      </c>
      <c r="AF53" s="182">
        <v>1264.8387096774204</v>
      </c>
      <c r="AG53" s="182">
        <v>66.570458404074756</v>
      </c>
      <c r="AH53" s="404">
        <f t="shared" si="33"/>
        <v>10</v>
      </c>
      <c r="AI53" s="598"/>
      <c r="AJ53" s="182">
        <v>19</v>
      </c>
      <c r="AK53" s="182">
        <v>1294.6875000000016</v>
      </c>
      <c r="AL53" s="182">
        <v>68.14144736842114</v>
      </c>
      <c r="AM53" s="404">
        <f t="shared" si="35"/>
        <v>9</v>
      </c>
      <c r="AN53" s="598"/>
      <c r="AO53" s="182">
        <v>19</v>
      </c>
      <c r="AP53" s="182">
        <v>1266.3157894736833</v>
      </c>
      <c r="AQ53" s="182">
        <v>66.648199445983323</v>
      </c>
      <c r="AR53" s="404">
        <f t="shared" si="37"/>
        <v>10</v>
      </c>
      <c r="AS53" s="598"/>
      <c r="AT53" s="182">
        <v>19</v>
      </c>
      <c r="AU53" s="182">
        <v>1281.1267605633789</v>
      </c>
      <c r="AV53" s="182">
        <v>67.427724240177838</v>
      </c>
      <c r="AW53" s="404">
        <f t="shared" si="39"/>
        <v>10</v>
      </c>
      <c r="AX53" s="534"/>
    </row>
    <row r="54" spans="2:50">
      <c r="B54" s="533"/>
      <c r="C54" s="404">
        <v>8</v>
      </c>
      <c r="D54" s="226" t="s">
        <v>504</v>
      </c>
      <c r="E54" s="182">
        <v>17</v>
      </c>
      <c r="F54" s="404">
        <v>1385</v>
      </c>
      <c r="G54" s="405">
        <v>81.400000000000006</v>
      </c>
      <c r="H54" s="598"/>
      <c r="I54" s="408">
        <f t="shared" si="41"/>
        <v>17</v>
      </c>
      <c r="J54" s="408">
        <f t="shared" si="41"/>
        <v>1228.1965738875986</v>
      </c>
      <c r="K54" s="406">
        <f t="shared" si="41"/>
        <v>72.246857287505804</v>
      </c>
      <c r="L54" s="588"/>
      <c r="M54" s="407">
        <f>RANK(K54, K$47:$K$61)</f>
        <v>6</v>
      </c>
      <c r="N54" s="544"/>
      <c r="O54" s="544"/>
      <c r="P54" s="182">
        <v>17</v>
      </c>
      <c r="Q54" s="182">
        <v>1241.9999999999995</v>
      </c>
      <c r="R54" s="182">
        <v>73.05882352941174</v>
      </c>
      <c r="S54" s="404">
        <f t="shared" si="42"/>
        <v>5</v>
      </c>
      <c r="T54" s="598"/>
      <c r="U54" s="182">
        <v>17</v>
      </c>
      <c r="V54" s="182">
        <v>1234.2857142857135</v>
      </c>
      <c r="W54" s="182">
        <v>72.605042016806678</v>
      </c>
      <c r="X54" s="404">
        <f t="shared" si="29"/>
        <v>6</v>
      </c>
      <c r="Y54" s="598"/>
      <c r="Z54" s="182">
        <v>17</v>
      </c>
      <c r="AA54" s="182">
        <v>1213.3333333333323</v>
      </c>
      <c r="AB54" s="182">
        <v>71.372549019607789</v>
      </c>
      <c r="AC54" s="404">
        <f t="shared" si="31"/>
        <v>8</v>
      </c>
      <c r="AD54" s="598"/>
      <c r="AE54" s="182">
        <v>17</v>
      </c>
      <c r="AF54" s="182">
        <v>1205.7313432835836</v>
      </c>
      <c r="AG54" s="182">
        <v>70.925373134328439</v>
      </c>
      <c r="AH54" s="404">
        <f t="shared" si="33"/>
        <v>6</v>
      </c>
      <c r="AI54" s="598"/>
      <c r="AJ54" s="182">
        <v>17</v>
      </c>
      <c r="AK54" s="182">
        <v>1239.5076923076936</v>
      </c>
      <c r="AL54" s="182">
        <v>72.912217194570204</v>
      </c>
      <c r="AM54" s="404">
        <f t="shared" si="35"/>
        <v>5</v>
      </c>
      <c r="AN54" s="598"/>
      <c r="AO54" s="182">
        <v>17</v>
      </c>
      <c r="AP54" s="182">
        <v>1241.3414634146336</v>
      </c>
      <c r="AQ54" s="182">
        <v>73.020086083213741</v>
      </c>
      <c r="AR54" s="404">
        <f t="shared" si="37"/>
        <v>7</v>
      </c>
      <c r="AS54" s="598"/>
      <c r="AT54" s="182">
        <v>17</v>
      </c>
      <c r="AU54" s="182">
        <v>1221.1764705882349</v>
      </c>
      <c r="AV54" s="182">
        <v>71.833910034602056</v>
      </c>
      <c r="AW54" s="404">
        <f t="shared" si="39"/>
        <v>8</v>
      </c>
      <c r="AX54" s="534"/>
    </row>
    <row r="55" spans="2:50">
      <c r="B55" s="533"/>
      <c r="C55" s="404">
        <v>9</v>
      </c>
      <c r="D55" s="226" t="s">
        <v>507</v>
      </c>
      <c r="E55" s="182">
        <v>19</v>
      </c>
      <c r="F55" s="404">
        <v>1385</v>
      </c>
      <c r="G55" s="405">
        <v>72.900000000000006</v>
      </c>
      <c r="H55" s="598"/>
      <c r="I55" s="408">
        <f t="shared" si="41"/>
        <v>20</v>
      </c>
      <c r="J55" s="408">
        <f t="shared" si="41"/>
        <v>1232.8712977410801</v>
      </c>
      <c r="K55" s="406">
        <f t="shared" si="41"/>
        <v>61.643564887054005</v>
      </c>
      <c r="L55" s="588"/>
      <c r="M55" s="407">
        <f>RANK(K55, K$47:$K$61)</f>
        <v>12</v>
      </c>
      <c r="N55" s="544"/>
      <c r="O55" s="544"/>
      <c r="P55" s="182">
        <v>20</v>
      </c>
      <c r="Q55" s="182">
        <v>1252.1739130434783</v>
      </c>
      <c r="R55" s="182">
        <v>62.608695652173914</v>
      </c>
      <c r="S55" s="404">
        <f t="shared" si="42"/>
        <v>12</v>
      </c>
      <c r="T55" s="598"/>
      <c r="U55" s="182">
        <v>20</v>
      </c>
      <c r="V55" s="182">
        <v>1229.3877551020412</v>
      </c>
      <c r="W55" s="182">
        <v>61.469387755102062</v>
      </c>
      <c r="X55" s="404">
        <f t="shared" si="29"/>
        <v>12</v>
      </c>
      <c r="Y55" s="598"/>
      <c r="Z55" s="182">
        <v>20</v>
      </c>
      <c r="AA55" s="182">
        <v>1237.3333333333335</v>
      </c>
      <c r="AB55" s="182">
        <v>61.866666666666674</v>
      </c>
      <c r="AC55" s="404">
        <f t="shared" si="31"/>
        <v>12</v>
      </c>
      <c r="AD55" s="598"/>
      <c r="AE55" s="182">
        <v>20</v>
      </c>
      <c r="AF55" s="182">
        <v>1239.512195121951</v>
      </c>
      <c r="AG55" s="182">
        <v>61.975609756097548</v>
      </c>
      <c r="AH55" s="404">
        <f t="shared" si="33"/>
        <v>12</v>
      </c>
      <c r="AI55" s="598"/>
      <c r="AJ55" s="182">
        <v>20</v>
      </c>
      <c r="AK55" s="182">
        <v>1194.5454545454545</v>
      </c>
      <c r="AL55" s="182">
        <v>59.727272727272727</v>
      </c>
      <c r="AM55" s="404">
        <f t="shared" si="35"/>
        <v>12</v>
      </c>
      <c r="AN55" s="598"/>
      <c r="AO55" s="182">
        <v>20</v>
      </c>
      <c r="AP55" s="182">
        <v>1223.5294117647065</v>
      </c>
      <c r="AQ55" s="182">
        <v>61.176470588235325</v>
      </c>
      <c r="AR55" s="404">
        <f t="shared" si="37"/>
        <v>12</v>
      </c>
      <c r="AS55" s="598"/>
      <c r="AT55" s="182">
        <v>20</v>
      </c>
      <c r="AU55" s="182">
        <v>1253.6170212765958</v>
      </c>
      <c r="AV55" s="182">
        <v>62.680851063829792</v>
      </c>
      <c r="AW55" s="404">
        <f t="shared" si="39"/>
        <v>12</v>
      </c>
      <c r="AX55" s="534"/>
    </row>
    <row r="56" spans="2:50">
      <c r="B56" s="533"/>
      <c r="C56" s="404">
        <v>10</v>
      </c>
      <c r="D56" s="226" t="s">
        <v>549</v>
      </c>
      <c r="E56" s="182">
        <v>15</v>
      </c>
      <c r="F56" s="404">
        <v>1565</v>
      </c>
      <c r="G56" s="405">
        <v>104.3</v>
      </c>
      <c r="H56" s="598"/>
      <c r="I56" s="408">
        <f t="shared" si="41"/>
        <v>15</v>
      </c>
      <c r="J56" s="408">
        <f t="shared" si="41"/>
        <v>1148.3185274109685</v>
      </c>
      <c r="K56" s="406">
        <f t="shared" si="41"/>
        <v>76.554568494064569</v>
      </c>
      <c r="L56" s="588"/>
      <c r="M56" s="407">
        <f>RANK(K56, K$47:$K$61)</f>
        <v>3</v>
      </c>
      <c r="N56" s="544"/>
      <c r="O56" s="544"/>
      <c r="P56" s="182">
        <v>15</v>
      </c>
      <c r="Q56" s="182">
        <v>1140.0000000000041</v>
      </c>
      <c r="R56" s="182">
        <v>76.00000000000027</v>
      </c>
      <c r="S56" s="404">
        <f t="shared" si="42"/>
        <v>3</v>
      </c>
      <c r="T56" s="598"/>
      <c r="U56" s="182">
        <v>15</v>
      </c>
      <c r="V56" s="182">
        <v>1166.6666666666708</v>
      </c>
      <c r="W56" s="182">
        <v>77.777777777778056</v>
      </c>
      <c r="X56" s="404">
        <f t="shared" si="29"/>
        <v>1</v>
      </c>
      <c r="Y56" s="598"/>
      <c r="Z56" s="182">
        <v>15</v>
      </c>
      <c r="AA56" s="182">
        <v>1157.6470588235336</v>
      </c>
      <c r="AB56" s="182">
        <v>77.176470588235574</v>
      </c>
      <c r="AC56" s="404">
        <f t="shared" si="31"/>
        <v>3</v>
      </c>
      <c r="AD56" s="598"/>
      <c r="AE56" s="182">
        <v>15</v>
      </c>
      <c r="AF56" s="182">
        <v>1110.0000000000039</v>
      </c>
      <c r="AG56" s="182">
        <v>74.000000000000256</v>
      </c>
      <c r="AH56" s="404">
        <f t="shared" si="33"/>
        <v>4</v>
      </c>
      <c r="AI56" s="598"/>
      <c r="AJ56" s="182">
        <v>15</v>
      </c>
      <c r="AK56" s="182">
        <v>1164.0000000000041</v>
      </c>
      <c r="AL56" s="182">
        <v>77.600000000000279</v>
      </c>
      <c r="AM56" s="404">
        <f t="shared" si="35"/>
        <v>3</v>
      </c>
      <c r="AN56" s="598"/>
      <c r="AO56" s="182">
        <v>15</v>
      </c>
      <c r="AP56" s="182">
        <v>1152.857142857147</v>
      </c>
      <c r="AQ56" s="182">
        <v>76.857142857143131</v>
      </c>
      <c r="AR56" s="404">
        <f t="shared" si="37"/>
        <v>3</v>
      </c>
      <c r="AS56" s="598"/>
      <c r="AT56" s="182">
        <v>15</v>
      </c>
      <c r="AU56" s="182">
        <v>1147.0588235294158</v>
      </c>
      <c r="AV56" s="182">
        <v>76.470588235294386</v>
      </c>
      <c r="AW56" s="404">
        <f t="shared" si="39"/>
        <v>3</v>
      </c>
      <c r="AX56" s="534"/>
    </row>
    <row r="57" spans="2:50">
      <c r="B57" s="533"/>
      <c r="C57" s="404">
        <v>11</v>
      </c>
      <c r="D57" s="226" t="s">
        <v>581</v>
      </c>
      <c r="E57" s="182">
        <v>16</v>
      </c>
      <c r="F57" s="404">
        <v>1440</v>
      </c>
      <c r="G57" s="405">
        <v>90</v>
      </c>
      <c r="H57" s="598"/>
      <c r="I57" s="408">
        <f t="shared" si="41"/>
        <v>16.142857142857142</v>
      </c>
      <c r="J57" s="408">
        <f t="shared" si="41"/>
        <v>1265.706343532752</v>
      </c>
      <c r="K57" s="406">
        <f t="shared" si="41"/>
        <v>78.435162924107289</v>
      </c>
      <c r="L57" s="588"/>
      <c r="M57" s="407">
        <f>RANK(K57, K$47:$K$61)</f>
        <v>2</v>
      </c>
      <c r="N57" s="544"/>
      <c r="O57" s="544"/>
      <c r="P57" s="182">
        <v>16</v>
      </c>
      <c r="Q57" s="182">
        <v>1257.5609756097558</v>
      </c>
      <c r="R57" s="182">
        <v>78.597560975609738</v>
      </c>
      <c r="S57" s="404">
        <f t="shared" si="42"/>
        <v>2</v>
      </c>
      <c r="T57" s="598"/>
      <c r="U57" s="182">
        <v>17</v>
      </c>
      <c r="V57" s="182">
        <v>1278.504672897197</v>
      </c>
      <c r="W57" s="182">
        <v>75.206157229246884</v>
      </c>
      <c r="X57" s="404">
        <f t="shared" si="29"/>
        <v>4</v>
      </c>
      <c r="Y57" s="598"/>
      <c r="Z57" s="182">
        <v>16</v>
      </c>
      <c r="AA57" s="182">
        <v>1263.1304347826097</v>
      </c>
      <c r="AB57" s="182">
        <v>78.945652173913103</v>
      </c>
      <c r="AC57" s="404">
        <f t="shared" si="31"/>
        <v>2</v>
      </c>
      <c r="AD57" s="598"/>
      <c r="AE57" s="182">
        <v>16</v>
      </c>
      <c r="AF57" s="182">
        <v>1290.8571428571436</v>
      </c>
      <c r="AG57" s="182">
        <v>80.678571428571473</v>
      </c>
      <c r="AH57" s="404">
        <f t="shared" si="33"/>
        <v>1</v>
      </c>
      <c r="AI57" s="598"/>
      <c r="AJ57" s="182">
        <v>16</v>
      </c>
      <c r="AK57" s="182">
        <v>1249.3220338983047</v>
      </c>
      <c r="AL57" s="182">
        <v>78.082627118644041</v>
      </c>
      <c r="AM57" s="404">
        <f t="shared" si="35"/>
        <v>2</v>
      </c>
      <c r="AN57" s="598"/>
      <c r="AO57" s="182">
        <v>16</v>
      </c>
      <c r="AP57" s="182">
        <v>1270.7913669064749</v>
      </c>
      <c r="AQ57" s="182">
        <v>79.42446043165468</v>
      </c>
      <c r="AR57" s="404">
        <f t="shared" si="37"/>
        <v>2</v>
      </c>
      <c r="AS57" s="598"/>
      <c r="AT57" s="182">
        <v>16</v>
      </c>
      <c r="AU57" s="182">
        <v>1249.7777777777778</v>
      </c>
      <c r="AV57" s="182">
        <v>78.111111111111114</v>
      </c>
      <c r="AW57" s="404">
        <f t="shared" si="39"/>
        <v>2</v>
      </c>
      <c r="AX57" s="534"/>
    </row>
    <row r="58" spans="2:50">
      <c r="B58" s="533"/>
      <c r="C58" s="404">
        <v>12</v>
      </c>
      <c r="D58" s="226" t="s">
        <v>625</v>
      </c>
      <c r="E58" s="182">
        <v>16</v>
      </c>
      <c r="F58" s="404">
        <v>1440</v>
      </c>
      <c r="G58" s="405">
        <v>90</v>
      </c>
      <c r="H58" s="598"/>
      <c r="I58" s="408">
        <f t="shared" si="41"/>
        <v>17</v>
      </c>
      <c r="J58" s="408">
        <f t="shared" si="41"/>
        <v>1230.6446369617897</v>
      </c>
      <c r="K58" s="406">
        <f t="shared" si="41"/>
        <v>72.390860997752341</v>
      </c>
      <c r="L58" s="588"/>
      <c r="M58" s="407">
        <f>RANK(K58, K$47:$K$61)</f>
        <v>5</v>
      </c>
      <c r="N58" s="544"/>
      <c r="O58" s="544"/>
      <c r="P58" s="404">
        <v>17</v>
      </c>
      <c r="Q58" s="405">
        <v>1234.054054054053</v>
      </c>
      <c r="R58" s="405">
        <v>72.59141494435606</v>
      </c>
      <c r="S58" s="404">
        <f t="shared" si="42"/>
        <v>6</v>
      </c>
      <c r="T58" s="598"/>
      <c r="U58" s="404">
        <v>17</v>
      </c>
      <c r="V58" s="405">
        <v>1258.2857142857131</v>
      </c>
      <c r="W58" s="405">
        <v>74.016806722689012</v>
      </c>
      <c r="X58" s="404">
        <f t="shared" si="29"/>
        <v>5</v>
      </c>
      <c r="Y58" s="598"/>
      <c r="Z58" s="404">
        <v>17</v>
      </c>
      <c r="AA58" s="405">
        <v>1272.3529411764689</v>
      </c>
      <c r="AB58" s="405">
        <v>74.844290657439345</v>
      </c>
      <c r="AC58" s="404">
        <f t="shared" si="31"/>
        <v>6</v>
      </c>
      <c r="AD58" s="598"/>
      <c r="AE58" s="404">
        <v>17</v>
      </c>
      <c r="AF58" s="405">
        <v>1264.1379310344803</v>
      </c>
      <c r="AG58" s="405">
        <v>74.361054766734128</v>
      </c>
      <c r="AH58" s="404">
        <f t="shared" si="33"/>
        <v>2</v>
      </c>
      <c r="AI58" s="598"/>
      <c r="AJ58" s="404">
        <v>17</v>
      </c>
      <c r="AK58" s="405">
        <v>1087.4999999999984</v>
      </c>
      <c r="AL58" s="405">
        <v>63.970588235294024</v>
      </c>
      <c r="AM58" s="404">
        <f t="shared" si="35"/>
        <v>11</v>
      </c>
      <c r="AN58" s="598"/>
      <c r="AO58" s="404">
        <v>17</v>
      </c>
      <c r="AP58" s="405">
        <v>1272.7272727272712</v>
      </c>
      <c r="AQ58" s="405">
        <v>74.866310160427716</v>
      </c>
      <c r="AR58" s="404">
        <f t="shared" si="37"/>
        <v>5</v>
      </c>
      <c r="AS58" s="598"/>
      <c r="AT58" s="404">
        <v>17</v>
      </c>
      <c r="AU58" s="405">
        <v>1225.4545454545439</v>
      </c>
      <c r="AV58" s="405">
        <v>72.085561497326111</v>
      </c>
      <c r="AW58" s="404">
        <f t="shared" si="39"/>
        <v>7</v>
      </c>
      <c r="AX58" s="534"/>
    </row>
    <row r="59" spans="2:50">
      <c r="B59" s="533"/>
      <c r="C59" s="404">
        <v>13</v>
      </c>
      <c r="D59" s="226"/>
      <c r="E59" s="182"/>
      <c r="F59" s="404"/>
      <c r="G59" s="405"/>
      <c r="H59" s="598"/>
      <c r="I59" s="202"/>
      <c r="J59" s="202"/>
      <c r="K59" s="202"/>
      <c r="L59" s="588"/>
      <c r="M59" s="407" t="e">
        <f>RANK(K59, K$47:$K$61)</f>
        <v>#N/A</v>
      </c>
      <c r="N59" s="544"/>
      <c r="O59" s="544"/>
      <c r="P59" s="404"/>
      <c r="Q59" s="405"/>
      <c r="R59" s="405"/>
      <c r="S59" s="404" t="e">
        <f t="shared" si="42"/>
        <v>#N/A</v>
      </c>
      <c r="T59" s="598"/>
      <c r="U59" s="404"/>
      <c r="V59" s="405"/>
      <c r="W59" s="405"/>
      <c r="X59" s="404" t="e">
        <f t="shared" si="29"/>
        <v>#N/A</v>
      </c>
      <c r="Y59" s="598"/>
      <c r="Z59" s="404"/>
      <c r="AA59" s="405"/>
      <c r="AB59" s="405"/>
      <c r="AC59" s="404" t="e">
        <f t="shared" si="31"/>
        <v>#N/A</v>
      </c>
      <c r="AD59" s="598"/>
      <c r="AE59" s="404"/>
      <c r="AF59" s="405"/>
      <c r="AG59" s="405"/>
      <c r="AH59" s="404" t="e">
        <f t="shared" si="33"/>
        <v>#N/A</v>
      </c>
      <c r="AI59" s="598"/>
      <c r="AJ59" s="404"/>
      <c r="AK59" s="405"/>
      <c r="AL59" s="405"/>
      <c r="AM59" s="404" t="e">
        <f t="shared" si="35"/>
        <v>#N/A</v>
      </c>
      <c r="AN59" s="598"/>
      <c r="AO59" s="404"/>
      <c r="AP59" s="405"/>
      <c r="AQ59" s="405"/>
      <c r="AR59" s="404" t="e">
        <f t="shared" si="37"/>
        <v>#N/A</v>
      </c>
      <c r="AS59" s="598"/>
      <c r="AT59" s="404"/>
      <c r="AU59" s="405"/>
      <c r="AV59" s="405"/>
      <c r="AW59" s="404" t="e">
        <f t="shared" si="39"/>
        <v>#N/A</v>
      </c>
      <c r="AX59" s="534"/>
    </row>
    <row r="60" spans="2:50">
      <c r="B60" s="533"/>
      <c r="C60" s="404">
        <v>14</v>
      </c>
      <c r="D60" s="226"/>
      <c r="E60" s="182"/>
      <c r="F60" s="404"/>
      <c r="G60" s="405"/>
      <c r="H60" s="598"/>
      <c r="I60" s="202"/>
      <c r="J60" s="202"/>
      <c r="K60" s="202"/>
      <c r="L60" s="588"/>
      <c r="M60" s="407" t="e">
        <f>RANK(K60, K$47:$K$61)</f>
        <v>#N/A</v>
      </c>
      <c r="N60" s="544"/>
      <c r="O60" s="544"/>
      <c r="P60" s="404"/>
      <c r="Q60" s="405"/>
      <c r="R60" s="405"/>
      <c r="S60" s="404" t="e">
        <f t="shared" si="42"/>
        <v>#N/A</v>
      </c>
      <c r="T60" s="598"/>
      <c r="U60" s="404"/>
      <c r="V60" s="405"/>
      <c r="W60" s="405"/>
      <c r="X60" s="404" t="e">
        <f t="shared" si="29"/>
        <v>#N/A</v>
      </c>
      <c r="Y60" s="598"/>
      <c r="Z60" s="404"/>
      <c r="AA60" s="405"/>
      <c r="AB60" s="405"/>
      <c r="AC60" s="404" t="e">
        <f t="shared" si="31"/>
        <v>#N/A</v>
      </c>
      <c r="AD60" s="598"/>
      <c r="AE60" s="404"/>
      <c r="AF60" s="405"/>
      <c r="AG60" s="405"/>
      <c r="AH60" s="404" t="e">
        <f t="shared" si="33"/>
        <v>#N/A</v>
      </c>
      <c r="AI60" s="598"/>
      <c r="AJ60" s="404"/>
      <c r="AK60" s="405"/>
      <c r="AL60" s="405"/>
      <c r="AM60" s="404" t="e">
        <f t="shared" si="35"/>
        <v>#N/A</v>
      </c>
      <c r="AN60" s="598"/>
      <c r="AO60" s="404"/>
      <c r="AP60" s="405"/>
      <c r="AQ60" s="405"/>
      <c r="AR60" s="404" t="e">
        <f t="shared" si="37"/>
        <v>#N/A</v>
      </c>
      <c r="AS60" s="598"/>
      <c r="AT60" s="404"/>
      <c r="AU60" s="405"/>
      <c r="AV60" s="405"/>
      <c r="AW60" s="404" t="e">
        <f t="shared" si="39"/>
        <v>#N/A</v>
      </c>
      <c r="AX60" s="534"/>
    </row>
    <row r="61" spans="2:50">
      <c r="B61" s="533"/>
      <c r="C61" s="404">
        <v>15</v>
      </c>
      <c r="D61" s="226"/>
      <c r="E61" s="182"/>
      <c r="F61" s="404"/>
      <c r="G61" s="405"/>
      <c r="H61" s="599"/>
      <c r="I61" s="202"/>
      <c r="J61" s="202"/>
      <c r="K61" s="202"/>
      <c r="L61" s="589"/>
      <c r="M61" s="407" t="e">
        <f>RANK(K61, K$47:$K$61)</f>
        <v>#N/A</v>
      </c>
      <c r="N61" s="544"/>
      <c r="O61" s="544"/>
      <c r="P61" s="404"/>
      <c r="Q61" s="405"/>
      <c r="R61" s="405"/>
      <c r="S61" s="404" t="e">
        <f t="shared" si="42"/>
        <v>#N/A</v>
      </c>
      <c r="T61" s="599"/>
      <c r="U61" s="404"/>
      <c r="V61" s="405"/>
      <c r="W61" s="405"/>
      <c r="X61" s="404" t="e">
        <f t="shared" si="29"/>
        <v>#N/A</v>
      </c>
      <c r="Y61" s="599"/>
      <c r="Z61" s="404"/>
      <c r="AA61" s="405"/>
      <c r="AB61" s="405"/>
      <c r="AC61" s="404" t="e">
        <f t="shared" si="31"/>
        <v>#N/A</v>
      </c>
      <c r="AD61" s="599"/>
      <c r="AE61" s="404"/>
      <c r="AF61" s="405"/>
      <c r="AG61" s="405"/>
      <c r="AH61" s="404" t="e">
        <f t="shared" si="33"/>
        <v>#N/A</v>
      </c>
      <c r="AI61" s="599"/>
      <c r="AJ61" s="404"/>
      <c r="AK61" s="405"/>
      <c r="AL61" s="405"/>
      <c r="AM61" s="404" t="e">
        <f t="shared" si="35"/>
        <v>#N/A</v>
      </c>
      <c r="AN61" s="599"/>
      <c r="AO61" s="404"/>
      <c r="AP61" s="405"/>
      <c r="AQ61" s="405"/>
      <c r="AR61" s="404" t="e">
        <f t="shared" si="37"/>
        <v>#N/A</v>
      </c>
      <c r="AS61" s="599"/>
      <c r="AT61" s="404"/>
      <c r="AU61" s="405"/>
      <c r="AV61" s="405"/>
      <c r="AW61" s="404" t="e">
        <f t="shared" si="39"/>
        <v>#N/A</v>
      </c>
      <c r="AX61" s="534"/>
    </row>
    <row r="62" spans="2:50" ht="15.5">
      <c r="B62" s="555" t="s">
        <v>704</v>
      </c>
      <c r="C62" s="556"/>
      <c r="D62" s="556"/>
      <c r="E62" s="556"/>
      <c r="F62" s="556"/>
      <c r="G62" s="556"/>
      <c r="H62" s="557"/>
      <c r="I62" s="208"/>
      <c r="J62" s="208"/>
      <c r="K62" s="208"/>
      <c r="L62" s="208"/>
      <c r="M62" s="207"/>
      <c r="N62" s="559" t="s">
        <v>705</v>
      </c>
      <c r="O62" s="559" t="s">
        <v>706</v>
      </c>
      <c r="P62" s="554">
        <f>P42+7</f>
        <v>46007</v>
      </c>
      <c r="Q62" s="533"/>
      <c r="R62" s="533"/>
      <c r="S62" s="533"/>
      <c r="T62" s="533"/>
      <c r="U62" s="551">
        <f>P62+1</f>
        <v>46008</v>
      </c>
      <c r="V62" s="552"/>
      <c r="W62" s="552"/>
      <c r="X62" s="552"/>
      <c r="Y62" s="553"/>
      <c r="Z62" s="551">
        <f>U62+1</f>
        <v>46009</v>
      </c>
      <c r="AA62" s="552"/>
      <c r="AB62" s="552"/>
      <c r="AC62" s="552"/>
      <c r="AD62" s="553"/>
      <c r="AE62" s="551">
        <f>Z62+1</f>
        <v>46010</v>
      </c>
      <c r="AF62" s="552"/>
      <c r="AG62" s="552"/>
      <c r="AH62" s="552"/>
      <c r="AI62" s="553"/>
      <c r="AJ62" s="551">
        <f>AE62+1</f>
        <v>46011</v>
      </c>
      <c r="AK62" s="552"/>
      <c r="AL62" s="552"/>
      <c r="AM62" s="552"/>
      <c r="AN62" s="553"/>
      <c r="AO62" s="551">
        <f>AJ62+1</f>
        <v>46012</v>
      </c>
      <c r="AP62" s="552"/>
      <c r="AQ62" s="552"/>
      <c r="AR62" s="552"/>
      <c r="AS62" s="553"/>
      <c r="AT62" s="551">
        <f>AO62+1</f>
        <v>46013</v>
      </c>
      <c r="AU62" s="552"/>
      <c r="AV62" s="552"/>
      <c r="AW62" s="552"/>
      <c r="AX62" s="553"/>
    </row>
    <row r="63" spans="2:50" ht="15.5">
      <c r="B63" s="558"/>
      <c r="C63" s="558"/>
      <c r="D63" s="558"/>
      <c r="E63" s="558"/>
      <c r="F63" s="558"/>
      <c r="G63" s="558"/>
      <c r="H63" s="558"/>
      <c r="I63" s="205"/>
      <c r="J63" s="205"/>
      <c r="K63" s="205"/>
      <c r="L63" s="205"/>
      <c r="M63" s="206"/>
      <c r="N63" s="560"/>
      <c r="O63" s="560"/>
      <c r="P63" s="554" t="s">
        <v>707</v>
      </c>
      <c r="Q63" s="533"/>
      <c r="R63" s="533"/>
      <c r="S63" s="533"/>
      <c r="T63" s="533"/>
      <c r="U63" s="554" t="s">
        <v>708</v>
      </c>
      <c r="V63" s="533"/>
      <c r="W63" s="533"/>
      <c r="X63" s="533"/>
      <c r="Y63" s="533"/>
      <c r="Z63" s="554" t="s">
        <v>709</v>
      </c>
      <c r="AA63" s="533"/>
      <c r="AB63" s="533"/>
      <c r="AC63" s="533"/>
      <c r="AD63" s="533"/>
      <c r="AE63" s="554" t="s">
        <v>710</v>
      </c>
      <c r="AF63" s="533"/>
      <c r="AG63" s="533"/>
      <c r="AH63" s="533"/>
      <c r="AI63" s="533"/>
      <c r="AJ63" s="554" t="s">
        <v>711</v>
      </c>
      <c r="AK63" s="533"/>
      <c r="AL63" s="533"/>
      <c r="AM63" s="533"/>
      <c r="AN63" s="533"/>
      <c r="AO63" s="554" t="s">
        <v>712</v>
      </c>
      <c r="AP63" s="533"/>
      <c r="AQ63" s="533"/>
      <c r="AR63" s="533"/>
      <c r="AS63" s="533"/>
      <c r="AT63" s="554" t="s">
        <v>713</v>
      </c>
      <c r="AU63" s="533"/>
      <c r="AV63" s="533"/>
      <c r="AW63" s="533"/>
      <c r="AX63" s="533"/>
    </row>
    <row r="64" spans="2:50">
      <c r="B64" s="544" t="s">
        <v>649</v>
      </c>
      <c r="C64" s="544" t="s">
        <v>650</v>
      </c>
      <c r="D64" s="544"/>
      <c r="E64" s="544" t="s">
        <v>651</v>
      </c>
      <c r="F64" s="544"/>
      <c r="G64" s="544"/>
      <c r="H64" s="561" t="s">
        <v>652</v>
      </c>
      <c r="I64" s="583" t="s">
        <v>653</v>
      </c>
      <c r="J64" s="583"/>
      <c r="K64" s="583"/>
      <c r="L64" s="584" t="s">
        <v>652</v>
      </c>
      <c r="M64" s="567" t="s">
        <v>654</v>
      </c>
      <c r="N64" s="544"/>
      <c r="O64" s="544" t="s">
        <v>655</v>
      </c>
      <c r="P64" s="548" t="s">
        <v>656</v>
      </c>
      <c r="Q64" s="549"/>
      <c r="R64" s="549"/>
      <c r="S64" s="550"/>
      <c r="T64" s="544" t="s">
        <v>652</v>
      </c>
      <c r="U64" s="548" t="s">
        <v>656</v>
      </c>
      <c r="V64" s="549"/>
      <c r="W64" s="549"/>
      <c r="X64" s="550"/>
      <c r="Y64" s="544" t="s">
        <v>652</v>
      </c>
      <c r="Z64" s="548" t="s">
        <v>656</v>
      </c>
      <c r="AA64" s="549"/>
      <c r="AB64" s="549"/>
      <c r="AC64" s="550"/>
      <c r="AD64" s="544" t="s">
        <v>652</v>
      </c>
      <c r="AE64" s="548" t="s">
        <v>656</v>
      </c>
      <c r="AF64" s="549"/>
      <c r="AG64" s="549"/>
      <c r="AH64" s="550"/>
      <c r="AI64" s="544" t="s">
        <v>652</v>
      </c>
      <c r="AJ64" s="548" t="s">
        <v>656</v>
      </c>
      <c r="AK64" s="549"/>
      <c r="AL64" s="549"/>
      <c r="AM64" s="550"/>
      <c r="AN64" s="544" t="s">
        <v>652</v>
      </c>
      <c r="AO64" s="548" t="s">
        <v>656</v>
      </c>
      <c r="AP64" s="549"/>
      <c r="AQ64" s="549"/>
      <c r="AR64" s="550"/>
      <c r="AS64" s="544" t="s">
        <v>652</v>
      </c>
      <c r="AT64" s="548" t="s">
        <v>656</v>
      </c>
      <c r="AU64" s="549"/>
      <c r="AV64" s="549"/>
      <c r="AW64" s="550"/>
      <c r="AX64" s="544" t="s">
        <v>652</v>
      </c>
    </row>
    <row r="65" spans="2:50">
      <c r="B65" s="544"/>
      <c r="C65" s="544"/>
      <c r="D65" s="544"/>
      <c r="E65" s="544" t="s">
        <v>657</v>
      </c>
      <c r="F65" s="544"/>
      <c r="G65" s="544"/>
      <c r="H65" s="562"/>
      <c r="I65" s="583" t="s">
        <v>657</v>
      </c>
      <c r="J65" s="583"/>
      <c r="K65" s="583"/>
      <c r="L65" s="585"/>
      <c r="M65" s="568"/>
      <c r="N65" s="544"/>
      <c r="O65" s="544"/>
      <c r="P65" s="548" t="s">
        <v>658</v>
      </c>
      <c r="Q65" s="549"/>
      <c r="R65" s="549"/>
      <c r="S65" s="550"/>
      <c r="T65" s="544"/>
      <c r="U65" s="548" t="s">
        <v>658</v>
      </c>
      <c r="V65" s="549"/>
      <c r="W65" s="549"/>
      <c r="X65" s="550"/>
      <c r="Y65" s="544"/>
      <c r="Z65" s="548" t="s">
        <v>658</v>
      </c>
      <c r="AA65" s="549"/>
      <c r="AB65" s="549"/>
      <c r="AC65" s="550"/>
      <c r="AD65" s="544"/>
      <c r="AE65" s="548" t="s">
        <v>658</v>
      </c>
      <c r="AF65" s="549"/>
      <c r="AG65" s="549"/>
      <c r="AH65" s="550"/>
      <c r="AI65" s="544"/>
      <c r="AJ65" s="548" t="s">
        <v>658</v>
      </c>
      <c r="AK65" s="549"/>
      <c r="AL65" s="549"/>
      <c r="AM65" s="550"/>
      <c r="AN65" s="544"/>
      <c r="AO65" s="548" t="s">
        <v>658</v>
      </c>
      <c r="AP65" s="549"/>
      <c r="AQ65" s="549"/>
      <c r="AR65" s="550"/>
      <c r="AS65" s="544"/>
      <c r="AT65" s="548" t="s">
        <v>658</v>
      </c>
      <c r="AU65" s="549"/>
      <c r="AV65" s="549"/>
      <c r="AW65" s="550"/>
      <c r="AX65" s="544"/>
    </row>
    <row r="66" spans="2:50">
      <c r="B66" s="544"/>
      <c r="C66" s="544"/>
      <c r="D66" s="544"/>
      <c r="E66" s="403" t="s">
        <v>659</v>
      </c>
      <c r="F66" s="403" t="s">
        <v>660</v>
      </c>
      <c r="G66" s="403" t="s">
        <v>661</v>
      </c>
      <c r="H66" s="563"/>
      <c r="I66" s="402" t="s">
        <v>659</v>
      </c>
      <c r="J66" s="402" t="s">
        <v>660</v>
      </c>
      <c r="K66" s="402" t="s">
        <v>661</v>
      </c>
      <c r="L66" s="586"/>
      <c r="M66" s="569"/>
      <c r="N66" s="544"/>
      <c r="O66" s="544"/>
      <c r="P66" s="403" t="s">
        <v>659</v>
      </c>
      <c r="Q66" s="403" t="s">
        <v>660</v>
      </c>
      <c r="R66" s="403" t="s">
        <v>661</v>
      </c>
      <c r="S66" s="403" t="s">
        <v>654</v>
      </c>
      <c r="T66" s="544"/>
      <c r="U66" s="403" t="s">
        <v>659</v>
      </c>
      <c r="V66" s="403" t="s">
        <v>660</v>
      </c>
      <c r="W66" s="403" t="s">
        <v>661</v>
      </c>
      <c r="X66" s="403" t="s">
        <v>654</v>
      </c>
      <c r="Y66" s="544"/>
      <c r="Z66" s="403" t="s">
        <v>659</v>
      </c>
      <c r="AA66" s="403" t="s">
        <v>660</v>
      </c>
      <c r="AB66" s="403" t="s">
        <v>661</v>
      </c>
      <c r="AC66" s="403" t="s">
        <v>654</v>
      </c>
      <c r="AD66" s="544"/>
      <c r="AE66" s="403" t="s">
        <v>659</v>
      </c>
      <c r="AF66" s="403" t="s">
        <v>660</v>
      </c>
      <c r="AG66" s="403" t="s">
        <v>661</v>
      </c>
      <c r="AH66" s="403" t="s">
        <v>654</v>
      </c>
      <c r="AI66" s="544"/>
      <c r="AJ66" s="403" t="s">
        <v>659</v>
      </c>
      <c r="AK66" s="403" t="s">
        <v>660</v>
      </c>
      <c r="AL66" s="403" t="s">
        <v>661</v>
      </c>
      <c r="AM66" s="403" t="s">
        <v>654</v>
      </c>
      <c r="AN66" s="544"/>
      <c r="AO66" s="403" t="s">
        <v>659</v>
      </c>
      <c r="AP66" s="403" t="s">
        <v>660</v>
      </c>
      <c r="AQ66" s="403" t="s">
        <v>661</v>
      </c>
      <c r="AR66" s="403" t="s">
        <v>654</v>
      </c>
      <c r="AS66" s="544"/>
      <c r="AT66" s="403" t="s">
        <v>659</v>
      </c>
      <c r="AU66" s="403" t="s">
        <v>660</v>
      </c>
      <c r="AV66" s="403" t="s">
        <v>661</v>
      </c>
      <c r="AW66" s="403" t="s">
        <v>654</v>
      </c>
      <c r="AX66" s="544"/>
    </row>
    <row r="67" spans="2:50">
      <c r="B67" s="544" t="s">
        <v>719</v>
      </c>
      <c r="C67" s="404">
        <v>1</v>
      </c>
      <c r="D67" s="226" t="s">
        <v>386</v>
      </c>
      <c r="E67" s="182">
        <v>18</v>
      </c>
      <c r="F67" s="404">
        <v>1440</v>
      </c>
      <c r="G67" s="405">
        <v>80</v>
      </c>
      <c r="H67" s="597">
        <f>AVERAGE(G67:G81)</f>
        <v>84.066666666666649</v>
      </c>
      <c r="I67" s="408">
        <f>AVERAGE(P67,U67,Z67,AE67,AJ67,AO67,AT67)</f>
        <v>18</v>
      </c>
      <c r="J67" s="408">
        <f>AVERAGE(Q67,V67,AA67,AF67,AK67,AP67,AU67)</f>
        <v>1272.0428962760523</v>
      </c>
      <c r="K67" s="406">
        <f>AVERAGE(R67,W67,AB67,AG67,AL67,AQ67,AV67)</f>
        <v>70.669049793114027</v>
      </c>
      <c r="L67" s="587">
        <f>IFERROR(AVERAGE(K67:K81),"-")</f>
        <v>71.145744070254324</v>
      </c>
      <c r="M67" s="407">
        <f>RANK(K67, K$67:$K$81)</f>
        <v>6</v>
      </c>
      <c r="N67" s="544"/>
      <c r="O67" s="544"/>
      <c r="P67" s="182">
        <v>18</v>
      </c>
      <c r="Q67" s="405">
        <v>1253.1176470588243</v>
      </c>
      <c r="R67" s="405">
        <v>69.617647058823579</v>
      </c>
      <c r="S67" s="404">
        <f>RANK(R67, R$67:R$81)</f>
        <v>9</v>
      </c>
      <c r="T67" s="597">
        <f>AVERAGE(R67:R81)</f>
        <v>72.26312917363218</v>
      </c>
      <c r="U67" s="182">
        <v>18</v>
      </c>
      <c r="V67" s="405">
        <v>1280.6617021276597</v>
      </c>
      <c r="W67" s="405">
        <v>71.147872340425536</v>
      </c>
      <c r="X67" s="404">
        <f t="shared" ref="X67:X81" si="43">RANK(W67, W$67:W$81)</f>
        <v>7</v>
      </c>
      <c r="Y67" s="597">
        <f t="shared" ref="Y67" si="44">AVERAGE(W67:W81)</f>
        <v>72.228670218332937</v>
      </c>
      <c r="Z67" s="182">
        <v>18</v>
      </c>
      <c r="AA67" s="405">
        <v>1296</v>
      </c>
      <c r="AB67" s="405">
        <v>72</v>
      </c>
      <c r="AC67" s="404">
        <f t="shared" ref="AC67:AC81" si="45">RANK(AB67, AB$67:AB$81)</f>
        <v>6</v>
      </c>
      <c r="AD67" s="597">
        <f t="shared" ref="AD67" si="46">AVERAGE(AB67:AB81)</f>
        <v>71.304490736853225</v>
      </c>
      <c r="AE67" s="182">
        <v>18</v>
      </c>
      <c r="AF67" s="405">
        <v>1281.935483870968</v>
      </c>
      <c r="AG67" s="405">
        <v>71.21863799283156</v>
      </c>
      <c r="AH67" s="404">
        <f t="shared" ref="AH67:AH81" si="47">RANK(AG67, AG$67:AG$81)</f>
        <v>5</v>
      </c>
      <c r="AI67" s="597">
        <f t="shared" ref="AI67" si="48">AVERAGE(AG67:AG81)</f>
        <v>68.853004250622718</v>
      </c>
      <c r="AJ67" s="182">
        <v>18</v>
      </c>
      <c r="AK67" s="405">
        <v>1258.9285714285716</v>
      </c>
      <c r="AL67" s="405">
        <v>69.940476190476204</v>
      </c>
      <c r="AM67" s="404">
        <f t="shared" ref="AM67:AM81" si="49">RANK(AL67, AL$67:AL$81)</f>
        <v>6</v>
      </c>
      <c r="AN67" s="597">
        <f t="shared" ref="AN67" si="50">AVERAGE(AL67:AL81)</f>
        <v>70.99731057452189</v>
      </c>
      <c r="AO67" s="182">
        <v>18</v>
      </c>
      <c r="AP67" s="405">
        <v>1276.3636363636365</v>
      </c>
      <c r="AQ67" s="405">
        <v>70.909090909090921</v>
      </c>
      <c r="AR67" s="404">
        <f t="shared" ref="AR67:AR81" si="51">RANK(AQ67, AQ$67:AQ$81)</f>
        <v>6</v>
      </c>
      <c r="AS67" s="597">
        <f t="shared" ref="AS67" si="52">AVERAGE(AQ67:AQ81)</f>
        <v>70.604492475773</v>
      </c>
      <c r="AT67" s="182">
        <v>18</v>
      </c>
      <c r="AU67" s="405">
        <v>1257.2932330827068</v>
      </c>
      <c r="AV67" s="405">
        <v>69.849624060150376</v>
      </c>
      <c r="AW67" s="404">
        <f t="shared" ref="AW67:AW81" si="53">RANK(AV67, AV$67:AV$81)</f>
        <v>5</v>
      </c>
      <c r="AX67" s="534">
        <f t="shared" ref="AX67" si="54">AVERAGE(AV67:AV81)</f>
        <v>70.880052587914307</v>
      </c>
    </row>
    <row r="68" spans="2:50">
      <c r="B68" s="533"/>
      <c r="C68" s="404">
        <v>2</v>
      </c>
      <c r="D68" s="226" t="s">
        <v>387</v>
      </c>
      <c r="E68" s="182">
        <v>19</v>
      </c>
      <c r="F68" s="404">
        <v>1440</v>
      </c>
      <c r="G68" s="405">
        <v>75.8</v>
      </c>
      <c r="H68" s="598"/>
      <c r="I68" s="408">
        <f t="shared" ref="I68:K78" si="55">AVERAGE(P68,U68,Z68,AE68,AJ68,AO68,AT68)</f>
        <v>18.142857142857142</v>
      </c>
      <c r="J68" s="408">
        <f t="shared" si="55"/>
        <v>1261.720649941439</v>
      </c>
      <c r="K68" s="406">
        <f t="shared" si="55"/>
        <v>69.563378778259207</v>
      </c>
      <c r="L68" s="588"/>
      <c r="M68" s="407">
        <f>RANK(K68, K$67:$K$81)</f>
        <v>7</v>
      </c>
      <c r="N68" s="544"/>
      <c r="O68" s="544"/>
      <c r="P68" s="404">
        <v>18</v>
      </c>
      <c r="Q68" s="405">
        <v>1265.1428571428557</v>
      </c>
      <c r="R68" s="405">
        <v>70.285714285714207</v>
      </c>
      <c r="S68" s="404">
        <f t="shared" ref="S68:S81" si="56">RANK(R68, R$67:R$81)</f>
        <v>8</v>
      </c>
      <c r="T68" s="598"/>
      <c r="U68" s="404">
        <v>18</v>
      </c>
      <c r="V68" s="405">
        <v>1252.1052631578939</v>
      </c>
      <c r="W68" s="405">
        <v>69.561403508771889</v>
      </c>
      <c r="X68" s="404">
        <f t="shared" si="43"/>
        <v>8</v>
      </c>
      <c r="Y68" s="598"/>
      <c r="Z68" s="404">
        <v>18</v>
      </c>
      <c r="AA68" s="405">
        <v>1250.2702702702693</v>
      </c>
      <c r="AB68" s="405">
        <v>69.45945945945941</v>
      </c>
      <c r="AC68" s="404">
        <f t="shared" si="45"/>
        <v>8</v>
      </c>
      <c r="AD68" s="598"/>
      <c r="AE68" s="404">
        <v>18</v>
      </c>
      <c r="AF68" s="405">
        <v>1257.9310344827563</v>
      </c>
      <c r="AG68" s="405">
        <v>69.885057471264247</v>
      </c>
      <c r="AH68" s="404">
        <f t="shared" si="47"/>
        <v>7</v>
      </c>
      <c r="AI68" s="598"/>
      <c r="AJ68" s="404">
        <v>19</v>
      </c>
      <c r="AK68" s="405">
        <v>1274.1176470588221</v>
      </c>
      <c r="AL68" s="405">
        <v>67.058823529411683</v>
      </c>
      <c r="AM68" s="404">
        <f t="shared" si="49"/>
        <v>9</v>
      </c>
      <c r="AN68" s="598"/>
      <c r="AO68" s="404">
        <v>18</v>
      </c>
      <c r="AP68" s="405">
        <v>1290.8108108108099</v>
      </c>
      <c r="AQ68" s="405">
        <v>71.711711711711658</v>
      </c>
      <c r="AR68" s="404">
        <f t="shared" si="51"/>
        <v>5</v>
      </c>
      <c r="AS68" s="598"/>
      <c r="AT68" s="404">
        <v>18</v>
      </c>
      <c r="AU68" s="405">
        <v>1241.6666666666656</v>
      </c>
      <c r="AV68" s="405">
        <v>68.981481481481424</v>
      </c>
      <c r="AW68" s="404">
        <f t="shared" si="53"/>
        <v>6</v>
      </c>
      <c r="AX68" s="534"/>
    </row>
    <row r="69" spans="2:50">
      <c r="B69" s="533"/>
      <c r="C69" s="404">
        <v>3</v>
      </c>
      <c r="D69" s="226" t="s">
        <v>389</v>
      </c>
      <c r="E69" s="182">
        <v>17</v>
      </c>
      <c r="F69" s="404">
        <v>1636</v>
      </c>
      <c r="G69" s="405">
        <v>96.3</v>
      </c>
      <c r="H69" s="598"/>
      <c r="I69" s="408">
        <f t="shared" si="55"/>
        <v>17</v>
      </c>
      <c r="J69" s="408">
        <f t="shared" si="55"/>
        <v>1406.8671201814068</v>
      </c>
      <c r="K69" s="406">
        <f t="shared" si="55"/>
        <v>82.756889422435705</v>
      </c>
      <c r="L69" s="588"/>
      <c r="M69" s="407">
        <f>RANK(K69, K$67:$K$81)</f>
        <v>1</v>
      </c>
      <c r="N69" s="544"/>
      <c r="O69" s="544"/>
      <c r="P69" s="404">
        <v>17</v>
      </c>
      <c r="Q69" s="405">
        <v>1455.5555555555563</v>
      </c>
      <c r="R69" s="405">
        <v>85.62091503267979</v>
      </c>
      <c r="S69" s="404">
        <f t="shared" si="56"/>
        <v>1</v>
      </c>
      <c r="T69" s="598"/>
      <c r="U69" s="404">
        <v>17</v>
      </c>
      <c r="V69" s="405">
        <v>1433.3333333333339</v>
      </c>
      <c r="W69" s="405">
        <v>84.31372549019612</v>
      </c>
      <c r="X69" s="404">
        <f t="shared" si="43"/>
        <v>1</v>
      </c>
      <c r="Y69" s="598"/>
      <c r="Z69" s="404">
        <v>17</v>
      </c>
      <c r="AA69" s="405">
        <v>1426.6666666666674</v>
      </c>
      <c r="AB69" s="405">
        <v>83.921568627451023</v>
      </c>
      <c r="AC69" s="404">
        <f t="shared" si="45"/>
        <v>1</v>
      </c>
      <c r="AD69" s="598"/>
      <c r="AE69" s="404">
        <v>17</v>
      </c>
      <c r="AF69" s="405">
        <v>1195.7142857142867</v>
      </c>
      <c r="AG69" s="405">
        <v>70.336134453781568</v>
      </c>
      <c r="AH69" s="404">
        <f t="shared" si="47"/>
        <v>6</v>
      </c>
      <c r="AI69" s="598"/>
      <c r="AJ69" s="404">
        <v>17</v>
      </c>
      <c r="AK69" s="405">
        <v>1456.8000000000004</v>
      </c>
      <c r="AL69" s="405">
        <v>85.694117647058846</v>
      </c>
      <c r="AM69" s="404">
        <f t="shared" si="49"/>
        <v>1</v>
      </c>
      <c r="AN69" s="598"/>
      <c r="AO69" s="404">
        <v>17</v>
      </c>
      <c r="AP69" s="405">
        <v>1420.7142857142869</v>
      </c>
      <c r="AQ69" s="405">
        <v>83.57142857142864</v>
      </c>
      <c r="AR69" s="404">
        <f t="shared" si="51"/>
        <v>1</v>
      </c>
      <c r="AS69" s="598"/>
      <c r="AT69" s="404">
        <v>17</v>
      </c>
      <c r="AU69" s="405">
        <v>1459.2857142857154</v>
      </c>
      <c r="AV69" s="405">
        <v>85.84033613445385</v>
      </c>
      <c r="AW69" s="404">
        <f t="shared" si="53"/>
        <v>1</v>
      </c>
      <c r="AX69" s="534"/>
    </row>
    <row r="70" spans="2:50">
      <c r="B70" s="533"/>
      <c r="C70" s="404">
        <v>4</v>
      </c>
      <c r="D70" s="226" t="s">
        <v>388</v>
      </c>
      <c r="E70" s="182">
        <v>17</v>
      </c>
      <c r="F70" s="404">
        <v>1440</v>
      </c>
      <c r="G70" s="405">
        <v>84.7</v>
      </c>
      <c r="H70" s="598"/>
      <c r="I70" s="408">
        <f t="shared" si="55"/>
        <v>17</v>
      </c>
      <c r="J70" s="408">
        <f t="shared" si="55"/>
        <v>1273.3390906001048</v>
      </c>
      <c r="K70" s="406">
        <f t="shared" si="55"/>
        <v>74.902299447065005</v>
      </c>
      <c r="L70" s="588"/>
      <c r="M70" s="407">
        <f>RANK(K70, K$67:$K$81)</f>
        <v>4</v>
      </c>
      <c r="N70" s="544"/>
      <c r="O70" s="544"/>
      <c r="P70" s="404">
        <v>17</v>
      </c>
      <c r="Q70" s="405">
        <v>1299.9999999999995</v>
      </c>
      <c r="R70" s="405">
        <v>76.470588235294088</v>
      </c>
      <c r="S70" s="404">
        <f t="shared" si="56"/>
        <v>3</v>
      </c>
      <c r="T70" s="598"/>
      <c r="U70" s="404">
        <v>17</v>
      </c>
      <c r="V70" s="405">
        <v>1251.1475409836069</v>
      </c>
      <c r="W70" s="405">
        <v>73.596914175506285</v>
      </c>
      <c r="X70" s="404">
        <f t="shared" si="43"/>
        <v>5</v>
      </c>
      <c r="Y70" s="598"/>
      <c r="Z70" s="404">
        <v>17</v>
      </c>
      <c r="AA70" s="405">
        <v>1280.358620689655</v>
      </c>
      <c r="AB70" s="405">
        <v>75.315212981744409</v>
      </c>
      <c r="AC70" s="404">
        <f t="shared" si="45"/>
        <v>4</v>
      </c>
      <c r="AD70" s="598"/>
      <c r="AE70" s="404">
        <v>17</v>
      </c>
      <c r="AF70" s="405">
        <v>1263.0659340659342</v>
      </c>
      <c r="AG70" s="405">
        <v>74.297996121525543</v>
      </c>
      <c r="AH70" s="404">
        <f t="shared" si="47"/>
        <v>2</v>
      </c>
      <c r="AI70" s="598"/>
      <c r="AJ70" s="404">
        <v>17</v>
      </c>
      <c r="AK70" s="405">
        <v>1292.7600000000007</v>
      </c>
      <c r="AL70" s="405">
        <v>76.044705882352986</v>
      </c>
      <c r="AM70" s="404">
        <f t="shared" si="49"/>
        <v>3</v>
      </c>
      <c r="AN70" s="598"/>
      <c r="AO70" s="404">
        <v>17</v>
      </c>
      <c r="AP70" s="405">
        <v>1266.4615384615381</v>
      </c>
      <c r="AQ70" s="405">
        <v>74.497737556561063</v>
      </c>
      <c r="AR70" s="404">
        <f t="shared" si="51"/>
        <v>3</v>
      </c>
      <c r="AS70" s="598"/>
      <c r="AT70" s="404">
        <v>17</v>
      </c>
      <c r="AU70" s="405">
        <v>1259.5799999999992</v>
      </c>
      <c r="AV70" s="405">
        <v>74.092941176470546</v>
      </c>
      <c r="AW70" s="404">
        <f t="shared" si="53"/>
        <v>3</v>
      </c>
      <c r="AX70" s="534"/>
    </row>
    <row r="71" spans="2:50">
      <c r="B71" s="533"/>
      <c r="C71" s="404">
        <v>5</v>
      </c>
      <c r="D71" s="226" t="s">
        <v>390</v>
      </c>
      <c r="E71" s="182">
        <v>17</v>
      </c>
      <c r="F71" s="404">
        <v>1440</v>
      </c>
      <c r="G71" s="405">
        <v>84.7</v>
      </c>
      <c r="H71" s="598"/>
      <c r="I71" s="408">
        <f t="shared" si="55"/>
        <v>18.285714285714285</v>
      </c>
      <c r="J71" s="408">
        <f t="shared" si="55"/>
        <v>1229.1901652156469</v>
      </c>
      <c r="K71" s="406">
        <f t="shared" si="55"/>
        <v>67.230664102858853</v>
      </c>
      <c r="L71" s="588"/>
      <c r="M71" s="407">
        <f>RANK(K71, K$67:$K$81)</f>
        <v>9</v>
      </c>
      <c r="N71" s="544"/>
      <c r="O71" s="544"/>
      <c r="P71" s="404">
        <v>18</v>
      </c>
      <c r="Q71" s="405">
        <v>1278.1818181818196</v>
      </c>
      <c r="R71" s="405">
        <v>71.010101010101096</v>
      </c>
      <c r="S71" s="404">
        <f t="shared" si="56"/>
        <v>7</v>
      </c>
      <c r="T71" s="598"/>
      <c r="U71" s="404">
        <v>19</v>
      </c>
      <c r="V71" s="405">
        <v>1252.7272727272741</v>
      </c>
      <c r="W71" s="405">
        <v>65.933014354067055</v>
      </c>
      <c r="X71" s="404">
        <f t="shared" si="43"/>
        <v>10</v>
      </c>
      <c r="Y71" s="598"/>
      <c r="Z71" s="404">
        <v>18</v>
      </c>
      <c r="AA71" s="405">
        <v>1256.0000000000014</v>
      </c>
      <c r="AB71" s="405">
        <v>69.777777777777857</v>
      </c>
      <c r="AC71" s="404">
        <f t="shared" si="45"/>
        <v>7</v>
      </c>
      <c r="AD71" s="598"/>
      <c r="AE71" s="404">
        <v>18</v>
      </c>
      <c r="AF71" s="405">
        <v>1058.0000000000011</v>
      </c>
      <c r="AG71" s="405">
        <v>58.777777777777843</v>
      </c>
      <c r="AH71" s="404">
        <f t="shared" si="47"/>
        <v>12</v>
      </c>
      <c r="AI71" s="598"/>
      <c r="AJ71" s="404">
        <v>19</v>
      </c>
      <c r="AK71" s="405">
        <v>1279.3548387096785</v>
      </c>
      <c r="AL71" s="405">
        <v>67.334465195246239</v>
      </c>
      <c r="AM71" s="404">
        <f t="shared" si="49"/>
        <v>8</v>
      </c>
      <c r="AN71" s="598"/>
      <c r="AO71" s="404">
        <v>18</v>
      </c>
      <c r="AP71" s="405">
        <v>1242.3529411764689</v>
      </c>
      <c r="AQ71" s="405">
        <v>69.019607843137166</v>
      </c>
      <c r="AR71" s="404">
        <f t="shared" si="51"/>
        <v>7</v>
      </c>
      <c r="AS71" s="598"/>
      <c r="AT71" s="404">
        <v>18</v>
      </c>
      <c r="AU71" s="405">
        <v>1237.7142857142844</v>
      </c>
      <c r="AV71" s="405">
        <v>68.761904761904688</v>
      </c>
      <c r="AW71" s="404">
        <f t="shared" si="53"/>
        <v>7</v>
      </c>
      <c r="AX71" s="534"/>
    </row>
    <row r="72" spans="2:50">
      <c r="B72" s="533"/>
      <c r="C72" s="404">
        <v>6</v>
      </c>
      <c r="D72" s="226" t="s">
        <v>391</v>
      </c>
      <c r="E72" s="182">
        <v>19</v>
      </c>
      <c r="F72" s="404">
        <v>1385</v>
      </c>
      <c r="G72" s="405">
        <v>72.900000000000006</v>
      </c>
      <c r="H72" s="598"/>
      <c r="I72" s="408">
        <f t="shared" si="55"/>
        <v>19</v>
      </c>
      <c r="J72" s="408">
        <f t="shared" si="55"/>
        <v>1222.9316995411373</v>
      </c>
      <c r="K72" s="406">
        <f t="shared" si="55"/>
        <v>64.364826291638806</v>
      </c>
      <c r="L72" s="588"/>
      <c r="M72" s="407">
        <f>RANK(K72, K$67:$K$81)</f>
        <v>11</v>
      </c>
      <c r="N72" s="544"/>
      <c r="O72" s="544"/>
      <c r="P72" s="404">
        <v>19</v>
      </c>
      <c r="Q72" s="405">
        <v>1221.3913043478253</v>
      </c>
      <c r="R72" s="405">
        <v>64.283752860411866</v>
      </c>
      <c r="S72" s="404">
        <f t="shared" si="56"/>
        <v>11</v>
      </c>
      <c r="T72" s="598"/>
      <c r="U72" s="404">
        <v>19</v>
      </c>
      <c r="V72" s="405">
        <v>1221.9230769230776</v>
      </c>
      <c r="W72" s="405">
        <v>64.311740890688299</v>
      </c>
      <c r="X72" s="404">
        <f t="shared" si="43"/>
        <v>11</v>
      </c>
      <c r="Y72" s="598"/>
      <c r="Z72" s="404">
        <v>19</v>
      </c>
      <c r="AA72" s="405">
        <v>1208.1081081081072</v>
      </c>
      <c r="AB72" s="405">
        <v>63.58463726884775</v>
      </c>
      <c r="AC72" s="404">
        <f t="shared" si="45"/>
        <v>11</v>
      </c>
      <c r="AD72" s="598"/>
      <c r="AE72" s="404">
        <v>19</v>
      </c>
      <c r="AF72" s="405">
        <v>1207.674418604651</v>
      </c>
      <c r="AG72" s="405">
        <v>63.561811505507947</v>
      </c>
      <c r="AH72" s="404">
        <f t="shared" si="47"/>
        <v>10</v>
      </c>
      <c r="AI72" s="598"/>
      <c r="AJ72" s="404">
        <v>19</v>
      </c>
      <c r="AK72" s="405">
        <v>1250.4545454545455</v>
      </c>
      <c r="AL72" s="405">
        <v>65.813397129186612</v>
      </c>
      <c r="AM72" s="404">
        <f t="shared" si="49"/>
        <v>10</v>
      </c>
      <c r="AN72" s="598"/>
      <c r="AO72" s="404">
        <v>19</v>
      </c>
      <c r="AP72" s="405">
        <v>1209.8275862068958</v>
      </c>
      <c r="AQ72" s="405">
        <v>63.675136116152409</v>
      </c>
      <c r="AR72" s="404">
        <f t="shared" si="51"/>
        <v>9</v>
      </c>
      <c r="AS72" s="598"/>
      <c r="AT72" s="404">
        <v>19</v>
      </c>
      <c r="AU72" s="405">
        <v>1241.1428571428578</v>
      </c>
      <c r="AV72" s="405">
        <v>65.323308270676719</v>
      </c>
      <c r="AW72" s="404">
        <f t="shared" si="53"/>
        <v>10</v>
      </c>
      <c r="AX72" s="534"/>
    </row>
    <row r="73" spans="2:50">
      <c r="B73" s="533"/>
      <c r="C73" s="404">
        <v>7</v>
      </c>
      <c r="D73" s="226" t="s">
        <v>392</v>
      </c>
      <c r="E73" s="182">
        <v>19</v>
      </c>
      <c r="F73" s="404">
        <v>1440</v>
      </c>
      <c r="G73" s="405">
        <v>75.8</v>
      </c>
      <c r="H73" s="598"/>
      <c r="I73" s="408">
        <f t="shared" si="55"/>
        <v>19</v>
      </c>
      <c r="J73" s="408">
        <f t="shared" si="55"/>
        <v>1282.4214144706687</v>
      </c>
      <c r="K73" s="406">
        <f t="shared" si="55"/>
        <v>67.495863919508892</v>
      </c>
      <c r="L73" s="588"/>
      <c r="M73" s="407">
        <f>RANK(K73, K$67:$K$81)</f>
        <v>8</v>
      </c>
      <c r="N73" s="544"/>
      <c r="O73" s="544"/>
      <c r="P73" s="404">
        <v>19</v>
      </c>
      <c r="Q73" s="405">
        <v>1295.6962025316448</v>
      </c>
      <c r="R73" s="405">
        <v>68.19453697534972</v>
      </c>
      <c r="S73" s="404">
        <f t="shared" si="56"/>
        <v>10</v>
      </c>
      <c r="T73" s="598"/>
      <c r="U73" s="404">
        <v>19</v>
      </c>
      <c r="V73" s="405">
        <v>1281.4285714285702</v>
      </c>
      <c r="W73" s="405">
        <v>67.443609022556331</v>
      </c>
      <c r="X73" s="404">
        <f t="shared" si="43"/>
        <v>9</v>
      </c>
      <c r="Y73" s="598"/>
      <c r="Z73" s="404">
        <v>19</v>
      </c>
      <c r="AA73" s="405">
        <v>1272.799999999999</v>
      </c>
      <c r="AB73" s="405">
        <v>66.989473684210481</v>
      </c>
      <c r="AC73" s="404">
        <f t="shared" si="45"/>
        <v>9</v>
      </c>
      <c r="AD73" s="598"/>
      <c r="AE73" s="404">
        <v>19</v>
      </c>
      <c r="AF73" s="405">
        <v>1272.6315789473695</v>
      </c>
      <c r="AG73" s="405">
        <v>66.980609418282597</v>
      </c>
      <c r="AH73" s="404">
        <f t="shared" si="47"/>
        <v>8</v>
      </c>
      <c r="AI73" s="598"/>
      <c r="AJ73" s="404">
        <v>19</v>
      </c>
      <c r="AK73" s="405">
        <v>1297.0000000000014</v>
      </c>
      <c r="AL73" s="405">
        <v>68.263157894736921</v>
      </c>
      <c r="AM73" s="404">
        <f t="shared" si="49"/>
        <v>7</v>
      </c>
      <c r="AN73" s="598"/>
      <c r="AO73" s="404">
        <v>19</v>
      </c>
      <c r="AP73" s="405">
        <v>1274.1935483870968</v>
      </c>
      <c r="AQ73" s="405">
        <v>67.062818336162991</v>
      </c>
      <c r="AR73" s="404">
        <f t="shared" si="51"/>
        <v>8</v>
      </c>
      <c r="AS73" s="598"/>
      <c r="AT73" s="404">
        <v>19</v>
      </c>
      <c r="AU73" s="405">
        <v>1283.1999999999989</v>
      </c>
      <c r="AV73" s="405">
        <v>67.536842105263105</v>
      </c>
      <c r="AW73" s="404">
        <f t="shared" si="53"/>
        <v>8</v>
      </c>
      <c r="AX73" s="534"/>
    </row>
    <row r="74" spans="2:50">
      <c r="B74" s="533"/>
      <c r="C74" s="404">
        <v>8</v>
      </c>
      <c r="D74" s="226" t="s">
        <v>504</v>
      </c>
      <c r="E74" s="182">
        <v>17</v>
      </c>
      <c r="F74" s="404">
        <v>1385</v>
      </c>
      <c r="G74" s="405">
        <v>81.400000000000006</v>
      </c>
      <c r="H74" s="598"/>
      <c r="I74" s="408">
        <f t="shared" si="55"/>
        <v>17</v>
      </c>
      <c r="J74" s="408">
        <f t="shared" si="55"/>
        <v>1237.8724682065142</v>
      </c>
      <c r="K74" s="406">
        <f t="shared" si="55"/>
        <v>72.816027541559649</v>
      </c>
      <c r="L74" s="588"/>
      <c r="M74" s="407">
        <f>RANK(K74, K$67:$K$81)</f>
        <v>5</v>
      </c>
      <c r="N74" s="544"/>
      <c r="O74" s="544"/>
      <c r="P74" s="404">
        <v>17</v>
      </c>
      <c r="Q74" s="405">
        <v>1217.9220779220773</v>
      </c>
      <c r="R74" s="405">
        <v>71.6424751718869</v>
      </c>
      <c r="S74" s="404">
        <f t="shared" si="56"/>
        <v>6</v>
      </c>
      <c r="T74" s="598"/>
      <c r="U74" s="404">
        <v>17</v>
      </c>
      <c r="V74" s="405">
        <v>1240.799999999999</v>
      </c>
      <c r="W74" s="405">
        <v>72.988235294117587</v>
      </c>
      <c r="X74" s="404">
        <f t="shared" si="43"/>
        <v>6</v>
      </c>
      <c r="Y74" s="598"/>
      <c r="Z74" s="404">
        <v>17</v>
      </c>
      <c r="AA74" s="405">
        <v>1243.4782608695641</v>
      </c>
      <c r="AB74" s="405">
        <v>73.145780051150837</v>
      </c>
      <c r="AC74" s="404">
        <f t="shared" si="45"/>
        <v>5</v>
      </c>
      <c r="AD74" s="598"/>
      <c r="AE74" s="404">
        <v>17</v>
      </c>
      <c r="AF74" s="405">
        <v>1240.8695652173901</v>
      </c>
      <c r="AG74" s="405">
        <v>72.992327365728826</v>
      </c>
      <c r="AH74" s="404">
        <f t="shared" si="47"/>
        <v>4</v>
      </c>
      <c r="AI74" s="598"/>
      <c r="AJ74" s="404">
        <v>17</v>
      </c>
      <c r="AK74" s="405">
        <v>1241.917808219177</v>
      </c>
      <c r="AL74" s="405">
        <v>73.053988718775116</v>
      </c>
      <c r="AM74" s="404">
        <f t="shared" si="49"/>
        <v>5</v>
      </c>
      <c r="AN74" s="598"/>
      <c r="AO74" s="404">
        <v>17</v>
      </c>
      <c r="AP74" s="405">
        <v>1235.8695652173915</v>
      </c>
      <c r="AQ74" s="405">
        <v>72.698209718670086</v>
      </c>
      <c r="AR74" s="404">
        <f t="shared" si="51"/>
        <v>4</v>
      </c>
      <c r="AS74" s="598"/>
      <c r="AT74" s="404">
        <v>17</v>
      </c>
      <c r="AU74" s="405">
        <v>1244.2499999999995</v>
      </c>
      <c r="AV74" s="405">
        <v>73.191176470588204</v>
      </c>
      <c r="AW74" s="404">
        <f t="shared" si="53"/>
        <v>4</v>
      </c>
      <c r="AX74" s="534"/>
    </row>
    <row r="75" spans="2:50">
      <c r="B75" s="533"/>
      <c r="C75" s="404">
        <v>9</v>
      </c>
      <c r="D75" s="226" t="s">
        <v>507</v>
      </c>
      <c r="E75" s="182">
        <v>19</v>
      </c>
      <c r="F75" s="404">
        <v>1385</v>
      </c>
      <c r="G75" s="405">
        <v>72.900000000000006</v>
      </c>
      <c r="H75" s="598"/>
      <c r="I75" s="408">
        <f t="shared" si="55"/>
        <v>20</v>
      </c>
      <c r="J75" s="408">
        <f t="shared" si="55"/>
        <v>1224.3771248167534</v>
      </c>
      <c r="K75" s="406">
        <f t="shared" si="55"/>
        <v>61.21885624083766</v>
      </c>
      <c r="L75" s="588"/>
      <c r="M75" s="407">
        <f>RANK(K75, K$67:$K$81)</f>
        <v>12</v>
      </c>
      <c r="N75" s="544"/>
      <c r="O75" s="544"/>
      <c r="P75" s="404">
        <v>20</v>
      </c>
      <c r="Q75" s="405">
        <v>1233.9130434782608</v>
      </c>
      <c r="R75" s="405">
        <v>61.695652173913039</v>
      </c>
      <c r="S75" s="404">
        <f t="shared" si="56"/>
        <v>12</v>
      </c>
      <c r="T75" s="598"/>
      <c r="U75" s="404">
        <v>20</v>
      </c>
      <c r="V75" s="405">
        <v>1214.0425531914896</v>
      </c>
      <c r="W75" s="405">
        <v>60.702127659574479</v>
      </c>
      <c r="X75" s="404">
        <f t="shared" si="43"/>
        <v>12</v>
      </c>
      <c r="Y75" s="598"/>
      <c r="Z75" s="404">
        <v>20</v>
      </c>
      <c r="AA75" s="405">
        <v>1224</v>
      </c>
      <c r="AB75" s="405">
        <v>61.2</v>
      </c>
      <c r="AC75" s="404">
        <f t="shared" si="45"/>
        <v>12</v>
      </c>
      <c r="AD75" s="598"/>
      <c r="AE75" s="404">
        <v>20</v>
      </c>
      <c r="AF75" s="405">
        <v>1219.9999999999993</v>
      </c>
      <c r="AG75" s="405">
        <v>60.999999999999964</v>
      </c>
      <c r="AH75" s="404">
        <f t="shared" si="47"/>
        <v>11</v>
      </c>
      <c r="AI75" s="598"/>
      <c r="AJ75" s="404">
        <v>20</v>
      </c>
      <c r="AK75" s="405">
        <v>1222.3255813953488</v>
      </c>
      <c r="AL75" s="405">
        <v>61.116279069767437</v>
      </c>
      <c r="AM75" s="404">
        <f t="shared" si="49"/>
        <v>12</v>
      </c>
      <c r="AN75" s="598"/>
      <c r="AO75" s="404">
        <v>20</v>
      </c>
      <c r="AP75" s="405">
        <v>1223.7500000000005</v>
      </c>
      <c r="AQ75" s="405">
        <v>61.187500000000021</v>
      </c>
      <c r="AR75" s="404">
        <f t="shared" si="51"/>
        <v>11</v>
      </c>
      <c r="AS75" s="598"/>
      <c r="AT75" s="404">
        <v>20</v>
      </c>
      <c r="AU75" s="405">
        <v>1232.608695652174</v>
      </c>
      <c r="AV75" s="405">
        <v>61.630434782608702</v>
      </c>
      <c r="AW75" s="404">
        <f t="shared" si="53"/>
        <v>11</v>
      </c>
      <c r="AX75" s="534"/>
    </row>
    <row r="76" spans="2:50">
      <c r="B76" s="533"/>
      <c r="C76" s="404">
        <v>10</v>
      </c>
      <c r="D76" s="226" t="s">
        <v>549</v>
      </c>
      <c r="E76" s="182">
        <v>15</v>
      </c>
      <c r="F76" s="404">
        <v>1565</v>
      </c>
      <c r="G76" s="405">
        <v>104.3</v>
      </c>
      <c r="H76" s="598"/>
      <c r="I76" s="408">
        <f t="shared" si="55"/>
        <v>15</v>
      </c>
      <c r="J76" s="408">
        <f t="shared" si="55"/>
        <v>1141.1493506493548</v>
      </c>
      <c r="K76" s="406">
        <f t="shared" si="55"/>
        <v>76.076623376623644</v>
      </c>
      <c r="L76" s="588"/>
      <c r="M76" s="407">
        <f>RANK(K76, K$67:$K$81)</f>
        <v>3</v>
      </c>
      <c r="N76" s="544"/>
      <c r="O76" s="544"/>
      <c r="P76" s="404">
        <v>15</v>
      </c>
      <c r="Q76" s="405">
        <v>1140.0000000000041</v>
      </c>
      <c r="R76" s="405">
        <v>76.00000000000027</v>
      </c>
      <c r="S76" s="404">
        <f t="shared" si="56"/>
        <v>4</v>
      </c>
      <c r="T76" s="598"/>
      <c r="U76" s="404">
        <v>15</v>
      </c>
      <c r="V76" s="405">
        <v>1204.2857142857185</v>
      </c>
      <c r="W76" s="405">
        <v>80.285714285714576</v>
      </c>
      <c r="X76" s="404">
        <f t="shared" si="43"/>
        <v>3</v>
      </c>
      <c r="Y76" s="598"/>
      <c r="Z76" s="404">
        <v>15</v>
      </c>
      <c r="AA76" s="405">
        <v>1162.5000000000041</v>
      </c>
      <c r="AB76" s="405">
        <v>77.50000000000027</v>
      </c>
      <c r="AC76" s="404">
        <f t="shared" si="45"/>
        <v>3</v>
      </c>
      <c r="AD76" s="598"/>
      <c r="AE76" s="404">
        <v>15</v>
      </c>
      <c r="AF76" s="405">
        <v>1101.8181818181856</v>
      </c>
      <c r="AG76" s="405">
        <v>73.454545454545709</v>
      </c>
      <c r="AH76" s="404">
        <f t="shared" si="47"/>
        <v>3</v>
      </c>
      <c r="AI76" s="598"/>
      <c r="AJ76" s="404">
        <v>15</v>
      </c>
      <c r="AK76" s="405">
        <v>1097.1428571428612</v>
      </c>
      <c r="AL76" s="405">
        <v>73.142857142857409</v>
      </c>
      <c r="AM76" s="404">
        <f t="shared" si="49"/>
        <v>4</v>
      </c>
      <c r="AN76" s="598"/>
      <c r="AO76" s="404"/>
      <c r="AP76" s="405"/>
      <c r="AQ76" s="405"/>
      <c r="AR76" s="404" t="e">
        <f t="shared" si="51"/>
        <v>#N/A</v>
      </c>
      <c r="AS76" s="598"/>
      <c r="AT76" s="404"/>
      <c r="AU76" s="405"/>
      <c r="AV76" s="405"/>
      <c r="AW76" s="404" t="e">
        <f t="shared" si="53"/>
        <v>#N/A</v>
      </c>
      <c r="AX76" s="534"/>
    </row>
    <row r="77" spans="2:50">
      <c r="B77" s="533"/>
      <c r="C77" s="404">
        <v>11</v>
      </c>
      <c r="D77" s="226" t="s">
        <v>581</v>
      </c>
      <c r="E77" s="182">
        <v>16</v>
      </c>
      <c r="F77" s="404">
        <v>1440</v>
      </c>
      <c r="G77" s="405">
        <v>90</v>
      </c>
      <c r="H77" s="598"/>
      <c r="I77" s="408">
        <f t="shared" si="55"/>
        <v>16</v>
      </c>
      <c r="J77" s="408">
        <f t="shared" si="55"/>
        <v>1270.8333524783175</v>
      </c>
      <c r="K77" s="406">
        <f t="shared" si="55"/>
        <v>79.427084529894842</v>
      </c>
      <c r="L77" s="588"/>
      <c r="M77" s="407">
        <f>RANK(K77, K$67:$K$81)</f>
        <v>2</v>
      </c>
      <c r="N77" s="544"/>
      <c r="O77" s="544"/>
      <c r="P77" s="404">
        <v>16</v>
      </c>
      <c r="Q77" s="405">
        <v>1268.4374999999998</v>
      </c>
      <c r="R77" s="405">
        <v>79.277343749999986</v>
      </c>
      <c r="S77" s="404">
        <f t="shared" si="56"/>
        <v>2</v>
      </c>
      <c r="T77" s="598"/>
      <c r="U77" s="404">
        <v>16</v>
      </c>
      <c r="V77" s="405">
        <v>1297.9999999999993</v>
      </c>
      <c r="W77" s="405">
        <v>81.124999999999957</v>
      </c>
      <c r="X77" s="404">
        <f t="shared" si="43"/>
        <v>2</v>
      </c>
      <c r="Y77" s="598"/>
      <c r="Z77" s="404">
        <v>16</v>
      </c>
      <c r="AA77" s="405">
        <v>1253.5714285714296</v>
      </c>
      <c r="AB77" s="405">
        <v>78.348214285714349</v>
      </c>
      <c r="AC77" s="404">
        <f t="shared" si="45"/>
        <v>2</v>
      </c>
      <c r="AD77" s="598"/>
      <c r="AE77" s="404">
        <v>16</v>
      </c>
      <c r="AF77" s="405">
        <v>1281.1363636363635</v>
      </c>
      <c r="AG77" s="405">
        <v>80.07102272727272</v>
      </c>
      <c r="AH77" s="404">
        <f t="shared" si="47"/>
        <v>1</v>
      </c>
      <c r="AI77" s="598"/>
      <c r="AJ77" s="404">
        <v>16</v>
      </c>
      <c r="AK77" s="405">
        <v>1260.5660377358497</v>
      </c>
      <c r="AL77" s="405">
        <v>78.785377358490607</v>
      </c>
      <c r="AM77" s="404">
        <f t="shared" si="49"/>
        <v>2</v>
      </c>
      <c r="AN77" s="598"/>
      <c r="AO77" s="404">
        <v>16</v>
      </c>
      <c r="AP77" s="405">
        <v>1270</v>
      </c>
      <c r="AQ77" s="405">
        <v>79.375</v>
      </c>
      <c r="AR77" s="404">
        <f t="shared" si="51"/>
        <v>2</v>
      </c>
      <c r="AS77" s="598"/>
      <c r="AT77" s="404">
        <v>16</v>
      </c>
      <c r="AU77" s="405">
        <v>1264.1221374045801</v>
      </c>
      <c r="AV77" s="405">
        <v>79.007633587786259</v>
      </c>
      <c r="AW77" s="404">
        <f t="shared" si="53"/>
        <v>2</v>
      </c>
      <c r="AX77" s="534"/>
    </row>
    <row r="78" spans="2:50">
      <c r="B78" s="533"/>
      <c r="C78" s="404">
        <v>12</v>
      </c>
      <c r="D78" s="226" t="s">
        <v>625</v>
      </c>
      <c r="E78" s="182">
        <v>16</v>
      </c>
      <c r="F78" s="404">
        <v>1440</v>
      </c>
      <c r="G78" s="405">
        <v>90</v>
      </c>
      <c r="H78" s="598"/>
      <c r="I78" s="408">
        <f t="shared" si="55"/>
        <v>17</v>
      </c>
      <c r="J78" s="408">
        <f t="shared" si="55"/>
        <v>1142.8652117873455</v>
      </c>
      <c r="K78" s="406">
        <f t="shared" si="55"/>
        <v>67.227365399255618</v>
      </c>
      <c r="L78" s="588"/>
      <c r="M78" s="407">
        <f>RANK(K78, K$67:$K$81)</f>
        <v>10</v>
      </c>
      <c r="N78" s="544"/>
      <c r="O78" s="544"/>
      <c r="P78" s="404">
        <v>17</v>
      </c>
      <c r="Q78" s="405">
        <v>1241.9999999999977</v>
      </c>
      <c r="R78" s="405">
        <v>73.058823529411626</v>
      </c>
      <c r="S78" s="404">
        <f t="shared" si="56"/>
        <v>5</v>
      </c>
      <c r="T78" s="598"/>
      <c r="U78" s="404">
        <v>17</v>
      </c>
      <c r="V78" s="405">
        <v>1280.6896551724112</v>
      </c>
      <c r="W78" s="405">
        <v>75.334685598377135</v>
      </c>
      <c r="X78" s="404">
        <f t="shared" si="43"/>
        <v>4</v>
      </c>
      <c r="Y78" s="598"/>
      <c r="Z78" s="404">
        <v>17</v>
      </c>
      <c r="AA78" s="405">
        <v>1094.9999999999984</v>
      </c>
      <c r="AB78" s="405">
        <v>64.411764705882263</v>
      </c>
      <c r="AC78" s="404">
        <f t="shared" si="45"/>
        <v>10</v>
      </c>
      <c r="AD78" s="598"/>
      <c r="AE78" s="404">
        <v>17</v>
      </c>
      <c r="AF78" s="405">
        <v>1082.2222222222197</v>
      </c>
      <c r="AG78" s="405">
        <v>63.6601307189541</v>
      </c>
      <c r="AH78" s="404">
        <f t="shared" si="47"/>
        <v>9</v>
      </c>
      <c r="AI78" s="598"/>
      <c r="AJ78" s="404">
        <v>17</v>
      </c>
      <c r="AK78" s="405">
        <v>1117.2413793103426</v>
      </c>
      <c r="AL78" s="405">
        <v>65.720081135902504</v>
      </c>
      <c r="AM78" s="404">
        <f t="shared" si="49"/>
        <v>11</v>
      </c>
      <c r="AN78" s="598"/>
      <c r="AO78" s="404">
        <v>17</v>
      </c>
      <c r="AP78" s="405">
        <v>1069.999999999998</v>
      </c>
      <c r="AQ78" s="405">
        <v>62.941176470588118</v>
      </c>
      <c r="AR78" s="404">
        <f t="shared" si="51"/>
        <v>10</v>
      </c>
      <c r="AS78" s="598"/>
      <c r="AT78" s="404">
        <v>17</v>
      </c>
      <c r="AU78" s="405">
        <v>1112.9032258064499</v>
      </c>
      <c r="AV78" s="405">
        <v>65.464895635673528</v>
      </c>
      <c r="AW78" s="404">
        <f t="shared" si="53"/>
        <v>9</v>
      </c>
      <c r="AX78" s="534"/>
    </row>
    <row r="79" spans="2:50">
      <c r="B79" s="533"/>
      <c r="C79" s="404">
        <v>13</v>
      </c>
      <c r="D79" s="226"/>
      <c r="E79" s="182"/>
      <c r="F79" s="404"/>
      <c r="G79" s="405"/>
      <c r="H79" s="598"/>
      <c r="I79" s="202"/>
      <c r="J79" s="202"/>
      <c r="K79" s="202"/>
      <c r="L79" s="588"/>
      <c r="M79" s="407" t="e">
        <f>RANK(K79, K$67:$K$81)</f>
        <v>#N/A</v>
      </c>
      <c r="N79" s="544"/>
      <c r="O79" s="544"/>
      <c r="P79" s="404"/>
      <c r="Q79" s="405"/>
      <c r="R79" s="405"/>
      <c r="S79" s="404" t="e">
        <f t="shared" si="56"/>
        <v>#N/A</v>
      </c>
      <c r="T79" s="598"/>
      <c r="U79" s="404"/>
      <c r="V79" s="405"/>
      <c r="W79" s="405"/>
      <c r="X79" s="404" t="e">
        <f t="shared" si="43"/>
        <v>#N/A</v>
      </c>
      <c r="Y79" s="598"/>
      <c r="Z79" s="404"/>
      <c r="AA79" s="405"/>
      <c r="AB79" s="405"/>
      <c r="AC79" s="404" t="e">
        <f t="shared" si="45"/>
        <v>#N/A</v>
      </c>
      <c r="AD79" s="598"/>
      <c r="AE79" s="404"/>
      <c r="AF79" s="405"/>
      <c r="AG79" s="405"/>
      <c r="AH79" s="404" t="e">
        <f t="shared" si="47"/>
        <v>#N/A</v>
      </c>
      <c r="AI79" s="598"/>
      <c r="AJ79" s="404"/>
      <c r="AK79" s="405"/>
      <c r="AL79" s="405"/>
      <c r="AM79" s="404" t="e">
        <f t="shared" si="49"/>
        <v>#N/A</v>
      </c>
      <c r="AN79" s="598"/>
      <c r="AO79" s="404"/>
      <c r="AP79" s="405"/>
      <c r="AQ79" s="405"/>
      <c r="AR79" s="404" t="e">
        <f t="shared" si="51"/>
        <v>#N/A</v>
      </c>
      <c r="AS79" s="598"/>
      <c r="AT79" s="404"/>
      <c r="AU79" s="405"/>
      <c r="AV79" s="405"/>
      <c r="AW79" s="404" t="e">
        <f t="shared" si="53"/>
        <v>#N/A</v>
      </c>
      <c r="AX79" s="534"/>
    </row>
    <row r="80" spans="2:50">
      <c r="B80" s="533"/>
      <c r="C80" s="404">
        <v>14</v>
      </c>
      <c r="D80" s="226"/>
      <c r="E80" s="182"/>
      <c r="F80" s="404"/>
      <c r="G80" s="405"/>
      <c r="H80" s="598"/>
      <c r="I80" s="202"/>
      <c r="J80" s="202"/>
      <c r="K80" s="202"/>
      <c r="L80" s="588"/>
      <c r="M80" s="407" t="e">
        <f>RANK(K80, K$67:$K$81)</f>
        <v>#N/A</v>
      </c>
      <c r="N80" s="544"/>
      <c r="O80" s="544"/>
      <c r="P80" s="404"/>
      <c r="Q80" s="405"/>
      <c r="R80" s="405"/>
      <c r="S80" s="404" t="e">
        <f t="shared" si="56"/>
        <v>#N/A</v>
      </c>
      <c r="T80" s="598"/>
      <c r="U80" s="404"/>
      <c r="V80" s="405"/>
      <c r="W80" s="405"/>
      <c r="X80" s="404" t="e">
        <f t="shared" si="43"/>
        <v>#N/A</v>
      </c>
      <c r="Y80" s="598"/>
      <c r="Z80" s="404"/>
      <c r="AA80" s="405"/>
      <c r="AB80" s="405"/>
      <c r="AC80" s="404" t="e">
        <f t="shared" si="45"/>
        <v>#N/A</v>
      </c>
      <c r="AD80" s="598"/>
      <c r="AE80" s="404"/>
      <c r="AF80" s="405"/>
      <c r="AG80" s="405"/>
      <c r="AH80" s="404" t="e">
        <f t="shared" si="47"/>
        <v>#N/A</v>
      </c>
      <c r="AI80" s="598"/>
      <c r="AJ80" s="404"/>
      <c r="AK80" s="405"/>
      <c r="AL80" s="405"/>
      <c r="AM80" s="404" t="e">
        <f t="shared" si="49"/>
        <v>#N/A</v>
      </c>
      <c r="AN80" s="598"/>
      <c r="AO80" s="404"/>
      <c r="AP80" s="405"/>
      <c r="AQ80" s="405"/>
      <c r="AR80" s="404" t="e">
        <f t="shared" si="51"/>
        <v>#N/A</v>
      </c>
      <c r="AS80" s="598"/>
      <c r="AT80" s="404"/>
      <c r="AU80" s="405"/>
      <c r="AV80" s="405"/>
      <c r="AW80" s="404" t="e">
        <f t="shared" si="53"/>
        <v>#N/A</v>
      </c>
      <c r="AX80" s="534"/>
    </row>
    <row r="81" spans="2:50">
      <c r="B81" s="533"/>
      <c r="C81" s="404">
        <v>15</v>
      </c>
      <c r="D81" s="226"/>
      <c r="E81" s="182"/>
      <c r="F81" s="404"/>
      <c r="G81" s="405"/>
      <c r="H81" s="599"/>
      <c r="I81" s="202"/>
      <c r="J81" s="202"/>
      <c r="K81" s="202"/>
      <c r="L81" s="589"/>
      <c r="M81" s="407" t="e">
        <f>RANK(K81, K$67:$K$81)</f>
        <v>#N/A</v>
      </c>
      <c r="N81" s="544"/>
      <c r="O81" s="544"/>
      <c r="P81" s="404"/>
      <c r="Q81" s="405"/>
      <c r="R81" s="405"/>
      <c r="S81" s="404" t="e">
        <f t="shared" si="56"/>
        <v>#N/A</v>
      </c>
      <c r="T81" s="599"/>
      <c r="U81" s="404"/>
      <c r="V81" s="405"/>
      <c r="W81" s="405"/>
      <c r="X81" s="404" t="e">
        <f t="shared" si="43"/>
        <v>#N/A</v>
      </c>
      <c r="Y81" s="599"/>
      <c r="Z81" s="404"/>
      <c r="AA81" s="405"/>
      <c r="AB81" s="405"/>
      <c r="AC81" s="404" t="e">
        <f t="shared" si="45"/>
        <v>#N/A</v>
      </c>
      <c r="AD81" s="599"/>
      <c r="AE81" s="404"/>
      <c r="AF81" s="405"/>
      <c r="AG81" s="405"/>
      <c r="AH81" s="404" t="e">
        <f t="shared" si="47"/>
        <v>#N/A</v>
      </c>
      <c r="AI81" s="599"/>
      <c r="AJ81" s="404"/>
      <c r="AK81" s="405"/>
      <c r="AL81" s="405"/>
      <c r="AM81" s="404" t="e">
        <f t="shared" si="49"/>
        <v>#N/A</v>
      </c>
      <c r="AN81" s="599"/>
      <c r="AO81" s="404"/>
      <c r="AP81" s="405"/>
      <c r="AQ81" s="405"/>
      <c r="AR81" s="404" t="e">
        <f t="shared" si="51"/>
        <v>#N/A</v>
      </c>
      <c r="AS81" s="599"/>
      <c r="AT81" s="404"/>
      <c r="AU81" s="405"/>
      <c r="AV81" s="405"/>
      <c r="AW81" s="404" t="e">
        <f t="shared" si="53"/>
        <v>#N/A</v>
      </c>
      <c r="AX81" s="534"/>
    </row>
    <row r="82" spans="2:50" ht="15.5">
      <c r="B82" s="555" t="s">
        <v>704</v>
      </c>
      <c r="C82" s="556"/>
      <c r="D82" s="556"/>
      <c r="E82" s="556"/>
      <c r="F82" s="556"/>
      <c r="G82" s="556"/>
      <c r="H82" s="557"/>
      <c r="I82" s="208"/>
      <c r="J82" s="208"/>
      <c r="K82" s="208"/>
      <c r="L82" s="208"/>
      <c r="M82" s="207"/>
      <c r="N82" s="559" t="s">
        <v>705</v>
      </c>
      <c r="O82" s="559" t="s">
        <v>706</v>
      </c>
      <c r="P82" s="554">
        <f>P62+7</f>
        <v>46014</v>
      </c>
      <c r="Q82" s="533"/>
      <c r="R82" s="533"/>
      <c r="S82" s="533"/>
      <c r="T82" s="533"/>
      <c r="U82" s="551">
        <f>P82+1</f>
        <v>46015</v>
      </c>
      <c r="V82" s="552"/>
      <c r="W82" s="552"/>
      <c r="X82" s="552"/>
      <c r="Y82" s="553"/>
      <c r="Z82" s="551">
        <f>U82+1</f>
        <v>46016</v>
      </c>
      <c r="AA82" s="552"/>
      <c r="AB82" s="552"/>
      <c r="AC82" s="552"/>
      <c r="AD82" s="553"/>
      <c r="AE82" s="551">
        <f>Z82+1</f>
        <v>46017</v>
      </c>
      <c r="AF82" s="552"/>
      <c r="AG82" s="552"/>
      <c r="AH82" s="552"/>
      <c r="AI82" s="553"/>
      <c r="AJ82" s="551">
        <f>AE82+1</f>
        <v>46018</v>
      </c>
      <c r="AK82" s="552"/>
      <c r="AL82" s="552"/>
      <c r="AM82" s="552"/>
      <c r="AN82" s="553"/>
      <c r="AO82" s="551">
        <f>AJ82+1</f>
        <v>46019</v>
      </c>
      <c r="AP82" s="552"/>
      <c r="AQ82" s="552"/>
      <c r="AR82" s="552"/>
      <c r="AS82" s="553"/>
      <c r="AT82" s="551">
        <f>AO82+1</f>
        <v>46020</v>
      </c>
      <c r="AU82" s="552"/>
      <c r="AV82" s="552"/>
      <c r="AW82" s="552"/>
      <c r="AX82" s="553"/>
    </row>
    <row r="83" spans="2:50" ht="15.5">
      <c r="B83" s="558"/>
      <c r="C83" s="558"/>
      <c r="D83" s="558"/>
      <c r="E83" s="558"/>
      <c r="F83" s="558"/>
      <c r="G83" s="558"/>
      <c r="H83" s="558"/>
      <c r="I83" s="205"/>
      <c r="J83" s="205"/>
      <c r="K83" s="205"/>
      <c r="L83" s="205"/>
      <c r="M83" s="206"/>
      <c r="N83" s="560"/>
      <c r="O83" s="560"/>
      <c r="P83" s="554" t="s">
        <v>707</v>
      </c>
      <c r="Q83" s="533"/>
      <c r="R83" s="533"/>
      <c r="S83" s="533"/>
      <c r="T83" s="533"/>
      <c r="U83" s="554" t="s">
        <v>708</v>
      </c>
      <c r="V83" s="533"/>
      <c r="W83" s="533"/>
      <c r="X83" s="533"/>
      <c r="Y83" s="533"/>
      <c r="Z83" s="554" t="s">
        <v>709</v>
      </c>
      <c r="AA83" s="533"/>
      <c r="AB83" s="533"/>
      <c r="AC83" s="533"/>
      <c r="AD83" s="533"/>
      <c r="AE83" s="554" t="s">
        <v>710</v>
      </c>
      <c r="AF83" s="533"/>
      <c r="AG83" s="533"/>
      <c r="AH83" s="533"/>
      <c r="AI83" s="533"/>
      <c r="AJ83" s="554" t="s">
        <v>711</v>
      </c>
      <c r="AK83" s="533"/>
      <c r="AL83" s="533"/>
      <c r="AM83" s="533"/>
      <c r="AN83" s="533"/>
      <c r="AO83" s="554" t="s">
        <v>712</v>
      </c>
      <c r="AP83" s="533"/>
      <c r="AQ83" s="533"/>
      <c r="AR83" s="533"/>
      <c r="AS83" s="533"/>
      <c r="AT83" s="554" t="s">
        <v>713</v>
      </c>
      <c r="AU83" s="533"/>
      <c r="AV83" s="533"/>
      <c r="AW83" s="533"/>
      <c r="AX83" s="533"/>
    </row>
    <row r="84" spans="2:50">
      <c r="B84" s="544" t="s">
        <v>649</v>
      </c>
      <c r="C84" s="544" t="s">
        <v>650</v>
      </c>
      <c r="D84" s="544"/>
      <c r="E84" s="544" t="s">
        <v>651</v>
      </c>
      <c r="F84" s="544"/>
      <c r="G84" s="544"/>
      <c r="H84" s="561" t="s">
        <v>652</v>
      </c>
      <c r="I84" s="583" t="s">
        <v>653</v>
      </c>
      <c r="J84" s="583"/>
      <c r="K84" s="583"/>
      <c r="L84" s="584" t="s">
        <v>652</v>
      </c>
      <c r="M84" s="567" t="s">
        <v>654</v>
      </c>
      <c r="N84" s="544"/>
      <c r="O84" s="544" t="s">
        <v>655</v>
      </c>
      <c r="P84" s="548" t="s">
        <v>656</v>
      </c>
      <c r="Q84" s="549"/>
      <c r="R84" s="549"/>
      <c r="S84" s="550"/>
      <c r="T84" s="544" t="s">
        <v>652</v>
      </c>
      <c r="U84" s="548" t="s">
        <v>656</v>
      </c>
      <c r="V84" s="549"/>
      <c r="W84" s="549"/>
      <c r="X84" s="550"/>
      <c r="Y84" s="544" t="s">
        <v>652</v>
      </c>
      <c r="Z84" s="548" t="s">
        <v>656</v>
      </c>
      <c r="AA84" s="549"/>
      <c r="AB84" s="549"/>
      <c r="AC84" s="550"/>
      <c r="AD84" s="544" t="s">
        <v>652</v>
      </c>
      <c r="AE84" s="548" t="s">
        <v>656</v>
      </c>
      <c r="AF84" s="549"/>
      <c r="AG84" s="549"/>
      <c r="AH84" s="550"/>
      <c r="AI84" s="544" t="s">
        <v>652</v>
      </c>
      <c r="AJ84" s="548" t="s">
        <v>656</v>
      </c>
      <c r="AK84" s="549"/>
      <c r="AL84" s="549"/>
      <c r="AM84" s="550"/>
      <c r="AN84" s="544" t="s">
        <v>652</v>
      </c>
      <c r="AO84" s="548" t="s">
        <v>656</v>
      </c>
      <c r="AP84" s="549"/>
      <c r="AQ84" s="549"/>
      <c r="AR84" s="550"/>
      <c r="AS84" s="544" t="s">
        <v>652</v>
      </c>
      <c r="AT84" s="548" t="s">
        <v>656</v>
      </c>
      <c r="AU84" s="549"/>
      <c r="AV84" s="549"/>
      <c r="AW84" s="550"/>
      <c r="AX84" s="544" t="s">
        <v>652</v>
      </c>
    </row>
    <row r="85" spans="2:50">
      <c r="B85" s="544"/>
      <c r="C85" s="544"/>
      <c r="D85" s="544"/>
      <c r="E85" s="544" t="s">
        <v>657</v>
      </c>
      <c r="F85" s="544"/>
      <c r="G85" s="544"/>
      <c r="H85" s="562"/>
      <c r="I85" s="583" t="s">
        <v>657</v>
      </c>
      <c r="J85" s="583"/>
      <c r="K85" s="583"/>
      <c r="L85" s="585"/>
      <c r="M85" s="568"/>
      <c r="N85" s="544"/>
      <c r="O85" s="544"/>
      <c r="P85" s="548" t="s">
        <v>658</v>
      </c>
      <c r="Q85" s="549"/>
      <c r="R85" s="549"/>
      <c r="S85" s="550"/>
      <c r="T85" s="544"/>
      <c r="U85" s="548" t="s">
        <v>658</v>
      </c>
      <c r="V85" s="549"/>
      <c r="W85" s="549"/>
      <c r="X85" s="550"/>
      <c r="Y85" s="544"/>
      <c r="Z85" s="548" t="s">
        <v>658</v>
      </c>
      <c r="AA85" s="549"/>
      <c r="AB85" s="549"/>
      <c r="AC85" s="550"/>
      <c r="AD85" s="544"/>
      <c r="AE85" s="548" t="s">
        <v>658</v>
      </c>
      <c r="AF85" s="549"/>
      <c r="AG85" s="549"/>
      <c r="AH85" s="550"/>
      <c r="AI85" s="544"/>
      <c r="AJ85" s="548" t="s">
        <v>658</v>
      </c>
      <c r="AK85" s="549"/>
      <c r="AL85" s="549"/>
      <c r="AM85" s="550"/>
      <c r="AN85" s="544"/>
      <c r="AO85" s="548" t="s">
        <v>658</v>
      </c>
      <c r="AP85" s="549"/>
      <c r="AQ85" s="549"/>
      <c r="AR85" s="550"/>
      <c r="AS85" s="544"/>
      <c r="AT85" s="548" t="s">
        <v>658</v>
      </c>
      <c r="AU85" s="549"/>
      <c r="AV85" s="549"/>
      <c r="AW85" s="550"/>
      <c r="AX85" s="544"/>
    </row>
    <row r="86" spans="2:50">
      <c r="B86" s="544"/>
      <c r="C86" s="544"/>
      <c r="D86" s="544"/>
      <c r="E86" s="403" t="s">
        <v>659</v>
      </c>
      <c r="F86" s="403" t="s">
        <v>660</v>
      </c>
      <c r="G86" s="403" t="s">
        <v>661</v>
      </c>
      <c r="H86" s="563"/>
      <c r="I86" s="402" t="s">
        <v>659</v>
      </c>
      <c r="J86" s="402" t="s">
        <v>660</v>
      </c>
      <c r="K86" s="402" t="s">
        <v>661</v>
      </c>
      <c r="L86" s="586"/>
      <c r="M86" s="569"/>
      <c r="N86" s="544"/>
      <c r="O86" s="544"/>
      <c r="P86" s="403" t="s">
        <v>659</v>
      </c>
      <c r="Q86" s="403" t="s">
        <v>660</v>
      </c>
      <c r="R86" s="403" t="s">
        <v>661</v>
      </c>
      <c r="S86" s="403" t="s">
        <v>654</v>
      </c>
      <c r="T86" s="544"/>
      <c r="U86" s="403" t="s">
        <v>659</v>
      </c>
      <c r="V86" s="403" t="s">
        <v>660</v>
      </c>
      <c r="W86" s="403" t="s">
        <v>661</v>
      </c>
      <c r="X86" s="403" t="s">
        <v>654</v>
      </c>
      <c r="Y86" s="544"/>
      <c r="Z86" s="403" t="s">
        <v>659</v>
      </c>
      <c r="AA86" s="403" t="s">
        <v>660</v>
      </c>
      <c r="AB86" s="403" t="s">
        <v>661</v>
      </c>
      <c r="AC86" s="403" t="s">
        <v>654</v>
      </c>
      <c r="AD86" s="544"/>
      <c r="AE86" s="403" t="s">
        <v>659</v>
      </c>
      <c r="AF86" s="403" t="s">
        <v>660</v>
      </c>
      <c r="AG86" s="403" t="s">
        <v>661</v>
      </c>
      <c r="AH86" s="403" t="s">
        <v>654</v>
      </c>
      <c r="AI86" s="544"/>
      <c r="AJ86" s="403" t="s">
        <v>659</v>
      </c>
      <c r="AK86" s="403" t="s">
        <v>660</v>
      </c>
      <c r="AL86" s="403" t="s">
        <v>661</v>
      </c>
      <c r="AM86" s="403" t="s">
        <v>654</v>
      </c>
      <c r="AN86" s="544"/>
      <c r="AO86" s="403" t="s">
        <v>659</v>
      </c>
      <c r="AP86" s="403" t="s">
        <v>660</v>
      </c>
      <c r="AQ86" s="403" t="s">
        <v>661</v>
      </c>
      <c r="AR86" s="403" t="s">
        <v>654</v>
      </c>
      <c r="AS86" s="544"/>
      <c r="AT86" s="403" t="s">
        <v>659</v>
      </c>
      <c r="AU86" s="403" t="s">
        <v>660</v>
      </c>
      <c r="AV86" s="403" t="s">
        <v>661</v>
      </c>
      <c r="AW86" s="403" t="s">
        <v>654</v>
      </c>
      <c r="AX86" s="544"/>
    </row>
    <row r="87" spans="2:50">
      <c r="B87" s="544" t="s">
        <v>719</v>
      </c>
      <c r="C87" s="404">
        <v>1</v>
      </c>
      <c r="D87" s="226" t="s">
        <v>386</v>
      </c>
      <c r="E87" s="182">
        <v>18</v>
      </c>
      <c r="F87" s="404">
        <v>1440</v>
      </c>
      <c r="G87" s="405">
        <v>80</v>
      </c>
      <c r="H87" s="597">
        <f>AVERAGE(G87:G101)</f>
        <v>82.22727272727272</v>
      </c>
      <c r="I87" s="408">
        <f>AVERAGE(P87,U87,Z87,AE87,AJ87,AO87,AT87)</f>
        <v>18</v>
      </c>
      <c r="J87" s="408">
        <f>AVERAGE(Q87,V87,AA87,AF87,AK87,AP87,AU87)</f>
        <v>1270.3467963627397</v>
      </c>
      <c r="K87" s="406">
        <f>AVERAGE(R87,W87,AB87,AG87,AL87,AQ87,AV87)</f>
        <v>70.574822020152212</v>
      </c>
      <c r="L87" s="587">
        <f>IFERROR(AVERAGE(K87:K101),"-")</f>
        <v>69.900452105226762</v>
      </c>
      <c r="M87" s="407">
        <f>RANK(K87, K$87:$K$101)</f>
        <v>5</v>
      </c>
      <c r="N87" s="544"/>
      <c r="O87" s="544"/>
      <c r="P87" s="182">
        <v>18</v>
      </c>
      <c r="Q87" s="405">
        <v>1268.8484848484843</v>
      </c>
      <c r="R87" s="405">
        <v>70.491582491582463</v>
      </c>
      <c r="S87" s="404">
        <f>RANK(R87, R$87:R$101)</f>
        <v>5</v>
      </c>
      <c r="T87" s="597">
        <f>AVERAGE(R87:R101)</f>
        <v>70.76990413144776</v>
      </c>
      <c r="U87" s="182">
        <v>18</v>
      </c>
      <c r="V87" s="405">
        <v>1263.6144578313249</v>
      </c>
      <c r="W87" s="405">
        <v>70.200803212851383</v>
      </c>
      <c r="X87" s="404">
        <f t="shared" ref="X87:X101" si="57">RANK(W87, W$87:W$101)</f>
        <v>6</v>
      </c>
      <c r="Y87" s="597">
        <f t="shared" ref="Y87" si="58">AVERAGE(W87:W101)</f>
        <v>70.425317891593679</v>
      </c>
      <c r="Z87" s="182">
        <v>18</v>
      </c>
      <c r="AA87" s="405">
        <v>1273.8461538461538</v>
      </c>
      <c r="AB87" s="405">
        <v>70.769230769230774</v>
      </c>
      <c r="AC87" s="404">
        <f t="shared" ref="AC87:AC101" si="59">RANK(AB87, AB$87:AB$101)</f>
        <v>6</v>
      </c>
      <c r="AD87" s="597">
        <f t="shared" ref="AD87" si="60">AVERAGE(AB87:AB101)</f>
        <v>70.557718865178671</v>
      </c>
      <c r="AE87" s="182">
        <v>18</v>
      </c>
      <c r="AF87" s="405">
        <v>1297.3714285714291</v>
      </c>
      <c r="AG87" s="405">
        <v>72.076190476190504</v>
      </c>
      <c r="AH87" s="404">
        <f t="shared" ref="AH87:AH101" si="61">RANK(AG87, AG$87:AG$101)</f>
        <v>4</v>
      </c>
      <c r="AI87" s="597">
        <f t="shared" ref="AI87" si="62">AVERAGE(AG87:AG101)</f>
        <v>68.390542632628637</v>
      </c>
      <c r="AJ87" s="182">
        <v>18</v>
      </c>
      <c r="AK87" s="405">
        <v>1261.0909090909092</v>
      </c>
      <c r="AL87" s="405">
        <v>70.060606060606062</v>
      </c>
      <c r="AM87" s="404">
        <f t="shared" ref="AM87:AM101" si="63">RANK(AL87, AL$87:AL$101)</f>
        <v>5</v>
      </c>
      <c r="AN87" s="597">
        <f t="shared" ref="AN87" si="64">AVERAGE(AL87:AL101)</f>
        <v>68.138763152182122</v>
      </c>
      <c r="AO87" s="182">
        <v>18</v>
      </c>
      <c r="AP87" s="405">
        <v>1272.7894736842106</v>
      </c>
      <c r="AQ87" s="405">
        <v>70.71052631578948</v>
      </c>
      <c r="AR87" s="404">
        <f t="shared" ref="AR87:AR101" si="65">RANK(AQ87, AQ$87:AQ$101)</f>
        <v>6</v>
      </c>
      <c r="AS87" s="597">
        <f t="shared" ref="AS87" si="66">AVERAGE(AQ87:AQ101)</f>
        <v>70.202456285268681</v>
      </c>
      <c r="AT87" s="182">
        <v>18</v>
      </c>
      <c r="AU87" s="405">
        <v>1254.8666666666668</v>
      </c>
      <c r="AV87" s="405">
        <v>69.714814814814815</v>
      </c>
      <c r="AW87" s="404">
        <f t="shared" ref="AW87:AW101" si="67">RANK(AV87, AV$87:AV$101)</f>
        <v>7</v>
      </c>
      <c r="AX87" s="534">
        <f t="shared" ref="AX87" si="68">AVERAGE(AV87:AV101)</f>
        <v>70.818461778287784</v>
      </c>
    </row>
    <row r="88" spans="2:50">
      <c r="B88" s="533"/>
      <c r="C88" s="404">
        <v>2</v>
      </c>
      <c r="D88" s="226" t="s">
        <v>387</v>
      </c>
      <c r="E88" s="182">
        <v>19</v>
      </c>
      <c r="F88" s="404">
        <v>1440</v>
      </c>
      <c r="G88" s="405">
        <v>75.8</v>
      </c>
      <c r="H88" s="598"/>
      <c r="I88" s="408">
        <f t="shared" ref="I88:K97" si="69">AVERAGE(P88,U88,Z88,AE88,AJ88,AO88,AT88)</f>
        <v>18</v>
      </c>
      <c r="J88" s="408">
        <f t="shared" si="69"/>
        <v>1225.3349185715326</v>
      </c>
      <c r="K88" s="406">
        <f t="shared" si="69"/>
        <v>68.074162142862917</v>
      </c>
      <c r="L88" s="588"/>
      <c r="M88" s="407">
        <f>RANK(K88, K$87:$K$101)</f>
        <v>6</v>
      </c>
      <c r="N88" s="544"/>
      <c r="O88" s="544"/>
      <c r="P88" s="404">
        <v>18</v>
      </c>
      <c r="Q88" s="405">
        <v>1265.4545454545439</v>
      </c>
      <c r="R88" s="405">
        <v>70.303030303030212</v>
      </c>
      <c r="S88" s="404">
        <f t="shared" ref="S88:S101" si="70">RANK(R88, R$87:R$101)</f>
        <v>6</v>
      </c>
      <c r="T88" s="598"/>
      <c r="U88" s="404">
        <v>18</v>
      </c>
      <c r="V88" s="405">
        <v>1276.3636363636347</v>
      </c>
      <c r="W88" s="405">
        <v>70.909090909090821</v>
      </c>
      <c r="X88" s="404">
        <f t="shared" si="57"/>
        <v>5</v>
      </c>
      <c r="Y88" s="598"/>
      <c r="Z88" s="404">
        <v>18</v>
      </c>
      <c r="AA88" s="405">
        <v>1276.3636363636347</v>
      </c>
      <c r="AB88" s="405">
        <v>70.909090909090821</v>
      </c>
      <c r="AC88" s="404">
        <f t="shared" si="59"/>
        <v>5</v>
      </c>
      <c r="AD88" s="598"/>
      <c r="AE88" s="404">
        <v>18</v>
      </c>
      <c r="AF88" s="405">
        <v>1099.3548387096755</v>
      </c>
      <c r="AG88" s="405">
        <v>61.075268817204197</v>
      </c>
      <c r="AH88" s="404">
        <f t="shared" si="61"/>
        <v>10</v>
      </c>
      <c r="AI88" s="598"/>
      <c r="AJ88" s="404">
        <v>18</v>
      </c>
      <c r="AK88" s="405">
        <v>1111.8749999999984</v>
      </c>
      <c r="AL88" s="405">
        <v>61.770833333333243</v>
      </c>
      <c r="AM88" s="404">
        <f t="shared" si="63"/>
        <v>10</v>
      </c>
      <c r="AN88" s="598"/>
      <c r="AO88" s="404">
        <v>18</v>
      </c>
      <c r="AP88" s="405">
        <v>1270.2857142857129</v>
      </c>
      <c r="AQ88" s="405">
        <v>70.571428571428498</v>
      </c>
      <c r="AR88" s="404">
        <f t="shared" si="65"/>
        <v>7</v>
      </c>
      <c r="AS88" s="598"/>
      <c r="AT88" s="404">
        <v>18</v>
      </c>
      <c r="AU88" s="405">
        <v>1277.6470588235279</v>
      </c>
      <c r="AV88" s="405">
        <v>70.980392156862663</v>
      </c>
      <c r="AW88" s="404">
        <f t="shared" si="67"/>
        <v>4</v>
      </c>
      <c r="AX88" s="534"/>
    </row>
    <row r="89" spans="2:50">
      <c r="B89" s="533"/>
      <c r="C89" s="404">
        <v>3</v>
      </c>
      <c r="D89" s="226" t="s">
        <v>389</v>
      </c>
      <c r="E89" s="182">
        <v>17</v>
      </c>
      <c r="F89" s="404">
        <v>1636</v>
      </c>
      <c r="G89" s="405">
        <v>96.3</v>
      </c>
      <c r="H89" s="598"/>
      <c r="I89" s="408">
        <f t="shared" si="69"/>
        <v>17</v>
      </c>
      <c r="J89" s="408">
        <f t="shared" si="69"/>
        <v>1323.0304017274429</v>
      </c>
      <c r="K89" s="406">
        <f t="shared" si="69"/>
        <v>77.825317748673115</v>
      </c>
      <c r="L89" s="588"/>
      <c r="M89" s="407">
        <f>RANK(K89, K$87:$K$101)</f>
        <v>2</v>
      </c>
      <c r="N89" s="544"/>
      <c r="O89" s="544"/>
      <c r="P89" s="404">
        <v>17</v>
      </c>
      <c r="Q89" s="405">
        <v>1447.9999999999975</v>
      </c>
      <c r="R89" s="405">
        <v>85.176470588235148</v>
      </c>
      <c r="S89" s="404">
        <f t="shared" si="70"/>
        <v>1</v>
      </c>
      <c r="T89" s="598"/>
      <c r="U89" s="404">
        <v>17</v>
      </c>
      <c r="V89" s="405">
        <v>1255.5555555555527</v>
      </c>
      <c r="W89" s="405">
        <v>73.856209150326634</v>
      </c>
      <c r="X89" s="404">
        <f t="shared" si="57"/>
        <v>3</v>
      </c>
      <c r="Y89" s="598"/>
      <c r="Z89" s="404">
        <v>17</v>
      </c>
      <c r="AA89" s="405">
        <v>1414.6153846153809</v>
      </c>
      <c r="AB89" s="405">
        <v>83.212669683257701</v>
      </c>
      <c r="AC89" s="404">
        <f t="shared" si="59"/>
        <v>1</v>
      </c>
      <c r="AD89" s="598"/>
      <c r="AE89" s="404">
        <v>17</v>
      </c>
      <c r="AF89" s="405">
        <v>1237.4999999999961</v>
      </c>
      <c r="AG89" s="405">
        <v>72.794117647058599</v>
      </c>
      <c r="AH89" s="404">
        <f t="shared" si="61"/>
        <v>3</v>
      </c>
      <c r="AI89" s="598"/>
      <c r="AJ89" s="404">
        <v>17</v>
      </c>
      <c r="AK89" s="405">
        <v>1224.827586206894</v>
      </c>
      <c r="AL89" s="405">
        <v>72.048681541581999</v>
      </c>
      <c r="AM89" s="404">
        <f t="shared" si="63"/>
        <v>3</v>
      </c>
      <c r="AN89" s="598"/>
      <c r="AO89" s="404">
        <v>17</v>
      </c>
      <c r="AP89" s="405">
        <v>1238.5714285714259</v>
      </c>
      <c r="AQ89" s="405">
        <v>72.857142857142705</v>
      </c>
      <c r="AR89" s="404">
        <f t="shared" si="65"/>
        <v>3</v>
      </c>
      <c r="AS89" s="598"/>
      <c r="AT89" s="404">
        <v>17</v>
      </c>
      <c r="AU89" s="405">
        <v>1442.1428571428542</v>
      </c>
      <c r="AV89" s="405">
        <v>84.831932773109074</v>
      </c>
      <c r="AW89" s="404">
        <f t="shared" si="67"/>
        <v>1</v>
      </c>
      <c r="AX89" s="534"/>
    </row>
    <row r="90" spans="2:50">
      <c r="B90" s="533"/>
      <c r="C90" s="404">
        <v>4</v>
      </c>
      <c r="D90" s="226" t="s">
        <v>388</v>
      </c>
      <c r="E90" s="182">
        <v>17</v>
      </c>
      <c r="F90" s="404">
        <v>1440</v>
      </c>
      <c r="G90" s="405">
        <v>84.7</v>
      </c>
      <c r="H90" s="598"/>
      <c r="I90" s="408">
        <f t="shared" si="69"/>
        <v>17</v>
      </c>
      <c r="J90" s="408">
        <f t="shared" si="69"/>
        <v>1282.4398048840669</v>
      </c>
      <c r="K90" s="406">
        <f t="shared" si="69"/>
        <v>75.437635581415705</v>
      </c>
      <c r="L90" s="588"/>
      <c r="M90" s="407">
        <f>RANK(K90, K$87:$K$101)</f>
        <v>3</v>
      </c>
      <c r="N90" s="544"/>
      <c r="O90" s="544"/>
      <c r="P90" s="404">
        <v>17</v>
      </c>
      <c r="Q90" s="405">
        <v>1268.5074626865664</v>
      </c>
      <c r="R90" s="405">
        <v>74.61808604038626</v>
      </c>
      <c r="S90" s="404">
        <f t="shared" si="70"/>
        <v>3</v>
      </c>
      <c r="T90" s="598"/>
      <c r="U90" s="404">
        <v>17</v>
      </c>
      <c r="V90" s="405">
        <v>1290.2803738317755</v>
      </c>
      <c r="W90" s="405">
        <v>75.8988455195162</v>
      </c>
      <c r="X90" s="404">
        <f t="shared" si="57"/>
        <v>2</v>
      </c>
      <c r="Y90" s="598"/>
      <c r="Z90" s="404">
        <v>17</v>
      </c>
      <c r="AA90" s="405">
        <v>1297.7142857142853</v>
      </c>
      <c r="AB90" s="405">
        <v>76.336134453781483</v>
      </c>
      <c r="AC90" s="404">
        <f t="shared" si="59"/>
        <v>3</v>
      </c>
      <c r="AD90" s="598"/>
      <c r="AE90" s="404">
        <v>17</v>
      </c>
      <c r="AF90" s="405">
        <v>1288.5714285714282</v>
      </c>
      <c r="AG90" s="405">
        <v>75.798319327731065</v>
      </c>
      <c r="AH90" s="404">
        <f t="shared" si="61"/>
        <v>2</v>
      </c>
      <c r="AI90" s="598"/>
      <c r="AJ90" s="404">
        <v>17</v>
      </c>
      <c r="AK90" s="405">
        <v>1279.3388429752058</v>
      </c>
      <c r="AL90" s="405">
        <v>75.25522605736505</v>
      </c>
      <c r="AM90" s="404">
        <f t="shared" si="63"/>
        <v>2</v>
      </c>
      <c r="AN90" s="598"/>
      <c r="AO90" s="404">
        <v>17</v>
      </c>
      <c r="AP90" s="405">
        <v>1293.9705882352951</v>
      </c>
      <c r="AQ90" s="405">
        <v>76.115916955017354</v>
      </c>
      <c r="AR90" s="404">
        <f t="shared" si="65"/>
        <v>2</v>
      </c>
      <c r="AS90" s="598"/>
      <c r="AT90" s="404">
        <v>17</v>
      </c>
      <c r="AU90" s="405">
        <v>1258.6956521739125</v>
      </c>
      <c r="AV90" s="405">
        <v>74.04092071611251</v>
      </c>
      <c r="AW90" s="404">
        <f t="shared" si="67"/>
        <v>3</v>
      </c>
      <c r="AX90" s="534"/>
    </row>
    <row r="91" spans="2:50">
      <c r="B91" s="533"/>
      <c r="C91" s="404">
        <v>5</v>
      </c>
      <c r="D91" s="226" t="s">
        <v>390</v>
      </c>
      <c r="E91" s="182">
        <v>17</v>
      </c>
      <c r="F91" s="404">
        <v>1440</v>
      </c>
      <c r="G91" s="405">
        <v>84.7</v>
      </c>
      <c r="H91" s="598"/>
      <c r="I91" s="408">
        <f t="shared" si="69"/>
        <v>18.285714285714285</v>
      </c>
      <c r="J91" s="408">
        <f t="shared" si="69"/>
        <v>1189.7429595494091</v>
      </c>
      <c r="K91" s="406">
        <f t="shared" si="69"/>
        <v>65.104080392139139</v>
      </c>
      <c r="L91" s="588"/>
      <c r="M91" s="407">
        <f>RANK(K91, K$87:$K$101)</f>
        <v>8</v>
      </c>
      <c r="N91" s="544"/>
      <c r="O91" s="544"/>
      <c r="P91" s="404">
        <v>19</v>
      </c>
      <c r="Q91" s="405">
        <v>1255.9999999999977</v>
      </c>
      <c r="R91" s="405">
        <v>66.105263157894612</v>
      </c>
      <c r="S91" s="404">
        <f t="shared" si="70"/>
        <v>8</v>
      </c>
      <c r="T91" s="598"/>
      <c r="U91" s="404">
        <v>18</v>
      </c>
      <c r="V91" s="405">
        <v>1251.9999999999977</v>
      </c>
      <c r="W91" s="405">
        <v>69.555555555555429</v>
      </c>
      <c r="X91" s="404">
        <f t="shared" si="57"/>
        <v>7</v>
      </c>
      <c r="Y91" s="598"/>
      <c r="Z91" s="404">
        <v>18</v>
      </c>
      <c r="AA91" s="405">
        <v>1079.9999999999984</v>
      </c>
      <c r="AB91" s="405">
        <v>59.999999999999915</v>
      </c>
      <c r="AC91" s="404">
        <f t="shared" si="59"/>
        <v>11</v>
      </c>
      <c r="AD91" s="598"/>
      <c r="AE91" s="404">
        <v>18</v>
      </c>
      <c r="AF91" s="405">
        <v>1075.5555555555532</v>
      </c>
      <c r="AG91" s="405">
        <v>59.753086419752954</v>
      </c>
      <c r="AH91" s="404">
        <f t="shared" si="61"/>
        <v>11</v>
      </c>
      <c r="AI91" s="598"/>
      <c r="AJ91" s="404">
        <v>19</v>
      </c>
      <c r="AK91" s="405">
        <v>1120.6451612903209</v>
      </c>
      <c r="AL91" s="405">
        <v>58.981324278437938</v>
      </c>
      <c r="AM91" s="404">
        <f t="shared" si="63"/>
        <v>11</v>
      </c>
      <c r="AN91" s="598"/>
      <c r="AO91" s="404">
        <v>18</v>
      </c>
      <c r="AP91" s="405">
        <v>1273.9999999999977</v>
      </c>
      <c r="AQ91" s="405">
        <v>70.777777777777658</v>
      </c>
      <c r="AR91" s="404">
        <f t="shared" si="65"/>
        <v>5</v>
      </c>
      <c r="AS91" s="598"/>
      <c r="AT91" s="404">
        <v>18</v>
      </c>
      <c r="AU91" s="405">
        <v>1269.9999999999977</v>
      </c>
      <c r="AV91" s="405">
        <v>70.555555555555429</v>
      </c>
      <c r="AW91" s="404">
        <f t="shared" si="67"/>
        <v>6</v>
      </c>
      <c r="AX91" s="534"/>
    </row>
    <row r="92" spans="2:50">
      <c r="B92" s="533"/>
      <c r="C92" s="404">
        <v>6</v>
      </c>
      <c r="D92" s="226" t="s">
        <v>391</v>
      </c>
      <c r="E92" s="182">
        <v>19</v>
      </c>
      <c r="F92" s="404">
        <v>1385</v>
      </c>
      <c r="G92" s="405">
        <v>72.900000000000006</v>
      </c>
      <c r="H92" s="598"/>
      <c r="I92" s="408">
        <f t="shared" si="69"/>
        <v>19</v>
      </c>
      <c r="J92" s="408">
        <f t="shared" si="69"/>
        <v>1224.7111055778562</v>
      </c>
      <c r="K92" s="406">
        <f t="shared" si="69"/>
        <v>64.458479240939795</v>
      </c>
      <c r="L92" s="588"/>
      <c r="M92" s="407">
        <f>RANK(K92, K$87:$K$101)</f>
        <v>9</v>
      </c>
      <c r="N92" s="544"/>
      <c r="O92" s="544"/>
      <c r="P92" s="404">
        <v>19</v>
      </c>
      <c r="Q92" s="405">
        <v>1216.8421052631588</v>
      </c>
      <c r="R92" s="405">
        <v>64.044321329639942</v>
      </c>
      <c r="S92" s="404">
        <f t="shared" si="70"/>
        <v>10</v>
      </c>
      <c r="T92" s="598"/>
      <c r="U92" s="404">
        <v>19</v>
      </c>
      <c r="V92" s="405">
        <v>1210.909090909091</v>
      </c>
      <c r="W92" s="405">
        <v>63.732057416267949</v>
      </c>
      <c r="X92" s="404">
        <f t="shared" si="57"/>
        <v>11</v>
      </c>
      <c r="Y92" s="598"/>
      <c r="Z92" s="404">
        <v>19</v>
      </c>
      <c r="AA92" s="405">
        <v>1243.4042553191491</v>
      </c>
      <c r="AB92" s="405">
        <v>65.44232922732364</v>
      </c>
      <c r="AC92" s="404">
        <f t="shared" si="59"/>
        <v>9</v>
      </c>
      <c r="AD92" s="598"/>
      <c r="AE92" s="404">
        <v>19</v>
      </c>
      <c r="AF92" s="405">
        <v>1222.8571428571424</v>
      </c>
      <c r="AG92" s="405">
        <v>64.360902255639076</v>
      </c>
      <c r="AH92" s="404">
        <f t="shared" si="61"/>
        <v>7</v>
      </c>
      <c r="AI92" s="598"/>
      <c r="AJ92" s="404">
        <v>19</v>
      </c>
      <c r="AK92" s="405">
        <v>1210.1123595505619</v>
      </c>
      <c r="AL92" s="405">
        <v>63.690124186871678</v>
      </c>
      <c r="AM92" s="404">
        <f t="shared" si="63"/>
        <v>9</v>
      </c>
      <c r="AN92" s="598"/>
      <c r="AO92" s="404">
        <v>19</v>
      </c>
      <c r="AP92" s="405">
        <v>1253.2758620689649</v>
      </c>
      <c r="AQ92" s="405">
        <v>65.961887477313937</v>
      </c>
      <c r="AR92" s="404">
        <f t="shared" si="65"/>
        <v>9</v>
      </c>
      <c r="AS92" s="598"/>
      <c r="AT92" s="404">
        <v>19</v>
      </c>
      <c r="AU92" s="405">
        <v>1215.5769230769238</v>
      </c>
      <c r="AV92" s="405">
        <v>63.977732793522307</v>
      </c>
      <c r="AW92" s="404">
        <f t="shared" si="67"/>
        <v>9</v>
      </c>
      <c r="AX92" s="534"/>
    </row>
    <row r="93" spans="2:50">
      <c r="B93" s="533"/>
      <c r="C93" s="404">
        <v>7</v>
      </c>
      <c r="D93" s="226" t="s">
        <v>392</v>
      </c>
      <c r="E93" s="182">
        <v>19</v>
      </c>
      <c r="F93" s="404">
        <v>1440</v>
      </c>
      <c r="G93" s="405">
        <v>75.8</v>
      </c>
      <c r="H93" s="598"/>
      <c r="I93" s="408">
        <f t="shared" si="69"/>
        <v>19</v>
      </c>
      <c r="J93" s="408">
        <f t="shared" si="69"/>
        <v>1281.0549432253827</v>
      </c>
      <c r="K93" s="406">
        <f t="shared" si="69"/>
        <v>67.423944380283302</v>
      </c>
      <c r="L93" s="588"/>
      <c r="M93" s="407">
        <f>RANK(K93, K$87:$K$101)</f>
        <v>7</v>
      </c>
      <c r="N93" s="544"/>
      <c r="O93" s="544"/>
      <c r="P93" s="404">
        <v>19</v>
      </c>
      <c r="Q93" s="405">
        <v>1283.5443037974678</v>
      </c>
      <c r="R93" s="405">
        <v>67.554963357761466</v>
      </c>
      <c r="S93" s="404">
        <f t="shared" si="70"/>
        <v>7</v>
      </c>
      <c r="T93" s="598"/>
      <c r="U93" s="404">
        <v>19</v>
      </c>
      <c r="V93" s="405">
        <v>1282.6415094339629</v>
      </c>
      <c r="W93" s="405">
        <v>67.507447864945419</v>
      </c>
      <c r="X93" s="404">
        <f t="shared" si="57"/>
        <v>8</v>
      </c>
      <c r="Y93" s="598"/>
      <c r="Z93" s="404">
        <v>19</v>
      </c>
      <c r="AA93" s="405">
        <v>1284.0000000000011</v>
      </c>
      <c r="AB93" s="405">
        <v>67.578947368421112</v>
      </c>
      <c r="AC93" s="404">
        <f t="shared" si="59"/>
        <v>7</v>
      </c>
      <c r="AD93" s="598"/>
      <c r="AE93" s="404">
        <v>19</v>
      </c>
      <c r="AF93" s="405">
        <v>1284.6428571428582</v>
      </c>
      <c r="AG93" s="405">
        <v>67.612781954887282</v>
      </c>
      <c r="AH93" s="404">
        <f t="shared" si="61"/>
        <v>6</v>
      </c>
      <c r="AI93" s="598"/>
      <c r="AJ93" s="404">
        <v>19</v>
      </c>
      <c r="AK93" s="405">
        <v>1281.3559322033909</v>
      </c>
      <c r="AL93" s="405">
        <v>67.439785905441624</v>
      </c>
      <c r="AM93" s="404">
        <f t="shared" si="63"/>
        <v>6</v>
      </c>
      <c r="AN93" s="598"/>
      <c r="AO93" s="404">
        <v>19</v>
      </c>
      <c r="AP93" s="405">
        <v>1291.1999999999991</v>
      </c>
      <c r="AQ93" s="405">
        <v>67.957894736842064</v>
      </c>
      <c r="AR93" s="404">
        <f t="shared" si="65"/>
        <v>8</v>
      </c>
      <c r="AS93" s="598"/>
      <c r="AT93" s="404">
        <v>19</v>
      </c>
      <c r="AU93" s="405">
        <v>1259.9999999999986</v>
      </c>
      <c r="AV93" s="405">
        <v>66.315789473684134</v>
      </c>
      <c r="AW93" s="404">
        <f t="shared" si="67"/>
        <v>8</v>
      </c>
      <c r="AX93" s="534"/>
    </row>
    <row r="94" spans="2:50">
      <c r="B94" s="533"/>
      <c r="C94" s="404">
        <v>8</v>
      </c>
      <c r="D94" s="226" t="s">
        <v>504</v>
      </c>
      <c r="E94" s="182">
        <v>17</v>
      </c>
      <c r="F94" s="404">
        <v>1385</v>
      </c>
      <c r="G94" s="405">
        <v>81.400000000000006</v>
      </c>
      <c r="H94" s="598"/>
      <c r="I94" s="408">
        <f t="shared" si="69"/>
        <v>17</v>
      </c>
      <c r="J94" s="408">
        <f t="shared" si="69"/>
        <v>1221.1285718300694</v>
      </c>
      <c r="K94" s="406">
        <f t="shared" si="69"/>
        <v>71.831092460592316</v>
      </c>
      <c r="L94" s="588"/>
      <c r="M94" s="407">
        <f>RANK(K94, K$87:$K$101)</f>
        <v>4</v>
      </c>
      <c r="N94" s="544"/>
      <c r="O94" s="544"/>
      <c r="P94" s="404">
        <v>17</v>
      </c>
      <c r="Q94" s="405">
        <v>1231.9999999999991</v>
      </c>
      <c r="R94" s="405">
        <v>72.470588235294059</v>
      </c>
      <c r="S94" s="404">
        <f t="shared" si="70"/>
        <v>4</v>
      </c>
      <c r="T94" s="598"/>
      <c r="U94" s="404">
        <v>17</v>
      </c>
      <c r="V94" s="405">
        <v>1220.5714285714275</v>
      </c>
      <c r="W94" s="405">
        <v>71.798319327731036</v>
      </c>
      <c r="X94" s="404">
        <f t="shared" si="57"/>
        <v>4</v>
      </c>
      <c r="Y94" s="598"/>
      <c r="Z94" s="404">
        <v>17</v>
      </c>
      <c r="AA94" s="405">
        <v>1225.2173913043466</v>
      </c>
      <c r="AB94" s="405">
        <v>72.071611253196863</v>
      </c>
      <c r="AC94" s="404">
        <f t="shared" si="59"/>
        <v>4</v>
      </c>
      <c r="AD94" s="598"/>
      <c r="AE94" s="404">
        <v>17</v>
      </c>
      <c r="AF94" s="405">
        <v>1220.3076923076937</v>
      </c>
      <c r="AG94" s="405">
        <v>71.782805429864339</v>
      </c>
      <c r="AH94" s="404">
        <f t="shared" si="61"/>
        <v>5</v>
      </c>
      <c r="AI94" s="598"/>
      <c r="AJ94" s="404">
        <v>17</v>
      </c>
      <c r="AK94" s="405">
        <v>1217.1428571428557</v>
      </c>
      <c r="AL94" s="405">
        <v>71.596638655462101</v>
      </c>
      <c r="AM94" s="404">
        <f t="shared" si="63"/>
        <v>4</v>
      </c>
      <c r="AN94" s="598"/>
      <c r="AO94" s="404">
        <v>17</v>
      </c>
      <c r="AP94" s="405">
        <v>1230.3529411764705</v>
      </c>
      <c r="AQ94" s="405">
        <v>72.373702422145328</v>
      </c>
      <c r="AR94" s="404">
        <f t="shared" si="65"/>
        <v>4</v>
      </c>
      <c r="AS94" s="598"/>
      <c r="AT94" s="404">
        <v>17</v>
      </c>
      <c r="AU94" s="405">
        <v>1202.3076923076915</v>
      </c>
      <c r="AV94" s="405">
        <v>70.723981900452443</v>
      </c>
      <c r="AW94" s="404">
        <f t="shared" si="67"/>
        <v>5</v>
      </c>
      <c r="AX94" s="534"/>
    </row>
    <row r="95" spans="2:50">
      <c r="B95" s="533"/>
      <c r="C95" s="404">
        <v>9</v>
      </c>
      <c r="D95" s="226" t="s">
        <v>507</v>
      </c>
      <c r="E95" s="182">
        <v>19</v>
      </c>
      <c r="F95" s="404">
        <v>1385</v>
      </c>
      <c r="G95" s="405">
        <v>72.900000000000006</v>
      </c>
      <c r="H95" s="598"/>
      <c r="I95" s="408">
        <f t="shared" si="69"/>
        <v>19</v>
      </c>
      <c r="J95" s="408">
        <f t="shared" si="69"/>
        <v>1220.3744658760354</v>
      </c>
      <c r="K95" s="406">
        <f t="shared" si="69"/>
        <v>64.230235046107126</v>
      </c>
      <c r="L95" s="588"/>
      <c r="M95" s="407">
        <f>RANK(K95, K$87:$K$101)</f>
        <v>10</v>
      </c>
      <c r="N95" s="544"/>
      <c r="O95" s="544"/>
      <c r="P95" s="404">
        <v>19</v>
      </c>
      <c r="Q95" s="405">
        <v>1205.4545454545455</v>
      </c>
      <c r="R95" s="405">
        <v>63.444976076555029</v>
      </c>
      <c r="S95" s="404">
        <f t="shared" si="70"/>
        <v>11</v>
      </c>
      <c r="T95" s="598"/>
      <c r="U95" s="404">
        <v>19</v>
      </c>
      <c r="V95" s="405">
        <v>1252.1052631578939</v>
      </c>
      <c r="W95" s="405">
        <v>65.900277008310198</v>
      </c>
      <c r="X95" s="404">
        <f t="shared" si="57"/>
        <v>9</v>
      </c>
      <c r="Y95" s="598"/>
      <c r="Z95" s="404">
        <v>19</v>
      </c>
      <c r="AA95" s="405">
        <v>1219.5348837209301</v>
      </c>
      <c r="AB95" s="405">
        <v>64.186046511627907</v>
      </c>
      <c r="AC95" s="404">
        <f t="shared" si="59"/>
        <v>10</v>
      </c>
      <c r="AD95" s="598"/>
      <c r="AE95" s="404">
        <v>19</v>
      </c>
      <c r="AF95" s="405">
        <v>1214.5945945945937</v>
      </c>
      <c r="AG95" s="405">
        <v>63.926031294452301</v>
      </c>
      <c r="AH95" s="404">
        <f t="shared" si="61"/>
        <v>8</v>
      </c>
      <c r="AI95" s="598"/>
      <c r="AJ95" s="404">
        <v>19</v>
      </c>
      <c r="AK95" s="405">
        <v>1242.6315789473674</v>
      </c>
      <c r="AL95" s="405">
        <v>65.401662049861443</v>
      </c>
      <c r="AM95" s="404">
        <f t="shared" si="63"/>
        <v>7</v>
      </c>
      <c r="AN95" s="598"/>
      <c r="AO95" s="404">
        <v>19</v>
      </c>
      <c r="AP95" s="405">
        <v>1197.391304347826</v>
      </c>
      <c r="AQ95" s="405">
        <v>63.020594965675052</v>
      </c>
      <c r="AR95" s="404">
        <f t="shared" si="65"/>
        <v>10</v>
      </c>
      <c r="AS95" s="598"/>
      <c r="AT95" s="404">
        <v>19</v>
      </c>
      <c r="AU95" s="405">
        <v>1210.909090909091</v>
      </c>
      <c r="AV95" s="405">
        <v>63.732057416267949</v>
      </c>
      <c r="AW95" s="404">
        <f t="shared" si="67"/>
        <v>11</v>
      </c>
      <c r="AX95" s="534"/>
    </row>
    <row r="96" spans="2:50">
      <c r="B96" s="533"/>
      <c r="C96" s="404">
        <v>10</v>
      </c>
      <c r="D96" s="226" t="s">
        <v>581</v>
      </c>
      <c r="E96" s="182">
        <v>16</v>
      </c>
      <c r="F96" s="404">
        <v>1440</v>
      </c>
      <c r="G96" s="405">
        <v>90</v>
      </c>
      <c r="H96" s="598"/>
      <c r="I96" s="408">
        <f t="shared" si="69"/>
        <v>16</v>
      </c>
      <c r="J96" s="408">
        <f t="shared" si="69"/>
        <v>1275.9119183217886</v>
      </c>
      <c r="K96" s="406">
        <f t="shared" si="69"/>
        <v>79.744494895111785</v>
      </c>
      <c r="L96" s="588"/>
      <c r="M96" s="407">
        <f>RANK(K96, K$87:$K$101)</f>
        <v>1</v>
      </c>
      <c r="N96" s="544"/>
      <c r="O96" s="544"/>
      <c r="P96" s="404">
        <v>16</v>
      </c>
      <c r="Q96" s="405">
        <v>1281.5999999999997</v>
      </c>
      <c r="R96" s="405">
        <v>80.09999999999998</v>
      </c>
      <c r="S96" s="404">
        <f t="shared" si="70"/>
        <v>2</v>
      </c>
      <c r="T96" s="598"/>
      <c r="U96" s="404">
        <v>16</v>
      </c>
      <c r="V96" s="405">
        <v>1280.412371134021</v>
      </c>
      <c r="W96" s="405">
        <v>80.025773195876312</v>
      </c>
      <c r="X96" s="404">
        <f t="shared" si="57"/>
        <v>1</v>
      </c>
      <c r="Y96" s="598"/>
      <c r="Z96" s="404">
        <v>16</v>
      </c>
      <c r="AA96" s="405">
        <v>1282.4347826086964</v>
      </c>
      <c r="AB96" s="405">
        <v>80.152173913043526</v>
      </c>
      <c r="AC96" s="404">
        <f t="shared" si="59"/>
        <v>2</v>
      </c>
      <c r="AD96" s="598"/>
      <c r="AE96" s="404">
        <v>16</v>
      </c>
      <c r="AF96" s="405">
        <v>1273.3928571428582</v>
      </c>
      <c r="AG96" s="405">
        <v>79.58705357142864</v>
      </c>
      <c r="AH96" s="404">
        <f t="shared" si="61"/>
        <v>1</v>
      </c>
      <c r="AI96" s="598"/>
      <c r="AJ96" s="404">
        <v>16</v>
      </c>
      <c r="AK96" s="405">
        <v>1267.5630252100834</v>
      </c>
      <c r="AL96" s="405">
        <v>79.222689075630214</v>
      </c>
      <c r="AM96" s="404">
        <f t="shared" si="63"/>
        <v>1</v>
      </c>
      <c r="AN96" s="598"/>
      <c r="AO96" s="404">
        <v>16</v>
      </c>
      <c r="AP96" s="405">
        <v>1262.6470588235293</v>
      </c>
      <c r="AQ96" s="405">
        <v>78.91544117647058</v>
      </c>
      <c r="AR96" s="404">
        <f t="shared" si="65"/>
        <v>1</v>
      </c>
      <c r="AS96" s="598"/>
      <c r="AT96" s="404">
        <v>16</v>
      </c>
      <c r="AU96" s="405">
        <v>1283.333333333333</v>
      </c>
      <c r="AV96" s="405">
        <v>80.208333333333314</v>
      </c>
      <c r="AW96" s="404">
        <f t="shared" si="67"/>
        <v>2</v>
      </c>
      <c r="AX96" s="534"/>
    </row>
    <row r="97" spans="2:50">
      <c r="B97" s="533"/>
      <c r="C97" s="404">
        <v>11</v>
      </c>
      <c r="D97" s="226" t="s">
        <v>625</v>
      </c>
      <c r="E97" s="182">
        <v>16</v>
      </c>
      <c r="F97" s="404">
        <v>1440</v>
      </c>
      <c r="G97" s="405">
        <v>90</v>
      </c>
      <c r="H97" s="598"/>
      <c r="I97" s="408">
        <f t="shared" si="69"/>
        <v>17</v>
      </c>
      <c r="J97" s="408">
        <f t="shared" si="69"/>
        <v>1091.4120572366878</v>
      </c>
      <c r="K97" s="406">
        <f t="shared" si="69"/>
        <v>64.200709249216942</v>
      </c>
      <c r="L97" s="588"/>
      <c r="M97" s="407">
        <f>RANK(K97, K$87:$K$101)</f>
        <v>11</v>
      </c>
      <c r="N97" s="544"/>
      <c r="O97" s="544"/>
      <c r="P97" s="404">
        <v>17</v>
      </c>
      <c r="Q97" s="405">
        <v>1090.7142857142833</v>
      </c>
      <c r="R97" s="405">
        <v>64.159663865546079</v>
      </c>
      <c r="S97" s="404">
        <f t="shared" si="70"/>
        <v>9</v>
      </c>
      <c r="T97" s="598"/>
      <c r="U97" s="404">
        <v>17</v>
      </c>
      <c r="V97" s="405">
        <v>1110.0000000000039</v>
      </c>
      <c r="W97" s="405">
        <v>65.294117647059053</v>
      </c>
      <c r="X97" s="404">
        <f t="shared" si="57"/>
        <v>10</v>
      </c>
      <c r="Y97" s="598"/>
      <c r="Z97" s="404">
        <v>17</v>
      </c>
      <c r="AA97" s="405">
        <v>1113.1034482758598</v>
      </c>
      <c r="AB97" s="405">
        <v>65.476673427991756</v>
      </c>
      <c r="AC97" s="404">
        <f t="shared" si="59"/>
        <v>8</v>
      </c>
      <c r="AD97" s="598"/>
      <c r="AE97" s="404">
        <v>17</v>
      </c>
      <c r="AF97" s="405">
        <v>1080.0000000000039</v>
      </c>
      <c r="AG97" s="405">
        <v>63.529411764706111</v>
      </c>
      <c r="AH97" s="404">
        <f t="shared" si="61"/>
        <v>9</v>
      </c>
      <c r="AI97" s="598"/>
      <c r="AJ97" s="404">
        <v>17</v>
      </c>
      <c r="AK97" s="405">
        <v>1089.0000000000039</v>
      </c>
      <c r="AL97" s="405">
        <v>64.058823529411995</v>
      </c>
      <c r="AM97" s="404">
        <f t="shared" si="63"/>
        <v>8</v>
      </c>
      <c r="AN97" s="598"/>
      <c r="AO97" s="404">
        <v>17</v>
      </c>
      <c r="AP97" s="405">
        <v>1070.3999999999969</v>
      </c>
      <c r="AQ97" s="405">
        <v>62.96470588235276</v>
      </c>
      <c r="AR97" s="404">
        <f t="shared" si="65"/>
        <v>11</v>
      </c>
      <c r="AS97" s="598"/>
      <c r="AT97" s="404">
        <v>17</v>
      </c>
      <c r="AU97" s="405">
        <v>1086.666666666664</v>
      </c>
      <c r="AV97" s="405">
        <v>63.921568627450824</v>
      </c>
      <c r="AW97" s="404">
        <f t="shared" si="67"/>
        <v>10</v>
      </c>
      <c r="AX97" s="534"/>
    </row>
    <row r="98" spans="2:50">
      <c r="B98" s="533"/>
      <c r="C98" s="404">
        <v>12</v>
      </c>
      <c r="D98" s="226"/>
      <c r="E98" s="182"/>
      <c r="F98" s="404"/>
      <c r="G98" s="405"/>
      <c r="H98" s="598"/>
      <c r="I98" s="408"/>
      <c r="J98" s="408"/>
      <c r="K98" s="406"/>
      <c r="L98" s="588"/>
      <c r="M98" s="407" t="e">
        <f>RANK(K98, K$87:$K$101)</f>
        <v>#N/A</v>
      </c>
      <c r="N98" s="544"/>
      <c r="O98" s="544"/>
      <c r="P98" s="404"/>
      <c r="Q98" s="405"/>
      <c r="R98" s="405"/>
      <c r="S98" s="404" t="e">
        <f t="shared" si="70"/>
        <v>#N/A</v>
      </c>
      <c r="T98" s="598"/>
      <c r="U98" s="404"/>
      <c r="V98" s="405"/>
      <c r="W98" s="405"/>
      <c r="X98" s="404" t="e">
        <f t="shared" si="57"/>
        <v>#N/A</v>
      </c>
      <c r="Y98" s="598"/>
      <c r="Z98" s="404"/>
      <c r="AA98" s="405"/>
      <c r="AB98" s="405"/>
      <c r="AC98" s="404" t="e">
        <f t="shared" si="59"/>
        <v>#N/A</v>
      </c>
      <c r="AD98" s="598"/>
      <c r="AE98" s="404"/>
      <c r="AF98" s="405"/>
      <c r="AG98" s="405"/>
      <c r="AH98" s="404" t="e">
        <f t="shared" si="61"/>
        <v>#N/A</v>
      </c>
      <c r="AI98" s="598"/>
      <c r="AJ98" s="404"/>
      <c r="AK98" s="405"/>
      <c r="AL98" s="405"/>
      <c r="AM98" s="404" t="e">
        <f t="shared" si="63"/>
        <v>#N/A</v>
      </c>
      <c r="AN98" s="598"/>
      <c r="AO98" s="404"/>
      <c r="AP98" s="405"/>
      <c r="AQ98" s="405"/>
      <c r="AR98" s="404" t="e">
        <f t="shared" si="65"/>
        <v>#N/A</v>
      </c>
      <c r="AS98" s="598"/>
      <c r="AT98" s="404"/>
      <c r="AU98" s="405"/>
      <c r="AV98" s="405"/>
      <c r="AW98" s="404" t="e">
        <f t="shared" si="67"/>
        <v>#N/A</v>
      </c>
      <c r="AX98" s="534"/>
    </row>
    <row r="99" spans="2:50">
      <c r="B99" s="533"/>
      <c r="C99" s="404">
        <v>13</v>
      </c>
      <c r="D99" s="226"/>
      <c r="E99" s="182"/>
      <c r="F99" s="404"/>
      <c r="G99" s="405"/>
      <c r="H99" s="598"/>
      <c r="I99" s="202"/>
      <c r="J99" s="202"/>
      <c r="K99" s="202"/>
      <c r="L99" s="588"/>
      <c r="M99" s="407" t="e">
        <f>RANK(K99, K$87:$K$101)</f>
        <v>#N/A</v>
      </c>
      <c r="N99" s="544"/>
      <c r="O99" s="544"/>
      <c r="P99" s="404"/>
      <c r="Q99" s="405"/>
      <c r="R99" s="405"/>
      <c r="S99" s="404" t="e">
        <f t="shared" si="70"/>
        <v>#N/A</v>
      </c>
      <c r="T99" s="598"/>
      <c r="U99" s="404"/>
      <c r="V99" s="405"/>
      <c r="W99" s="405"/>
      <c r="X99" s="404" t="e">
        <f t="shared" si="57"/>
        <v>#N/A</v>
      </c>
      <c r="Y99" s="598"/>
      <c r="Z99" s="404"/>
      <c r="AA99" s="405"/>
      <c r="AB99" s="405"/>
      <c r="AC99" s="404" t="e">
        <f t="shared" si="59"/>
        <v>#N/A</v>
      </c>
      <c r="AD99" s="598"/>
      <c r="AE99" s="404"/>
      <c r="AF99" s="405"/>
      <c r="AG99" s="405"/>
      <c r="AH99" s="404" t="e">
        <f t="shared" si="61"/>
        <v>#N/A</v>
      </c>
      <c r="AI99" s="598"/>
      <c r="AJ99" s="404"/>
      <c r="AK99" s="405"/>
      <c r="AL99" s="405"/>
      <c r="AM99" s="404" t="e">
        <f t="shared" si="63"/>
        <v>#N/A</v>
      </c>
      <c r="AN99" s="598"/>
      <c r="AO99" s="404"/>
      <c r="AP99" s="405"/>
      <c r="AQ99" s="405"/>
      <c r="AR99" s="404" t="e">
        <f t="shared" si="65"/>
        <v>#N/A</v>
      </c>
      <c r="AS99" s="598"/>
      <c r="AT99" s="404"/>
      <c r="AU99" s="405"/>
      <c r="AV99" s="405"/>
      <c r="AW99" s="404" t="e">
        <f t="shared" si="67"/>
        <v>#N/A</v>
      </c>
      <c r="AX99" s="534"/>
    </row>
    <row r="100" spans="2:50">
      <c r="B100" s="533"/>
      <c r="C100" s="404">
        <v>14</v>
      </c>
      <c r="D100" s="226"/>
      <c r="E100" s="182"/>
      <c r="F100" s="404"/>
      <c r="G100" s="405"/>
      <c r="H100" s="598"/>
      <c r="I100" s="202"/>
      <c r="J100" s="202"/>
      <c r="K100" s="202"/>
      <c r="L100" s="588"/>
      <c r="M100" s="407" t="e">
        <f>RANK(K100, K$87:$K$101)</f>
        <v>#N/A</v>
      </c>
      <c r="N100" s="544"/>
      <c r="O100" s="544"/>
      <c r="P100" s="404"/>
      <c r="Q100" s="405"/>
      <c r="R100" s="405"/>
      <c r="S100" s="404" t="e">
        <f t="shared" si="70"/>
        <v>#N/A</v>
      </c>
      <c r="T100" s="598"/>
      <c r="U100" s="404"/>
      <c r="V100" s="405"/>
      <c r="W100" s="405"/>
      <c r="X100" s="404" t="e">
        <f t="shared" si="57"/>
        <v>#N/A</v>
      </c>
      <c r="Y100" s="598"/>
      <c r="Z100" s="404"/>
      <c r="AA100" s="405"/>
      <c r="AB100" s="405"/>
      <c r="AC100" s="404" t="e">
        <f t="shared" si="59"/>
        <v>#N/A</v>
      </c>
      <c r="AD100" s="598"/>
      <c r="AE100" s="404"/>
      <c r="AF100" s="405"/>
      <c r="AG100" s="405"/>
      <c r="AH100" s="404" t="e">
        <f t="shared" si="61"/>
        <v>#N/A</v>
      </c>
      <c r="AI100" s="598"/>
      <c r="AJ100" s="404"/>
      <c r="AK100" s="405"/>
      <c r="AL100" s="405"/>
      <c r="AM100" s="404" t="e">
        <f t="shared" si="63"/>
        <v>#N/A</v>
      </c>
      <c r="AN100" s="598"/>
      <c r="AO100" s="404"/>
      <c r="AP100" s="405"/>
      <c r="AQ100" s="405"/>
      <c r="AR100" s="404" t="e">
        <f t="shared" si="65"/>
        <v>#N/A</v>
      </c>
      <c r="AS100" s="598"/>
      <c r="AT100" s="404"/>
      <c r="AU100" s="405"/>
      <c r="AV100" s="405"/>
      <c r="AW100" s="404" t="e">
        <f t="shared" si="67"/>
        <v>#N/A</v>
      </c>
      <c r="AX100" s="534"/>
    </row>
    <row r="101" spans="2:50">
      <c r="B101" s="533"/>
      <c r="C101" s="404">
        <v>15</v>
      </c>
      <c r="D101" s="226"/>
      <c r="E101" s="182"/>
      <c r="F101" s="404"/>
      <c r="G101" s="405"/>
      <c r="H101" s="599"/>
      <c r="I101" s="202"/>
      <c r="J101" s="202"/>
      <c r="K101" s="202"/>
      <c r="L101" s="589"/>
      <c r="M101" s="408" t="e">
        <f>RANK(K101, K$87:$K$101)</f>
        <v>#N/A</v>
      </c>
      <c r="N101" s="544"/>
      <c r="O101" s="544"/>
      <c r="P101" s="404"/>
      <c r="Q101" s="405"/>
      <c r="R101" s="405"/>
      <c r="S101" s="404" t="e">
        <f t="shared" si="70"/>
        <v>#N/A</v>
      </c>
      <c r="T101" s="599"/>
      <c r="U101" s="404"/>
      <c r="V101" s="405"/>
      <c r="W101" s="405"/>
      <c r="X101" s="404" t="e">
        <f t="shared" si="57"/>
        <v>#N/A</v>
      </c>
      <c r="Y101" s="599"/>
      <c r="Z101" s="404"/>
      <c r="AA101" s="405"/>
      <c r="AB101" s="405"/>
      <c r="AC101" s="404" t="e">
        <f t="shared" si="59"/>
        <v>#N/A</v>
      </c>
      <c r="AD101" s="599"/>
      <c r="AE101" s="404"/>
      <c r="AF101" s="405"/>
      <c r="AG101" s="405"/>
      <c r="AH101" s="404" t="e">
        <f t="shared" si="61"/>
        <v>#N/A</v>
      </c>
      <c r="AI101" s="599"/>
      <c r="AJ101" s="404"/>
      <c r="AK101" s="405"/>
      <c r="AL101" s="405"/>
      <c r="AM101" s="404" t="e">
        <f t="shared" si="63"/>
        <v>#N/A</v>
      </c>
      <c r="AN101" s="599"/>
      <c r="AO101" s="404"/>
      <c r="AP101" s="405"/>
      <c r="AQ101" s="405"/>
      <c r="AR101" s="404" t="e">
        <f t="shared" si="65"/>
        <v>#N/A</v>
      </c>
      <c r="AS101" s="599"/>
      <c r="AT101" s="404"/>
      <c r="AU101" s="405"/>
      <c r="AV101" s="405"/>
      <c r="AW101" s="404" t="e">
        <f t="shared" si="67"/>
        <v>#N/A</v>
      </c>
      <c r="AX101" s="534"/>
    </row>
    <row r="102" spans="2:50" ht="15.5">
      <c r="B102" s="555" t="s">
        <v>163</v>
      </c>
      <c r="C102" s="556"/>
      <c r="D102" s="556"/>
      <c r="E102" s="556"/>
      <c r="F102" s="556"/>
      <c r="G102" s="556"/>
      <c r="H102" s="557"/>
      <c r="I102" s="208"/>
      <c r="J102" s="208"/>
      <c r="K102" s="208"/>
      <c r="L102" s="208"/>
      <c r="M102" s="207"/>
      <c r="N102" s="559" t="s">
        <v>156</v>
      </c>
      <c r="O102" s="559" t="s">
        <v>105</v>
      </c>
      <c r="P102" s="554">
        <f>P82+7</f>
        <v>46021</v>
      </c>
      <c r="Q102" s="533"/>
      <c r="R102" s="533"/>
      <c r="S102" s="533"/>
      <c r="T102" s="533"/>
      <c r="U102" s="551">
        <f>P102+1</f>
        <v>46022</v>
      </c>
      <c r="V102" s="552"/>
      <c r="W102" s="552"/>
      <c r="X102" s="552"/>
      <c r="Y102" s="553"/>
      <c r="Z102" s="551">
        <f>U102+1</f>
        <v>46023</v>
      </c>
      <c r="AA102" s="552"/>
      <c r="AB102" s="552"/>
      <c r="AC102" s="552"/>
      <c r="AD102" s="553"/>
      <c r="AE102" s="551">
        <f>Z102+1</f>
        <v>46024</v>
      </c>
      <c r="AF102" s="552"/>
      <c r="AG102" s="552"/>
      <c r="AH102" s="552"/>
      <c r="AI102" s="553"/>
      <c r="AJ102" s="551">
        <f>AE102+1</f>
        <v>46025</v>
      </c>
      <c r="AK102" s="552"/>
      <c r="AL102" s="552"/>
      <c r="AM102" s="552"/>
      <c r="AN102" s="553"/>
      <c r="AO102" s="551">
        <f>AJ102+1</f>
        <v>46026</v>
      </c>
      <c r="AP102" s="552"/>
      <c r="AQ102" s="552"/>
      <c r="AR102" s="552"/>
      <c r="AS102" s="553"/>
      <c r="AT102" s="551">
        <f>AO102+1</f>
        <v>46027</v>
      </c>
      <c r="AU102" s="552"/>
      <c r="AV102" s="552"/>
      <c r="AW102" s="552"/>
      <c r="AX102" s="553"/>
    </row>
    <row r="103" spans="2:50" ht="15.5">
      <c r="B103" s="558"/>
      <c r="C103" s="558"/>
      <c r="D103" s="558"/>
      <c r="E103" s="558"/>
      <c r="F103" s="558"/>
      <c r="G103" s="558"/>
      <c r="H103" s="558"/>
      <c r="I103" s="205"/>
      <c r="J103" s="205"/>
      <c r="K103" s="205"/>
      <c r="L103" s="205"/>
      <c r="M103" s="206"/>
      <c r="N103" s="560"/>
      <c r="O103" s="560"/>
      <c r="P103" s="554" t="s">
        <v>158</v>
      </c>
      <c r="Q103" s="533"/>
      <c r="R103" s="533"/>
      <c r="S103" s="533"/>
      <c r="T103" s="533"/>
      <c r="U103" s="554" t="s">
        <v>114</v>
      </c>
      <c r="V103" s="533"/>
      <c r="W103" s="533"/>
      <c r="X103" s="533"/>
      <c r="Y103" s="533"/>
      <c r="Z103" s="554" t="s">
        <v>159</v>
      </c>
      <c r="AA103" s="533"/>
      <c r="AB103" s="533"/>
      <c r="AC103" s="533"/>
      <c r="AD103" s="533"/>
      <c r="AE103" s="554" t="s">
        <v>157</v>
      </c>
      <c r="AF103" s="533"/>
      <c r="AG103" s="533"/>
      <c r="AH103" s="533"/>
      <c r="AI103" s="533"/>
      <c r="AJ103" s="554" t="s">
        <v>160</v>
      </c>
      <c r="AK103" s="533"/>
      <c r="AL103" s="533"/>
      <c r="AM103" s="533"/>
      <c r="AN103" s="533"/>
      <c r="AO103" s="554" t="s">
        <v>115</v>
      </c>
      <c r="AP103" s="533"/>
      <c r="AQ103" s="533"/>
      <c r="AR103" s="533"/>
      <c r="AS103" s="533"/>
      <c r="AT103" s="554" t="s">
        <v>162</v>
      </c>
      <c r="AU103" s="533"/>
      <c r="AV103" s="533"/>
      <c r="AW103" s="533"/>
      <c r="AX103" s="533"/>
    </row>
    <row r="104" spans="2:50">
      <c r="B104" s="544" t="s">
        <v>886</v>
      </c>
      <c r="C104" s="544" t="s">
        <v>887</v>
      </c>
      <c r="D104" s="544"/>
      <c r="E104" s="544" t="s">
        <v>888</v>
      </c>
      <c r="F104" s="544"/>
      <c r="G104" s="544"/>
      <c r="H104" s="561" t="s">
        <v>889</v>
      </c>
      <c r="I104" s="544" t="s">
        <v>890</v>
      </c>
      <c r="J104" s="544"/>
      <c r="K104" s="544"/>
      <c r="L104" s="561" t="s">
        <v>889</v>
      </c>
      <c r="M104" s="559" t="s">
        <v>891</v>
      </c>
      <c r="N104" s="544"/>
      <c r="O104" s="544" t="s">
        <v>892</v>
      </c>
      <c r="P104" s="548" t="s">
        <v>893</v>
      </c>
      <c r="Q104" s="549"/>
      <c r="R104" s="549"/>
      <c r="S104" s="550"/>
      <c r="T104" s="544" t="s">
        <v>889</v>
      </c>
      <c r="U104" s="548" t="s">
        <v>893</v>
      </c>
      <c r="V104" s="549"/>
      <c r="W104" s="549"/>
      <c r="X104" s="550"/>
      <c r="Y104" s="544" t="s">
        <v>889</v>
      </c>
      <c r="Z104" s="548" t="s">
        <v>423</v>
      </c>
      <c r="AA104" s="549"/>
      <c r="AB104" s="549"/>
      <c r="AC104" s="550"/>
      <c r="AD104" s="544" t="s">
        <v>421</v>
      </c>
      <c r="AE104" s="548" t="s">
        <v>423</v>
      </c>
      <c r="AF104" s="549"/>
      <c r="AG104" s="549"/>
      <c r="AH104" s="550"/>
      <c r="AI104" s="544" t="s">
        <v>421</v>
      </c>
      <c r="AJ104" s="548" t="s">
        <v>423</v>
      </c>
      <c r="AK104" s="549"/>
      <c r="AL104" s="549"/>
      <c r="AM104" s="550"/>
      <c r="AN104" s="544" t="s">
        <v>421</v>
      </c>
      <c r="AO104" s="548" t="s">
        <v>423</v>
      </c>
      <c r="AP104" s="549"/>
      <c r="AQ104" s="549"/>
      <c r="AR104" s="550"/>
      <c r="AS104" s="544" t="s">
        <v>421</v>
      </c>
      <c r="AT104" s="548" t="s">
        <v>423</v>
      </c>
      <c r="AU104" s="549"/>
      <c r="AV104" s="549"/>
      <c r="AW104" s="550"/>
      <c r="AX104" s="544" t="s">
        <v>421</v>
      </c>
    </row>
    <row r="105" spans="2:50">
      <c r="B105" s="544"/>
      <c r="C105" s="544"/>
      <c r="D105" s="544"/>
      <c r="E105" s="544" t="s">
        <v>894</v>
      </c>
      <c r="F105" s="544"/>
      <c r="G105" s="544"/>
      <c r="H105" s="562"/>
      <c r="I105" s="544" t="s">
        <v>894</v>
      </c>
      <c r="J105" s="544"/>
      <c r="K105" s="544"/>
      <c r="L105" s="562"/>
      <c r="M105" s="564"/>
      <c r="N105" s="544"/>
      <c r="O105" s="544"/>
      <c r="P105" s="548" t="s">
        <v>895</v>
      </c>
      <c r="Q105" s="549"/>
      <c r="R105" s="549"/>
      <c r="S105" s="550"/>
      <c r="T105" s="544"/>
      <c r="U105" s="548" t="s">
        <v>895</v>
      </c>
      <c r="V105" s="549"/>
      <c r="W105" s="549"/>
      <c r="X105" s="550"/>
      <c r="Y105" s="544"/>
      <c r="Z105" s="548" t="s">
        <v>429</v>
      </c>
      <c r="AA105" s="549"/>
      <c r="AB105" s="549"/>
      <c r="AC105" s="550"/>
      <c r="AD105" s="544"/>
      <c r="AE105" s="548" t="s">
        <v>429</v>
      </c>
      <c r="AF105" s="549"/>
      <c r="AG105" s="549"/>
      <c r="AH105" s="550"/>
      <c r="AI105" s="544"/>
      <c r="AJ105" s="548" t="s">
        <v>429</v>
      </c>
      <c r="AK105" s="549"/>
      <c r="AL105" s="549"/>
      <c r="AM105" s="550"/>
      <c r="AN105" s="544"/>
      <c r="AO105" s="548" t="s">
        <v>429</v>
      </c>
      <c r="AP105" s="549"/>
      <c r="AQ105" s="549"/>
      <c r="AR105" s="550"/>
      <c r="AS105" s="544"/>
      <c r="AT105" s="548" t="s">
        <v>429</v>
      </c>
      <c r="AU105" s="549"/>
      <c r="AV105" s="549"/>
      <c r="AW105" s="550"/>
      <c r="AX105" s="544"/>
    </row>
    <row r="106" spans="2:50">
      <c r="B106" s="544"/>
      <c r="C106" s="544"/>
      <c r="D106" s="544"/>
      <c r="E106" s="426" t="s">
        <v>896</v>
      </c>
      <c r="F106" s="426" t="s">
        <v>897</v>
      </c>
      <c r="G106" s="426" t="s">
        <v>898</v>
      </c>
      <c r="H106" s="563"/>
      <c r="I106" s="426" t="s">
        <v>896</v>
      </c>
      <c r="J106" s="426" t="s">
        <v>897</v>
      </c>
      <c r="K106" s="426" t="s">
        <v>898</v>
      </c>
      <c r="L106" s="563"/>
      <c r="M106" s="560"/>
      <c r="N106" s="544"/>
      <c r="O106" s="544"/>
      <c r="P106" s="426" t="s">
        <v>896</v>
      </c>
      <c r="Q106" s="426" t="s">
        <v>897</v>
      </c>
      <c r="R106" s="426" t="s">
        <v>898</v>
      </c>
      <c r="S106" s="426" t="s">
        <v>891</v>
      </c>
      <c r="T106" s="544"/>
      <c r="U106" s="426" t="s">
        <v>896</v>
      </c>
      <c r="V106" s="426" t="s">
        <v>897</v>
      </c>
      <c r="W106" s="426" t="s">
        <v>898</v>
      </c>
      <c r="X106" s="426" t="s">
        <v>891</v>
      </c>
      <c r="Y106" s="544"/>
      <c r="Z106" s="305" t="s">
        <v>430</v>
      </c>
      <c r="AA106" s="305" t="s">
        <v>431</v>
      </c>
      <c r="AB106" s="305" t="s">
        <v>432</v>
      </c>
      <c r="AC106" s="305" t="s">
        <v>422</v>
      </c>
      <c r="AD106" s="544"/>
      <c r="AE106" s="305" t="s">
        <v>430</v>
      </c>
      <c r="AF106" s="305" t="s">
        <v>431</v>
      </c>
      <c r="AG106" s="305" t="s">
        <v>432</v>
      </c>
      <c r="AH106" s="305" t="s">
        <v>422</v>
      </c>
      <c r="AI106" s="544"/>
      <c r="AJ106" s="305" t="s">
        <v>430</v>
      </c>
      <c r="AK106" s="305" t="s">
        <v>431</v>
      </c>
      <c r="AL106" s="305" t="s">
        <v>432</v>
      </c>
      <c r="AM106" s="305" t="s">
        <v>422</v>
      </c>
      <c r="AN106" s="544"/>
      <c r="AO106" s="305" t="s">
        <v>430</v>
      </c>
      <c r="AP106" s="305" t="s">
        <v>431</v>
      </c>
      <c r="AQ106" s="305" t="s">
        <v>432</v>
      </c>
      <c r="AR106" s="305" t="s">
        <v>422</v>
      </c>
      <c r="AS106" s="544"/>
      <c r="AT106" s="305" t="s">
        <v>430</v>
      </c>
      <c r="AU106" s="305" t="s">
        <v>431</v>
      </c>
      <c r="AV106" s="305" t="s">
        <v>432</v>
      </c>
      <c r="AW106" s="305" t="s">
        <v>422</v>
      </c>
      <c r="AX106" s="544"/>
    </row>
    <row r="107" spans="2:50">
      <c r="B107" s="544" t="s">
        <v>925</v>
      </c>
      <c r="C107" s="463">
        <v>1</v>
      </c>
      <c r="D107" s="467" t="s">
        <v>386</v>
      </c>
      <c r="E107" s="464">
        <v>18</v>
      </c>
      <c r="F107" s="464">
        <v>1440</v>
      </c>
      <c r="G107" s="464">
        <v>80</v>
      </c>
      <c r="H107" s="546">
        <f>AVERAGE(G107:G121)</f>
        <v>82.22727272727272</v>
      </c>
      <c r="I107" s="464">
        <f>AVERAGE(P107,U107,Z107,AE107,AJ107,AO107,AT107)</f>
        <v>18</v>
      </c>
      <c r="J107" s="464">
        <f>AVERAGE(Q107,V107,AA107,AF107,AK107,AP107,AU107)</f>
        <v>1274.5130813953488</v>
      </c>
      <c r="K107" s="465">
        <f>AVERAGE(R107,W107,AB107,AG107,AL107,AQ107,AV107)</f>
        <v>70.806282299741611</v>
      </c>
      <c r="L107" s="546">
        <f>AVERAGE(K107:K121)</f>
        <v>70.081912423690127</v>
      </c>
      <c r="M107" s="464">
        <f>RANK(K107, K$107:$K$121)</f>
        <v>5</v>
      </c>
      <c r="N107" s="544"/>
      <c r="O107" s="544"/>
      <c r="P107" s="463">
        <v>18</v>
      </c>
      <c r="Q107" s="464">
        <v>1274.6511627906973</v>
      </c>
      <c r="R107" s="464">
        <v>70.813953488372078</v>
      </c>
      <c r="S107" s="463">
        <f>RANK(R107, R$107:R$121)</f>
        <v>7</v>
      </c>
      <c r="T107" s="536">
        <f>AVERAGE(R107:R121)</f>
        <v>71.603781281519517</v>
      </c>
      <c r="U107" s="463">
        <v>18</v>
      </c>
      <c r="V107" s="464">
        <v>1274.3750000000005</v>
      </c>
      <c r="W107" s="464">
        <v>70.798611111111143</v>
      </c>
      <c r="X107" s="463">
        <f>RANK(W107, W$107:W$121)</f>
        <v>5</v>
      </c>
      <c r="Y107" s="615">
        <f>AVERAGE(W107:W121)</f>
        <v>68.560043565860738</v>
      </c>
      <c r="Z107" s="182"/>
      <c r="AA107" s="319"/>
      <c r="AB107" s="319"/>
      <c r="AC107" s="304" t="e">
        <f>RANK(AB107, AB$107:AB$121)</f>
        <v>#N/A</v>
      </c>
      <c r="AD107" s="597" t="e">
        <f>AVERAGE(AB107:AB121)</f>
        <v>#DIV/0!</v>
      </c>
      <c r="AE107" s="182"/>
      <c r="AF107" s="319"/>
      <c r="AG107" s="319"/>
      <c r="AH107" s="304" t="e">
        <f>RANK(AG107, AG$107:AG$121)</f>
        <v>#N/A</v>
      </c>
      <c r="AI107" s="597" t="e">
        <f>AVERAGE(AG107:AG121)</f>
        <v>#DIV/0!</v>
      </c>
      <c r="AJ107" s="182"/>
      <c r="AK107" s="319"/>
      <c r="AL107" s="319"/>
      <c r="AM107" s="304" t="e">
        <f>RANK(AL107, AL$107:AL$121)</f>
        <v>#N/A</v>
      </c>
      <c r="AN107" s="597" t="e">
        <f>AVERAGE(AL107:AL121)</f>
        <v>#DIV/0!</v>
      </c>
      <c r="AO107" s="182"/>
      <c r="AP107" s="319"/>
      <c r="AQ107" s="319"/>
      <c r="AR107" s="304" t="e">
        <f>RANK(AQ107, AQ$107:AQ$121)</f>
        <v>#N/A</v>
      </c>
      <c r="AS107" s="597" t="e">
        <f>AVERAGE(AQ107:AQ121)</f>
        <v>#DIV/0!</v>
      </c>
      <c r="AT107" s="182"/>
      <c r="AU107" s="319"/>
      <c r="AV107" s="319"/>
      <c r="AW107" s="304" t="e">
        <f>RANK(AV107, AV$107:AV$121)</f>
        <v>#N/A</v>
      </c>
      <c r="AX107" s="534" t="e">
        <f>AVERAGE(AV107:AV121)</f>
        <v>#DIV/0!</v>
      </c>
    </row>
    <row r="108" spans="2:50">
      <c r="B108" s="565"/>
      <c r="C108" s="463">
        <v>2</v>
      </c>
      <c r="D108" s="467" t="s">
        <v>387</v>
      </c>
      <c r="E108" s="464">
        <v>19</v>
      </c>
      <c r="F108" s="464">
        <v>1440</v>
      </c>
      <c r="G108" s="464">
        <v>75.8</v>
      </c>
      <c r="H108" s="547"/>
      <c r="I108" s="464">
        <f t="shared" ref="I108:K112" si="71">AVERAGE(P108,U108,Z108,AE108,AJ108,AO108,AT108)</f>
        <v>18</v>
      </c>
      <c r="J108" s="464">
        <f t="shared" si="71"/>
        <v>1263.499999999998</v>
      </c>
      <c r="K108" s="465">
        <f t="shared" si="71"/>
        <v>70.194444444444329</v>
      </c>
      <c r="L108" s="547"/>
      <c r="M108" s="464">
        <f>RANK(K108, K$107:$K$121)</f>
        <v>6</v>
      </c>
      <c r="N108" s="544"/>
      <c r="O108" s="544"/>
      <c r="P108" s="463">
        <v>18</v>
      </c>
      <c r="Q108" s="464">
        <v>1274.9999999999982</v>
      </c>
      <c r="R108" s="464">
        <v>70.833333333333229</v>
      </c>
      <c r="S108" s="463">
        <f t="shared" ref="S108:S121" si="72">RANK(R108, R$107:R$121)</f>
        <v>6</v>
      </c>
      <c r="T108" s="536"/>
      <c r="U108" s="463">
        <v>18</v>
      </c>
      <c r="V108" s="464">
        <v>1251.9999999999977</v>
      </c>
      <c r="W108" s="464">
        <v>69.555555555555429</v>
      </c>
      <c r="X108" s="463">
        <f t="shared" ref="X108:X121" si="73">RANK(W108, W$107:W$121)</f>
        <v>6</v>
      </c>
      <c r="Y108" s="615"/>
      <c r="Z108" s="318"/>
      <c r="AA108" s="319"/>
      <c r="AB108" s="319"/>
      <c r="AC108" s="304" t="e">
        <f t="shared" ref="AC108:AC121" si="74">RANK(AB108, AB$107:AB$121)</f>
        <v>#N/A</v>
      </c>
      <c r="AD108" s="598"/>
      <c r="AE108" s="318"/>
      <c r="AF108" s="319"/>
      <c r="AG108" s="319"/>
      <c r="AH108" s="304" t="e">
        <f t="shared" ref="AH108:AH121" si="75">RANK(AG108, AG$107:AG$121)</f>
        <v>#N/A</v>
      </c>
      <c r="AI108" s="598"/>
      <c r="AJ108" s="318"/>
      <c r="AK108" s="319"/>
      <c r="AL108" s="319"/>
      <c r="AM108" s="304" t="e">
        <f t="shared" ref="AM108:AM121" si="76">RANK(AL108, AL$107:AL$121)</f>
        <v>#N/A</v>
      </c>
      <c r="AN108" s="598"/>
      <c r="AO108" s="318"/>
      <c r="AP108" s="319"/>
      <c r="AQ108" s="319"/>
      <c r="AR108" s="304" t="e">
        <f t="shared" ref="AR108:AR121" si="77">RANK(AQ108, AQ$107:AQ$121)</f>
        <v>#N/A</v>
      </c>
      <c r="AS108" s="598"/>
      <c r="AT108" s="318"/>
      <c r="AU108" s="319"/>
      <c r="AV108" s="319"/>
      <c r="AW108" s="304" t="e">
        <f t="shared" ref="AW108:AW121" si="78">RANK(AV108, AV$107:AV$121)</f>
        <v>#N/A</v>
      </c>
      <c r="AX108" s="534"/>
    </row>
    <row r="109" spans="2:50">
      <c r="B109" s="565"/>
      <c r="C109" s="463">
        <v>3</v>
      </c>
      <c r="D109" s="467" t="s">
        <v>389</v>
      </c>
      <c r="E109" s="464">
        <v>17</v>
      </c>
      <c r="F109" s="464">
        <v>1636</v>
      </c>
      <c r="G109" s="464">
        <v>96.3</v>
      </c>
      <c r="H109" s="547"/>
      <c r="I109" s="464">
        <f t="shared" si="71"/>
        <v>17</v>
      </c>
      <c r="J109" s="464">
        <f t="shared" si="71"/>
        <v>1329.9999999999968</v>
      </c>
      <c r="K109" s="465">
        <f t="shared" si="71"/>
        <v>78.235294117646873</v>
      </c>
      <c r="L109" s="547"/>
      <c r="M109" s="464">
        <f>RANK(K109, K$107:$K$121)</f>
        <v>2</v>
      </c>
      <c r="N109" s="544"/>
      <c r="O109" s="544"/>
      <c r="P109" s="463">
        <v>17</v>
      </c>
      <c r="Q109" s="464">
        <v>1428.8888888888855</v>
      </c>
      <c r="R109" s="464">
        <v>84.052287581699147</v>
      </c>
      <c r="S109" s="463">
        <f t="shared" si="72"/>
        <v>1</v>
      </c>
      <c r="T109" s="536"/>
      <c r="U109" s="463">
        <v>17</v>
      </c>
      <c r="V109" s="464">
        <v>1231.1111111111081</v>
      </c>
      <c r="W109" s="464">
        <v>72.418300653594599</v>
      </c>
      <c r="X109" s="463">
        <f t="shared" si="73"/>
        <v>4</v>
      </c>
      <c r="Y109" s="615"/>
      <c r="Z109" s="318"/>
      <c r="AA109" s="319"/>
      <c r="AB109" s="319"/>
      <c r="AC109" s="304" t="e">
        <f t="shared" si="74"/>
        <v>#N/A</v>
      </c>
      <c r="AD109" s="598"/>
      <c r="AE109" s="318"/>
      <c r="AF109" s="319"/>
      <c r="AG109" s="319"/>
      <c r="AH109" s="304" t="e">
        <f t="shared" si="75"/>
        <v>#N/A</v>
      </c>
      <c r="AI109" s="598"/>
      <c r="AJ109" s="318"/>
      <c r="AK109" s="319"/>
      <c r="AL109" s="319"/>
      <c r="AM109" s="304" t="e">
        <f t="shared" si="76"/>
        <v>#N/A</v>
      </c>
      <c r="AN109" s="598"/>
      <c r="AO109" s="318"/>
      <c r="AP109" s="319"/>
      <c r="AQ109" s="319"/>
      <c r="AR109" s="304" t="e">
        <f t="shared" si="77"/>
        <v>#N/A</v>
      </c>
      <c r="AS109" s="598"/>
      <c r="AT109" s="318"/>
      <c r="AU109" s="319"/>
      <c r="AV109" s="319"/>
      <c r="AW109" s="304" t="e">
        <f t="shared" si="78"/>
        <v>#N/A</v>
      </c>
      <c r="AX109" s="534"/>
    </row>
    <row r="110" spans="2:50">
      <c r="B110" s="565"/>
      <c r="C110" s="463">
        <v>4</v>
      </c>
      <c r="D110" s="467" t="s">
        <v>388</v>
      </c>
      <c r="E110" s="464">
        <v>17</v>
      </c>
      <c r="F110" s="464">
        <v>1440</v>
      </c>
      <c r="G110" s="464">
        <v>84.7</v>
      </c>
      <c r="H110" s="547"/>
      <c r="I110" s="464">
        <f t="shared" si="71"/>
        <v>17</v>
      </c>
      <c r="J110" s="464">
        <f t="shared" si="71"/>
        <v>1261.7744585511573</v>
      </c>
      <c r="K110" s="465">
        <f t="shared" si="71"/>
        <v>74.22202697359748</v>
      </c>
      <c r="L110" s="547"/>
      <c r="M110" s="464">
        <f>RANK(K110, K$107:$K$121)</f>
        <v>3</v>
      </c>
      <c r="N110" s="544"/>
      <c r="O110" s="544"/>
      <c r="P110" s="463">
        <v>17</v>
      </c>
      <c r="Q110" s="464">
        <v>1266.4615384615381</v>
      </c>
      <c r="R110" s="464">
        <v>74.497737556561063</v>
      </c>
      <c r="S110" s="463">
        <f t="shared" si="72"/>
        <v>3</v>
      </c>
      <c r="T110" s="536"/>
      <c r="U110" s="463">
        <v>17</v>
      </c>
      <c r="V110" s="464">
        <v>1257.0873786407765</v>
      </c>
      <c r="W110" s="464">
        <v>73.94631639063391</v>
      </c>
      <c r="X110" s="463">
        <f t="shared" si="73"/>
        <v>2</v>
      </c>
      <c r="Y110" s="615"/>
      <c r="Z110" s="318"/>
      <c r="AA110" s="319"/>
      <c r="AB110" s="319"/>
      <c r="AC110" s="304" t="e">
        <f t="shared" si="74"/>
        <v>#N/A</v>
      </c>
      <c r="AD110" s="598"/>
      <c r="AE110" s="318"/>
      <c r="AF110" s="319"/>
      <c r="AG110" s="319"/>
      <c r="AH110" s="304" t="e">
        <f t="shared" si="75"/>
        <v>#N/A</v>
      </c>
      <c r="AI110" s="598"/>
      <c r="AJ110" s="318"/>
      <c r="AK110" s="319"/>
      <c r="AL110" s="319"/>
      <c r="AM110" s="304" t="e">
        <f t="shared" si="76"/>
        <v>#N/A</v>
      </c>
      <c r="AN110" s="598"/>
      <c r="AO110" s="318"/>
      <c r="AP110" s="319"/>
      <c r="AQ110" s="319"/>
      <c r="AR110" s="304" t="e">
        <f t="shared" si="77"/>
        <v>#N/A</v>
      </c>
      <c r="AS110" s="598"/>
      <c r="AT110" s="318"/>
      <c r="AU110" s="319"/>
      <c r="AV110" s="319"/>
      <c r="AW110" s="304" t="e">
        <f t="shared" si="78"/>
        <v>#N/A</v>
      </c>
      <c r="AX110" s="534"/>
    </row>
    <row r="111" spans="2:50">
      <c r="B111" s="565"/>
      <c r="C111" s="463">
        <v>5</v>
      </c>
      <c r="D111" s="467" t="s">
        <v>390</v>
      </c>
      <c r="E111" s="464">
        <v>17</v>
      </c>
      <c r="F111" s="464">
        <v>1440</v>
      </c>
      <c r="G111" s="464">
        <v>84.7</v>
      </c>
      <c r="H111" s="547"/>
      <c r="I111" s="464">
        <f t="shared" si="71"/>
        <v>18</v>
      </c>
      <c r="J111" s="464">
        <f t="shared" si="71"/>
        <v>1187.999999999998</v>
      </c>
      <c r="K111" s="465">
        <f t="shared" si="71"/>
        <v>65.999999999999886</v>
      </c>
      <c r="L111" s="547"/>
      <c r="M111" s="464">
        <f>RANK(K111, K$107:$K$121)</f>
        <v>8</v>
      </c>
      <c r="N111" s="544"/>
      <c r="O111" s="544"/>
      <c r="P111" s="463">
        <v>18</v>
      </c>
      <c r="Q111" s="464">
        <v>1299.9999999999977</v>
      </c>
      <c r="R111" s="464">
        <v>72.222222222222101</v>
      </c>
      <c r="S111" s="463">
        <f t="shared" si="72"/>
        <v>5</v>
      </c>
      <c r="T111" s="536"/>
      <c r="U111" s="463">
        <v>18</v>
      </c>
      <c r="V111" s="464">
        <v>1075.9999999999982</v>
      </c>
      <c r="W111" s="464">
        <v>59.777777777777679</v>
      </c>
      <c r="X111" s="463">
        <f t="shared" si="73"/>
        <v>11</v>
      </c>
      <c r="Y111" s="615"/>
      <c r="Z111" s="318"/>
      <c r="AA111" s="319"/>
      <c r="AB111" s="319"/>
      <c r="AC111" s="304" t="e">
        <f t="shared" si="74"/>
        <v>#N/A</v>
      </c>
      <c r="AD111" s="598"/>
      <c r="AE111" s="318"/>
      <c r="AF111" s="319"/>
      <c r="AG111" s="319"/>
      <c r="AH111" s="304" t="e">
        <f t="shared" si="75"/>
        <v>#N/A</v>
      </c>
      <c r="AI111" s="598"/>
      <c r="AJ111" s="318"/>
      <c r="AK111" s="319"/>
      <c r="AL111" s="319"/>
      <c r="AM111" s="304" t="e">
        <f t="shared" si="76"/>
        <v>#N/A</v>
      </c>
      <c r="AN111" s="598"/>
      <c r="AO111" s="318"/>
      <c r="AP111" s="319"/>
      <c r="AQ111" s="319"/>
      <c r="AR111" s="304" t="e">
        <f t="shared" si="77"/>
        <v>#N/A</v>
      </c>
      <c r="AS111" s="598"/>
      <c r="AT111" s="318"/>
      <c r="AU111" s="319"/>
      <c r="AV111" s="319"/>
      <c r="AW111" s="304" t="e">
        <f t="shared" si="78"/>
        <v>#N/A</v>
      </c>
      <c r="AX111" s="534"/>
    </row>
    <row r="112" spans="2:50">
      <c r="B112" s="565"/>
      <c r="C112" s="463">
        <v>6</v>
      </c>
      <c r="D112" s="467" t="s">
        <v>391</v>
      </c>
      <c r="E112" s="464">
        <v>19</v>
      </c>
      <c r="F112" s="464">
        <v>1385</v>
      </c>
      <c r="G112" s="464">
        <v>72.900000000000006</v>
      </c>
      <c r="H112" s="547"/>
      <c r="I112" s="464">
        <f t="shared" si="71"/>
        <v>19</v>
      </c>
      <c r="J112" s="464">
        <f t="shared" si="71"/>
        <v>1225.8113207547167</v>
      </c>
      <c r="K112" s="465">
        <f t="shared" si="71"/>
        <v>64.516385302879826</v>
      </c>
      <c r="L112" s="547"/>
      <c r="M112" s="464">
        <f>RANK(K112, K$107:$K$121)</f>
        <v>9</v>
      </c>
      <c r="N112" s="544"/>
      <c r="O112" s="544"/>
      <c r="P112" s="463">
        <v>19</v>
      </c>
      <c r="Q112" s="464">
        <v>1239.6226415094347</v>
      </c>
      <c r="R112" s="464">
        <v>65.243296921549202</v>
      </c>
      <c r="S112" s="463">
        <f t="shared" si="72"/>
        <v>9</v>
      </c>
      <c r="T112" s="536"/>
      <c r="U112" s="463">
        <v>19</v>
      </c>
      <c r="V112" s="464">
        <v>1211.9999999999986</v>
      </c>
      <c r="W112" s="464">
        <v>63.789473684210456</v>
      </c>
      <c r="X112" s="463">
        <f t="shared" si="73"/>
        <v>8</v>
      </c>
      <c r="Y112" s="615"/>
      <c r="Z112" s="318"/>
      <c r="AA112" s="319"/>
      <c r="AB112" s="319"/>
      <c r="AC112" s="304" t="e">
        <f t="shared" si="74"/>
        <v>#N/A</v>
      </c>
      <c r="AD112" s="598"/>
      <c r="AE112" s="318"/>
      <c r="AF112" s="319"/>
      <c r="AG112" s="319"/>
      <c r="AH112" s="304" t="e">
        <f t="shared" si="75"/>
        <v>#N/A</v>
      </c>
      <c r="AI112" s="598"/>
      <c r="AJ112" s="318"/>
      <c r="AK112" s="319"/>
      <c r="AL112" s="319"/>
      <c r="AM112" s="304" t="e">
        <f t="shared" si="76"/>
        <v>#N/A</v>
      </c>
      <c r="AN112" s="598"/>
      <c r="AO112" s="318"/>
      <c r="AP112" s="319"/>
      <c r="AQ112" s="319"/>
      <c r="AR112" s="304" t="e">
        <f t="shared" si="77"/>
        <v>#N/A</v>
      </c>
      <c r="AS112" s="598"/>
      <c r="AT112" s="318"/>
      <c r="AU112" s="319"/>
      <c r="AV112" s="319"/>
      <c r="AW112" s="304" t="e">
        <f t="shared" si="78"/>
        <v>#N/A</v>
      </c>
      <c r="AX112" s="534"/>
    </row>
    <row r="113" spans="2:50">
      <c r="B113" s="565"/>
      <c r="C113" s="463">
        <v>7</v>
      </c>
      <c r="D113" s="467" t="s">
        <v>392</v>
      </c>
      <c r="E113" s="464">
        <v>19</v>
      </c>
      <c r="F113" s="464">
        <v>1440</v>
      </c>
      <c r="G113" s="464">
        <v>75.8</v>
      </c>
      <c r="H113" s="547"/>
      <c r="I113" s="464">
        <f>AVERAGE(P113,U113,Z113,AE113,AJ113,AO113,AT113)</f>
        <v>19</v>
      </c>
      <c r="J113" s="464">
        <f>AVERAGE(Q113,V113,AA113,AF113,AK113,AP113,AU113)</f>
        <v>1277.8567639257308</v>
      </c>
      <c r="K113" s="465">
        <f>AVERAGE(R113,W113,AB113,AG113,AL113,AQ113,AV113)</f>
        <v>67.255619153985833</v>
      </c>
      <c r="L113" s="547"/>
      <c r="M113" s="464">
        <f>RANK(K113, K$107:$K$121)</f>
        <v>7</v>
      </c>
      <c r="N113" s="544"/>
      <c r="O113" s="544"/>
      <c r="P113" s="463">
        <v>19</v>
      </c>
      <c r="Q113" s="464">
        <v>1281.2307692307706</v>
      </c>
      <c r="R113" s="464">
        <v>67.433198380566878</v>
      </c>
      <c r="S113" s="463">
        <f t="shared" si="72"/>
        <v>8</v>
      </c>
      <c r="T113" s="536"/>
      <c r="U113" s="463">
        <v>19</v>
      </c>
      <c r="V113" s="464">
        <v>1274.4827586206907</v>
      </c>
      <c r="W113" s="464">
        <v>67.078039927404774</v>
      </c>
      <c r="X113" s="463">
        <f t="shared" si="73"/>
        <v>7</v>
      </c>
      <c r="Y113" s="615"/>
      <c r="Z113" s="318"/>
      <c r="AA113" s="319"/>
      <c r="AB113" s="319"/>
      <c r="AC113" s="304" t="e">
        <f t="shared" si="74"/>
        <v>#N/A</v>
      </c>
      <c r="AD113" s="598"/>
      <c r="AE113" s="318"/>
      <c r="AF113" s="319"/>
      <c r="AG113" s="319"/>
      <c r="AH113" s="304" t="e">
        <f t="shared" si="75"/>
        <v>#N/A</v>
      </c>
      <c r="AI113" s="598"/>
      <c r="AJ113" s="318"/>
      <c r="AK113" s="319"/>
      <c r="AL113" s="319"/>
      <c r="AM113" s="304" t="e">
        <f t="shared" si="76"/>
        <v>#N/A</v>
      </c>
      <c r="AN113" s="598"/>
      <c r="AO113" s="318"/>
      <c r="AP113" s="319"/>
      <c r="AQ113" s="319"/>
      <c r="AR113" s="304" t="e">
        <f t="shared" si="77"/>
        <v>#N/A</v>
      </c>
      <c r="AS113" s="598"/>
      <c r="AT113" s="318"/>
      <c r="AU113" s="319"/>
      <c r="AV113" s="319"/>
      <c r="AW113" s="304" t="e">
        <f t="shared" si="78"/>
        <v>#N/A</v>
      </c>
      <c r="AX113" s="534"/>
    </row>
    <row r="114" spans="2:50">
      <c r="B114" s="565"/>
      <c r="C114" s="463">
        <v>8</v>
      </c>
      <c r="D114" s="467" t="s">
        <v>504</v>
      </c>
      <c r="E114" s="464">
        <v>17</v>
      </c>
      <c r="F114" s="464">
        <v>1385</v>
      </c>
      <c r="G114" s="464">
        <v>81.400000000000006</v>
      </c>
      <c r="H114" s="547"/>
      <c r="I114" s="464">
        <f t="shared" ref="I114:K117" si="79">AVERAGE(P114,U114,Z114,AE114,AJ114,AO114,AT114)</f>
        <v>17</v>
      </c>
      <c r="J114" s="464">
        <f t="shared" si="79"/>
        <v>1242.2072072072074</v>
      </c>
      <c r="K114" s="465">
        <f t="shared" si="79"/>
        <v>73.071012188659253</v>
      </c>
      <c r="L114" s="547"/>
      <c r="M114" s="464">
        <f>RANK(K114, K$107:$K$121)</f>
        <v>4</v>
      </c>
      <c r="N114" s="544"/>
      <c r="O114" s="544"/>
      <c r="P114" s="463">
        <v>17</v>
      </c>
      <c r="Q114" s="464">
        <v>1251.0810810810801</v>
      </c>
      <c r="R114" s="464">
        <v>73.5930047694753</v>
      </c>
      <c r="S114" s="463">
        <f t="shared" si="72"/>
        <v>4</v>
      </c>
      <c r="T114" s="536"/>
      <c r="U114" s="463">
        <v>17</v>
      </c>
      <c r="V114" s="464">
        <v>1233.3333333333344</v>
      </c>
      <c r="W114" s="464">
        <v>72.549019607843206</v>
      </c>
      <c r="X114" s="463">
        <f t="shared" si="73"/>
        <v>3</v>
      </c>
      <c r="Y114" s="615"/>
      <c r="Z114" s="318"/>
      <c r="AA114" s="319"/>
      <c r="AB114" s="319"/>
      <c r="AC114" s="304" t="e">
        <f t="shared" si="74"/>
        <v>#N/A</v>
      </c>
      <c r="AD114" s="598"/>
      <c r="AE114" s="318"/>
      <c r="AF114" s="319"/>
      <c r="AG114" s="319"/>
      <c r="AH114" s="304" t="e">
        <f t="shared" si="75"/>
        <v>#N/A</v>
      </c>
      <c r="AI114" s="598"/>
      <c r="AJ114" s="318"/>
      <c r="AK114" s="319"/>
      <c r="AL114" s="319"/>
      <c r="AM114" s="304" t="e">
        <f t="shared" si="76"/>
        <v>#N/A</v>
      </c>
      <c r="AN114" s="598"/>
      <c r="AO114" s="318"/>
      <c r="AP114" s="319"/>
      <c r="AQ114" s="319"/>
      <c r="AR114" s="304" t="e">
        <f t="shared" si="77"/>
        <v>#N/A</v>
      </c>
      <c r="AS114" s="598"/>
      <c r="AT114" s="318"/>
      <c r="AU114" s="319"/>
      <c r="AV114" s="319"/>
      <c r="AW114" s="304" t="e">
        <f t="shared" si="78"/>
        <v>#N/A</v>
      </c>
      <c r="AX114" s="534"/>
    </row>
    <row r="115" spans="2:50">
      <c r="B115" s="565"/>
      <c r="C115" s="463">
        <v>9</v>
      </c>
      <c r="D115" s="467" t="s">
        <v>507</v>
      </c>
      <c r="E115" s="464">
        <v>19</v>
      </c>
      <c r="F115" s="464">
        <v>1385</v>
      </c>
      <c r="G115" s="464">
        <v>72.900000000000006</v>
      </c>
      <c r="H115" s="547"/>
      <c r="I115" s="464">
        <f t="shared" si="79"/>
        <v>19</v>
      </c>
      <c r="J115" s="464">
        <f t="shared" si="79"/>
        <v>1209.10569105691</v>
      </c>
      <c r="K115" s="465">
        <f t="shared" si="79"/>
        <v>63.637141634574206</v>
      </c>
      <c r="L115" s="547"/>
      <c r="M115" s="464">
        <f>RANK(K115, K$107:$K$121)</f>
        <v>10</v>
      </c>
      <c r="N115" s="544"/>
      <c r="O115" s="544"/>
      <c r="P115" s="463">
        <v>19</v>
      </c>
      <c r="Q115" s="464">
        <v>1224.8780487804875</v>
      </c>
      <c r="R115" s="464">
        <v>64.467265725288811</v>
      </c>
      <c r="S115" s="463">
        <f t="shared" si="72"/>
        <v>10</v>
      </c>
      <c r="T115" s="536"/>
      <c r="U115" s="463">
        <v>19</v>
      </c>
      <c r="V115" s="464">
        <v>1193.3333333333323</v>
      </c>
      <c r="W115" s="464">
        <v>62.807017543859594</v>
      </c>
      <c r="X115" s="463">
        <f t="shared" si="73"/>
        <v>10</v>
      </c>
      <c r="Y115" s="615"/>
      <c r="Z115" s="318"/>
      <c r="AA115" s="319"/>
      <c r="AB115" s="319"/>
      <c r="AC115" s="304" t="e">
        <f t="shared" si="74"/>
        <v>#N/A</v>
      </c>
      <c r="AD115" s="598"/>
      <c r="AE115" s="318"/>
      <c r="AF115" s="319"/>
      <c r="AG115" s="319"/>
      <c r="AH115" s="304" t="e">
        <f t="shared" si="75"/>
        <v>#N/A</v>
      </c>
      <c r="AI115" s="598"/>
      <c r="AJ115" s="318"/>
      <c r="AK115" s="319"/>
      <c r="AL115" s="319"/>
      <c r="AM115" s="304" t="e">
        <f t="shared" si="76"/>
        <v>#N/A</v>
      </c>
      <c r="AN115" s="598"/>
      <c r="AO115" s="318"/>
      <c r="AP115" s="319"/>
      <c r="AQ115" s="319"/>
      <c r="AR115" s="304" t="e">
        <f t="shared" si="77"/>
        <v>#N/A</v>
      </c>
      <c r="AS115" s="598"/>
      <c r="AT115" s="318"/>
      <c r="AU115" s="319"/>
      <c r="AV115" s="319"/>
      <c r="AW115" s="304" t="e">
        <f t="shared" si="78"/>
        <v>#N/A</v>
      </c>
      <c r="AX115" s="534"/>
    </row>
    <row r="116" spans="2:50">
      <c r="B116" s="565"/>
      <c r="C116" s="463">
        <v>10</v>
      </c>
      <c r="D116" s="313" t="s">
        <v>581</v>
      </c>
      <c r="E116" s="464">
        <v>16</v>
      </c>
      <c r="F116" s="464">
        <v>1440</v>
      </c>
      <c r="G116" s="464">
        <v>90</v>
      </c>
      <c r="H116" s="547"/>
      <c r="I116" s="464">
        <f t="shared" si="79"/>
        <v>16</v>
      </c>
      <c r="J116" s="464">
        <f t="shared" si="79"/>
        <v>1277.5229357798166</v>
      </c>
      <c r="K116" s="465">
        <f t="shared" si="79"/>
        <v>79.84518348623854</v>
      </c>
      <c r="L116" s="547"/>
      <c r="M116" s="464">
        <f>RANK(K116, K$107:$K$121)</f>
        <v>1</v>
      </c>
      <c r="N116" s="544"/>
      <c r="O116" s="544"/>
      <c r="P116" s="463">
        <v>16</v>
      </c>
      <c r="Q116" s="464">
        <v>1299.9999999999995</v>
      </c>
      <c r="R116" s="464">
        <v>81.249999999999972</v>
      </c>
      <c r="S116" s="463">
        <f t="shared" si="72"/>
        <v>2</v>
      </c>
      <c r="T116" s="536"/>
      <c r="U116" s="463">
        <v>16</v>
      </c>
      <c r="V116" s="464">
        <v>1255.045871559634</v>
      </c>
      <c r="W116" s="464">
        <v>78.440366972477122</v>
      </c>
      <c r="X116" s="463">
        <f t="shared" si="73"/>
        <v>1</v>
      </c>
      <c r="Y116" s="615"/>
      <c r="Z116" s="318"/>
      <c r="AA116" s="319"/>
      <c r="AB116" s="319"/>
      <c r="AC116" s="304" t="e">
        <f t="shared" si="74"/>
        <v>#N/A</v>
      </c>
      <c r="AD116" s="598"/>
      <c r="AE116" s="318"/>
      <c r="AF116" s="319"/>
      <c r="AG116" s="319"/>
      <c r="AH116" s="304" t="e">
        <f t="shared" si="75"/>
        <v>#N/A</v>
      </c>
      <c r="AI116" s="598"/>
      <c r="AJ116" s="318"/>
      <c r="AK116" s="319"/>
      <c r="AL116" s="319"/>
      <c r="AM116" s="304" t="e">
        <f t="shared" si="76"/>
        <v>#N/A</v>
      </c>
      <c r="AN116" s="598"/>
      <c r="AO116" s="318"/>
      <c r="AP116" s="319"/>
      <c r="AQ116" s="319"/>
      <c r="AR116" s="304" t="e">
        <f t="shared" si="77"/>
        <v>#N/A</v>
      </c>
      <c r="AS116" s="598"/>
      <c r="AT116" s="318"/>
      <c r="AU116" s="319"/>
      <c r="AV116" s="319"/>
      <c r="AW116" s="304" t="e">
        <f t="shared" si="78"/>
        <v>#N/A</v>
      </c>
      <c r="AX116" s="534"/>
    </row>
    <row r="117" spans="2:50">
      <c r="B117" s="565"/>
      <c r="C117" s="463">
        <v>11</v>
      </c>
      <c r="D117" s="467" t="s">
        <v>625</v>
      </c>
      <c r="E117" s="464">
        <v>16</v>
      </c>
      <c r="F117" s="464">
        <v>1440</v>
      </c>
      <c r="G117" s="464">
        <v>90</v>
      </c>
      <c r="H117" s="547"/>
      <c r="I117" s="464">
        <f t="shared" si="79"/>
        <v>17</v>
      </c>
      <c r="J117" s="464">
        <f t="shared" si="79"/>
        <v>1073</v>
      </c>
      <c r="K117" s="465">
        <f t="shared" si="79"/>
        <v>63.117647058823536</v>
      </c>
      <c r="L117" s="547"/>
      <c r="M117" s="464">
        <f>RANK(K117, K$107:$K$121)</f>
        <v>11</v>
      </c>
      <c r="N117" s="544"/>
      <c r="O117" s="544"/>
      <c r="P117" s="463">
        <v>17</v>
      </c>
      <c r="Q117" s="464">
        <v>1074.9999999999966</v>
      </c>
      <c r="R117" s="464">
        <v>63.235294117646859</v>
      </c>
      <c r="S117" s="463">
        <f t="shared" si="72"/>
        <v>11</v>
      </c>
      <c r="T117" s="536"/>
      <c r="U117" s="463">
        <v>17</v>
      </c>
      <c r="V117" s="464">
        <v>1071.0000000000036</v>
      </c>
      <c r="W117" s="464">
        <v>63.000000000000213</v>
      </c>
      <c r="X117" s="463">
        <f t="shared" si="73"/>
        <v>9</v>
      </c>
      <c r="Y117" s="615"/>
      <c r="Z117" s="318"/>
      <c r="AA117" s="319"/>
      <c r="AB117" s="319"/>
      <c r="AC117" s="304" t="e">
        <f t="shared" si="74"/>
        <v>#N/A</v>
      </c>
      <c r="AD117" s="598"/>
      <c r="AE117" s="318"/>
      <c r="AF117" s="319"/>
      <c r="AG117" s="319"/>
      <c r="AH117" s="304" t="e">
        <f t="shared" si="75"/>
        <v>#N/A</v>
      </c>
      <c r="AI117" s="598"/>
      <c r="AJ117" s="318"/>
      <c r="AK117" s="319"/>
      <c r="AL117" s="319"/>
      <c r="AM117" s="304" t="e">
        <f t="shared" si="76"/>
        <v>#N/A</v>
      </c>
      <c r="AN117" s="598"/>
      <c r="AO117" s="318"/>
      <c r="AP117" s="319"/>
      <c r="AQ117" s="319"/>
      <c r="AR117" s="304" t="e">
        <f t="shared" si="77"/>
        <v>#N/A</v>
      </c>
      <c r="AS117" s="598"/>
      <c r="AT117" s="318"/>
      <c r="AU117" s="319"/>
      <c r="AV117" s="319"/>
      <c r="AW117" s="304" t="e">
        <f t="shared" si="78"/>
        <v>#N/A</v>
      </c>
      <c r="AX117" s="534"/>
    </row>
    <row r="118" spans="2:50">
      <c r="B118" s="565"/>
      <c r="C118" s="463">
        <v>12</v>
      </c>
      <c r="D118" s="467"/>
      <c r="E118" s="464" t="s">
        <v>578</v>
      </c>
      <c r="F118" s="464" t="s">
        <v>578</v>
      </c>
      <c r="G118" s="464" t="s">
        <v>578</v>
      </c>
      <c r="H118" s="547"/>
      <c r="I118" s="464"/>
      <c r="J118" s="464"/>
      <c r="K118" s="465"/>
      <c r="L118" s="547"/>
      <c r="M118" s="464" t="e">
        <f>RANK(K118, K$107:$K$121)</f>
        <v>#N/A</v>
      </c>
      <c r="N118" s="544"/>
      <c r="O118" s="544"/>
      <c r="P118" s="463" t="s">
        <v>578</v>
      </c>
      <c r="Q118" s="464" t="s">
        <v>578</v>
      </c>
      <c r="R118" s="464" t="s">
        <v>578</v>
      </c>
      <c r="S118" s="463" t="e">
        <f t="shared" si="72"/>
        <v>#VALUE!</v>
      </c>
      <c r="T118" s="536"/>
      <c r="U118" s="463" t="s">
        <v>578</v>
      </c>
      <c r="V118" s="464" t="s">
        <v>578</v>
      </c>
      <c r="W118" s="464" t="s">
        <v>578</v>
      </c>
      <c r="X118" s="463" t="e">
        <f t="shared" si="73"/>
        <v>#VALUE!</v>
      </c>
      <c r="Y118" s="615"/>
      <c r="Z118" s="318"/>
      <c r="AA118" s="319"/>
      <c r="AB118" s="319"/>
      <c r="AC118" s="304" t="e">
        <f t="shared" si="74"/>
        <v>#N/A</v>
      </c>
      <c r="AD118" s="598"/>
      <c r="AE118" s="318"/>
      <c r="AF118" s="319"/>
      <c r="AG118" s="319"/>
      <c r="AH118" s="304" t="e">
        <f t="shared" si="75"/>
        <v>#N/A</v>
      </c>
      <c r="AI118" s="598"/>
      <c r="AJ118" s="318"/>
      <c r="AK118" s="319"/>
      <c r="AL118" s="319"/>
      <c r="AM118" s="304" t="e">
        <f t="shared" si="76"/>
        <v>#N/A</v>
      </c>
      <c r="AN118" s="598"/>
      <c r="AO118" s="318"/>
      <c r="AP118" s="319"/>
      <c r="AQ118" s="319"/>
      <c r="AR118" s="304" t="e">
        <f t="shared" si="77"/>
        <v>#N/A</v>
      </c>
      <c r="AS118" s="598"/>
      <c r="AT118" s="318"/>
      <c r="AU118" s="319"/>
      <c r="AV118" s="319"/>
      <c r="AW118" s="304" t="e">
        <f t="shared" si="78"/>
        <v>#N/A</v>
      </c>
      <c r="AX118" s="534"/>
    </row>
    <row r="119" spans="2:50">
      <c r="B119" s="565"/>
      <c r="C119" s="463">
        <v>13</v>
      </c>
      <c r="D119" s="467"/>
      <c r="E119" s="464" t="s">
        <v>578</v>
      </c>
      <c r="F119" s="464" t="s">
        <v>578</v>
      </c>
      <c r="G119" s="464" t="s">
        <v>578</v>
      </c>
      <c r="H119" s="547"/>
      <c r="I119" s="463"/>
      <c r="J119" s="463"/>
      <c r="K119" s="463"/>
      <c r="L119" s="547"/>
      <c r="M119" s="464" t="e">
        <f>RANK(K119, K$107:$K$121)</f>
        <v>#N/A</v>
      </c>
      <c r="N119" s="544"/>
      <c r="O119" s="544"/>
      <c r="P119" s="463" t="s">
        <v>578</v>
      </c>
      <c r="Q119" s="464" t="s">
        <v>578</v>
      </c>
      <c r="R119" s="464" t="s">
        <v>578</v>
      </c>
      <c r="S119" s="463" t="e">
        <f t="shared" si="72"/>
        <v>#VALUE!</v>
      </c>
      <c r="T119" s="536"/>
      <c r="U119" s="463" t="s">
        <v>578</v>
      </c>
      <c r="V119" s="464" t="s">
        <v>578</v>
      </c>
      <c r="W119" s="464" t="s">
        <v>578</v>
      </c>
      <c r="X119" s="463" t="e">
        <f t="shared" si="73"/>
        <v>#VALUE!</v>
      </c>
      <c r="Y119" s="615"/>
      <c r="Z119" s="318"/>
      <c r="AA119" s="319"/>
      <c r="AB119" s="319"/>
      <c r="AC119" s="304" t="e">
        <f t="shared" si="74"/>
        <v>#N/A</v>
      </c>
      <c r="AD119" s="598"/>
      <c r="AE119" s="318"/>
      <c r="AF119" s="319"/>
      <c r="AG119" s="319"/>
      <c r="AH119" s="304" t="e">
        <f t="shared" si="75"/>
        <v>#N/A</v>
      </c>
      <c r="AI119" s="598"/>
      <c r="AJ119" s="318"/>
      <c r="AK119" s="319"/>
      <c r="AL119" s="319"/>
      <c r="AM119" s="304" t="e">
        <f t="shared" si="76"/>
        <v>#N/A</v>
      </c>
      <c r="AN119" s="598"/>
      <c r="AO119" s="318"/>
      <c r="AP119" s="319"/>
      <c r="AQ119" s="319"/>
      <c r="AR119" s="304" t="e">
        <f t="shared" si="77"/>
        <v>#N/A</v>
      </c>
      <c r="AS119" s="598"/>
      <c r="AT119" s="318"/>
      <c r="AU119" s="319"/>
      <c r="AV119" s="319"/>
      <c r="AW119" s="304" t="e">
        <f t="shared" si="78"/>
        <v>#N/A</v>
      </c>
      <c r="AX119" s="534"/>
    </row>
    <row r="120" spans="2:50">
      <c r="B120" s="565"/>
      <c r="C120" s="463">
        <v>14</v>
      </c>
      <c r="D120" s="467"/>
      <c r="E120" s="464" t="s">
        <v>578</v>
      </c>
      <c r="F120" s="464" t="s">
        <v>578</v>
      </c>
      <c r="G120" s="464" t="s">
        <v>578</v>
      </c>
      <c r="H120" s="547"/>
      <c r="I120" s="463"/>
      <c r="J120" s="463"/>
      <c r="K120" s="463"/>
      <c r="L120" s="547"/>
      <c r="M120" s="464" t="e">
        <f>RANK(K120, K$107:$K$121)</f>
        <v>#N/A</v>
      </c>
      <c r="N120" s="544"/>
      <c r="O120" s="544"/>
      <c r="P120" s="463" t="s">
        <v>578</v>
      </c>
      <c r="Q120" s="464" t="s">
        <v>578</v>
      </c>
      <c r="R120" s="464" t="s">
        <v>578</v>
      </c>
      <c r="S120" s="463" t="e">
        <f t="shared" si="72"/>
        <v>#VALUE!</v>
      </c>
      <c r="T120" s="536"/>
      <c r="U120" s="463" t="s">
        <v>578</v>
      </c>
      <c r="V120" s="464" t="s">
        <v>578</v>
      </c>
      <c r="W120" s="464" t="s">
        <v>578</v>
      </c>
      <c r="X120" s="463" t="e">
        <f t="shared" si="73"/>
        <v>#VALUE!</v>
      </c>
      <c r="Y120" s="615"/>
      <c r="Z120" s="318"/>
      <c r="AA120" s="319"/>
      <c r="AB120" s="319"/>
      <c r="AC120" s="304" t="e">
        <f t="shared" si="74"/>
        <v>#N/A</v>
      </c>
      <c r="AD120" s="598"/>
      <c r="AE120" s="318"/>
      <c r="AF120" s="319"/>
      <c r="AG120" s="319"/>
      <c r="AH120" s="304" t="e">
        <f t="shared" si="75"/>
        <v>#N/A</v>
      </c>
      <c r="AI120" s="598"/>
      <c r="AJ120" s="318"/>
      <c r="AK120" s="319"/>
      <c r="AL120" s="319"/>
      <c r="AM120" s="304" t="e">
        <f t="shared" si="76"/>
        <v>#N/A</v>
      </c>
      <c r="AN120" s="598"/>
      <c r="AO120" s="318"/>
      <c r="AP120" s="319"/>
      <c r="AQ120" s="319"/>
      <c r="AR120" s="304" t="e">
        <f t="shared" si="77"/>
        <v>#N/A</v>
      </c>
      <c r="AS120" s="598"/>
      <c r="AT120" s="318"/>
      <c r="AU120" s="319"/>
      <c r="AV120" s="319"/>
      <c r="AW120" s="304" t="e">
        <f t="shared" si="78"/>
        <v>#N/A</v>
      </c>
      <c r="AX120" s="534"/>
    </row>
    <row r="121" spans="2:50">
      <c r="B121" s="565"/>
      <c r="C121" s="463">
        <v>15</v>
      </c>
      <c r="D121" s="467"/>
      <c r="E121" s="464" t="s">
        <v>578</v>
      </c>
      <c r="F121" s="464" t="s">
        <v>578</v>
      </c>
      <c r="G121" s="464" t="s">
        <v>578</v>
      </c>
      <c r="H121" s="606"/>
      <c r="I121" s="463"/>
      <c r="J121" s="463"/>
      <c r="K121" s="463"/>
      <c r="L121" s="606"/>
      <c r="M121" s="464" t="e">
        <f>RANK(K121, K$107:$K$121)</f>
        <v>#N/A</v>
      </c>
      <c r="N121" s="544"/>
      <c r="O121" s="544"/>
      <c r="P121" s="463" t="s">
        <v>578</v>
      </c>
      <c r="Q121" s="464" t="s">
        <v>578</v>
      </c>
      <c r="R121" s="464" t="s">
        <v>578</v>
      </c>
      <c r="S121" s="463" t="e">
        <f t="shared" si="72"/>
        <v>#VALUE!</v>
      </c>
      <c r="T121" s="536"/>
      <c r="U121" s="463" t="s">
        <v>578</v>
      </c>
      <c r="V121" s="464" t="s">
        <v>578</v>
      </c>
      <c r="W121" s="464" t="s">
        <v>578</v>
      </c>
      <c r="X121" s="463" t="e">
        <f t="shared" si="73"/>
        <v>#VALUE!</v>
      </c>
      <c r="Y121" s="615"/>
      <c r="Z121" s="318"/>
      <c r="AA121" s="319"/>
      <c r="AB121" s="319"/>
      <c r="AC121" s="304" t="e">
        <f t="shared" si="74"/>
        <v>#N/A</v>
      </c>
      <c r="AD121" s="599"/>
      <c r="AE121" s="318"/>
      <c r="AF121" s="319"/>
      <c r="AG121" s="319"/>
      <c r="AH121" s="304" t="e">
        <f t="shared" si="75"/>
        <v>#N/A</v>
      </c>
      <c r="AI121" s="599"/>
      <c r="AJ121" s="318"/>
      <c r="AK121" s="319"/>
      <c r="AL121" s="319"/>
      <c r="AM121" s="304" t="e">
        <f t="shared" si="76"/>
        <v>#N/A</v>
      </c>
      <c r="AN121" s="599"/>
      <c r="AO121" s="318"/>
      <c r="AP121" s="319"/>
      <c r="AQ121" s="319"/>
      <c r="AR121" s="304" t="e">
        <f t="shared" si="77"/>
        <v>#N/A</v>
      </c>
      <c r="AS121" s="599"/>
      <c r="AT121" s="318"/>
      <c r="AU121" s="319"/>
      <c r="AV121" s="319"/>
      <c r="AW121" s="304" t="e">
        <f t="shared" si="78"/>
        <v>#N/A</v>
      </c>
      <c r="AX121" s="534"/>
    </row>
    <row r="123" spans="2:50" ht="15.5">
      <c r="B123" s="540" t="s">
        <v>485</v>
      </c>
      <c r="C123" s="541"/>
      <c r="D123" s="541"/>
      <c r="E123" s="541"/>
      <c r="F123" s="541"/>
      <c r="G123" s="541"/>
      <c r="H123" s="542"/>
      <c r="I123" s="308"/>
      <c r="J123" s="308"/>
      <c r="K123" s="308"/>
      <c r="L123" s="308"/>
      <c r="M123" s="309"/>
    </row>
    <row r="124" spans="2:50" ht="15.5">
      <c r="B124" s="543"/>
      <c r="C124" s="543"/>
      <c r="D124" s="543"/>
      <c r="E124" s="543"/>
      <c r="F124" s="543"/>
      <c r="G124" s="543"/>
      <c r="H124" s="543"/>
      <c r="I124" s="310"/>
      <c r="J124" s="310"/>
      <c r="K124" s="310"/>
      <c r="L124" s="310"/>
      <c r="M124" s="311"/>
    </row>
    <row r="125" spans="2:50">
      <c r="B125" s="544" t="s">
        <v>486</v>
      </c>
      <c r="C125" s="544" t="s">
        <v>487</v>
      </c>
      <c r="D125" s="544"/>
      <c r="E125" s="544" t="s">
        <v>488</v>
      </c>
      <c r="F125" s="544"/>
      <c r="G125" s="544"/>
      <c r="H125" s="561" t="s">
        <v>489</v>
      </c>
      <c r="I125" s="545" t="s">
        <v>490</v>
      </c>
      <c r="J125" s="545"/>
      <c r="K125" s="545"/>
      <c r="L125" s="600" t="s">
        <v>489</v>
      </c>
      <c r="M125" s="603" t="s">
        <v>491</v>
      </c>
    </row>
    <row r="126" spans="2:50">
      <c r="B126" s="544"/>
      <c r="C126" s="544"/>
      <c r="D126" s="544"/>
      <c r="E126" s="544" t="s">
        <v>492</v>
      </c>
      <c r="F126" s="544"/>
      <c r="G126" s="544"/>
      <c r="H126" s="562"/>
      <c r="I126" s="545" t="s">
        <v>492</v>
      </c>
      <c r="J126" s="545"/>
      <c r="K126" s="545"/>
      <c r="L126" s="601"/>
      <c r="M126" s="604"/>
    </row>
    <row r="127" spans="2:50">
      <c r="B127" s="544"/>
      <c r="C127" s="544"/>
      <c r="D127" s="544"/>
      <c r="E127" s="305" t="s">
        <v>493</v>
      </c>
      <c r="F127" s="305" t="s">
        <v>494</v>
      </c>
      <c r="G127" s="305" t="s">
        <v>495</v>
      </c>
      <c r="H127" s="563"/>
      <c r="I127" s="312" t="s">
        <v>493</v>
      </c>
      <c r="J127" s="312" t="s">
        <v>494</v>
      </c>
      <c r="K127" s="312" t="s">
        <v>495</v>
      </c>
      <c r="L127" s="602"/>
      <c r="M127" s="605"/>
    </row>
    <row r="128" spans="2:50">
      <c r="B128" s="544" t="s">
        <v>499</v>
      </c>
      <c r="C128" s="304">
        <v>1</v>
      </c>
      <c r="D128" s="226" t="s">
        <v>386</v>
      </c>
      <c r="E128" s="182">
        <v>18</v>
      </c>
      <c r="F128" s="304">
        <v>1440</v>
      </c>
      <c r="G128" s="307">
        <v>80</v>
      </c>
      <c r="H128" s="597">
        <f>AVERAGE(G128:G142)</f>
        <v>78.280890389781646</v>
      </c>
      <c r="I128" s="199">
        <f t="shared" ref="I128:J139" si="80">AVERAGEIF($D$7:$D$121,$D128,I$7:I$121)</f>
        <v>18</v>
      </c>
      <c r="J128" s="199">
        <f t="shared" si="80"/>
        <v>1260.2986449262196</v>
      </c>
      <c r="K128" s="468">
        <f t="shared" ref="K128:K139" si="81">AVERAGEIF($D$7:$D$121,$D128,K$7:K$121)</f>
        <v>70.016591384789976</v>
      </c>
      <c r="L128" s="612">
        <f>AVERAGE(K128:K142)</f>
        <v>70.563544771772555</v>
      </c>
      <c r="M128" s="199">
        <f>RANK(K128, K$128:$K$142)</f>
        <v>6</v>
      </c>
    </row>
    <row r="129" spans="2:13">
      <c r="B129" s="533"/>
      <c r="C129" s="304">
        <v>2</v>
      </c>
      <c r="D129" s="226" t="s">
        <v>387</v>
      </c>
      <c r="E129" s="182">
        <v>18</v>
      </c>
      <c r="F129" s="304">
        <v>1440</v>
      </c>
      <c r="G129" s="307">
        <v>80</v>
      </c>
      <c r="H129" s="598"/>
      <c r="I129" s="199">
        <f t="shared" si="80"/>
        <v>18.095238095238095</v>
      </c>
      <c r="J129" s="199">
        <f t="shared" si="80"/>
        <v>1246.5897586509925</v>
      </c>
      <c r="K129" s="468">
        <f t="shared" si="81"/>
        <v>68.908224164954845</v>
      </c>
      <c r="L129" s="613"/>
      <c r="M129" s="199">
        <f>RANK(K129, K$128:$K$142)</f>
        <v>7</v>
      </c>
    </row>
    <row r="130" spans="2:13">
      <c r="B130" s="533"/>
      <c r="C130" s="304">
        <v>3</v>
      </c>
      <c r="D130" s="313" t="s">
        <v>978</v>
      </c>
      <c r="E130" s="182">
        <v>17</v>
      </c>
      <c r="F130" s="304">
        <v>1636</v>
      </c>
      <c r="G130" s="307">
        <v>96.235294117647058</v>
      </c>
      <c r="H130" s="598"/>
      <c r="I130" s="199">
        <f t="shared" si="80"/>
        <v>17.023809523809522</v>
      </c>
      <c r="J130" s="199">
        <f t="shared" si="80"/>
        <v>1353.8506535554118</v>
      </c>
      <c r="K130" s="468">
        <f t="shared" si="81"/>
        <v>79.527162627442522</v>
      </c>
      <c r="L130" s="613"/>
      <c r="M130" s="199">
        <f>RANK(K130, K$128:$K$142)</f>
        <v>1</v>
      </c>
    </row>
    <row r="131" spans="2:13">
      <c r="B131" s="533"/>
      <c r="C131" s="304">
        <v>4</v>
      </c>
      <c r="D131" s="226" t="s">
        <v>388</v>
      </c>
      <c r="E131" s="182">
        <v>18</v>
      </c>
      <c r="F131" s="304">
        <v>1440</v>
      </c>
      <c r="G131" s="307">
        <v>80</v>
      </c>
      <c r="H131" s="598"/>
      <c r="I131" s="199">
        <f t="shared" si="80"/>
        <v>17.166666666666668</v>
      </c>
      <c r="J131" s="199">
        <f t="shared" si="80"/>
        <v>1276.9227602676769</v>
      </c>
      <c r="K131" s="468">
        <f t="shared" si="81"/>
        <v>74.415443836112559</v>
      </c>
      <c r="L131" s="613"/>
      <c r="M131" s="199">
        <f>RANK(K131, K$128:$K$142)</f>
        <v>4</v>
      </c>
    </row>
    <row r="132" spans="2:13">
      <c r="B132" s="533"/>
      <c r="C132" s="304">
        <v>5</v>
      </c>
      <c r="D132" s="226" t="s">
        <v>390</v>
      </c>
      <c r="E132" s="182">
        <v>19</v>
      </c>
      <c r="F132" s="304">
        <v>1440</v>
      </c>
      <c r="G132" s="307">
        <v>75.78947368421052</v>
      </c>
      <c r="H132" s="598"/>
      <c r="I132" s="199">
        <f t="shared" si="80"/>
        <v>18.023809523809522</v>
      </c>
      <c r="J132" s="199">
        <f t="shared" si="80"/>
        <v>1217.2993842878514</v>
      </c>
      <c r="K132" s="468">
        <f t="shared" si="81"/>
        <v>67.631333112249237</v>
      </c>
      <c r="L132" s="613"/>
      <c r="M132" s="199">
        <f>RANK(K132, K$128:$K$142)</f>
        <v>9</v>
      </c>
    </row>
    <row r="133" spans="2:13">
      <c r="B133" s="533"/>
      <c r="C133" s="304">
        <v>6</v>
      </c>
      <c r="D133" s="313" t="s">
        <v>979</v>
      </c>
      <c r="E133" s="182">
        <v>21</v>
      </c>
      <c r="F133" s="304">
        <v>1385</v>
      </c>
      <c r="G133" s="307">
        <v>65.952380952380949</v>
      </c>
      <c r="H133" s="598"/>
      <c r="I133" s="199">
        <f t="shared" si="80"/>
        <v>19.166666666666668</v>
      </c>
      <c r="J133" s="199">
        <f t="shared" si="80"/>
        <v>1231.1238334909426</v>
      </c>
      <c r="K133" s="468">
        <f t="shared" si="81"/>
        <v>64.245512767465883</v>
      </c>
      <c r="L133" s="613"/>
      <c r="M133" s="199">
        <f>RANK(K133, K$128:$K$142)</f>
        <v>11</v>
      </c>
    </row>
    <row r="134" spans="2:13">
      <c r="B134" s="533"/>
      <c r="C134" s="304">
        <v>7</v>
      </c>
      <c r="D134" s="226" t="s">
        <v>392</v>
      </c>
      <c r="E134" s="182">
        <v>20</v>
      </c>
      <c r="F134" s="304">
        <v>1440</v>
      </c>
      <c r="G134" s="307">
        <v>72</v>
      </c>
      <c r="H134" s="598"/>
      <c r="I134" s="199">
        <f t="shared" si="80"/>
        <v>19.166666666666668</v>
      </c>
      <c r="J134" s="199">
        <f t="shared" si="80"/>
        <v>1263.8074339626235</v>
      </c>
      <c r="K134" s="468">
        <f t="shared" si="81"/>
        <v>65.977960183496478</v>
      </c>
      <c r="L134" s="613"/>
      <c r="M134" s="199">
        <f>RANK(K134, K$128:$K$142)</f>
        <v>10</v>
      </c>
    </row>
    <row r="135" spans="2:13">
      <c r="B135" s="533"/>
      <c r="C135" s="304">
        <v>8</v>
      </c>
      <c r="D135" s="226" t="s">
        <v>504</v>
      </c>
      <c r="E135" s="182">
        <v>18</v>
      </c>
      <c r="F135" s="304">
        <v>1385</v>
      </c>
      <c r="G135" s="307">
        <v>76.944444444444443</v>
      </c>
      <c r="H135" s="598"/>
      <c r="I135" s="199">
        <f t="shared" si="80"/>
        <v>17.19047619047619</v>
      </c>
      <c r="J135" s="199">
        <f t="shared" si="80"/>
        <v>1217.2712153862503</v>
      </c>
      <c r="K135" s="468">
        <f t="shared" si="81"/>
        <v>70.867399785931255</v>
      </c>
      <c r="L135" s="613"/>
      <c r="M135" s="199">
        <f>RANK(K135, K$128:$K$142)</f>
        <v>5</v>
      </c>
    </row>
    <row r="136" spans="2:13">
      <c r="B136" s="533"/>
      <c r="C136" s="304">
        <v>9</v>
      </c>
      <c r="D136" s="313" t="s">
        <v>976</v>
      </c>
      <c r="E136" s="304">
        <v>21</v>
      </c>
      <c r="F136" s="304">
        <v>1385</v>
      </c>
      <c r="G136" s="304">
        <v>65.952380952380949</v>
      </c>
      <c r="H136" s="598"/>
      <c r="I136" s="401">
        <f t="shared" si="80"/>
        <v>19.5</v>
      </c>
      <c r="J136" s="401">
        <f t="shared" si="80"/>
        <v>1213.2904434179673</v>
      </c>
      <c r="K136" s="468">
        <f t="shared" si="81"/>
        <v>62.25023945792492</v>
      </c>
      <c r="L136" s="613"/>
      <c r="M136" s="199">
        <f>RANK(K136, K$128:$K$142)</f>
        <v>12</v>
      </c>
    </row>
    <row r="137" spans="2:13">
      <c r="B137" s="533"/>
      <c r="C137" s="304">
        <v>10</v>
      </c>
      <c r="D137" s="313" t="s">
        <v>977</v>
      </c>
      <c r="E137" s="304">
        <v>16</v>
      </c>
      <c r="F137" s="304">
        <v>1565</v>
      </c>
      <c r="G137" s="304">
        <v>97.8125</v>
      </c>
      <c r="H137" s="598"/>
      <c r="I137" s="401">
        <f t="shared" si="80"/>
        <v>15</v>
      </c>
      <c r="J137" s="401">
        <f t="shared" si="80"/>
        <v>1133.1459005382903</v>
      </c>
      <c r="K137" s="468">
        <f t="shared" si="81"/>
        <v>75.543060035886029</v>
      </c>
      <c r="L137" s="613"/>
      <c r="M137" s="199">
        <f>RANK(K137, K$128:$K$142)</f>
        <v>3</v>
      </c>
    </row>
    <row r="138" spans="2:13">
      <c r="B138" s="533"/>
      <c r="C138" s="304">
        <v>11</v>
      </c>
      <c r="D138" s="226" t="s">
        <v>581</v>
      </c>
      <c r="E138" s="304">
        <v>19</v>
      </c>
      <c r="F138" s="304">
        <v>1440</v>
      </c>
      <c r="G138" s="304">
        <v>75.78947368421052</v>
      </c>
      <c r="H138" s="598"/>
      <c r="I138" s="401">
        <f t="shared" si="80"/>
        <v>16.19047619047619</v>
      </c>
      <c r="J138" s="401">
        <f t="shared" si="80"/>
        <v>1274.4417458624148</v>
      </c>
      <c r="K138" s="468">
        <f t="shared" si="81"/>
        <v>78.765466997226483</v>
      </c>
      <c r="L138" s="613"/>
      <c r="M138" s="199">
        <f>RANK(K138, K$128:$K$142)</f>
        <v>2</v>
      </c>
    </row>
    <row r="139" spans="2:13">
      <c r="B139" s="533"/>
      <c r="C139" s="304">
        <v>12</v>
      </c>
      <c r="D139" s="226" t="s">
        <v>625</v>
      </c>
      <c r="E139" s="304">
        <v>19</v>
      </c>
      <c r="F139" s="304">
        <v>1385</v>
      </c>
      <c r="G139" s="304">
        <v>72.89473684210526</v>
      </c>
      <c r="H139" s="598"/>
      <c r="I139" s="401">
        <f t="shared" si="80"/>
        <v>16.971428571428572</v>
      </c>
      <c r="J139" s="401">
        <f t="shared" si="80"/>
        <v>1164.1928644973771</v>
      </c>
      <c r="K139" s="468">
        <f t="shared" si="81"/>
        <v>68.614142907790708</v>
      </c>
      <c r="L139" s="613"/>
      <c r="M139" s="199">
        <f>RANK(K139, K$128:$K$142)</f>
        <v>8</v>
      </c>
    </row>
    <row r="140" spans="2:13">
      <c r="B140" s="533"/>
      <c r="C140" s="304">
        <v>13</v>
      </c>
      <c r="D140" s="226"/>
      <c r="E140" s="304"/>
      <c r="F140" s="304"/>
      <c r="G140" s="304"/>
      <c r="H140" s="598"/>
      <c r="I140" s="199"/>
      <c r="J140" s="199"/>
      <c r="K140" s="199"/>
      <c r="L140" s="613"/>
      <c r="M140" s="199" t="e">
        <f>RANK(K140, K$128:$K$142)</f>
        <v>#N/A</v>
      </c>
    </row>
    <row r="141" spans="2:13">
      <c r="B141" s="533"/>
      <c r="C141" s="304">
        <v>14</v>
      </c>
      <c r="D141" s="226"/>
      <c r="E141" s="304"/>
      <c r="F141" s="304"/>
      <c r="G141" s="304"/>
      <c r="H141" s="598"/>
      <c r="I141" s="199"/>
      <c r="J141" s="199"/>
      <c r="K141" s="199"/>
      <c r="L141" s="613"/>
      <c r="M141" s="199" t="e">
        <f>RANK(K141, K$128:$K$142)</f>
        <v>#N/A</v>
      </c>
    </row>
    <row r="142" spans="2:13">
      <c r="B142" s="533"/>
      <c r="C142" s="304">
        <v>15</v>
      </c>
      <c r="D142" s="226"/>
      <c r="E142" s="304"/>
      <c r="F142" s="304"/>
      <c r="G142" s="304"/>
      <c r="H142" s="599"/>
      <c r="I142" s="199"/>
      <c r="J142" s="199"/>
      <c r="K142" s="199"/>
      <c r="L142" s="614"/>
      <c r="M142" s="199" t="e">
        <f>RANK(K142, K$128:$K$142)</f>
        <v>#N/A</v>
      </c>
    </row>
  </sheetData>
  <mergeCells count="367">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T22:AX22"/>
    <mergeCell ref="P23:T23"/>
    <mergeCell ref="U23:Y23"/>
    <mergeCell ref="Z23:AD23"/>
    <mergeCell ref="AE23:AI23"/>
    <mergeCell ref="AJ23:AN23"/>
    <mergeCell ref="AO23:AS23"/>
    <mergeCell ref="AT23:AX23"/>
    <mergeCell ref="AX7:AX21"/>
    <mergeCell ref="B22:H23"/>
    <mergeCell ref="N22:N23"/>
    <mergeCell ref="O22:O23"/>
    <mergeCell ref="P22:T22"/>
    <mergeCell ref="U22:Y22"/>
    <mergeCell ref="Z22:AD22"/>
    <mergeCell ref="AE22:AI22"/>
    <mergeCell ref="AJ22:AN22"/>
    <mergeCell ref="AO22:AS22"/>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102:H103"/>
    <mergeCell ref="N102:N103"/>
    <mergeCell ref="O102:O103"/>
    <mergeCell ref="P102:T102"/>
    <mergeCell ref="U102:Y102"/>
    <mergeCell ref="Z102:AD102"/>
    <mergeCell ref="AE102:AI102"/>
    <mergeCell ref="AJ102:AN102"/>
    <mergeCell ref="AO102:AS102"/>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s>
  <phoneticPr fontId="11" type="noConversion"/>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142"/>
  <sheetViews>
    <sheetView tabSelected="1" topLeftCell="A103" zoomScale="70" zoomScaleNormal="70" workbookViewId="0">
      <pane xSplit="15" topLeftCell="Q1" activePane="topRight" state="frozen"/>
      <selection activeCell="B144" sqref="B144:AX176"/>
      <selection pane="topRight" activeCell="I95" sqref="I95:K95"/>
    </sheetView>
  </sheetViews>
  <sheetFormatPr defaultColWidth="8.81640625" defaultRowHeight="12.5"/>
  <cols>
    <col min="1" max="1" width="5.54296875" style="108" customWidth="1"/>
    <col min="2" max="2" width="12.453125" style="108" customWidth="1"/>
    <col min="3" max="3" width="8.81640625" style="107"/>
    <col min="4" max="4" width="26.453125" style="107" customWidth="1"/>
    <col min="5" max="7" width="8.453125" style="107" customWidth="1"/>
    <col min="8" max="8" width="11.1796875" style="107" bestFit="1" customWidth="1"/>
    <col min="9" max="12" width="11.1796875" style="107" customWidth="1"/>
    <col min="13" max="13" width="13.54296875" style="107" customWidth="1"/>
    <col min="14" max="14" width="9.81640625" style="107" customWidth="1"/>
    <col min="15" max="15" width="7.1796875" style="107" customWidth="1"/>
    <col min="16" max="18" width="12.81640625" style="107" customWidth="1"/>
    <col min="19" max="19" width="5.453125" style="107" customWidth="1"/>
    <col min="20" max="20" width="12.81640625" style="107" customWidth="1"/>
    <col min="21" max="23" width="12.81640625" style="108" customWidth="1"/>
    <col min="24" max="24" width="5.453125" style="107" customWidth="1"/>
    <col min="25" max="28" width="12.81640625" style="108" customWidth="1"/>
    <col min="29" max="29" width="5.453125" style="107" customWidth="1"/>
    <col min="30" max="30" width="12.81640625" style="108" customWidth="1"/>
    <col min="31" max="33" width="12.54296875" style="108" customWidth="1"/>
    <col min="34" max="34" width="5.453125" style="107" customWidth="1"/>
    <col min="35" max="35" width="13" style="108" customWidth="1"/>
    <col min="36" max="38" width="12.54296875" style="108" customWidth="1"/>
    <col min="39" max="39" width="5.453125" style="107" customWidth="1"/>
    <col min="40" max="40" width="13" style="108" customWidth="1"/>
    <col min="41" max="43" width="13.1796875" style="108" customWidth="1"/>
    <col min="44" max="44" width="5.453125" style="108" customWidth="1"/>
    <col min="45" max="48" width="13.1796875" style="108" customWidth="1"/>
    <col min="49" max="49" width="5.453125" style="108" customWidth="1"/>
    <col min="50" max="50" width="13.1796875" style="108" customWidth="1"/>
    <col min="51" max="16384" width="8.81640625" style="108"/>
  </cols>
  <sheetData>
    <row r="1" spans="1:54" ht="21">
      <c r="A1" s="75"/>
      <c r="B1" s="221" t="s">
        <v>330</v>
      </c>
      <c r="C1" s="220">
        <f>AVERAGE(L7,L27,L47,L67,L87,L107)</f>
        <v>70.92811787954497</v>
      </c>
    </row>
    <row r="2" spans="1:54" ht="15.5">
      <c r="A2" s="81"/>
      <c r="B2" s="555" t="s">
        <v>163</v>
      </c>
      <c r="C2" s="555"/>
      <c r="D2" s="555"/>
      <c r="E2" s="555"/>
      <c r="F2" s="555"/>
      <c r="G2" s="555"/>
      <c r="H2" s="555"/>
      <c r="I2" s="287"/>
      <c r="J2" s="287"/>
      <c r="K2" s="287"/>
      <c r="L2" s="287"/>
      <c r="M2" s="197"/>
      <c r="N2" s="559" t="s">
        <v>156</v>
      </c>
      <c r="O2" s="559" t="s">
        <v>155</v>
      </c>
      <c r="P2" s="607"/>
      <c r="Q2" s="608"/>
      <c r="R2" s="608"/>
      <c r="S2" s="608"/>
      <c r="T2" s="609"/>
      <c r="U2" s="554"/>
      <c r="V2" s="533"/>
      <c r="W2" s="533"/>
      <c r="X2" s="533"/>
      <c r="Y2" s="533"/>
      <c r="Z2" s="554"/>
      <c r="AA2" s="533"/>
      <c r="AB2" s="533"/>
      <c r="AC2" s="533"/>
      <c r="AD2" s="533"/>
      <c r="AE2" s="554"/>
      <c r="AF2" s="533"/>
      <c r="AG2" s="533"/>
      <c r="AH2" s="533"/>
      <c r="AI2" s="533"/>
      <c r="AJ2" s="554">
        <v>45962</v>
      </c>
      <c r="AK2" s="533"/>
      <c r="AL2" s="533"/>
      <c r="AM2" s="533"/>
      <c r="AN2" s="533"/>
      <c r="AO2" s="554">
        <f>AJ2+1</f>
        <v>45963</v>
      </c>
      <c r="AP2" s="533"/>
      <c r="AQ2" s="533"/>
      <c r="AR2" s="533"/>
      <c r="AS2" s="533"/>
      <c r="AT2" s="554">
        <v>46357</v>
      </c>
      <c r="AU2" s="533"/>
      <c r="AV2" s="533"/>
      <c r="AW2" s="533"/>
      <c r="AX2" s="533"/>
    </row>
    <row r="3" spans="1:54" ht="15.5">
      <c r="A3" s="81"/>
      <c r="B3" s="566"/>
      <c r="C3" s="566"/>
      <c r="D3" s="566"/>
      <c r="E3" s="566"/>
      <c r="F3" s="566"/>
      <c r="G3" s="566"/>
      <c r="H3" s="566"/>
      <c r="I3" s="288"/>
      <c r="J3" s="288"/>
      <c r="K3" s="288"/>
      <c r="L3" s="288"/>
      <c r="M3" s="198"/>
      <c r="N3" s="560"/>
      <c r="O3" s="560"/>
      <c r="P3" s="551"/>
      <c r="Q3" s="552"/>
      <c r="R3" s="552"/>
      <c r="S3" s="552"/>
      <c r="T3" s="553"/>
      <c r="U3" s="551"/>
      <c r="V3" s="552"/>
      <c r="W3" s="552"/>
      <c r="X3" s="552"/>
      <c r="Y3" s="553"/>
      <c r="Z3" s="551"/>
      <c r="AA3" s="552"/>
      <c r="AB3" s="552"/>
      <c r="AC3" s="552"/>
      <c r="AD3" s="553"/>
      <c r="AE3" s="551"/>
      <c r="AF3" s="552"/>
      <c r="AG3" s="552"/>
      <c r="AH3" s="552"/>
      <c r="AI3" s="553"/>
      <c r="AJ3" s="551" t="s">
        <v>160</v>
      </c>
      <c r="AK3" s="552"/>
      <c r="AL3" s="552"/>
      <c r="AM3" s="552"/>
      <c r="AN3" s="553"/>
      <c r="AO3" s="551" t="s">
        <v>161</v>
      </c>
      <c r="AP3" s="552"/>
      <c r="AQ3" s="552"/>
      <c r="AR3" s="552"/>
      <c r="AS3" s="553"/>
      <c r="AT3" s="551" t="s">
        <v>162</v>
      </c>
      <c r="AU3" s="552"/>
      <c r="AV3" s="552"/>
      <c r="AW3" s="552"/>
      <c r="AX3" s="553"/>
    </row>
    <row r="4" spans="1:54">
      <c r="A4" s="81"/>
      <c r="B4" s="544" t="s">
        <v>720</v>
      </c>
      <c r="C4" s="544" t="s">
        <v>721</v>
      </c>
      <c r="D4" s="544"/>
      <c r="E4" s="544" t="s">
        <v>722</v>
      </c>
      <c r="F4" s="544"/>
      <c r="G4" s="544"/>
      <c r="H4" s="561" t="s">
        <v>723</v>
      </c>
      <c r="I4" s="583" t="s">
        <v>724</v>
      </c>
      <c r="J4" s="583"/>
      <c r="K4" s="583"/>
      <c r="L4" s="584" t="s">
        <v>723</v>
      </c>
      <c r="M4" s="567" t="s">
        <v>725</v>
      </c>
      <c r="N4" s="544"/>
      <c r="O4" s="544" t="s">
        <v>726</v>
      </c>
      <c r="P4" s="548" t="s">
        <v>727</v>
      </c>
      <c r="Q4" s="549"/>
      <c r="R4" s="549"/>
      <c r="S4" s="550"/>
      <c r="T4" s="544" t="s">
        <v>728</v>
      </c>
      <c r="U4" s="548" t="s">
        <v>729</v>
      </c>
      <c r="V4" s="549"/>
      <c r="W4" s="549"/>
      <c r="X4" s="550"/>
      <c r="Y4" s="544" t="s">
        <v>728</v>
      </c>
      <c r="Z4" s="548" t="s">
        <v>729</v>
      </c>
      <c r="AA4" s="549"/>
      <c r="AB4" s="549"/>
      <c r="AC4" s="550"/>
      <c r="AD4" s="544" t="s">
        <v>730</v>
      </c>
      <c r="AE4" s="548" t="s">
        <v>731</v>
      </c>
      <c r="AF4" s="549"/>
      <c r="AG4" s="549"/>
      <c r="AH4" s="550"/>
      <c r="AI4" s="544" t="s">
        <v>732</v>
      </c>
      <c r="AJ4" s="548" t="s">
        <v>733</v>
      </c>
      <c r="AK4" s="549"/>
      <c r="AL4" s="549"/>
      <c r="AM4" s="550"/>
      <c r="AN4" s="544" t="s">
        <v>728</v>
      </c>
      <c r="AO4" s="548" t="s">
        <v>729</v>
      </c>
      <c r="AP4" s="549"/>
      <c r="AQ4" s="549"/>
      <c r="AR4" s="550"/>
      <c r="AS4" s="544" t="s">
        <v>734</v>
      </c>
      <c r="AT4" s="548" t="s">
        <v>735</v>
      </c>
      <c r="AU4" s="549"/>
      <c r="AV4" s="549"/>
      <c r="AW4" s="550"/>
      <c r="AX4" s="544" t="s">
        <v>730</v>
      </c>
    </row>
    <row r="5" spans="1:54">
      <c r="A5" s="81"/>
      <c r="B5" s="544"/>
      <c r="C5" s="544"/>
      <c r="D5" s="544"/>
      <c r="E5" s="544" t="s">
        <v>736</v>
      </c>
      <c r="F5" s="544"/>
      <c r="G5" s="544"/>
      <c r="H5" s="562"/>
      <c r="I5" s="583" t="s">
        <v>737</v>
      </c>
      <c r="J5" s="583"/>
      <c r="K5" s="583"/>
      <c r="L5" s="585"/>
      <c r="M5" s="568"/>
      <c r="N5" s="544"/>
      <c r="O5" s="544"/>
      <c r="P5" s="548" t="s">
        <v>738</v>
      </c>
      <c r="Q5" s="549"/>
      <c r="R5" s="549"/>
      <c r="S5" s="550"/>
      <c r="T5" s="544"/>
      <c r="U5" s="548" t="s">
        <v>738</v>
      </c>
      <c r="V5" s="549"/>
      <c r="W5" s="549"/>
      <c r="X5" s="550"/>
      <c r="Y5" s="544"/>
      <c r="Z5" s="548" t="s">
        <v>738</v>
      </c>
      <c r="AA5" s="549"/>
      <c r="AB5" s="549"/>
      <c r="AC5" s="550"/>
      <c r="AD5" s="544"/>
      <c r="AE5" s="548" t="s">
        <v>739</v>
      </c>
      <c r="AF5" s="549"/>
      <c r="AG5" s="549"/>
      <c r="AH5" s="550"/>
      <c r="AI5" s="544"/>
      <c r="AJ5" s="548" t="s">
        <v>739</v>
      </c>
      <c r="AK5" s="549"/>
      <c r="AL5" s="549"/>
      <c r="AM5" s="550"/>
      <c r="AN5" s="544"/>
      <c r="AO5" s="548" t="s">
        <v>740</v>
      </c>
      <c r="AP5" s="549"/>
      <c r="AQ5" s="549"/>
      <c r="AR5" s="550"/>
      <c r="AS5" s="544"/>
      <c r="AT5" s="548" t="s">
        <v>658</v>
      </c>
      <c r="AU5" s="549"/>
      <c r="AV5" s="549"/>
      <c r="AW5" s="550"/>
      <c r="AX5" s="544"/>
    </row>
    <row r="6" spans="1:54">
      <c r="A6" s="79"/>
      <c r="B6" s="544"/>
      <c r="C6" s="544"/>
      <c r="D6" s="544"/>
      <c r="E6" s="403" t="s">
        <v>659</v>
      </c>
      <c r="F6" s="403" t="s">
        <v>660</v>
      </c>
      <c r="G6" s="403" t="s">
        <v>661</v>
      </c>
      <c r="H6" s="563"/>
      <c r="I6" s="402" t="s">
        <v>659</v>
      </c>
      <c r="J6" s="402" t="s">
        <v>660</v>
      </c>
      <c r="K6" s="402" t="s">
        <v>661</v>
      </c>
      <c r="L6" s="586"/>
      <c r="M6" s="569"/>
      <c r="N6" s="544"/>
      <c r="O6" s="544"/>
      <c r="P6" s="403" t="s">
        <v>659</v>
      </c>
      <c r="Q6" s="403" t="s">
        <v>660</v>
      </c>
      <c r="R6" s="403" t="s">
        <v>661</v>
      </c>
      <c r="S6" s="403" t="s">
        <v>654</v>
      </c>
      <c r="T6" s="544"/>
      <c r="U6" s="403" t="s">
        <v>659</v>
      </c>
      <c r="V6" s="403" t="s">
        <v>660</v>
      </c>
      <c r="W6" s="403" t="s">
        <v>661</v>
      </c>
      <c r="X6" s="403" t="s">
        <v>654</v>
      </c>
      <c r="Y6" s="544"/>
      <c r="Z6" s="403" t="s">
        <v>659</v>
      </c>
      <c r="AA6" s="403" t="s">
        <v>660</v>
      </c>
      <c r="AB6" s="403" t="s">
        <v>661</v>
      </c>
      <c r="AC6" s="403" t="s">
        <v>654</v>
      </c>
      <c r="AD6" s="544"/>
      <c r="AE6" s="403" t="s">
        <v>659</v>
      </c>
      <c r="AF6" s="403" t="s">
        <v>660</v>
      </c>
      <c r="AG6" s="403" t="s">
        <v>661</v>
      </c>
      <c r="AH6" s="403" t="s">
        <v>654</v>
      </c>
      <c r="AI6" s="544"/>
      <c r="AJ6" s="403" t="s">
        <v>659</v>
      </c>
      <c r="AK6" s="403" t="s">
        <v>660</v>
      </c>
      <c r="AL6" s="403" t="s">
        <v>661</v>
      </c>
      <c r="AM6" s="403" t="s">
        <v>654</v>
      </c>
      <c r="AN6" s="544"/>
      <c r="AO6" s="403" t="s">
        <v>659</v>
      </c>
      <c r="AP6" s="403" t="s">
        <v>660</v>
      </c>
      <c r="AQ6" s="403" t="s">
        <v>661</v>
      </c>
      <c r="AR6" s="403" t="s">
        <v>654</v>
      </c>
      <c r="AS6" s="544"/>
      <c r="AT6" s="403" t="s">
        <v>659</v>
      </c>
      <c r="AU6" s="403" t="s">
        <v>660</v>
      </c>
      <c r="AV6" s="403" t="s">
        <v>661</v>
      </c>
      <c r="AW6" s="403" t="s">
        <v>654</v>
      </c>
      <c r="AX6" s="544"/>
    </row>
    <row r="7" spans="1:54">
      <c r="A7" s="81"/>
      <c r="B7" s="544" t="s">
        <v>741</v>
      </c>
      <c r="C7" s="404">
        <v>1</v>
      </c>
      <c r="D7" s="226" t="s">
        <v>393</v>
      </c>
      <c r="E7" s="182">
        <v>18</v>
      </c>
      <c r="F7" s="404">
        <v>1636</v>
      </c>
      <c r="G7" s="405">
        <v>90.888888888888886</v>
      </c>
      <c r="H7" s="597">
        <f>AVERAGE(G7:G21)</f>
        <v>87.782109015855156</v>
      </c>
      <c r="I7" s="408">
        <f>AVERAGE(P7,U7,Z7,AE7,AJ7,AO7,AT7)</f>
        <v>18</v>
      </c>
      <c r="J7" s="408">
        <f>AVERAGE(Q7,V7,AA7,AF7,AK7,AP7,AU7)</f>
        <v>1391.5046511627907</v>
      </c>
      <c r="K7" s="406">
        <f>AVERAGE(R7,W7,AB7,AG7,AL7,AQ7,AV7)</f>
        <v>77.305813953488368</v>
      </c>
      <c r="L7" s="587">
        <f>IFERROR(AVERAGE(K7:K21),"-")</f>
        <v>74.961561041161517</v>
      </c>
      <c r="M7" s="407">
        <f>RANK(K7, $K$7:K$21)</f>
        <v>5</v>
      </c>
      <c r="N7" s="544"/>
      <c r="O7" s="544"/>
      <c r="P7" s="182"/>
      <c r="Q7" s="182"/>
      <c r="R7" s="182"/>
      <c r="S7" s="404" t="e">
        <f t="shared" ref="S7:S21" si="0">RANK(R7, R$7:R$21)</f>
        <v>#N/A</v>
      </c>
      <c r="T7" s="534" t="e">
        <f t="shared" ref="T7" si="1">AVERAGE(R7:R21)</f>
        <v>#DIV/0!</v>
      </c>
      <c r="U7" s="182"/>
      <c r="V7" s="182"/>
      <c r="W7" s="182"/>
      <c r="X7" s="404" t="e">
        <f t="shared" ref="X7:X21" si="2">RANK(W7, W$7:W$21)</f>
        <v>#N/A</v>
      </c>
      <c r="Y7" s="534" t="e">
        <f t="shared" ref="Y7" si="3">AVERAGE(W7:W21)</f>
        <v>#DIV/0!</v>
      </c>
      <c r="Z7" s="182"/>
      <c r="AA7" s="182"/>
      <c r="AB7" s="182"/>
      <c r="AC7" s="404" t="e">
        <f t="shared" ref="AC7:AC21" si="4">RANK(AB7, AB$7:AB$21)</f>
        <v>#N/A</v>
      </c>
      <c r="AD7" s="534" t="e">
        <f t="shared" ref="AD7" si="5">AVERAGE(AB7:AB21)</f>
        <v>#DIV/0!</v>
      </c>
      <c r="AE7" s="182"/>
      <c r="AF7" s="182"/>
      <c r="AG7" s="182"/>
      <c r="AH7" s="404" t="e">
        <f t="shared" ref="AH7:AH21" si="6">RANK(AG7, AG$7:AG$21)</f>
        <v>#N/A</v>
      </c>
      <c r="AI7" s="534" t="e">
        <f t="shared" ref="AI7" si="7">AVERAGE(AG7:AG21)</f>
        <v>#DIV/0!</v>
      </c>
      <c r="AJ7" s="182"/>
      <c r="AK7" s="182"/>
      <c r="AL7" s="182"/>
      <c r="AM7" s="404" t="e">
        <f t="shared" ref="AM7:AM21" si="8">RANK(AL7, AL$7:AL$21)</f>
        <v>#N/A</v>
      </c>
      <c r="AN7" s="534" t="e">
        <f t="shared" ref="AN7" si="9">AVERAGE(AL7:AL21)</f>
        <v>#DIV/0!</v>
      </c>
      <c r="AO7" s="182"/>
      <c r="AP7" s="182"/>
      <c r="AQ7" s="182"/>
      <c r="AR7" s="404" t="e">
        <f t="shared" ref="AR7:AR21" si="10">RANK(AQ7, AQ$7:AQ$21)</f>
        <v>#N/A</v>
      </c>
      <c r="AS7" s="534" t="e">
        <f t="shared" ref="AS7" si="11">AVERAGE(AQ7:AQ21)</f>
        <v>#DIV/0!</v>
      </c>
      <c r="AT7" s="182">
        <v>18</v>
      </c>
      <c r="AU7" s="182">
        <v>1391.5046511627907</v>
      </c>
      <c r="AV7" s="182">
        <v>77.305813953488368</v>
      </c>
      <c r="AW7" s="404">
        <f>RANK(AV7, AV$7:AV$21)</f>
        <v>5</v>
      </c>
      <c r="AX7" s="534">
        <f>AVERAGE(AV7:AV21)</f>
        <v>74.515646144250582</v>
      </c>
      <c r="AZ7" s="321" t="e">
        <f>RANK(AX7, $K$7:AX$21)</f>
        <v>#N/A</v>
      </c>
      <c r="BB7" s="318" t="e">
        <f>RANK(BA7, BA$7:BA$21)</f>
        <v>#N/A</v>
      </c>
    </row>
    <row r="8" spans="1:54" ht="15" customHeight="1">
      <c r="A8" s="81"/>
      <c r="B8" s="533"/>
      <c r="C8" s="404">
        <v>2</v>
      </c>
      <c r="D8" s="226" t="s">
        <v>347</v>
      </c>
      <c r="E8" s="182">
        <v>17</v>
      </c>
      <c r="F8" s="404">
        <v>1636</v>
      </c>
      <c r="G8" s="405">
        <v>96.235294117647058</v>
      </c>
      <c r="H8" s="598"/>
      <c r="I8" s="408">
        <f t="shared" ref="I8:K16" si="12">AVERAGE(P8,U8,Z8,AE8,AJ8,AO8,AT8)</f>
        <v>16</v>
      </c>
      <c r="J8" s="408">
        <f t="shared" si="12"/>
        <v>1360.409142857143</v>
      </c>
      <c r="K8" s="406">
        <f t="shared" si="12"/>
        <v>85.025571428571439</v>
      </c>
      <c r="L8" s="588"/>
      <c r="M8" s="407">
        <f>RANK(K8, $K$7:K$21)</f>
        <v>2</v>
      </c>
      <c r="N8" s="544"/>
      <c r="O8" s="544"/>
      <c r="P8" s="182"/>
      <c r="Q8" s="182"/>
      <c r="R8" s="182"/>
      <c r="S8" s="404" t="e">
        <f t="shared" si="0"/>
        <v>#N/A</v>
      </c>
      <c r="T8" s="534"/>
      <c r="U8" s="182"/>
      <c r="V8" s="182"/>
      <c r="W8" s="182"/>
      <c r="X8" s="404" t="e">
        <f t="shared" si="2"/>
        <v>#N/A</v>
      </c>
      <c r="Y8" s="534"/>
      <c r="Z8" s="182"/>
      <c r="AA8" s="182"/>
      <c r="AB8" s="182"/>
      <c r="AC8" s="404" t="e">
        <f t="shared" si="4"/>
        <v>#N/A</v>
      </c>
      <c r="AD8" s="534"/>
      <c r="AE8" s="182"/>
      <c r="AF8" s="182"/>
      <c r="AG8" s="182"/>
      <c r="AH8" s="404" t="e">
        <f t="shared" si="6"/>
        <v>#N/A</v>
      </c>
      <c r="AI8" s="534"/>
      <c r="AJ8" s="182"/>
      <c r="AK8" s="182"/>
      <c r="AL8" s="182"/>
      <c r="AM8" s="404" t="e">
        <f t="shared" si="8"/>
        <v>#N/A</v>
      </c>
      <c r="AN8" s="534"/>
      <c r="AO8" s="182"/>
      <c r="AP8" s="182"/>
      <c r="AQ8" s="182"/>
      <c r="AR8" s="404" t="e">
        <f t="shared" si="10"/>
        <v>#N/A</v>
      </c>
      <c r="AS8" s="534"/>
      <c r="AT8" s="182">
        <v>16</v>
      </c>
      <c r="AU8" s="182">
        <v>1360.409142857143</v>
      </c>
      <c r="AV8" s="182">
        <v>85.025571428571439</v>
      </c>
      <c r="AW8" s="404">
        <f t="shared" ref="AW8:AW21" si="13">RANK(AV8, AV$7:AV$21)</f>
        <v>2</v>
      </c>
      <c r="AX8" s="534"/>
      <c r="AZ8" s="321" t="e">
        <f>RANK(AX8, $K$7:AX$21)</f>
        <v>#N/A</v>
      </c>
      <c r="BB8" s="318" t="e">
        <f t="shared" ref="BB8:BB21" si="14">RANK(BA8, BA$7:BA$21)</f>
        <v>#N/A</v>
      </c>
    </row>
    <row r="9" spans="1:54">
      <c r="A9" s="81"/>
      <c r="B9" s="533"/>
      <c r="C9" s="404">
        <v>3</v>
      </c>
      <c r="D9" s="226" t="s">
        <v>573</v>
      </c>
      <c r="E9" s="182">
        <v>12</v>
      </c>
      <c r="F9" s="404">
        <v>1500</v>
      </c>
      <c r="G9" s="405">
        <v>125</v>
      </c>
      <c r="H9" s="598"/>
      <c r="I9" s="408">
        <f t="shared" si="12"/>
        <v>12</v>
      </c>
      <c r="J9" s="408">
        <f t="shared" si="12"/>
        <v>1339.4999999999995</v>
      </c>
      <c r="K9" s="406">
        <f t="shared" si="12"/>
        <v>111.62499999999996</v>
      </c>
      <c r="L9" s="588"/>
      <c r="M9" s="407">
        <f>RANK(K9, $K$7:K$21)</f>
        <v>1</v>
      </c>
      <c r="N9" s="544"/>
      <c r="O9" s="544"/>
      <c r="P9" s="182"/>
      <c r="Q9" s="182"/>
      <c r="R9" s="182"/>
      <c r="S9" s="404" t="e">
        <f t="shared" si="0"/>
        <v>#N/A</v>
      </c>
      <c r="T9" s="534"/>
      <c r="U9" s="182"/>
      <c r="V9" s="182"/>
      <c r="W9" s="182"/>
      <c r="X9" s="404" t="e">
        <f t="shared" si="2"/>
        <v>#N/A</v>
      </c>
      <c r="Y9" s="534"/>
      <c r="Z9" s="182"/>
      <c r="AA9" s="182"/>
      <c r="AB9" s="182"/>
      <c r="AC9" s="404" t="e">
        <f t="shared" si="4"/>
        <v>#N/A</v>
      </c>
      <c r="AD9" s="534"/>
      <c r="AE9" s="182"/>
      <c r="AF9" s="182"/>
      <c r="AG9" s="182"/>
      <c r="AH9" s="404" t="e">
        <f t="shared" si="6"/>
        <v>#N/A</v>
      </c>
      <c r="AI9" s="534"/>
      <c r="AJ9" s="182"/>
      <c r="AK9" s="182"/>
      <c r="AL9" s="182"/>
      <c r="AM9" s="404" t="e">
        <f t="shared" si="8"/>
        <v>#N/A</v>
      </c>
      <c r="AN9" s="534"/>
      <c r="AO9" s="182"/>
      <c r="AP9" s="182"/>
      <c r="AQ9" s="182"/>
      <c r="AR9" s="404" t="e">
        <f t="shared" si="10"/>
        <v>#N/A</v>
      </c>
      <c r="AS9" s="534"/>
      <c r="AT9" s="182">
        <v>12</v>
      </c>
      <c r="AU9" s="182">
        <v>1339.4999999999995</v>
      </c>
      <c r="AV9" s="182">
        <v>111.62499999999996</v>
      </c>
      <c r="AW9" s="404">
        <f t="shared" si="13"/>
        <v>1</v>
      </c>
      <c r="AX9" s="534"/>
      <c r="AZ9" s="321" t="e">
        <f>RANK(AX9, $K$7:AX$21)</f>
        <v>#N/A</v>
      </c>
      <c r="BB9" s="318" t="e">
        <f t="shared" si="14"/>
        <v>#N/A</v>
      </c>
    </row>
    <row r="10" spans="1:54">
      <c r="A10" s="81"/>
      <c r="B10" s="533"/>
      <c r="C10" s="404">
        <v>4</v>
      </c>
      <c r="D10" s="226" t="s">
        <v>479</v>
      </c>
      <c r="E10" s="182">
        <v>17</v>
      </c>
      <c r="F10" s="404">
        <v>1636</v>
      </c>
      <c r="G10" s="405">
        <v>96.235294117647058</v>
      </c>
      <c r="H10" s="598"/>
      <c r="I10" s="408">
        <f t="shared" si="12"/>
        <v>17</v>
      </c>
      <c r="J10" s="408">
        <f t="shared" si="12"/>
        <v>1371.1475409836062</v>
      </c>
      <c r="K10" s="406">
        <f t="shared" si="12"/>
        <v>80.65573770491801</v>
      </c>
      <c r="L10" s="588"/>
      <c r="M10" s="407">
        <f>RANK(K10, $K$7:K$21)</f>
        <v>3</v>
      </c>
      <c r="N10" s="544"/>
      <c r="O10" s="544"/>
      <c r="P10" s="182"/>
      <c r="Q10" s="182"/>
      <c r="R10" s="182"/>
      <c r="S10" s="404" t="e">
        <f t="shared" si="0"/>
        <v>#N/A</v>
      </c>
      <c r="T10" s="534"/>
      <c r="U10" s="182"/>
      <c r="V10" s="182"/>
      <c r="W10" s="182"/>
      <c r="X10" s="404" t="e">
        <f t="shared" si="2"/>
        <v>#N/A</v>
      </c>
      <c r="Y10" s="534"/>
      <c r="Z10" s="182"/>
      <c r="AA10" s="182"/>
      <c r="AB10" s="182"/>
      <c r="AC10" s="404" t="e">
        <f t="shared" si="4"/>
        <v>#N/A</v>
      </c>
      <c r="AD10" s="534"/>
      <c r="AE10" s="182"/>
      <c r="AF10" s="182"/>
      <c r="AG10" s="182"/>
      <c r="AH10" s="404" t="e">
        <f t="shared" si="6"/>
        <v>#N/A</v>
      </c>
      <c r="AI10" s="534"/>
      <c r="AJ10" s="182"/>
      <c r="AK10" s="182"/>
      <c r="AL10" s="182"/>
      <c r="AM10" s="404" t="e">
        <f t="shared" si="8"/>
        <v>#N/A</v>
      </c>
      <c r="AN10" s="534"/>
      <c r="AO10" s="182"/>
      <c r="AP10" s="182"/>
      <c r="AQ10" s="182"/>
      <c r="AR10" s="404" t="e">
        <f t="shared" si="10"/>
        <v>#N/A</v>
      </c>
      <c r="AS10" s="534"/>
      <c r="AT10" s="182">
        <v>17</v>
      </c>
      <c r="AU10" s="182">
        <v>1371.1475409836062</v>
      </c>
      <c r="AV10" s="182">
        <v>80.65573770491801</v>
      </c>
      <c r="AW10" s="404">
        <f t="shared" si="13"/>
        <v>3</v>
      </c>
      <c r="AX10" s="534"/>
      <c r="AZ10" s="321" t="e">
        <f>RANK(AX10, $K$7:AX$21)</f>
        <v>#N/A</v>
      </c>
      <c r="BB10" s="318" t="e">
        <f t="shared" si="14"/>
        <v>#N/A</v>
      </c>
    </row>
    <row r="11" spans="1:54">
      <c r="A11" s="81"/>
      <c r="B11" s="533"/>
      <c r="C11" s="404">
        <v>5</v>
      </c>
      <c r="D11" s="226" t="s">
        <v>512</v>
      </c>
      <c r="E11" s="182">
        <v>17</v>
      </c>
      <c r="F11" s="404">
        <v>1385</v>
      </c>
      <c r="G11" s="405">
        <v>81.470588235294116</v>
      </c>
      <c r="H11" s="598"/>
      <c r="I11" s="408">
        <f t="shared" si="12"/>
        <v>17</v>
      </c>
      <c r="J11" s="408">
        <f t="shared" si="12"/>
        <v>1220.4000000000003</v>
      </c>
      <c r="K11" s="406">
        <f t="shared" si="12"/>
        <v>71.788235294117669</v>
      </c>
      <c r="L11" s="588"/>
      <c r="M11" s="407">
        <f>RANK(K11, $K$7:K$21)</f>
        <v>6</v>
      </c>
      <c r="N11" s="544"/>
      <c r="O11" s="544"/>
      <c r="P11" s="182"/>
      <c r="Q11" s="182"/>
      <c r="R11" s="182"/>
      <c r="S11" s="404" t="e">
        <f t="shared" si="0"/>
        <v>#N/A</v>
      </c>
      <c r="T11" s="534"/>
      <c r="U11" s="182"/>
      <c r="V11" s="182"/>
      <c r="W11" s="182"/>
      <c r="X11" s="404" t="e">
        <f t="shared" si="2"/>
        <v>#N/A</v>
      </c>
      <c r="Y11" s="534"/>
      <c r="Z11" s="182"/>
      <c r="AA11" s="182"/>
      <c r="AB11" s="182"/>
      <c r="AC11" s="404" t="e">
        <f t="shared" si="4"/>
        <v>#N/A</v>
      </c>
      <c r="AD11" s="534"/>
      <c r="AE11" s="182"/>
      <c r="AF11" s="182"/>
      <c r="AG11" s="182"/>
      <c r="AH11" s="404" t="e">
        <f t="shared" si="6"/>
        <v>#N/A</v>
      </c>
      <c r="AI11" s="534"/>
      <c r="AJ11" s="182"/>
      <c r="AK11" s="182"/>
      <c r="AL11" s="182"/>
      <c r="AM11" s="404" t="e">
        <f t="shared" si="8"/>
        <v>#N/A</v>
      </c>
      <c r="AN11" s="534"/>
      <c r="AO11" s="182"/>
      <c r="AP11" s="182"/>
      <c r="AQ11" s="182"/>
      <c r="AR11" s="404" t="e">
        <f t="shared" si="10"/>
        <v>#N/A</v>
      </c>
      <c r="AS11" s="534"/>
      <c r="AT11" s="182">
        <v>17</v>
      </c>
      <c r="AU11" s="182">
        <v>1220.4000000000003</v>
      </c>
      <c r="AV11" s="182">
        <v>71.788235294117669</v>
      </c>
      <c r="AW11" s="404">
        <f t="shared" si="13"/>
        <v>6</v>
      </c>
      <c r="AX11" s="534"/>
      <c r="AZ11" s="321" t="e">
        <f>RANK(AX11, $K$7:AX$21)</f>
        <v>#N/A</v>
      </c>
      <c r="BB11" s="318" t="e">
        <f t="shared" si="14"/>
        <v>#N/A</v>
      </c>
    </row>
    <row r="12" spans="1:54">
      <c r="A12" s="81"/>
      <c r="B12" s="533"/>
      <c r="C12" s="404">
        <v>6</v>
      </c>
      <c r="D12" s="226" t="s">
        <v>617</v>
      </c>
      <c r="E12" s="182">
        <v>15</v>
      </c>
      <c r="F12" s="404">
        <v>1500</v>
      </c>
      <c r="G12" s="405">
        <v>100</v>
      </c>
      <c r="H12" s="598"/>
      <c r="I12" s="408">
        <f t="shared" si="12"/>
        <v>16</v>
      </c>
      <c r="J12" s="408">
        <f t="shared" si="12"/>
        <v>1263.4615384615392</v>
      </c>
      <c r="K12" s="406">
        <f t="shared" si="12"/>
        <v>78.966346153846203</v>
      </c>
      <c r="L12" s="588"/>
      <c r="M12" s="407">
        <f>RANK(K12, $K$7:K$21)</f>
        <v>4</v>
      </c>
      <c r="N12" s="544"/>
      <c r="O12" s="544"/>
      <c r="P12" s="182"/>
      <c r="Q12" s="182"/>
      <c r="R12" s="182"/>
      <c r="S12" s="404" t="e">
        <f t="shared" si="0"/>
        <v>#N/A</v>
      </c>
      <c r="T12" s="534"/>
      <c r="U12" s="182"/>
      <c r="V12" s="182"/>
      <c r="W12" s="182"/>
      <c r="X12" s="404" t="e">
        <f t="shared" si="2"/>
        <v>#N/A</v>
      </c>
      <c r="Y12" s="534"/>
      <c r="Z12" s="182"/>
      <c r="AA12" s="182"/>
      <c r="AB12" s="182"/>
      <c r="AC12" s="404" t="e">
        <f t="shared" si="4"/>
        <v>#N/A</v>
      </c>
      <c r="AD12" s="534"/>
      <c r="AE12" s="182"/>
      <c r="AF12" s="182"/>
      <c r="AG12" s="182"/>
      <c r="AH12" s="404" t="e">
        <f t="shared" si="6"/>
        <v>#N/A</v>
      </c>
      <c r="AI12" s="534"/>
      <c r="AJ12" s="182"/>
      <c r="AK12" s="182"/>
      <c r="AL12" s="182"/>
      <c r="AM12" s="404" t="e">
        <f t="shared" si="8"/>
        <v>#N/A</v>
      </c>
      <c r="AN12" s="534"/>
      <c r="AO12" s="182"/>
      <c r="AP12" s="182"/>
      <c r="AQ12" s="182"/>
      <c r="AR12" s="404" t="e">
        <f t="shared" si="10"/>
        <v>#N/A</v>
      </c>
      <c r="AS12" s="534"/>
      <c r="AT12" s="182">
        <v>16</v>
      </c>
      <c r="AU12" s="182">
        <v>1263.4615384615392</v>
      </c>
      <c r="AV12" s="182">
        <v>78.966346153846203</v>
      </c>
      <c r="AW12" s="404">
        <f t="shared" si="13"/>
        <v>4</v>
      </c>
      <c r="AX12" s="534"/>
      <c r="AZ12" s="321" t="e">
        <f>RANK(AX12, $K$7:AX$21)</f>
        <v>#N/A</v>
      </c>
      <c r="BB12" s="318" t="e">
        <f t="shared" si="14"/>
        <v>#N/A</v>
      </c>
    </row>
    <row r="13" spans="1:54">
      <c r="A13" s="81"/>
      <c r="B13" s="533"/>
      <c r="C13" s="404">
        <v>7</v>
      </c>
      <c r="D13" s="226" t="s">
        <v>622</v>
      </c>
      <c r="E13" s="182">
        <v>19</v>
      </c>
      <c r="F13" s="404">
        <v>1100</v>
      </c>
      <c r="G13" s="405">
        <v>57.89473684210526</v>
      </c>
      <c r="H13" s="598"/>
      <c r="I13" s="408">
        <f t="shared" si="12"/>
        <v>19</v>
      </c>
      <c r="J13" s="408">
        <f t="shared" si="12"/>
        <v>1090.0965517241386</v>
      </c>
      <c r="K13" s="406">
        <f t="shared" si="12"/>
        <v>57.373502722323089</v>
      </c>
      <c r="L13" s="588"/>
      <c r="M13" s="407">
        <f>RANK(K13, $K$7:K$21)</f>
        <v>9</v>
      </c>
      <c r="N13" s="544"/>
      <c r="O13" s="544"/>
      <c r="P13" s="182"/>
      <c r="Q13" s="182"/>
      <c r="R13" s="182"/>
      <c r="S13" s="404" t="e">
        <f t="shared" si="0"/>
        <v>#N/A</v>
      </c>
      <c r="T13" s="534"/>
      <c r="U13" s="182"/>
      <c r="V13" s="182"/>
      <c r="W13" s="182"/>
      <c r="X13" s="404" t="e">
        <f t="shared" si="2"/>
        <v>#N/A</v>
      </c>
      <c r="Y13" s="534"/>
      <c r="Z13" s="182"/>
      <c r="AA13" s="182"/>
      <c r="AB13" s="182"/>
      <c r="AC13" s="404" t="e">
        <f t="shared" si="4"/>
        <v>#N/A</v>
      </c>
      <c r="AD13" s="534"/>
      <c r="AE13" s="182"/>
      <c r="AF13" s="182"/>
      <c r="AG13" s="182"/>
      <c r="AH13" s="404" t="e">
        <f t="shared" si="6"/>
        <v>#N/A</v>
      </c>
      <c r="AI13" s="534"/>
      <c r="AJ13" s="182"/>
      <c r="AK13" s="182"/>
      <c r="AL13" s="182"/>
      <c r="AM13" s="404" t="e">
        <f t="shared" si="8"/>
        <v>#N/A</v>
      </c>
      <c r="AN13" s="534"/>
      <c r="AO13" s="182"/>
      <c r="AP13" s="182"/>
      <c r="AQ13" s="182"/>
      <c r="AR13" s="404" t="e">
        <f t="shared" si="10"/>
        <v>#N/A</v>
      </c>
      <c r="AS13" s="534"/>
      <c r="AT13" s="182">
        <v>19</v>
      </c>
      <c r="AU13" s="182">
        <v>1090.0965517241386</v>
      </c>
      <c r="AV13" s="182">
        <v>57.373502722323089</v>
      </c>
      <c r="AW13" s="404">
        <f t="shared" si="13"/>
        <v>10</v>
      </c>
      <c r="AX13" s="534"/>
      <c r="AZ13" s="321" t="e">
        <f>RANK(AX13, $K$7:AX$21)</f>
        <v>#N/A</v>
      </c>
      <c r="BB13" s="318" t="e">
        <f t="shared" si="14"/>
        <v>#N/A</v>
      </c>
    </row>
    <row r="14" spans="1:54">
      <c r="A14" s="81"/>
      <c r="B14" s="533"/>
      <c r="C14" s="404">
        <v>8</v>
      </c>
      <c r="D14" s="226" t="s">
        <v>642</v>
      </c>
      <c r="E14" s="182">
        <v>19</v>
      </c>
      <c r="F14" s="404">
        <v>1385</v>
      </c>
      <c r="G14" s="405">
        <v>72.89473684210526</v>
      </c>
      <c r="H14" s="598"/>
      <c r="I14" s="408">
        <f t="shared" si="12"/>
        <v>19</v>
      </c>
      <c r="J14" s="408">
        <f t="shared" si="12"/>
        <v>1061.8181818181829</v>
      </c>
      <c r="K14" s="406">
        <f t="shared" si="12"/>
        <v>55.885167464114886</v>
      </c>
      <c r="L14" s="588"/>
      <c r="M14" s="407">
        <f>RANK(K14, $K$7:K$21)</f>
        <v>10</v>
      </c>
      <c r="N14" s="544"/>
      <c r="O14" s="544"/>
      <c r="P14" s="182"/>
      <c r="Q14" s="182"/>
      <c r="R14" s="182"/>
      <c r="S14" s="404" t="e">
        <f t="shared" si="0"/>
        <v>#N/A</v>
      </c>
      <c r="T14" s="534"/>
      <c r="U14" s="182"/>
      <c r="V14" s="182"/>
      <c r="W14" s="182"/>
      <c r="X14" s="404" t="e">
        <f t="shared" si="2"/>
        <v>#N/A</v>
      </c>
      <c r="Y14" s="534"/>
      <c r="Z14" s="182"/>
      <c r="AA14" s="182"/>
      <c r="AB14" s="182"/>
      <c r="AC14" s="404" t="e">
        <f t="shared" si="4"/>
        <v>#N/A</v>
      </c>
      <c r="AD14" s="534"/>
      <c r="AE14" s="182"/>
      <c r="AF14" s="182"/>
      <c r="AG14" s="182"/>
      <c r="AH14" s="404" t="e">
        <f t="shared" si="6"/>
        <v>#N/A</v>
      </c>
      <c r="AI14" s="534"/>
      <c r="AJ14" s="182"/>
      <c r="AK14" s="182"/>
      <c r="AL14" s="182"/>
      <c r="AM14" s="404" t="e">
        <f t="shared" si="8"/>
        <v>#N/A</v>
      </c>
      <c r="AN14" s="534"/>
      <c r="AO14" s="182"/>
      <c r="AP14" s="182"/>
      <c r="AQ14" s="182"/>
      <c r="AR14" s="404" t="e">
        <f t="shared" si="10"/>
        <v>#N/A</v>
      </c>
      <c r="AS14" s="534"/>
      <c r="AT14" s="182">
        <v>19</v>
      </c>
      <c r="AU14" s="182">
        <v>1061.8181818181829</v>
      </c>
      <c r="AV14" s="182">
        <v>55.885167464114886</v>
      </c>
      <c r="AW14" s="404">
        <f t="shared" si="13"/>
        <v>11</v>
      </c>
      <c r="AX14" s="534"/>
      <c r="AZ14" s="321" t="e">
        <f>RANK(AX14, $K$7:AX$21)</f>
        <v>#N/A</v>
      </c>
      <c r="BB14" s="318" t="e">
        <f t="shared" si="14"/>
        <v>#N/A</v>
      </c>
    </row>
    <row r="15" spans="1:54">
      <c r="A15" s="81"/>
      <c r="B15" s="533"/>
      <c r="C15" s="404">
        <v>9</v>
      </c>
      <c r="D15" s="226" t="s">
        <v>630</v>
      </c>
      <c r="E15" s="182">
        <v>17</v>
      </c>
      <c r="F15" s="404">
        <v>1440</v>
      </c>
      <c r="G15" s="405">
        <v>84.705882352941174</v>
      </c>
      <c r="H15" s="598"/>
      <c r="I15" s="408">
        <f t="shared" si="12"/>
        <v>18</v>
      </c>
      <c r="J15" s="408">
        <f t="shared" si="12"/>
        <v>1069.0909090909095</v>
      </c>
      <c r="K15" s="406">
        <f t="shared" si="12"/>
        <v>59.393939393939412</v>
      </c>
      <c r="L15" s="588"/>
      <c r="M15" s="407">
        <f>RANK(K15, $K$7:K$21)</f>
        <v>8</v>
      </c>
      <c r="N15" s="544"/>
      <c r="O15" s="544"/>
      <c r="P15" s="182"/>
      <c r="Q15" s="182"/>
      <c r="R15" s="182"/>
      <c r="S15" s="404" t="e">
        <f t="shared" si="0"/>
        <v>#N/A</v>
      </c>
      <c r="T15" s="534"/>
      <c r="U15" s="182"/>
      <c r="V15" s="182"/>
      <c r="W15" s="182"/>
      <c r="X15" s="404" t="e">
        <f t="shared" si="2"/>
        <v>#N/A</v>
      </c>
      <c r="Y15" s="534"/>
      <c r="Z15" s="182"/>
      <c r="AA15" s="182"/>
      <c r="AB15" s="182"/>
      <c r="AC15" s="404" t="e">
        <f t="shared" si="4"/>
        <v>#N/A</v>
      </c>
      <c r="AD15" s="534"/>
      <c r="AE15" s="182"/>
      <c r="AF15" s="182"/>
      <c r="AG15" s="182"/>
      <c r="AH15" s="404" t="e">
        <f t="shared" si="6"/>
        <v>#N/A</v>
      </c>
      <c r="AI15" s="534"/>
      <c r="AJ15" s="182"/>
      <c r="AK15" s="182"/>
      <c r="AL15" s="182"/>
      <c r="AM15" s="404" t="e">
        <f t="shared" si="8"/>
        <v>#N/A</v>
      </c>
      <c r="AN15" s="534"/>
      <c r="AO15" s="182"/>
      <c r="AP15" s="182"/>
      <c r="AQ15" s="182"/>
      <c r="AR15" s="404" t="e">
        <f t="shared" si="10"/>
        <v>#N/A</v>
      </c>
      <c r="AS15" s="534"/>
      <c r="AT15" s="182">
        <v>18</v>
      </c>
      <c r="AU15" s="182">
        <v>1069.0909090909095</v>
      </c>
      <c r="AV15" s="182">
        <v>59.393939393939412</v>
      </c>
      <c r="AW15" s="404">
        <f t="shared" si="13"/>
        <v>9</v>
      </c>
      <c r="AX15" s="534"/>
      <c r="AZ15" s="321" t="e">
        <f>RANK(AX15, $K$7:AX$21)</f>
        <v>#N/A</v>
      </c>
      <c r="BB15" s="318" t="e">
        <f t="shared" si="14"/>
        <v>#N/A</v>
      </c>
    </row>
    <row r="16" spans="1:54">
      <c r="A16" s="81"/>
      <c r="B16" s="533"/>
      <c r="C16" s="404">
        <v>10</v>
      </c>
      <c r="D16" s="226" t="s">
        <v>633</v>
      </c>
      <c r="E16" s="182">
        <v>18</v>
      </c>
      <c r="F16" s="404">
        <v>1500</v>
      </c>
      <c r="G16" s="405">
        <v>83.333333333333329</v>
      </c>
      <c r="H16" s="598"/>
      <c r="I16" s="408">
        <f t="shared" si="12"/>
        <v>18</v>
      </c>
      <c r="J16" s="408">
        <f t="shared" si="12"/>
        <v>1288.7333333333333</v>
      </c>
      <c r="K16" s="406">
        <f t="shared" si="12"/>
        <v>71.596296296296302</v>
      </c>
      <c r="L16" s="588"/>
      <c r="M16" s="407">
        <f>RANK(K16, $K$7:K$21)</f>
        <v>7</v>
      </c>
      <c r="N16" s="544"/>
      <c r="O16" s="544"/>
      <c r="P16" s="182"/>
      <c r="Q16" s="182"/>
      <c r="R16" s="182"/>
      <c r="S16" s="404" t="e">
        <f t="shared" si="0"/>
        <v>#N/A</v>
      </c>
      <c r="T16" s="534"/>
      <c r="U16" s="182"/>
      <c r="V16" s="182"/>
      <c r="W16" s="182"/>
      <c r="X16" s="404" t="e">
        <f t="shared" si="2"/>
        <v>#N/A</v>
      </c>
      <c r="Y16" s="534"/>
      <c r="Z16" s="182"/>
      <c r="AA16" s="182"/>
      <c r="AB16" s="182"/>
      <c r="AC16" s="404" t="e">
        <f t="shared" si="4"/>
        <v>#N/A</v>
      </c>
      <c r="AD16" s="534"/>
      <c r="AE16" s="182"/>
      <c r="AF16" s="182"/>
      <c r="AG16" s="182"/>
      <c r="AH16" s="404" t="e">
        <f t="shared" si="6"/>
        <v>#N/A</v>
      </c>
      <c r="AI16" s="534"/>
      <c r="AJ16" s="182"/>
      <c r="AK16" s="182"/>
      <c r="AL16" s="182"/>
      <c r="AM16" s="404" t="e">
        <f t="shared" si="8"/>
        <v>#N/A</v>
      </c>
      <c r="AN16" s="534"/>
      <c r="AO16" s="182"/>
      <c r="AP16" s="182"/>
      <c r="AQ16" s="182"/>
      <c r="AR16" s="404" t="e">
        <f t="shared" si="10"/>
        <v>#N/A</v>
      </c>
      <c r="AS16" s="534"/>
      <c r="AT16" s="182">
        <v>18</v>
      </c>
      <c r="AU16" s="182">
        <v>1288.7333333333333</v>
      </c>
      <c r="AV16" s="182">
        <v>71.596296296296302</v>
      </c>
      <c r="AW16" s="404">
        <f t="shared" si="13"/>
        <v>7</v>
      </c>
      <c r="AX16" s="534"/>
      <c r="AZ16" s="321" t="e">
        <f>RANK(AX16, $K$7:AX$21)</f>
        <v>#N/A</v>
      </c>
      <c r="BB16" s="318" t="e">
        <f t="shared" si="14"/>
        <v>#N/A</v>
      </c>
    </row>
    <row r="17" spans="2:54">
      <c r="B17" s="533"/>
      <c r="C17" s="404">
        <v>11</v>
      </c>
      <c r="D17" s="226" t="s">
        <v>637</v>
      </c>
      <c r="E17" s="182">
        <v>18</v>
      </c>
      <c r="F17" s="404">
        <v>1385</v>
      </c>
      <c r="G17" s="405">
        <v>76.944444444444443</v>
      </c>
      <c r="H17" s="598"/>
      <c r="I17" s="202"/>
      <c r="J17" s="202"/>
      <c r="K17" s="202"/>
      <c r="L17" s="588"/>
      <c r="M17" s="407" t="e">
        <f>RANK(K17, $K$7:K$21)</f>
        <v>#N/A</v>
      </c>
      <c r="N17" s="544"/>
      <c r="O17" s="544"/>
      <c r="P17" s="182"/>
      <c r="Q17" s="182"/>
      <c r="R17" s="182"/>
      <c r="S17" s="404" t="e">
        <f t="shared" si="0"/>
        <v>#N/A</v>
      </c>
      <c r="T17" s="534"/>
      <c r="U17" s="182"/>
      <c r="V17" s="182"/>
      <c r="W17" s="182"/>
      <c r="X17" s="404" t="e">
        <f t="shared" si="2"/>
        <v>#N/A</v>
      </c>
      <c r="Y17" s="534"/>
      <c r="Z17" s="182"/>
      <c r="AA17" s="182"/>
      <c r="AB17" s="182"/>
      <c r="AC17" s="404" t="e">
        <f t="shared" si="4"/>
        <v>#N/A</v>
      </c>
      <c r="AD17" s="534"/>
      <c r="AE17" s="182"/>
      <c r="AF17" s="182"/>
      <c r="AG17" s="182"/>
      <c r="AH17" s="404" t="e">
        <f t="shared" si="6"/>
        <v>#N/A</v>
      </c>
      <c r="AI17" s="534"/>
      <c r="AJ17" s="182"/>
      <c r="AK17" s="182"/>
      <c r="AL17" s="182"/>
      <c r="AM17" s="404" t="e">
        <f t="shared" si="8"/>
        <v>#N/A</v>
      </c>
      <c r="AN17" s="534"/>
      <c r="AO17" s="182"/>
      <c r="AP17" s="182"/>
      <c r="AQ17" s="182"/>
      <c r="AR17" s="404" t="e">
        <f t="shared" si="10"/>
        <v>#N/A</v>
      </c>
      <c r="AS17" s="534"/>
      <c r="AT17" s="182">
        <v>18</v>
      </c>
      <c r="AU17" s="182">
        <v>1261.0169491525419</v>
      </c>
      <c r="AV17" s="182">
        <v>70.056497175141217</v>
      </c>
      <c r="AW17" s="404">
        <f t="shared" si="13"/>
        <v>8</v>
      </c>
      <c r="AX17" s="534"/>
      <c r="AZ17" s="321" t="e">
        <f>RANK(AX17, $K$7:AX$21)</f>
        <v>#N/A</v>
      </c>
      <c r="BB17" s="318" t="e">
        <f t="shared" si="14"/>
        <v>#N/A</v>
      </c>
    </row>
    <row r="18" spans="2:54">
      <c r="B18" s="533"/>
      <c r="C18" s="404">
        <v>12</v>
      </c>
      <c r="D18" s="226"/>
      <c r="E18" s="182"/>
      <c r="F18" s="404"/>
      <c r="G18" s="405"/>
      <c r="H18" s="598"/>
      <c r="I18" s="202"/>
      <c r="J18" s="202"/>
      <c r="K18" s="202"/>
      <c r="L18" s="588"/>
      <c r="M18" s="407" t="e">
        <f>RANK(K18, $K$7:K$21)</f>
        <v>#N/A</v>
      </c>
      <c r="N18" s="544"/>
      <c r="O18" s="544"/>
      <c r="P18" s="182"/>
      <c r="Q18" s="182"/>
      <c r="R18" s="182"/>
      <c r="S18" s="404" t="e">
        <f t="shared" si="0"/>
        <v>#N/A</v>
      </c>
      <c r="T18" s="534"/>
      <c r="U18" s="182"/>
      <c r="V18" s="182"/>
      <c r="W18" s="182"/>
      <c r="X18" s="404" t="e">
        <f t="shared" si="2"/>
        <v>#N/A</v>
      </c>
      <c r="Y18" s="534"/>
      <c r="Z18" s="182"/>
      <c r="AA18" s="182"/>
      <c r="AB18" s="182"/>
      <c r="AC18" s="404" t="e">
        <f t="shared" si="4"/>
        <v>#N/A</v>
      </c>
      <c r="AD18" s="534"/>
      <c r="AE18" s="182"/>
      <c r="AF18" s="182"/>
      <c r="AG18" s="182"/>
      <c r="AH18" s="404" t="e">
        <f t="shared" si="6"/>
        <v>#N/A</v>
      </c>
      <c r="AI18" s="534"/>
      <c r="AJ18" s="182"/>
      <c r="AK18" s="182"/>
      <c r="AL18" s="182"/>
      <c r="AM18" s="404" t="e">
        <f t="shared" si="8"/>
        <v>#N/A</v>
      </c>
      <c r="AN18" s="534"/>
      <c r="AO18" s="182"/>
      <c r="AP18" s="182"/>
      <c r="AQ18" s="182"/>
      <c r="AR18" s="404" t="e">
        <f t="shared" si="10"/>
        <v>#N/A</v>
      </c>
      <c r="AS18" s="534"/>
      <c r="AT18" s="182"/>
      <c r="AU18" s="182"/>
      <c r="AV18" s="182"/>
      <c r="AW18" s="404" t="e">
        <f t="shared" si="13"/>
        <v>#N/A</v>
      </c>
      <c r="AX18" s="534"/>
      <c r="AZ18" s="321" t="e">
        <f>RANK(AX18, $K$7:AX$21)</f>
        <v>#N/A</v>
      </c>
      <c r="BB18" s="318" t="e">
        <f t="shared" si="14"/>
        <v>#N/A</v>
      </c>
    </row>
    <row r="19" spans="2:54">
      <c r="B19" s="533"/>
      <c r="C19" s="404">
        <v>13</v>
      </c>
      <c r="D19" s="226"/>
      <c r="E19" s="182"/>
      <c r="F19" s="404"/>
      <c r="G19" s="405"/>
      <c r="H19" s="598"/>
      <c r="I19" s="202"/>
      <c r="J19" s="202"/>
      <c r="K19" s="202"/>
      <c r="L19" s="588"/>
      <c r="M19" s="407" t="e">
        <f>RANK(K19, $K$7:K$21)</f>
        <v>#N/A</v>
      </c>
      <c r="N19" s="544"/>
      <c r="O19" s="544"/>
      <c r="P19" s="182"/>
      <c r="Q19" s="182"/>
      <c r="R19" s="182"/>
      <c r="S19" s="404" t="e">
        <f t="shared" si="0"/>
        <v>#N/A</v>
      </c>
      <c r="T19" s="534"/>
      <c r="U19" s="182"/>
      <c r="V19" s="182"/>
      <c r="W19" s="182"/>
      <c r="X19" s="404" t="e">
        <f t="shared" si="2"/>
        <v>#N/A</v>
      </c>
      <c r="Y19" s="534"/>
      <c r="Z19" s="182"/>
      <c r="AA19" s="182"/>
      <c r="AB19" s="182"/>
      <c r="AC19" s="404" t="e">
        <f t="shared" si="4"/>
        <v>#N/A</v>
      </c>
      <c r="AD19" s="534"/>
      <c r="AE19" s="182"/>
      <c r="AF19" s="182"/>
      <c r="AG19" s="182"/>
      <c r="AH19" s="404" t="e">
        <f t="shared" si="6"/>
        <v>#N/A</v>
      </c>
      <c r="AI19" s="534"/>
      <c r="AJ19" s="182"/>
      <c r="AK19" s="182"/>
      <c r="AL19" s="182"/>
      <c r="AM19" s="404" t="e">
        <f t="shared" si="8"/>
        <v>#N/A</v>
      </c>
      <c r="AN19" s="534"/>
      <c r="AO19" s="182"/>
      <c r="AP19" s="182"/>
      <c r="AQ19" s="182"/>
      <c r="AR19" s="404" t="e">
        <f t="shared" si="10"/>
        <v>#N/A</v>
      </c>
      <c r="AS19" s="534"/>
      <c r="AT19" s="182"/>
      <c r="AU19" s="182"/>
      <c r="AV19" s="182"/>
      <c r="AW19" s="404" t="e">
        <f t="shared" si="13"/>
        <v>#N/A</v>
      </c>
      <c r="AX19" s="534"/>
      <c r="AZ19" s="321" t="e">
        <f>RANK(AX19, $K$7:AX$21)</f>
        <v>#N/A</v>
      </c>
      <c r="BB19" s="318" t="e">
        <f t="shared" si="14"/>
        <v>#N/A</v>
      </c>
    </row>
    <row r="20" spans="2:54">
      <c r="B20" s="533"/>
      <c r="C20" s="404">
        <v>14</v>
      </c>
      <c r="D20" s="226"/>
      <c r="E20" s="182"/>
      <c r="F20" s="404"/>
      <c r="G20" s="405"/>
      <c r="H20" s="598"/>
      <c r="I20" s="202"/>
      <c r="J20" s="202"/>
      <c r="K20" s="202"/>
      <c r="L20" s="588"/>
      <c r="M20" s="407" t="e">
        <f>RANK(K20, $K$7:K$21)</f>
        <v>#N/A</v>
      </c>
      <c r="N20" s="544"/>
      <c r="O20" s="544"/>
      <c r="P20" s="182"/>
      <c r="Q20" s="182"/>
      <c r="R20" s="182"/>
      <c r="S20" s="404" t="e">
        <f t="shared" si="0"/>
        <v>#N/A</v>
      </c>
      <c r="T20" s="534"/>
      <c r="U20" s="182"/>
      <c r="V20" s="182"/>
      <c r="W20" s="182"/>
      <c r="X20" s="404" t="e">
        <f t="shared" si="2"/>
        <v>#N/A</v>
      </c>
      <c r="Y20" s="534"/>
      <c r="Z20" s="182"/>
      <c r="AA20" s="182"/>
      <c r="AB20" s="182"/>
      <c r="AC20" s="404" t="e">
        <f t="shared" si="4"/>
        <v>#N/A</v>
      </c>
      <c r="AD20" s="534"/>
      <c r="AE20" s="182"/>
      <c r="AF20" s="182"/>
      <c r="AG20" s="182"/>
      <c r="AH20" s="404" t="e">
        <f t="shared" si="6"/>
        <v>#N/A</v>
      </c>
      <c r="AI20" s="534"/>
      <c r="AJ20" s="182"/>
      <c r="AK20" s="182"/>
      <c r="AL20" s="182"/>
      <c r="AM20" s="404" t="e">
        <f t="shared" si="8"/>
        <v>#N/A</v>
      </c>
      <c r="AN20" s="534"/>
      <c r="AO20" s="182"/>
      <c r="AP20" s="182"/>
      <c r="AQ20" s="182"/>
      <c r="AR20" s="404" t="e">
        <f t="shared" si="10"/>
        <v>#N/A</v>
      </c>
      <c r="AS20" s="534"/>
      <c r="AT20" s="182"/>
      <c r="AU20" s="182"/>
      <c r="AV20" s="182"/>
      <c r="AW20" s="404" t="e">
        <f t="shared" si="13"/>
        <v>#N/A</v>
      </c>
      <c r="AX20" s="534"/>
      <c r="AZ20" s="321" t="e">
        <f>RANK(AX20, $K$7:AX$21)</f>
        <v>#N/A</v>
      </c>
      <c r="BB20" s="318" t="e">
        <f t="shared" si="14"/>
        <v>#N/A</v>
      </c>
    </row>
    <row r="21" spans="2:54">
      <c r="B21" s="533"/>
      <c r="C21" s="404">
        <v>15</v>
      </c>
      <c r="D21" s="226"/>
      <c r="E21" s="182"/>
      <c r="F21" s="404"/>
      <c r="G21" s="405"/>
      <c r="H21" s="599"/>
      <c r="I21" s="202"/>
      <c r="J21" s="202"/>
      <c r="K21" s="202"/>
      <c r="L21" s="589"/>
      <c r="M21" s="408" t="e">
        <f>RANK(K21, $K$7:K$21)</f>
        <v>#N/A</v>
      </c>
      <c r="N21" s="544"/>
      <c r="O21" s="544"/>
      <c r="P21" s="182"/>
      <c r="Q21" s="182"/>
      <c r="R21" s="182"/>
      <c r="S21" s="404" t="e">
        <f t="shared" si="0"/>
        <v>#N/A</v>
      </c>
      <c r="T21" s="534"/>
      <c r="U21" s="182"/>
      <c r="V21" s="182"/>
      <c r="W21" s="182"/>
      <c r="X21" s="404" t="e">
        <f t="shared" si="2"/>
        <v>#N/A</v>
      </c>
      <c r="Y21" s="534"/>
      <c r="Z21" s="182"/>
      <c r="AA21" s="182"/>
      <c r="AB21" s="182"/>
      <c r="AC21" s="404" t="e">
        <f t="shared" si="4"/>
        <v>#N/A</v>
      </c>
      <c r="AD21" s="534"/>
      <c r="AE21" s="182"/>
      <c r="AF21" s="182"/>
      <c r="AG21" s="182"/>
      <c r="AH21" s="404" t="e">
        <f t="shared" si="6"/>
        <v>#N/A</v>
      </c>
      <c r="AI21" s="534"/>
      <c r="AJ21" s="182"/>
      <c r="AK21" s="182"/>
      <c r="AL21" s="182"/>
      <c r="AM21" s="404" t="e">
        <f t="shared" si="8"/>
        <v>#N/A</v>
      </c>
      <c r="AN21" s="534"/>
      <c r="AO21" s="182"/>
      <c r="AP21" s="182"/>
      <c r="AQ21" s="182"/>
      <c r="AR21" s="404" t="e">
        <f t="shared" si="10"/>
        <v>#N/A</v>
      </c>
      <c r="AS21" s="534"/>
      <c r="AT21" s="182"/>
      <c r="AU21" s="182"/>
      <c r="AV21" s="182"/>
      <c r="AW21" s="404" t="e">
        <f t="shared" si="13"/>
        <v>#N/A</v>
      </c>
      <c r="AX21" s="534"/>
      <c r="AZ21" s="320" t="e">
        <f>RANK(AX21, $K$7:AX$21)</f>
        <v>#N/A</v>
      </c>
      <c r="BB21" s="318" t="e">
        <f t="shared" si="14"/>
        <v>#N/A</v>
      </c>
    </row>
    <row r="22" spans="2:54" ht="15.5">
      <c r="B22" s="575" t="s">
        <v>704</v>
      </c>
      <c r="C22" s="576"/>
      <c r="D22" s="576"/>
      <c r="E22" s="576"/>
      <c r="F22" s="576"/>
      <c r="G22" s="576"/>
      <c r="H22" s="576"/>
      <c r="I22" s="203"/>
      <c r="J22" s="203"/>
      <c r="K22" s="203"/>
      <c r="L22" s="203"/>
      <c r="M22" s="204"/>
      <c r="N22" s="559" t="s">
        <v>705</v>
      </c>
      <c r="O22" s="559" t="s">
        <v>706</v>
      </c>
      <c r="P22" s="554">
        <v>45993</v>
      </c>
      <c r="Q22" s="533"/>
      <c r="R22" s="533"/>
      <c r="S22" s="533"/>
      <c r="T22" s="533"/>
      <c r="U22" s="554">
        <f>P22+1</f>
        <v>45994</v>
      </c>
      <c r="V22" s="533"/>
      <c r="W22" s="533"/>
      <c r="X22" s="533"/>
      <c r="Y22" s="533"/>
      <c r="Z22" s="554">
        <f>U22+1</f>
        <v>45995</v>
      </c>
      <c r="AA22" s="533"/>
      <c r="AB22" s="533"/>
      <c r="AC22" s="533"/>
      <c r="AD22" s="533"/>
      <c r="AE22" s="554">
        <f>Z22+1</f>
        <v>45996</v>
      </c>
      <c r="AF22" s="533"/>
      <c r="AG22" s="533"/>
      <c r="AH22" s="533"/>
      <c r="AI22" s="533"/>
      <c r="AJ22" s="554">
        <f>AE22+1</f>
        <v>45997</v>
      </c>
      <c r="AK22" s="533"/>
      <c r="AL22" s="533"/>
      <c r="AM22" s="533"/>
      <c r="AN22" s="533"/>
      <c r="AO22" s="554">
        <f>AJ22+1</f>
        <v>45998</v>
      </c>
      <c r="AP22" s="533"/>
      <c r="AQ22" s="533"/>
      <c r="AR22" s="533"/>
      <c r="AS22" s="533"/>
      <c r="AT22" s="554">
        <f>AO22+1</f>
        <v>45999</v>
      </c>
      <c r="AU22" s="533"/>
      <c r="AV22" s="533"/>
      <c r="AW22" s="533"/>
      <c r="AX22" s="533"/>
    </row>
    <row r="23" spans="2:54" ht="15.5">
      <c r="B23" s="558"/>
      <c r="C23" s="558"/>
      <c r="D23" s="558"/>
      <c r="E23" s="558"/>
      <c r="F23" s="558"/>
      <c r="G23" s="558"/>
      <c r="H23" s="558"/>
      <c r="I23" s="205"/>
      <c r="J23" s="205"/>
      <c r="K23" s="205"/>
      <c r="L23" s="205"/>
      <c r="M23" s="206"/>
      <c r="N23" s="560"/>
      <c r="O23" s="560"/>
      <c r="P23" s="554" t="s">
        <v>707</v>
      </c>
      <c r="Q23" s="533"/>
      <c r="R23" s="533"/>
      <c r="S23" s="533"/>
      <c r="T23" s="533"/>
      <c r="U23" s="554" t="s">
        <v>708</v>
      </c>
      <c r="V23" s="533"/>
      <c r="W23" s="533"/>
      <c r="X23" s="533"/>
      <c r="Y23" s="533"/>
      <c r="Z23" s="554" t="s">
        <v>709</v>
      </c>
      <c r="AA23" s="533"/>
      <c r="AB23" s="533"/>
      <c r="AC23" s="533"/>
      <c r="AD23" s="533"/>
      <c r="AE23" s="554" t="s">
        <v>710</v>
      </c>
      <c r="AF23" s="533"/>
      <c r="AG23" s="533"/>
      <c r="AH23" s="533"/>
      <c r="AI23" s="533"/>
      <c r="AJ23" s="554" t="s">
        <v>711</v>
      </c>
      <c r="AK23" s="533"/>
      <c r="AL23" s="533"/>
      <c r="AM23" s="533"/>
      <c r="AN23" s="533"/>
      <c r="AO23" s="554" t="s">
        <v>712</v>
      </c>
      <c r="AP23" s="533"/>
      <c r="AQ23" s="533"/>
      <c r="AR23" s="533"/>
      <c r="AS23" s="533"/>
      <c r="AT23" s="554" t="s">
        <v>713</v>
      </c>
      <c r="AU23" s="533"/>
      <c r="AV23" s="533"/>
      <c r="AW23" s="533"/>
      <c r="AX23" s="533"/>
    </row>
    <row r="24" spans="2:54">
      <c r="B24" s="544" t="s">
        <v>649</v>
      </c>
      <c r="C24" s="544" t="s">
        <v>650</v>
      </c>
      <c r="D24" s="544"/>
      <c r="E24" s="544" t="s">
        <v>651</v>
      </c>
      <c r="F24" s="544"/>
      <c r="G24" s="544"/>
      <c r="H24" s="561" t="s">
        <v>652</v>
      </c>
      <c r="I24" s="583" t="s">
        <v>653</v>
      </c>
      <c r="J24" s="583"/>
      <c r="K24" s="583"/>
      <c r="L24" s="584" t="s">
        <v>652</v>
      </c>
      <c r="M24" s="567" t="s">
        <v>654</v>
      </c>
      <c r="N24" s="544"/>
      <c r="O24" s="544" t="s">
        <v>655</v>
      </c>
      <c r="P24" s="548" t="s">
        <v>656</v>
      </c>
      <c r="Q24" s="549"/>
      <c r="R24" s="549"/>
      <c r="S24" s="550"/>
      <c r="T24" s="544" t="s">
        <v>652</v>
      </c>
      <c r="U24" s="548" t="s">
        <v>656</v>
      </c>
      <c r="V24" s="549"/>
      <c r="W24" s="549"/>
      <c r="X24" s="550"/>
      <c r="Y24" s="544" t="s">
        <v>652</v>
      </c>
      <c r="Z24" s="548" t="s">
        <v>656</v>
      </c>
      <c r="AA24" s="549"/>
      <c r="AB24" s="549"/>
      <c r="AC24" s="550"/>
      <c r="AD24" s="544" t="s">
        <v>652</v>
      </c>
      <c r="AE24" s="548" t="s">
        <v>656</v>
      </c>
      <c r="AF24" s="549"/>
      <c r="AG24" s="549"/>
      <c r="AH24" s="550"/>
      <c r="AI24" s="544" t="s">
        <v>652</v>
      </c>
      <c r="AJ24" s="548" t="s">
        <v>656</v>
      </c>
      <c r="AK24" s="549"/>
      <c r="AL24" s="549"/>
      <c r="AM24" s="550"/>
      <c r="AN24" s="544" t="s">
        <v>652</v>
      </c>
      <c r="AO24" s="548" t="s">
        <v>656</v>
      </c>
      <c r="AP24" s="549"/>
      <c r="AQ24" s="549"/>
      <c r="AR24" s="550"/>
      <c r="AS24" s="544" t="s">
        <v>652</v>
      </c>
      <c r="AT24" s="548" t="s">
        <v>656</v>
      </c>
      <c r="AU24" s="549"/>
      <c r="AV24" s="549"/>
      <c r="AW24" s="550"/>
      <c r="AX24" s="544" t="s">
        <v>652</v>
      </c>
    </row>
    <row r="25" spans="2:54">
      <c r="B25" s="544"/>
      <c r="C25" s="544"/>
      <c r="D25" s="544"/>
      <c r="E25" s="544" t="s">
        <v>657</v>
      </c>
      <c r="F25" s="544"/>
      <c r="G25" s="544"/>
      <c r="H25" s="562"/>
      <c r="I25" s="583" t="s">
        <v>657</v>
      </c>
      <c r="J25" s="583"/>
      <c r="K25" s="583"/>
      <c r="L25" s="585"/>
      <c r="M25" s="568"/>
      <c r="N25" s="544"/>
      <c r="O25" s="544"/>
      <c r="P25" s="548" t="s">
        <v>658</v>
      </c>
      <c r="Q25" s="549"/>
      <c r="R25" s="549"/>
      <c r="S25" s="550"/>
      <c r="T25" s="544"/>
      <c r="U25" s="548" t="s">
        <v>658</v>
      </c>
      <c r="V25" s="549"/>
      <c r="W25" s="549"/>
      <c r="X25" s="550"/>
      <c r="Y25" s="544"/>
      <c r="Z25" s="548" t="s">
        <v>658</v>
      </c>
      <c r="AA25" s="549"/>
      <c r="AB25" s="549"/>
      <c r="AC25" s="550"/>
      <c r="AD25" s="544"/>
      <c r="AE25" s="548" t="s">
        <v>658</v>
      </c>
      <c r="AF25" s="549"/>
      <c r="AG25" s="549"/>
      <c r="AH25" s="550"/>
      <c r="AI25" s="544"/>
      <c r="AJ25" s="548" t="s">
        <v>658</v>
      </c>
      <c r="AK25" s="549"/>
      <c r="AL25" s="549"/>
      <c r="AM25" s="550"/>
      <c r="AN25" s="544"/>
      <c r="AO25" s="548" t="s">
        <v>658</v>
      </c>
      <c r="AP25" s="549"/>
      <c r="AQ25" s="549"/>
      <c r="AR25" s="550"/>
      <c r="AS25" s="544"/>
      <c r="AT25" s="548" t="s">
        <v>658</v>
      </c>
      <c r="AU25" s="549"/>
      <c r="AV25" s="549"/>
      <c r="AW25" s="550"/>
      <c r="AX25" s="544"/>
    </row>
    <row r="26" spans="2:54">
      <c r="B26" s="544"/>
      <c r="C26" s="544"/>
      <c r="D26" s="544"/>
      <c r="E26" s="403" t="s">
        <v>659</v>
      </c>
      <c r="F26" s="403" t="s">
        <v>660</v>
      </c>
      <c r="G26" s="403" t="s">
        <v>661</v>
      </c>
      <c r="H26" s="563"/>
      <c r="I26" s="402" t="s">
        <v>659</v>
      </c>
      <c r="J26" s="402" t="s">
        <v>660</v>
      </c>
      <c r="K26" s="402" t="s">
        <v>661</v>
      </c>
      <c r="L26" s="586"/>
      <c r="M26" s="569"/>
      <c r="N26" s="544"/>
      <c r="O26" s="544"/>
      <c r="P26" s="403" t="s">
        <v>659</v>
      </c>
      <c r="Q26" s="403" t="s">
        <v>660</v>
      </c>
      <c r="R26" s="403" t="s">
        <v>661</v>
      </c>
      <c r="S26" s="403" t="s">
        <v>654</v>
      </c>
      <c r="T26" s="544"/>
      <c r="U26" s="403" t="s">
        <v>659</v>
      </c>
      <c r="V26" s="403" t="s">
        <v>660</v>
      </c>
      <c r="W26" s="403" t="s">
        <v>661</v>
      </c>
      <c r="X26" s="403" t="s">
        <v>654</v>
      </c>
      <c r="Y26" s="544"/>
      <c r="Z26" s="403" t="s">
        <v>659</v>
      </c>
      <c r="AA26" s="403" t="s">
        <v>660</v>
      </c>
      <c r="AB26" s="403" t="s">
        <v>661</v>
      </c>
      <c r="AC26" s="403" t="s">
        <v>654</v>
      </c>
      <c r="AD26" s="544"/>
      <c r="AE26" s="403" t="s">
        <v>659</v>
      </c>
      <c r="AF26" s="403" t="s">
        <v>660</v>
      </c>
      <c r="AG26" s="403" t="s">
        <v>661</v>
      </c>
      <c r="AH26" s="403" t="s">
        <v>654</v>
      </c>
      <c r="AI26" s="544"/>
      <c r="AJ26" s="403" t="s">
        <v>659</v>
      </c>
      <c r="AK26" s="403" t="s">
        <v>660</v>
      </c>
      <c r="AL26" s="403" t="s">
        <v>661</v>
      </c>
      <c r="AM26" s="403" t="s">
        <v>654</v>
      </c>
      <c r="AN26" s="544"/>
      <c r="AO26" s="403" t="s">
        <v>659</v>
      </c>
      <c r="AP26" s="403" t="s">
        <v>660</v>
      </c>
      <c r="AQ26" s="403" t="s">
        <v>661</v>
      </c>
      <c r="AR26" s="403" t="s">
        <v>654</v>
      </c>
      <c r="AS26" s="544"/>
      <c r="AT26" s="403" t="s">
        <v>659</v>
      </c>
      <c r="AU26" s="403" t="s">
        <v>660</v>
      </c>
      <c r="AV26" s="403" t="s">
        <v>661</v>
      </c>
      <c r="AW26" s="403" t="s">
        <v>654</v>
      </c>
      <c r="AX26" s="544"/>
    </row>
    <row r="27" spans="2:54">
      <c r="B27" s="544" t="s">
        <v>741</v>
      </c>
      <c r="C27" s="404">
        <v>1</v>
      </c>
      <c r="D27" s="226" t="s">
        <v>393</v>
      </c>
      <c r="E27" s="182">
        <v>19</v>
      </c>
      <c r="F27" s="404">
        <v>1636</v>
      </c>
      <c r="G27" s="405">
        <v>86.1</v>
      </c>
      <c r="H27" s="597">
        <f>AVERAGE(G27:G41)</f>
        <v>81.308333333333323</v>
      </c>
      <c r="I27" s="408">
        <f>AVERAGE(P27,U27,Z27,AE27,AJ27,AO27,AT27)</f>
        <v>18.285714285714285</v>
      </c>
      <c r="J27" s="408">
        <f>AVERAGE(Q27,V27,AA27,AF27,AK27,AP27,AU27)</f>
        <v>1337.7515039798943</v>
      </c>
      <c r="K27" s="406">
        <f>AVERAGE(R27,W27,AB27,AG27,AL27,AQ27,AV27)</f>
        <v>73.204968873797569</v>
      </c>
      <c r="L27" s="587">
        <f>IFERROR(AVERAGE(K27:K41),"-")</f>
        <v>69.234656595367682</v>
      </c>
      <c r="M27" s="407">
        <f>RANK(K27, K$27:$K$41)</f>
        <v>4</v>
      </c>
      <c r="N27" s="544"/>
      <c r="O27" s="544"/>
      <c r="P27" s="182">
        <v>18</v>
      </c>
      <c r="Q27" s="182">
        <v>1374</v>
      </c>
      <c r="R27" s="182">
        <v>76.333333333333329</v>
      </c>
      <c r="S27" s="404">
        <f t="shared" ref="S27:S41" si="15">RANK(R27, R$27:R$41)</f>
        <v>3</v>
      </c>
      <c r="T27" s="534">
        <f>AVERAGE(R27:R41)</f>
        <v>70.327110706266794</v>
      </c>
      <c r="U27" s="182">
        <v>18</v>
      </c>
      <c r="V27" s="182">
        <v>1303.8000000000045</v>
      </c>
      <c r="W27" s="182">
        <v>72.433333333333579</v>
      </c>
      <c r="X27" s="404">
        <f t="shared" ref="X27:X41" si="16">RANK(W27, W$27:W$41)</f>
        <v>4</v>
      </c>
      <c r="Y27" s="534">
        <f t="shared" ref="Y27" si="17">AVERAGE(W27:W41)</f>
        <v>69.079275590547979</v>
      </c>
      <c r="Z27" s="182">
        <v>18</v>
      </c>
      <c r="AA27" s="182">
        <v>1379.1272727272776</v>
      </c>
      <c r="AB27" s="182">
        <v>76.618181818182094</v>
      </c>
      <c r="AC27" s="404">
        <f t="shared" ref="AC27:AC41" si="18">RANK(AB27, AB$27:AB$41)</f>
        <v>4</v>
      </c>
      <c r="AD27" s="534">
        <f t="shared" ref="AD27" si="19">AVERAGE(AB27:AB41)</f>
        <v>70.494425060306995</v>
      </c>
      <c r="AE27" s="182">
        <v>18</v>
      </c>
      <c r="AF27" s="182">
        <v>1254.2400000000046</v>
      </c>
      <c r="AG27" s="182">
        <v>69.680000000000248</v>
      </c>
      <c r="AH27" s="404">
        <f t="shared" ref="AH27:AH41" si="20">RANK(AG27, AG$27:AG$41)</f>
        <v>6</v>
      </c>
      <c r="AI27" s="534">
        <f t="shared" ref="AI27" si="21">AVERAGE(AG27:AG41)</f>
        <v>67.632891059044752</v>
      </c>
      <c r="AJ27" s="182">
        <v>19</v>
      </c>
      <c r="AK27" s="182">
        <v>1311.05454545455</v>
      </c>
      <c r="AL27" s="182">
        <v>69.002870813397365</v>
      </c>
      <c r="AM27" s="404">
        <f t="shared" ref="AM27:AM41" si="22">RANK(AL27, AL$27:AL$41)</f>
        <v>6</v>
      </c>
      <c r="AN27" s="534">
        <f t="shared" ref="AN27" si="23">AVERAGE(AL27:AL41)</f>
        <v>68.623946824748444</v>
      </c>
      <c r="AO27" s="182">
        <v>19</v>
      </c>
      <c r="AP27" s="182">
        <v>1357.2000000000048</v>
      </c>
      <c r="AQ27" s="182">
        <v>71.431578947368678</v>
      </c>
      <c r="AR27" s="404">
        <f t="shared" ref="AR27:AR41" si="24">RANK(AQ27, AQ$27:AQ$41)</f>
        <v>4</v>
      </c>
      <c r="AS27" s="534">
        <f t="shared" ref="AS27" si="25">AVERAGE(AQ27:AQ41)</f>
        <v>69.115266910989661</v>
      </c>
      <c r="AT27" s="182">
        <v>18</v>
      </c>
      <c r="AU27" s="182">
        <v>1384.838709677419</v>
      </c>
      <c r="AV27" s="182">
        <v>76.93548387096773</v>
      </c>
      <c r="AW27" s="404">
        <f t="shared" ref="AW27:AW41" si="26">RANK(AV27, AV$27:AV$41)</f>
        <v>3</v>
      </c>
      <c r="AX27" s="534">
        <f t="shared" ref="AX27" si="27">AVERAGE(AV27:AV41)</f>
        <v>69.369680015669275</v>
      </c>
    </row>
    <row r="28" spans="2:54">
      <c r="B28" s="533"/>
      <c r="C28" s="404">
        <v>2</v>
      </c>
      <c r="D28" s="226" t="s">
        <v>347</v>
      </c>
      <c r="E28" s="182">
        <v>18</v>
      </c>
      <c r="F28" s="404">
        <v>1636</v>
      </c>
      <c r="G28" s="405">
        <v>90.9</v>
      </c>
      <c r="H28" s="598"/>
      <c r="I28" s="408">
        <f t="shared" ref="I28:K38" si="28">AVERAGE(P28,U28,Z28,AE28,AJ28,AO28,AT28)</f>
        <v>18</v>
      </c>
      <c r="J28" s="408">
        <f t="shared" si="28"/>
        <v>1383.4595265489909</v>
      </c>
      <c r="K28" s="406">
        <f t="shared" si="28"/>
        <v>76.858862586055054</v>
      </c>
      <c r="L28" s="588"/>
      <c r="M28" s="407">
        <f>RANK(K28, K$27:$K$41)</f>
        <v>2</v>
      </c>
      <c r="N28" s="544"/>
      <c r="O28" s="544"/>
      <c r="P28" s="182">
        <v>18</v>
      </c>
      <c r="Q28" s="182">
        <v>1351.5141361256542</v>
      </c>
      <c r="R28" s="182">
        <v>75.084118673647453</v>
      </c>
      <c r="S28" s="404">
        <f t="shared" si="15"/>
        <v>4</v>
      </c>
      <c r="T28" s="534"/>
      <c r="U28" s="182">
        <v>18</v>
      </c>
      <c r="V28" s="182">
        <v>1382.7565714285718</v>
      </c>
      <c r="W28" s="182">
        <v>76.819809523809539</v>
      </c>
      <c r="X28" s="404">
        <f t="shared" si="16"/>
        <v>3</v>
      </c>
      <c r="Y28" s="534"/>
      <c r="Z28" s="182">
        <v>18</v>
      </c>
      <c r="AA28" s="182">
        <v>1395.2542372881362</v>
      </c>
      <c r="AB28" s="182">
        <v>77.514124293785343</v>
      </c>
      <c r="AC28" s="404">
        <f t="shared" si="18"/>
        <v>2</v>
      </c>
      <c r="AD28" s="534"/>
      <c r="AE28" s="182">
        <v>18</v>
      </c>
      <c r="AF28" s="182">
        <v>1352.2807017543862</v>
      </c>
      <c r="AG28" s="182">
        <v>75.12670565302146</v>
      </c>
      <c r="AH28" s="404">
        <f t="shared" si="20"/>
        <v>3</v>
      </c>
      <c r="AI28" s="534"/>
      <c r="AJ28" s="182">
        <v>18</v>
      </c>
      <c r="AK28" s="182">
        <v>1421.3793103448279</v>
      </c>
      <c r="AL28" s="182">
        <v>78.965517241379331</v>
      </c>
      <c r="AM28" s="404">
        <f t="shared" si="22"/>
        <v>2</v>
      </c>
      <c r="AN28" s="534"/>
      <c r="AO28" s="182">
        <v>18</v>
      </c>
      <c r="AP28" s="182">
        <v>1404.690265486726</v>
      </c>
      <c r="AQ28" s="182">
        <v>78.038348082595888</v>
      </c>
      <c r="AR28" s="404">
        <f t="shared" si="24"/>
        <v>2</v>
      </c>
      <c r="AS28" s="534"/>
      <c r="AT28" s="182">
        <v>18</v>
      </c>
      <c r="AU28" s="182">
        <v>1376.3414634146341</v>
      </c>
      <c r="AV28" s="182">
        <v>76.463414634146332</v>
      </c>
      <c r="AW28" s="404">
        <f t="shared" si="26"/>
        <v>4</v>
      </c>
      <c r="AX28" s="534"/>
    </row>
    <row r="29" spans="2:54">
      <c r="B29" s="533"/>
      <c r="C29" s="404">
        <v>3</v>
      </c>
      <c r="D29" s="226" t="s">
        <v>573</v>
      </c>
      <c r="E29" s="182">
        <v>14</v>
      </c>
      <c r="F29" s="404">
        <v>1500</v>
      </c>
      <c r="G29" s="405">
        <v>107.1</v>
      </c>
      <c r="H29" s="598"/>
      <c r="I29" s="408">
        <f t="shared" si="28"/>
        <v>13.857142857142858</v>
      </c>
      <c r="J29" s="408">
        <f t="shared" si="28"/>
        <v>1374.0530176554628</v>
      </c>
      <c r="K29" s="406">
        <f t="shared" si="28"/>
        <v>99.219081884562669</v>
      </c>
      <c r="L29" s="588"/>
      <c r="M29" s="407">
        <f>RANK(K29, K$27:$K$41)</f>
        <v>1</v>
      </c>
      <c r="N29" s="544"/>
      <c r="O29" s="544"/>
      <c r="P29" s="182">
        <v>13</v>
      </c>
      <c r="Q29" s="182">
        <v>1366.2857142857129</v>
      </c>
      <c r="R29" s="182">
        <v>105.098901098901</v>
      </c>
      <c r="S29" s="404">
        <f t="shared" si="15"/>
        <v>1</v>
      </c>
      <c r="T29" s="534"/>
      <c r="U29" s="182">
        <v>14</v>
      </c>
      <c r="V29" s="182">
        <v>1383.3333333333321</v>
      </c>
      <c r="W29" s="182">
        <v>98.809523809523725</v>
      </c>
      <c r="X29" s="404">
        <f t="shared" si="16"/>
        <v>1</v>
      </c>
      <c r="Y29" s="534"/>
      <c r="Z29" s="182">
        <v>14</v>
      </c>
      <c r="AA29" s="182">
        <v>1385.2941176470606</v>
      </c>
      <c r="AB29" s="182">
        <v>98.949579831932894</v>
      </c>
      <c r="AC29" s="404">
        <f t="shared" si="18"/>
        <v>1</v>
      </c>
      <c r="AD29" s="534"/>
      <c r="AE29" s="182">
        <v>14</v>
      </c>
      <c r="AF29" s="182">
        <v>1322.1428571428582</v>
      </c>
      <c r="AG29" s="182">
        <v>94.438775510204167</v>
      </c>
      <c r="AH29" s="404">
        <f t="shared" si="20"/>
        <v>1</v>
      </c>
      <c r="AI29" s="534"/>
      <c r="AJ29" s="182">
        <v>14</v>
      </c>
      <c r="AK29" s="182">
        <v>1393.5483870967755</v>
      </c>
      <c r="AL29" s="182">
        <v>99.539170506912541</v>
      </c>
      <c r="AM29" s="404">
        <f t="shared" si="22"/>
        <v>1</v>
      </c>
      <c r="AN29" s="534"/>
      <c r="AO29" s="182">
        <v>14</v>
      </c>
      <c r="AP29" s="182">
        <v>1392.6315789473672</v>
      </c>
      <c r="AQ29" s="182">
        <v>99.47368421052623</v>
      </c>
      <c r="AR29" s="404">
        <f t="shared" si="24"/>
        <v>1</v>
      </c>
      <c r="AS29" s="534"/>
      <c r="AT29" s="182">
        <v>14</v>
      </c>
      <c r="AU29" s="182">
        <v>1375.1351351351341</v>
      </c>
      <c r="AV29" s="182">
        <v>98.223938223938148</v>
      </c>
      <c r="AW29" s="404">
        <f t="shared" si="26"/>
        <v>1</v>
      </c>
      <c r="AX29" s="534"/>
    </row>
    <row r="30" spans="2:54">
      <c r="B30" s="533"/>
      <c r="C30" s="404">
        <v>4</v>
      </c>
      <c r="D30" s="226" t="s">
        <v>479</v>
      </c>
      <c r="E30" s="182">
        <v>18</v>
      </c>
      <c r="F30" s="404">
        <v>1636</v>
      </c>
      <c r="G30" s="405">
        <v>90.9</v>
      </c>
      <c r="H30" s="598"/>
      <c r="I30" s="408">
        <f t="shared" si="28"/>
        <v>18</v>
      </c>
      <c r="J30" s="408">
        <f t="shared" si="28"/>
        <v>1375.4147031334749</v>
      </c>
      <c r="K30" s="406">
        <f t="shared" si="28"/>
        <v>76.411927951859724</v>
      </c>
      <c r="L30" s="588"/>
      <c r="M30" s="407">
        <f>RANK(K30, K$27:$K$41)</f>
        <v>3</v>
      </c>
      <c r="N30" s="544"/>
      <c r="O30" s="544"/>
      <c r="P30" s="182">
        <v>18</v>
      </c>
      <c r="Q30" s="182">
        <v>1404</v>
      </c>
      <c r="R30" s="182">
        <v>78</v>
      </c>
      <c r="S30" s="404">
        <f t="shared" si="15"/>
        <v>2</v>
      </c>
      <c r="T30" s="534"/>
      <c r="U30" s="182">
        <v>18</v>
      </c>
      <c r="V30" s="182">
        <v>1388.7272727272725</v>
      </c>
      <c r="W30" s="182">
        <v>77.151515151515142</v>
      </c>
      <c r="X30" s="404">
        <f t="shared" si="16"/>
        <v>2</v>
      </c>
      <c r="Y30" s="534"/>
      <c r="Z30" s="182">
        <v>18</v>
      </c>
      <c r="AA30" s="182">
        <v>1361.7857142857144</v>
      </c>
      <c r="AB30" s="182">
        <v>75.654761904761912</v>
      </c>
      <c r="AC30" s="404">
        <f t="shared" si="18"/>
        <v>5</v>
      </c>
      <c r="AD30" s="534"/>
      <c r="AE30" s="182">
        <v>18</v>
      </c>
      <c r="AF30" s="182">
        <v>1357.8947368421057</v>
      </c>
      <c r="AG30" s="182">
        <v>75.438596491228097</v>
      </c>
      <c r="AH30" s="404">
        <f t="shared" si="20"/>
        <v>2</v>
      </c>
      <c r="AI30" s="534"/>
      <c r="AJ30" s="182">
        <v>18</v>
      </c>
      <c r="AK30" s="182">
        <v>1365.3061224489788</v>
      </c>
      <c r="AL30" s="182">
        <v>75.850340136054385</v>
      </c>
      <c r="AM30" s="404">
        <f t="shared" si="22"/>
        <v>3</v>
      </c>
      <c r="AN30" s="534"/>
      <c r="AO30" s="182">
        <v>18</v>
      </c>
      <c r="AP30" s="182">
        <v>1354.1176470588241</v>
      </c>
      <c r="AQ30" s="182">
        <v>75.228758169934679</v>
      </c>
      <c r="AR30" s="404">
        <f t="shared" si="24"/>
        <v>3</v>
      </c>
      <c r="AS30" s="534"/>
      <c r="AT30" s="182">
        <v>18</v>
      </c>
      <c r="AU30" s="182">
        <v>1396.0714285714284</v>
      </c>
      <c r="AV30" s="182">
        <v>77.559523809523796</v>
      </c>
      <c r="AW30" s="404">
        <f t="shared" si="26"/>
        <v>2</v>
      </c>
      <c r="AX30" s="534"/>
    </row>
    <row r="31" spans="2:54">
      <c r="B31" s="533"/>
      <c r="C31" s="404">
        <v>5</v>
      </c>
      <c r="D31" s="226" t="s">
        <v>512</v>
      </c>
      <c r="E31" s="182">
        <v>18</v>
      </c>
      <c r="F31" s="404">
        <v>1385</v>
      </c>
      <c r="G31" s="405">
        <v>76.900000000000006</v>
      </c>
      <c r="H31" s="598"/>
      <c r="I31" s="408">
        <f t="shared" si="28"/>
        <v>18</v>
      </c>
      <c r="J31" s="408">
        <f t="shared" si="28"/>
        <v>1211.891089259314</v>
      </c>
      <c r="K31" s="406">
        <f t="shared" si="28"/>
        <v>67.327282736628561</v>
      </c>
      <c r="L31" s="588"/>
      <c r="M31" s="407">
        <f>RANK(K31, K$27:$K$41)</f>
        <v>8</v>
      </c>
      <c r="N31" s="544"/>
      <c r="O31" s="544"/>
      <c r="P31" s="182">
        <v>18</v>
      </c>
      <c r="Q31" s="182">
        <v>1232.8571428571424</v>
      </c>
      <c r="R31" s="182">
        <v>68.492063492063465</v>
      </c>
      <c r="S31" s="404">
        <f t="shared" si="15"/>
        <v>8</v>
      </c>
      <c r="T31" s="534"/>
      <c r="U31" s="182">
        <v>18</v>
      </c>
      <c r="V31" s="182">
        <v>1249.9999999999995</v>
      </c>
      <c r="W31" s="182">
        <v>69.444444444444414</v>
      </c>
      <c r="X31" s="404">
        <f t="shared" si="16"/>
        <v>8</v>
      </c>
      <c r="Y31" s="534"/>
      <c r="Z31" s="182">
        <v>18</v>
      </c>
      <c r="AA31" s="182">
        <v>1252.4999999999995</v>
      </c>
      <c r="AB31" s="182">
        <v>69.583333333333314</v>
      </c>
      <c r="AC31" s="404">
        <f t="shared" si="18"/>
        <v>8</v>
      </c>
      <c r="AD31" s="534"/>
      <c r="AE31" s="182">
        <v>18</v>
      </c>
      <c r="AF31" s="182">
        <v>1057.2413793103456</v>
      </c>
      <c r="AG31" s="182">
        <v>58.735632183908088</v>
      </c>
      <c r="AH31" s="404">
        <f t="shared" si="20"/>
        <v>9</v>
      </c>
      <c r="AI31" s="534"/>
      <c r="AJ31" s="182">
        <v>18</v>
      </c>
      <c r="AK31" s="182">
        <v>1226.4705882352926</v>
      </c>
      <c r="AL31" s="182">
        <v>68.137254901960702</v>
      </c>
      <c r="AM31" s="404">
        <f t="shared" si="22"/>
        <v>7</v>
      </c>
      <c r="AN31" s="534"/>
      <c r="AO31" s="182">
        <v>18</v>
      </c>
      <c r="AP31" s="182">
        <v>1236.3636363636376</v>
      </c>
      <c r="AQ31" s="182">
        <v>68.686868686868763</v>
      </c>
      <c r="AR31" s="404">
        <f t="shared" si="24"/>
        <v>8</v>
      </c>
      <c r="AS31" s="534"/>
      <c r="AT31" s="182">
        <v>18</v>
      </c>
      <c r="AU31" s="182">
        <v>1227.8048780487802</v>
      </c>
      <c r="AV31" s="182">
        <v>68.211382113821116</v>
      </c>
      <c r="AW31" s="404">
        <f t="shared" si="26"/>
        <v>7</v>
      </c>
      <c r="AX31" s="534"/>
    </row>
    <row r="32" spans="2:54">
      <c r="B32" s="533"/>
      <c r="C32" s="404">
        <v>6</v>
      </c>
      <c r="D32" s="226" t="s">
        <v>617</v>
      </c>
      <c r="E32" s="182">
        <v>18</v>
      </c>
      <c r="F32" s="404">
        <v>1500</v>
      </c>
      <c r="G32" s="405">
        <v>83.3</v>
      </c>
      <c r="H32" s="598"/>
      <c r="I32" s="408">
        <f t="shared" si="28"/>
        <v>18</v>
      </c>
      <c r="J32" s="408">
        <f t="shared" si="28"/>
        <v>1276.963923489182</v>
      </c>
      <c r="K32" s="406">
        <f t="shared" si="28"/>
        <v>70.942440193843439</v>
      </c>
      <c r="L32" s="588"/>
      <c r="M32" s="407">
        <f>RANK(K32, K$27:$K$41)</f>
        <v>6</v>
      </c>
      <c r="N32" s="544"/>
      <c r="O32" s="544"/>
      <c r="P32" s="182">
        <v>18</v>
      </c>
      <c r="Q32" s="182">
        <v>1317.499999999998</v>
      </c>
      <c r="R32" s="182">
        <v>73.194444444444329</v>
      </c>
      <c r="S32" s="404">
        <f t="shared" si="15"/>
        <v>5</v>
      </c>
      <c r="T32" s="534"/>
      <c r="U32" s="182">
        <v>18</v>
      </c>
      <c r="V32" s="182">
        <v>1283.2653061224494</v>
      </c>
      <c r="W32" s="182">
        <v>71.29251700680274</v>
      </c>
      <c r="X32" s="404">
        <f t="shared" si="16"/>
        <v>6</v>
      </c>
      <c r="Y32" s="534"/>
      <c r="Z32" s="182">
        <v>18</v>
      </c>
      <c r="AA32" s="182">
        <v>1274.0425531914896</v>
      </c>
      <c r="AB32" s="182">
        <v>70.780141843971649</v>
      </c>
      <c r="AC32" s="404">
        <f t="shared" si="18"/>
        <v>7</v>
      </c>
      <c r="AD32" s="534"/>
      <c r="AE32" s="182">
        <v>18</v>
      </c>
      <c r="AF32" s="182">
        <v>1261.4634146341459</v>
      </c>
      <c r="AG32" s="182">
        <v>70.081300813008113</v>
      </c>
      <c r="AH32" s="404">
        <f t="shared" si="20"/>
        <v>5</v>
      </c>
      <c r="AI32" s="534"/>
      <c r="AJ32" s="182">
        <v>18</v>
      </c>
      <c r="AK32" s="182">
        <v>1277.1428571428567</v>
      </c>
      <c r="AL32" s="182">
        <v>70.952380952380921</v>
      </c>
      <c r="AM32" s="404">
        <f t="shared" si="22"/>
        <v>5</v>
      </c>
      <c r="AN32" s="534"/>
      <c r="AO32" s="182">
        <v>18</v>
      </c>
      <c r="AP32" s="182">
        <v>1260.0000000000005</v>
      </c>
      <c r="AQ32" s="182">
        <v>70.000000000000028</v>
      </c>
      <c r="AR32" s="404">
        <f t="shared" si="24"/>
        <v>6</v>
      </c>
      <c r="AS32" s="534"/>
      <c r="AT32" s="182">
        <v>18</v>
      </c>
      <c r="AU32" s="182">
        <v>1265.3333333333333</v>
      </c>
      <c r="AV32" s="182">
        <v>70.296296296296291</v>
      </c>
      <c r="AW32" s="404">
        <f t="shared" si="26"/>
        <v>6</v>
      </c>
      <c r="AX32" s="534"/>
    </row>
    <row r="33" spans="2:50">
      <c r="B33" s="533"/>
      <c r="C33" s="404">
        <v>7</v>
      </c>
      <c r="D33" s="226" t="s">
        <v>622</v>
      </c>
      <c r="E33" s="182">
        <v>21</v>
      </c>
      <c r="F33" s="404">
        <v>1177.25</v>
      </c>
      <c r="G33" s="405">
        <v>65.900000000000006</v>
      </c>
      <c r="H33" s="598"/>
      <c r="I33" s="408">
        <f t="shared" si="28"/>
        <v>20.285714285714285</v>
      </c>
      <c r="J33" s="408">
        <f t="shared" si="28"/>
        <v>1084.5151075838655</v>
      </c>
      <c r="K33" s="406">
        <f t="shared" si="28"/>
        <v>53.488852825964209</v>
      </c>
      <c r="L33" s="588"/>
      <c r="M33" s="407">
        <f>RANK(K33, K$27:$K$41)</f>
        <v>12</v>
      </c>
      <c r="N33" s="544"/>
      <c r="O33" s="544"/>
      <c r="P33" s="182">
        <v>20</v>
      </c>
      <c r="Q33" s="182">
        <v>1106.4406779661026</v>
      </c>
      <c r="R33" s="182">
        <v>55.322033898305129</v>
      </c>
      <c r="S33" s="404">
        <f t="shared" si="15"/>
        <v>12</v>
      </c>
      <c r="T33" s="534"/>
      <c r="U33" s="182">
        <v>21</v>
      </c>
      <c r="V33" s="182">
        <v>1072.2077922077917</v>
      </c>
      <c r="W33" s="182">
        <v>51.057513914656752</v>
      </c>
      <c r="X33" s="404">
        <f t="shared" si="16"/>
        <v>12</v>
      </c>
      <c r="Y33" s="534"/>
      <c r="Z33" s="182">
        <v>20</v>
      </c>
      <c r="AA33" s="182">
        <v>1058.7500000000005</v>
      </c>
      <c r="AB33" s="182">
        <v>52.937500000000021</v>
      </c>
      <c r="AC33" s="404">
        <f t="shared" si="18"/>
        <v>12</v>
      </c>
      <c r="AD33" s="534"/>
      <c r="AE33" s="182">
        <v>20</v>
      </c>
      <c r="AF33" s="182">
        <v>1090.6666666666665</v>
      </c>
      <c r="AG33" s="182">
        <v>54.533333333333324</v>
      </c>
      <c r="AH33" s="404">
        <f t="shared" si="20"/>
        <v>11</v>
      </c>
      <c r="AI33" s="534"/>
      <c r="AJ33" s="182">
        <v>21</v>
      </c>
      <c r="AK33" s="182">
        <v>1094.285714285714</v>
      </c>
      <c r="AL33" s="182">
        <v>52.108843537414955</v>
      </c>
      <c r="AM33" s="404">
        <f t="shared" si="22"/>
        <v>12</v>
      </c>
      <c r="AN33" s="534"/>
      <c r="AO33" s="182">
        <v>20</v>
      </c>
      <c r="AP33" s="182">
        <v>1098.6666666666665</v>
      </c>
      <c r="AQ33" s="182">
        <v>54.933333333333323</v>
      </c>
      <c r="AR33" s="404">
        <f t="shared" si="24"/>
        <v>11</v>
      </c>
      <c r="AS33" s="534"/>
      <c r="AT33" s="182">
        <v>20</v>
      </c>
      <c r="AU33" s="182">
        <v>1070.588235294118</v>
      </c>
      <c r="AV33" s="182">
        <v>53.529411764705898</v>
      </c>
      <c r="AW33" s="404">
        <f t="shared" si="26"/>
        <v>12</v>
      </c>
      <c r="AX33" s="534"/>
    </row>
    <row r="34" spans="2:50">
      <c r="B34" s="533"/>
      <c r="C34" s="404">
        <v>8</v>
      </c>
      <c r="D34" s="226" t="s">
        <v>642</v>
      </c>
      <c r="E34" s="182">
        <v>20</v>
      </c>
      <c r="F34" s="404">
        <v>1177.25</v>
      </c>
      <c r="G34" s="405">
        <v>69.2</v>
      </c>
      <c r="H34" s="598"/>
      <c r="I34" s="408">
        <f t="shared" si="28"/>
        <v>19.857142857142858</v>
      </c>
      <c r="J34" s="408">
        <f t="shared" si="28"/>
        <v>1078.8752745114871</v>
      </c>
      <c r="K34" s="406">
        <f t="shared" si="28"/>
        <v>54.345124269792045</v>
      </c>
      <c r="L34" s="588"/>
      <c r="M34" s="407">
        <f>RANK(K34, K$27:$K$41)</f>
        <v>11</v>
      </c>
      <c r="N34" s="544"/>
      <c r="O34" s="544"/>
      <c r="P34" s="182">
        <v>19</v>
      </c>
      <c r="Q34" s="182">
        <v>1067.6190476190486</v>
      </c>
      <c r="R34" s="182">
        <v>56.19047619047624</v>
      </c>
      <c r="S34" s="404">
        <f t="shared" si="15"/>
        <v>11</v>
      </c>
      <c r="T34" s="534"/>
      <c r="U34" s="182">
        <v>20</v>
      </c>
      <c r="V34" s="182">
        <v>1083.2432432432424</v>
      </c>
      <c r="W34" s="182">
        <v>54.162162162162119</v>
      </c>
      <c r="X34" s="404">
        <f t="shared" si="16"/>
        <v>11</v>
      </c>
      <c r="Y34" s="534"/>
      <c r="Z34" s="182">
        <v>20</v>
      </c>
      <c r="AA34" s="182">
        <v>1103.0769230769226</v>
      </c>
      <c r="AB34" s="182">
        <v>55.153846153846132</v>
      </c>
      <c r="AC34" s="404">
        <f t="shared" si="18"/>
        <v>11</v>
      </c>
      <c r="AD34" s="534"/>
      <c r="AE34" s="182">
        <v>20</v>
      </c>
      <c r="AF34" s="182">
        <v>1089.642857142858</v>
      </c>
      <c r="AG34" s="182">
        <v>54.482142857142904</v>
      </c>
      <c r="AH34" s="404">
        <f t="shared" si="20"/>
        <v>12</v>
      </c>
      <c r="AI34" s="534"/>
      <c r="AJ34" s="182">
        <v>20</v>
      </c>
      <c r="AK34" s="182">
        <v>1079.9999999999998</v>
      </c>
      <c r="AL34" s="182">
        <v>53.999999999999986</v>
      </c>
      <c r="AM34" s="404">
        <f t="shared" si="22"/>
        <v>11</v>
      </c>
      <c r="AN34" s="534"/>
      <c r="AO34" s="182">
        <v>20</v>
      </c>
      <c r="AP34" s="182">
        <v>1045.1162790697672</v>
      </c>
      <c r="AQ34" s="182">
        <v>52.255813953488357</v>
      </c>
      <c r="AR34" s="404">
        <f t="shared" si="24"/>
        <v>12</v>
      </c>
      <c r="AS34" s="534"/>
      <c r="AT34" s="182">
        <v>20</v>
      </c>
      <c r="AU34" s="182">
        <v>1083.4285714285704</v>
      </c>
      <c r="AV34" s="182">
        <v>54.171428571428521</v>
      </c>
      <c r="AW34" s="404">
        <f t="shared" si="26"/>
        <v>11</v>
      </c>
      <c r="AX34" s="534"/>
    </row>
    <row r="35" spans="2:50">
      <c r="B35" s="533"/>
      <c r="C35" s="404">
        <v>9</v>
      </c>
      <c r="D35" s="226" t="s">
        <v>630</v>
      </c>
      <c r="E35" s="182">
        <v>18</v>
      </c>
      <c r="F35" s="404">
        <v>1224</v>
      </c>
      <c r="G35" s="405">
        <v>80</v>
      </c>
      <c r="H35" s="598"/>
      <c r="I35" s="408">
        <f t="shared" si="28"/>
        <v>18</v>
      </c>
      <c r="J35" s="408">
        <f t="shared" si="28"/>
        <v>1084.130160170916</v>
      </c>
      <c r="K35" s="406">
        <f t="shared" si="28"/>
        <v>60.229453342828663</v>
      </c>
      <c r="L35" s="588"/>
      <c r="M35" s="407">
        <f>RANK(K35, K$27:$K$41)</f>
        <v>9</v>
      </c>
      <c r="N35" s="544"/>
      <c r="O35" s="544"/>
      <c r="P35" s="182">
        <v>18</v>
      </c>
      <c r="Q35" s="182">
        <v>1058.7096774193551</v>
      </c>
      <c r="R35" s="182">
        <v>58.817204301075286</v>
      </c>
      <c r="S35" s="404">
        <f t="shared" si="15"/>
        <v>9</v>
      </c>
      <c r="T35" s="534"/>
      <c r="U35" s="182">
        <v>18</v>
      </c>
      <c r="V35" s="182">
        <v>1057.6119402985062</v>
      </c>
      <c r="W35" s="182">
        <v>58.756218905472565</v>
      </c>
      <c r="X35" s="404">
        <f t="shared" si="16"/>
        <v>9</v>
      </c>
      <c r="Y35" s="534"/>
      <c r="Z35" s="182">
        <v>18</v>
      </c>
      <c r="AA35" s="182">
        <v>1095.600000000001</v>
      </c>
      <c r="AB35" s="182">
        <v>60.866666666666724</v>
      </c>
      <c r="AC35" s="404">
        <f t="shared" si="18"/>
        <v>9</v>
      </c>
      <c r="AD35" s="534"/>
      <c r="AE35" s="182">
        <v>18</v>
      </c>
      <c r="AF35" s="182">
        <v>1108.225352112675</v>
      </c>
      <c r="AG35" s="182">
        <v>61.568075117370832</v>
      </c>
      <c r="AH35" s="404">
        <f t="shared" si="20"/>
        <v>8</v>
      </c>
      <c r="AI35" s="534"/>
      <c r="AJ35" s="182">
        <v>18</v>
      </c>
      <c r="AK35" s="182">
        <v>1069.0831168831162</v>
      </c>
      <c r="AL35" s="182">
        <v>59.393506493506457</v>
      </c>
      <c r="AM35" s="404">
        <f t="shared" si="22"/>
        <v>9</v>
      </c>
      <c r="AN35" s="534"/>
      <c r="AO35" s="182">
        <v>18</v>
      </c>
      <c r="AP35" s="182">
        <v>1097.9310344827586</v>
      </c>
      <c r="AQ35" s="182">
        <v>60.996168582375475</v>
      </c>
      <c r="AR35" s="404">
        <f t="shared" si="24"/>
        <v>9</v>
      </c>
      <c r="AS35" s="534"/>
      <c r="AT35" s="182">
        <v>18</v>
      </c>
      <c r="AU35" s="182">
        <v>1101.7499999999995</v>
      </c>
      <c r="AV35" s="182">
        <v>61.208333333333307</v>
      </c>
      <c r="AW35" s="404">
        <f t="shared" si="26"/>
        <v>9</v>
      </c>
      <c r="AX35" s="534"/>
    </row>
    <row r="36" spans="2:50">
      <c r="B36" s="533"/>
      <c r="C36" s="404">
        <v>10</v>
      </c>
      <c r="D36" s="226" t="s">
        <v>633</v>
      </c>
      <c r="E36" s="182">
        <v>18</v>
      </c>
      <c r="F36" s="404">
        <v>1500</v>
      </c>
      <c r="G36" s="405">
        <v>83.3</v>
      </c>
      <c r="H36" s="598"/>
      <c r="I36" s="408">
        <f t="shared" si="28"/>
        <v>18</v>
      </c>
      <c r="J36" s="408">
        <f t="shared" si="28"/>
        <v>1292.4992518502258</v>
      </c>
      <c r="K36" s="406">
        <f t="shared" si="28"/>
        <v>71.80551399167922</v>
      </c>
      <c r="L36" s="588"/>
      <c r="M36" s="407">
        <f>RANK(K36, K$27:$K$41)</f>
        <v>5</v>
      </c>
      <c r="N36" s="544"/>
      <c r="O36" s="544"/>
      <c r="P36" s="182">
        <v>18</v>
      </c>
      <c r="Q36" s="182">
        <v>1288.2178217821781</v>
      </c>
      <c r="R36" s="182">
        <v>71.56765676567656</v>
      </c>
      <c r="S36" s="404">
        <f t="shared" si="15"/>
        <v>6</v>
      </c>
      <c r="T36" s="534"/>
      <c r="U36" s="182">
        <v>18</v>
      </c>
      <c r="V36" s="182">
        <v>1267.53</v>
      </c>
      <c r="W36" s="182">
        <v>70.418333333333337</v>
      </c>
      <c r="X36" s="404">
        <f t="shared" si="16"/>
        <v>7</v>
      </c>
      <c r="Y36" s="534"/>
      <c r="Z36" s="182">
        <v>18</v>
      </c>
      <c r="AA36" s="182">
        <v>1309.231578947368</v>
      </c>
      <c r="AB36" s="182">
        <v>72.735087719298221</v>
      </c>
      <c r="AC36" s="404">
        <f t="shared" si="18"/>
        <v>6</v>
      </c>
      <c r="AD36" s="534"/>
      <c r="AE36" s="182">
        <v>18</v>
      </c>
      <c r="AF36" s="182">
        <v>1310.76</v>
      </c>
      <c r="AG36" s="182">
        <v>72.819999999999993</v>
      </c>
      <c r="AH36" s="404">
        <f t="shared" si="20"/>
        <v>4</v>
      </c>
      <c r="AI36" s="534"/>
      <c r="AJ36" s="182">
        <v>18</v>
      </c>
      <c r="AK36" s="182">
        <v>1310.1682758620684</v>
      </c>
      <c r="AL36" s="182">
        <v>72.787126436781577</v>
      </c>
      <c r="AM36" s="404">
        <f t="shared" si="22"/>
        <v>4</v>
      </c>
      <c r="AN36" s="534"/>
      <c r="AO36" s="182">
        <v>18</v>
      </c>
      <c r="AP36" s="182">
        <v>1285.3966101694914</v>
      </c>
      <c r="AQ36" s="182">
        <v>71.410922787193968</v>
      </c>
      <c r="AR36" s="404">
        <f t="shared" si="24"/>
        <v>5</v>
      </c>
      <c r="AS36" s="534"/>
      <c r="AT36" s="182">
        <v>18</v>
      </c>
      <c r="AU36" s="182">
        <v>1276.1904761904757</v>
      </c>
      <c r="AV36" s="182">
        <v>70.89947089947087</v>
      </c>
      <c r="AW36" s="404">
        <f t="shared" si="26"/>
        <v>5</v>
      </c>
      <c r="AX36" s="534"/>
    </row>
    <row r="37" spans="2:50">
      <c r="B37" s="533"/>
      <c r="C37" s="404">
        <v>11</v>
      </c>
      <c r="D37" s="226" t="s">
        <v>637</v>
      </c>
      <c r="E37" s="182">
        <v>19</v>
      </c>
      <c r="F37" s="404">
        <v>1385</v>
      </c>
      <c r="G37" s="405">
        <v>72.900000000000006</v>
      </c>
      <c r="H37" s="598"/>
      <c r="I37" s="408">
        <f t="shared" si="28"/>
        <v>18.571428571428573</v>
      </c>
      <c r="J37" s="408">
        <f t="shared" si="28"/>
        <v>1294.4644158585513</v>
      </c>
      <c r="K37" s="406">
        <f t="shared" si="28"/>
        <v>69.828569478828413</v>
      </c>
      <c r="L37" s="588"/>
      <c r="M37" s="407">
        <f>RANK(K37, K$27:$K$41)</f>
        <v>7</v>
      </c>
      <c r="N37" s="544"/>
      <c r="O37" s="544"/>
      <c r="P37" s="182">
        <v>19</v>
      </c>
      <c r="Q37" s="182">
        <v>1302.5000000000005</v>
      </c>
      <c r="R37" s="182">
        <v>68.552631578947398</v>
      </c>
      <c r="S37" s="404">
        <f t="shared" si="15"/>
        <v>7</v>
      </c>
      <c r="T37" s="534"/>
      <c r="U37" s="182">
        <v>18</v>
      </c>
      <c r="V37" s="182">
        <v>1288.8888888888896</v>
      </c>
      <c r="W37" s="182">
        <v>71.604938271604979</v>
      </c>
      <c r="X37" s="404">
        <f t="shared" si="16"/>
        <v>5</v>
      </c>
      <c r="Y37" s="534"/>
      <c r="Z37" s="182">
        <v>17</v>
      </c>
      <c r="AA37" s="182">
        <v>1311.9230769230776</v>
      </c>
      <c r="AB37" s="182">
        <v>77.171945701357501</v>
      </c>
      <c r="AC37" s="404">
        <f t="shared" si="18"/>
        <v>3</v>
      </c>
      <c r="AD37" s="534"/>
      <c r="AE37" s="182">
        <v>19</v>
      </c>
      <c r="AF37" s="182">
        <v>1300.3278688524586</v>
      </c>
      <c r="AG37" s="182">
        <v>68.438308886971498</v>
      </c>
      <c r="AH37" s="404">
        <f t="shared" si="20"/>
        <v>7</v>
      </c>
      <c r="AI37" s="534"/>
      <c r="AJ37" s="182">
        <v>19</v>
      </c>
      <c r="AK37" s="182">
        <v>1268.7500000000005</v>
      </c>
      <c r="AL37" s="182">
        <v>66.776315789473713</v>
      </c>
      <c r="AM37" s="404">
        <f t="shared" si="22"/>
        <v>8</v>
      </c>
      <c r="AN37" s="534"/>
      <c r="AO37" s="182">
        <v>19</v>
      </c>
      <c r="AP37" s="182">
        <v>1305.882352941177</v>
      </c>
      <c r="AQ37" s="182">
        <v>68.730650154798795</v>
      </c>
      <c r="AR37" s="404">
        <f t="shared" si="24"/>
        <v>7</v>
      </c>
      <c r="AS37" s="534"/>
      <c r="AT37" s="182">
        <v>19</v>
      </c>
      <c r="AU37" s="182">
        <v>1282.9787234042553</v>
      </c>
      <c r="AV37" s="182">
        <v>67.525195968645022</v>
      </c>
      <c r="AW37" s="404">
        <f t="shared" si="26"/>
        <v>8</v>
      </c>
      <c r="AX37" s="534"/>
    </row>
    <row r="38" spans="2:50">
      <c r="B38" s="533"/>
      <c r="C38" s="404">
        <v>12</v>
      </c>
      <c r="D38" s="226" t="s">
        <v>742</v>
      </c>
      <c r="E38" s="182">
        <v>19</v>
      </c>
      <c r="F38" s="404">
        <v>1177.25</v>
      </c>
      <c r="G38" s="405">
        <v>69.2</v>
      </c>
      <c r="H38" s="598"/>
      <c r="I38" s="408">
        <f t="shared" si="28"/>
        <v>19</v>
      </c>
      <c r="J38" s="408">
        <f t="shared" si="28"/>
        <v>1085.9222191628846</v>
      </c>
      <c r="K38" s="406">
        <f t="shared" si="28"/>
        <v>57.153801008572877</v>
      </c>
      <c r="L38" s="588"/>
      <c r="M38" s="407">
        <f>RANK(K38, K$27:$K$41)</f>
        <v>10</v>
      </c>
      <c r="N38" s="544"/>
      <c r="O38" s="544"/>
      <c r="P38" s="182">
        <v>19</v>
      </c>
      <c r="Q38" s="182">
        <v>1088.1768292682923</v>
      </c>
      <c r="R38" s="182">
        <v>57.27246469833117</v>
      </c>
      <c r="S38" s="404">
        <f t="shared" si="15"/>
        <v>10</v>
      </c>
      <c r="T38" s="534"/>
      <c r="U38" s="182">
        <v>19</v>
      </c>
      <c r="V38" s="182">
        <v>1083.0189473684211</v>
      </c>
      <c r="W38" s="182">
        <v>57.000997229916898</v>
      </c>
      <c r="X38" s="404">
        <f t="shared" si="16"/>
        <v>10</v>
      </c>
      <c r="Y38" s="534"/>
      <c r="Z38" s="182">
        <v>19</v>
      </c>
      <c r="AA38" s="182">
        <v>1101.3906976744183</v>
      </c>
      <c r="AB38" s="182">
        <v>57.967931456548335</v>
      </c>
      <c r="AC38" s="404">
        <f t="shared" si="18"/>
        <v>10</v>
      </c>
      <c r="AD38" s="534"/>
      <c r="AE38" s="182">
        <v>19</v>
      </c>
      <c r="AF38" s="182">
        <v>1068.7846153846169</v>
      </c>
      <c r="AG38" s="182">
        <v>56.251821862348258</v>
      </c>
      <c r="AH38" s="404">
        <f t="shared" si="20"/>
        <v>10</v>
      </c>
      <c r="AI38" s="534"/>
      <c r="AJ38" s="182">
        <v>19</v>
      </c>
      <c r="AK38" s="182">
        <v>1063.5066666666667</v>
      </c>
      <c r="AL38" s="182">
        <v>55.974035087719301</v>
      </c>
      <c r="AM38" s="404">
        <f t="shared" si="22"/>
        <v>10</v>
      </c>
      <c r="AN38" s="534"/>
      <c r="AO38" s="182">
        <v>19</v>
      </c>
      <c r="AP38" s="182">
        <v>1105.744444444445</v>
      </c>
      <c r="AQ38" s="182">
        <v>58.197076023391844</v>
      </c>
      <c r="AR38" s="404">
        <f t="shared" si="24"/>
        <v>10</v>
      </c>
      <c r="AS38" s="534"/>
      <c r="AT38" s="182">
        <v>19</v>
      </c>
      <c r="AU38" s="182">
        <v>1090.8333333333326</v>
      </c>
      <c r="AV38" s="182">
        <v>57.412280701754348</v>
      </c>
      <c r="AW38" s="404">
        <f t="shared" si="26"/>
        <v>10</v>
      </c>
      <c r="AX38" s="534"/>
    </row>
    <row r="39" spans="2:50">
      <c r="B39" s="533"/>
      <c r="C39" s="404">
        <v>13</v>
      </c>
      <c r="D39" s="226"/>
      <c r="E39" s="182"/>
      <c r="F39" s="404"/>
      <c r="G39" s="405"/>
      <c r="H39" s="598"/>
      <c r="I39" s="202"/>
      <c r="J39" s="202"/>
      <c r="K39" s="202"/>
      <c r="L39" s="588"/>
      <c r="M39" s="407" t="e">
        <f>RANK(K39, K$27:$K$41)</f>
        <v>#N/A</v>
      </c>
      <c r="N39" s="544"/>
      <c r="O39" s="544"/>
      <c r="P39" s="182"/>
      <c r="Q39" s="182"/>
      <c r="R39" s="182"/>
      <c r="S39" s="404" t="e">
        <f t="shared" si="15"/>
        <v>#N/A</v>
      </c>
      <c r="T39" s="534"/>
      <c r="U39" s="182"/>
      <c r="V39" s="182"/>
      <c r="W39" s="182"/>
      <c r="X39" s="404" t="e">
        <f t="shared" si="16"/>
        <v>#N/A</v>
      </c>
      <c r="Y39" s="534"/>
      <c r="Z39" s="182"/>
      <c r="AA39" s="182"/>
      <c r="AB39" s="182"/>
      <c r="AC39" s="404" t="e">
        <f t="shared" si="18"/>
        <v>#N/A</v>
      </c>
      <c r="AD39" s="534"/>
      <c r="AE39" s="182"/>
      <c r="AF39" s="182"/>
      <c r="AG39" s="182"/>
      <c r="AH39" s="404" t="e">
        <f t="shared" si="20"/>
        <v>#N/A</v>
      </c>
      <c r="AI39" s="534"/>
      <c r="AJ39" s="182"/>
      <c r="AK39" s="182"/>
      <c r="AL39" s="182"/>
      <c r="AM39" s="404" t="e">
        <f t="shared" si="22"/>
        <v>#N/A</v>
      </c>
      <c r="AN39" s="534"/>
      <c r="AO39" s="182"/>
      <c r="AP39" s="182"/>
      <c r="AQ39" s="182"/>
      <c r="AR39" s="404" t="e">
        <f t="shared" si="24"/>
        <v>#N/A</v>
      </c>
      <c r="AS39" s="534"/>
      <c r="AT39" s="182"/>
      <c r="AU39" s="182"/>
      <c r="AV39" s="182"/>
      <c r="AW39" s="404" t="e">
        <f t="shared" si="26"/>
        <v>#N/A</v>
      </c>
      <c r="AX39" s="534"/>
    </row>
    <row r="40" spans="2:50">
      <c r="B40" s="533"/>
      <c r="C40" s="404">
        <v>14</v>
      </c>
      <c r="D40" s="226"/>
      <c r="E40" s="182"/>
      <c r="F40" s="404"/>
      <c r="G40" s="405"/>
      <c r="H40" s="598"/>
      <c r="I40" s="202"/>
      <c r="J40" s="202"/>
      <c r="K40" s="202"/>
      <c r="L40" s="588"/>
      <c r="M40" s="407" t="e">
        <f>RANK(K40, K$27:$K$41)</f>
        <v>#N/A</v>
      </c>
      <c r="N40" s="544"/>
      <c r="O40" s="544"/>
      <c r="P40" s="182"/>
      <c r="Q40" s="182"/>
      <c r="R40" s="182"/>
      <c r="S40" s="404" t="e">
        <f t="shared" si="15"/>
        <v>#N/A</v>
      </c>
      <c r="T40" s="534"/>
      <c r="U40" s="182"/>
      <c r="V40" s="182"/>
      <c r="W40" s="182"/>
      <c r="X40" s="404" t="e">
        <f t="shared" si="16"/>
        <v>#N/A</v>
      </c>
      <c r="Y40" s="534"/>
      <c r="Z40" s="182"/>
      <c r="AA40" s="182"/>
      <c r="AB40" s="182"/>
      <c r="AC40" s="404" t="e">
        <f t="shared" si="18"/>
        <v>#N/A</v>
      </c>
      <c r="AD40" s="534"/>
      <c r="AE40" s="182"/>
      <c r="AF40" s="182"/>
      <c r="AG40" s="182"/>
      <c r="AH40" s="404" t="e">
        <f t="shared" si="20"/>
        <v>#N/A</v>
      </c>
      <c r="AI40" s="534"/>
      <c r="AJ40" s="182"/>
      <c r="AK40" s="182"/>
      <c r="AL40" s="182"/>
      <c r="AM40" s="404" t="e">
        <f t="shared" si="22"/>
        <v>#N/A</v>
      </c>
      <c r="AN40" s="534"/>
      <c r="AO40" s="182"/>
      <c r="AP40" s="182"/>
      <c r="AQ40" s="182"/>
      <c r="AR40" s="404" t="e">
        <f t="shared" si="24"/>
        <v>#N/A</v>
      </c>
      <c r="AS40" s="534"/>
      <c r="AT40" s="182"/>
      <c r="AU40" s="182"/>
      <c r="AV40" s="182"/>
      <c r="AW40" s="404" t="e">
        <f t="shared" si="26"/>
        <v>#N/A</v>
      </c>
      <c r="AX40" s="534"/>
    </row>
    <row r="41" spans="2:50">
      <c r="B41" s="533"/>
      <c r="C41" s="404">
        <v>15</v>
      </c>
      <c r="D41" s="226"/>
      <c r="E41" s="182"/>
      <c r="F41" s="404"/>
      <c r="G41" s="405"/>
      <c r="H41" s="599"/>
      <c r="I41" s="202"/>
      <c r="J41" s="202"/>
      <c r="K41" s="202"/>
      <c r="L41" s="589"/>
      <c r="M41" s="408" t="e">
        <f>RANK(K41, K$27:$K$41)</f>
        <v>#N/A</v>
      </c>
      <c r="N41" s="544"/>
      <c r="O41" s="544"/>
      <c r="P41" s="182"/>
      <c r="Q41" s="182"/>
      <c r="R41" s="182"/>
      <c r="S41" s="404" t="e">
        <f t="shared" si="15"/>
        <v>#N/A</v>
      </c>
      <c r="T41" s="534"/>
      <c r="U41" s="182"/>
      <c r="V41" s="182"/>
      <c r="W41" s="182"/>
      <c r="X41" s="404" t="e">
        <f t="shared" si="16"/>
        <v>#N/A</v>
      </c>
      <c r="Y41" s="534"/>
      <c r="Z41" s="182"/>
      <c r="AA41" s="182"/>
      <c r="AB41" s="182"/>
      <c r="AC41" s="404" t="e">
        <f t="shared" si="18"/>
        <v>#N/A</v>
      </c>
      <c r="AD41" s="534"/>
      <c r="AE41" s="182"/>
      <c r="AF41" s="182"/>
      <c r="AG41" s="182"/>
      <c r="AH41" s="404" t="e">
        <f t="shared" si="20"/>
        <v>#N/A</v>
      </c>
      <c r="AI41" s="534"/>
      <c r="AJ41" s="182"/>
      <c r="AK41" s="182"/>
      <c r="AL41" s="182"/>
      <c r="AM41" s="404" t="e">
        <f t="shared" si="22"/>
        <v>#N/A</v>
      </c>
      <c r="AN41" s="534"/>
      <c r="AO41" s="182"/>
      <c r="AP41" s="182"/>
      <c r="AQ41" s="182"/>
      <c r="AR41" s="404" t="e">
        <f t="shared" si="24"/>
        <v>#N/A</v>
      </c>
      <c r="AS41" s="534"/>
      <c r="AT41" s="182"/>
      <c r="AU41" s="182"/>
      <c r="AV41" s="182"/>
      <c r="AW41" s="404" t="e">
        <f t="shared" si="26"/>
        <v>#N/A</v>
      </c>
      <c r="AX41" s="534"/>
    </row>
    <row r="42" spans="2:50" ht="15.5">
      <c r="B42" s="575" t="s">
        <v>704</v>
      </c>
      <c r="C42" s="576"/>
      <c r="D42" s="576"/>
      <c r="E42" s="576"/>
      <c r="F42" s="576"/>
      <c r="G42" s="576"/>
      <c r="H42" s="576"/>
      <c r="I42" s="208"/>
      <c r="J42" s="203"/>
      <c r="K42" s="208"/>
      <c r="L42" s="208"/>
      <c r="M42" s="204"/>
      <c r="N42" s="559" t="s">
        <v>705</v>
      </c>
      <c r="O42" s="559" t="s">
        <v>706</v>
      </c>
      <c r="P42" s="554">
        <f>P22+7</f>
        <v>46000</v>
      </c>
      <c r="Q42" s="533"/>
      <c r="R42" s="533"/>
      <c r="S42" s="533"/>
      <c r="T42" s="533"/>
      <c r="U42" s="551">
        <f>P42+1</f>
        <v>46001</v>
      </c>
      <c r="V42" s="552"/>
      <c r="W42" s="552"/>
      <c r="X42" s="552"/>
      <c r="Y42" s="553"/>
      <c r="Z42" s="551">
        <f>U42+1</f>
        <v>46002</v>
      </c>
      <c r="AA42" s="552"/>
      <c r="AB42" s="552"/>
      <c r="AC42" s="552"/>
      <c r="AD42" s="553"/>
      <c r="AE42" s="551">
        <f>Z42+1</f>
        <v>46003</v>
      </c>
      <c r="AF42" s="552"/>
      <c r="AG42" s="552"/>
      <c r="AH42" s="552"/>
      <c r="AI42" s="553"/>
      <c r="AJ42" s="551">
        <f>AE42+1</f>
        <v>46004</v>
      </c>
      <c r="AK42" s="552"/>
      <c r="AL42" s="552"/>
      <c r="AM42" s="552"/>
      <c r="AN42" s="553"/>
      <c r="AO42" s="551">
        <f>AJ42+1</f>
        <v>46005</v>
      </c>
      <c r="AP42" s="552"/>
      <c r="AQ42" s="552"/>
      <c r="AR42" s="552"/>
      <c r="AS42" s="553"/>
      <c r="AT42" s="551">
        <f>AO42+1</f>
        <v>46006</v>
      </c>
      <c r="AU42" s="552"/>
      <c r="AV42" s="552"/>
      <c r="AW42" s="552"/>
      <c r="AX42" s="553"/>
    </row>
    <row r="43" spans="2:50" ht="15.5">
      <c r="B43" s="558"/>
      <c r="C43" s="558"/>
      <c r="D43" s="558"/>
      <c r="E43" s="558"/>
      <c r="F43" s="558"/>
      <c r="G43" s="558"/>
      <c r="H43" s="558"/>
      <c r="I43" s="205"/>
      <c r="J43" s="205"/>
      <c r="K43" s="205"/>
      <c r="L43" s="205"/>
      <c r="M43" s="206"/>
      <c r="N43" s="560"/>
      <c r="O43" s="560"/>
      <c r="P43" s="554" t="s">
        <v>707</v>
      </c>
      <c r="Q43" s="533"/>
      <c r="R43" s="533"/>
      <c r="S43" s="533"/>
      <c r="T43" s="533"/>
      <c r="U43" s="554" t="s">
        <v>708</v>
      </c>
      <c r="V43" s="533"/>
      <c r="W43" s="533"/>
      <c r="X43" s="533"/>
      <c r="Y43" s="533"/>
      <c r="Z43" s="554" t="s">
        <v>709</v>
      </c>
      <c r="AA43" s="533"/>
      <c r="AB43" s="533"/>
      <c r="AC43" s="533"/>
      <c r="AD43" s="533"/>
      <c r="AE43" s="554" t="s">
        <v>710</v>
      </c>
      <c r="AF43" s="533"/>
      <c r="AG43" s="533"/>
      <c r="AH43" s="533"/>
      <c r="AI43" s="533"/>
      <c r="AJ43" s="554" t="s">
        <v>711</v>
      </c>
      <c r="AK43" s="533"/>
      <c r="AL43" s="533"/>
      <c r="AM43" s="533"/>
      <c r="AN43" s="533"/>
      <c r="AO43" s="554" t="s">
        <v>712</v>
      </c>
      <c r="AP43" s="533"/>
      <c r="AQ43" s="533"/>
      <c r="AR43" s="533"/>
      <c r="AS43" s="533"/>
      <c r="AT43" s="554" t="s">
        <v>713</v>
      </c>
      <c r="AU43" s="533"/>
      <c r="AV43" s="533"/>
      <c r="AW43" s="533"/>
      <c r="AX43" s="533"/>
    </row>
    <row r="44" spans="2:50">
      <c r="B44" s="544" t="s">
        <v>649</v>
      </c>
      <c r="C44" s="544" t="s">
        <v>650</v>
      </c>
      <c r="D44" s="544"/>
      <c r="E44" s="544" t="s">
        <v>651</v>
      </c>
      <c r="F44" s="544"/>
      <c r="G44" s="544"/>
      <c r="H44" s="561" t="s">
        <v>652</v>
      </c>
      <c r="I44" s="583" t="s">
        <v>653</v>
      </c>
      <c r="J44" s="583"/>
      <c r="K44" s="583"/>
      <c r="L44" s="584" t="s">
        <v>652</v>
      </c>
      <c r="M44" s="567" t="s">
        <v>654</v>
      </c>
      <c r="N44" s="544"/>
      <c r="O44" s="544" t="s">
        <v>655</v>
      </c>
      <c r="P44" s="548" t="s">
        <v>656</v>
      </c>
      <c r="Q44" s="549"/>
      <c r="R44" s="549"/>
      <c r="S44" s="550"/>
      <c r="T44" s="544" t="s">
        <v>652</v>
      </c>
      <c r="U44" s="548" t="s">
        <v>656</v>
      </c>
      <c r="V44" s="549"/>
      <c r="W44" s="549"/>
      <c r="X44" s="550"/>
      <c r="Y44" s="544" t="s">
        <v>652</v>
      </c>
      <c r="Z44" s="548" t="s">
        <v>656</v>
      </c>
      <c r="AA44" s="549"/>
      <c r="AB44" s="549"/>
      <c r="AC44" s="550"/>
      <c r="AD44" s="544" t="s">
        <v>652</v>
      </c>
      <c r="AE44" s="548" t="s">
        <v>656</v>
      </c>
      <c r="AF44" s="549"/>
      <c r="AG44" s="549"/>
      <c r="AH44" s="550"/>
      <c r="AI44" s="544" t="s">
        <v>652</v>
      </c>
      <c r="AJ44" s="548" t="s">
        <v>656</v>
      </c>
      <c r="AK44" s="549"/>
      <c r="AL44" s="549"/>
      <c r="AM44" s="550"/>
      <c r="AN44" s="544" t="s">
        <v>652</v>
      </c>
      <c r="AO44" s="548" t="s">
        <v>656</v>
      </c>
      <c r="AP44" s="549"/>
      <c r="AQ44" s="549"/>
      <c r="AR44" s="550"/>
      <c r="AS44" s="544" t="s">
        <v>652</v>
      </c>
      <c r="AT44" s="548" t="s">
        <v>656</v>
      </c>
      <c r="AU44" s="549"/>
      <c r="AV44" s="549"/>
      <c r="AW44" s="550"/>
      <c r="AX44" s="544" t="s">
        <v>652</v>
      </c>
    </row>
    <row r="45" spans="2:50">
      <c r="B45" s="544"/>
      <c r="C45" s="544"/>
      <c r="D45" s="544"/>
      <c r="E45" s="544" t="s">
        <v>657</v>
      </c>
      <c r="F45" s="544"/>
      <c r="G45" s="544"/>
      <c r="H45" s="562"/>
      <c r="I45" s="583" t="s">
        <v>657</v>
      </c>
      <c r="J45" s="583"/>
      <c r="K45" s="583"/>
      <c r="L45" s="585"/>
      <c r="M45" s="568"/>
      <c r="N45" s="544"/>
      <c r="O45" s="544"/>
      <c r="P45" s="548" t="s">
        <v>658</v>
      </c>
      <c r="Q45" s="549"/>
      <c r="R45" s="549"/>
      <c r="S45" s="550"/>
      <c r="T45" s="544"/>
      <c r="U45" s="548" t="s">
        <v>658</v>
      </c>
      <c r="V45" s="549"/>
      <c r="W45" s="549"/>
      <c r="X45" s="550"/>
      <c r="Y45" s="544"/>
      <c r="Z45" s="548" t="s">
        <v>658</v>
      </c>
      <c r="AA45" s="549"/>
      <c r="AB45" s="549"/>
      <c r="AC45" s="550"/>
      <c r="AD45" s="544"/>
      <c r="AE45" s="548" t="s">
        <v>658</v>
      </c>
      <c r="AF45" s="549"/>
      <c r="AG45" s="549"/>
      <c r="AH45" s="550"/>
      <c r="AI45" s="544"/>
      <c r="AJ45" s="548" t="s">
        <v>658</v>
      </c>
      <c r="AK45" s="549"/>
      <c r="AL45" s="549"/>
      <c r="AM45" s="550"/>
      <c r="AN45" s="544"/>
      <c r="AO45" s="548" t="s">
        <v>658</v>
      </c>
      <c r="AP45" s="549"/>
      <c r="AQ45" s="549"/>
      <c r="AR45" s="550"/>
      <c r="AS45" s="544"/>
      <c r="AT45" s="548" t="s">
        <v>658</v>
      </c>
      <c r="AU45" s="549"/>
      <c r="AV45" s="549"/>
      <c r="AW45" s="550"/>
      <c r="AX45" s="544"/>
    </row>
    <row r="46" spans="2:50">
      <c r="B46" s="544"/>
      <c r="C46" s="544"/>
      <c r="D46" s="544"/>
      <c r="E46" s="403" t="s">
        <v>659</v>
      </c>
      <c r="F46" s="403" t="s">
        <v>660</v>
      </c>
      <c r="G46" s="403" t="s">
        <v>661</v>
      </c>
      <c r="H46" s="563"/>
      <c r="I46" s="402" t="s">
        <v>659</v>
      </c>
      <c r="J46" s="402" t="s">
        <v>660</v>
      </c>
      <c r="K46" s="402" t="s">
        <v>661</v>
      </c>
      <c r="L46" s="586"/>
      <c r="M46" s="569"/>
      <c r="N46" s="544"/>
      <c r="O46" s="544"/>
      <c r="P46" s="403" t="s">
        <v>659</v>
      </c>
      <c r="Q46" s="403" t="s">
        <v>660</v>
      </c>
      <c r="R46" s="403" t="s">
        <v>661</v>
      </c>
      <c r="S46" s="403" t="s">
        <v>654</v>
      </c>
      <c r="T46" s="544"/>
      <c r="U46" s="403" t="s">
        <v>659</v>
      </c>
      <c r="V46" s="403" t="s">
        <v>660</v>
      </c>
      <c r="W46" s="403" t="s">
        <v>661</v>
      </c>
      <c r="X46" s="403" t="s">
        <v>654</v>
      </c>
      <c r="Y46" s="544"/>
      <c r="Z46" s="403" t="s">
        <v>659</v>
      </c>
      <c r="AA46" s="403" t="s">
        <v>660</v>
      </c>
      <c r="AB46" s="403" t="s">
        <v>661</v>
      </c>
      <c r="AC46" s="403" t="s">
        <v>654</v>
      </c>
      <c r="AD46" s="544"/>
      <c r="AE46" s="403" t="s">
        <v>659</v>
      </c>
      <c r="AF46" s="403" t="s">
        <v>660</v>
      </c>
      <c r="AG46" s="403" t="s">
        <v>661</v>
      </c>
      <c r="AH46" s="403" t="s">
        <v>654</v>
      </c>
      <c r="AI46" s="544"/>
      <c r="AJ46" s="403" t="s">
        <v>659</v>
      </c>
      <c r="AK46" s="403" t="s">
        <v>660</v>
      </c>
      <c r="AL46" s="403" t="s">
        <v>661</v>
      </c>
      <c r="AM46" s="403" t="s">
        <v>654</v>
      </c>
      <c r="AN46" s="544"/>
      <c r="AO46" s="403" t="s">
        <v>659</v>
      </c>
      <c r="AP46" s="403" t="s">
        <v>660</v>
      </c>
      <c r="AQ46" s="403" t="s">
        <v>661</v>
      </c>
      <c r="AR46" s="403" t="s">
        <v>654</v>
      </c>
      <c r="AS46" s="544"/>
      <c r="AT46" s="403" t="s">
        <v>659</v>
      </c>
      <c r="AU46" s="403" t="s">
        <v>660</v>
      </c>
      <c r="AV46" s="403" t="s">
        <v>661</v>
      </c>
      <c r="AW46" s="403" t="s">
        <v>654</v>
      </c>
      <c r="AX46" s="544"/>
    </row>
    <row r="47" spans="2:50">
      <c r="B47" s="544" t="s">
        <v>741</v>
      </c>
      <c r="C47" s="404">
        <v>1</v>
      </c>
      <c r="D47" s="226" t="s">
        <v>393</v>
      </c>
      <c r="E47" s="182">
        <v>19</v>
      </c>
      <c r="F47" s="404">
        <v>1636</v>
      </c>
      <c r="G47" s="405">
        <v>86.1</v>
      </c>
      <c r="H47" s="597">
        <f>AVERAGE(G47:G61)</f>
        <v>82.924999999999997</v>
      </c>
      <c r="I47" s="408">
        <f>AVERAGE(P47,U47,Z47,AE47,AJ47,AO47,AT47)</f>
        <v>18</v>
      </c>
      <c r="J47" s="408">
        <f>AVERAGE(Q47,V47,AA47,AF47,AK47,AP47,AU47)</f>
        <v>1450.4694270999319</v>
      </c>
      <c r="K47" s="406">
        <f>AVERAGE(R47,W47,AB47,AG47,AL47,AQ47,AV47)</f>
        <v>80.581634838885094</v>
      </c>
      <c r="L47" s="587">
        <f>IFERROR(AVERAGE(K47:K61),"-")</f>
        <v>72.012196823216144</v>
      </c>
      <c r="M47" s="407">
        <f>RANK(K47, K$47:$K$61)</f>
        <v>4</v>
      </c>
      <c r="N47" s="544"/>
      <c r="O47" s="544"/>
      <c r="P47" s="182">
        <v>18</v>
      </c>
      <c r="Q47" s="182">
        <v>1441.2244897959181</v>
      </c>
      <c r="R47" s="182">
        <v>80.068027210884338</v>
      </c>
      <c r="S47" s="404">
        <f>RANK(R47, R$47:R$61)</f>
        <v>4</v>
      </c>
      <c r="T47" s="534">
        <f>AVERAGE(R47:R61)</f>
        <v>72.353174518591615</v>
      </c>
      <c r="U47" s="182">
        <v>18</v>
      </c>
      <c r="V47" s="182">
        <v>1432</v>
      </c>
      <c r="W47" s="182">
        <v>79.555555555555557</v>
      </c>
      <c r="X47" s="404">
        <f t="shared" ref="X47:X61" si="29">RANK(W47, W$47:W$61)</f>
        <v>4</v>
      </c>
      <c r="Y47" s="534">
        <f t="shared" ref="Y47" si="30">AVERAGE(W47:W61)</f>
        <v>72.491292755571592</v>
      </c>
      <c r="Z47" s="182">
        <v>18</v>
      </c>
      <c r="AA47" s="182">
        <v>1439.3333333333333</v>
      </c>
      <c r="AB47" s="182">
        <v>79.962962962962962</v>
      </c>
      <c r="AC47" s="404">
        <f t="shared" ref="AC47:AC61" si="31">RANK(AB47, AB$47:AB$61)</f>
        <v>4</v>
      </c>
      <c r="AD47" s="534">
        <f t="shared" ref="AD47" si="32">AVERAGE(AB47:AB61)</f>
        <v>73.574210904183261</v>
      </c>
      <c r="AE47" s="182">
        <v>18</v>
      </c>
      <c r="AF47" s="182">
        <v>1449.4285714285718</v>
      </c>
      <c r="AG47" s="182">
        <v>80.523809523809547</v>
      </c>
      <c r="AH47" s="404">
        <f t="shared" ref="AH47:AH61" si="33">RANK(AG47, AG$47:AG$61)</f>
        <v>4</v>
      </c>
      <c r="AI47" s="534">
        <f t="shared" ref="AI47" si="34">AVERAGE(AG47:AG61)</f>
        <v>69.69378381933862</v>
      </c>
      <c r="AJ47" s="182">
        <v>18</v>
      </c>
      <c r="AK47" s="182">
        <v>1439.2857142857144</v>
      </c>
      <c r="AL47" s="182">
        <v>79.960317460317469</v>
      </c>
      <c r="AM47" s="404">
        <f t="shared" ref="AM47:AM61" si="35">RANK(AL47, AL$47:AL$61)</f>
        <v>3</v>
      </c>
      <c r="AN47" s="534">
        <f t="shared" ref="AN47" si="36">AVERAGE(AL47:AL61)</f>
        <v>71.93369865460032</v>
      </c>
      <c r="AO47" s="182">
        <v>18</v>
      </c>
      <c r="AP47" s="182">
        <v>1470.3296703296705</v>
      </c>
      <c r="AQ47" s="182">
        <v>81.684981684981693</v>
      </c>
      <c r="AR47" s="404">
        <f t="shared" ref="AR47:AR61" si="37">RANK(AQ47, AQ$47:AQ$61)</f>
        <v>4</v>
      </c>
      <c r="AS47" s="534">
        <f t="shared" ref="AS47" si="38">AVERAGE(AQ47:AQ61)</f>
        <v>74.845525533568932</v>
      </c>
      <c r="AT47" s="182">
        <v>18</v>
      </c>
      <c r="AU47" s="182">
        <v>1481.6842105263154</v>
      </c>
      <c r="AV47" s="182">
        <v>82.315789473684191</v>
      </c>
      <c r="AW47" s="404">
        <f t="shared" ref="AW47:AW61" si="39">RANK(AV47, AV$47:AV$61)</f>
        <v>3</v>
      </c>
      <c r="AX47" s="534">
        <f t="shared" ref="AX47" si="40">AVERAGE(AV47:AV61)</f>
        <v>73.373067672003287</v>
      </c>
    </row>
    <row r="48" spans="2:50">
      <c r="B48" s="533"/>
      <c r="C48" s="404">
        <v>2</v>
      </c>
      <c r="D48" s="226" t="s">
        <v>347</v>
      </c>
      <c r="E48" s="182">
        <v>18</v>
      </c>
      <c r="F48" s="404">
        <v>1636</v>
      </c>
      <c r="G48" s="405">
        <v>90.9</v>
      </c>
      <c r="H48" s="598"/>
      <c r="I48" s="408">
        <f t="shared" ref="I48:K58" si="41">AVERAGE(P48,U48,Z48,AE48,AJ48,AO48,AT48)</f>
        <v>17.857142857142858</v>
      </c>
      <c r="J48" s="408">
        <f t="shared" si="41"/>
        <v>1461.7207594141494</v>
      </c>
      <c r="K48" s="406">
        <f t="shared" si="41"/>
        <v>81.877386218195468</v>
      </c>
      <c r="L48" s="588"/>
      <c r="M48" s="407">
        <f>RANK(K48, K$47:$K$61)</f>
        <v>3</v>
      </c>
      <c r="N48" s="544"/>
      <c r="O48" s="544"/>
      <c r="P48" s="182">
        <v>18</v>
      </c>
      <c r="Q48" s="182">
        <v>1449.2760736196319</v>
      </c>
      <c r="R48" s="182">
        <v>80.515337423312886</v>
      </c>
      <c r="S48" s="404">
        <f t="shared" ref="S48:S61" si="42">RANK(R48, R$47:R$61)</f>
        <v>3</v>
      </c>
      <c r="T48" s="534"/>
      <c r="U48" s="182">
        <v>18</v>
      </c>
      <c r="V48" s="182">
        <v>1484.7417218543046</v>
      </c>
      <c r="W48" s="182">
        <v>82.48565121412804</v>
      </c>
      <c r="X48" s="404">
        <f t="shared" si="29"/>
        <v>3</v>
      </c>
      <c r="Y48" s="534"/>
      <c r="Z48" s="182">
        <v>18</v>
      </c>
      <c r="AA48" s="182">
        <v>1476.0434782608691</v>
      </c>
      <c r="AB48" s="182">
        <v>82.002415458937165</v>
      </c>
      <c r="AC48" s="404">
        <f t="shared" si="31"/>
        <v>3</v>
      </c>
      <c r="AD48" s="534"/>
      <c r="AE48" s="182">
        <v>17</v>
      </c>
      <c r="AF48" s="182">
        <v>1436.5909090909097</v>
      </c>
      <c r="AG48" s="182">
        <v>84.505347593582925</v>
      </c>
      <c r="AH48" s="404">
        <f t="shared" si="33"/>
        <v>2</v>
      </c>
      <c r="AI48" s="534"/>
      <c r="AJ48" s="182">
        <v>18</v>
      </c>
      <c r="AK48" s="182">
        <v>1438.304895104895</v>
      </c>
      <c r="AL48" s="182">
        <v>79.905827505827503</v>
      </c>
      <c r="AM48" s="404">
        <f t="shared" si="35"/>
        <v>4</v>
      </c>
      <c r="AN48" s="534"/>
      <c r="AO48" s="182">
        <v>18</v>
      </c>
      <c r="AP48" s="182">
        <v>1478.4269662921351</v>
      </c>
      <c r="AQ48" s="182">
        <v>82.134831460674178</v>
      </c>
      <c r="AR48" s="404">
        <f t="shared" si="37"/>
        <v>3</v>
      </c>
      <c r="AS48" s="534"/>
      <c r="AT48" s="182">
        <v>18</v>
      </c>
      <c r="AU48" s="182">
        <v>1468.6612716763009</v>
      </c>
      <c r="AV48" s="182">
        <v>81.592292870905609</v>
      </c>
      <c r="AW48" s="404">
        <f t="shared" si="39"/>
        <v>4</v>
      </c>
      <c r="AX48" s="534"/>
    </row>
    <row r="49" spans="2:50">
      <c r="B49" s="533"/>
      <c r="C49" s="404">
        <v>3</v>
      </c>
      <c r="D49" s="226" t="s">
        <v>573</v>
      </c>
      <c r="E49" s="182">
        <v>14</v>
      </c>
      <c r="F49" s="404">
        <v>1500</v>
      </c>
      <c r="G49" s="405">
        <v>107.1</v>
      </c>
      <c r="H49" s="598"/>
      <c r="I49" s="408">
        <f t="shared" si="41"/>
        <v>12.285714285714286</v>
      </c>
      <c r="J49" s="408">
        <f t="shared" si="41"/>
        <v>1293.7857992402096</v>
      </c>
      <c r="K49" s="406">
        <f t="shared" si="41"/>
        <v>105.38750828447668</v>
      </c>
      <c r="L49" s="588"/>
      <c r="M49" s="407">
        <f>RANK(K49, K$47:$K$61)</f>
        <v>1</v>
      </c>
      <c r="N49" s="544"/>
      <c r="O49" s="544"/>
      <c r="P49" s="182">
        <v>12</v>
      </c>
      <c r="Q49" s="182">
        <v>1301.8181818181831</v>
      </c>
      <c r="R49" s="182">
        <v>108.4848484848486</v>
      </c>
      <c r="S49" s="404">
        <f t="shared" si="42"/>
        <v>1</v>
      </c>
      <c r="T49" s="534"/>
      <c r="U49" s="182">
        <v>12</v>
      </c>
      <c r="V49" s="182">
        <v>1320.0000000000016</v>
      </c>
      <c r="W49" s="182">
        <v>110.00000000000013</v>
      </c>
      <c r="X49" s="404">
        <f t="shared" si="29"/>
        <v>1</v>
      </c>
      <c r="Y49" s="534"/>
      <c r="Z49" s="182">
        <v>12</v>
      </c>
      <c r="AA49" s="182">
        <v>1333.1250000000016</v>
      </c>
      <c r="AB49" s="182">
        <v>111.09375000000013</v>
      </c>
      <c r="AC49" s="404">
        <f t="shared" si="31"/>
        <v>1</v>
      </c>
      <c r="AD49" s="534"/>
      <c r="AE49" s="182">
        <v>12</v>
      </c>
      <c r="AF49" s="182">
        <v>1109.0322580645172</v>
      </c>
      <c r="AG49" s="182">
        <v>92.419354838709765</v>
      </c>
      <c r="AH49" s="404">
        <f t="shared" si="33"/>
        <v>1</v>
      </c>
      <c r="AI49" s="534"/>
      <c r="AJ49" s="182">
        <v>13</v>
      </c>
      <c r="AK49" s="182">
        <v>1321.8750000000016</v>
      </c>
      <c r="AL49" s="182">
        <v>101.68269230769243</v>
      </c>
      <c r="AM49" s="404">
        <f t="shared" si="35"/>
        <v>1</v>
      </c>
      <c r="AN49" s="534"/>
      <c r="AO49" s="182">
        <v>12</v>
      </c>
      <c r="AP49" s="182">
        <v>1341.176470588237</v>
      </c>
      <c r="AQ49" s="182">
        <v>111.76470588235308</v>
      </c>
      <c r="AR49" s="404">
        <f t="shared" si="37"/>
        <v>1</v>
      </c>
      <c r="AS49" s="534"/>
      <c r="AT49" s="182">
        <v>13</v>
      </c>
      <c r="AU49" s="182">
        <v>1329.4736842105253</v>
      </c>
      <c r="AV49" s="182">
        <v>102.26720647773271</v>
      </c>
      <c r="AW49" s="404">
        <f t="shared" si="39"/>
        <v>1</v>
      </c>
      <c r="AX49" s="534"/>
    </row>
    <row r="50" spans="2:50">
      <c r="B50" s="533"/>
      <c r="C50" s="404">
        <v>4</v>
      </c>
      <c r="D50" s="226" t="s">
        <v>479</v>
      </c>
      <c r="E50" s="182">
        <v>18</v>
      </c>
      <c r="F50" s="404">
        <v>1636</v>
      </c>
      <c r="G50" s="405">
        <v>90.9</v>
      </c>
      <c r="H50" s="598"/>
      <c r="I50" s="408">
        <f t="shared" si="41"/>
        <v>17.285714285714285</v>
      </c>
      <c r="J50" s="408">
        <f t="shared" si="41"/>
        <v>1452.1584068808122</v>
      </c>
      <c r="K50" s="406">
        <f t="shared" si="41"/>
        <v>84.066415890948136</v>
      </c>
      <c r="L50" s="588"/>
      <c r="M50" s="407">
        <f>RANK(K50, K$47:$K$61)</f>
        <v>2</v>
      </c>
      <c r="N50" s="544"/>
      <c r="O50" s="544"/>
      <c r="P50" s="182">
        <v>17</v>
      </c>
      <c r="Q50" s="182">
        <v>1466.8085106382969</v>
      </c>
      <c r="R50" s="182">
        <v>86.282853566958636</v>
      </c>
      <c r="S50" s="404">
        <f t="shared" si="42"/>
        <v>2</v>
      </c>
      <c r="T50" s="534"/>
      <c r="U50" s="182">
        <v>17</v>
      </c>
      <c r="V50" s="182">
        <v>1422.5000000000005</v>
      </c>
      <c r="W50" s="182">
        <v>83.676470588235318</v>
      </c>
      <c r="X50" s="404">
        <f t="shared" si="29"/>
        <v>2</v>
      </c>
      <c r="Y50" s="534"/>
      <c r="Z50" s="182">
        <v>17</v>
      </c>
      <c r="AA50" s="182">
        <v>1463.7209302325577</v>
      </c>
      <c r="AB50" s="182">
        <v>86.101231190150457</v>
      </c>
      <c r="AC50" s="404">
        <f t="shared" si="31"/>
        <v>2</v>
      </c>
      <c r="AD50" s="534"/>
      <c r="AE50" s="182">
        <v>18</v>
      </c>
      <c r="AF50" s="182">
        <v>1453.1249999999995</v>
      </c>
      <c r="AG50" s="182">
        <v>80.729166666666643</v>
      </c>
      <c r="AH50" s="404">
        <f t="shared" si="33"/>
        <v>3</v>
      </c>
      <c r="AI50" s="534"/>
      <c r="AJ50" s="182">
        <v>18</v>
      </c>
      <c r="AK50" s="182">
        <v>1448.5714285714296</v>
      </c>
      <c r="AL50" s="182">
        <v>80.476190476190538</v>
      </c>
      <c r="AM50" s="404">
        <f t="shared" si="35"/>
        <v>2</v>
      </c>
      <c r="AN50" s="534"/>
      <c r="AO50" s="182">
        <v>17</v>
      </c>
      <c r="AP50" s="182">
        <v>1463.9999999999995</v>
      </c>
      <c r="AQ50" s="182">
        <v>86.117647058823508</v>
      </c>
      <c r="AR50" s="404">
        <f t="shared" si="37"/>
        <v>2</v>
      </c>
      <c r="AS50" s="534"/>
      <c r="AT50" s="182">
        <v>17</v>
      </c>
      <c r="AU50" s="182">
        <v>1446.3829787234031</v>
      </c>
      <c r="AV50" s="182">
        <v>85.081351689611949</v>
      </c>
      <c r="AW50" s="404">
        <f t="shared" si="39"/>
        <v>2</v>
      </c>
      <c r="AX50" s="534"/>
    </row>
    <row r="51" spans="2:50">
      <c r="B51" s="533"/>
      <c r="C51" s="404">
        <v>5</v>
      </c>
      <c r="D51" s="226" t="s">
        <v>617</v>
      </c>
      <c r="E51" s="182">
        <v>18</v>
      </c>
      <c r="F51" s="404">
        <v>1500</v>
      </c>
      <c r="G51" s="405">
        <v>83.3</v>
      </c>
      <c r="H51" s="598"/>
      <c r="I51" s="408">
        <f t="shared" si="41"/>
        <v>17.714285714285715</v>
      </c>
      <c r="J51" s="408">
        <f t="shared" si="41"/>
        <v>1321.6373863808076</v>
      </c>
      <c r="K51" s="406">
        <f t="shared" si="41"/>
        <v>74.645607211009704</v>
      </c>
      <c r="L51" s="588"/>
      <c r="M51" s="407">
        <f>RANK(K51, K$47:$K$61)</f>
        <v>7</v>
      </c>
      <c r="N51" s="544"/>
      <c r="O51" s="544"/>
      <c r="P51" s="182">
        <v>18</v>
      </c>
      <c r="Q51" s="182">
        <v>1328.9999999999995</v>
      </c>
      <c r="R51" s="182">
        <v>73.833333333333314</v>
      </c>
      <c r="S51" s="404">
        <f t="shared" si="42"/>
        <v>6</v>
      </c>
      <c r="T51" s="534"/>
      <c r="U51" s="182">
        <v>18</v>
      </c>
      <c r="V51" s="182">
        <v>1336.9230769230762</v>
      </c>
      <c r="W51" s="182">
        <v>74.27350427350423</v>
      </c>
      <c r="X51" s="404">
        <f t="shared" si="29"/>
        <v>6</v>
      </c>
      <c r="Y51" s="534"/>
      <c r="Z51" s="182">
        <v>18</v>
      </c>
      <c r="AA51" s="182">
        <v>1342.7027027027016</v>
      </c>
      <c r="AB51" s="182">
        <v>74.594594594594525</v>
      </c>
      <c r="AC51" s="404">
        <f t="shared" si="31"/>
        <v>7</v>
      </c>
      <c r="AD51" s="534"/>
      <c r="AE51" s="182">
        <v>18</v>
      </c>
      <c r="AF51" s="182">
        <v>1303.6363636363651</v>
      </c>
      <c r="AG51" s="182">
        <v>72.424242424242507</v>
      </c>
      <c r="AH51" s="404">
        <f t="shared" si="33"/>
        <v>7</v>
      </c>
      <c r="AI51" s="534"/>
      <c r="AJ51" s="182">
        <v>17</v>
      </c>
      <c r="AK51" s="182">
        <v>1314.3750000000016</v>
      </c>
      <c r="AL51" s="182">
        <v>77.316176470588331</v>
      </c>
      <c r="AM51" s="404">
        <f t="shared" si="35"/>
        <v>5</v>
      </c>
      <c r="AN51" s="534"/>
      <c r="AO51" s="182">
        <v>17</v>
      </c>
      <c r="AP51" s="182">
        <v>1301.6666666666656</v>
      </c>
      <c r="AQ51" s="182">
        <v>76.56862745098033</v>
      </c>
      <c r="AR51" s="404">
        <f t="shared" si="37"/>
        <v>6</v>
      </c>
      <c r="AS51" s="534"/>
      <c r="AT51" s="182">
        <v>18</v>
      </c>
      <c r="AU51" s="182">
        <v>1323.1578947368441</v>
      </c>
      <c r="AV51" s="182">
        <v>73.508771929824675</v>
      </c>
      <c r="AW51" s="404">
        <f t="shared" si="39"/>
        <v>7</v>
      </c>
      <c r="AX51" s="534"/>
    </row>
    <row r="52" spans="2:50">
      <c r="B52" s="533"/>
      <c r="C52" s="404">
        <v>6</v>
      </c>
      <c r="D52" s="226" t="s">
        <v>622</v>
      </c>
      <c r="E52" s="182">
        <v>21</v>
      </c>
      <c r="F52" s="404">
        <v>1177.25</v>
      </c>
      <c r="G52" s="405">
        <v>65.900000000000006</v>
      </c>
      <c r="H52" s="598"/>
      <c r="I52" s="408">
        <f t="shared" si="41"/>
        <v>20</v>
      </c>
      <c r="J52" s="408">
        <f t="shared" si="41"/>
        <v>1059.0707148552779</v>
      </c>
      <c r="K52" s="406">
        <f t="shared" si="41"/>
        <v>52.953535742763883</v>
      </c>
      <c r="L52" s="588"/>
      <c r="M52" s="407">
        <f>RANK(K52, K$47:$K$61)</f>
        <v>11</v>
      </c>
      <c r="N52" s="544"/>
      <c r="O52" s="544"/>
      <c r="P52" s="182">
        <v>20</v>
      </c>
      <c r="Q52" s="182">
        <v>1081.2500000000005</v>
      </c>
      <c r="R52" s="182">
        <v>54.062500000000021</v>
      </c>
      <c r="S52" s="404">
        <f t="shared" si="42"/>
        <v>10</v>
      </c>
      <c r="T52" s="534"/>
      <c r="U52" s="182">
        <v>20</v>
      </c>
      <c r="V52" s="182">
        <v>1057.3333333333314</v>
      </c>
      <c r="W52" s="182">
        <v>52.866666666666575</v>
      </c>
      <c r="X52" s="404">
        <f t="shared" si="29"/>
        <v>12</v>
      </c>
      <c r="Y52" s="534"/>
      <c r="Z52" s="182">
        <v>20</v>
      </c>
      <c r="AA52" s="182">
        <v>1097.5609756097556</v>
      </c>
      <c r="AB52" s="182">
        <v>54.878048780487781</v>
      </c>
      <c r="AC52" s="404">
        <f t="shared" si="31"/>
        <v>11</v>
      </c>
      <c r="AD52" s="534"/>
      <c r="AE52" s="182">
        <v>20</v>
      </c>
      <c r="AF52" s="182">
        <v>933.33333333333258</v>
      </c>
      <c r="AG52" s="182">
        <v>46.666666666666629</v>
      </c>
      <c r="AH52" s="404">
        <f t="shared" si="33"/>
        <v>12</v>
      </c>
      <c r="AI52" s="534"/>
      <c r="AJ52" s="182">
        <v>20</v>
      </c>
      <c r="AK52" s="182">
        <v>1077.2093023255811</v>
      </c>
      <c r="AL52" s="182">
        <v>53.860465116279059</v>
      </c>
      <c r="AM52" s="404">
        <f t="shared" si="35"/>
        <v>9</v>
      </c>
      <c r="AN52" s="534"/>
      <c r="AO52" s="182">
        <v>20</v>
      </c>
      <c r="AP52" s="182">
        <v>1094.6341463414631</v>
      </c>
      <c r="AQ52" s="182">
        <v>54.731707317073152</v>
      </c>
      <c r="AR52" s="404">
        <f t="shared" si="37"/>
        <v>9</v>
      </c>
      <c r="AS52" s="534"/>
      <c r="AT52" s="182">
        <v>20</v>
      </c>
      <c r="AU52" s="182">
        <v>1072.1739130434803</v>
      </c>
      <c r="AV52" s="182">
        <v>53.608695652174013</v>
      </c>
      <c r="AW52" s="404">
        <f t="shared" si="39"/>
        <v>10</v>
      </c>
      <c r="AX52" s="534"/>
    </row>
    <row r="53" spans="2:50">
      <c r="B53" s="533"/>
      <c r="C53" s="404">
        <v>7</v>
      </c>
      <c r="D53" s="226" t="s">
        <v>642</v>
      </c>
      <c r="E53" s="182">
        <v>20</v>
      </c>
      <c r="F53" s="404">
        <v>1177.25</v>
      </c>
      <c r="G53" s="405">
        <v>69.2</v>
      </c>
      <c r="H53" s="598"/>
      <c r="I53" s="408">
        <f t="shared" si="41"/>
        <v>20</v>
      </c>
      <c r="J53" s="408">
        <f t="shared" si="41"/>
        <v>1009.7623502496675</v>
      </c>
      <c r="K53" s="406">
        <f t="shared" si="41"/>
        <v>50.488117512483385</v>
      </c>
      <c r="L53" s="588"/>
      <c r="M53" s="407">
        <f>RANK(K53, K$47:$K$61)</f>
        <v>12</v>
      </c>
      <c r="N53" s="544"/>
      <c r="O53" s="544"/>
      <c r="P53" s="182">
        <v>20</v>
      </c>
      <c r="Q53" s="182">
        <v>1054.2857142857133</v>
      </c>
      <c r="R53" s="182">
        <v>52.714285714285666</v>
      </c>
      <c r="S53" s="404">
        <f t="shared" si="42"/>
        <v>12</v>
      </c>
      <c r="T53" s="534"/>
      <c r="U53" s="182">
        <v>20</v>
      </c>
      <c r="V53" s="182">
        <v>1092.0000000000005</v>
      </c>
      <c r="W53" s="182">
        <v>54.600000000000023</v>
      </c>
      <c r="X53" s="404">
        <f t="shared" si="29"/>
        <v>11</v>
      </c>
      <c r="Y53" s="534"/>
      <c r="Z53" s="182">
        <v>20</v>
      </c>
      <c r="AA53" s="182">
        <v>1059.512195121951</v>
      </c>
      <c r="AB53" s="182">
        <v>52.975609756097548</v>
      </c>
      <c r="AC53" s="404">
        <f t="shared" si="31"/>
        <v>12</v>
      </c>
      <c r="AD53" s="534"/>
      <c r="AE53" s="182">
        <v>20</v>
      </c>
      <c r="AF53" s="182">
        <v>939.37499999999875</v>
      </c>
      <c r="AG53" s="182">
        <v>46.968749999999936</v>
      </c>
      <c r="AH53" s="404">
        <f t="shared" si="33"/>
        <v>11</v>
      </c>
      <c r="AI53" s="534"/>
      <c r="AJ53" s="182">
        <v>20</v>
      </c>
      <c r="AK53" s="182">
        <v>909.23076923076883</v>
      </c>
      <c r="AL53" s="182">
        <v>45.461538461538439</v>
      </c>
      <c r="AM53" s="404">
        <f t="shared" si="35"/>
        <v>11</v>
      </c>
      <c r="AN53" s="534"/>
      <c r="AO53" s="182">
        <v>20</v>
      </c>
      <c r="AP53" s="182">
        <v>947.64705882352814</v>
      </c>
      <c r="AQ53" s="182">
        <v>47.382352941176407</v>
      </c>
      <c r="AR53" s="404">
        <f t="shared" si="37"/>
        <v>11</v>
      </c>
      <c r="AS53" s="534"/>
      <c r="AT53" s="182">
        <v>20</v>
      </c>
      <c r="AU53" s="182">
        <v>1066.2857142857133</v>
      </c>
      <c r="AV53" s="182">
        <v>53.314285714285667</v>
      </c>
      <c r="AW53" s="404">
        <f t="shared" si="39"/>
        <v>11</v>
      </c>
      <c r="AX53" s="534"/>
    </row>
    <row r="54" spans="2:50">
      <c r="B54" s="533"/>
      <c r="C54" s="404">
        <v>8</v>
      </c>
      <c r="D54" s="226" t="s">
        <v>630</v>
      </c>
      <c r="E54" s="182">
        <v>18</v>
      </c>
      <c r="F54" s="404">
        <v>1224</v>
      </c>
      <c r="G54" s="405">
        <v>80</v>
      </c>
      <c r="H54" s="598"/>
      <c r="I54" s="408">
        <f t="shared" si="41"/>
        <v>19</v>
      </c>
      <c r="J54" s="408">
        <f t="shared" si="41"/>
        <v>1076.6652652015682</v>
      </c>
      <c r="K54" s="406">
        <f t="shared" si="41"/>
        <v>56.666592905345695</v>
      </c>
      <c r="L54" s="588"/>
      <c r="M54" s="407">
        <f>RANK(K54, K$47:$K$61)</f>
        <v>9</v>
      </c>
      <c r="N54" s="544"/>
      <c r="O54" s="544"/>
      <c r="P54" s="182">
        <v>19</v>
      </c>
      <c r="Q54" s="182">
        <v>1094.2499999999995</v>
      </c>
      <c r="R54" s="182">
        <v>57.592105263157869</v>
      </c>
      <c r="S54" s="404">
        <f t="shared" si="42"/>
        <v>9</v>
      </c>
      <c r="T54" s="534"/>
      <c r="U54" s="182">
        <v>19</v>
      </c>
      <c r="V54" s="182">
        <v>1072.8537313432823</v>
      </c>
      <c r="W54" s="182">
        <v>56.465985860172758</v>
      </c>
      <c r="X54" s="404">
        <f t="shared" si="29"/>
        <v>9</v>
      </c>
      <c r="Y54" s="534"/>
      <c r="Z54" s="182">
        <v>19</v>
      </c>
      <c r="AA54" s="182">
        <v>1063.0188679245289</v>
      </c>
      <c r="AB54" s="182">
        <v>55.948361469712047</v>
      </c>
      <c r="AC54" s="404">
        <f t="shared" si="31"/>
        <v>9</v>
      </c>
      <c r="AD54" s="534"/>
      <c r="AE54" s="182">
        <v>19</v>
      </c>
      <c r="AF54" s="182">
        <v>1076.5384615384621</v>
      </c>
      <c r="AG54" s="182">
        <v>56.659919028340113</v>
      </c>
      <c r="AH54" s="404">
        <f t="shared" si="33"/>
        <v>9</v>
      </c>
      <c r="AI54" s="534"/>
      <c r="AJ54" s="182"/>
      <c r="AK54" s="182"/>
      <c r="AL54" s="182"/>
      <c r="AM54" s="404" t="e">
        <f t="shared" si="35"/>
        <v>#N/A</v>
      </c>
      <c r="AN54" s="534"/>
      <c r="AO54" s="182"/>
      <c r="AP54" s="182"/>
      <c r="AQ54" s="182"/>
      <c r="AR54" s="404" t="e">
        <f t="shared" si="37"/>
        <v>#N/A</v>
      </c>
      <c r="AS54" s="534"/>
      <c r="AT54" s="182"/>
      <c r="AU54" s="182"/>
      <c r="AV54" s="182"/>
      <c r="AW54" s="404" t="e">
        <f t="shared" si="39"/>
        <v>#N/A</v>
      </c>
      <c r="AX54" s="534"/>
    </row>
    <row r="55" spans="2:50">
      <c r="B55" s="533"/>
      <c r="C55" s="404">
        <v>9</v>
      </c>
      <c r="D55" s="226" t="s">
        <v>633</v>
      </c>
      <c r="E55" s="182">
        <v>18</v>
      </c>
      <c r="F55" s="404">
        <v>1500</v>
      </c>
      <c r="G55" s="405">
        <v>83.3</v>
      </c>
      <c r="H55" s="598"/>
      <c r="I55" s="408">
        <f t="shared" si="41"/>
        <v>18</v>
      </c>
      <c r="J55" s="408">
        <f t="shared" si="41"/>
        <v>1356.4372054311691</v>
      </c>
      <c r="K55" s="406">
        <f t="shared" si="41"/>
        <v>75.35762252395385</v>
      </c>
      <c r="L55" s="588"/>
      <c r="M55" s="407">
        <f>RANK(K55, K$47:$K$61)</f>
        <v>6</v>
      </c>
      <c r="N55" s="544"/>
      <c r="O55" s="544"/>
      <c r="P55" s="182">
        <v>18</v>
      </c>
      <c r="Q55" s="182">
        <v>1359.1304347826085</v>
      </c>
      <c r="R55" s="182">
        <v>75.50724637681158</v>
      </c>
      <c r="S55" s="404">
        <f t="shared" si="42"/>
        <v>5</v>
      </c>
      <c r="T55" s="534"/>
      <c r="U55" s="182">
        <v>18</v>
      </c>
      <c r="V55" s="182">
        <v>1348.3435582822087</v>
      </c>
      <c r="W55" s="182">
        <v>74.907975460122714</v>
      </c>
      <c r="X55" s="404">
        <f t="shared" si="29"/>
        <v>5</v>
      </c>
      <c r="Y55" s="534"/>
      <c r="Z55" s="182">
        <v>18</v>
      </c>
      <c r="AA55" s="182">
        <v>1342.4528925619827</v>
      </c>
      <c r="AB55" s="182">
        <v>74.580716253443484</v>
      </c>
      <c r="AC55" s="404">
        <f t="shared" si="31"/>
        <v>8</v>
      </c>
      <c r="AD55" s="534"/>
      <c r="AE55" s="182">
        <v>18</v>
      </c>
      <c r="AF55" s="182">
        <v>1361.3333333333335</v>
      </c>
      <c r="AG55" s="182">
        <v>75.629629629629633</v>
      </c>
      <c r="AH55" s="404">
        <f t="shared" si="33"/>
        <v>6</v>
      </c>
      <c r="AI55" s="534"/>
      <c r="AJ55" s="182">
        <v>18</v>
      </c>
      <c r="AK55" s="182">
        <v>1343.6363636363637</v>
      </c>
      <c r="AL55" s="182">
        <v>74.646464646464651</v>
      </c>
      <c r="AM55" s="404">
        <f t="shared" si="35"/>
        <v>6</v>
      </c>
      <c r="AN55" s="534"/>
      <c r="AO55" s="182">
        <v>18</v>
      </c>
      <c r="AP55" s="182">
        <v>1370.963855421687</v>
      </c>
      <c r="AQ55" s="182">
        <v>76.164658634538171</v>
      </c>
      <c r="AR55" s="404">
        <f t="shared" si="37"/>
        <v>7</v>
      </c>
      <c r="AS55" s="534"/>
      <c r="AT55" s="182">
        <v>18</v>
      </c>
      <c r="AU55" s="182">
        <v>1369.1999999999998</v>
      </c>
      <c r="AV55" s="182">
        <v>76.066666666666663</v>
      </c>
      <c r="AW55" s="404">
        <f t="shared" si="39"/>
        <v>5</v>
      </c>
      <c r="AX55" s="534"/>
    </row>
    <row r="56" spans="2:50">
      <c r="B56" s="533"/>
      <c r="C56" s="404">
        <v>10</v>
      </c>
      <c r="D56" s="226" t="s">
        <v>637</v>
      </c>
      <c r="E56" s="182">
        <v>19</v>
      </c>
      <c r="F56" s="404">
        <v>1385</v>
      </c>
      <c r="G56" s="405">
        <v>72.900000000000006</v>
      </c>
      <c r="H56" s="598"/>
      <c r="I56" s="408">
        <f t="shared" si="41"/>
        <v>18.857142857142858</v>
      </c>
      <c r="J56" s="408">
        <f t="shared" si="41"/>
        <v>1363.4882260596546</v>
      </c>
      <c r="K56" s="406">
        <f t="shared" si="41"/>
        <v>72.338979316422922</v>
      </c>
      <c r="L56" s="588"/>
      <c r="M56" s="407">
        <f>RANK(K56, K$47:$K$61)</f>
        <v>8</v>
      </c>
      <c r="N56" s="544"/>
      <c r="O56" s="544"/>
      <c r="P56" s="182">
        <v>19</v>
      </c>
      <c r="Q56" s="182">
        <v>1379.9999999999991</v>
      </c>
      <c r="R56" s="182">
        <v>72.631578947368368</v>
      </c>
      <c r="S56" s="404">
        <f t="shared" si="42"/>
        <v>8</v>
      </c>
      <c r="T56" s="534"/>
      <c r="U56" s="182">
        <v>19</v>
      </c>
      <c r="V56" s="182">
        <v>1368.0000000000005</v>
      </c>
      <c r="W56" s="182">
        <v>72.000000000000028</v>
      </c>
      <c r="X56" s="404">
        <f t="shared" si="29"/>
        <v>8</v>
      </c>
      <c r="Y56" s="534"/>
      <c r="Z56" s="182">
        <v>18</v>
      </c>
      <c r="AA56" s="182">
        <v>1380.0000000000005</v>
      </c>
      <c r="AB56" s="182">
        <v>76.666666666666686</v>
      </c>
      <c r="AC56" s="404">
        <f t="shared" si="31"/>
        <v>6</v>
      </c>
      <c r="AD56" s="534"/>
      <c r="AE56" s="182">
        <v>19</v>
      </c>
      <c r="AF56" s="182">
        <v>1342.8571428571424</v>
      </c>
      <c r="AG56" s="182">
        <v>70.676691729323281</v>
      </c>
      <c r="AH56" s="404">
        <f t="shared" si="33"/>
        <v>8</v>
      </c>
      <c r="AI56" s="534"/>
      <c r="AJ56" s="182">
        <v>19</v>
      </c>
      <c r="AK56" s="182">
        <v>1343.9999999999995</v>
      </c>
      <c r="AL56" s="182">
        <v>70.736842105263136</v>
      </c>
      <c r="AM56" s="404">
        <f t="shared" si="35"/>
        <v>8</v>
      </c>
      <c r="AN56" s="534"/>
      <c r="AO56" s="182">
        <v>19</v>
      </c>
      <c r="AP56" s="182">
        <v>1375.7142857142851</v>
      </c>
      <c r="AQ56" s="182">
        <v>72.406015037593946</v>
      </c>
      <c r="AR56" s="404">
        <f t="shared" si="37"/>
        <v>8</v>
      </c>
      <c r="AS56" s="534"/>
      <c r="AT56" s="182">
        <v>19</v>
      </c>
      <c r="AU56" s="182">
        <v>1353.8461538461559</v>
      </c>
      <c r="AV56" s="182">
        <v>71.25506072874505</v>
      </c>
      <c r="AW56" s="404">
        <f t="shared" si="39"/>
        <v>8</v>
      </c>
      <c r="AX56" s="534"/>
    </row>
    <row r="57" spans="2:50">
      <c r="B57" s="533"/>
      <c r="C57" s="404">
        <v>11</v>
      </c>
      <c r="D57" s="226" t="s">
        <v>742</v>
      </c>
      <c r="E57" s="182">
        <v>19</v>
      </c>
      <c r="F57" s="404">
        <v>1177.25</v>
      </c>
      <c r="G57" s="405">
        <v>69.2</v>
      </c>
      <c r="H57" s="598"/>
      <c r="I57" s="408">
        <f t="shared" si="41"/>
        <v>19.857142857142858</v>
      </c>
      <c r="J57" s="408">
        <f t="shared" si="41"/>
        <v>1073.7429263141473</v>
      </c>
      <c r="K57" s="406">
        <f t="shared" si="41"/>
        <v>54.085179861109346</v>
      </c>
      <c r="L57" s="588"/>
      <c r="M57" s="407">
        <f>RANK(K57, K$47:$K$61)</f>
        <v>10</v>
      </c>
      <c r="N57" s="544"/>
      <c r="O57" s="544"/>
      <c r="P57" s="182">
        <v>20</v>
      </c>
      <c r="Q57" s="182">
        <v>1074.5565217391295</v>
      </c>
      <c r="R57" s="182">
        <v>53.727826086956476</v>
      </c>
      <c r="S57" s="404">
        <f t="shared" si="42"/>
        <v>11</v>
      </c>
      <c r="T57" s="534"/>
      <c r="U57" s="182">
        <v>19</v>
      </c>
      <c r="V57" s="182">
        <v>1058.7692307692319</v>
      </c>
      <c r="W57" s="182">
        <v>55.724696356275359</v>
      </c>
      <c r="X57" s="404">
        <f t="shared" si="29"/>
        <v>10</v>
      </c>
      <c r="Y57" s="534"/>
      <c r="Z57" s="182">
        <v>20</v>
      </c>
      <c r="AA57" s="182">
        <v>1098.1440000000002</v>
      </c>
      <c r="AB57" s="182">
        <v>54.90720000000001</v>
      </c>
      <c r="AC57" s="404">
        <f t="shared" si="31"/>
        <v>10</v>
      </c>
      <c r="AD57" s="534"/>
      <c r="AE57" s="182">
        <v>20</v>
      </c>
      <c r="AF57" s="182">
        <v>1044.6214285714293</v>
      </c>
      <c r="AG57" s="182">
        <v>52.231071428571468</v>
      </c>
      <c r="AH57" s="404">
        <f t="shared" si="33"/>
        <v>10</v>
      </c>
      <c r="AI57" s="534"/>
      <c r="AJ57" s="182">
        <v>20</v>
      </c>
      <c r="AK57" s="182">
        <v>1069.1538461538466</v>
      </c>
      <c r="AL57" s="182">
        <v>53.457692307692334</v>
      </c>
      <c r="AM57" s="404">
        <f t="shared" si="35"/>
        <v>10</v>
      </c>
      <c r="AN57" s="534"/>
      <c r="AO57" s="182">
        <v>20</v>
      </c>
      <c r="AP57" s="182">
        <v>1086.4163265306124</v>
      </c>
      <c r="AQ57" s="182">
        <v>54.320816326530618</v>
      </c>
      <c r="AR57" s="404">
        <f t="shared" si="37"/>
        <v>10</v>
      </c>
      <c r="AS57" s="534"/>
      <c r="AT57" s="182">
        <v>20</v>
      </c>
      <c r="AU57" s="182">
        <v>1084.5391304347825</v>
      </c>
      <c r="AV57" s="182">
        <v>54.226956521739126</v>
      </c>
      <c r="AW57" s="404">
        <f t="shared" si="39"/>
        <v>9</v>
      </c>
      <c r="AX57" s="534"/>
    </row>
    <row r="58" spans="2:50">
      <c r="B58" s="533"/>
      <c r="C58" s="404">
        <v>12</v>
      </c>
      <c r="D58" s="226" t="s">
        <v>743</v>
      </c>
      <c r="E58" s="182">
        <v>17</v>
      </c>
      <c r="F58" s="404">
        <v>1636</v>
      </c>
      <c r="G58" s="405">
        <v>96.3</v>
      </c>
      <c r="H58" s="598"/>
      <c r="I58" s="408">
        <f t="shared" si="41"/>
        <v>17.571428571428573</v>
      </c>
      <c r="J58" s="408">
        <f t="shared" si="41"/>
        <v>1328.8323301576772</v>
      </c>
      <c r="K58" s="406">
        <f t="shared" si="41"/>
        <v>75.697781572999546</v>
      </c>
      <c r="L58" s="588"/>
      <c r="M58" s="407">
        <f>RANK(K58, K$47:$K$61)</f>
        <v>5</v>
      </c>
      <c r="N58" s="544"/>
      <c r="O58" s="544"/>
      <c r="P58" s="182">
        <v>18</v>
      </c>
      <c r="Q58" s="182">
        <v>1310.7267326732676</v>
      </c>
      <c r="R58" s="182">
        <v>72.818151815181537</v>
      </c>
      <c r="S58" s="404">
        <f t="shared" si="42"/>
        <v>7</v>
      </c>
      <c r="T58" s="534"/>
      <c r="U58" s="182">
        <v>18</v>
      </c>
      <c r="V58" s="182">
        <v>1320.1021276595748</v>
      </c>
      <c r="W58" s="182">
        <v>73.339007092198599</v>
      </c>
      <c r="X58" s="404">
        <f t="shared" si="29"/>
        <v>7</v>
      </c>
      <c r="Y58" s="534"/>
      <c r="Z58" s="182">
        <v>17</v>
      </c>
      <c r="AA58" s="182">
        <v>1346.0425531914896</v>
      </c>
      <c r="AB58" s="182">
        <v>79.178973717146448</v>
      </c>
      <c r="AC58" s="404">
        <f t="shared" si="31"/>
        <v>5</v>
      </c>
      <c r="AD58" s="534"/>
      <c r="AE58" s="182">
        <v>17</v>
      </c>
      <c r="AF58" s="182">
        <v>1307.1428571428571</v>
      </c>
      <c r="AG58" s="182">
        <v>76.890756302521012</v>
      </c>
      <c r="AH58" s="404">
        <f t="shared" si="33"/>
        <v>5</v>
      </c>
      <c r="AI58" s="534"/>
      <c r="AJ58" s="182">
        <v>18</v>
      </c>
      <c r="AK58" s="182">
        <v>1327.7966101694915</v>
      </c>
      <c r="AL58" s="182">
        <v>73.766478342749522</v>
      </c>
      <c r="AM58" s="404">
        <f t="shared" si="35"/>
        <v>7</v>
      </c>
      <c r="AN58" s="534"/>
      <c r="AO58" s="182">
        <v>17</v>
      </c>
      <c r="AP58" s="182">
        <v>1360.4154302670624</v>
      </c>
      <c r="AQ58" s="182">
        <v>80.024437074533083</v>
      </c>
      <c r="AR58" s="404">
        <f t="shared" si="37"/>
        <v>5</v>
      </c>
      <c r="AS58" s="534"/>
      <c r="AT58" s="182">
        <v>18</v>
      </c>
      <c r="AU58" s="182">
        <v>1329.6000000000001</v>
      </c>
      <c r="AV58" s="182">
        <v>73.866666666666674</v>
      </c>
      <c r="AW58" s="404">
        <f t="shared" si="39"/>
        <v>6</v>
      </c>
      <c r="AX58" s="534"/>
    </row>
    <row r="59" spans="2:50">
      <c r="B59" s="533"/>
      <c r="C59" s="404">
        <v>13</v>
      </c>
      <c r="D59" s="226"/>
      <c r="E59" s="182"/>
      <c r="F59" s="404"/>
      <c r="G59" s="405"/>
      <c r="H59" s="598"/>
      <c r="I59" s="202"/>
      <c r="J59" s="202"/>
      <c r="K59" s="202"/>
      <c r="L59" s="588"/>
      <c r="M59" s="407" t="e">
        <f>RANK(K59, K$47:$K$61)</f>
        <v>#N/A</v>
      </c>
      <c r="N59" s="544"/>
      <c r="O59" s="544"/>
      <c r="P59" s="182"/>
      <c r="Q59" s="182"/>
      <c r="R59" s="182"/>
      <c r="S59" s="404" t="e">
        <f t="shared" si="42"/>
        <v>#N/A</v>
      </c>
      <c r="T59" s="534"/>
      <c r="U59" s="182"/>
      <c r="V59" s="182"/>
      <c r="W59" s="182"/>
      <c r="X59" s="404" t="e">
        <f t="shared" si="29"/>
        <v>#N/A</v>
      </c>
      <c r="Y59" s="534"/>
      <c r="Z59" s="182"/>
      <c r="AA59" s="182"/>
      <c r="AB59" s="182"/>
      <c r="AC59" s="404" t="e">
        <f t="shared" si="31"/>
        <v>#N/A</v>
      </c>
      <c r="AD59" s="534"/>
      <c r="AE59" s="182"/>
      <c r="AF59" s="182"/>
      <c r="AG59" s="182"/>
      <c r="AH59" s="404" t="e">
        <f t="shared" si="33"/>
        <v>#N/A</v>
      </c>
      <c r="AI59" s="534"/>
      <c r="AJ59" s="182"/>
      <c r="AK59" s="182"/>
      <c r="AL59" s="182"/>
      <c r="AM59" s="404" t="e">
        <f t="shared" si="35"/>
        <v>#N/A</v>
      </c>
      <c r="AN59" s="534"/>
      <c r="AO59" s="182"/>
      <c r="AP59" s="182"/>
      <c r="AQ59" s="182"/>
      <c r="AR59" s="404" t="e">
        <f t="shared" si="37"/>
        <v>#N/A</v>
      </c>
      <c r="AS59" s="534"/>
      <c r="AT59" s="182"/>
      <c r="AU59" s="182"/>
      <c r="AV59" s="182"/>
      <c r="AW59" s="404" t="e">
        <f t="shared" si="39"/>
        <v>#N/A</v>
      </c>
      <c r="AX59" s="534"/>
    </row>
    <row r="60" spans="2:50">
      <c r="B60" s="533"/>
      <c r="C60" s="404">
        <v>14</v>
      </c>
      <c r="D60" s="226"/>
      <c r="E60" s="182"/>
      <c r="F60" s="404"/>
      <c r="G60" s="405"/>
      <c r="H60" s="598"/>
      <c r="I60" s="202"/>
      <c r="J60" s="202"/>
      <c r="K60" s="202"/>
      <c r="L60" s="588"/>
      <c r="M60" s="407" t="e">
        <f>RANK(K60, K$47:$K$61)</f>
        <v>#N/A</v>
      </c>
      <c r="N60" s="544"/>
      <c r="O60" s="544"/>
      <c r="P60" s="182"/>
      <c r="Q60" s="182"/>
      <c r="R60" s="182"/>
      <c r="S60" s="404" t="e">
        <f t="shared" si="42"/>
        <v>#N/A</v>
      </c>
      <c r="T60" s="534"/>
      <c r="U60" s="182"/>
      <c r="V60" s="182"/>
      <c r="W60" s="182"/>
      <c r="X60" s="404" t="e">
        <f t="shared" si="29"/>
        <v>#N/A</v>
      </c>
      <c r="Y60" s="534"/>
      <c r="Z60" s="182"/>
      <c r="AA60" s="182"/>
      <c r="AB60" s="182"/>
      <c r="AC60" s="404" t="e">
        <f t="shared" si="31"/>
        <v>#N/A</v>
      </c>
      <c r="AD60" s="534"/>
      <c r="AE60" s="182"/>
      <c r="AF60" s="182"/>
      <c r="AG60" s="182"/>
      <c r="AH60" s="404" t="e">
        <f t="shared" si="33"/>
        <v>#N/A</v>
      </c>
      <c r="AI60" s="534"/>
      <c r="AJ60" s="182"/>
      <c r="AK60" s="182"/>
      <c r="AL60" s="182"/>
      <c r="AM60" s="404" t="e">
        <f t="shared" si="35"/>
        <v>#N/A</v>
      </c>
      <c r="AN60" s="534"/>
      <c r="AO60" s="182"/>
      <c r="AP60" s="182"/>
      <c r="AQ60" s="182"/>
      <c r="AR60" s="404" t="e">
        <f t="shared" si="37"/>
        <v>#N/A</v>
      </c>
      <c r="AS60" s="534"/>
      <c r="AT60" s="182"/>
      <c r="AU60" s="182"/>
      <c r="AV60" s="182"/>
      <c r="AW60" s="404" t="e">
        <f t="shared" si="39"/>
        <v>#N/A</v>
      </c>
      <c r="AX60" s="534"/>
    </row>
    <row r="61" spans="2:50">
      <c r="B61" s="533"/>
      <c r="C61" s="404">
        <v>15</v>
      </c>
      <c r="D61" s="226"/>
      <c r="E61" s="182"/>
      <c r="F61" s="404"/>
      <c r="G61" s="405"/>
      <c r="H61" s="599"/>
      <c r="I61" s="202"/>
      <c r="J61" s="202"/>
      <c r="K61" s="202"/>
      <c r="L61" s="589"/>
      <c r="M61" s="407" t="e">
        <f>RANK(K61, K$47:$K$61)</f>
        <v>#N/A</v>
      </c>
      <c r="N61" s="544"/>
      <c r="O61" s="544"/>
      <c r="P61" s="182"/>
      <c r="Q61" s="182"/>
      <c r="R61" s="182"/>
      <c r="S61" s="404" t="e">
        <f t="shared" si="42"/>
        <v>#N/A</v>
      </c>
      <c r="T61" s="534"/>
      <c r="U61" s="182"/>
      <c r="V61" s="182"/>
      <c r="W61" s="182"/>
      <c r="X61" s="404" t="e">
        <f t="shared" si="29"/>
        <v>#N/A</v>
      </c>
      <c r="Y61" s="534"/>
      <c r="Z61" s="182"/>
      <c r="AA61" s="182"/>
      <c r="AB61" s="182"/>
      <c r="AC61" s="404" t="e">
        <f t="shared" si="31"/>
        <v>#N/A</v>
      </c>
      <c r="AD61" s="534"/>
      <c r="AE61" s="182"/>
      <c r="AF61" s="182"/>
      <c r="AG61" s="182"/>
      <c r="AH61" s="404" t="e">
        <f t="shared" si="33"/>
        <v>#N/A</v>
      </c>
      <c r="AI61" s="534"/>
      <c r="AJ61" s="182"/>
      <c r="AK61" s="182"/>
      <c r="AL61" s="182"/>
      <c r="AM61" s="404" t="e">
        <f t="shared" si="35"/>
        <v>#N/A</v>
      </c>
      <c r="AN61" s="534"/>
      <c r="AO61" s="182"/>
      <c r="AP61" s="182"/>
      <c r="AQ61" s="182"/>
      <c r="AR61" s="404" t="e">
        <f t="shared" si="37"/>
        <v>#N/A</v>
      </c>
      <c r="AS61" s="534"/>
      <c r="AT61" s="182"/>
      <c r="AU61" s="182"/>
      <c r="AV61" s="182"/>
      <c r="AW61" s="404" t="e">
        <f t="shared" si="39"/>
        <v>#N/A</v>
      </c>
      <c r="AX61" s="534"/>
    </row>
    <row r="62" spans="2:50" ht="15.5">
      <c r="B62" s="555" t="s">
        <v>704</v>
      </c>
      <c r="C62" s="556"/>
      <c r="D62" s="556"/>
      <c r="E62" s="556"/>
      <c r="F62" s="556"/>
      <c r="G62" s="556"/>
      <c r="H62" s="557"/>
      <c r="I62" s="208"/>
      <c r="J62" s="208"/>
      <c r="K62" s="208"/>
      <c r="L62" s="208"/>
      <c r="M62" s="207"/>
      <c r="N62" s="559" t="s">
        <v>705</v>
      </c>
      <c r="O62" s="559" t="s">
        <v>706</v>
      </c>
      <c r="P62" s="554">
        <f>P42+7</f>
        <v>46007</v>
      </c>
      <c r="Q62" s="533"/>
      <c r="R62" s="533"/>
      <c r="S62" s="533"/>
      <c r="T62" s="533"/>
      <c r="U62" s="551">
        <f>P62+1</f>
        <v>46008</v>
      </c>
      <c r="V62" s="552"/>
      <c r="W62" s="552"/>
      <c r="X62" s="552"/>
      <c r="Y62" s="553"/>
      <c r="Z62" s="551">
        <f>U62+1</f>
        <v>46009</v>
      </c>
      <c r="AA62" s="552"/>
      <c r="AB62" s="552"/>
      <c r="AC62" s="552"/>
      <c r="AD62" s="553"/>
      <c r="AE62" s="551">
        <f>Z62+1</f>
        <v>46010</v>
      </c>
      <c r="AF62" s="552"/>
      <c r="AG62" s="552"/>
      <c r="AH62" s="552"/>
      <c r="AI62" s="553"/>
      <c r="AJ62" s="551">
        <f>AE62+1</f>
        <v>46011</v>
      </c>
      <c r="AK62" s="552"/>
      <c r="AL62" s="552"/>
      <c r="AM62" s="552"/>
      <c r="AN62" s="553"/>
      <c r="AO62" s="551">
        <f>AJ62+1</f>
        <v>46012</v>
      </c>
      <c r="AP62" s="552"/>
      <c r="AQ62" s="552"/>
      <c r="AR62" s="552"/>
      <c r="AS62" s="553"/>
      <c r="AT62" s="551">
        <f>AO62+1</f>
        <v>46013</v>
      </c>
      <c r="AU62" s="552"/>
      <c r="AV62" s="552"/>
      <c r="AW62" s="552"/>
      <c r="AX62" s="553"/>
    </row>
    <row r="63" spans="2:50" ht="15.5">
      <c r="B63" s="558"/>
      <c r="C63" s="558"/>
      <c r="D63" s="558"/>
      <c r="E63" s="558"/>
      <c r="F63" s="558"/>
      <c r="G63" s="558"/>
      <c r="H63" s="558"/>
      <c r="I63" s="205"/>
      <c r="J63" s="205"/>
      <c r="K63" s="205"/>
      <c r="L63" s="205"/>
      <c r="M63" s="206"/>
      <c r="N63" s="560"/>
      <c r="O63" s="560"/>
      <c r="P63" s="554" t="s">
        <v>707</v>
      </c>
      <c r="Q63" s="533"/>
      <c r="R63" s="533"/>
      <c r="S63" s="533"/>
      <c r="T63" s="533"/>
      <c r="U63" s="554" t="s">
        <v>708</v>
      </c>
      <c r="V63" s="533"/>
      <c r="W63" s="533"/>
      <c r="X63" s="533"/>
      <c r="Y63" s="533"/>
      <c r="Z63" s="554" t="s">
        <v>709</v>
      </c>
      <c r="AA63" s="533"/>
      <c r="AB63" s="533"/>
      <c r="AC63" s="533"/>
      <c r="AD63" s="533"/>
      <c r="AE63" s="554" t="s">
        <v>710</v>
      </c>
      <c r="AF63" s="533"/>
      <c r="AG63" s="533"/>
      <c r="AH63" s="533"/>
      <c r="AI63" s="533"/>
      <c r="AJ63" s="554" t="s">
        <v>711</v>
      </c>
      <c r="AK63" s="533"/>
      <c r="AL63" s="533"/>
      <c r="AM63" s="533"/>
      <c r="AN63" s="533"/>
      <c r="AO63" s="554" t="s">
        <v>712</v>
      </c>
      <c r="AP63" s="533"/>
      <c r="AQ63" s="533"/>
      <c r="AR63" s="533"/>
      <c r="AS63" s="533"/>
      <c r="AT63" s="554" t="s">
        <v>713</v>
      </c>
      <c r="AU63" s="533"/>
      <c r="AV63" s="533"/>
      <c r="AW63" s="533"/>
      <c r="AX63" s="533"/>
    </row>
    <row r="64" spans="2:50">
      <c r="B64" s="544" t="s">
        <v>649</v>
      </c>
      <c r="C64" s="544" t="s">
        <v>650</v>
      </c>
      <c r="D64" s="544"/>
      <c r="E64" s="544" t="s">
        <v>651</v>
      </c>
      <c r="F64" s="544"/>
      <c r="G64" s="544"/>
      <c r="H64" s="561" t="s">
        <v>652</v>
      </c>
      <c r="I64" s="583" t="s">
        <v>653</v>
      </c>
      <c r="J64" s="583"/>
      <c r="K64" s="583"/>
      <c r="L64" s="584" t="s">
        <v>652</v>
      </c>
      <c r="M64" s="567" t="s">
        <v>654</v>
      </c>
      <c r="N64" s="544"/>
      <c r="O64" s="544" t="s">
        <v>655</v>
      </c>
      <c r="P64" s="548" t="s">
        <v>656</v>
      </c>
      <c r="Q64" s="549"/>
      <c r="R64" s="549"/>
      <c r="S64" s="550"/>
      <c r="T64" s="544" t="s">
        <v>652</v>
      </c>
      <c r="U64" s="548" t="s">
        <v>656</v>
      </c>
      <c r="V64" s="549"/>
      <c r="W64" s="549"/>
      <c r="X64" s="550"/>
      <c r="Y64" s="544" t="s">
        <v>652</v>
      </c>
      <c r="Z64" s="548" t="s">
        <v>656</v>
      </c>
      <c r="AA64" s="549"/>
      <c r="AB64" s="549"/>
      <c r="AC64" s="550"/>
      <c r="AD64" s="544" t="s">
        <v>652</v>
      </c>
      <c r="AE64" s="548" t="s">
        <v>656</v>
      </c>
      <c r="AF64" s="549"/>
      <c r="AG64" s="549"/>
      <c r="AH64" s="550"/>
      <c r="AI64" s="544" t="s">
        <v>652</v>
      </c>
      <c r="AJ64" s="548" t="s">
        <v>656</v>
      </c>
      <c r="AK64" s="549"/>
      <c r="AL64" s="549"/>
      <c r="AM64" s="550"/>
      <c r="AN64" s="544" t="s">
        <v>652</v>
      </c>
      <c r="AO64" s="548" t="s">
        <v>656</v>
      </c>
      <c r="AP64" s="549"/>
      <c r="AQ64" s="549"/>
      <c r="AR64" s="550"/>
      <c r="AS64" s="544" t="s">
        <v>652</v>
      </c>
      <c r="AT64" s="548" t="s">
        <v>656</v>
      </c>
      <c r="AU64" s="549"/>
      <c r="AV64" s="549"/>
      <c r="AW64" s="550"/>
      <c r="AX64" s="544" t="s">
        <v>652</v>
      </c>
    </row>
    <row r="65" spans="2:50">
      <c r="B65" s="544"/>
      <c r="C65" s="544"/>
      <c r="D65" s="544"/>
      <c r="E65" s="544" t="s">
        <v>657</v>
      </c>
      <c r="F65" s="544"/>
      <c r="G65" s="544"/>
      <c r="H65" s="562"/>
      <c r="I65" s="583" t="s">
        <v>657</v>
      </c>
      <c r="J65" s="583"/>
      <c r="K65" s="583"/>
      <c r="L65" s="585"/>
      <c r="M65" s="568"/>
      <c r="N65" s="544"/>
      <c r="O65" s="544"/>
      <c r="P65" s="548" t="s">
        <v>658</v>
      </c>
      <c r="Q65" s="549"/>
      <c r="R65" s="549"/>
      <c r="S65" s="550"/>
      <c r="T65" s="544"/>
      <c r="U65" s="548" t="s">
        <v>658</v>
      </c>
      <c r="V65" s="549"/>
      <c r="W65" s="549"/>
      <c r="X65" s="550"/>
      <c r="Y65" s="544"/>
      <c r="Z65" s="548" t="s">
        <v>658</v>
      </c>
      <c r="AA65" s="549"/>
      <c r="AB65" s="549"/>
      <c r="AC65" s="550"/>
      <c r="AD65" s="544"/>
      <c r="AE65" s="548" t="s">
        <v>658</v>
      </c>
      <c r="AF65" s="549"/>
      <c r="AG65" s="549"/>
      <c r="AH65" s="550"/>
      <c r="AI65" s="544"/>
      <c r="AJ65" s="548" t="s">
        <v>658</v>
      </c>
      <c r="AK65" s="549"/>
      <c r="AL65" s="549"/>
      <c r="AM65" s="550"/>
      <c r="AN65" s="544"/>
      <c r="AO65" s="548" t="s">
        <v>658</v>
      </c>
      <c r="AP65" s="549"/>
      <c r="AQ65" s="549"/>
      <c r="AR65" s="550"/>
      <c r="AS65" s="544"/>
      <c r="AT65" s="548" t="s">
        <v>658</v>
      </c>
      <c r="AU65" s="549"/>
      <c r="AV65" s="549"/>
      <c r="AW65" s="550"/>
      <c r="AX65" s="544"/>
    </row>
    <row r="66" spans="2:50">
      <c r="B66" s="544"/>
      <c r="C66" s="544"/>
      <c r="D66" s="544"/>
      <c r="E66" s="403" t="s">
        <v>659</v>
      </c>
      <c r="F66" s="403" t="s">
        <v>660</v>
      </c>
      <c r="G66" s="403" t="s">
        <v>661</v>
      </c>
      <c r="H66" s="563"/>
      <c r="I66" s="402" t="s">
        <v>659</v>
      </c>
      <c r="J66" s="402" t="s">
        <v>660</v>
      </c>
      <c r="K66" s="402" t="s">
        <v>661</v>
      </c>
      <c r="L66" s="586"/>
      <c r="M66" s="569"/>
      <c r="N66" s="544"/>
      <c r="O66" s="544"/>
      <c r="P66" s="403" t="s">
        <v>659</v>
      </c>
      <c r="Q66" s="403" t="s">
        <v>660</v>
      </c>
      <c r="R66" s="403" t="s">
        <v>661</v>
      </c>
      <c r="S66" s="403" t="s">
        <v>654</v>
      </c>
      <c r="T66" s="544"/>
      <c r="U66" s="403" t="s">
        <v>659</v>
      </c>
      <c r="V66" s="403" t="s">
        <v>660</v>
      </c>
      <c r="W66" s="403" t="s">
        <v>661</v>
      </c>
      <c r="X66" s="403" t="s">
        <v>654</v>
      </c>
      <c r="Y66" s="544"/>
      <c r="Z66" s="403" t="s">
        <v>659</v>
      </c>
      <c r="AA66" s="403" t="s">
        <v>660</v>
      </c>
      <c r="AB66" s="403" t="s">
        <v>661</v>
      </c>
      <c r="AC66" s="403" t="s">
        <v>654</v>
      </c>
      <c r="AD66" s="544"/>
      <c r="AE66" s="403" t="s">
        <v>659</v>
      </c>
      <c r="AF66" s="403" t="s">
        <v>660</v>
      </c>
      <c r="AG66" s="403" t="s">
        <v>661</v>
      </c>
      <c r="AH66" s="403" t="s">
        <v>654</v>
      </c>
      <c r="AI66" s="544"/>
      <c r="AJ66" s="403" t="s">
        <v>659</v>
      </c>
      <c r="AK66" s="403" t="s">
        <v>660</v>
      </c>
      <c r="AL66" s="403" t="s">
        <v>661</v>
      </c>
      <c r="AM66" s="403" t="s">
        <v>654</v>
      </c>
      <c r="AN66" s="544"/>
      <c r="AO66" s="403" t="s">
        <v>659</v>
      </c>
      <c r="AP66" s="403" t="s">
        <v>660</v>
      </c>
      <c r="AQ66" s="403" t="s">
        <v>661</v>
      </c>
      <c r="AR66" s="403" t="s">
        <v>654</v>
      </c>
      <c r="AS66" s="544"/>
      <c r="AT66" s="403" t="s">
        <v>659</v>
      </c>
      <c r="AU66" s="403" t="s">
        <v>660</v>
      </c>
      <c r="AV66" s="403" t="s">
        <v>661</v>
      </c>
      <c r="AW66" s="403" t="s">
        <v>654</v>
      </c>
      <c r="AX66" s="544"/>
    </row>
    <row r="67" spans="2:50">
      <c r="B67" s="544" t="s">
        <v>741</v>
      </c>
      <c r="C67" s="404">
        <v>1</v>
      </c>
      <c r="D67" s="226" t="s">
        <v>347</v>
      </c>
      <c r="E67" s="182">
        <v>18</v>
      </c>
      <c r="F67" s="404">
        <v>1636</v>
      </c>
      <c r="G67" s="405">
        <v>90.9</v>
      </c>
      <c r="H67" s="597">
        <f>AVERAGE(G67:G81)</f>
        <v>82.239999999999981</v>
      </c>
      <c r="I67" s="408">
        <f>AVERAGE(P67,U67,Z67,AE67,AJ67,AO67,AT67)</f>
        <v>17.285714285714285</v>
      </c>
      <c r="J67" s="408">
        <f>AVERAGE(Q67,V67,AA67,AF67,AK67,AP67,AU67)</f>
        <v>1443.7240676383899</v>
      </c>
      <c r="K67" s="406">
        <f>AVERAGE(R67,W67,AB67,AG67,AL67,AQ67,AV67)</f>
        <v>83.572914999573641</v>
      </c>
      <c r="L67" s="587">
        <f>IFERROR(AVERAGE(K67:K81),"-")</f>
        <v>71.522504162265676</v>
      </c>
      <c r="M67" s="407">
        <f>RANK(K67, K$67:$K$81)</f>
        <v>2</v>
      </c>
      <c r="N67" s="544"/>
      <c r="O67" s="544"/>
      <c r="P67" s="182">
        <v>17</v>
      </c>
      <c r="Q67" s="182">
        <v>1439.9999999999991</v>
      </c>
      <c r="R67" s="182">
        <v>84.705882352941117</v>
      </c>
      <c r="S67" s="404">
        <f>RANK(R67, R$67:R$81)</f>
        <v>2</v>
      </c>
      <c r="T67" s="534">
        <f>AVERAGE(R67:R81)</f>
        <v>71.994657686410648</v>
      </c>
      <c r="U67" s="182">
        <v>17</v>
      </c>
      <c r="V67" s="182">
        <v>1457.027027027026</v>
      </c>
      <c r="W67" s="182">
        <v>85.707472178060357</v>
      </c>
      <c r="X67" s="404">
        <f t="shared" ref="X67:X81" si="43">RANK(W67, W$67:W$81)</f>
        <v>2</v>
      </c>
      <c r="Y67" s="534">
        <f t="shared" ref="Y67" si="44">AVERAGE(W67:W81)</f>
        <v>72.440341187858934</v>
      </c>
      <c r="Z67" s="182">
        <v>18</v>
      </c>
      <c r="AA67" s="182">
        <v>1467.3529411764723</v>
      </c>
      <c r="AB67" s="182">
        <v>81.519607843137351</v>
      </c>
      <c r="AC67" s="404">
        <f t="shared" ref="AC67:AC81" si="45">RANK(AB67, AB$67:AB$81)</f>
        <v>2</v>
      </c>
      <c r="AD67" s="534">
        <f t="shared" ref="AD67" si="46">AVERAGE(AB67:AB81)</f>
        <v>71.296338283180688</v>
      </c>
      <c r="AE67" s="182">
        <v>18</v>
      </c>
      <c r="AF67" s="182">
        <v>1428.6956521739116</v>
      </c>
      <c r="AG67" s="182">
        <v>79.37198067632842</v>
      </c>
      <c r="AH67" s="404">
        <f t="shared" ref="AH67:AH81" si="47">RANK(AG67, AG$67:AG$81)</f>
        <v>3</v>
      </c>
      <c r="AI67" s="534">
        <f t="shared" ref="AI67" si="48">AVERAGE(AG67:AG81)</f>
        <v>68.743839279718216</v>
      </c>
      <c r="AJ67" s="182">
        <v>17</v>
      </c>
      <c r="AK67" s="182">
        <v>1452.7999999999988</v>
      </c>
      <c r="AL67" s="182">
        <v>85.458823529411688</v>
      </c>
      <c r="AM67" s="404">
        <f t="shared" ref="AM67:AM81" si="49">RANK(AL67, AL$67:AL$81)</f>
        <v>2</v>
      </c>
      <c r="AN67" s="534">
        <f t="shared" ref="AN67" si="50">AVERAGE(AL67:AL81)</f>
        <v>71.650354743522669</v>
      </c>
      <c r="AO67" s="182">
        <v>17</v>
      </c>
      <c r="AP67" s="182">
        <v>1426.0465116279067</v>
      </c>
      <c r="AQ67" s="182">
        <v>83.885088919288634</v>
      </c>
      <c r="AR67" s="404">
        <f t="shared" ref="AR67:AR81" si="51">RANK(AQ67, AQ$67:AQ$81)</f>
        <v>2</v>
      </c>
      <c r="AS67" s="534">
        <f t="shared" ref="AS67" si="52">AVERAGE(AQ67:AQ81)</f>
        <v>72.419862589806101</v>
      </c>
      <c r="AT67" s="182">
        <v>17</v>
      </c>
      <c r="AU67" s="182">
        <v>1434.1463414634143</v>
      </c>
      <c r="AV67" s="182">
        <v>84.361549497847903</v>
      </c>
      <c r="AW67" s="404">
        <f t="shared" ref="AW67:AW81" si="53">RANK(AV67, AV$67:AV$81)</f>
        <v>3</v>
      </c>
      <c r="AX67" s="534">
        <f t="shared" ref="AX67" si="54">AVERAGE(AV67:AV81)</f>
        <v>72.112135365362391</v>
      </c>
    </row>
    <row r="68" spans="2:50">
      <c r="B68" s="533"/>
      <c r="C68" s="404">
        <v>2</v>
      </c>
      <c r="D68" s="226" t="s">
        <v>573</v>
      </c>
      <c r="E68" s="182">
        <v>14</v>
      </c>
      <c r="F68" s="404">
        <v>1500</v>
      </c>
      <c r="G68" s="405">
        <v>107.1</v>
      </c>
      <c r="H68" s="598"/>
      <c r="I68" s="408">
        <f t="shared" ref="I68:K76" si="55">AVERAGE(P68,U68,Z68,AE68,AJ68,AO68,AT68)</f>
        <v>14</v>
      </c>
      <c r="J68" s="408">
        <f t="shared" si="55"/>
        <v>1286.8022499322324</v>
      </c>
      <c r="K68" s="406">
        <f t="shared" si="55"/>
        <v>91.914446423730894</v>
      </c>
      <c r="L68" s="588"/>
      <c r="M68" s="407">
        <f>RANK(K68, K$67:$K$81)</f>
        <v>1</v>
      </c>
      <c r="N68" s="544"/>
      <c r="O68" s="544"/>
      <c r="P68" s="182">
        <v>14</v>
      </c>
      <c r="Q68" s="182">
        <v>1342.9411764705899</v>
      </c>
      <c r="R68" s="182">
        <v>95.924369747899277</v>
      </c>
      <c r="S68" s="404">
        <f t="shared" ref="S68:S81" si="56">RANK(R68, R$67:R$81)</f>
        <v>1</v>
      </c>
      <c r="T68" s="534"/>
      <c r="U68" s="182">
        <v>14</v>
      </c>
      <c r="V68" s="182">
        <v>1336.0000000000011</v>
      </c>
      <c r="W68" s="182">
        <v>95.428571428571516</v>
      </c>
      <c r="X68" s="404">
        <f t="shared" si="43"/>
        <v>1</v>
      </c>
      <c r="Y68" s="534"/>
      <c r="Z68" s="182">
        <v>14</v>
      </c>
      <c r="AA68" s="182">
        <v>1300.6451612903238</v>
      </c>
      <c r="AB68" s="182">
        <v>92.903225806451701</v>
      </c>
      <c r="AC68" s="404">
        <f t="shared" si="45"/>
        <v>1</v>
      </c>
      <c r="AD68" s="534"/>
      <c r="AE68" s="182">
        <v>14</v>
      </c>
      <c r="AF68" s="182">
        <v>1132.0000000000011</v>
      </c>
      <c r="AG68" s="182">
        <v>80.857142857142932</v>
      </c>
      <c r="AH68" s="404">
        <f t="shared" si="47"/>
        <v>1</v>
      </c>
      <c r="AI68" s="534"/>
      <c r="AJ68" s="182">
        <v>14</v>
      </c>
      <c r="AK68" s="182">
        <v>1282.5000000000016</v>
      </c>
      <c r="AL68" s="182">
        <v>91.607142857142975</v>
      </c>
      <c r="AM68" s="404">
        <f t="shared" si="49"/>
        <v>1</v>
      </c>
      <c r="AN68" s="534"/>
      <c r="AO68" s="182">
        <v>14</v>
      </c>
      <c r="AP68" s="182">
        <v>1307.6470588235311</v>
      </c>
      <c r="AQ68" s="182">
        <v>93.403361344537942</v>
      </c>
      <c r="AR68" s="404">
        <f t="shared" si="51"/>
        <v>1</v>
      </c>
      <c r="AS68" s="534"/>
      <c r="AT68" s="182">
        <v>14</v>
      </c>
      <c r="AU68" s="182">
        <v>1305.8823529411779</v>
      </c>
      <c r="AV68" s="182">
        <v>93.277310924369857</v>
      </c>
      <c r="AW68" s="404">
        <f t="shared" si="53"/>
        <v>1</v>
      </c>
      <c r="AX68" s="534"/>
    </row>
    <row r="69" spans="2:50">
      <c r="B69" s="533"/>
      <c r="C69" s="404">
        <v>3</v>
      </c>
      <c r="D69" s="226" t="s">
        <v>479</v>
      </c>
      <c r="E69" s="182">
        <v>18</v>
      </c>
      <c r="F69" s="404">
        <v>1636</v>
      </c>
      <c r="G69" s="405">
        <v>90.9</v>
      </c>
      <c r="H69" s="598"/>
      <c r="I69" s="408">
        <f t="shared" si="55"/>
        <v>17.571428571428573</v>
      </c>
      <c r="J69" s="408">
        <f t="shared" si="55"/>
        <v>1448.4573283858995</v>
      </c>
      <c r="K69" s="406">
        <f t="shared" si="55"/>
        <v>82.505999369444723</v>
      </c>
      <c r="L69" s="588"/>
      <c r="M69" s="407">
        <f>RANK(K69, K$67:$K$81)</f>
        <v>3</v>
      </c>
      <c r="N69" s="544"/>
      <c r="O69" s="544"/>
      <c r="P69" s="182">
        <v>18</v>
      </c>
      <c r="Q69" s="182">
        <v>1469.9999999999995</v>
      </c>
      <c r="R69" s="182">
        <v>81.666666666666643</v>
      </c>
      <c r="S69" s="404">
        <f t="shared" si="56"/>
        <v>3</v>
      </c>
      <c r="T69" s="534"/>
      <c r="U69" s="182">
        <v>17</v>
      </c>
      <c r="V69" s="182">
        <v>1453.6363636363635</v>
      </c>
      <c r="W69" s="182">
        <v>85.508021390374324</v>
      </c>
      <c r="X69" s="404">
        <f t="shared" si="43"/>
        <v>3</v>
      </c>
      <c r="Y69" s="534"/>
      <c r="Z69" s="182">
        <v>18</v>
      </c>
      <c r="AA69" s="182">
        <v>1437.2727272727273</v>
      </c>
      <c r="AB69" s="182">
        <v>79.848484848484844</v>
      </c>
      <c r="AC69" s="404">
        <f t="shared" si="45"/>
        <v>3</v>
      </c>
      <c r="AD69" s="534"/>
      <c r="AE69" s="182">
        <v>18</v>
      </c>
      <c r="AF69" s="182">
        <v>1431.9999999999993</v>
      </c>
      <c r="AG69" s="182">
        <v>79.555555555555515</v>
      </c>
      <c r="AH69" s="404">
        <f t="shared" si="47"/>
        <v>2</v>
      </c>
      <c r="AI69" s="534"/>
      <c r="AJ69" s="182">
        <v>17</v>
      </c>
      <c r="AK69" s="182">
        <v>1426.3636363636365</v>
      </c>
      <c r="AL69" s="182">
        <v>83.903743315508024</v>
      </c>
      <c r="AM69" s="404">
        <f t="shared" si="49"/>
        <v>3</v>
      </c>
      <c r="AN69" s="534"/>
      <c r="AO69" s="182">
        <v>18</v>
      </c>
      <c r="AP69" s="182">
        <v>1438.4999999999995</v>
      </c>
      <c r="AQ69" s="182">
        <v>79.916666666666643</v>
      </c>
      <c r="AR69" s="404">
        <f t="shared" si="51"/>
        <v>3</v>
      </c>
      <c r="AS69" s="534"/>
      <c r="AT69" s="182">
        <v>17</v>
      </c>
      <c r="AU69" s="182">
        <v>1481.4285714285709</v>
      </c>
      <c r="AV69" s="182">
        <v>87.14285714285711</v>
      </c>
      <c r="AW69" s="404">
        <f t="shared" si="53"/>
        <v>2</v>
      </c>
      <c r="AX69" s="534"/>
    </row>
    <row r="70" spans="2:50">
      <c r="B70" s="533"/>
      <c r="C70" s="404">
        <v>4</v>
      </c>
      <c r="D70" s="226" t="s">
        <v>617</v>
      </c>
      <c r="E70" s="182">
        <v>18</v>
      </c>
      <c r="F70" s="404">
        <v>1500</v>
      </c>
      <c r="G70" s="405">
        <v>83.3</v>
      </c>
      <c r="H70" s="598"/>
      <c r="I70" s="408">
        <f t="shared" si="55"/>
        <v>16.571428571428573</v>
      </c>
      <c r="J70" s="408">
        <f t="shared" si="55"/>
        <v>1240.4124559964384</v>
      </c>
      <c r="K70" s="406">
        <f t="shared" si="55"/>
        <v>75.061060086783115</v>
      </c>
      <c r="L70" s="588"/>
      <c r="M70" s="407">
        <f>RANK(K70, K$67:$K$81)</f>
        <v>4</v>
      </c>
      <c r="N70" s="544"/>
      <c r="O70" s="544"/>
      <c r="P70" s="182">
        <v>18</v>
      </c>
      <c r="Q70" s="182">
        <v>1238.9189189189178</v>
      </c>
      <c r="R70" s="182">
        <v>68.828828828828762</v>
      </c>
      <c r="S70" s="404">
        <f t="shared" si="56"/>
        <v>6</v>
      </c>
      <c r="T70" s="534"/>
      <c r="U70" s="182">
        <v>16</v>
      </c>
      <c r="V70" s="182">
        <v>1266.6666666666683</v>
      </c>
      <c r="W70" s="182">
        <v>79.166666666666771</v>
      </c>
      <c r="X70" s="404">
        <f t="shared" si="43"/>
        <v>4</v>
      </c>
      <c r="Y70" s="534"/>
      <c r="Z70" s="182">
        <v>16</v>
      </c>
      <c r="AA70" s="182">
        <v>1251.891891891891</v>
      </c>
      <c r="AB70" s="182">
        <v>78.243243243243185</v>
      </c>
      <c r="AC70" s="404">
        <f t="shared" si="45"/>
        <v>4</v>
      </c>
      <c r="AD70" s="534"/>
      <c r="AE70" s="182">
        <v>18</v>
      </c>
      <c r="AF70" s="182">
        <v>1245.5172413793114</v>
      </c>
      <c r="AG70" s="182">
        <v>69.195402298850638</v>
      </c>
      <c r="AH70" s="404">
        <f t="shared" si="47"/>
        <v>6</v>
      </c>
      <c r="AI70" s="534"/>
      <c r="AJ70" s="182">
        <v>16</v>
      </c>
      <c r="AK70" s="182">
        <v>1223.2258064516141</v>
      </c>
      <c r="AL70" s="182">
        <v>76.451612903225879</v>
      </c>
      <c r="AM70" s="404">
        <f t="shared" si="49"/>
        <v>4</v>
      </c>
      <c r="AN70" s="534"/>
      <c r="AO70" s="182">
        <v>16</v>
      </c>
      <c r="AP70" s="182">
        <v>1259.9999999999986</v>
      </c>
      <c r="AQ70" s="182">
        <v>78.749999999999915</v>
      </c>
      <c r="AR70" s="404">
        <f t="shared" si="51"/>
        <v>4</v>
      </c>
      <c r="AS70" s="534"/>
      <c r="AT70" s="182">
        <v>16</v>
      </c>
      <c r="AU70" s="182">
        <v>1196.6666666666683</v>
      </c>
      <c r="AV70" s="182">
        <v>74.791666666666771</v>
      </c>
      <c r="AW70" s="404">
        <f t="shared" si="53"/>
        <v>4</v>
      </c>
      <c r="AX70" s="534"/>
    </row>
    <row r="71" spans="2:50">
      <c r="B71" s="533"/>
      <c r="C71" s="404">
        <v>5</v>
      </c>
      <c r="D71" s="226" t="s">
        <v>622</v>
      </c>
      <c r="E71" s="182">
        <v>21</v>
      </c>
      <c r="F71" s="404">
        <v>1385</v>
      </c>
      <c r="G71" s="405">
        <v>65.900000000000006</v>
      </c>
      <c r="H71" s="598"/>
      <c r="I71" s="408">
        <f t="shared" si="55"/>
        <v>20</v>
      </c>
      <c r="J71" s="408">
        <f t="shared" si="55"/>
        <v>1174.0016338420417</v>
      </c>
      <c r="K71" s="406">
        <f t="shared" si="55"/>
        <v>58.700081692102081</v>
      </c>
      <c r="L71" s="588"/>
      <c r="M71" s="407">
        <f>RANK(K71, K$67:$K$81)</f>
        <v>9</v>
      </c>
      <c r="N71" s="544"/>
      <c r="O71" s="544"/>
      <c r="P71" s="182">
        <v>20</v>
      </c>
      <c r="Q71" s="182">
        <v>1170.7692307692303</v>
      </c>
      <c r="R71" s="182">
        <v>58.538461538461512</v>
      </c>
      <c r="S71" s="404">
        <f t="shared" si="56"/>
        <v>9</v>
      </c>
      <c r="T71" s="534"/>
      <c r="U71" s="182">
        <v>20</v>
      </c>
      <c r="V71" s="182">
        <v>1212.6315789473674</v>
      </c>
      <c r="W71" s="182">
        <v>60.631578947368368</v>
      </c>
      <c r="X71" s="404">
        <f t="shared" si="43"/>
        <v>8</v>
      </c>
      <c r="Y71" s="534"/>
      <c r="Z71" s="182">
        <v>20</v>
      </c>
      <c r="AA71" s="182">
        <v>1194.1463414634143</v>
      </c>
      <c r="AB71" s="182">
        <v>59.707317073170714</v>
      </c>
      <c r="AC71" s="404">
        <f t="shared" si="45"/>
        <v>9</v>
      </c>
      <c r="AD71" s="534"/>
      <c r="AE71" s="182">
        <v>20</v>
      </c>
      <c r="AF71" s="182">
        <v>1055.6249999999984</v>
      </c>
      <c r="AG71" s="182">
        <v>52.781249999999922</v>
      </c>
      <c r="AH71" s="404">
        <f t="shared" si="47"/>
        <v>9</v>
      </c>
      <c r="AI71" s="534"/>
      <c r="AJ71" s="182">
        <v>20</v>
      </c>
      <c r="AK71" s="182">
        <v>1201.8749999999982</v>
      </c>
      <c r="AL71" s="182">
        <v>60.093749999999908</v>
      </c>
      <c r="AM71" s="404">
        <f t="shared" si="49"/>
        <v>8</v>
      </c>
      <c r="AN71" s="534"/>
      <c r="AO71" s="182">
        <v>20</v>
      </c>
      <c r="AP71" s="182">
        <v>1181.2499999999984</v>
      </c>
      <c r="AQ71" s="182">
        <v>59.062499999999922</v>
      </c>
      <c r="AR71" s="404">
        <f t="shared" si="51"/>
        <v>9</v>
      </c>
      <c r="AS71" s="534"/>
      <c r="AT71" s="182">
        <v>20</v>
      </c>
      <c r="AU71" s="182">
        <v>1201.7142857142844</v>
      </c>
      <c r="AV71" s="182">
        <v>60.085714285714218</v>
      </c>
      <c r="AW71" s="404">
        <f t="shared" si="53"/>
        <v>9</v>
      </c>
      <c r="AX71" s="534"/>
    </row>
    <row r="72" spans="2:50">
      <c r="B72" s="533"/>
      <c r="C72" s="404">
        <v>6</v>
      </c>
      <c r="D72" s="226" t="s">
        <v>642</v>
      </c>
      <c r="E72" s="182">
        <v>21</v>
      </c>
      <c r="F72" s="404">
        <v>1385</v>
      </c>
      <c r="G72" s="405">
        <v>65.900000000000006</v>
      </c>
      <c r="H72" s="598"/>
      <c r="I72" s="408">
        <f t="shared" si="55"/>
        <v>20</v>
      </c>
      <c r="J72" s="408">
        <f t="shared" si="55"/>
        <v>1029.9618575158834</v>
      </c>
      <c r="K72" s="406">
        <f t="shared" si="55"/>
        <v>51.498092875794178</v>
      </c>
      <c r="L72" s="588"/>
      <c r="M72" s="407">
        <f>RANK(K72, K$67:$K$81)</f>
        <v>10</v>
      </c>
      <c r="N72" s="544"/>
      <c r="O72" s="544"/>
      <c r="P72" s="182">
        <v>20</v>
      </c>
      <c r="Q72" s="182">
        <v>1027.0588235294103</v>
      </c>
      <c r="R72" s="182">
        <v>51.352941176470516</v>
      </c>
      <c r="S72" s="404">
        <f t="shared" si="56"/>
        <v>10</v>
      </c>
      <c r="T72" s="534"/>
      <c r="U72" s="182">
        <v>20</v>
      </c>
      <c r="V72" s="182">
        <v>1032.7272727272714</v>
      </c>
      <c r="W72" s="182">
        <v>51.636363636363569</v>
      </c>
      <c r="X72" s="404">
        <f t="shared" si="43"/>
        <v>10</v>
      </c>
      <c r="Y72" s="534"/>
      <c r="Z72" s="182">
        <v>20</v>
      </c>
      <c r="AA72" s="182">
        <v>1021.8749999999987</v>
      </c>
      <c r="AB72" s="182">
        <v>51.093749999999936</v>
      </c>
      <c r="AC72" s="404">
        <f t="shared" si="45"/>
        <v>10</v>
      </c>
      <c r="AD72" s="534"/>
      <c r="AE72" s="182">
        <v>20</v>
      </c>
      <c r="AF72" s="182">
        <v>1006.9565217391269</v>
      </c>
      <c r="AG72" s="182">
        <v>50.347826086956346</v>
      </c>
      <c r="AH72" s="404">
        <f t="shared" si="47"/>
        <v>10</v>
      </c>
      <c r="AI72" s="534"/>
      <c r="AJ72" s="182">
        <v>20</v>
      </c>
      <c r="AK72" s="182">
        <v>1024.615384615382</v>
      </c>
      <c r="AL72" s="182">
        <v>51.230769230769098</v>
      </c>
      <c r="AM72" s="404">
        <f t="shared" si="49"/>
        <v>10</v>
      </c>
      <c r="AN72" s="534"/>
      <c r="AO72" s="182">
        <v>20</v>
      </c>
      <c r="AP72" s="182">
        <v>1052.4999999999966</v>
      </c>
      <c r="AQ72" s="182">
        <v>52.624999999999829</v>
      </c>
      <c r="AR72" s="404">
        <f t="shared" si="51"/>
        <v>10</v>
      </c>
      <c r="AS72" s="534"/>
      <c r="AT72" s="182">
        <v>20</v>
      </c>
      <c r="AU72" s="182">
        <v>1043.9999999999982</v>
      </c>
      <c r="AV72" s="182">
        <v>52.19999999999991</v>
      </c>
      <c r="AW72" s="404">
        <f t="shared" si="53"/>
        <v>10</v>
      </c>
      <c r="AX72" s="534"/>
    </row>
    <row r="73" spans="2:50">
      <c r="B73" s="533"/>
      <c r="C73" s="404">
        <v>7</v>
      </c>
      <c r="D73" s="226" t="s">
        <v>633</v>
      </c>
      <c r="E73" s="182">
        <v>18</v>
      </c>
      <c r="F73" s="404">
        <v>1500</v>
      </c>
      <c r="G73" s="405">
        <v>83.3</v>
      </c>
      <c r="H73" s="598"/>
      <c r="I73" s="408">
        <f t="shared" si="55"/>
        <v>18</v>
      </c>
      <c r="J73" s="408">
        <f t="shared" si="55"/>
        <v>1280.1584164245085</v>
      </c>
      <c r="K73" s="406">
        <f t="shared" si="55"/>
        <v>71.119912023583794</v>
      </c>
      <c r="L73" s="588"/>
      <c r="M73" s="407">
        <f>RANK(K73, K$67:$K$81)</f>
        <v>6</v>
      </c>
      <c r="N73" s="544"/>
      <c r="O73" s="544"/>
      <c r="P73" s="182">
        <v>18</v>
      </c>
      <c r="Q73" s="182">
        <v>1326.3999999999994</v>
      </c>
      <c r="R73" s="182">
        <v>73.688888888888854</v>
      </c>
      <c r="S73" s="404">
        <f t="shared" si="56"/>
        <v>5</v>
      </c>
      <c r="T73" s="534"/>
      <c r="U73" s="182">
        <v>18</v>
      </c>
      <c r="V73" s="182">
        <v>1266.6521739130433</v>
      </c>
      <c r="W73" s="182">
        <v>70.369565217391298</v>
      </c>
      <c r="X73" s="404">
        <f t="shared" si="43"/>
        <v>5</v>
      </c>
      <c r="Y73" s="534"/>
      <c r="Z73" s="182">
        <v>18</v>
      </c>
      <c r="AA73" s="182">
        <v>1236.2727272727273</v>
      </c>
      <c r="AB73" s="182">
        <v>68.681818181818187</v>
      </c>
      <c r="AC73" s="404">
        <f t="shared" si="45"/>
        <v>6</v>
      </c>
      <c r="AD73" s="534"/>
      <c r="AE73" s="182">
        <v>18</v>
      </c>
      <c r="AF73" s="182">
        <v>1359.8999999999996</v>
      </c>
      <c r="AG73" s="182">
        <v>75.549999999999983</v>
      </c>
      <c r="AH73" s="404">
        <f t="shared" si="47"/>
        <v>4</v>
      </c>
      <c r="AI73" s="534"/>
      <c r="AJ73" s="182">
        <v>18</v>
      </c>
      <c r="AK73" s="182">
        <v>1258.6829268292677</v>
      </c>
      <c r="AL73" s="182">
        <v>69.92682926829265</v>
      </c>
      <c r="AM73" s="404">
        <f t="shared" si="49"/>
        <v>6</v>
      </c>
      <c r="AN73" s="534"/>
      <c r="AO73" s="182">
        <v>18</v>
      </c>
      <c r="AP73" s="182">
        <v>1272.3750000000002</v>
      </c>
      <c r="AQ73" s="182">
        <v>70.687500000000014</v>
      </c>
      <c r="AR73" s="404">
        <f t="shared" si="51"/>
        <v>6</v>
      </c>
      <c r="AS73" s="534"/>
      <c r="AT73" s="182">
        <v>18</v>
      </c>
      <c r="AU73" s="182">
        <v>1240.8260869565217</v>
      </c>
      <c r="AV73" s="182">
        <v>68.934782608695656</v>
      </c>
      <c r="AW73" s="404">
        <f t="shared" si="53"/>
        <v>6</v>
      </c>
      <c r="AX73" s="534"/>
    </row>
    <row r="74" spans="2:50">
      <c r="B74" s="533"/>
      <c r="C74" s="404">
        <v>8</v>
      </c>
      <c r="D74" s="226" t="s">
        <v>637</v>
      </c>
      <c r="E74" s="182">
        <v>19</v>
      </c>
      <c r="F74" s="404">
        <v>1385</v>
      </c>
      <c r="G74" s="405">
        <v>72.900000000000006</v>
      </c>
      <c r="H74" s="598"/>
      <c r="I74" s="408">
        <f t="shared" si="55"/>
        <v>18</v>
      </c>
      <c r="J74" s="408">
        <f t="shared" si="55"/>
        <v>1190.3193854200724</v>
      </c>
      <c r="K74" s="406">
        <f t="shared" si="55"/>
        <v>66.128854745559565</v>
      </c>
      <c r="L74" s="588"/>
      <c r="M74" s="407">
        <f>RANK(K74, K$67:$K$81)</f>
        <v>7</v>
      </c>
      <c r="N74" s="544"/>
      <c r="O74" s="544"/>
      <c r="P74" s="182">
        <v>18</v>
      </c>
      <c r="Q74" s="182">
        <v>1199.9999999999995</v>
      </c>
      <c r="R74" s="182">
        <v>66.666666666666643</v>
      </c>
      <c r="S74" s="404">
        <f t="shared" si="56"/>
        <v>7</v>
      </c>
      <c r="T74" s="534"/>
      <c r="U74" s="182">
        <v>18</v>
      </c>
      <c r="V74" s="182">
        <v>1200</v>
      </c>
      <c r="W74" s="182">
        <v>66.666666666666671</v>
      </c>
      <c r="X74" s="404">
        <f t="shared" si="43"/>
        <v>7</v>
      </c>
      <c r="Y74" s="534"/>
      <c r="Z74" s="182">
        <v>18</v>
      </c>
      <c r="AA74" s="182">
        <v>1179.1304347826085</v>
      </c>
      <c r="AB74" s="182">
        <v>65.50724637681158</v>
      </c>
      <c r="AC74" s="404">
        <f t="shared" si="45"/>
        <v>7</v>
      </c>
      <c r="AD74" s="534"/>
      <c r="AE74" s="182">
        <v>18</v>
      </c>
      <c r="AF74" s="182">
        <v>1192.1052631578964</v>
      </c>
      <c r="AG74" s="182">
        <v>66.228070175438688</v>
      </c>
      <c r="AH74" s="404">
        <f t="shared" si="47"/>
        <v>7</v>
      </c>
      <c r="AI74" s="534"/>
      <c r="AJ74" s="182">
        <v>18</v>
      </c>
      <c r="AK74" s="182">
        <v>1158.0000000000018</v>
      </c>
      <c r="AL74" s="182">
        <v>64.333333333333428</v>
      </c>
      <c r="AM74" s="404">
        <f t="shared" si="49"/>
        <v>7</v>
      </c>
      <c r="AN74" s="534"/>
      <c r="AO74" s="182">
        <v>18</v>
      </c>
      <c r="AP74" s="182">
        <v>1202.9999999999995</v>
      </c>
      <c r="AQ74" s="182">
        <v>66.833333333333314</v>
      </c>
      <c r="AR74" s="404">
        <f t="shared" si="51"/>
        <v>7</v>
      </c>
      <c r="AS74" s="534"/>
      <c r="AT74" s="182">
        <v>18</v>
      </c>
      <c r="AU74" s="182">
        <v>1199.9999999999995</v>
      </c>
      <c r="AV74" s="182">
        <v>66.666666666666643</v>
      </c>
      <c r="AW74" s="404">
        <f t="shared" si="53"/>
        <v>7</v>
      </c>
      <c r="AX74" s="534"/>
    </row>
    <row r="75" spans="2:50">
      <c r="B75" s="533"/>
      <c r="C75" s="404">
        <v>9</v>
      </c>
      <c r="D75" s="226" t="s">
        <v>742</v>
      </c>
      <c r="E75" s="182">
        <v>21</v>
      </c>
      <c r="F75" s="404">
        <v>1385</v>
      </c>
      <c r="G75" s="405">
        <v>65.900000000000006</v>
      </c>
      <c r="H75" s="598"/>
      <c r="I75" s="408">
        <f t="shared" si="55"/>
        <v>20</v>
      </c>
      <c r="J75" s="408">
        <f t="shared" si="55"/>
        <v>1203.7298312875821</v>
      </c>
      <c r="K75" s="406">
        <f t="shared" si="55"/>
        <v>60.186491564379097</v>
      </c>
      <c r="L75" s="588"/>
      <c r="M75" s="407">
        <f>RANK(K75, K$67:$K$81)</f>
        <v>8</v>
      </c>
      <c r="N75" s="544"/>
      <c r="O75" s="544"/>
      <c r="P75" s="182">
        <v>20</v>
      </c>
      <c r="Q75" s="182">
        <v>1203.8297872340427</v>
      </c>
      <c r="R75" s="182">
        <v>60.191489361702132</v>
      </c>
      <c r="S75" s="404">
        <f t="shared" si="56"/>
        <v>8</v>
      </c>
      <c r="T75" s="534"/>
      <c r="U75" s="182">
        <v>20</v>
      </c>
      <c r="V75" s="182">
        <v>1200.0000000000011</v>
      </c>
      <c r="W75" s="182">
        <v>60.000000000000057</v>
      </c>
      <c r="X75" s="404">
        <f t="shared" si="43"/>
        <v>9</v>
      </c>
      <c r="Y75" s="534"/>
      <c r="Z75" s="182">
        <v>20</v>
      </c>
      <c r="AA75" s="182">
        <v>1209.2307692307697</v>
      </c>
      <c r="AB75" s="182">
        <v>60.461538461538488</v>
      </c>
      <c r="AC75" s="404">
        <f t="shared" si="45"/>
        <v>8</v>
      </c>
      <c r="AD75" s="534"/>
      <c r="AE75" s="182">
        <v>20</v>
      </c>
      <c r="AF75" s="182">
        <v>1214.2857142857138</v>
      </c>
      <c r="AG75" s="182">
        <v>60.714285714285687</v>
      </c>
      <c r="AH75" s="404">
        <f t="shared" si="47"/>
        <v>8</v>
      </c>
      <c r="AI75" s="534"/>
      <c r="AJ75" s="182">
        <v>20</v>
      </c>
      <c r="AK75" s="182">
        <v>1185.4054054054045</v>
      </c>
      <c r="AL75" s="182">
        <v>59.270270270270224</v>
      </c>
      <c r="AM75" s="404">
        <f t="shared" si="49"/>
        <v>9</v>
      </c>
      <c r="AN75" s="534"/>
      <c r="AO75" s="182">
        <v>20</v>
      </c>
      <c r="AP75" s="182">
        <v>1210.4999999999995</v>
      </c>
      <c r="AQ75" s="182">
        <v>60.524999999999977</v>
      </c>
      <c r="AR75" s="404">
        <f t="shared" si="51"/>
        <v>8</v>
      </c>
      <c r="AS75" s="534"/>
      <c r="AT75" s="182">
        <v>20</v>
      </c>
      <c r="AU75" s="182">
        <v>1202.8571428571424</v>
      </c>
      <c r="AV75" s="182">
        <v>60.142857142857125</v>
      </c>
      <c r="AW75" s="404">
        <f t="shared" si="53"/>
        <v>8</v>
      </c>
      <c r="AX75" s="534"/>
    </row>
    <row r="76" spans="2:50">
      <c r="B76" s="533"/>
      <c r="C76" s="404">
        <v>10</v>
      </c>
      <c r="D76" s="226" t="s">
        <v>743</v>
      </c>
      <c r="E76" s="182">
        <v>17</v>
      </c>
      <c r="F76" s="404">
        <v>1636</v>
      </c>
      <c r="G76" s="405">
        <v>96.3</v>
      </c>
      <c r="H76" s="598"/>
      <c r="I76" s="408">
        <f t="shared" si="55"/>
        <v>17.714285714285715</v>
      </c>
      <c r="J76" s="408">
        <f t="shared" si="55"/>
        <v>1319.256158683583</v>
      </c>
      <c r="K76" s="406">
        <f t="shared" si="55"/>
        <v>74.537187841705517</v>
      </c>
      <c r="L76" s="588"/>
      <c r="M76" s="407">
        <f>RANK(K76, K$67:$K$81)</f>
        <v>5</v>
      </c>
      <c r="N76" s="544"/>
      <c r="O76" s="544"/>
      <c r="P76" s="182">
        <v>17</v>
      </c>
      <c r="Q76" s="182">
        <v>1332.500487804878</v>
      </c>
      <c r="R76" s="182">
        <v>78.382381635581055</v>
      </c>
      <c r="S76" s="404">
        <f t="shared" si="56"/>
        <v>4</v>
      </c>
      <c r="T76" s="534"/>
      <c r="U76" s="182">
        <v>18</v>
      </c>
      <c r="V76" s="182">
        <v>1247.1931034482736</v>
      </c>
      <c r="W76" s="182">
        <v>69.288505747126308</v>
      </c>
      <c r="X76" s="404">
        <f t="shared" si="43"/>
        <v>6</v>
      </c>
      <c r="Y76" s="534"/>
      <c r="Z76" s="182">
        <v>18</v>
      </c>
      <c r="AA76" s="182">
        <v>1349.9487179487176</v>
      </c>
      <c r="AB76" s="182">
        <v>74.997150997150982</v>
      </c>
      <c r="AC76" s="404">
        <f t="shared" si="45"/>
        <v>5</v>
      </c>
      <c r="AD76" s="534"/>
      <c r="AE76" s="182">
        <v>18</v>
      </c>
      <c r="AF76" s="182">
        <v>1311.0638297872342</v>
      </c>
      <c r="AG76" s="182">
        <v>72.83687943262413</v>
      </c>
      <c r="AH76" s="404">
        <f t="shared" si="47"/>
        <v>5</v>
      </c>
      <c r="AI76" s="534"/>
      <c r="AJ76" s="182">
        <v>18</v>
      </c>
      <c r="AK76" s="182">
        <v>1336.0909090909092</v>
      </c>
      <c r="AL76" s="182">
        <v>74.227272727272734</v>
      </c>
      <c r="AM76" s="404">
        <f t="shared" si="49"/>
        <v>5</v>
      </c>
      <c r="AN76" s="534"/>
      <c r="AO76" s="182">
        <v>17</v>
      </c>
      <c r="AP76" s="182">
        <v>1334.6729857819903</v>
      </c>
      <c r="AQ76" s="182">
        <v>78.510175634234727</v>
      </c>
      <c r="AR76" s="404">
        <f t="shared" si="51"/>
        <v>5</v>
      </c>
      <c r="AS76" s="534"/>
      <c r="AT76" s="182">
        <v>18</v>
      </c>
      <c r="AU76" s="182">
        <v>1323.3230769230768</v>
      </c>
      <c r="AV76" s="182">
        <v>73.517948717948713</v>
      </c>
      <c r="AW76" s="404">
        <f t="shared" si="53"/>
        <v>5</v>
      </c>
      <c r="AX76" s="534"/>
    </row>
    <row r="77" spans="2:50">
      <c r="B77" s="533"/>
      <c r="C77" s="404">
        <v>11</v>
      </c>
      <c r="D77" s="226"/>
      <c r="E77" s="182"/>
      <c r="F77" s="404"/>
      <c r="G77" s="405"/>
      <c r="H77" s="598"/>
      <c r="I77" s="202"/>
      <c r="J77" s="202"/>
      <c r="K77" s="202"/>
      <c r="L77" s="588"/>
      <c r="M77" s="407" t="e">
        <f>RANK(K77, K$67:$K$81)</f>
        <v>#N/A</v>
      </c>
      <c r="N77" s="544"/>
      <c r="O77" s="544"/>
      <c r="P77" s="182"/>
      <c r="Q77" s="182"/>
      <c r="R77" s="182"/>
      <c r="S77" s="404" t="e">
        <f t="shared" si="56"/>
        <v>#N/A</v>
      </c>
      <c r="T77" s="534"/>
      <c r="U77" s="182"/>
      <c r="V77" s="182"/>
      <c r="W77" s="182"/>
      <c r="X77" s="404" t="e">
        <f t="shared" si="43"/>
        <v>#N/A</v>
      </c>
      <c r="Y77" s="534"/>
      <c r="Z77" s="182"/>
      <c r="AA77" s="182"/>
      <c r="AB77" s="182"/>
      <c r="AC77" s="404" t="e">
        <f t="shared" si="45"/>
        <v>#N/A</v>
      </c>
      <c r="AD77" s="534"/>
      <c r="AE77" s="182"/>
      <c r="AF77" s="182"/>
      <c r="AG77" s="182"/>
      <c r="AH77" s="404" t="e">
        <f t="shared" si="47"/>
        <v>#N/A</v>
      </c>
      <c r="AI77" s="534"/>
      <c r="AJ77" s="182"/>
      <c r="AK77" s="182"/>
      <c r="AL77" s="182"/>
      <c r="AM77" s="404" t="e">
        <f t="shared" si="49"/>
        <v>#N/A</v>
      </c>
      <c r="AN77" s="534"/>
      <c r="AO77" s="182"/>
      <c r="AP77" s="182"/>
      <c r="AQ77" s="182"/>
      <c r="AR77" s="404" t="e">
        <f t="shared" si="51"/>
        <v>#N/A</v>
      </c>
      <c r="AS77" s="534"/>
      <c r="AT77" s="182"/>
      <c r="AU77" s="182"/>
      <c r="AV77" s="182"/>
      <c r="AW77" s="404" t="e">
        <f t="shared" si="53"/>
        <v>#N/A</v>
      </c>
      <c r="AX77" s="534"/>
    </row>
    <row r="78" spans="2:50">
      <c r="B78" s="533"/>
      <c r="C78" s="404">
        <v>12</v>
      </c>
      <c r="D78" s="226"/>
      <c r="E78" s="182"/>
      <c r="F78" s="404"/>
      <c r="G78" s="405"/>
      <c r="H78" s="598"/>
      <c r="I78" s="202"/>
      <c r="J78" s="202"/>
      <c r="K78" s="202"/>
      <c r="L78" s="588"/>
      <c r="M78" s="407" t="e">
        <f>RANK(K78, K$67:$K$81)</f>
        <v>#N/A</v>
      </c>
      <c r="N78" s="544"/>
      <c r="O78" s="544"/>
      <c r="P78" s="182"/>
      <c r="Q78" s="182"/>
      <c r="R78" s="182"/>
      <c r="S78" s="404" t="e">
        <f t="shared" si="56"/>
        <v>#N/A</v>
      </c>
      <c r="T78" s="534"/>
      <c r="U78" s="182"/>
      <c r="V78" s="182"/>
      <c r="W78" s="182"/>
      <c r="X78" s="404" t="e">
        <f t="shared" si="43"/>
        <v>#N/A</v>
      </c>
      <c r="Y78" s="534"/>
      <c r="Z78" s="182"/>
      <c r="AA78" s="182"/>
      <c r="AB78" s="182"/>
      <c r="AC78" s="404" t="e">
        <f t="shared" si="45"/>
        <v>#N/A</v>
      </c>
      <c r="AD78" s="534"/>
      <c r="AE78" s="182"/>
      <c r="AF78" s="182"/>
      <c r="AG78" s="182"/>
      <c r="AH78" s="404" t="e">
        <f t="shared" si="47"/>
        <v>#N/A</v>
      </c>
      <c r="AI78" s="534"/>
      <c r="AJ78" s="182"/>
      <c r="AK78" s="182"/>
      <c r="AL78" s="182"/>
      <c r="AM78" s="404" t="e">
        <f t="shared" si="49"/>
        <v>#N/A</v>
      </c>
      <c r="AN78" s="534"/>
      <c r="AO78" s="182"/>
      <c r="AP78" s="182"/>
      <c r="AQ78" s="182"/>
      <c r="AR78" s="404" t="e">
        <f t="shared" si="51"/>
        <v>#N/A</v>
      </c>
      <c r="AS78" s="534"/>
      <c r="AT78" s="182"/>
      <c r="AU78" s="182"/>
      <c r="AV78" s="182"/>
      <c r="AW78" s="404" t="e">
        <f t="shared" si="53"/>
        <v>#N/A</v>
      </c>
      <c r="AX78" s="534"/>
    </row>
    <row r="79" spans="2:50">
      <c r="B79" s="533"/>
      <c r="C79" s="404">
        <v>13</v>
      </c>
      <c r="D79" s="226"/>
      <c r="E79" s="182"/>
      <c r="F79" s="404"/>
      <c r="G79" s="405"/>
      <c r="H79" s="598"/>
      <c r="I79" s="202"/>
      <c r="J79" s="202"/>
      <c r="K79" s="202"/>
      <c r="L79" s="588"/>
      <c r="M79" s="407" t="e">
        <f>RANK(K79, K$67:$K$81)</f>
        <v>#N/A</v>
      </c>
      <c r="N79" s="544"/>
      <c r="O79" s="544"/>
      <c r="P79" s="182"/>
      <c r="Q79" s="182"/>
      <c r="R79" s="182"/>
      <c r="S79" s="404" t="e">
        <f t="shared" si="56"/>
        <v>#N/A</v>
      </c>
      <c r="T79" s="534"/>
      <c r="U79" s="182"/>
      <c r="V79" s="182"/>
      <c r="W79" s="182"/>
      <c r="X79" s="404" t="e">
        <f t="shared" si="43"/>
        <v>#N/A</v>
      </c>
      <c r="Y79" s="534"/>
      <c r="Z79" s="182"/>
      <c r="AA79" s="182"/>
      <c r="AB79" s="182"/>
      <c r="AC79" s="404" t="e">
        <f t="shared" si="45"/>
        <v>#N/A</v>
      </c>
      <c r="AD79" s="534"/>
      <c r="AE79" s="182"/>
      <c r="AF79" s="182"/>
      <c r="AG79" s="182"/>
      <c r="AH79" s="404" t="e">
        <f t="shared" si="47"/>
        <v>#N/A</v>
      </c>
      <c r="AI79" s="534"/>
      <c r="AJ79" s="182"/>
      <c r="AK79" s="182"/>
      <c r="AL79" s="182"/>
      <c r="AM79" s="404" t="e">
        <f t="shared" si="49"/>
        <v>#N/A</v>
      </c>
      <c r="AN79" s="534"/>
      <c r="AO79" s="182"/>
      <c r="AP79" s="182"/>
      <c r="AQ79" s="182"/>
      <c r="AR79" s="404" t="e">
        <f t="shared" si="51"/>
        <v>#N/A</v>
      </c>
      <c r="AS79" s="534"/>
      <c r="AT79" s="182"/>
      <c r="AU79" s="182"/>
      <c r="AV79" s="182"/>
      <c r="AW79" s="404" t="e">
        <f t="shared" si="53"/>
        <v>#N/A</v>
      </c>
      <c r="AX79" s="534"/>
    </row>
    <row r="80" spans="2:50">
      <c r="B80" s="533"/>
      <c r="C80" s="404">
        <v>14</v>
      </c>
      <c r="D80" s="226"/>
      <c r="E80" s="182"/>
      <c r="F80" s="404"/>
      <c r="G80" s="405"/>
      <c r="H80" s="598"/>
      <c r="I80" s="202"/>
      <c r="J80" s="202"/>
      <c r="K80" s="202"/>
      <c r="L80" s="588"/>
      <c r="M80" s="407" t="e">
        <f>RANK(K80, K$67:$K$81)</f>
        <v>#N/A</v>
      </c>
      <c r="N80" s="544"/>
      <c r="O80" s="544"/>
      <c r="P80" s="182"/>
      <c r="Q80" s="182"/>
      <c r="R80" s="182"/>
      <c r="S80" s="404" t="e">
        <f t="shared" si="56"/>
        <v>#N/A</v>
      </c>
      <c r="T80" s="534"/>
      <c r="U80" s="182"/>
      <c r="V80" s="182"/>
      <c r="W80" s="182"/>
      <c r="X80" s="404" t="e">
        <f t="shared" si="43"/>
        <v>#N/A</v>
      </c>
      <c r="Y80" s="534"/>
      <c r="Z80" s="182"/>
      <c r="AA80" s="182"/>
      <c r="AB80" s="182"/>
      <c r="AC80" s="404" t="e">
        <f t="shared" si="45"/>
        <v>#N/A</v>
      </c>
      <c r="AD80" s="534"/>
      <c r="AE80" s="182"/>
      <c r="AF80" s="182"/>
      <c r="AG80" s="182"/>
      <c r="AH80" s="404" t="e">
        <f t="shared" si="47"/>
        <v>#N/A</v>
      </c>
      <c r="AI80" s="534"/>
      <c r="AJ80" s="182"/>
      <c r="AK80" s="182"/>
      <c r="AL80" s="182"/>
      <c r="AM80" s="404" t="e">
        <f t="shared" si="49"/>
        <v>#N/A</v>
      </c>
      <c r="AN80" s="534"/>
      <c r="AO80" s="182"/>
      <c r="AP80" s="182"/>
      <c r="AQ80" s="182"/>
      <c r="AR80" s="404" t="e">
        <f t="shared" si="51"/>
        <v>#N/A</v>
      </c>
      <c r="AS80" s="534"/>
      <c r="AT80" s="182"/>
      <c r="AU80" s="182"/>
      <c r="AV80" s="182"/>
      <c r="AW80" s="404" t="e">
        <f t="shared" si="53"/>
        <v>#N/A</v>
      </c>
      <c r="AX80" s="534"/>
    </row>
    <row r="81" spans="2:50">
      <c r="B81" s="533"/>
      <c r="C81" s="404">
        <v>15</v>
      </c>
      <c r="D81" s="226"/>
      <c r="E81" s="182"/>
      <c r="F81" s="404"/>
      <c r="G81" s="405"/>
      <c r="H81" s="599"/>
      <c r="I81" s="202"/>
      <c r="J81" s="202"/>
      <c r="K81" s="202"/>
      <c r="L81" s="589"/>
      <c r="M81" s="407" t="e">
        <f>RANK(K81, K$67:$K$81)</f>
        <v>#N/A</v>
      </c>
      <c r="N81" s="544"/>
      <c r="O81" s="544"/>
      <c r="P81" s="182"/>
      <c r="Q81" s="182"/>
      <c r="R81" s="182"/>
      <c r="S81" s="404" t="e">
        <f t="shared" si="56"/>
        <v>#N/A</v>
      </c>
      <c r="T81" s="534"/>
      <c r="U81" s="182"/>
      <c r="V81" s="182"/>
      <c r="W81" s="182"/>
      <c r="X81" s="404" t="e">
        <f t="shared" si="43"/>
        <v>#N/A</v>
      </c>
      <c r="Y81" s="534"/>
      <c r="Z81" s="182"/>
      <c r="AA81" s="182"/>
      <c r="AB81" s="182"/>
      <c r="AC81" s="404" t="e">
        <f t="shared" si="45"/>
        <v>#N/A</v>
      </c>
      <c r="AD81" s="534"/>
      <c r="AE81" s="182"/>
      <c r="AF81" s="182"/>
      <c r="AG81" s="182"/>
      <c r="AH81" s="404" t="e">
        <f t="shared" si="47"/>
        <v>#N/A</v>
      </c>
      <c r="AI81" s="534"/>
      <c r="AJ81" s="182"/>
      <c r="AK81" s="182"/>
      <c r="AL81" s="182"/>
      <c r="AM81" s="404" t="e">
        <f t="shared" si="49"/>
        <v>#N/A</v>
      </c>
      <c r="AN81" s="534"/>
      <c r="AO81" s="182"/>
      <c r="AP81" s="182"/>
      <c r="AQ81" s="182"/>
      <c r="AR81" s="404" t="e">
        <f t="shared" si="51"/>
        <v>#N/A</v>
      </c>
      <c r="AS81" s="534"/>
      <c r="AT81" s="182"/>
      <c r="AU81" s="182"/>
      <c r="AV81" s="182"/>
      <c r="AW81" s="404" t="e">
        <f t="shared" si="53"/>
        <v>#N/A</v>
      </c>
      <c r="AX81" s="534"/>
    </row>
    <row r="82" spans="2:50" ht="15.5">
      <c r="B82" s="555" t="s">
        <v>704</v>
      </c>
      <c r="C82" s="556"/>
      <c r="D82" s="556"/>
      <c r="E82" s="556"/>
      <c r="F82" s="556"/>
      <c r="G82" s="556"/>
      <c r="H82" s="557"/>
      <c r="I82" s="208"/>
      <c r="J82" s="208"/>
      <c r="K82" s="208"/>
      <c r="L82" s="208"/>
      <c r="M82" s="207"/>
      <c r="N82" s="559" t="s">
        <v>705</v>
      </c>
      <c r="O82" s="559" t="s">
        <v>706</v>
      </c>
      <c r="P82" s="554">
        <f>P62+7</f>
        <v>46014</v>
      </c>
      <c r="Q82" s="533"/>
      <c r="R82" s="533"/>
      <c r="S82" s="533"/>
      <c r="T82" s="533"/>
      <c r="U82" s="551">
        <f>P82+1</f>
        <v>46015</v>
      </c>
      <c r="V82" s="552"/>
      <c r="W82" s="552"/>
      <c r="X82" s="552"/>
      <c r="Y82" s="553"/>
      <c r="Z82" s="551">
        <f>U82+1</f>
        <v>46016</v>
      </c>
      <c r="AA82" s="552"/>
      <c r="AB82" s="552"/>
      <c r="AC82" s="552"/>
      <c r="AD82" s="553"/>
      <c r="AE82" s="551">
        <f>Z82+1</f>
        <v>46017</v>
      </c>
      <c r="AF82" s="552"/>
      <c r="AG82" s="552"/>
      <c r="AH82" s="552"/>
      <c r="AI82" s="553"/>
      <c r="AJ82" s="551">
        <f>AE82+1</f>
        <v>46018</v>
      </c>
      <c r="AK82" s="552"/>
      <c r="AL82" s="552"/>
      <c r="AM82" s="552"/>
      <c r="AN82" s="553"/>
      <c r="AO82" s="551">
        <f>AJ82+1</f>
        <v>46019</v>
      </c>
      <c r="AP82" s="552"/>
      <c r="AQ82" s="552"/>
      <c r="AR82" s="552"/>
      <c r="AS82" s="553"/>
      <c r="AT82" s="551">
        <f>AO82+1</f>
        <v>46020</v>
      </c>
      <c r="AU82" s="552"/>
      <c r="AV82" s="552"/>
      <c r="AW82" s="552"/>
      <c r="AX82" s="553"/>
    </row>
    <row r="83" spans="2:50" ht="15.5">
      <c r="B83" s="558"/>
      <c r="C83" s="558"/>
      <c r="D83" s="558"/>
      <c r="E83" s="558"/>
      <c r="F83" s="558"/>
      <c r="G83" s="558"/>
      <c r="H83" s="558"/>
      <c r="I83" s="205"/>
      <c r="J83" s="205"/>
      <c r="K83" s="205"/>
      <c r="L83" s="205"/>
      <c r="M83" s="206"/>
      <c r="N83" s="560"/>
      <c r="O83" s="560"/>
      <c r="P83" s="554" t="s">
        <v>707</v>
      </c>
      <c r="Q83" s="533"/>
      <c r="R83" s="533"/>
      <c r="S83" s="533"/>
      <c r="T83" s="533"/>
      <c r="U83" s="554" t="s">
        <v>708</v>
      </c>
      <c r="V83" s="533"/>
      <c r="W83" s="533"/>
      <c r="X83" s="533"/>
      <c r="Y83" s="533"/>
      <c r="Z83" s="554" t="s">
        <v>709</v>
      </c>
      <c r="AA83" s="533"/>
      <c r="AB83" s="533"/>
      <c r="AC83" s="533"/>
      <c r="AD83" s="533"/>
      <c r="AE83" s="554" t="s">
        <v>710</v>
      </c>
      <c r="AF83" s="533"/>
      <c r="AG83" s="533"/>
      <c r="AH83" s="533"/>
      <c r="AI83" s="533"/>
      <c r="AJ83" s="554" t="s">
        <v>711</v>
      </c>
      <c r="AK83" s="533"/>
      <c r="AL83" s="533"/>
      <c r="AM83" s="533"/>
      <c r="AN83" s="533"/>
      <c r="AO83" s="554" t="s">
        <v>712</v>
      </c>
      <c r="AP83" s="533"/>
      <c r="AQ83" s="533"/>
      <c r="AR83" s="533"/>
      <c r="AS83" s="533"/>
      <c r="AT83" s="554" t="s">
        <v>713</v>
      </c>
      <c r="AU83" s="533"/>
      <c r="AV83" s="533"/>
      <c r="AW83" s="533"/>
      <c r="AX83" s="533"/>
    </row>
    <row r="84" spans="2:50">
      <c r="B84" s="544" t="s">
        <v>649</v>
      </c>
      <c r="C84" s="544" t="s">
        <v>650</v>
      </c>
      <c r="D84" s="544"/>
      <c r="E84" s="544" t="s">
        <v>651</v>
      </c>
      <c r="F84" s="544"/>
      <c r="G84" s="544"/>
      <c r="H84" s="561" t="s">
        <v>652</v>
      </c>
      <c r="I84" s="583" t="s">
        <v>653</v>
      </c>
      <c r="J84" s="583"/>
      <c r="K84" s="583"/>
      <c r="L84" s="584" t="s">
        <v>652</v>
      </c>
      <c r="M84" s="567" t="s">
        <v>654</v>
      </c>
      <c r="N84" s="544"/>
      <c r="O84" s="544" t="s">
        <v>655</v>
      </c>
      <c r="P84" s="548" t="s">
        <v>656</v>
      </c>
      <c r="Q84" s="549"/>
      <c r="R84" s="549"/>
      <c r="S84" s="550"/>
      <c r="T84" s="544" t="s">
        <v>652</v>
      </c>
      <c r="U84" s="548" t="s">
        <v>656</v>
      </c>
      <c r="V84" s="549"/>
      <c r="W84" s="549"/>
      <c r="X84" s="550"/>
      <c r="Y84" s="544" t="s">
        <v>652</v>
      </c>
      <c r="Z84" s="548" t="s">
        <v>656</v>
      </c>
      <c r="AA84" s="549"/>
      <c r="AB84" s="549"/>
      <c r="AC84" s="550"/>
      <c r="AD84" s="544" t="s">
        <v>652</v>
      </c>
      <c r="AE84" s="548" t="s">
        <v>656</v>
      </c>
      <c r="AF84" s="549"/>
      <c r="AG84" s="549"/>
      <c r="AH84" s="550"/>
      <c r="AI84" s="544" t="s">
        <v>652</v>
      </c>
      <c r="AJ84" s="548" t="s">
        <v>656</v>
      </c>
      <c r="AK84" s="549"/>
      <c r="AL84" s="549"/>
      <c r="AM84" s="550"/>
      <c r="AN84" s="544" t="s">
        <v>652</v>
      </c>
      <c r="AO84" s="548" t="s">
        <v>656</v>
      </c>
      <c r="AP84" s="549"/>
      <c r="AQ84" s="549"/>
      <c r="AR84" s="550"/>
      <c r="AS84" s="544" t="s">
        <v>652</v>
      </c>
      <c r="AT84" s="548" t="s">
        <v>656</v>
      </c>
      <c r="AU84" s="549"/>
      <c r="AV84" s="549"/>
      <c r="AW84" s="550"/>
      <c r="AX84" s="544" t="s">
        <v>652</v>
      </c>
    </row>
    <row r="85" spans="2:50">
      <c r="B85" s="544"/>
      <c r="C85" s="544"/>
      <c r="D85" s="544"/>
      <c r="E85" s="544" t="s">
        <v>657</v>
      </c>
      <c r="F85" s="544"/>
      <c r="G85" s="544"/>
      <c r="H85" s="562"/>
      <c r="I85" s="583" t="s">
        <v>657</v>
      </c>
      <c r="J85" s="583"/>
      <c r="K85" s="583"/>
      <c r="L85" s="585"/>
      <c r="M85" s="568"/>
      <c r="N85" s="544"/>
      <c r="O85" s="544"/>
      <c r="P85" s="548" t="s">
        <v>658</v>
      </c>
      <c r="Q85" s="549"/>
      <c r="R85" s="549"/>
      <c r="S85" s="550"/>
      <c r="T85" s="544"/>
      <c r="U85" s="548" t="s">
        <v>658</v>
      </c>
      <c r="V85" s="549"/>
      <c r="W85" s="549"/>
      <c r="X85" s="550"/>
      <c r="Y85" s="544"/>
      <c r="Z85" s="548" t="s">
        <v>658</v>
      </c>
      <c r="AA85" s="549"/>
      <c r="AB85" s="549"/>
      <c r="AC85" s="550"/>
      <c r="AD85" s="544"/>
      <c r="AE85" s="548" t="s">
        <v>658</v>
      </c>
      <c r="AF85" s="549"/>
      <c r="AG85" s="549"/>
      <c r="AH85" s="550"/>
      <c r="AI85" s="544"/>
      <c r="AJ85" s="548" t="s">
        <v>658</v>
      </c>
      <c r="AK85" s="549"/>
      <c r="AL85" s="549"/>
      <c r="AM85" s="550"/>
      <c r="AN85" s="544"/>
      <c r="AO85" s="548" t="s">
        <v>658</v>
      </c>
      <c r="AP85" s="549"/>
      <c r="AQ85" s="549"/>
      <c r="AR85" s="550"/>
      <c r="AS85" s="544"/>
      <c r="AT85" s="548" t="s">
        <v>658</v>
      </c>
      <c r="AU85" s="549"/>
      <c r="AV85" s="549"/>
      <c r="AW85" s="550"/>
      <c r="AX85" s="544"/>
    </row>
    <row r="86" spans="2:50">
      <c r="B86" s="544"/>
      <c r="C86" s="544"/>
      <c r="D86" s="544"/>
      <c r="E86" s="403" t="s">
        <v>659</v>
      </c>
      <c r="F86" s="403" t="s">
        <v>660</v>
      </c>
      <c r="G86" s="403" t="s">
        <v>661</v>
      </c>
      <c r="H86" s="563"/>
      <c r="I86" s="402" t="s">
        <v>659</v>
      </c>
      <c r="J86" s="402" t="s">
        <v>660</v>
      </c>
      <c r="K86" s="402" t="s">
        <v>661</v>
      </c>
      <c r="L86" s="586"/>
      <c r="M86" s="569"/>
      <c r="N86" s="544"/>
      <c r="O86" s="544"/>
      <c r="P86" s="403" t="s">
        <v>659</v>
      </c>
      <c r="Q86" s="403" t="s">
        <v>660</v>
      </c>
      <c r="R86" s="403" t="s">
        <v>661</v>
      </c>
      <c r="S86" s="403" t="s">
        <v>654</v>
      </c>
      <c r="T86" s="544"/>
      <c r="U86" s="403" t="s">
        <v>659</v>
      </c>
      <c r="V86" s="403" t="s">
        <v>660</v>
      </c>
      <c r="W86" s="403" t="s">
        <v>661</v>
      </c>
      <c r="X86" s="403" t="s">
        <v>654</v>
      </c>
      <c r="Y86" s="544"/>
      <c r="Z86" s="403" t="s">
        <v>659</v>
      </c>
      <c r="AA86" s="403" t="s">
        <v>660</v>
      </c>
      <c r="AB86" s="403" t="s">
        <v>661</v>
      </c>
      <c r="AC86" s="403" t="s">
        <v>654</v>
      </c>
      <c r="AD86" s="544"/>
      <c r="AE86" s="403" t="s">
        <v>659</v>
      </c>
      <c r="AF86" s="403" t="s">
        <v>660</v>
      </c>
      <c r="AG86" s="403" t="s">
        <v>661</v>
      </c>
      <c r="AH86" s="403" t="s">
        <v>654</v>
      </c>
      <c r="AI86" s="544"/>
      <c r="AJ86" s="403" t="s">
        <v>659</v>
      </c>
      <c r="AK86" s="403" t="s">
        <v>660</v>
      </c>
      <c r="AL86" s="403" t="s">
        <v>661</v>
      </c>
      <c r="AM86" s="403" t="s">
        <v>654</v>
      </c>
      <c r="AN86" s="544"/>
      <c r="AO86" s="403" t="s">
        <v>659</v>
      </c>
      <c r="AP86" s="403" t="s">
        <v>660</v>
      </c>
      <c r="AQ86" s="403" t="s">
        <v>661</v>
      </c>
      <c r="AR86" s="403" t="s">
        <v>654</v>
      </c>
      <c r="AS86" s="544"/>
      <c r="AT86" s="403" t="s">
        <v>659</v>
      </c>
      <c r="AU86" s="403" t="s">
        <v>660</v>
      </c>
      <c r="AV86" s="403" t="s">
        <v>661</v>
      </c>
      <c r="AW86" s="403" t="s">
        <v>654</v>
      </c>
      <c r="AX86" s="544"/>
    </row>
    <row r="87" spans="2:50">
      <c r="B87" s="544" t="s">
        <v>741</v>
      </c>
      <c r="C87" s="404">
        <v>1</v>
      </c>
      <c r="D87" s="226" t="s">
        <v>347</v>
      </c>
      <c r="E87" s="182">
        <v>18</v>
      </c>
      <c r="F87" s="404">
        <v>1636</v>
      </c>
      <c r="G87" s="405">
        <v>90.9</v>
      </c>
      <c r="H87" s="597">
        <f>AVERAGE(G87:G101)</f>
        <v>81.277777777777771</v>
      </c>
      <c r="I87" s="408">
        <f>AVERAGE(P87,U87,Z87,AE87,AJ87,AO87,AT87)</f>
        <v>17</v>
      </c>
      <c r="J87" s="408">
        <f>AVERAGE(Q87,V87,AA87,AF87,AK87,AP87,AU87)</f>
        <v>1454.5818397288983</v>
      </c>
      <c r="K87" s="406">
        <f>AVERAGE(R87,W87,AB87,AG87,AL87,AQ87,AV87)</f>
        <v>85.563637631111675</v>
      </c>
      <c r="L87" s="587">
        <f>IFERROR(AVERAGE(K87:K101),"-")</f>
        <v>69.481918822043326</v>
      </c>
      <c r="M87" s="407">
        <f>RANK(K87, K$87:$K$101)</f>
        <v>2</v>
      </c>
      <c r="N87" s="544"/>
      <c r="O87" s="544"/>
      <c r="P87" s="182">
        <v>17</v>
      </c>
      <c r="Q87" s="182">
        <v>1454.8051948051939</v>
      </c>
      <c r="R87" s="182">
        <v>85.57677616501141</v>
      </c>
      <c r="S87" s="404">
        <f>RANK(R87, R$87:R$101)</f>
        <v>2</v>
      </c>
      <c r="T87" s="534">
        <f>AVERAGE(R87:R101)</f>
        <v>70.306407209177067</v>
      </c>
      <c r="U87" s="182">
        <v>17</v>
      </c>
      <c r="V87" s="182">
        <v>1454.7692307692305</v>
      </c>
      <c r="W87" s="182">
        <v>85.574660633484143</v>
      </c>
      <c r="X87" s="404">
        <f t="shared" ref="X87:X101" si="57">RANK(W87, W$87:W$101)</f>
        <v>2</v>
      </c>
      <c r="Y87" s="534">
        <f t="shared" ref="Y87" si="58">AVERAGE(W87:W101)</f>
        <v>67.656693813649028</v>
      </c>
      <c r="Z87" s="182">
        <v>17</v>
      </c>
      <c r="AA87" s="182">
        <v>1462.9411764705899</v>
      </c>
      <c r="AB87" s="182">
        <v>86.055363321799405</v>
      </c>
      <c r="AC87" s="404">
        <f t="shared" ref="AC87:AC101" si="59">RANK(AB87, AB$87:AB$101)</f>
        <v>2</v>
      </c>
      <c r="AD87" s="534">
        <f t="shared" ref="AD87" si="60">AVERAGE(AB87:AB101)</f>
        <v>69.69046810609359</v>
      </c>
      <c r="AE87" s="182">
        <v>17</v>
      </c>
      <c r="AF87" s="182">
        <v>1452.9230769230767</v>
      </c>
      <c r="AG87" s="182">
        <v>85.46606334841627</v>
      </c>
      <c r="AH87" s="404">
        <f t="shared" ref="AH87:AH101" si="61">RANK(AG87, AG$87:AG$101)</f>
        <v>2</v>
      </c>
      <c r="AI87" s="534">
        <f t="shared" ref="AI87" si="62">AVERAGE(AG87:AG101)</f>
        <v>67.690100496185707</v>
      </c>
      <c r="AJ87" s="182">
        <v>17</v>
      </c>
      <c r="AK87" s="182">
        <v>1457.5000000000002</v>
      </c>
      <c r="AL87" s="182">
        <v>85.735294117647072</v>
      </c>
      <c r="AM87" s="404">
        <f t="shared" ref="AM87:AM101" si="63">RANK(AL87, AL$87:AL$101)</f>
        <v>2</v>
      </c>
      <c r="AN87" s="534">
        <f t="shared" ref="AN87" si="64">AVERAGE(AL87:AL101)</f>
        <v>69.182599770184979</v>
      </c>
      <c r="AO87" s="182">
        <v>17</v>
      </c>
      <c r="AP87" s="182">
        <v>1446.6666666666663</v>
      </c>
      <c r="AQ87" s="182">
        <v>85.098039215686256</v>
      </c>
      <c r="AR87" s="404">
        <f t="shared" ref="AR87:AR101" si="65">RANK(AQ87, AQ$87:AQ$101)</f>
        <v>2</v>
      </c>
      <c r="AS87" s="534">
        <f t="shared" ref="AS87" si="66">AVERAGE(AQ87:AQ101)</f>
        <v>70.269577562072755</v>
      </c>
      <c r="AT87" s="182">
        <v>17</v>
      </c>
      <c r="AU87" s="182">
        <v>1452.4675324675318</v>
      </c>
      <c r="AV87" s="182">
        <v>85.439266615737168</v>
      </c>
      <c r="AW87" s="404">
        <f t="shared" ref="AW87:AW101" si="67">RANK(AV87, AV$87:AV$101)</f>
        <v>2</v>
      </c>
      <c r="AX87" s="534">
        <f t="shared" ref="AX87" si="68">AVERAGE(AV87:AV101)</f>
        <v>71.577584796940243</v>
      </c>
    </row>
    <row r="88" spans="2:50">
      <c r="B88" s="533"/>
      <c r="C88" s="404">
        <v>2</v>
      </c>
      <c r="D88" s="226" t="s">
        <v>573</v>
      </c>
      <c r="E88" s="182">
        <v>14</v>
      </c>
      <c r="F88" s="404">
        <v>1500</v>
      </c>
      <c r="G88" s="405">
        <v>107.1</v>
      </c>
      <c r="H88" s="598"/>
      <c r="I88" s="408">
        <f t="shared" ref="I88:K95" si="69">AVERAGE(P88,U88,Z88,AE88,AJ88,AO88,AT88)</f>
        <v>13.142857142857142</v>
      </c>
      <c r="J88" s="408">
        <f t="shared" si="69"/>
        <v>1262.0440284221802</v>
      </c>
      <c r="K88" s="406">
        <f t="shared" si="69"/>
        <v>96.02892882724818</v>
      </c>
      <c r="L88" s="588"/>
      <c r="M88" s="407">
        <f>RANK(K88, K$87:$K$101)</f>
        <v>1</v>
      </c>
      <c r="N88" s="544"/>
      <c r="O88" s="544"/>
      <c r="P88" s="182">
        <v>14</v>
      </c>
      <c r="Q88" s="182">
        <v>1339.45945945946</v>
      </c>
      <c r="R88" s="182">
        <v>95.67567567567572</v>
      </c>
      <c r="S88" s="404">
        <f t="shared" ref="S88:S101" si="70">RANK(R88, R$87:R$101)</f>
        <v>1</v>
      </c>
      <c r="T88" s="534"/>
      <c r="U88" s="182">
        <v>13</v>
      </c>
      <c r="V88" s="182">
        <v>1140.0000000000009</v>
      </c>
      <c r="W88" s="182">
        <v>87.692307692307764</v>
      </c>
      <c r="X88" s="404">
        <f t="shared" si="57"/>
        <v>1</v>
      </c>
      <c r="Y88" s="534"/>
      <c r="Z88" s="182">
        <v>13</v>
      </c>
      <c r="AA88" s="182">
        <v>1122.5000000000005</v>
      </c>
      <c r="AB88" s="182">
        <v>86.346153846153882</v>
      </c>
      <c r="AC88" s="404">
        <f t="shared" si="59"/>
        <v>1</v>
      </c>
      <c r="AD88" s="534"/>
      <c r="AE88" s="182">
        <v>13</v>
      </c>
      <c r="AF88" s="182">
        <v>1292.1428571428582</v>
      </c>
      <c r="AG88" s="182">
        <v>99.395604395604479</v>
      </c>
      <c r="AH88" s="404">
        <f t="shared" si="61"/>
        <v>1</v>
      </c>
      <c r="AI88" s="534"/>
      <c r="AJ88" s="182">
        <v>13</v>
      </c>
      <c r="AK88" s="182">
        <v>1284.7058823529428</v>
      </c>
      <c r="AL88" s="182">
        <v>98.823529411764838</v>
      </c>
      <c r="AM88" s="404">
        <f t="shared" si="63"/>
        <v>1</v>
      </c>
      <c r="AN88" s="534"/>
      <c r="AO88" s="182">
        <v>13</v>
      </c>
      <c r="AP88" s="182">
        <v>1339.9999999999989</v>
      </c>
      <c r="AQ88" s="182">
        <v>103.07692307692299</v>
      </c>
      <c r="AR88" s="404">
        <f t="shared" si="65"/>
        <v>1</v>
      </c>
      <c r="AS88" s="534"/>
      <c r="AT88" s="182">
        <v>13</v>
      </c>
      <c r="AU88" s="182">
        <v>1315.4999999999995</v>
      </c>
      <c r="AV88" s="182">
        <v>101.19230769230765</v>
      </c>
      <c r="AW88" s="404">
        <f t="shared" si="67"/>
        <v>1</v>
      </c>
      <c r="AX88" s="534"/>
    </row>
    <row r="89" spans="2:50">
      <c r="B89" s="533"/>
      <c r="C89" s="404">
        <v>3</v>
      </c>
      <c r="D89" s="226" t="s">
        <v>743</v>
      </c>
      <c r="E89" s="182">
        <v>17</v>
      </c>
      <c r="F89" s="404">
        <v>1636</v>
      </c>
      <c r="G89" s="405">
        <v>96.3</v>
      </c>
      <c r="H89" s="598"/>
      <c r="I89" s="408">
        <f t="shared" si="69"/>
        <v>18</v>
      </c>
      <c r="J89" s="408">
        <f t="shared" si="69"/>
        <v>1304.0310574021557</v>
      </c>
      <c r="K89" s="406">
        <f t="shared" si="69"/>
        <v>72.446169855675308</v>
      </c>
      <c r="L89" s="588"/>
      <c r="M89" s="407">
        <f>RANK(K89, K$87:$K$101)</f>
        <v>5</v>
      </c>
      <c r="N89" s="544"/>
      <c r="O89" s="544"/>
      <c r="P89" s="182">
        <v>18</v>
      </c>
      <c r="Q89" s="182">
        <v>1312.4553191489363</v>
      </c>
      <c r="R89" s="182">
        <v>72.914184397163126</v>
      </c>
      <c r="S89" s="404">
        <f t="shared" si="70"/>
        <v>4</v>
      </c>
      <c r="T89" s="534"/>
      <c r="U89" s="182">
        <v>18</v>
      </c>
      <c r="V89" s="182">
        <v>1322.0437499999985</v>
      </c>
      <c r="W89" s="182">
        <v>73.44687499999992</v>
      </c>
      <c r="X89" s="404">
        <f t="shared" si="57"/>
        <v>5</v>
      </c>
      <c r="Y89" s="534"/>
      <c r="Z89" s="182">
        <v>18</v>
      </c>
      <c r="AA89" s="182">
        <v>1319.76923076923</v>
      </c>
      <c r="AB89" s="182">
        <v>73.320512820512775</v>
      </c>
      <c r="AC89" s="404">
        <f t="shared" si="59"/>
        <v>4</v>
      </c>
      <c r="AD89" s="534"/>
      <c r="AE89" s="182">
        <v>18</v>
      </c>
      <c r="AF89" s="182">
        <v>1288.5081081081071</v>
      </c>
      <c r="AG89" s="182">
        <v>71.58378378378373</v>
      </c>
      <c r="AH89" s="404">
        <f t="shared" si="61"/>
        <v>4</v>
      </c>
      <c r="AI89" s="534"/>
      <c r="AJ89" s="182">
        <v>18</v>
      </c>
      <c r="AK89" s="182">
        <v>1280.599999999999</v>
      </c>
      <c r="AL89" s="182">
        <v>71.144444444444389</v>
      </c>
      <c r="AM89" s="404">
        <f t="shared" si="63"/>
        <v>4</v>
      </c>
      <c r="AN89" s="534"/>
      <c r="AO89" s="182">
        <v>18</v>
      </c>
      <c r="AP89" s="182">
        <v>1325.8695652173915</v>
      </c>
      <c r="AQ89" s="182">
        <v>73.659420289855078</v>
      </c>
      <c r="AR89" s="404">
        <f t="shared" si="65"/>
        <v>4</v>
      </c>
      <c r="AS89" s="534"/>
      <c r="AT89" s="182">
        <v>18</v>
      </c>
      <c r="AU89" s="182">
        <v>1278.9714285714281</v>
      </c>
      <c r="AV89" s="182">
        <v>71.053968253968222</v>
      </c>
      <c r="AW89" s="404">
        <f t="shared" si="67"/>
        <v>5</v>
      </c>
      <c r="AX89" s="534"/>
    </row>
    <row r="90" spans="2:50">
      <c r="B90" s="533"/>
      <c r="C90" s="404">
        <v>4</v>
      </c>
      <c r="D90" s="226" t="s">
        <v>617</v>
      </c>
      <c r="E90" s="182">
        <v>18</v>
      </c>
      <c r="F90" s="404">
        <v>1500</v>
      </c>
      <c r="G90" s="405">
        <v>83.3</v>
      </c>
      <c r="H90" s="598"/>
      <c r="I90" s="408">
        <f t="shared" si="69"/>
        <v>17</v>
      </c>
      <c r="J90" s="408">
        <f t="shared" si="69"/>
        <v>1236.4949652274706</v>
      </c>
      <c r="K90" s="406">
        <f t="shared" si="69"/>
        <v>72.667465800975577</v>
      </c>
      <c r="L90" s="588"/>
      <c r="M90" s="407">
        <f>RANK(K90, K$87:$K$101)</f>
        <v>4</v>
      </c>
      <c r="N90" s="544"/>
      <c r="O90" s="544"/>
      <c r="P90" s="182">
        <v>18</v>
      </c>
      <c r="Q90" s="182">
        <v>1293.5294117647043</v>
      </c>
      <c r="R90" s="182">
        <v>71.862745098039127</v>
      </c>
      <c r="S90" s="404">
        <f t="shared" si="70"/>
        <v>5</v>
      </c>
      <c r="T90" s="534"/>
      <c r="U90" s="182">
        <v>18</v>
      </c>
      <c r="V90" s="182">
        <v>1340.6896551724149</v>
      </c>
      <c r="W90" s="182">
        <v>74.482758620689708</v>
      </c>
      <c r="X90" s="404">
        <f t="shared" si="57"/>
        <v>3</v>
      </c>
      <c r="Y90" s="534"/>
      <c r="Z90" s="182">
        <v>18</v>
      </c>
      <c r="AA90" s="182">
        <v>1302.0000000000011</v>
      </c>
      <c r="AB90" s="182">
        <v>72.3333333333334</v>
      </c>
      <c r="AC90" s="404">
        <f t="shared" si="59"/>
        <v>5</v>
      </c>
      <c r="AD90" s="534"/>
      <c r="AE90" s="182">
        <v>16</v>
      </c>
      <c r="AF90" s="182">
        <v>1129.6551724137939</v>
      </c>
      <c r="AG90" s="182">
        <v>70.603448275862121</v>
      </c>
      <c r="AH90" s="404">
        <f t="shared" si="61"/>
        <v>5</v>
      </c>
      <c r="AI90" s="534"/>
      <c r="AJ90" s="182">
        <v>16</v>
      </c>
      <c r="AK90" s="182">
        <v>1119.3750000000014</v>
      </c>
      <c r="AL90" s="182">
        <v>69.960937500000085</v>
      </c>
      <c r="AM90" s="404">
        <f t="shared" si="63"/>
        <v>5</v>
      </c>
      <c r="AN90" s="534"/>
      <c r="AO90" s="182">
        <v>16</v>
      </c>
      <c r="AP90" s="182">
        <v>1121.2499999999984</v>
      </c>
      <c r="AQ90" s="182">
        <v>70.078124999999901</v>
      </c>
      <c r="AR90" s="404">
        <f t="shared" si="65"/>
        <v>5</v>
      </c>
      <c r="AS90" s="534"/>
      <c r="AT90" s="182">
        <v>17</v>
      </c>
      <c r="AU90" s="182">
        <v>1348.9655172413804</v>
      </c>
      <c r="AV90" s="182">
        <v>79.350912778904728</v>
      </c>
      <c r="AW90" s="404">
        <f t="shared" si="67"/>
        <v>3</v>
      </c>
      <c r="AX90" s="534"/>
    </row>
    <row r="91" spans="2:50">
      <c r="B91" s="533"/>
      <c r="C91" s="404">
        <v>5</v>
      </c>
      <c r="D91" s="226" t="s">
        <v>622</v>
      </c>
      <c r="E91" s="182">
        <v>21</v>
      </c>
      <c r="F91" s="404">
        <v>1385</v>
      </c>
      <c r="G91" s="405">
        <v>65.900000000000006</v>
      </c>
      <c r="H91" s="598"/>
      <c r="I91" s="408">
        <f t="shared" si="69"/>
        <v>20</v>
      </c>
      <c r="J91" s="408">
        <f t="shared" si="69"/>
        <v>1071.2604109211238</v>
      </c>
      <c r="K91" s="406">
        <f t="shared" si="69"/>
        <v>53.563020546056187</v>
      </c>
      <c r="L91" s="588"/>
      <c r="M91" s="407">
        <f>RANK(K91, K$87:$K$101)</f>
        <v>8</v>
      </c>
      <c r="N91" s="544"/>
      <c r="O91" s="544"/>
      <c r="P91" s="182">
        <v>20</v>
      </c>
      <c r="Q91" s="182">
        <v>1122.1621621621612</v>
      </c>
      <c r="R91" s="182">
        <v>56.108108108108055</v>
      </c>
      <c r="S91" s="404">
        <f t="shared" si="70"/>
        <v>7</v>
      </c>
      <c r="T91" s="534"/>
      <c r="U91" s="182">
        <v>20</v>
      </c>
      <c r="V91" s="182">
        <v>1045.7142857142835</v>
      </c>
      <c r="W91" s="182">
        <v>52.285714285714178</v>
      </c>
      <c r="X91" s="404">
        <f t="shared" si="57"/>
        <v>8</v>
      </c>
      <c r="Y91" s="534"/>
      <c r="Z91" s="182">
        <v>20</v>
      </c>
      <c r="AA91" s="182">
        <v>1138.2857142857133</v>
      </c>
      <c r="AB91" s="182">
        <v>56.914285714285668</v>
      </c>
      <c r="AC91" s="404">
        <f t="shared" si="59"/>
        <v>8</v>
      </c>
      <c r="AD91" s="534"/>
      <c r="AE91" s="182">
        <v>20</v>
      </c>
      <c r="AF91" s="182">
        <v>959.99999999999829</v>
      </c>
      <c r="AG91" s="182">
        <v>47.999999999999915</v>
      </c>
      <c r="AH91" s="404">
        <f t="shared" si="61"/>
        <v>9</v>
      </c>
      <c r="AI91" s="534"/>
      <c r="AJ91" s="182">
        <v>20</v>
      </c>
      <c r="AK91" s="182">
        <v>1134.3749999999984</v>
      </c>
      <c r="AL91" s="182">
        <v>56.718749999999922</v>
      </c>
      <c r="AM91" s="404">
        <f t="shared" si="63"/>
        <v>7</v>
      </c>
      <c r="AN91" s="534"/>
      <c r="AO91" s="182">
        <v>20</v>
      </c>
      <c r="AP91" s="182">
        <v>963.42857142857031</v>
      </c>
      <c r="AQ91" s="182">
        <v>48.171428571428514</v>
      </c>
      <c r="AR91" s="404">
        <f t="shared" si="65"/>
        <v>9</v>
      </c>
      <c r="AS91" s="534"/>
      <c r="AT91" s="182">
        <v>20</v>
      </c>
      <c r="AU91" s="182">
        <v>1134.8571428571418</v>
      </c>
      <c r="AV91" s="182">
        <v>56.74285714285709</v>
      </c>
      <c r="AW91" s="404">
        <f t="shared" si="67"/>
        <v>7</v>
      </c>
      <c r="AX91" s="534"/>
    </row>
    <row r="92" spans="2:50">
      <c r="B92" s="533"/>
      <c r="C92" s="404">
        <v>6</v>
      </c>
      <c r="D92" s="226" t="s">
        <v>642</v>
      </c>
      <c r="E92" s="182">
        <v>21</v>
      </c>
      <c r="F92" s="404">
        <v>1385</v>
      </c>
      <c r="G92" s="405">
        <v>65.900000000000006</v>
      </c>
      <c r="H92" s="598"/>
      <c r="I92" s="408">
        <f t="shared" si="69"/>
        <v>20</v>
      </c>
      <c r="J92" s="408">
        <f t="shared" si="69"/>
        <v>1043.0889811942452</v>
      </c>
      <c r="K92" s="406">
        <f t="shared" si="69"/>
        <v>52.15444905971227</v>
      </c>
      <c r="L92" s="588"/>
      <c r="M92" s="407">
        <f>RANK(K92, K$87:$K$101)</f>
        <v>9</v>
      </c>
      <c r="N92" s="544"/>
      <c r="O92" s="544"/>
      <c r="P92" s="182">
        <v>20</v>
      </c>
      <c r="Q92" s="182">
        <v>1031.999999999997</v>
      </c>
      <c r="R92" s="182">
        <v>51.599999999999852</v>
      </c>
      <c r="S92" s="404">
        <f t="shared" si="70"/>
        <v>9</v>
      </c>
      <c r="T92" s="534"/>
      <c r="U92" s="182">
        <v>20</v>
      </c>
      <c r="V92" s="182">
        <v>1029.4736842105299</v>
      </c>
      <c r="W92" s="182">
        <v>51.473684210526493</v>
      </c>
      <c r="X92" s="404">
        <f t="shared" si="57"/>
        <v>9</v>
      </c>
      <c r="Y92" s="534"/>
      <c r="Z92" s="182">
        <v>20</v>
      </c>
      <c r="AA92" s="182">
        <v>1055.999999999997</v>
      </c>
      <c r="AB92" s="182">
        <v>52.799999999999855</v>
      </c>
      <c r="AC92" s="404">
        <f t="shared" si="59"/>
        <v>9</v>
      </c>
      <c r="AD92" s="534"/>
      <c r="AE92" s="182">
        <v>20</v>
      </c>
      <c r="AF92" s="182">
        <v>1040.0000000000039</v>
      </c>
      <c r="AG92" s="182">
        <v>52.000000000000192</v>
      </c>
      <c r="AH92" s="404">
        <f t="shared" si="61"/>
        <v>7</v>
      </c>
      <c r="AI92" s="534"/>
      <c r="AJ92" s="182">
        <v>20</v>
      </c>
      <c r="AK92" s="182">
        <v>1033.6363636363672</v>
      </c>
      <c r="AL92" s="182">
        <v>51.681818181818358</v>
      </c>
      <c r="AM92" s="404">
        <f t="shared" si="63"/>
        <v>8</v>
      </c>
      <c r="AN92" s="534"/>
      <c r="AO92" s="182">
        <v>20</v>
      </c>
      <c r="AP92" s="182">
        <v>1076.6666666666704</v>
      </c>
      <c r="AQ92" s="182">
        <v>53.83333333333352</v>
      </c>
      <c r="AR92" s="404">
        <f t="shared" si="65"/>
        <v>8</v>
      </c>
      <c r="AS92" s="534"/>
      <c r="AT92" s="182">
        <v>20</v>
      </c>
      <c r="AU92" s="182">
        <v>1033.8461538461513</v>
      </c>
      <c r="AV92" s="182">
        <v>51.692307692307566</v>
      </c>
      <c r="AW92" s="404">
        <f t="shared" si="67"/>
        <v>9</v>
      </c>
      <c r="AX92" s="534"/>
    </row>
    <row r="93" spans="2:50">
      <c r="B93" s="533"/>
      <c r="C93" s="404">
        <v>7</v>
      </c>
      <c r="D93" s="226" t="s">
        <v>633</v>
      </c>
      <c r="E93" s="182">
        <v>18</v>
      </c>
      <c r="F93" s="404">
        <v>1500</v>
      </c>
      <c r="G93" s="405">
        <v>83.3</v>
      </c>
      <c r="H93" s="598"/>
      <c r="I93" s="408">
        <f t="shared" si="69"/>
        <v>18</v>
      </c>
      <c r="J93" s="408">
        <f t="shared" si="69"/>
        <v>1335.674991640891</v>
      </c>
      <c r="K93" s="406">
        <f t="shared" si="69"/>
        <v>74.204166202271708</v>
      </c>
      <c r="L93" s="588"/>
      <c r="M93" s="407">
        <f>RANK(K93, K$87:$K$101)</f>
        <v>3</v>
      </c>
      <c r="N93" s="544"/>
      <c r="O93" s="544"/>
      <c r="P93" s="182">
        <v>18</v>
      </c>
      <c r="Q93" s="182">
        <v>1342.1052631578948</v>
      </c>
      <c r="R93" s="182">
        <v>74.561403508771932</v>
      </c>
      <c r="S93" s="404">
        <f t="shared" si="70"/>
        <v>3</v>
      </c>
      <c r="T93" s="534"/>
      <c r="U93" s="182">
        <v>18</v>
      </c>
      <c r="V93" s="182">
        <v>1336.5957446808507</v>
      </c>
      <c r="W93" s="182">
        <v>74.255319148936152</v>
      </c>
      <c r="X93" s="404">
        <f t="shared" si="57"/>
        <v>4</v>
      </c>
      <c r="Y93" s="534"/>
      <c r="Z93" s="182">
        <v>18</v>
      </c>
      <c r="AA93" s="182">
        <v>1336.9354838709678</v>
      </c>
      <c r="AB93" s="182">
        <v>74.274193548387103</v>
      </c>
      <c r="AC93" s="404">
        <f t="shared" si="59"/>
        <v>3</v>
      </c>
      <c r="AD93" s="534"/>
      <c r="AE93" s="182">
        <v>18</v>
      </c>
      <c r="AF93" s="182">
        <v>1338.4615384615381</v>
      </c>
      <c r="AG93" s="182">
        <v>74.358974358974336</v>
      </c>
      <c r="AH93" s="404">
        <f t="shared" si="61"/>
        <v>3</v>
      </c>
      <c r="AI93" s="534"/>
      <c r="AJ93" s="182">
        <v>18</v>
      </c>
      <c r="AK93" s="182">
        <v>1312.2935779816519</v>
      </c>
      <c r="AL93" s="182">
        <v>72.905198776758439</v>
      </c>
      <c r="AM93" s="404">
        <f t="shared" si="63"/>
        <v>3</v>
      </c>
      <c r="AN93" s="534"/>
      <c r="AO93" s="182">
        <v>18</v>
      </c>
      <c r="AP93" s="182">
        <v>1345.7142857142856</v>
      </c>
      <c r="AQ93" s="182">
        <v>74.761904761904759</v>
      </c>
      <c r="AR93" s="404">
        <f t="shared" si="65"/>
        <v>3</v>
      </c>
      <c r="AS93" s="534"/>
      <c r="AT93" s="182">
        <v>18</v>
      </c>
      <c r="AU93" s="182">
        <v>1337.6190476190473</v>
      </c>
      <c r="AV93" s="182">
        <v>74.312169312169289</v>
      </c>
      <c r="AW93" s="404">
        <f t="shared" si="67"/>
        <v>4</v>
      </c>
      <c r="AX93" s="534"/>
    </row>
    <row r="94" spans="2:50">
      <c r="B94" s="533"/>
      <c r="C94" s="404">
        <v>8</v>
      </c>
      <c r="D94" s="226" t="s">
        <v>637</v>
      </c>
      <c r="E94" s="182">
        <v>19</v>
      </c>
      <c r="F94" s="404">
        <v>1385</v>
      </c>
      <c r="G94" s="405">
        <v>72.900000000000006</v>
      </c>
      <c r="H94" s="598"/>
      <c r="I94" s="408">
        <f t="shared" si="69"/>
        <v>18</v>
      </c>
      <c r="J94" s="408">
        <f t="shared" si="69"/>
        <v>1168.7162967903623</v>
      </c>
      <c r="K94" s="406">
        <f t="shared" si="69"/>
        <v>64.928683155020124</v>
      </c>
      <c r="L94" s="588"/>
      <c r="M94" s="407">
        <f>RANK(K94, K$87:$K$101)</f>
        <v>6</v>
      </c>
      <c r="N94" s="544"/>
      <c r="O94" s="544"/>
      <c r="P94" s="182">
        <v>18</v>
      </c>
      <c r="Q94" s="182">
        <v>1233.1578947368412</v>
      </c>
      <c r="R94" s="182">
        <v>68.508771929824505</v>
      </c>
      <c r="S94" s="404">
        <f t="shared" si="70"/>
        <v>6</v>
      </c>
      <c r="T94" s="534"/>
      <c r="U94" s="182">
        <v>18</v>
      </c>
      <c r="V94" s="182">
        <v>1020.0000000000013</v>
      </c>
      <c r="W94" s="182">
        <v>56.666666666666735</v>
      </c>
      <c r="X94" s="404">
        <f t="shared" si="57"/>
        <v>6</v>
      </c>
      <c r="Y94" s="534"/>
      <c r="Z94" s="182">
        <v>18</v>
      </c>
      <c r="AA94" s="182">
        <v>1221.6666666666658</v>
      </c>
      <c r="AB94" s="182">
        <v>67.870370370370324</v>
      </c>
      <c r="AC94" s="404">
        <f t="shared" si="59"/>
        <v>6</v>
      </c>
      <c r="AD94" s="534"/>
      <c r="AE94" s="182">
        <v>18</v>
      </c>
      <c r="AF94" s="182">
        <v>1065.0000000000014</v>
      </c>
      <c r="AG94" s="182">
        <v>59.166666666666742</v>
      </c>
      <c r="AH94" s="404">
        <f t="shared" si="61"/>
        <v>6</v>
      </c>
      <c r="AI94" s="534"/>
      <c r="AJ94" s="182">
        <v>18</v>
      </c>
      <c r="AK94" s="182">
        <v>1198.0645161290304</v>
      </c>
      <c r="AL94" s="182">
        <v>66.559139784946126</v>
      </c>
      <c r="AM94" s="404">
        <f t="shared" si="63"/>
        <v>6</v>
      </c>
      <c r="AN94" s="534"/>
      <c r="AO94" s="182">
        <v>18</v>
      </c>
      <c r="AP94" s="182">
        <v>1216.8749999999982</v>
      </c>
      <c r="AQ94" s="182">
        <v>67.604166666666572</v>
      </c>
      <c r="AR94" s="404">
        <f t="shared" si="65"/>
        <v>6</v>
      </c>
      <c r="AS94" s="534"/>
      <c r="AT94" s="182">
        <v>18</v>
      </c>
      <c r="AU94" s="182">
        <v>1226.2499999999982</v>
      </c>
      <c r="AV94" s="182">
        <v>68.124999999999901</v>
      </c>
      <c r="AW94" s="404">
        <f t="shared" si="67"/>
        <v>6</v>
      </c>
      <c r="AX94" s="534"/>
    </row>
    <row r="95" spans="2:50">
      <c r="B95" s="533"/>
      <c r="C95" s="404">
        <v>9</v>
      </c>
      <c r="D95" s="226" t="s">
        <v>742</v>
      </c>
      <c r="E95" s="182">
        <v>21</v>
      </c>
      <c r="F95" s="404">
        <v>1385</v>
      </c>
      <c r="G95" s="405">
        <v>65.900000000000006</v>
      </c>
      <c r="H95" s="598"/>
      <c r="I95" s="408">
        <f t="shared" si="69"/>
        <v>20</v>
      </c>
      <c r="J95" s="408">
        <f t="shared" si="69"/>
        <v>1075.6149664063794</v>
      </c>
      <c r="K95" s="406">
        <f t="shared" si="69"/>
        <v>53.780748320318978</v>
      </c>
      <c r="L95" s="588"/>
      <c r="M95" s="407">
        <f>RANK(K95, K$87:$K$101)</f>
        <v>7</v>
      </c>
      <c r="N95" s="544"/>
      <c r="O95" s="544"/>
      <c r="P95" s="182">
        <v>20</v>
      </c>
      <c r="Q95" s="182">
        <v>1118.9999999999998</v>
      </c>
      <c r="R95" s="182">
        <v>55.949999999999989</v>
      </c>
      <c r="S95" s="404">
        <f t="shared" si="70"/>
        <v>8</v>
      </c>
      <c r="T95" s="534"/>
      <c r="U95" s="182">
        <v>20</v>
      </c>
      <c r="V95" s="182">
        <v>1060.6451612903209</v>
      </c>
      <c r="W95" s="182">
        <v>53.032258064516043</v>
      </c>
      <c r="X95" s="404">
        <f t="shared" si="57"/>
        <v>7</v>
      </c>
      <c r="Y95" s="534"/>
      <c r="Z95" s="182">
        <v>20</v>
      </c>
      <c r="AA95" s="182">
        <v>1145.9999999999995</v>
      </c>
      <c r="AB95" s="182">
        <v>57.299999999999976</v>
      </c>
      <c r="AC95" s="404">
        <f t="shared" si="59"/>
        <v>7</v>
      </c>
      <c r="AD95" s="534"/>
      <c r="AE95" s="182">
        <v>20</v>
      </c>
      <c r="AF95" s="182">
        <v>972.72727272727138</v>
      </c>
      <c r="AG95" s="182">
        <v>48.636363636363569</v>
      </c>
      <c r="AH95" s="404">
        <f t="shared" si="61"/>
        <v>8</v>
      </c>
      <c r="AI95" s="534"/>
      <c r="AJ95" s="182">
        <v>20</v>
      </c>
      <c r="AK95" s="182">
        <v>982.28571428571331</v>
      </c>
      <c r="AL95" s="182">
        <v>49.114285714285664</v>
      </c>
      <c r="AM95" s="404">
        <f t="shared" si="63"/>
        <v>9</v>
      </c>
      <c r="AN95" s="534"/>
      <c r="AO95" s="182">
        <v>20</v>
      </c>
      <c r="AP95" s="182">
        <v>1122.8571428571418</v>
      </c>
      <c r="AQ95" s="182">
        <v>56.142857142857089</v>
      </c>
      <c r="AR95" s="404">
        <f t="shared" si="65"/>
        <v>7</v>
      </c>
      <c r="AS95" s="534"/>
      <c r="AT95" s="182">
        <v>20</v>
      </c>
      <c r="AU95" s="182">
        <v>1125.7894736842097</v>
      </c>
      <c r="AV95" s="182">
        <v>56.289473684210485</v>
      </c>
      <c r="AW95" s="404">
        <f t="shared" si="67"/>
        <v>8</v>
      </c>
      <c r="AX95" s="534"/>
    </row>
    <row r="96" spans="2:50">
      <c r="B96" s="533"/>
      <c r="C96" s="404">
        <v>10</v>
      </c>
      <c r="D96" s="226"/>
      <c r="E96" s="182"/>
      <c r="F96" s="404"/>
      <c r="G96" s="405"/>
      <c r="H96" s="598"/>
      <c r="I96" s="408"/>
      <c r="J96" s="408"/>
      <c r="K96" s="406"/>
      <c r="L96" s="588"/>
      <c r="M96" s="407" t="e">
        <f>RANK(K96, K$87:$K$101)</f>
        <v>#N/A</v>
      </c>
      <c r="N96" s="544"/>
      <c r="O96" s="544"/>
      <c r="P96" s="182"/>
      <c r="Q96" s="182"/>
      <c r="R96" s="182"/>
      <c r="S96" s="404" t="e">
        <f t="shared" si="70"/>
        <v>#N/A</v>
      </c>
      <c r="T96" s="534"/>
      <c r="U96" s="182"/>
      <c r="V96" s="182"/>
      <c r="W96" s="182"/>
      <c r="X96" s="404" t="e">
        <f t="shared" si="57"/>
        <v>#N/A</v>
      </c>
      <c r="Y96" s="534"/>
      <c r="Z96" s="182"/>
      <c r="AA96" s="182"/>
      <c r="AB96" s="182"/>
      <c r="AC96" s="404" t="e">
        <f t="shared" si="59"/>
        <v>#N/A</v>
      </c>
      <c r="AD96" s="534"/>
      <c r="AE96" s="182"/>
      <c r="AF96" s="182"/>
      <c r="AG96" s="182"/>
      <c r="AH96" s="404" t="e">
        <f t="shared" si="61"/>
        <v>#N/A</v>
      </c>
      <c r="AI96" s="534"/>
      <c r="AJ96" s="182"/>
      <c r="AK96" s="182"/>
      <c r="AL96" s="182"/>
      <c r="AM96" s="404" t="e">
        <f t="shared" si="63"/>
        <v>#N/A</v>
      </c>
      <c r="AN96" s="534"/>
      <c r="AO96" s="182"/>
      <c r="AP96" s="182"/>
      <c r="AQ96" s="182"/>
      <c r="AR96" s="404" t="e">
        <f t="shared" si="65"/>
        <v>#N/A</v>
      </c>
      <c r="AS96" s="534"/>
      <c r="AT96" s="182"/>
      <c r="AU96" s="182"/>
      <c r="AV96" s="182"/>
      <c r="AW96" s="404" t="e">
        <f t="shared" si="67"/>
        <v>#N/A</v>
      </c>
      <c r="AX96" s="534"/>
    </row>
    <row r="97" spans="2:50">
      <c r="B97" s="533"/>
      <c r="C97" s="404">
        <v>11</v>
      </c>
      <c r="D97" s="226"/>
      <c r="E97" s="182"/>
      <c r="F97" s="404"/>
      <c r="G97" s="405"/>
      <c r="H97" s="598"/>
      <c r="I97" s="408"/>
      <c r="J97" s="408"/>
      <c r="K97" s="406"/>
      <c r="L97" s="588"/>
      <c r="M97" s="407" t="e">
        <f>RANK(K97, K$87:$K$101)</f>
        <v>#N/A</v>
      </c>
      <c r="N97" s="544"/>
      <c r="O97" s="544"/>
      <c r="P97" s="182"/>
      <c r="Q97" s="182"/>
      <c r="R97" s="182"/>
      <c r="S97" s="404" t="e">
        <f t="shared" si="70"/>
        <v>#N/A</v>
      </c>
      <c r="T97" s="534"/>
      <c r="U97" s="182"/>
      <c r="V97" s="182"/>
      <c r="W97" s="182"/>
      <c r="X97" s="404" t="e">
        <f t="shared" si="57"/>
        <v>#N/A</v>
      </c>
      <c r="Y97" s="534"/>
      <c r="Z97" s="182"/>
      <c r="AA97" s="182"/>
      <c r="AB97" s="182"/>
      <c r="AC97" s="404" t="e">
        <f t="shared" si="59"/>
        <v>#N/A</v>
      </c>
      <c r="AD97" s="534"/>
      <c r="AE97" s="182"/>
      <c r="AF97" s="182"/>
      <c r="AG97" s="182"/>
      <c r="AH97" s="404" t="e">
        <f t="shared" si="61"/>
        <v>#N/A</v>
      </c>
      <c r="AI97" s="534"/>
      <c r="AJ97" s="182"/>
      <c r="AK97" s="182"/>
      <c r="AL97" s="182"/>
      <c r="AM97" s="404" t="e">
        <f t="shared" si="63"/>
        <v>#N/A</v>
      </c>
      <c r="AN97" s="534"/>
      <c r="AO97" s="182"/>
      <c r="AP97" s="182"/>
      <c r="AQ97" s="182"/>
      <c r="AR97" s="404" t="e">
        <f t="shared" si="65"/>
        <v>#N/A</v>
      </c>
      <c r="AS97" s="534"/>
      <c r="AT97" s="182"/>
      <c r="AU97" s="182"/>
      <c r="AV97" s="182"/>
      <c r="AW97" s="404" t="e">
        <f t="shared" si="67"/>
        <v>#N/A</v>
      </c>
      <c r="AX97" s="534"/>
    </row>
    <row r="98" spans="2:50">
      <c r="B98" s="533"/>
      <c r="C98" s="404">
        <v>12</v>
      </c>
      <c r="D98" s="226"/>
      <c r="E98" s="182"/>
      <c r="F98" s="404"/>
      <c r="G98" s="405"/>
      <c r="H98" s="598"/>
      <c r="I98" s="202"/>
      <c r="J98" s="202"/>
      <c r="K98" s="202"/>
      <c r="L98" s="588"/>
      <c r="M98" s="407" t="e">
        <f>RANK(K98, K$87:$K$101)</f>
        <v>#N/A</v>
      </c>
      <c r="N98" s="544"/>
      <c r="O98" s="544"/>
      <c r="P98" s="182"/>
      <c r="Q98" s="182"/>
      <c r="R98" s="182"/>
      <c r="S98" s="404" t="e">
        <f t="shared" si="70"/>
        <v>#N/A</v>
      </c>
      <c r="T98" s="534"/>
      <c r="U98" s="182"/>
      <c r="V98" s="182"/>
      <c r="W98" s="182"/>
      <c r="X98" s="404" t="e">
        <f t="shared" si="57"/>
        <v>#N/A</v>
      </c>
      <c r="Y98" s="534"/>
      <c r="Z98" s="182"/>
      <c r="AA98" s="182"/>
      <c r="AB98" s="182"/>
      <c r="AC98" s="404" t="e">
        <f t="shared" si="59"/>
        <v>#N/A</v>
      </c>
      <c r="AD98" s="534"/>
      <c r="AE98" s="182"/>
      <c r="AF98" s="182"/>
      <c r="AG98" s="182"/>
      <c r="AH98" s="404" t="e">
        <f t="shared" si="61"/>
        <v>#N/A</v>
      </c>
      <c r="AI98" s="534"/>
      <c r="AJ98" s="182"/>
      <c r="AK98" s="182"/>
      <c r="AL98" s="182"/>
      <c r="AM98" s="404" t="e">
        <f t="shared" si="63"/>
        <v>#N/A</v>
      </c>
      <c r="AN98" s="534"/>
      <c r="AO98" s="182"/>
      <c r="AP98" s="182"/>
      <c r="AQ98" s="182"/>
      <c r="AR98" s="404" t="e">
        <f t="shared" si="65"/>
        <v>#N/A</v>
      </c>
      <c r="AS98" s="534"/>
      <c r="AT98" s="182"/>
      <c r="AU98" s="182"/>
      <c r="AV98" s="182"/>
      <c r="AW98" s="404" t="e">
        <f t="shared" si="67"/>
        <v>#N/A</v>
      </c>
      <c r="AX98" s="534"/>
    </row>
    <row r="99" spans="2:50">
      <c r="B99" s="533"/>
      <c r="C99" s="404">
        <v>13</v>
      </c>
      <c r="D99" s="226"/>
      <c r="E99" s="182"/>
      <c r="F99" s="404"/>
      <c r="G99" s="405"/>
      <c r="H99" s="598"/>
      <c r="I99" s="202"/>
      <c r="J99" s="202"/>
      <c r="K99" s="202"/>
      <c r="L99" s="588"/>
      <c r="M99" s="407" t="e">
        <f>RANK(K99, K$87:$K$101)</f>
        <v>#N/A</v>
      </c>
      <c r="N99" s="544"/>
      <c r="O99" s="544"/>
      <c r="P99" s="182"/>
      <c r="Q99" s="182"/>
      <c r="R99" s="182"/>
      <c r="S99" s="404" t="e">
        <f t="shared" si="70"/>
        <v>#N/A</v>
      </c>
      <c r="T99" s="534"/>
      <c r="U99" s="182"/>
      <c r="V99" s="182"/>
      <c r="W99" s="182"/>
      <c r="X99" s="404" t="e">
        <f t="shared" si="57"/>
        <v>#N/A</v>
      </c>
      <c r="Y99" s="534"/>
      <c r="Z99" s="182"/>
      <c r="AA99" s="182"/>
      <c r="AB99" s="182"/>
      <c r="AC99" s="404" t="e">
        <f t="shared" si="59"/>
        <v>#N/A</v>
      </c>
      <c r="AD99" s="534"/>
      <c r="AE99" s="182"/>
      <c r="AF99" s="182"/>
      <c r="AG99" s="182"/>
      <c r="AH99" s="404" t="e">
        <f t="shared" si="61"/>
        <v>#N/A</v>
      </c>
      <c r="AI99" s="534"/>
      <c r="AJ99" s="182"/>
      <c r="AK99" s="182"/>
      <c r="AL99" s="182"/>
      <c r="AM99" s="404" t="e">
        <f t="shared" si="63"/>
        <v>#N/A</v>
      </c>
      <c r="AN99" s="534"/>
      <c r="AO99" s="182"/>
      <c r="AP99" s="182"/>
      <c r="AQ99" s="182"/>
      <c r="AR99" s="404" t="e">
        <f t="shared" si="65"/>
        <v>#N/A</v>
      </c>
      <c r="AS99" s="534"/>
      <c r="AT99" s="182"/>
      <c r="AU99" s="182"/>
      <c r="AV99" s="182"/>
      <c r="AW99" s="404" t="e">
        <f t="shared" si="67"/>
        <v>#N/A</v>
      </c>
      <c r="AX99" s="534"/>
    </row>
    <row r="100" spans="2:50">
      <c r="B100" s="533"/>
      <c r="C100" s="404">
        <v>14</v>
      </c>
      <c r="D100" s="226"/>
      <c r="E100" s="182"/>
      <c r="F100" s="404"/>
      <c r="G100" s="405"/>
      <c r="H100" s="598"/>
      <c r="I100" s="202"/>
      <c r="J100" s="202"/>
      <c r="K100" s="202"/>
      <c r="L100" s="588"/>
      <c r="M100" s="407" t="e">
        <f>RANK(K100, K$87:$K$101)</f>
        <v>#N/A</v>
      </c>
      <c r="N100" s="544"/>
      <c r="O100" s="544"/>
      <c r="P100" s="182"/>
      <c r="Q100" s="182"/>
      <c r="R100" s="182"/>
      <c r="S100" s="404" t="e">
        <f t="shared" si="70"/>
        <v>#N/A</v>
      </c>
      <c r="T100" s="534"/>
      <c r="U100" s="182"/>
      <c r="V100" s="182"/>
      <c r="W100" s="182"/>
      <c r="X100" s="404" t="e">
        <f t="shared" si="57"/>
        <v>#N/A</v>
      </c>
      <c r="Y100" s="534"/>
      <c r="Z100" s="182"/>
      <c r="AA100" s="182"/>
      <c r="AB100" s="182"/>
      <c r="AC100" s="404" t="e">
        <f t="shared" si="59"/>
        <v>#N/A</v>
      </c>
      <c r="AD100" s="534"/>
      <c r="AE100" s="182"/>
      <c r="AF100" s="182"/>
      <c r="AG100" s="182"/>
      <c r="AH100" s="404" t="e">
        <f t="shared" si="61"/>
        <v>#N/A</v>
      </c>
      <c r="AI100" s="534"/>
      <c r="AJ100" s="182"/>
      <c r="AK100" s="182"/>
      <c r="AL100" s="182"/>
      <c r="AM100" s="404" t="e">
        <f t="shared" si="63"/>
        <v>#N/A</v>
      </c>
      <c r="AN100" s="534"/>
      <c r="AO100" s="182"/>
      <c r="AP100" s="182"/>
      <c r="AQ100" s="182"/>
      <c r="AR100" s="404" t="e">
        <f t="shared" si="65"/>
        <v>#N/A</v>
      </c>
      <c r="AS100" s="534"/>
      <c r="AT100" s="182"/>
      <c r="AU100" s="182"/>
      <c r="AV100" s="182"/>
      <c r="AW100" s="404" t="e">
        <f t="shared" si="67"/>
        <v>#N/A</v>
      </c>
      <c r="AX100" s="534"/>
    </row>
    <row r="101" spans="2:50">
      <c r="B101" s="533"/>
      <c r="C101" s="404">
        <v>15</v>
      </c>
      <c r="D101" s="226"/>
      <c r="E101" s="182"/>
      <c r="F101" s="404"/>
      <c r="G101" s="405"/>
      <c r="H101" s="599"/>
      <c r="I101" s="202"/>
      <c r="J101" s="202"/>
      <c r="K101" s="202"/>
      <c r="L101" s="589"/>
      <c r="M101" s="408" t="e">
        <f>RANK(K101, K$87:$K$101)</f>
        <v>#N/A</v>
      </c>
      <c r="N101" s="544"/>
      <c r="O101" s="544"/>
      <c r="P101" s="182"/>
      <c r="Q101" s="182"/>
      <c r="R101" s="182"/>
      <c r="S101" s="404" t="e">
        <f t="shared" si="70"/>
        <v>#N/A</v>
      </c>
      <c r="T101" s="534"/>
      <c r="U101" s="182"/>
      <c r="V101" s="182"/>
      <c r="W101" s="182"/>
      <c r="X101" s="404" t="e">
        <f t="shared" si="57"/>
        <v>#N/A</v>
      </c>
      <c r="Y101" s="534"/>
      <c r="Z101" s="182"/>
      <c r="AA101" s="182"/>
      <c r="AB101" s="182"/>
      <c r="AC101" s="404" t="e">
        <f t="shared" si="59"/>
        <v>#N/A</v>
      </c>
      <c r="AD101" s="534"/>
      <c r="AE101" s="182"/>
      <c r="AF101" s="182"/>
      <c r="AG101" s="182"/>
      <c r="AH101" s="404" t="e">
        <f t="shared" si="61"/>
        <v>#N/A</v>
      </c>
      <c r="AI101" s="534"/>
      <c r="AJ101" s="182"/>
      <c r="AK101" s="182"/>
      <c r="AL101" s="182"/>
      <c r="AM101" s="404" t="e">
        <f t="shared" si="63"/>
        <v>#N/A</v>
      </c>
      <c r="AN101" s="534"/>
      <c r="AO101" s="182"/>
      <c r="AP101" s="182"/>
      <c r="AQ101" s="182"/>
      <c r="AR101" s="404" t="e">
        <f t="shared" si="65"/>
        <v>#N/A</v>
      </c>
      <c r="AS101" s="534"/>
      <c r="AT101" s="182"/>
      <c r="AU101" s="182"/>
      <c r="AV101" s="182"/>
      <c r="AW101" s="404" t="e">
        <f t="shared" si="67"/>
        <v>#N/A</v>
      </c>
      <c r="AX101" s="534"/>
    </row>
    <row r="102" spans="2:50" ht="15.5">
      <c r="B102" s="555" t="s">
        <v>163</v>
      </c>
      <c r="C102" s="556"/>
      <c r="D102" s="556"/>
      <c r="E102" s="556"/>
      <c r="F102" s="556"/>
      <c r="G102" s="556"/>
      <c r="H102" s="557"/>
      <c r="I102" s="208"/>
      <c r="J102" s="208"/>
      <c r="K102" s="208"/>
      <c r="L102" s="208"/>
      <c r="M102" s="207"/>
      <c r="N102" s="559" t="s">
        <v>156</v>
      </c>
      <c r="O102" s="559" t="s">
        <v>105</v>
      </c>
      <c r="P102" s="554">
        <f>P82+7</f>
        <v>46021</v>
      </c>
      <c r="Q102" s="533"/>
      <c r="R102" s="533"/>
      <c r="S102" s="533"/>
      <c r="T102" s="533"/>
      <c r="U102" s="551">
        <f>P102+1</f>
        <v>46022</v>
      </c>
      <c r="V102" s="552"/>
      <c r="W102" s="552"/>
      <c r="X102" s="552"/>
      <c r="Y102" s="553"/>
      <c r="Z102" s="551">
        <f>U102+1</f>
        <v>46023</v>
      </c>
      <c r="AA102" s="552"/>
      <c r="AB102" s="552"/>
      <c r="AC102" s="552"/>
      <c r="AD102" s="553"/>
      <c r="AE102" s="551">
        <f>Z102+1</f>
        <v>46024</v>
      </c>
      <c r="AF102" s="552"/>
      <c r="AG102" s="552"/>
      <c r="AH102" s="552"/>
      <c r="AI102" s="553"/>
      <c r="AJ102" s="551">
        <f>AE102+1</f>
        <v>46025</v>
      </c>
      <c r="AK102" s="552"/>
      <c r="AL102" s="552"/>
      <c r="AM102" s="552"/>
      <c r="AN102" s="553"/>
      <c r="AO102" s="551">
        <f>AJ102+1</f>
        <v>46026</v>
      </c>
      <c r="AP102" s="552"/>
      <c r="AQ102" s="552"/>
      <c r="AR102" s="552"/>
      <c r="AS102" s="553"/>
      <c r="AT102" s="551">
        <f>AO102+1</f>
        <v>46027</v>
      </c>
      <c r="AU102" s="552"/>
      <c r="AV102" s="552"/>
      <c r="AW102" s="552"/>
      <c r="AX102" s="553"/>
    </row>
    <row r="103" spans="2:50" ht="15.5">
      <c r="B103" s="558"/>
      <c r="C103" s="558"/>
      <c r="D103" s="558"/>
      <c r="E103" s="558"/>
      <c r="F103" s="558"/>
      <c r="G103" s="558"/>
      <c r="H103" s="558"/>
      <c r="I103" s="205"/>
      <c r="J103" s="205"/>
      <c r="K103" s="205"/>
      <c r="L103" s="205"/>
      <c r="M103" s="206"/>
      <c r="N103" s="560"/>
      <c r="O103" s="560"/>
      <c r="P103" s="554" t="s">
        <v>158</v>
      </c>
      <c r="Q103" s="533"/>
      <c r="R103" s="533"/>
      <c r="S103" s="533"/>
      <c r="T103" s="533"/>
      <c r="U103" s="554" t="s">
        <v>114</v>
      </c>
      <c r="V103" s="533"/>
      <c r="W103" s="533"/>
      <c r="X103" s="533"/>
      <c r="Y103" s="533"/>
      <c r="Z103" s="554" t="s">
        <v>159</v>
      </c>
      <c r="AA103" s="533"/>
      <c r="AB103" s="533"/>
      <c r="AC103" s="533"/>
      <c r="AD103" s="533"/>
      <c r="AE103" s="554" t="s">
        <v>157</v>
      </c>
      <c r="AF103" s="533"/>
      <c r="AG103" s="533"/>
      <c r="AH103" s="533"/>
      <c r="AI103" s="533"/>
      <c r="AJ103" s="554" t="s">
        <v>160</v>
      </c>
      <c r="AK103" s="533"/>
      <c r="AL103" s="533"/>
      <c r="AM103" s="533"/>
      <c r="AN103" s="533"/>
      <c r="AO103" s="554" t="s">
        <v>115</v>
      </c>
      <c r="AP103" s="533"/>
      <c r="AQ103" s="533"/>
      <c r="AR103" s="533"/>
      <c r="AS103" s="533"/>
      <c r="AT103" s="554" t="s">
        <v>162</v>
      </c>
      <c r="AU103" s="533"/>
      <c r="AV103" s="533"/>
      <c r="AW103" s="533"/>
      <c r="AX103" s="533"/>
    </row>
    <row r="104" spans="2:50">
      <c r="B104" s="544" t="s">
        <v>926</v>
      </c>
      <c r="C104" s="544" t="s">
        <v>927</v>
      </c>
      <c r="D104" s="544"/>
      <c r="E104" s="544" t="s">
        <v>928</v>
      </c>
      <c r="F104" s="544"/>
      <c r="G104" s="544"/>
      <c r="H104" s="561" t="s">
        <v>929</v>
      </c>
      <c r="I104" s="544" t="s">
        <v>930</v>
      </c>
      <c r="J104" s="544"/>
      <c r="K104" s="544"/>
      <c r="L104" s="561" t="s">
        <v>929</v>
      </c>
      <c r="M104" s="559" t="s">
        <v>931</v>
      </c>
      <c r="N104" s="544"/>
      <c r="O104" s="544" t="s">
        <v>932</v>
      </c>
      <c r="P104" s="548" t="s">
        <v>893</v>
      </c>
      <c r="Q104" s="549"/>
      <c r="R104" s="549"/>
      <c r="S104" s="550"/>
      <c r="T104" s="544" t="s">
        <v>889</v>
      </c>
      <c r="U104" s="548" t="s">
        <v>893</v>
      </c>
      <c r="V104" s="549"/>
      <c r="W104" s="549"/>
      <c r="X104" s="550"/>
      <c r="Y104" s="544" t="s">
        <v>889</v>
      </c>
      <c r="Z104" s="548" t="s">
        <v>423</v>
      </c>
      <c r="AA104" s="549"/>
      <c r="AB104" s="549"/>
      <c r="AC104" s="550"/>
      <c r="AD104" s="544" t="s">
        <v>421</v>
      </c>
      <c r="AE104" s="548" t="s">
        <v>423</v>
      </c>
      <c r="AF104" s="549"/>
      <c r="AG104" s="549"/>
      <c r="AH104" s="550"/>
      <c r="AI104" s="544" t="s">
        <v>421</v>
      </c>
      <c r="AJ104" s="548" t="s">
        <v>423</v>
      </c>
      <c r="AK104" s="549"/>
      <c r="AL104" s="549"/>
      <c r="AM104" s="550"/>
      <c r="AN104" s="544" t="s">
        <v>421</v>
      </c>
      <c r="AO104" s="548" t="s">
        <v>423</v>
      </c>
      <c r="AP104" s="549"/>
      <c r="AQ104" s="549"/>
      <c r="AR104" s="550"/>
      <c r="AS104" s="544" t="s">
        <v>421</v>
      </c>
      <c r="AT104" s="548" t="s">
        <v>423</v>
      </c>
      <c r="AU104" s="549"/>
      <c r="AV104" s="549"/>
      <c r="AW104" s="550"/>
      <c r="AX104" s="544" t="s">
        <v>421</v>
      </c>
    </row>
    <row r="105" spans="2:50">
      <c r="B105" s="544"/>
      <c r="C105" s="544"/>
      <c r="D105" s="544"/>
      <c r="E105" s="544" t="s">
        <v>933</v>
      </c>
      <c r="F105" s="544"/>
      <c r="G105" s="544"/>
      <c r="H105" s="562"/>
      <c r="I105" s="544" t="s">
        <v>933</v>
      </c>
      <c r="J105" s="544"/>
      <c r="K105" s="544"/>
      <c r="L105" s="562"/>
      <c r="M105" s="564"/>
      <c r="N105" s="544"/>
      <c r="O105" s="544"/>
      <c r="P105" s="548" t="s">
        <v>895</v>
      </c>
      <c r="Q105" s="549"/>
      <c r="R105" s="549"/>
      <c r="S105" s="550"/>
      <c r="T105" s="544"/>
      <c r="U105" s="548" t="s">
        <v>895</v>
      </c>
      <c r="V105" s="549"/>
      <c r="W105" s="549"/>
      <c r="X105" s="550"/>
      <c r="Y105" s="544"/>
      <c r="Z105" s="548" t="s">
        <v>429</v>
      </c>
      <c r="AA105" s="549"/>
      <c r="AB105" s="549"/>
      <c r="AC105" s="550"/>
      <c r="AD105" s="544"/>
      <c r="AE105" s="548" t="s">
        <v>429</v>
      </c>
      <c r="AF105" s="549"/>
      <c r="AG105" s="549"/>
      <c r="AH105" s="550"/>
      <c r="AI105" s="544"/>
      <c r="AJ105" s="548" t="s">
        <v>429</v>
      </c>
      <c r="AK105" s="549"/>
      <c r="AL105" s="549"/>
      <c r="AM105" s="550"/>
      <c r="AN105" s="544"/>
      <c r="AO105" s="548" t="s">
        <v>429</v>
      </c>
      <c r="AP105" s="549"/>
      <c r="AQ105" s="549"/>
      <c r="AR105" s="550"/>
      <c r="AS105" s="544"/>
      <c r="AT105" s="548" t="s">
        <v>429</v>
      </c>
      <c r="AU105" s="549"/>
      <c r="AV105" s="549"/>
      <c r="AW105" s="550"/>
      <c r="AX105" s="544"/>
    </row>
    <row r="106" spans="2:50">
      <c r="B106" s="544"/>
      <c r="C106" s="544"/>
      <c r="D106" s="544"/>
      <c r="E106" s="426" t="s">
        <v>934</v>
      </c>
      <c r="F106" s="426" t="s">
        <v>935</v>
      </c>
      <c r="G106" s="426" t="s">
        <v>936</v>
      </c>
      <c r="H106" s="563"/>
      <c r="I106" s="426" t="s">
        <v>934</v>
      </c>
      <c r="J106" s="426" t="s">
        <v>935</v>
      </c>
      <c r="K106" s="426" t="s">
        <v>936</v>
      </c>
      <c r="L106" s="563"/>
      <c r="M106" s="560"/>
      <c r="N106" s="544"/>
      <c r="O106" s="544"/>
      <c r="P106" s="426" t="s">
        <v>896</v>
      </c>
      <c r="Q106" s="426" t="s">
        <v>897</v>
      </c>
      <c r="R106" s="426" t="s">
        <v>898</v>
      </c>
      <c r="S106" s="426" t="s">
        <v>891</v>
      </c>
      <c r="T106" s="544"/>
      <c r="U106" s="426" t="s">
        <v>896</v>
      </c>
      <c r="V106" s="426" t="s">
        <v>897</v>
      </c>
      <c r="W106" s="426" t="s">
        <v>898</v>
      </c>
      <c r="X106" s="426" t="s">
        <v>891</v>
      </c>
      <c r="Y106" s="544"/>
      <c r="Z106" s="305" t="s">
        <v>430</v>
      </c>
      <c r="AA106" s="305" t="s">
        <v>431</v>
      </c>
      <c r="AB106" s="305" t="s">
        <v>432</v>
      </c>
      <c r="AC106" s="305" t="s">
        <v>422</v>
      </c>
      <c r="AD106" s="544"/>
      <c r="AE106" s="305" t="s">
        <v>430</v>
      </c>
      <c r="AF106" s="305" t="s">
        <v>431</v>
      </c>
      <c r="AG106" s="305" t="s">
        <v>432</v>
      </c>
      <c r="AH106" s="305" t="s">
        <v>422</v>
      </c>
      <c r="AI106" s="544"/>
      <c r="AJ106" s="305" t="s">
        <v>430</v>
      </c>
      <c r="AK106" s="305" t="s">
        <v>431</v>
      </c>
      <c r="AL106" s="305" t="s">
        <v>432</v>
      </c>
      <c r="AM106" s="305" t="s">
        <v>422</v>
      </c>
      <c r="AN106" s="544"/>
      <c r="AO106" s="305" t="s">
        <v>430</v>
      </c>
      <c r="AP106" s="305" t="s">
        <v>431</v>
      </c>
      <c r="AQ106" s="305" t="s">
        <v>432</v>
      </c>
      <c r="AR106" s="305" t="s">
        <v>422</v>
      </c>
      <c r="AS106" s="544"/>
      <c r="AT106" s="305" t="s">
        <v>430</v>
      </c>
      <c r="AU106" s="305" t="s">
        <v>431</v>
      </c>
      <c r="AV106" s="305" t="s">
        <v>432</v>
      </c>
      <c r="AW106" s="305" t="s">
        <v>422</v>
      </c>
      <c r="AX106" s="544"/>
    </row>
    <row r="107" spans="2:50">
      <c r="B107" s="544" t="s">
        <v>135</v>
      </c>
      <c r="C107" s="463">
        <v>1</v>
      </c>
      <c r="D107" s="467" t="s">
        <v>347</v>
      </c>
      <c r="E107" s="464">
        <v>18</v>
      </c>
      <c r="F107" s="464">
        <v>1636</v>
      </c>
      <c r="G107" s="464">
        <v>90.9</v>
      </c>
      <c r="H107" s="546">
        <f>AVERAGE(G107:G121)</f>
        <v>81.277777777777771</v>
      </c>
      <c r="I107" s="464">
        <f>AVERAGE(P107,U107,Z107,AE107,AJ107,AO107,AT107)</f>
        <v>17</v>
      </c>
      <c r="J107" s="464">
        <f>AVERAGE(Q107,V107,AA107,AF107,AK107,AP107,AU107)</f>
        <v>1445.1435810810804</v>
      </c>
      <c r="K107" s="465">
        <f>AVERAGE(R107,W107,AB107,AG107,AL107,AQ107,AV107)</f>
        <v>85.008445945945908</v>
      </c>
      <c r="L107" s="546">
        <f>AVERAGE(K107:K121)</f>
        <v>68.355869833215479</v>
      </c>
      <c r="M107" s="464" t="e">
        <f>RANK(K107, K$67:$K$81)</f>
        <v>#N/A</v>
      </c>
      <c r="N107" s="544"/>
      <c r="O107" s="544"/>
      <c r="P107" s="463">
        <v>17</v>
      </c>
      <c r="Q107" s="464">
        <v>1452.1621621621609</v>
      </c>
      <c r="R107" s="464">
        <v>85.421303656597701</v>
      </c>
      <c r="S107" s="463">
        <f>RANK(R107, R$107:R$121)</f>
        <v>2</v>
      </c>
      <c r="T107" s="615">
        <f>AVERAGE(R107:R121)</f>
        <v>70.114877356159923</v>
      </c>
      <c r="U107" s="463">
        <v>17</v>
      </c>
      <c r="V107" s="464">
        <v>1438.1249999999998</v>
      </c>
      <c r="W107" s="464">
        <v>84.595588235294102</v>
      </c>
      <c r="X107" s="463">
        <f>RANK(W107, W$107:W$121)</f>
        <v>2</v>
      </c>
      <c r="Y107" s="536">
        <f>AVERAGE(W107:W121)</f>
        <v>66.59686231027105</v>
      </c>
      <c r="Z107" s="182"/>
      <c r="AA107" s="182"/>
      <c r="AB107" s="182"/>
      <c r="AC107" s="304" t="e">
        <f>RANK(AB107, AB$87:AB$101)</f>
        <v>#N/A</v>
      </c>
      <c r="AD107" s="534" t="e">
        <f>AVERAGE(AB107:AB121)</f>
        <v>#DIV/0!</v>
      </c>
      <c r="AE107" s="182"/>
      <c r="AF107" s="182"/>
      <c r="AG107" s="182"/>
      <c r="AH107" s="304" t="e">
        <f>RANK(AG107, AG$87:AG$101)</f>
        <v>#N/A</v>
      </c>
      <c r="AI107" s="534" t="e">
        <f>AVERAGE(AG107:AG121)</f>
        <v>#DIV/0!</v>
      </c>
      <c r="AJ107" s="182"/>
      <c r="AK107" s="182"/>
      <c r="AL107" s="182"/>
      <c r="AM107" s="304" t="e">
        <f>RANK(AL107, AL$87:AL$101)</f>
        <v>#N/A</v>
      </c>
      <c r="AN107" s="534" t="e">
        <f>AVERAGE(AL107:AL121)</f>
        <v>#DIV/0!</v>
      </c>
      <c r="AO107" s="182"/>
      <c r="AP107" s="182"/>
      <c r="AQ107" s="182"/>
      <c r="AR107" s="304" t="e">
        <f>RANK(AQ107, AQ$87:AQ$101)</f>
        <v>#N/A</v>
      </c>
      <c r="AS107" s="534" t="e">
        <f>AVERAGE(AQ107:AQ121)</f>
        <v>#DIV/0!</v>
      </c>
      <c r="AT107" s="182"/>
      <c r="AU107" s="182"/>
      <c r="AV107" s="182"/>
      <c r="AW107" s="304" t="e">
        <f>RANK(AV107, AV$87:AV$101)</f>
        <v>#N/A</v>
      </c>
      <c r="AX107" s="534" t="e">
        <f>AVERAGE(AV107:AV121)</f>
        <v>#DIV/0!</v>
      </c>
    </row>
    <row r="108" spans="2:50">
      <c r="B108" s="565"/>
      <c r="C108" s="463">
        <v>2</v>
      </c>
      <c r="D108" s="467" t="s">
        <v>573</v>
      </c>
      <c r="E108" s="464">
        <v>14</v>
      </c>
      <c r="F108" s="464">
        <v>1500</v>
      </c>
      <c r="G108" s="464">
        <v>107.1</v>
      </c>
      <c r="H108" s="547"/>
      <c r="I108" s="464">
        <f t="shared" ref="I108:K115" si="71">AVERAGE(P108,U108,Z108,AE108,AJ108,AO108,AT108)</f>
        <v>14</v>
      </c>
      <c r="J108" s="464">
        <f t="shared" si="71"/>
        <v>1321.4732142857156</v>
      </c>
      <c r="K108" s="465">
        <f t="shared" si="71"/>
        <v>94.390943877551109</v>
      </c>
      <c r="L108" s="547"/>
      <c r="M108" s="464" t="e">
        <f>RANK(K108, K$67:$K$81)</f>
        <v>#N/A</v>
      </c>
      <c r="N108" s="544"/>
      <c r="O108" s="544"/>
      <c r="P108" s="463">
        <v>14</v>
      </c>
      <c r="Q108" s="464">
        <v>1344.3750000000016</v>
      </c>
      <c r="R108" s="464">
        <v>96.026785714285822</v>
      </c>
      <c r="S108" s="463">
        <f t="shared" ref="S108:S121" si="72">RANK(R108, R$107:R$121)</f>
        <v>1</v>
      </c>
      <c r="T108" s="615"/>
      <c r="U108" s="463">
        <v>14</v>
      </c>
      <c r="V108" s="464">
        <v>1298.5714285714296</v>
      </c>
      <c r="W108" s="464">
        <v>92.755102040816396</v>
      </c>
      <c r="X108" s="463">
        <f t="shared" ref="X108:X121" si="73">RANK(W108, W$107:W$121)</f>
        <v>1</v>
      </c>
      <c r="Y108" s="536"/>
      <c r="Z108" s="182"/>
      <c r="AA108" s="182"/>
      <c r="AB108" s="182"/>
      <c r="AC108" s="304" t="e">
        <f t="shared" ref="AC108:AC121" si="74">RANK(AB108, AB$87:AB$101)</f>
        <v>#N/A</v>
      </c>
      <c r="AD108" s="534"/>
      <c r="AE108" s="182"/>
      <c r="AF108" s="182"/>
      <c r="AG108" s="182"/>
      <c r="AH108" s="304" t="e">
        <f t="shared" ref="AH108:AH121" si="75">RANK(AG108, AG$87:AG$101)</f>
        <v>#N/A</v>
      </c>
      <c r="AI108" s="534"/>
      <c r="AJ108" s="182"/>
      <c r="AK108" s="182"/>
      <c r="AL108" s="182"/>
      <c r="AM108" s="304" t="e">
        <f t="shared" ref="AM108:AM121" si="76">RANK(AL108, AL$87:AL$101)</f>
        <v>#N/A</v>
      </c>
      <c r="AN108" s="534"/>
      <c r="AO108" s="182"/>
      <c r="AP108" s="182"/>
      <c r="AQ108" s="182"/>
      <c r="AR108" s="304" t="e">
        <f t="shared" ref="AR108:AR121" si="77">RANK(AQ108, AQ$87:AQ$101)</f>
        <v>#N/A</v>
      </c>
      <c r="AS108" s="534"/>
      <c r="AT108" s="182"/>
      <c r="AU108" s="182"/>
      <c r="AV108" s="182"/>
      <c r="AW108" s="304" t="e">
        <f t="shared" ref="AW108:AW121" si="78">RANK(AV108, AV$87:AV$101)</f>
        <v>#N/A</v>
      </c>
      <c r="AX108" s="534"/>
    </row>
    <row r="109" spans="2:50">
      <c r="B109" s="565"/>
      <c r="C109" s="463">
        <v>3</v>
      </c>
      <c r="D109" s="467" t="s">
        <v>743</v>
      </c>
      <c r="E109" s="464">
        <v>17</v>
      </c>
      <c r="F109" s="464">
        <v>1636</v>
      </c>
      <c r="G109" s="464">
        <v>96.3</v>
      </c>
      <c r="H109" s="547"/>
      <c r="I109" s="464">
        <f t="shared" si="71"/>
        <v>17.5</v>
      </c>
      <c r="J109" s="464">
        <f t="shared" si="71"/>
        <v>1333.5090090090071</v>
      </c>
      <c r="K109" s="465">
        <f t="shared" si="71"/>
        <v>76.222970028852274</v>
      </c>
      <c r="L109" s="547"/>
      <c r="M109" s="464" t="e">
        <f>RANK(K109, K$67:$K$81)</f>
        <v>#N/A</v>
      </c>
      <c r="N109" s="544"/>
      <c r="O109" s="544"/>
      <c r="P109" s="463">
        <v>17</v>
      </c>
      <c r="Q109" s="464">
        <v>1309.1513513513505</v>
      </c>
      <c r="R109" s="464">
        <v>77.008903020667674</v>
      </c>
      <c r="S109" s="463">
        <f t="shared" si="72"/>
        <v>3</v>
      </c>
      <c r="T109" s="615"/>
      <c r="U109" s="463">
        <v>18</v>
      </c>
      <c r="V109" s="464">
        <v>1357.8666666666634</v>
      </c>
      <c r="W109" s="464">
        <v>75.437037037036859</v>
      </c>
      <c r="X109" s="463">
        <f t="shared" si="73"/>
        <v>4</v>
      </c>
      <c r="Y109" s="536"/>
      <c r="Z109" s="182"/>
      <c r="AA109" s="182"/>
      <c r="AB109" s="182"/>
      <c r="AC109" s="304" t="e">
        <f t="shared" si="74"/>
        <v>#N/A</v>
      </c>
      <c r="AD109" s="534"/>
      <c r="AE109" s="182"/>
      <c r="AF109" s="182"/>
      <c r="AG109" s="182"/>
      <c r="AH109" s="304" t="e">
        <f t="shared" si="75"/>
        <v>#N/A</v>
      </c>
      <c r="AI109" s="534"/>
      <c r="AJ109" s="182"/>
      <c r="AK109" s="182"/>
      <c r="AL109" s="182"/>
      <c r="AM109" s="304" t="e">
        <f t="shared" si="76"/>
        <v>#N/A</v>
      </c>
      <c r="AN109" s="534"/>
      <c r="AO109" s="182"/>
      <c r="AP109" s="182"/>
      <c r="AQ109" s="182"/>
      <c r="AR109" s="304" t="e">
        <f t="shared" si="77"/>
        <v>#N/A</v>
      </c>
      <c r="AS109" s="534"/>
      <c r="AT109" s="182"/>
      <c r="AU109" s="182"/>
      <c r="AV109" s="182"/>
      <c r="AW109" s="304" t="e">
        <f t="shared" si="78"/>
        <v>#N/A</v>
      </c>
      <c r="AX109" s="534"/>
    </row>
    <row r="110" spans="2:50">
      <c r="B110" s="565"/>
      <c r="C110" s="463">
        <v>4</v>
      </c>
      <c r="D110" s="467" t="s">
        <v>617</v>
      </c>
      <c r="E110" s="464">
        <v>18</v>
      </c>
      <c r="F110" s="464">
        <v>1500</v>
      </c>
      <c r="G110" s="464">
        <v>83.3</v>
      </c>
      <c r="H110" s="547"/>
      <c r="I110" s="464">
        <f t="shared" si="71"/>
        <v>18</v>
      </c>
      <c r="J110" s="464">
        <f t="shared" si="71"/>
        <v>1244.8888888888875</v>
      </c>
      <c r="K110" s="465">
        <f t="shared" si="71"/>
        <v>69.160493827160423</v>
      </c>
      <c r="L110" s="547"/>
      <c r="M110" s="464" t="e">
        <f>RANK(K110, K$67:$K$81)</f>
        <v>#N/A</v>
      </c>
      <c r="N110" s="544"/>
      <c r="O110" s="544"/>
      <c r="P110" s="463">
        <v>18</v>
      </c>
      <c r="Q110" s="464">
        <v>1337.7777777777746</v>
      </c>
      <c r="R110" s="464">
        <v>74.320987654320817</v>
      </c>
      <c r="S110" s="463">
        <f t="shared" si="72"/>
        <v>5</v>
      </c>
      <c r="T110" s="615"/>
      <c r="U110" s="463">
        <v>18</v>
      </c>
      <c r="V110" s="464">
        <v>1152.0000000000005</v>
      </c>
      <c r="W110" s="464">
        <v>64.000000000000028</v>
      </c>
      <c r="X110" s="463">
        <f t="shared" si="73"/>
        <v>5</v>
      </c>
      <c r="Y110" s="536"/>
      <c r="Z110" s="182"/>
      <c r="AA110" s="182"/>
      <c r="AB110" s="182"/>
      <c r="AC110" s="304" t="e">
        <f t="shared" si="74"/>
        <v>#N/A</v>
      </c>
      <c r="AD110" s="534"/>
      <c r="AE110" s="182"/>
      <c r="AF110" s="182"/>
      <c r="AG110" s="182"/>
      <c r="AH110" s="304" t="e">
        <f t="shared" si="75"/>
        <v>#N/A</v>
      </c>
      <c r="AI110" s="534"/>
      <c r="AJ110" s="182"/>
      <c r="AK110" s="182"/>
      <c r="AL110" s="182"/>
      <c r="AM110" s="304" t="e">
        <f t="shared" si="76"/>
        <v>#N/A</v>
      </c>
      <c r="AN110" s="534"/>
      <c r="AO110" s="182"/>
      <c r="AP110" s="182"/>
      <c r="AQ110" s="182"/>
      <c r="AR110" s="304" t="e">
        <f t="shared" si="77"/>
        <v>#N/A</v>
      </c>
      <c r="AS110" s="534"/>
      <c r="AT110" s="182"/>
      <c r="AU110" s="182"/>
      <c r="AV110" s="182"/>
      <c r="AW110" s="304" t="e">
        <f t="shared" si="78"/>
        <v>#N/A</v>
      </c>
      <c r="AX110" s="534"/>
    </row>
    <row r="111" spans="2:50">
      <c r="B111" s="565"/>
      <c r="C111" s="463">
        <v>5</v>
      </c>
      <c r="D111" s="467" t="s">
        <v>622</v>
      </c>
      <c r="E111" s="464">
        <v>21</v>
      </c>
      <c r="F111" s="464">
        <v>1385</v>
      </c>
      <c r="G111" s="464">
        <v>65.900000000000006</v>
      </c>
      <c r="H111" s="547"/>
      <c r="I111" s="464">
        <f t="shared" si="71"/>
        <v>20</v>
      </c>
      <c r="J111" s="464">
        <f t="shared" si="71"/>
        <v>1031.4420062695908</v>
      </c>
      <c r="K111" s="465">
        <f t="shared" si="71"/>
        <v>51.572100313479538</v>
      </c>
      <c r="L111" s="547"/>
      <c r="M111" s="464" t="e">
        <f>RANK(K111, K$67:$K$81)</f>
        <v>#N/A</v>
      </c>
      <c r="N111" s="544"/>
      <c r="O111" s="544"/>
      <c r="P111" s="463">
        <v>20</v>
      </c>
      <c r="Q111" s="464">
        <v>1109.0909090909076</v>
      </c>
      <c r="R111" s="464">
        <v>55.454545454545382</v>
      </c>
      <c r="S111" s="463">
        <f t="shared" si="72"/>
        <v>8</v>
      </c>
      <c r="T111" s="615"/>
      <c r="U111" s="463">
        <v>20</v>
      </c>
      <c r="V111" s="464">
        <v>953.793103448274</v>
      </c>
      <c r="W111" s="464">
        <v>47.689655172413701</v>
      </c>
      <c r="X111" s="463">
        <f t="shared" si="73"/>
        <v>9</v>
      </c>
      <c r="Y111" s="536"/>
      <c r="Z111" s="182"/>
      <c r="AA111" s="182"/>
      <c r="AB111" s="182"/>
      <c r="AC111" s="304" t="e">
        <f t="shared" si="74"/>
        <v>#N/A</v>
      </c>
      <c r="AD111" s="534"/>
      <c r="AE111" s="182"/>
      <c r="AF111" s="182"/>
      <c r="AG111" s="182"/>
      <c r="AH111" s="304" t="e">
        <f t="shared" si="75"/>
        <v>#N/A</v>
      </c>
      <c r="AI111" s="534"/>
      <c r="AJ111" s="182"/>
      <c r="AK111" s="182"/>
      <c r="AL111" s="182"/>
      <c r="AM111" s="304" t="e">
        <f t="shared" si="76"/>
        <v>#N/A</v>
      </c>
      <c r="AN111" s="534"/>
      <c r="AO111" s="182"/>
      <c r="AP111" s="182"/>
      <c r="AQ111" s="182"/>
      <c r="AR111" s="304" t="e">
        <f t="shared" si="77"/>
        <v>#N/A</v>
      </c>
      <c r="AS111" s="534"/>
      <c r="AT111" s="182"/>
      <c r="AU111" s="182"/>
      <c r="AV111" s="182"/>
      <c r="AW111" s="304" t="e">
        <f t="shared" si="78"/>
        <v>#N/A</v>
      </c>
      <c r="AX111" s="534"/>
    </row>
    <row r="112" spans="2:50">
      <c r="B112" s="565"/>
      <c r="C112" s="463">
        <v>6</v>
      </c>
      <c r="D112" s="467" t="s">
        <v>642</v>
      </c>
      <c r="E112" s="464">
        <v>21</v>
      </c>
      <c r="F112" s="464">
        <v>1385</v>
      </c>
      <c r="G112" s="464">
        <v>65.900000000000006</v>
      </c>
      <c r="H112" s="547"/>
      <c r="I112" s="464">
        <f t="shared" si="71"/>
        <v>20</v>
      </c>
      <c r="J112" s="464">
        <f t="shared" si="71"/>
        <v>1042.3295454545491</v>
      </c>
      <c r="K112" s="465">
        <f t="shared" si="71"/>
        <v>52.116477272727465</v>
      </c>
      <c r="L112" s="547"/>
      <c r="M112" s="464" t="e">
        <f>RANK(K112, K$67:$K$81)</f>
        <v>#N/A</v>
      </c>
      <c r="N112" s="544"/>
      <c r="O112" s="544"/>
      <c r="P112" s="463">
        <v>20</v>
      </c>
      <c r="Q112" s="464">
        <v>1030.9090909090946</v>
      </c>
      <c r="R112" s="464">
        <v>51.545454545454731</v>
      </c>
      <c r="S112" s="463">
        <f t="shared" si="72"/>
        <v>9</v>
      </c>
      <c r="T112" s="615"/>
      <c r="U112" s="463">
        <v>20</v>
      </c>
      <c r="V112" s="464">
        <v>1053.7500000000039</v>
      </c>
      <c r="W112" s="464">
        <v>52.687500000000192</v>
      </c>
      <c r="X112" s="463">
        <f t="shared" si="73"/>
        <v>7</v>
      </c>
      <c r="Y112" s="536"/>
      <c r="Z112" s="182"/>
      <c r="AA112" s="182"/>
      <c r="AB112" s="182"/>
      <c r="AC112" s="304" t="e">
        <f t="shared" si="74"/>
        <v>#N/A</v>
      </c>
      <c r="AD112" s="534"/>
      <c r="AE112" s="182"/>
      <c r="AF112" s="182"/>
      <c r="AG112" s="182"/>
      <c r="AH112" s="304" t="e">
        <f t="shared" si="75"/>
        <v>#N/A</v>
      </c>
      <c r="AI112" s="534"/>
      <c r="AJ112" s="182"/>
      <c r="AK112" s="182"/>
      <c r="AL112" s="182"/>
      <c r="AM112" s="304" t="e">
        <f t="shared" si="76"/>
        <v>#N/A</v>
      </c>
      <c r="AN112" s="534"/>
      <c r="AO112" s="182"/>
      <c r="AP112" s="182"/>
      <c r="AQ112" s="182"/>
      <c r="AR112" s="304" t="e">
        <f t="shared" si="77"/>
        <v>#N/A</v>
      </c>
      <c r="AS112" s="534"/>
      <c r="AT112" s="182"/>
      <c r="AU112" s="182"/>
      <c r="AV112" s="182"/>
      <c r="AW112" s="304" t="e">
        <f t="shared" si="78"/>
        <v>#N/A</v>
      </c>
      <c r="AX112" s="534"/>
    </row>
    <row r="113" spans="2:50">
      <c r="B113" s="565"/>
      <c r="C113" s="463">
        <v>7</v>
      </c>
      <c r="D113" s="467" t="s">
        <v>633</v>
      </c>
      <c r="E113" s="464">
        <v>18</v>
      </c>
      <c r="F113" s="464">
        <v>1500</v>
      </c>
      <c r="G113" s="464">
        <v>83.3</v>
      </c>
      <c r="H113" s="547"/>
      <c r="I113" s="464">
        <f t="shared" si="71"/>
        <v>18</v>
      </c>
      <c r="J113" s="464">
        <f t="shared" si="71"/>
        <v>1358.6954022988502</v>
      </c>
      <c r="K113" s="465">
        <f t="shared" si="71"/>
        <v>75.483077905491669</v>
      </c>
      <c r="L113" s="547"/>
      <c r="M113" s="464" t="e">
        <f>RANK(K113, K$67:$K$81)</f>
        <v>#N/A</v>
      </c>
      <c r="N113" s="544"/>
      <c r="O113" s="544"/>
      <c r="P113" s="463">
        <v>18</v>
      </c>
      <c r="Q113" s="464">
        <v>1356.7241379310342</v>
      </c>
      <c r="R113" s="464">
        <v>75.373563218390785</v>
      </c>
      <c r="S113" s="463">
        <f t="shared" si="72"/>
        <v>4</v>
      </c>
      <c r="T113" s="615"/>
      <c r="U113" s="463">
        <v>18</v>
      </c>
      <c r="V113" s="464">
        <v>1360.6666666666661</v>
      </c>
      <c r="W113" s="464">
        <v>75.592592592592553</v>
      </c>
      <c r="X113" s="463">
        <f t="shared" si="73"/>
        <v>3</v>
      </c>
      <c r="Y113" s="536"/>
      <c r="Z113" s="182"/>
      <c r="AA113" s="182"/>
      <c r="AB113" s="182"/>
      <c r="AC113" s="304" t="e">
        <f t="shared" si="74"/>
        <v>#N/A</v>
      </c>
      <c r="AD113" s="534"/>
      <c r="AE113" s="182"/>
      <c r="AF113" s="182"/>
      <c r="AG113" s="182"/>
      <c r="AH113" s="304" t="e">
        <f t="shared" si="75"/>
        <v>#N/A</v>
      </c>
      <c r="AI113" s="534"/>
      <c r="AJ113" s="182"/>
      <c r="AK113" s="182"/>
      <c r="AL113" s="182"/>
      <c r="AM113" s="304" t="e">
        <f t="shared" si="76"/>
        <v>#N/A</v>
      </c>
      <c r="AN113" s="534"/>
      <c r="AO113" s="182"/>
      <c r="AP113" s="182"/>
      <c r="AQ113" s="182"/>
      <c r="AR113" s="304" t="e">
        <f t="shared" si="77"/>
        <v>#N/A</v>
      </c>
      <c r="AS113" s="534"/>
      <c r="AT113" s="182"/>
      <c r="AU113" s="182"/>
      <c r="AV113" s="182"/>
      <c r="AW113" s="304" t="e">
        <f t="shared" si="78"/>
        <v>#N/A</v>
      </c>
      <c r="AX113" s="534"/>
    </row>
    <row r="114" spans="2:50">
      <c r="B114" s="565"/>
      <c r="C114" s="463">
        <v>8</v>
      </c>
      <c r="D114" s="467" t="s">
        <v>637</v>
      </c>
      <c r="E114" s="464">
        <v>19</v>
      </c>
      <c r="F114" s="464">
        <v>1385</v>
      </c>
      <c r="G114" s="464">
        <v>72.900000000000006</v>
      </c>
      <c r="H114" s="547"/>
      <c r="I114" s="464">
        <f t="shared" si="71"/>
        <v>18</v>
      </c>
      <c r="J114" s="464">
        <f t="shared" si="71"/>
        <v>1050.693277310924</v>
      </c>
      <c r="K114" s="465">
        <f t="shared" si="71"/>
        <v>58.371848739495775</v>
      </c>
      <c r="L114" s="547"/>
      <c r="M114" s="464" t="e">
        <f>RANK(K114, K$67:$K$81)</f>
        <v>#N/A</v>
      </c>
      <c r="N114" s="544"/>
      <c r="O114" s="544"/>
      <c r="P114" s="463">
        <v>18</v>
      </c>
      <c r="Q114" s="464">
        <v>1053.5294117647045</v>
      </c>
      <c r="R114" s="464">
        <v>58.529411764705806</v>
      </c>
      <c r="S114" s="463">
        <f t="shared" si="72"/>
        <v>6</v>
      </c>
      <c r="T114" s="615"/>
      <c r="U114" s="463">
        <v>18</v>
      </c>
      <c r="V114" s="464">
        <v>1047.8571428571436</v>
      </c>
      <c r="W114" s="464">
        <v>58.214285714285751</v>
      </c>
      <c r="X114" s="463">
        <f t="shared" si="73"/>
        <v>6</v>
      </c>
      <c r="Y114" s="536"/>
      <c r="Z114" s="182"/>
      <c r="AA114" s="182"/>
      <c r="AB114" s="182"/>
      <c r="AC114" s="304" t="e">
        <f t="shared" si="74"/>
        <v>#N/A</v>
      </c>
      <c r="AD114" s="534"/>
      <c r="AE114" s="182"/>
      <c r="AF114" s="182"/>
      <c r="AG114" s="182"/>
      <c r="AH114" s="304" t="e">
        <f t="shared" si="75"/>
        <v>#N/A</v>
      </c>
      <c r="AI114" s="534"/>
      <c r="AJ114" s="182"/>
      <c r="AK114" s="182"/>
      <c r="AL114" s="182"/>
      <c r="AM114" s="304" t="e">
        <f t="shared" si="76"/>
        <v>#N/A</v>
      </c>
      <c r="AN114" s="534"/>
      <c r="AO114" s="182"/>
      <c r="AP114" s="182"/>
      <c r="AQ114" s="182"/>
      <c r="AR114" s="304" t="e">
        <f t="shared" si="77"/>
        <v>#N/A</v>
      </c>
      <c r="AS114" s="534"/>
      <c r="AT114" s="182"/>
      <c r="AU114" s="182"/>
      <c r="AV114" s="182"/>
      <c r="AW114" s="304" t="e">
        <f t="shared" si="78"/>
        <v>#N/A</v>
      </c>
      <c r="AX114" s="534"/>
    </row>
    <row r="115" spans="2:50">
      <c r="B115" s="565"/>
      <c r="C115" s="463">
        <v>9</v>
      </c>
      <c r="D115" s="313" t="s">
        <v>937</v>
      </c>
      <c r="E115" s="464">
        <v>21</v>
      </c>
      <c r="F115" s="464">
        <v>1385</v>
      </c>
      <c r="G115" s="464">
        <v>65.900000000000006</v>
      </c>
      <c r="H115" s="547"/>
      <c r="I115" s="464">
        <f t="shared" si="71"/>
        <v>20</v>
      </c>
      <c r="J115" s="464">
        <f t="shared" si="71"/>
        <v>1057.5294117647043</v>
      </c>
      <c r="K115" s="465">
        <f t="shared" si="71"/>
        <v>52.876470588235215</v>
      </c>
      <c r="L115" s="547"/>
      <c r="M115" s="464" t="e">
        <f>RANK(K115, K$67:$K$81)</f>
        <v>#N/A</v>
      </c>
      <c r="N115" s="544"/>
      <c r="O115" s="544"/>
      <c r="P115" s="463">
        <v>20</v>
      </c>
      <c r="Q115" s="464">
        <v>1147.0588235294103</v>
      </c>
      <c r="R115" s="464">
        <v>57.352941176470516</v>
      </c>
      <c r="S115" s="463">
        <f t="shared" si="72"/>
        <v>7</v>
      </c>
      <c r="T115" s="615"/>
      <c r="U115" s="463">
        <v>20</v>
      </c>
      <c r="V115" s="464">
        <v>967.99999999999829</v>
      </c>
      <c r="W115" s="464">
        <v>48.399999999999913</v>
      </c>
      <c r="X115" s="463">
        <f t="shared" si="73"/>
        <v>8</v>
      </c>
      <c r="Y115" s="536"/>
      <c r="Z115" s="182"/>
      <c r="AA115" s="182"/>
      <c r="AB115" s="182"/>
      <c r="AC115" s="304" t="e">
        <f t="shared" si="74"/>
        <v>#N/A</v>
      </c>
      <c r="AD115" s="534"/>
      <c r="AE115" s="182"/>
      <c r="AF115" s="182"/>
      <c r="AG115" s="182"/>
      <c r="AH115" s="304" t="e">
        <f t="shared" si="75"/>
        <v>#N/A</v>
      </c>
      <c r="AI115" s="534"/>
      <c r="AJ115" s="182"/>
      <c r="AK115" s="182"/>
      <c r="AL115" s="182"/>
      <c r="AM115" s="304" t="e">
        <f t="shared" si="76"/>
        <v>#N/A</v>
      </c>
      <c r="AN115" s="534"/>
      <c r="AO115" s="182"/>
      <c r="AP115" s="182"/>
      <c r="AQ115" s="182"/>
      <c r="AR115" s="304" t="e">
        <f t="shared" si="77"/>
        <v>#N/A</v>
      </c>
      <c r="AS115" s="534"/>
      <c r="AT115" s="182"/>
      <c r="AU115" s="182"/>
      <c r="AV115" s="182"/>
      <c r="AW115" s="304" t="e">
        <f t="shared" si="78"/>
        <v>#N/A</v>
      </c>
      <c r="AX115" s="534"/>
    </row>
    <row r="116" spans="2:50">
      <c r="B116" s="565"/>
      <c r="C116" s="463">
        <v>10</v>
      </c>
      <c r="D116" s="467"/>
      <c r="E116" s="464" t="s">
        <v>578</v>
      </c>
      <c r="F116" s="464" t="s">
        <v>578</v>
      </c>
      <c r="G116" s="464" t="s">
        <v>578</v>
      </c>
      <c r="H116" s="547"/>
      <c r="I116" s="464"/>
      <c r="J116" s="464"/>
      <c r="K116" s="465"/>
      <c r="L116" s="547"/>
      <c r="M116" s="464" t="e">
        <f>RANK(K116, K$67:$K$81)</f>
        <v>#N/A</v>
      </c>
      <c r="N116" s="544"/>
      <c r="O116" s="544"/>
      <c r="P116" s="463" t="s">
        <v>578</v>
      </c>
      <c r="Q116" s="464" t="s">
        <v>578</v>
      </c>
      <c r="R116" s="464" t="s">
        <v>578</v>
      </c>
      <c r="S116" s="463" t="e">
        <f t="shared" si="72"/>
        <v>#VALUE!</v>
      </c>
      <c r="T116" s="615"/>
      <c r="U116" s="463" t="s">
        <v>578</v>
      </c>
      <c r="V116" s="464" t="s">
        <v>578</v>
      </c>
      <c r="W116" s="464" t="s">
        <v>578</v>
      </c>
      <c r="X116" s="463" t="e">
        <f t="shared" si="73"/>
        <v>#VALUE!</v>
      </c>
      <c r="Y116" s="536"/>
      <c r="Z116" s="182"/>
      <c r="AA116" s="182"/>
      <c r="AB116" s="182"/>
      <c r="AC116" s="304" t="e">
        <f t="shared" si="74"/>
        <v>#N/A</v>
      </c>
      <c r="AD116" s="534"/>
      <c r="AE116" s="182"/>
      <c r="AF116" s="182"/>
      <c r="AG116" s="182"/>
      <c r="AH116" s="304" t="e">
        <f t="shared" si="75"/>
        <v>#N/A</v>
      </c>
      <c r="AI116" s="534"/>
      <c r="AJ116" s="182"/>
      <c r="AK116" s="182"/>
      <c r="AL116" s="182"/>
      <c r="AM116" s="304" t="e">
        <f t="shared" si="76"/>
        <v>#N/A</v>
      </c>
      <c r="AN116" s="534"/>
      <c r="AO116" s="182"/>
      <c r="AP116" s="182"/>
      <c r="AQ116" s="182"/>
      <c r="AR116" s="304" t="e">
        <f t="shared" si="77"/>
        <v>#N/A</v>
      </c>
      <c r="AS116" s="534"/>
      <c r="AT116" s="182"/>
      <c r="AU116" s="182"/>
      <c r="AV116" s="182"/>
      <c r="AW116" s="304" t="e">
        <f t="shared" si="78"/>
        <v>#N/A</v>
      </c>
      <c r="AX116" s="534"/>
    </row>
    <row r="117" spans="2:50">
      <c r="B117" s="565"/>
      <c r="C117" s="463">
        <v>11</v>
      </c>
      <c r="D117" s="467"/>
      <c r="E117" s="464" t="s">
        <v>578</v>
      </c>
      <c r="F117" s="464" t="s">
        <v>578</v>
      </c>
      <c r="G117" s="464" t="s">
        <v>578</v>
      </c>
      <c r="H117" s="547"/>
      <c r="I117" s="464"/>
      <c r="J117" s="464"/>
      <c r="K117" s="465"/>
      <c r="L117" s="547"/>
      <c r="M117" s="464" t="e">
        <f>RANK(K117, K$67:$K$81)</f>
        <v>#N/A</v>
      </c>
      <c r="N117" s="544"/>
      <c r="O117" s="544"/>
      <c r="P117" s="463" t="s">
        <v>578</v>
      </c>
      <c r="Q117" s="464" t="s">
        <v>578</v>
      </c>
      <c r="R117" s="464" t="s">
        <v>578</v>
      </c>
      <c r="S117" s="463" t="e">
        <f t="shared" si="72"/>
        <v>#VALUE!</v>
      </c>
      <c r="T117" s="615"/>
      <c r="U117" s="463" t="s">
        <v>578</v>
      </c>
      <c r="V117" s="464" t="s">
        <v>578</v>
      </c>
      <c r="W117" s="464" t="s">
        <v>578</v>
      </c>
      <c r="X117" s="463" t="e">
        <f t="shared" si="73"/>
        <v>#VALUE!</v>
      </c>
      <c r="Y117" s="536"/>
      <c r="Z117" s="182"/>
      <c r="AA117" s="182"/>
      <c r="AB117" s="182"/>
      <c r="AC117" s="304" t="e">
        <f t="shared" si="74"/>
        <v>#N/A</v>
      </c>
      <c r="AD117" s="534"/>
      <c r="AE117" s="182"/>
      <c r="AF117" s="182"/>
      <c r="AG117" s="182"/>
      <c r="AH117" s="304" t="e">
        <f t="shared" si="75"/>
        <v>#N/A</v>
      </c>
      <c r="AI117" s="534"/>
      <c r="AJ117" s="182"/>
      <c r="AK117" s="182"/>
      <c r="AL117" s="182"/>
      <c r="AM117" s="304" t="e">
        <f t="shared" si="76"/>
        <v>#N/A</v>
      </c>
      <c r="AN117" s="534"/>
      <c r="AO117" s="182"/>
      <c r="AP117" s="182"/>
      <c r="AQ117" s="182"/>
      <c r="AR117" s="304" t="e">
        <f t="shared" si="77"/>
        <v>#N/A</v>
      </c>
      <c r="AS117" s="534"/>
      <c r="AT117" s="182"/>
      <c r="AU117" s="182"/>
      <c r="AV117" s="182"/>
      <c r="AW117" s="304" t="e">
        <f t="shared" si="78"/>
        <v>#N/A</v>
      </c>
      <c r="AX117" s="534"/>
    </row>
    <row r="118" spans="2:50">
      <c r="B118" s="565"/>
      <c r="C118" s="463">
        <v>12</v>
      </c>
      <c r="D118" s="467"/>
      <c r="E118" s="464" t="s">
        <v>578</v>
      </c>
      <c r="F118" s="464" t="s">
        <v>578</v>
      </c>
      <c r="G118" s="464" t="s">
        <v>578</v>
      </c>
      <c r="H118" s="547"/>
      <c r="I118" s="464"/>
      <c r="J118" s="464"/>
      <c r="K118" s="465"/>
      <c r="L118" s="547"/>
      <c r="M118" s="464" t="e">
        <f>RANK(K118, K$67:$K$81)</f>
        <v>#N/A</v>
      </c>
      <c r="N118" s="544"/>
      <c r="O118" s="544"/>
      <c r="P118" s="463" t="s">
        <v>578</v>
      </c>
      <c r="Q118" s="464" t="s">
        <v>578</v>
      </c>
      <c r="R118" s="464" t="s">
        <v>578</v>
      </c>
      <c r="S118" s="463" t="e">
        <f t="shared" si="72"/>
        <v>#VALUE!</v>
      </c>
      <c r="T118" s="615"/>
      <c r="U118" s="463" t="s">
        <v>578</v>
      </c>
      <c r="V118" s="464" t="s">
        <v>578</v>
      </c>
      <c r="W118" s="464" t="s">
        <v>578</v>
      </c>
      <c r="X118" s="463" t="e">
        <f t="shared" si="73"/>
        <v>#VALUE!</v>
      </c>
      <c r="Y118" s="536"/>
      <c r="Z118" s="182"/>
      <c r="AA118" s="182"/>
      <c r="AB118" s="182"/>
      <c r="AC118" s="304" t="e">
        <f t="shared" si="74"/>
        <v>#N/A</v>
      </c>
      <c r="AD118" s="534"/>
      <c r="AE118" s="182"/>
      <c r="AF118" s="182"/>
      <c r="AG118" s="182"/>
      <c r="AH118" s="304" t="e">
        <f t="shared" si="75"/>
        <v>#N/A</v>
      </c>
      <c r="AI118" s="534"/>
      <c r="AJ118" s="182"/>
      <c r="AK118" s="182"/>
      <c r="AL118" s="182"/>
      <c r="AM118" s="304" t="e">
        <f t="shared" si="76"/>
        <v>#N/A</v>
      </c>
      <c r="AN118" s="534"/>
      <c r="AO118" s="182"/>
      <c r="AP118" s="182"/>
      <c r="AQ118" s="182"/>
      <c r="AR118" s="304" t="e">
        <f t="shared" si="77"/>
        <v>#N/A</v>
      </c>
      <c r="AS118" s="534"/>
      <c r="AT118" s="182"/>
      <c r="AU118" s="182"/>
      <c r="AV118" s="182"/>
      <c r="AW118" s="304" t="e">
        <f t="shared" si="78"/>
        <v>#N/A</v>
      </c>
      <c r="AX118" s="534"/>
    </row>
    <row r="119" spans="2:50">
      <c r="B119" s="565"/>
      <c r="C119" s="463">
        <v>13</v>
      </c>
      <c r="D119" s="467"/>
      <c r="E119" s="464" t="s">
        <v>578</v>
      </c>
      <c r="F119" s="464" t="s">
        <v>578</v>
      </c>
      <c r="G119" s="464" t="s">
        <v>578</v>
      </c>
      <c r="H119" s="547"/>
      <c r="I119" s="463"/>
      <c r="J119" s="463"/>
      <c r="K119" s="463"/>
      <c r="L119" s="547"/>
      <c r="M119" s="464" t="e">
        <f>RANK(K119, K$67:$K$81)</f>
        <v>#N/A</v>
      </c>
      <c r="N119" s="544"/>
      <c r="O119" s="544"/>
      <c r="P119" s="463" t="s">
        <v>578</v>
      </c>
      <c r="Q119" s="464" t="s">
        <v>578</v>
      </c>
      <c r="R119" s="464" t="s">
        <v>578</v>
      </c>
      <c r="S119" s="463" t="e">
        <f t="shared" si="72"/>
        <v>#VALUE!</v>
      </c>
      <c r="T119" s="615"/>
      <c r="U119" s="463" t="s">
        <v>578</v>
      </c>
      <c r="V119" s="464" t="s">
        <v>578</v>
      </c>
      <c r="W119" s="464" t="s">
        <v>578</v>
      </c>
      <c r="X119" s="463" t="e">
        <f t="shared" si="73"/>
        <v>#VALUE!</v>
      </c>
      <c r="Y119" s="536"/>
      <c r="Z119" s="182"/>
      <c r="AA119" s="182"/>
      <c r="AB119" s="182"/>
      <c r="AC119" s="304" t="e">
        <f t="shared" si="74"/>
        <v>#N/A</v>
      </c>
      <c r="AD119" s="534"/>
      <c r="AE119" s="182"/>
      <c r="AF119" s="182"/>
      <c r="AG119" s="182"/>
      <c r="AH119" s="304" t="e">
        <f t="shared" si="75"/>
        <v>#N/A</v>
      </c>
      <c r="AI119" s="534"/>
      <c r="AJ119" s="182"/>
      <c r="AK119" s="182"/>
      <c r="AL119" s="182"/>
      <c r="AM119" s="304" t="e">
        <f t="shared" si="76"/>
        <v>#N/A</v>
      </c>
      <c r="AN119" s="534"/>
      <c r="AO119" s="182"/>
      <c r="AP119" s="182"/>
      <c r="AQ119" s="182"/>
      <c r="AR119" s="304" t="e">
        <f t="shared" si="77"/>
        <v>#N/A</v>
      </c>
      <c r="AS119" s="534"/>
      <c r="AT119" s="182"/>
      <c r="AU119" s="182"/>
      <c r="AV119" s="182"/>
      <c r="AW119" s="304" t="e">
        <f t="shared" si="78"/>
        <v>#N/A</v>
      </c>
      <c r="AX119" s="534"/>
    </row>
    <row r="120" spans="2:50">
      <c r="B120" s="565"/>
      <c r="C120" s="463">
        <v>14</v>
      </c>
      <c r="D120" s="467"/>
      <c r="E120" s="464" t="s">
        <v>578</v>
      </c>
      <c r="F120" s="464" t="s">
        <v>578</v>
      </c>
      <c r="G120" s="464" t="s">
        <v>578</v>
      </c>
      <c r="H120" s="547"/>
      <c r="I120" s="463"/>
      <c r="J120" s="463"/>
      <c r="K120" s="463"/>
      <c r="L120" s="547"/>
      <c r="M120" s="464" t="e">
        <f>RANK(K120, K$67:$K$81)</f>
        <v>#N/A</v>
      </c>
      <c r="N120" s="544"/>
      <c r="O120" s="544"/>
      <c r="P120" s="463" t="s">
        <v>578</v>
      </c>
      <c r="Q120" s="464" t="s">
        <v>578</v>
      </c>
      <c r="R120" s="464" t="s">
        <v>578</v>
      </c>
      <c r="S120" s="463" t="e">
        <f t="shared" si="72"/>
        <v>#VALUE!</v>
      </c>
      <c r="T120" s="615"/>
      <c r="U120" s="463" t="s">
        <v>578</v>
      </c>
      <c r="V120" s="464" t="s">
        <v>578</v>
      </c>
      <c r="W120" s="464" t="s">
        <v>578</v>
      </c>
      <c r="X120" s="463" t="e">
        <f t="shared" si="73"/>
        <v>#VALUE!</v>
      </c>
      <c r="Y120" s="536"/>
      <c r="Z120" s="182"/>
      <c r="AA120" s="182"/>
      <c r="AB120" s="182"/>
      <c r="AC120" s="304" t="e">
        <f t="shared" si="74"/>
        <v>#N/A</v>
      </c>
      <c r="AD120" s="534"/>
      <c r="AE120" s="182"/>
      <c r="AF120" s="182"/>
      <c r="AG120" s="182"/>
      <c r="AH120" s="304" t="e">
        <f t="shared" si="75"/>
        <v>#N/A</v>
      </c>
      <c r="AI120" s="534"/>
      <c r="AJ120" s="182"/>
      <c r="AK120" s="182"/>
      <c r="AL120" s="182"/>
      <c r="AM120" s="304" t="e">
        <f t="shared" si="76"/>
        <v>#N/A</v>
      </c>
      <c r="AN120" s="534"/>
      <c r="AO120" s="182"/>
      <c r="AP120" s="182"/>
      <c r="AQ120" s="182"/>
      <c r="AR120" s="304" t="e">
        <f t="shared" si="77"/>
        <v>#N/A</v>
      </c>
      <c r="AS120" s="534"/>
      <c r="AT120" s="182"/>
      <c r="AU120" s="182"/>
      <c r="AV120" s="182"/>
      <c r="AW120" s="304" t="e">
        <f t="shared" si="78"/>
        <v>#N/A</v>
      </c>
      <c r="AX120" s="534"/>
    </row>
    <row r="121" spans="2:50">
      <c r="B121" s="565"/>
      <c r="C121" s="463">
        <v>15</v>
      </c>
      <c r="D121" s="467"/>
      <c r="E121" s="464" t="s">
        <v>578</v>
      </c>
      <c r="F121" s="464" t="s">
        <v>578</v>
      </c>
      <c r="G121" s="464" t="s">
        <v>578</v>
      </c>
      <c r="H121" s="606"/>
      <c r="I121" s="463"/>
      <c r="J121" s="463"/>
      <c r="K121" s="463"/>
      <c r="L121" s="606"/>
      <c r="M121" s="464" t="e">
        <f>RANK(K121, K$67:$K$81)</f>
        <v>#N/A</v>
      </c>
      <c r="N121" s="544"/>
      <c r="O121" s="544"/>
      <c r="P121" s="463" t="s">
        <v>578</v>
      </c>
      <c r="Q121" s="464" t="s">
        <v>578</v>
      </c>
      <c r="R121" s="464" t="s">
        <v>578</v>
      </c>
      <c r="S121" s="463" t="e">
        <f t="shared" si="72"/>
        <v>#VALUE!</v>
      </c>
      <c r="T121" s="615"/>
      <c r="U121" s="463" t="s">
        <v>578</v>
      </c>
      <c r="V121" s="464" t="s">
        <v>578</v>
      </c>
      <c r="W121" s="464" t="s">
        <v>578</v>
      </c>
      <c r="X121" s="463" t="e">
        <f t="shared" si="73"/>
        <v>#VALUE!</v>
      </c>
      <c r="Y121" s="536"/>
      <c r="Z121" s="182"/>
      <c r="AA121" s="182"/>
      <c r="AB121" s="182"/>
      <c r="AC121" s="304" t="e">
        <f t="shared" si="74"/>
        <v>#N/A</v>
      </c>
      <c r="AD121" s="534"/>
      <c r="AE121" s="182"/>
      <c r="AF121" s="182"/>
      <c r="AG121" s="182"/>
      <c r="AH121" s="304" t="e">
        <f t="shared" si="75"/>
        <v>#N/A</v>
      </c>
      <c r="AI121" s="534"/>
      <c r="AJ121" s="182"/>
      <c r="AK121" s="182"/>
      <c r="AL121" s="182"/>
      <c r="AM121" s="304" t="e">
        <f t="shared" si="76"/>
        <v>#N/A</v>
      </c>
      <c r="AN121" s="534"/>
      <c r="AO121" s="182"/>
      <c r="AP121" s="182"/>
      <c r="AQ121" s="182"/>
      <c r="AR121" s="304" t="e">
        <f t="shared" si="77"/>
        <v>#N/A</v>
      </c>
      <c r="AS121" s="534"/>
      <c r="AT121" s="182"/>
      <c r="AU121" s="182"/>
      <c r="AV121" s="182"/>
      <c r="AW121" s="304" t="e">
        <f t="shared" si="78"/>
        <v>#N/A</v>
      </c>
      <c r="AX121" s="534"/>
    </row>
    <row r="123" spans="2:50" ht="15.5">
      <c r="B123" s="540" t="s">
        <v>498</v>
      </c>
      <c r="C123" s="541"/>
      <c r="D123" s="541"/>
      <c r="E123" s="541"/>
      <c r="F123" s="541"/>
      <c r="G123" s="541"/>
      <c r="H123" s="542"/>
      <c r="I123" s="308"/>
      <c r="J123" s="308"/>
      <c r="K123" s="308"/>
      <c r="L123" s="308"/>
      <c r="M123" s="309"/>
    </row>
    <row r="124" spans="2:50" ht="15.5">
      <c r="B124" s="543"/>
      <c r="C124" s="543"/>
      <c r="D124" s="543"/>
      <c r="E124" s="543"/>
      <c r="F124" s="543"/>
      <c r="G124" s="543"/>
      <c r="H124" s="543"/>
      <c r="I124" s="310"/>
      <c r="J124" s="310"/>
      <c r="K124" s="310"/>
      <c r="L124" s="310"/>
      <c r="M124" s="311"/>
    </row>
    <row r="125" spans="2:50">
      <c r="B125" s="544" t="s">
        <v>154</v>
      </c>
      <c r="C125" s="544" t="s">
        <v>434</v>
      </c>
      <c r="D125" s="544"/>
      <c r="E125" s="544" t="s">
        <v>425</v>
      </c>
      <c r="F125" s="544"/>
      <c r="G125" s="544"/>
      <c r="H125" s="561" t="s">
        <v>421</v>
      </c>
      <c r="I125" s="545" t="s">
        <v>426</v>
      </c>
      <c r="J125" s="545"/>
      <c r="K125" s="545"/>
      <c r="L125" s="600" t="s">
        <v>421</v>
      </c>
      <c r="M125" s="603" t="s">
        <v>422</v>
      </c>
    </row>
    <row r="126" spans="2:50">
      <c r="B126" s="544"/>
      <c r="C126" s="544"/>
      <c r="D126" s="544"/>
      <c r="E126" s="544" t="s">
        <v>428</v>
      </c>
      <c r="F126" s="544"/>
      <c r="G126" s="544"/>
      <c r="H126" s="562"/>
      <c r="I126" s="545" t="s">
        <v>428</v>
      </c>
      <c r="J126" s="545"/>
      <c r="K126" s="545"/>
      <c r="L126" s="601"/>
      <c r="M126" s="604"/>
    </row>
    <row r="127" spans="2:50">
      <c r="B127" s="544"/>
      <c r="C127" s="544"/>
      <c r="D127" s="544"/>
      <c r="E127" s="305" t="s">
        <v>430</v>
      </c>
      <c r="F127" s="305" t="s">
        <v>431</v>
      </c>
      <c r="G127" s="305" t="s">
        <v>432</v>
      </c>
      <c r="H127" s="563"/>
      <c r="I127" s="312" t="s">
        <v>430</v>
      </c>
      <c r="J127" s="312" t="s">
        <v>431</v>
      </c>
      <c r="K127" s="312" t="s">
        <v>432</v>
      </c>
      <c r="L127" s="602"/>
      <c r="M127" s="605"/>
    </row>
    <row r="128" spans="2:50">
      <c r="B128" s="544" t="s">
        <v>436</v>
      </c>
      <c r="C128" s="304">
        <v>1</v>
      </c>
      <c r="D128" s="226" t="s">
        <v>393</v>
      </c>
      <c r="E128" s="182">
        <v>18</v>
      </c>
      <c r="F128" s="304">
        <v>1636</v>
      </c>
      <c r="G128" s="307">
        <v>90.888888888888886</v>
      </c>
      <c r="H128" s="597">
        <f>AVERAGE(G128:G142)</f>
        <v>87.782109015855156</v>
      </c>
      <c r="I128" s="199">
        <f t="shared" ref="I128:J138" si="79">AVERAGEIF($D$7:$D$121,$D128,I$7:I$121)</f>
        <v>18.095238095238095</v>
      </c>
      <c r="J128" s="199">
        <f t="shared" si="79"/>
        <v>1393.241860747539</v>
      </c>
      <c r="K128" s="468">
        <f t="shared" ref="K128:K138" si="80">AVERAGEIF($D$7:$D$121,$D128,K$7:K$121)</f>
        <v>77.030805888723677</v>
      </c>
      <c r="L128" s="587">
        <f>AVERAGE(K128:K142)</f>
        <v>71.774379654972535</v>
      </c>
      <c r="M128" s="199">
        <f>RANK(K128, K$128:$K$142)</f>
        <v>4</v>
      </c>
    </row>
    <row r="129" spans="2:13">
      <c r="B129" s="533"/>
      <c r="C129" s="304">
        <v>2</v>
      </c>
      <c r="D129" s="226" t="s">
        <v>347</v>
      </c>
      <c r="E129" s="182">
        <v>17</v>
      </c>
      <c r="F129" s="304">
        <v>1636</v>
      </c>
      <c r="G129" s="307">
        <v>96.235294117647058</v>
      </c>
      <c r="H129" s="598"/>
      <c r="I129" s="199">
        <f t="shared" si="79"/>
        <v>17.19047619047619</v>
      </c>
      <c r="J129" s="199">
        <f t="shared" si="79"/>
        <v>1424.8398195447753</v>
      </c>
      <c r="K129" s="468">
        <f t="shared" si="80"/>
        <v>82.984469801575528</v>
      </c>
      <c r="L129" s="588"/>
      <c r="M129" s="199">
        <f>RANK(K129, K$128:$K$142)</f>
        <v>2</v>
      </c>
    </row>
    <row r="130" spans="2:13">
      <c r="B130" s="533"/>
      <c r="C130" s="304">
        <v>3</v>
      </c>
      <c r="D130" s="313" t="s">
        <v>985</v>
      </c>
      <c r="E130" s="182">
        <v>12</v>
      </c>
      <c r="F130" s="304">
        <v>1500</v>
      </c>
      <c r="G130" s="307">
        <v>125</v>
      </c>
      <c r="H130" s="598"/>
      <c r="I130" s="199">
        <f t="shared" si="79"/>
        <v>13.214285714285715</v>
      </c>
      <c r="J130" s="199">
        <f t="shared" si="79"/>
        <v>1312.9430515893</v>
      </c>
      <c r="K130" s="468">
        <f t="shared" si="80"/>
        <v>99.760984882928256</v>
      </c>
      <c r="L130" s="588"/>
      <c r="M130" s="199">
        <f>RANK(K130, K$128:$K$142)</f>
        <v>1</v>
      </c>
    </row>
    <row r="131" spans="2:13">
      <c r="B131" s="533"/>
      <c r="C131" s="304">
        <v>4</v>
      </c>
      <c r="D131" s="226" t="s">
        <v>479</v>
      </c>
      <c r="E131" s="182">
        <v>17</v>
      </c>
      <c r="F131" s="304">
        <v>1636</v>
      </c>
      <c r="G131" s="307">
        <v>96.235294117647058</v>
      </c>
      <c r="H131" s="598"/>
      <c r="I131" s="199">
        <f t="shared" si="79"/>
        <v>17.464285714285715</v>
      </c>
      <c r="J131" s="199">
        <f t="shared" si="79"/>
        <v>1411.7944948459481</v>
      </c>
      <c r="K131" s="468">
        <f t="shared" si="80"/>
        <v>80.910020229292655</v>
      </c>
      <c r="L131" s="588"/>
      <c r="M131" s="199">
        <f>RANK(K131, K$128:$K$142)</f>
        <v>3</v>
      </c>
    </row>
    <row r="132" spans="2:13">
      <c r="B132" s="533"/>
      <c r="C132" s="304">
        <v>5</v>
      </c>
      <c r="D132" s="313" t="s">
        <v>982</v>
      </c>
      <c r="E132" s="182">
        <v>17</v>
      </c>
      <c r="F132" s="304">
        <v>1385</v>
      </c>
      <c r="G132" s="307">
        <v>81.470588235294116</v>
      </c>
      <c r="H132" s="598"/>
      <c r="I132" s="199">
        <f t="shared" si="79"/>
        <v>17.5</v>
      </c>
      <c r="J132" s="199">
        <f t="shared" si="79"/>
        <v>1216.1455446296573</v>
      </c>
      <c r="K132" s="468">
        <f t="shared" si="80"/>
        <v>69.557759015373108</v>
      </c>
      <c r="L132" s="588"/>
      <c r="M132" s="199">
        <f>RANK(K132, K$128:$K$142)</f>
        <v>7</v>
      </c>
    </row>
    <row r="133" spans="2:13">
      <c r="B133" s="533"/>
      <c r="C133" s="304">
        <v>6</v>
      </c>
      <c r="D133" s="313" t="s">
        <v>617</v>
      </c>
      <c r="E133" s="182">
        <v>15</v>
      </c>
      <c r="F133" s="304">
        <v>1500</v>
      </c>
      <c r="G133" s="307">
        <v>100</v>
      </c>
      <c r="H133" s="598"/>
      <c r="I133" s="199">
        <f t="shared" si="79"/>
        <v>17.214285714285715</v>
      </c>
      <c r="J133" s="199">
        <f t="shared" si="79"/>
        <v>1263.9765264073876</v>
      </c>
      <c r="K133" s="468">
        <f t="shared" si="80"/>
        <v>73.573902212269743</v>
      </c>
      <c r="L133" s="588"/>
      <c r="M133" s="199">
        <f>RANK(K133, K$128:$K$142)</f>
        <v>5</v>
      </c>
    </row>
    <row r="134" spans="2:13">
      <c r="B134" s="533"/>
      <c r="C134" s="304">
        <v>7</v>
      </c>
      <c r="D134" s="226" t="s">
        <v>622</v>
      </c>
      <c r="E134" s="182">
        <v>19</v>
      </c>
      <c r="F134" s="304">
        <v>1100</v>
      </c>
      <c r="G134" s="307">
        <v>57.89473684210526</v>
      </c>
      <c r="H134" s="598"/>
      <c r="I134" s="199">
        <f t="shared" si="79"/>
        <v>19.88095238095238</v>
      </c>
      <c r="J134" s="199">
        <f t="shared" si="79"/>
        <v>1085.0644041993396</v>
      </c>
      <c r="K134" s="468">
        <f t="shared" si="80"/>
        <v>54.608515640448168</v>
      </c>
      <c r="L134" s="588"/>
      <c r="M134" s="199">
        <f>RANK(K134, K$128:$K$142)</f>
        <v>10</v>
      </c>
    </row>
    <row r="135" spans="2:13">
      <c r="B135" s="533"/>
      <c r="C135" s="304">
        <v>8</v>
      </c>
      <c r="D135" s="226" t="s">
        <v>642</v>
      </c>
      <c r="E135" s="182">
        <v>19</v>
      </c>
      <c r="F135" s="304">
        <v>1385</v>
      </c>
      <c r="G135" s="307">
        <v>72.89473684210526</v>
      </c>
      <c r="H135" s="598"/>
      <c r="I135" s="199">
        <f t="shared" si="79"/>
        <v>19.80952380952381</v>
      </c>
      <c r="J135" s="199">
        <f t="shared" si="79"/>
        <v>1044.3060317906693</v>
      </c>
      <c r="K135" s="468">
        <f t="shared" si="80"/>
        <v>52.747904742437377</v>
      </c>
      <c r="L135" s="588"/>
      <c r="M135" s="199">
        <f>RANK(K135, K$128:$K$142)</f>
        <v>11</v>
      </c>
    </row>
    <row r="136" spans="2:13">
      <c r="B136" s="533"/>
      <c r="C136" s="304">
        <v>9</v>
      </c>
      <c r="D136" s="226" t="s">
        <v>630</v>
      </c>
      <c r="E136" s="304">
        <v>17</v>
      </c>
      <c r="F136" s="304">
        <v>1440</v>
      </c>
      <c r="G136" s="304">
        <v>84.705882352941174</v>
      </c>
      <c r="H136" s="598"/>
      <c r="I136" s="199">
        <f t="shared" si="79"/>
        <v>18.333333333333332</v>
      </c>
      <c r="J136" s="199">
        <f t="shared" si="79"/>
        <v>1076.6287781544645</v>
      </c>
      <c r="K136" s="468">
        <f t="shared" si="80"/>
        <v>58.763328547371259</v>
      </c>
      <c r="L136" s="588"/>
      <c r="M136" s="199">
        <f>RANK(K136, K$128:$K$142)</f>
        <v>9</v>
      </c>
    </row>
    <row r="137" spans="2:13">
      <c r="B137" s="533"/>
      <c r="C137" s="304">
        <v>10</v>
      </c>
      <c r="D137" s="313" t="s">
        <v>983</v>
      </c>
      <c r="E137" s="304">
        <v>18</v>
      </c>
      <c r="F137" s="304">
        <v>1500</v>
      </c>
      <c r="G137" s="304">
        <v>83.333333333333329</v>
      </c>
      <c r="H137" s="598"/>
      <c r="I137" s="199">
        <f t="shared" si="79"/>
        <v>18</v>
      </c>
      <c r="J137" s="199">
        <f t="shared" si="79"/>
        <v>1318.6997668298297</v>
      </c>
      <c r="K137" s="468">
        <f t="shared" si="80"/>
        <v>73.261098157212757</v>
      </c>
      <c r="L137" s="588"/>
      <c r="M137" s="199">
        <f>RANK(K137, K$128:$K$142)</f>
        <v>6</v>
      </c>
    </row>
    <row r="138" spans="2:13">
      <c r="B138" s="533"/>
      <c r="C138" s="304">
        <v>11</v>
      </c>
      <c r="D138" s="313" t="s">
        <v>984</v>
      </c>
      <c r="E138" s="304">
        <v>18</v>
      </c>
      <c r="F138" s="304">
        <v>1385</v>
      </c>
      <c r="G138" s="304">
        <v>76.944444444444443</v>
      </c>
      <c r="H138" s="598"/>
      <c r="I138" s="401">
        <f t="shared" si="79"/>
        <v>18.285714285714285</v>
      </c>
      <c r="J138" s="401">
        <f t="shared" si="79"/>
        <v>1213.536320287913</v>
      </c>
      <c r="K138" s="468">
        <f t="shared" si="80"/>
        <v>66.319387087065351</v>
      </c>
      <c r="L138" s="588"/>
      <c r="M138" s="199">
        <f>RANK(K138, K$128:$K$142)</f>
        <v>8</v>
      </c>
    </row>
    <row r="139" spans="2:13">
      <c r="B139" s="533"/>
      <c r="C139" s="304">
        <v>12</v>
      </c>
      <c r="D139" s="226"/>
      <c r="E139" s="304"/>
      <c r="F139" s="304"/>
      <c r="G139" s="304"/>
      <c r="H139" s="598"/>
      <c r="I139" s="199"/>
      <c r="J139" s="199"/>
      <c r="K139" s="468"/>
      <c r="L139" s="588"/>
      <c r="M139" s="199" t="e">
        <f>RANK(K139, K$128:$K$142)</f>
        <v>#N/A</v>
      </c>
    </row>
    <row r="140" spans="2:13">
      <c r="B140" s="533"/>
      <c r="C140" s="304">
        <v>13</v>
      </c>
      <c r="D140" s="226"/>
      <c r="E140" s="304"/>
      <c r="F140" s="304"/>
      <c r="G140" s="304"/>
      <c r="H140" s="598"/>
      <c r="I140" s="199"/>
      <c r="J140" s="199"/>
      <c r="K140" s="468"/>
      <c r="L140" s="588"/>
      <c r="M140" s="199" t="e">
        <f>RANK(K140, K$128:$K$142)</f>
        <v>#N/A</v>
      </c>
    </row>
    <row r="141" spans="2:13">
      <c r="B141" s="533"/>
      <c r="C141" s="304">
        <v>14</v>
      </c>
      <c r="D141" s="226"/>
      <c r="E141" s="304"/>
      <c r="F141" s="304"/>
      <c r="G141" s="304"/>
      <c r="H141" s="598"/>
      <c r="I141" s="199"/>
      <c r="J141" s="199"/>
      <c r="K141" s="468"/>
      <c r="L141" s="588"/>
      <c r="M141" s="199" t="e">
        <f>RANK(K141, K$128:$K$142)</f>
        <v>#N/A</v>
      </c>
    </row>
    <row r="142" spans="2:13">
      <c r="B142" s="533"/>
      <c r="C142" s="304">
        <v>15</v>
      </c>
      <c r="D142" s="226"/>
      <c r="E142" s="304"/>
      <c r="F142" s="304"/>
      <c r="G142" s="304"/>
      <c r="H142" s="599"/>
      <c r="I142" s="199"/>
      <c r="J142" s="199"/>
      <c r="K142" s="468"/>
      <c r="L142" s="589"/>
      <c r="M142" s="199" t="e">
        <f>RANK(K142, K$128:$K$142)</f>
        <v>#N/A</v>
      </c>
    </row>
  </sheetData>
  <mergeCells count="367">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T22:AX22"/>
    <mergeCell ref="P23:T23"/>
    <mergeCell ref="U23:Y23"/>
    <mergeCell ref="Z23:AD23"/>
    <mergeCell ref="AE23:AI23"/>
    <mergeCell ref="AJ23:AN23"/>
    <mergeCell ref="AO23:AS23"/>
    <mergeCell ref="AT23:AX23"/>
    <mergeCell ref="AX7:AX21"/>
    <mergeCell ref="B22:H23"/>
    <mergeCell ref="N22:N23"/>
    <mergeCell ref="O22:O23"/>
    <mergeCell ref="P22:T22"/>
    <mergeCell ref="U22:Y22"/>
    <mergeCell ref="Z22:AD22"/>
    <mergeCell ref="AE22:AI22"/>
    <mergeCell ref="AJ22:AN22"/>
    <mergeCell ref="AO22:AS22"/>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102:H103"/>
    <mergeCell ref="N102:N103"/>
    <mergeCell ref="O102:O103"/>
    <mergeCell ref="P102:T102"/>
    <mergeCell ref="U102:Y102"/>
    <mergeCell ref="Z102:AD102"/>
    <mergeCell ref="AE102:AI102"/>
    <mergeCell ref="AJ102:AN102"/>
    <mergeCell ref="AO102:AS102"/>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s>
  <phoneticPr fontId="11" type="noConversion"/>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142"/>
  <sheetViews>
    <sheetView topLeftCell="A106" zoomScale="70" zoomScaleNormal="70" workbookViewId="0">
      <pane xSplit="15" topLeftCell="P1" activePane="topRight" state="frozen"/>
      <selection activeCell="B144" sqref="B144:AX176"/>
      <selection pane="topRight" activeCell="D133" sqref="D133"/>
    </sheetView>
  </sheetViews>
  <sheetFormatPr defaultColWidth="8.81640625" defaultRowHeight="12.5"/>
  <cols>
    <col min="1" max="1" width="5.54296875" style="108" customWidth="1"/>
    <col min="2" max="2" width="12.453125" style="108" customWidth="1"/>
    <col min="3" max="3" width="8.81640625" style="107"/>
    <col min="4" max="4" width="26.453125" style="107" customWidth="1"/>
    <col min="5" max="7" width="8.453125" style="107" customWidth="1"/>
    <col min="8" max="8" width="11.1796875" style="107" bestFit="1" customWidth="1"/>
    <col min="9" max="12" width="11.1796875" style="107" customWidth="1"/>
    <col min="13" max="13" width="13.54296875" style="107" customWidth="1"/>
    <col min="14" max="14" width="9.81640625" style="107" customWidth="1"/>
    <col min="15" max="15" width="7.1796875" style="107" customWidth="1"/>
    <col min="16" max="18" width="12.81640625" style="107" customWidth="1"/>
    <col min="19" max="19" width="5.453125" style="107" customWidth="1"/>
    <col min="20" max="20" width="12.81640625" style="107" customWidth="1"/>
    <col min="21" max="23" width="12.81640625" style="108" customWidth="1"/>
    <col min="24" max="24" width="5.453125" style="107" customWidth="1"/>
    <col min="25" max="28" width="12.81640625" style="108" customWidth="1"/>
    <col min="29" max="29" width="5.453125" style="107" customWidth="1"/>
    <col min="30" max="30" width="12.81640625" style="108" customWidth="1"/>
    <col min="31" max="33" width="12.54296875" style="108" customWidth="1"/>
    <col min="34" max="34" width="5.453125" style="107" customWidth="1"/>
    <col min="35" max="35" width="13" style="108" customWidth="1"/>
    <col min="36" max="38" width="12.54296875" style="108" customWidth="1"/>
    <col min="39" max="39" width="5.453125" style="107" customWidth="1"/>
    <col min="40" max="40" width="13" style="108" customWidth="1"/>
    <col min="41" max="43" width="13.1796875" style="108" customWidth="1"/>
    <col min="44" max="44" width="5.453125" style="108" customWidth="1"/>
    <col min="45" max="48" width="13.1796875" style="108" customWidth="1"/>
    <col min="49" max="49" width="5.453125" style="108" customWidth="1"/>
    <col min="50" max="50" width="13.1796875" style="108" customWidth="1"/>
    <col min="51" max="16384" width="8.81640625" style="108"/>
  </cols>
  <sheetData>
    <row r="1" spans="1:54" ht="21">
      <c r="A1" s="75"/>
      <c r="B1" s="221" t="s">
        <v>330</v>
      </c>
      <c r="C1" s="220">
        <f>AVERAGE(L7,L27,L47,L67,L87,L107)</f>
        <v>120.54740919621163</v>
      </c>
    </row>
    <row r="2" spans="1:54" ht="15.5">
      <c r="A2" s="81"/>
      <c r="B2" s="555" t="s">
        <v>163</v>
      </c>
      <c r="C2" s="555"/>
      <c r="D2" s="555"/>
      <c r="E2" s="555"/>
      <c r="F2" s="555"/>
      <c r="G2" s="555"/>
      <c r="H2" s="555"/>
      <c r="I2" s="287"/>
      <c r="J2" s="287"/>
      <c r="K2" s="287"/>
      <c r="L2" s="287"/>
      <c r="M2" s="197"/>
      <c r="N2" s="559" t="s">
        <v>156</v>
      </c>
      <c r="O2" s="559" t="s">
        <v>155</v>
      </c>
      <c r="P2" s="607"/>
      <c r="Q2" s="608"/>
      <c r="R2" s="608"/>
      <c r="S2" s="608"/>
      <c r="T2" s="609"/>
      <c r="U2" s="554"/>
      <c r="V2" s="533"/>
      <c r="W2" s="533"/>
      <c r="X2" s="533"/>
      <c r="Y2" s="533"/>
      <c r="Z2" s="554"/>
      <c r="AA2" s="533"/>
      <c r="AB2" s="533"/>
      <c r="AC2" s="533"/>
      <c r="AD2" s="533"/>
      <c r="AE2" s="554"/>
      <c r="AF2" s="533"/>
      <c r="AG2" s="533"/>
      <c r="AH2" s="533"/>
      <c r="AI2" s="533"/>
      <c r="AJ2" s="554">
        <v>45962</v>
      </c>
      <c r="AK2" s="533"/>
      <c r="AL2" s="533"/>
      <c r="AM2" s="533"/>
      <c r="AN2" s="533"/>
      <c r="AO2" s="554">
        <f>AJ2+1</f>
        <v>45963</v>
      </c>
      <c r="AP2" s="533"/>
      <c r="AQ2" s="533"/>
      <c r="AR2" s="533"/>
      <c r="AS2" s="533"/>
      <c r="AT2" s="554">
        <v>46357</v>
      </c>
      <c r="AU2" s="533"/>
      <c r="AV2" s="533"/>
      <c r="AW2" s="533"/>
      <c r="AX2" s="533"/>
    </row>
    <row r="3" spans="1:54" ht="15.5">
      <c r="A3" s="81"/>
      <c r="B3" s="566"/>
      <c r="C3" s="566"/>
      <c r="D3" s="566"/>
      <c r="E3" s="566"/>
      <c r="F3" s="566"/>
      <c r="G3" s="566"/>
      <c r="H3" s="566"/>
      <c r="I3" s="288"/>
      <c r="J3" s="288"/>
      <c r="K3" s="288"/>
      <c r="L3" s="288"/>
      <c r="M3" s="198"/>
      <c r="N3" s="560"/>
      <c r="O3" s="560"/>
      <c r="P3" s="551"/>
      <c r="Q3" s="552"/>
      <c r="R3" s="552"/>
      <c r="S3" s="552"/>
      <c r="T3" s="553"/>
      <c r="U3" s="551"/>
      <c r="V3" s="552"/>
      <c r="W3" s="552"/>
      <c r="X3" s="552"/>
      <c r="Y3" s="553"/>
      <c r="Z3" s="551"/>
      <c r="AA3" s="552"/>
      <c r="AB3" s="552"/>
      <c r="AC3" s="552"/>
      <c r="AD3" s="553"/>
      <c r="AE3" s="551"/>
      <c r="AF3" s="552"/>
      <c r="AG3" s="552"/>
      <c r="AH3" s="552"/>
      <c r="AI3" s="553"/>
      <c r="AJ3" s="551" t="s">
        <v>160</v>
      </c>
      <c r="AK3" s="552"/>
      <c r="AL3" s="552"/>
      <c r="AM3" s="552"/>
      <c r="AN3" s="553"/>
      <c r="AO3" s="551" t="s">
        <v>161</v>
      </c>
      <c r="AP3" s="552"/>
      <c r="AQ3" s="552"/>
      <c r="AR3" s="552"/>
      <c r="AS3" s="553"/>
      <c r="AT3" s="551" t="s">
        <v>162</v>
      </c>
      <c r="AU3" s="552"/>
      <c r="AV3" s="552"/>
      <c r="AW3" s="552"/>
      <c r="AX3" s="553"/>
    </row>
    <row r="4" spans="1:54">
      <c r="A4" s="81"/>
      <c r="B4" s="544" t="s">
        <v>744</v>
      </c>
      <c r="C4" s="544" t="s">
        <v>745</v>
      </c>
      <c r="D4" s="544"/>
      <c r="E4" s="544" t="s">
        <v>425</v>
      </c>
      <c r="F4" s="544"/>
      <c r="G4" s="544"/>
      <c r="H4" s="561" t="s">
        <v>746</v>
      </c>
      <c r="I4" s="583" t="s">
        <v>747</v>
      </c>
      <c r="J4" s="583"/>
      <c r="K4" s="583"/>
      <c r="L4" s="584" t="s">
        <v>421</v>
      </c>
      <c r="M4" s="567" t="s">
        <v>748</v>
      </c>
      <c r="N4" s="544"/>
      <c r="O4" s="544" t="s">
        <v>749</v>
      </c>
      <c r="P4" s="548" t="s">
        <v>457</v>
      </c>
      <c r="Q4" s="549"/>
      <c r="R4" s="549"/>
      <c r="S4" s="550"/>
      <c r="T4" s="544" t="s">
        <v>746</v>
      </c>
      <c r="U4" s="548" t="s">
        <v>750</v>
      </c>
      <c r="V4" s="549"/>
      <c r="W4" s="549"/>
      <c r="X4" s="550"/>
      <c r="Y4" s="544" t="s">
        <v>652</v>
      </c>
      <c r="Z4" s="548" t="s">
        <v>656</v>
      </c>
      <c r="AA4" s="549"/>
      <c r="AB4" s="549"/>
      <c r="AC4" s="550"/>
      <c r="AD4" s="544" t="s">
        <v>652</v>
      </c>
      <c r="AE4" s="548" t="s">
        <v>751</v>
      </c>
      <c r="AF4" s="549"/>
      <c r="AG4" s="549"/>
      <c r="AH4" s="550"/>
      <c r="AI4" s="544" t="s">
        <v>421</v>
      </c>
      <c r="AJ4" s="548" t="s">
        <v>752</v>
      </c>
      <c r="AK4" s="549"/>
      <c r="AL4" s="549"/>
      <c r="AM4" s="550"/>
      <c r="AN4" s="544" t="s">
        <v>753</v>
      </c>
      <c r="AO4" s="548" t="s">
        <v>457</v>
      </c>
      <c r="AP4" s="549"/>
      <c r="AQ4" s="549"/>
      <c r="AR4" s="550"/>
      <c r="AS4" s="544" t="s">
        <v>746</v>
      </c>
      <c r="AT4" s="548" t="s">
        <v>751</v>
      </c>
      <c r="AU4" s="549"/>
      <c r="AV4" s="549"/>
      <c r="AW4" s="550"/>
      <c r="AX4" s="544" t="s">
        <v>421</v>
      </c>
    </row>
    <row r="5" spans="1:54">
      <c r="A5" s="81"/>
      <c r="B5" s="544"/>
      <c r="C5" s="544"/>
      <c r="D5" s="544"/>
      <c r="E5" s="544" t="s">
        <v>754</v>
      </c>
      <c r="F5" s="544"/>
      <c r="G5" s="544"/>
      <c r="H5" s="562"/>
      <c r="I5" s="583" t="s">
        <v>755</v>
      </c>
      <c r="J5" s="583"/>
      <c r="K5" s="583"/>
      <c r="L5" s="585"/>
      <c r="M5" s="568"/>
      <c r="N5" s="544"/>
      <c r="O5" s="544"/>
      <c r="P5" s="548" t="s">
        <v>459</v>
      </c>
      <c r="Q5" s="549"/>
      <c r="R5" s="549"/>
      <c r="S5" s="550"/>
      <c r="T5" s="544"/>
      <c r="U5" s="548" t="s">
        <v>756</v>
      </c>
      <c r="V5" s="549"/>
      <c r="W5" s="549"/>
      <c r="X5" s="550"/>
      <c r="Y5" s="544"/>
      <c r="Z5" s="548" t="s">
        <v>757</v>
      </c>
      <c r="AA5" s="549"/>
      <c r="AB5" s="549"/>
      <c r="AC5" s="550"/>
      <c r="AD5" s="544"/>
      <c r="AE5" s="548" t="s">
        <v>658</v>
      </c>
      <c r="AF5" s="549"/>
      <c r="AG5" s="549"/>
      <c r="AH5" s="550"/>
      <c r="AI5" s="544"/>
      <c r="AJ5" s="548" t="s">
        <v>658</v>
      </c>
      <c r="AK5" s="549"/>
      <c r="AL5" s="549"/>
      <c r="AM5" s="550"/>
      <c r="AN5" s="544"/>
      <c r="AO5" s="548" t="s">
        <v>658</v>
      </c>
      <c r="AP5" s="549"/>
      <c r="AQ5" s="549"/>
      <c r="AR5" s="550"/>
      <c r="AS5" s="544"/>
      <c r="AT5" s="548" t="s">
        <v>758</v>
      </c>
      <c r="AU5" s="549"/>
      <c r="AV5" s="549"/>
      <c r="AW5" s="550"/>
      <c r="AX5" s="544"/>
    </row>
    <row r="6" spans="1:54">
      <c r="A6" s="79"/>
      <c r="B6" s="544"/>
      <c r="C6" s="544"/>
      <c r="D6" s="544"/>
      <c r="E6" s="403" t="s">
        <v>430</v>
      </c>
      <c r="F6" s="403" t="s">
        <v>759</v>
      </c>
      <c r="G6" s="403" t="s">
        <v>760</v>
      </c>
      <c r="H6" s="563"/>
      <c r="I6" s="402" t="s">
        <v>430</v>
      </c>
      <c r="J6" s="402" t="s">
        <v>759</v>
      </c>
      <c r="K6" s="402" t="s">
        <v>761</v>
      </c>
      <c r="L6" s="586"/>
      <c r="M6" s="569"/>
      <c r="N6" s="544"/>
      <c r="O6" s="544"/>
      <c r="P6" s="403" t="s">
        <v>430</v>
      </c>
      <c r="Q6" s="403" t="s">
        <v>759</v>
      </c>
      <c r="R6" s="403" t="s">
        <v>762</v>
      </c>
      <c r="S6" s="403" t="s">
        <v>422</v>
      </c>
      <c r="T6" s="544"/>
      <c r="U6" s="403" t="s">
        <v>763</v>
      </c>
      <c r="V6" s="403" t="s">
        <v>764</v>
      </c>
      <c r="W6" s="403" t="s">
        <v>661</v>
      </c>
      <c r="X6" s="403" t="s">
        <v>654</v>
      </c>
      <c r="Y6" s="544"/>
      <c r="Z6" s="403" t="s">
        <v>659</v>
      </c>
      <c r="AA6" s="403" t="s">
        <v>765</v>
      </c>
      <c r="AB6" s="403" t="s">
        <v>462</v>
      </c>
      <c r="AC6" s="403" t="s">
        <v>748</v>
      </c>
      <c r="AD6" s="544"/>
      <c r="AE6" s="403" t="s">
        <v>766</v>
      </c>
      <c r="AF6" s="403" t="s">
        <v>466</v>
      </c>
      <c r="AG6" s="403" t="s">
        <v>767</v>
      </c>
      <c r="AH6" s="403" t="s">
        <v>768</v>
      </c>
      <c r="AI6" s="544"/>
      <c r="AJ6" s="403" t="s">
        <v>430</v>
      </c>
      <c r="AK6" s="403" t="s">
        <v>759</v>
      </c>
      <c r="AL6" s="403" t="s">
        <v>760</v>
      </c>
      <c r="AM6" s="403" t="s">
        <v>422</v>
      </c>
      <c r="AN6" s="544"/>
      <c r="AO6" s="403" t="s">
        <v>763</v>
      </c>
      <c r="AP6" s="403" t="s">
        <v>764</v>
      </c>
      <c r="AQ6" s="403" t="s">
        <v>661</v>
      </c>
      <c r="AR6" s="403" t="s">
        <v>654</v>
      </c>
      <c r="AS6" s="544"/>
      <c r="AT6" s="403" t="s">
        <v>659</v>
      </c>
      <c r="AU6" s="403" t="s">
        <v>769</v>
      </c>
      <c r="AV6" s="403" t="s">
        <v>462</v>
      </c>
      <c r="AW6" s="403" t="s">
        <v>748</v>
      </c>
      <c r="AX6" s="544"/>
    </row>
    <row r="7" spans="1:54">
      <c r="A7" s="81"/>
      <c r="B7" s="544" t="s">
        <v>770</v>
      </c>
      <c r="C7" s="404">
        <v>1</v>
      </c>
      <c r="D7" s="226" t="s">
        <v>394</v>
      </c>
      <c r="E7" s="182">
        <v>21</v>
      </c>
      <c r="F7" s="404">
        <v>2400</v>
      </c>
      <c r="G7" s="405">
        <v>114.28571428571429</v>
      </c>
      <c r="H7" s="597">
        <f>AVERAGE(G7:G21)</f>
        <v>143.60275689223059</v>
      </c>
      <c r="I7" s="408">
        <f>AVERAGE(P7,U7,Z7,AE7,AJ7,AO7,AT7)</f>
        <v>21</v>
      </c>
      <c r="J7" s="408">
        <f>AVERAGE(Q7,V7,AA7,AF7,AK7,AP7,AU7)</f>
        <v>2195.4929577464791</v>
      </c>
      <c r="K7" s="406">
        <f>AVERAGE(R7,W7,AB7,AG7,AL7,AQ7,AV7)</f>
        <v>104.54728370221329</v>
      </c>
      <c r="L7" s="587">
        <f>IFERROR(AVERAGE(K7:K21),"-")</f>
        <v>120.36002694586053</v>
      </c>
      <c r="M7" s="407">
        <f>RANK(K7, $K$7:K$21)</f>
        <v>5</v>
      </c>
      <c r="N7" s="544"/>
      <c r="O7" s="544"/>
      <c r="P7" s="182"/>
      <c r="Q7" s="405"/>
      <c r="R7" s="405"/>
      <c r="S7" s="404" t="e">
        <f t="shared" ref="S7:S21" si="0">RANK(R7, R$7:R$21)</f>
        <v>#N/A</v>
      </c>
      <c r="T7" s="534" t="e">
        <f t="shared" ref="T7" si="1">AVERAGE(R7:R21)</f>
        <v>#DIV/0!</v>
      </c>
      <c r="U7" s="182"/>
      <c r="V7" s="405"/>
      <c r="W7" s="405"/>
      <c r="X7" s="404" t="e">
        <f t="shared" ref="X7:X21" si="2">RANK(W7, W$7:W$21)</f>
        <v>#N/A</v>
      </c>
      <c r="Y7" s="534" t="e">
        <f t="shared" ref="Y7" si="3">AVERAGE(W7:W21)</f>
        <v>#DIV/0!</v>
      </c>
      <c r="Z7" s="182"/>
      <c r="AA7" s="405"/>
      <c r="AB7" s="405"/>
      <c r="AC7" s="404" t="e">
        <f t="shared" ref="AC7:AC21" si="4">RANK(AB7, AB$7:AB$21)</f>
        <v>#N/A</v>
      </c>
      <c r="AD7" s="534" t="e">
        <f t="shared" ref="AD7" si="5">AVERAGE(AB7:AB21)</f>
        <v>#DIV/0!</v>
      </c>
      <c r="AE7" s="182"/>
      <c r="AF7" s="405"/>
      <c r="AG7" s="405"/>
      <c r="AH7" s="404" t="e">
        <f t="shared" ref="AH7:AH21" si="6">RANK(AG7, AG$7:AG$21)</f>
        <v>#N/A</v>
      </c>
      <c r="AI7" s="534" t="e">
        <f t="shared" ref="AI7" si="7">AVERAGE(AG7:AG21)</f>
        <v>#DIV/0!</v>
      </c>
      <c r="AJ7" s="182"/>
      <c r="AK7" s="405"/>
      <c r="AL7" s="405"/>
      <c r="AM7" s="404" t="e">
        <f t="shared" ref="AM7:AM21" si="8">RANK(AL7, AL$7:AL$21)</f>
        <v>#N/A</v>
      </c>
      <c r="AN7" s="534" t="e">
        <f t="shared" ref="AN7" si="9">AVERAGE(AL7:AL21)</f>
        <v>#DIV/0!</v>
      </c>
      <c r="AO7" s="182"/>
      <c r="AP7" s="405"/>
      <c r="AQ7" s="405"/>
      <c r="AR7" s="404" t="e">
        <f t="shared" ref="AR7:AR21" si="10">RANK(AQ7, AQ$7:AQ$21)</f>
        <v>#N/A</v>
      </c>
      <c r="AS7" s="534" t="e">
        <f t="shared" ref="AS7" si="11">AVERAGE(AQ7:AQ21)</f>
        <v>#DIV/0!</v>
      </c>
      <c r="AT7" s="182">
        <v>21</v>
      </c>
      <c r="AU7" s="405">
        <v>2195.4929577464791</v>
      </c>
      <c r="AV7" s="405">
        <v>104.54728370221329</v>
      </c>
      <c r="AW7" s="404">
        <f>RANK(AV7, AV$7:AV$21)</f>
        <v>5</v>
      </c>
      <c r="AX7" s="534">
        <f>AVERAGE(AV7:AV21)</f>
        <v>120.36002694586053</v>
      </c>
      <c r="AZ7" s="321" t="e">
        <f>RANK(AX7, $K$7:AX$21)</f>
        <v>#N/A</v>
      </c>
      <c r="BB7" s="318" t="e">
        <f>RANK(BA7, BA$7:BA$21)</f>
        <v>#N/A</v>
      </c>
    </row>
    <row r="8" spans="1:54" ht="15" customHeight="1">
      <c r="A8" s="81"/>
      <c r="B8" s="533"/>
      <c r="C8" s="404">
        <v>2</v>
      </c>
      <c r="D8" s="226" t="s">
        <v>395</v>
      </c>
      <c r="E8" s="182">
        <v>18</v>
      </c>
      <c r="F8" s="404">
        <v>3000</v>
      </c>
      <c r="G8" s="405">
        <v>166.66666666666666</v>
      </c>
      <c r="H8" s="598"/>
      <c r="I8" s="408">
        <f t="shared" ref="I8:K11" si="12">AVERAGE(P8,U8,Z8,AE8,AJ8,AO8,AT8)</f>
        <v>19</v>
      </c>
      <c r="J8" s="408">
        <f t="shared" si="12"/>
        <v>2421.2500000000009</v>
      </c>
      <c r="K8" s="406">
        <f t="shared" si="12"/>
        <v>127.43421052631584</v>
      </c>
      <c r="L8" s="588"/>
      <c r="M8" s="407">
        <f>RANK(K8, $K$7:K$21)</f>
        <v>3</v>
      </c>
      <c r="N8" s="544"/>
      <c r="O8" s="544"/>
      <c r="P8" s="404"/>
      <c r="Q8" s="405"/>
      <c r="R8" s="405"/>
      <c r="S8" s="404" t="e">
        <f t="shared" si="0"/>
        <v>#N/A</v>
      </c>
      <c r="T8" s="534"/>
      <c r="U8" s="404"/>
      <c r="V8" s="405"/>
      <c r="W8" s="405"/>
      <c r="X8" s="404" t="e">
        <f t="shared" si="2"/>
        <v>#N/A</v>
      </c>
      <c r="Y8" s="534"/>
      <c r="Z8" s="404"/>
      <c r="AA8" s="405"/>
      <c r="AB8" s="405"/>
      <c r="AC8" s="404" t="e">
        <f t="shared" si="4"/>
        <v>#N/A</v>
      </c>
      <c r="AD8" s="534"/>
      <c r="AE8" s="404"/>
      <c r="AF8" s="405"/>
      <c r="AG8" s="405"/>
      <c r="AH8" s="404" t="e">
        <f t="shared" si="6"/>
        <v>#N/A</v>
      </c>
      <c r="AI8" s="534"/>
      <c r="AJ8" s="404"/>
      <c r="AK8" s="405"/>
      <c r="AL8" s="405"/>
      <c r="AM8" s="404" t="e">
        <f t="shared" si="8"/>
        <v>#N/A</v>
      </c>
      <c r="AN8" s="534"/>
      <c r="AO8" s="404"/>
      <c r="AP8" s="405"/>
      <c r="AQ8" s="405"/>
      <c r="AR8" s="404" t="e">
        <f t="shared" si="10"/>
        <v>#N/A</v>
      </c>
      <c r="AS8" s="534"/>
      <c r="AT8" s="404">
        <v>19</v>
      </c>
      <c r="AU8" s="405">
        <v>2421.2500000000009</v>
      </c>
      <c r="AV8" s="405">
        <v>127.43421052631584</v>
      </c>
      <c r="AW8" s="404">
        <f t="shared" ref="AW8:AW21" si="13">RANK(AV8, AV$7:AV$21)</f>
        <v>3</v>
      </c>
      <c r="AX8" s="534"/>
      <c r="AZ8" s="321" t="e">
        <f>RANK(AX8, $K$7:AX$21)</f>
        <v>#N/A</v>
      </c>
      <c r="BB8" s="318" t="e">
        <f t="shared" ref="BB8:BB21" si="14">RANK(BA8, BA$7:BA$21)</f>
        <v>#N/A</v>
      </c>
    </row>
    <row r="9" spans="1:54">
      <c r="A9" s="81"/>
      <c r="B9" s="533"/>
      <c r="C9" s="404">
        <v>3</v>
      </c>
      <c r="D9" s="226" t="s">
        <v>396</v>
      </c>
      <c r="E9" s="182">
        <v>18</v>
      </c>
      <c r="F9" s="404">
        <v>3000</v>
      </c>
      <c r="G9" s="405">
        <v>166.66666666666666</v>
      </c>
      <c r="H9" s="598"/>
      <c r="I9" s="408">
        <f t="shared" si="12"/>
        <v>19</v>
      </c>
      <c r="J9" s="408">
        <f t="shared" si="12"/>
        <v>2488.9285714285734</v>
      </c>
      <c r="K9" s="406">
        <f t="shared" si="12"/>
        <v>130.99624060150387</v>
      </c>
      <c r="L9" s="588"/>
      <c r="M9" s="407">
        <f>RANK(K9, $K$7:K$21)</f>
        <v>1</v>
      </c>
      <c r="N9" s="544"/>
      <c r="O9" s="544"/>
      <c r="P9" s="404"/>
      <c r="Q9" s="405"/>
      <c r="R9" s="405"/>
      <c r="S9" s="404" t="e">
        <f t="shared" si="0"/>
        <v>#N/A</v>
      </c>
      <c r="T9" s="534"/>
      <c r="U9" s="404"/>
      <c r="V9" s="405"/>
      <c r="W9" s="405"/>
      <c r="X9" s="404" t="e">
        <f t="shared" si="2"/>
        <v>#N/A</v>
      </c>
      <c r="Y9" s="534"/>
      <c r="Z9" s="404"/>
      <c r="AA9" s="405"/>
      <c r="AB9" s="405"/>
      <c r="AC9" s="404" t="e">
        <f t="shared" si="4"/>
        <v>#N/A</v>
      </c>
      <c r="AD9" s="534"/>
      <c r="AE9" s="404"/>
      <c r="AF9" s="405"/>
      <c r="AG9" s="405"/>
      <c r="AH9" s="404" t="e">
        <f t="shared" si="6"/>
        <v>#N/A</v>
      </c>
      <c r="AI9" s="534"/>
      <c r="AJ9" s="404"/>
      <c r="AK9" s="405"/>
      <c r="AL9" s="405"/>
      <c r="AM9" s="404" t="e">
        <f t="shared" si="8"/>
        <v>#N/A</v>
      </c>
      <c r="AN9" s="534"/>
      <c r="AO9" s="404"/>
      <c r="AP9" s="405"/>
      <c r="AQ9" s="405"/>
      <c r="AR9" s="404" t="e">
        <f t="shared" si="10"/>
        <v>#N/A</v>
      </c>
      <c r="AS9" s="534"/>
      <c r="AT9" s="404">
        <v>19</v>
      </c>
      <c r="AU9" s="405">
        <v>2488.9285714285734</v>
      </c>
      <c r="AV9" s="405">
        <v>130.99624060150387</v>
      </c>
      <c r="AW9" s="404">
        <f t="shared" si="13"/>
        <v>1</v>
      </c>
      <c r="AX9" s="534"/>
      <c r="AZ9" s="321" t="e">
        <f>RANK(AX9, $K$7:AX$21)</f>
        <v>#N/A</v>
      </c>
      <c r="BB9" s="318" t="e">
        <f t="shared" si="14"/>
        <v>#N/A</v>
      </c>
    </row>
    <row r="10" spans="1:54">
      <c r="A10" s="81"/>
      <c r="B10" s="533"/>
      <c r="C10" s="404">
        <v>4</v>
      </c>
      <c r="D10" s="226" t="s">
        <v>397</v>
      </c>
      <c r="E10" s="182">
        <v>19</v>
      </c>
      <c r="F10" s="404">
        <v>3000</v>
      </c>
      <c r="G10" s="405">
        <v>157.89473684210526</v>
      </c>
      <c r="H10" s="598"/>
      <c r="I10" s="408">
        <f t="shared" si="12"/>
        <v>19</v>
      </c>
      <c r="J10" s="408">
        <f t="shared" si="12"/>
        <v>2458.4210526315774</v>
      </c>
      <c r="K10" s="406">
        <f t="shared" si="12"/>
        <v>129.39058171745145</v>
      </c>
      <c r="L10" s="588"/>
      <c r="M10" s="407">
        <f>RANK(K10, $K$7:K$21)</f>
        <v>2</v>
      </c>
      <c r="N10" s="544"/>
      <c r="O10" s="544"/>
      <c r="P10" s="404"/>
      <c r="Q10" s="405"/>
      <c r="R10" s="405"/>
      <c r="S10" s="404" t="e">
        <f t="shared" si="0"/>
        <v>#N/A</v>
      </c>
      <c r="T10" s="534"/>
      <c r="U10" s="404"/>
      <c r="V10" s="405"/>
      <c r="W10" s="405"/>
      <c r="X10" s="404" t="e">
        <f t="shared" si="2"/>
        <v>#N/A</v>
      </c>
      <c r="Y10" s="534"/>
      <c r="Z10" s="404"/>
      <c r="AA10" s="405"/>
      <c r="AB10" s="405"/>
      <c r="AC10" s="404" t="e">
        <f t="shared" si="4"/>
        <v>#N/A</v>
      </c>
      <c r="AD10" s="534"/>
      <c r="AE10" s="404"/>
      <c r="AF10" s="405"/>
      <c r="AG10" s="405"/>
      <c r="AH10" s="404" t="e">
        <f t="shared" si="6"/>
        <v>#N/A</v>
      </c>
      <c r="AI10" s="534"/>
      <c r="AJ10" s="404"/>
      <c r="AK10" s="405"/>
      <c r="AL10" s="405"/>
      <c r="AM10" s="404" t="e">
        <f t="shared" si="8"/>
        <v>#N/A</v>
      </c>
      <c r="AN10" s="534"/>
      <c r="AO10" s="404"/>
      <c r="AP10" s="405"/>
      <c r="AQ10" s="405"/>
      <c r="AR10" s="404" t="e">
        <f t="shared" si="10"/>
        <v>#N/A</v>
      </c>
      <c r="AS10" s="534"/>
      <c r="AT10" s="404">
        <v>19</v>
      </c>
      <c r="AU10" s="405">
        <v>2458.4210526315774</v>
      </c>
      <c r="AV10" s="405">
        <v>129.39058171745145</v>
      </c>
      <c r="AW10" s="404">
        <f t="shared" si="13"/>
        <v>2</v>
      </c>
      <c r="AX10" s="534"/>
      <c r="AZ10" s="321" t="e">
        <f>RANK(AX10, $K$7:AX$21)</f>
        <v>#N/A</v>
      </c>
      <c r="BB10" s="318" t="e">
        <f t="shared" si="14"/>
        <v>#N/A</v>
      </c>
    </row>
    <row r="11" spans="1:54">
      <c r="A11" s="81"/>
      <c r="B11" s="533"/>
      <c r="C11" s="404">
        <v>5</v>
      </c>
      <c r="D11" s="226" t="s">
        <v>582</v>
      </c>
      <c r="E11" s="182">
        <v>20</v>
      </c>
      <c r="F11" s="404">
        <v>2250</v>
      </c>
      <c r="G11" s="405">
        <v>112.5</v>
      </c>
      <c r="H11" s="598"/>
      <c r="I11" s="408">
        <f t="shared" si="12"/>
        <v>20</v>
      </c>
      <c r="J11" s="408">
        <f t="shared" si="12"/>
        <v>2188.6363636363635</v>
      </c>
      <c r="K11" s="406">
        <f t="shared" si="12"/>
        <v>109.43181818181817</v>
      </c>
      <c r="L11" s="588"/>
      <c r="M11" s="407">
        <f>RANK(K11, $K$7:K$21)</f>
        <v>4</v>
      </c>
      <c r="N11" s="544"/>
      <c r="O11" s="544"/>
      <c r="P11" s="404"/>
      <c r="Q11" s="405"/>
      <c r="R11" s="405"/>
      <c r="S11" s="404" t="e">
        <f t="shared" si="0"/>
        <v>#N/A</v>
      </c>
      <c r="T11" s="534"/>
      <c r="U11" s="404"/>
      <c r="V11" s="405"/>
      <c r="W11" s="405"/>
      <c r="X11" s="404" t="e">
        <f t="shared" si="2"/>
        <v>#N/A</v>
      </c>
      <c r="Y11" s="534"/>
      <c r="Z11" s="404"/>
      <c r="AA11" s="405"/>
      <c r="AB11" s="405"/>
      <c r="AC11" s="404" t="e">
        <f t="shared" si="4"/>
        <v>#N/A</v>
      </c>
      <c r="AD11" s="534"/>
      <c r="AE11" s="404"/>
      <c r="AF11" s="405"/>
      <c r="AG11" s="405"/>
      <c r="AH11" s="404" t="e">
        <f t="shared" si="6"/>
        <v>#N/A</v>
      </c>
      <c r="AI11" s="534"/>
      <c r="AJ11" s="404"/>
      <c r="AK11" s="405"/>
      <c r="AL11" s="405"/>
      <c r="AM11" s="404" t="e">
        <f t="shared" si="8"/>
        <v>#N/A</v>
      </c>
      <c r="AN11" s="534"/>
      <c r="AO11" s="404"/>
      <c r="AP11" s="405"/>
      <c r="AQ11" s="405"/>
      <c r="AR11" s="404" t="e">
        <f t="shared" si="10"/>
        <v>#N/A</v>
      </c>
      <c r="AS11" s="534"/>
      <c r="AT11" s="404">
        <v>20</v>
      </c>
      <c r="AU11" s="405">
        <v>2188.6363636363635</v>
      </c>
      <c r="AV11" s="405">
        <v>109.43181818181817</v>
      </c>
      <c r="AW11" s="404">
        <f t="shared" si="13"/>
        <v>4</v>
      </c>
      <c r="AX11" s="534"/>
      <c r="AZ11" s="321" t="e">
        <f>RANK(AX11, $K$7:AX$21)</f>
        <v>#N/A</v>
      </c>
      <c r="BB11" s="318" t="e">
        <f t="shared" si="14"/>
        <v>#N/A</v>
      </c>
    </row>
    <row r="12" spans="1:54">
      <c r="A12" s="81"/>
      <c r="B12" s="533"/>
      <c r="C12" s="404">
        <v>6</v>
      </c>
      <c r="D12" s="226"/>
      <c r="E12" s="182"/>
      <c r="F12" s="404"/>
      <c r="G12" s="405"/>
      <c r="H12" s="598"/>
      <c r="I12" s="408"/>
      <c r="J12" s="408"/>
      <c r="K12" s="406"/>
      <c r="L12" s="588"/>
      <c r="M12" s="407" t="e">
        <f>RANK(K12, $K$7:K$21)</f>
        <v>#N/A</v>
      </c>
      <c r="N12" s="544"/>
      <c r="O12" s="544"/>
      <c r="P12" s="404"/>
      <c r="Q12" s="405"/>
      <c r="R12" s="405"/>
      <c r="S12" s="404" t="e">
        <f t="shared" si="0"/>
        <v>#N/A</v>
      </c>
      <c r="T12" s="534"/>
      <c r="U12" s="404"/>
      <c r="V12" s="405"/>
      <c r="W12" s="405"/>
      <c r="X12" s="404" t="e">
        <f t="shared" si="2"/>
        <v>#N/A</v>
      </c>
      <c r="Y12" s="534"/>
      <c r="Z12" s="404"/>
      <c r="AA12" s="405"/>
      <c r="AB12" s="405"/>
      <c r="AC12" s="404" t="e">
        <f t="shared" si="4"/>
        <v>#N/A</v>
      </c>
      <c r="AD12" s="534"/>
      <c r="AE12" s="404"/>
      <c r="AF12" s="405"/>
      <c r="AG12" s="405"/>
      <c r="AH12" s="404" t="e">
        <f t="shared" si="6"/>
        <v>#N/A</v>
      </c>
      <c r="AI12" s="534"/>
      <c r="AJ12" s="404"/>
      <c r="AK12" s="405"/>
      <c r="AL12" s="405"/>
      <c r="AM12" s="404" t="e">
        <f t="shared" si="8"/>
        <v>#N/A</v>
      </c>
      <c r="AN12" s="534"/>
      <c r="AO12" s="404"/>
      <c r="AP12" s="405"/>
      <c r="AQ12" s="405"/>
      <c r="AR12" s="404" t="e">
        <f t="shared" si="10"/>
        <v>#N/A</v>
      </c>
      <c r="AS12" s="534"/>
      <c r="AT12" s="404"/>
      <c r="AU12" s="405"/>
      <c r="AV12" s="405"/>
      <c r="AW12" s="404" t="e">
        <f t="shared" si="13"/>
        <v>#N/A</v>
      </c>
      <c r="AX12" s="534"/>
      <c r="AZ12" s="321" t="e">
        <f>RANK(AX12, $K$7:AX$21)</f>
        <v>#N/A</v>
      </c>
      <c r="BB12" s="318" t="e">
        <f t="shared" si="14"/>
        <v>#N/A</v>
      </c>
    </row>
    <row r="13" spans="1:54">
      <c r="A13" s="81"/>
      <c r="B13" s="533"/>
      <c r="C13" s="404">
        <v>7</v>
      </c>
      <c r="D13" s="226"/>
      <c r="E13" s="182"/>
      <c r="F13" s="404"/>
      <c r="G13" s="405"/>
      <c r="H13" s="598"/>
      <c r="I13" s="408"/>
      <c r="J13" s="408"/>
      <c r="K13" s="406"/>
      <c r="L13" s="588"/>
      <c r="M13" s="407" t="e">
        <f>RANK(K13, $K$7:K$21)</f>
        <v>#N/A</v>
      </c>
      <c r="N13" s="544"/>
      <c r="O13" s="544"/>
      <c r="P13" s="404"/>
      <c r="Q13" s="405"/>
      <c r="R13" s="405"/>
      <c r="S13" s="404" t="e">
        <f t="shared" si="0"/>
        <v>#N/A</v>
      </c>
      <c r="T13" s="534"/>
      <c r="U13" s="404"/>
      <c r="V13" s="405"/>
      <c r="W13" s="405"/>
      <c r="X13" s="404" t="e">
        <f t="shared" si="2"/>
        <v>#N/A</v>
      </c>
      <c r="Y13" s="534"/>
      <c r="Z13" s="404"/>
      <c r="AA13" s="405"/>
      <c r="AB13" s="405"/>
      <c r="AC13" s="404" t="e">
        <f t="shared" si="4"/>
        <v>#N/A</v>
      </c>
      <c r="AD13" s="534"/>
      <c r="AE13" s="404"/>
      <c r="AF13" s="405"/>
      <c r="AG13" s="405"/>
      <c r="AH13" s="404" t="e">
        <f t="shared" si="6"/>
        <v>#N/A</v>
      </c>
      <c r="AI13" s="534"/>
      <c r="AJ13" s="404"/>
      <c r="AK13" s="405"/>
      <c r="AL13" s="405"/>
      <c r="AM13" s="404" t="e">
        <f t="shared" si="8"/>
        <v>#N/A</v>
      </c>
      <c r="AN13" s="534"/>
      <c r="AO13" s="404"/>
      <c r="AP13" s="405"/>
      <c r="AQ13" s="405"/>
      <c r="AR13" s="404" t="e">
        <f t="shared" si="10"/>
        <v>#N/A</v>
      </c>
      <c r="AS13" s="534"/>
      <c r="AT13" s="404"/>
      <c r="AU13" s="405"/>
      <c r="AV13" s="405"/>
      <c r="AW13" s="404" t="e">
        <f t="shared" si="13"/>
        <v>#N/A</v>
      </c>
      <c r="AX13" s="534"/>
      <c r="AZ13" s="321" t="e">
        <f>RANK(AX13, $K$7:AX$21)</f>
        <v>#N/A</v>
      </c>
      <c r="BB13" s="318" t="e">
        <f t="shared" si="14"/>
        <v>#N/A</v>
      </c>
    </row>
    <row r="14" spans="1:54">
      <c r="A14" s="81"/>
      <c r="B14" s="533"/>
      <c r="C14" s="404">
        <v>8</v>
      </c>
      <c r="D14" s="226"/>
      <c r="E14" s="182"/>
      <c r="F14" s="404"/>
      <c r="G14" s="405"/>
      <c r="H14" s="598"/>
      <c r="I14" s="408"/>
      <c r="J14" s="408"/>
      <c r="K14" s="406"/>
      <c r="L14" s="588"/>
      <c r="M14" s="407" t="e">
        <f>RANK(K14, $K$7:K$21)</f>
        <v>#N/A</v>
      </c>
      <c r="N14" s="544"/>
      <c r="O14" s="544"/>
      <c r="P14" s="404"/>
      <c r="Q14" s="405"/>
      <c r="R14" s="405"/>
      <c r="S14" s="404" t="e">
        <f t="shared" si="0"/>
        <v>#N/A</v>
      </c>
      <c r="T14" s="534"/>
      <c r="U14" s="404"/>
      <c r="V14" s="405"/>
      <c r="W14" s="405"/>
      <c r="X14" s="404" t="e">
        <f t="shared" si="2"/>
        <v>#N/A</v>
      </c>
      <c r="Y14" s="534"/>
      <c r="Z14" s="404"/>
      <c r="AA14" s="405"/>
      <c r="AB14" s="405"/>
      <c r="AC14" s="404" t="e">
        <f t="shared" si="4"/>
        <v>#N/A</v>
      </c>
      <c r="AD14" s="534"/>
      <c r="AE14" s="404"/>
      <c r="AF14" s="405"/>
      <c r="AG14" s="405"/>
      <c r="AH14" s="404" t="e">
        <f t="shared" si="6"/>
        <v>#N/A</v>
      </c>
      <c r="AI14" s="534"/>
      <c r="AJ14" s="404"/>
      <c r="AK14" s="405"/>
      <c r="AL14" s="405"/>
      <c r="AM14" s="404" t="e">
        <f t="shared" si="8"/>
        <v>#N/A</v>
      </c>
      <c r="AN14" s="534"/>
      <c r="AO14" s="404"/>
      <c r="AP14" s="405"/>
      <c r="AQ14" s="405"/>
      <c r="AR14" s="404" t="e">
        <f t="shared" si="10"/>
        <v>#N/A</v>
      </c>
      <c r="AS14" s="534"/>
      <c r="AT14" s="404"/>
      <c r="AU14" s="405"/>
      <c r="AV14" s="405"/>
      <c r="AW14" s="404" t="e">
        <f t="shared" si="13"/>
        <v>#N/A</v>
      </c>
      <c r="AX14" s="534"/>
      <c r="AZ14" s="321" t="e">
        <f>RANK(AX14, $K$7:AX$21)</f>
        <v>#N/A</v>
      </c>
      <c r="BB14" s="318" t="e">
        <f t="shared" si="14"/>
        <v>#N/A</v>
      </c>
    </row>
    <row r="15" spans="1:54">
      <c r="A15" s="81"/>
      <c r="B15" s="533"/>
      <c r="C15" s="404">
        <v>9</v>
      </c>
      <c r="D15" s="226"/>
      <c r="E15" s="182"/>
      <c r="F15" s="404"/>
      <c r="G15" s="405"/>
      <c r="H15" s="598"/>
      <c r="I15" s="408"/>
      <c r="J15" s="408"/>
      <c r="K15" s="406"/>
      <c r="L15" s="588"/>
      <c r="M15" s="407" t="e">
        <f>RANK(K15, $K$7:K$21)</f>
        <v>#N/A</v>
      </c>
      <c r="N15" s="544"/>
      <c r="O15" s="544"/>
      <c r="P15" s="404"/>
      <c r="Q15" s="405"/>
      <c r="R15" s="405"/>
      <c r="S15" s="404" t="e">
        <f t="shared" si="0"/>
        <v>#N/A</v>
      </c>
      <c r="T15" s="534"/>
      <c r="U15" s="404"/>
      <c r="V15" s="405"/>
      <c r="W15" s="405"/>
      <c r="X15" s="404" t="e">
        <f t="shared" si="2"/>
        <v>#N/A</v>
      </c>
      <c r="Y15" s="534"/>
      <c r="Z15" s="404"/>
      <c r="AA15" s="405"/>
      <c r="AB15" s="405"/>
      <c r="AC15" s="404" t="e">
        <f t="shared" si="4"/>
        <v>#N/A</v>
      </c>
      <c r="AD15" s="534"/>
      <c r="AE15" s="404"/>
      <c r="AF15" s="405"/>
      <c r="AG15" s="405"/>
      <c r="AH15" s="404" t="e">
        <f t="shared" si="6"/>
        <v>#N/A</v>
      </c>
      <c r="AI15" s="534"/>
      <c r="AJ15" s="404"/>
      <c r="AK15" s="405"/>
      <c r="AL15" s="405"/>
      <c r="AM15" s="404" t="e">
        <f t="shared" si="8"/>
        <v>#N/A</v>
      </c>
      <c r="AN15" s="534"/>
      <c r="AO15" s="404"/>
      <c r="AP15" s="405"/>
      <c r="AQ15" s="405"/>
      <c r="AR15" s="404" t="e">
        <f t="shared" si="10"/>
        <v>#N/A</v>
      </c>
      <c r="AS15" s="534"/>
      <c r="AT15" s="404"/>
      <c r="AU15" s="405"/>
      <c r="AV15" s="405"/>
      <c r="AW15" s="404" t="e">
        <f t="shared" si="13"/>
        <v>#N/A</v>
      </c>
      <c r="AX15" s="534"/>
      <c r="AZ15" s="321" t="e">
        <f>RANK(AX15, $K$7:AX$21)</f>
        <v>#N/A</v>
      </c>
      <c r="BB15" s="318" t="e">
        <f t="shared" si="14"/>
        <v>#N/A</v>
      </c>
    </row>
    <row r="16" spans="1:54">
      <c r="A16" s="81"/>
      <c r="B16" s="533"/>
      <c r="C16" s="404">
        <v>10</v>
      </c>
      <c r="D16" s="226"/>
      <c r="E16" s="182"/>
      <c r="F16" s="404"/>
      <c r="G16" s="405"/>
      <c r="H16" s="598"/>
      <c r="I16" s="408"/>
      <c r="J16" s="408"/>
      <c r="K16" s="406"/>
      <c r="L16" s="588"/>
      <c r="M16" s="407" t="e">
        <f>RANK(K16, $K$7:K$21)</f>
        <v>#N/A</v>
      </c>
      <c r="N16" s="544"/>
      <c r="O16" s="544"/>
      <c r="P16" s="404"/>
      <c r="Q16" s="404"/>
      <c r="R16" s="405"/>
      <c r="S16" s="404" t="e">
        <f t="shared" si="0"/>
        <v>#N/A</v>
      </c>
      <c r="T16" s="534"/>
      <c r="U16" s="404"/>
      <c r="V16" s="404"/>
      <c r="W16" s="405"/>
      <c r="X16" s="404" t="e">
        <f t="shared" si="2"/>
        <v>#N/A</v>
      </c>
      <c r="Y16" s="534"/>
      <c r="Z16" s="404"/>
      <c r="AA16" s="404"/>
      <c r="AB16" s="405"/>
      <c r="AC16" s="404" t="e">
        <f t="shared" si="4"/>
        <v>#N/A</v>
      </c>
      <c r="AD16" s="534"/>
      <c r="AE16" s="404"/>
      <c r="AF16" s="404"/>
      <c r="AG16" s="405"/>
      <c r="AH16" s="404" t="e">
        <f t="shared" si="6"/>
        <v>#N/A</v>
      </c>
      <c r="AI16" s="534"/>
      <c r="AJ16" s="404"/>
      <c r="AK16" s="404"/>
      <c r="AL16" s="405"/>
      <c r="AM16" s="404" t="e">
        <f t="shared" si="8"/>
        <v>#N/A</v>
      </c>
      <c r="AN16" s="534"/>
      <c r="AO16" s="404"/>
      <c r="AP16" s="404"/>
      <c r="AQ16" s="405"/>
      <c r="AR16" s="404" t="e">
        <f t="shared" si="10"/>
        <v>#N/A</v>
      </c>
      <c r="AS16" s="534"/>
      <c r="AT16" s="404"/>
      <c r="AU16" s="404"/>
      <c r="AV16" s="405"/>
      <c r="AW16" s="404" t="e">
        <f t="shared" si="13"/>
        <v>#N/A</v>
      </c>
      <c r="AX16" s="534"/>
      <c r="AZ16" s="321" t="e">
        <f>RANK(AX16, $K$7:AX$21)</f>
        <v>#N/A</v>
      </c>
      <c r="BB16" s="318" t="e">
        <f t="shared" si="14"/>
        <v>#N/A</v>
      </c>
    </row>
    <row r="17" spans="2:54">
      <c r="B17" s="533"/>
      <c r="C17" s="404">
        <v>11</v>
      </c>
      <c r="D17" s="226"/>
      <c r="E17" s="182"/>
      <c r="F17" s="404"/>
      <c r="G17" s="405"/>
      <c r="H17" s="598"/>
      <c r="I17" s="202"/>
      <c r="J17" s="202"/>
      <c r="K17" s="202"/>
      <c r="L17" s="588"/>
      <c r="M17" s="407" t="e">
        <f>RANK(K17, $K$7:K$21)</f>
        <v>#N/A</v>
      </c>
      <c r="N17" s="544"/>
      <c r="O17" s="544"/>
      <c r="P17" s="404"/>
      <c r="Q17" s="404"/>
      <c r="R17" s="404"/>
      <c r="S17" s="404" t="e">
        <f t="shared" si="0"/>
        <v>#N/A</v>
      </c>
      <c r="T17" s="534"/>
      <c r="U17" s="404"/>
      <c r="V17" s="404"/>
      <c r="W17" s="404"/>
      <c r="X17" s="404" t="e">
        <f t="shared" si="2"/>
        <v>#N/A</v>
      </c>
      <c r="Y17" s="534"/>
      <c r="Z17" s="404"/>
      <c r="AA17" s="404"/>
      <c r="AB17" s="404"/>
      <c r="AC17" s="404" t="e">
        <f t="shared" si="4"/>
        <v>#N/A</v>
      </c>
      <c r="AD17" s="534"/>
      <c r="AE17" s="404"/>
      <c r="AF17" s="404"/>
      <c r="AG17" s="404"/>
      <c r="AH17" s="404" t="e">
        <f t="shared" si="6"/>
        <v>#N/A</v>
      </c>
      <c r="AI17" s="534"/>
      <c r="AJ17" s="404"/>
      <c r="AK17" s="404"/>
      <c r="AL17" s="404"/>
      <c r="AM17" s="404" t="e">
        <f t="shared" si="8"/>
        <v>#N/A</v>
      </c>
      <c r="AN17" s="534"/>
      <c r="AO17" s="404"/>
      <c r="AP17" s="404"/>
      <c r="AQ17" s="404"/>
      <c r="AR17" s="404" t="e">
        <f t="shared" si="10"/>
        <v>#N/A</v>
      </c>
      <c r="AS17" s="534"/>
      <c r="AT17" s="404"/>
      <c r="AU17" s="404"/>
      <c r="AV17" s="404"/>
      <c r="AW17" s="404" t="e">
        <f t="shared" si="13"/>
        <v>#N/A</v>
      </c>
      <c r="AX17" s="534"/>
      <c r="AZ17" s="321" t="e">
        <f>RANK(AX17, $K$7:AX$21)</f>
        <v>#N/A</v>
      </c>
      <c r="BB17" s="318" t="e">
        <f t="shared" si="14"/>
        <v>#N/A</v>
      </c>
    </row>
    <row r="18" spans="2:54">
      <c r="B18" s="533"/>
      <c r="C18" s="404">
        <v>12</v>
      </c>
      <c r="D18" s="226"/>
      <c r="E18" s="182"/>
      <c r="F18" s="404"/>
      <c r="G18" s="405"/>
      <c r="H18" s="598"/>
      <c r="I18" s="202"/>
      <c r="J18" s="202"/>
      <c r="K18" s="202"/>
      <c r="L18" s="588"/>
      <c r="M18" s="407" t="e">
        <f>RANK(K18, $K$7:K$21)</f>
        <v>#N/A</v>
      </c>
      <c r="N18" s="544"/>
      <c r="O18" s="544"/>
      <c r="P18" s="404"/>
      <c r="Q18" s="404"/>
      <c r="R18" s="404"/>
      <c r="S18" s="404" t="e">
        <f t="shared" si="0"/>
        <v>#N/A</v>
      </c>
      <c r="T18" s="534"/>
      <c r="U18" s="404"/>
      <c r="V18" s="404"/>
      <c r="W18" s="404"/>
      <c r="X18" s="404" t="e">
        <f t="shared" si="2"/>
        <v>#N/A</v>
      </c>
      <c r="Y18" s="534"/>
      <c r="Z18" s="404"/>
      <c r="AA18" s="404"/>
      <c r="AB18" s="404"/>
      <c r="AC18" s="404" t="e">
        <f t="shared" si="4"/>
        <v>#N/A</v>
      </c>
      <c r="AD18" s="534"/>
      <c r="AE18" s="404"/>
      <c r="AF18" s="404"/>
      <c r="AG18" s="404"/>
      <c r="AH18" s="404" t="e">
        <f t="shared" si="6"/>
        <v>#N/A</v>
      </c>
      <c r="AI18" s="534"/>
      <c r="AJ18" s="404"/>
      <c r="AK18" s="404"/>
      <c r="AL18" s="404"/>
      <c r="AM18" s="404" t="e">
        <f t="shared" si="8"/>
        <v>#N/A</v>
      </c>
      <c r="AN18" s="534"/>
      <c r="AO18" s="404"/>
      <c r="AP18" s="404"/>
      <c r="AQ18" s="404"/>
      <c r="AR18" s="404" t="e">
        <f t="shared" si="10"/>
        <v>#N/A</v>
      </c>
      <c r="AS18" s="534"/>
      <c r="AT18" s="404"/>
      <c r="AU18" s="404"/>
      <c r="AV18" s="404"/>
      <c r="AW18" s="404" t="e">
        <f t="shared" si="13"/>
        <v>#N/A</v>
      </c>
      <c r="AX18" s="534"/>
      <c r="AZ18" s="321" t="e">
        <f>RANK(AX18, $K$7:AX$21)</f>
        <v>#N/A</v>
      </c>
      <c r="BB18" s="318" t="e">
        <f t="shared" si="14"/>
        <v>#N/A</v>
      </c>
    </row>
    <row r="19" spans="2:54">
      <c r="B19" s="533"/>
      <c r="C19" s="404">
        <v>13</v>
      </c>
      <c r="D19" s="226"/>
      <c r="E19" s="182"/>
      <c r="F19" s="404"/>
      <c r="G19" s="405"/>
      <c r="H19" s="598"/>
      <c r="I19" s="202"/>
      <c r="J19" s="202"/>
      <c r="K19" s="202"/>
      <c r="L19" s="588"/>
      <c r="M19" s="407" t="e">
        <f>RANK(K19, $K$7:K$21)</f>
        <v>#N/A</v>
      </c>
      <c r="N19" s="544"/>
      <c r="O19" s="544"/>
      <c r="P19" s="404"/>
      <c r="Q19" s="404"/>
      <c r="R19" s="404"/>
      <c r="S19" s="404" t="e">
        <f t="shared" si="0"/>
        <v>#N/A</v>
      </c>
      <c r="T19" s="534"/>
      <c r="U19" s="404"/>
      <c r="V19" s="404"/>
      <c r="W19" s="404"/>
      <c r="X19" s="404" t="e">
        <f t="shared" si="2"/>
        <v>#N/A</v>
      </c>
      <c r="Y19" s="534"/>
      <c r="Z19" s="404"/>
      <c r="AA19" s="404"/>
      <c r="AB19" s="404"/>
      <c r="AC19" s="404" t="e">
        <f t="shared" si="4"/>
        <v>#N/A</v>
      </c>
      <c r="AD19" s="534"/>
      <c r="AE19" s="404"/>
      <c r="AF19" s="404"/>
      <c r="AG19" s="404"/>
      <c r="AH19" s="404" t="e">
        <f t="shared" si="6"/>
        <v>#N/A</v>
      </c>
      <c r="AI19" s="534"/>
      <c r="AJ19" s="404"/>
      <c r="AK19" s="404"/>
      <c r="AL19" s="404"/>
      <c r="AM19" s="404" t="e">
        <f t="shared" si="8"/>
        <v>#N/A</v>
      </c>
      <c r="AN19" s="534"/>
      <c r="AO19" s="404"/>
      <c r="AP19" s="404"/>
      <c r="AQ19" s="404"/>
      <c r="AR19" s="404" t="e">
        <f t="shared" si="10"/>
        <v>#N/A</v>
      </c>
      <c r="AS19" s="534"/>
      <c r="AT19" s="404"/>
      <c r="AU19" s="404"/>
      <c r="AV19" s="404"/>
      <c r="AW19" s="404" t="e">
        <f t="shared" si="13"/>
        <v>#N/A</v>
      </c>
      <c r="AX19" s="534"/>
      <c r="AZ19" s="321" t="e">
        <f>RANK(AX19, $K$7:AX$21)</f>
        <v>#N/A</v>
      </c>
      <c r="BB19" s="318" t="e">
        <f t="shared" si="14"/>
        <v>#N/A</v>
      </c>
    </row>
    <row r="20" spans="2:54">
      <c r="B20" s="533"/>
      <c r="C20" s="404">
        <v>14</v>
      </c>
      <c r="D20" s="226"/>
      <c r="E20" s="182"/>
      <c r="F20" s="404"/>
      <c r="G20" s="405"/>
      <c r="H20" s="598"/>
      <c r="I20" s="202"/>
      <c r="J20" s="202"/>
      <c r="K20" s="202"/>
      <c r="L20" s="588"/>
      <c r="M20" s="407" t="e">
        <f>RANK(K20, $K$7:K$21)</f>
        <v>#N/A</v>
      </c>
      <c r="N20" s="544"/>
      <c r="O20" s="544"/>
      <c r="P20" s="404"/>
      <c r="Q20" s="404"/>
      <c r="R20" s="404"/>
      <c r="S20" s="404" t="e">
        <f t="shared" si="0"/>
        <v>#N/A</v>
      </c>
      <c r="T20" s="534"/>
      <c r="U20" s="404"/>
      <c r="V20" s="404"/>
      <c r="W20" s="404"/>
      <c r="X20" s="404" t="e">
        <f t="shared" si="2"/>
        <v>#N/A</v>
      </c>
      <c r="Y20" s="534"/>
      <c r="Z20" s="404"/>
      <c r="AA20" s="404"/>
      <c r="AB20" s="404"/>
      <c r="AC20" s="404" t="e">
        <f t="shared" si="4"/>
        <v>#N/A</v>
      </c>
      <c r="AD20" s="534"/>
      <c r="AE20" s="404"/>
      <c r="AF20" s="404"/>
      <c r="AG20" s="404"/>
      <c r="AH20" s="404" t="e">
        <f t="shared" si="6"/>
        <v>#N/A</v>
      </c>
      <c r="AI20" s="534"/>
      <c r="AJ20" s="404"/>
      <c r="AK20" s="404"/>
      <c r="AL20" s="404"/>
      <c r="AM20" s="404" t="e">
        <f t="shared" si="8"/>
        <v>#N/A</v>
      </c>
      <c r="AN20" s="534"/>
      <c r="AO20" s="404"/>
      <c r="AP20" s="404"/>
      <c r="AQ20" s="404"/>
      <c r="AR20" s="404" t="e">
        <f t="shared" si="10"/>
        <v>#N/A</v>
      </c>
      <c r="AS20" s="534"/>
      <c r="AT20" s="404"/>
      <c r="AU20" s="404"/>
      <c r="AV20" s="404"/>
      <c r="AW20" s="404" t="e">
        <f t="shared" si="13"/>
        <v>#N/A</v>
      </c>
      <c r="AX20" s="534"/>
      <c r="AZ20" s="321" t="e">
        <f>RANK(AX20, $K$7:AX$21)</f>
        <v>#N/A</v>
      </c>
      <c r="BB20" s="318" t="e">
        <f t="shared" si="14"/>
        <v>#N/A</v>
      </c>
    </row>
    <row r="21" spans="2:54">
      <c r="B21" s="533"/>
      <c r="C21" s="404">
        <v>15</v>
      </c>
      <c r="D21" s="226"/>
      <c r="E21" s="182"/>
      <c r="F21" s="404"/>
      <c r="G21" s="405"/>
      <c r="H21" s="599"/>
      <c r="I21" s="202"/>
      <c r="J21" s="202"/>
      <c r="K21" s="202"/>
      <c r="L21" s="589"/>
      <c r="M21" s="408" t="e">
        <f>RANK(K21, $K$7:K$21)</f>
        <v>#N/A</v>
      </c>
      <c r="N21" s="544"/>
      <c r="O21" s="544"/>
      <c r="P21" s="404"/>
      <c r="Q21" s="404"/>
      <c r="R21" s="404"/>
      <c r="S21" s="404" t="e">
        <f t="shared" si="0"/>
        <v>#N/A</v>
      </c>
      <c r="T21" s="534"/>
      <c r="U21" s="404"/>
      <c r="V21" s="404"/>
      <c r="W21" s="404"/>
      <c r="X21" s="404" t="e">
        <f t="shared" si="2"/>
        <v>#N/A</v>
      </c>
      <c r="Y21" s="534"/>
      <c r="Z21" s="404"/>
      <c r="AA21" s="404"/>
      <c r="AB21" s="404"/>
      <c r="AC21" s="404" t="e">
        <f t="shared" si="4"/>
        <v>#N/A</v>
      </c>
      <c r="AD21" s="534"/>
      <c r="AE21" s="404"/>
      <c r="AF21" s="404"/>
      <c r="AG21" s="404"/>
      <c r="AH21" s="404" t="e">
        <f t="shared" si="6"/>
        <v>#N/A</v>
      </c>
      <c r="AI21" s="534"/>
      <c r="AJ21" s="404"/>
      <c r="AK21" s="404"/>
      <c r="AL21" s="404"/>
      <c r="AM21" s="404" t="e">
        <f t="shared" si="8"/>
        <v>#N/A</v>
      </c>
      <c r="AN21" s="534"/>
      <c r="AO21" s="404"/>
      <c r="AP21" s="404"/>
      <c r="AQ21" s="404"/>
      <c r="AR21" s="404" t="e">
        <f t="shared" si="10"/>
        <v>#N/A</v>
      </c>
      <c r="AS21" s="534"/>
      <c r="AT21" s="404"/>
      <c r="AU21" s="404"/>
      <c r="AV21" s="404"/>
      <c r="AW21" s="404" t="e">
        <f t="shared" si="13"/>
        <v>#N/A</v>
      </c>
      <c r="AX21" s="534"/>
      <c r="AZ21" s="320" t="e">
        <f>RANK(AX21, $K$7:AX$21)</f>
        <v>#N/A</v>
      </c>
      <c r="BB21" s="318" t="e">
        <f t="shared" si="14"/>
        <v>#N/A</v>
      </c>
    </row>
    <row r="22" spans="2:54" ht="15.5">
      <c r="B22" s="575" t="s">
        <v>163</v>
      </c>
      <c r="C22" s="576"/>
      <c r="D22" s="576"/>
      <c r="E22" s="576"/>
      <c r="F22" s="576"/>
      <c r="G22" s="576"/>
      <c r="H22" s="576"/>
      <c r="I22" s="203"/>
      <c r="J22" s="203"/>
      <c r="K22" s="203"/>
      <c r="L22" s="203"/>
      <c r="M22" s="204"/>
      <c r="N22" s="559" t="s">
        <v>771</v>
      </c>
      <c r="O22" s="559" t="s">
        <v>772</v>
      </c>
      <c r="P22" s="554">
        <v>45993</v>
      </c>
      <c r="Q22" s="533"/>
      <c r="R22" s="533"/>
      <c r="S22" s="533"/>
      <c r="T22" s="533"/>
      <c r="U22" s="554">
        <f>P22+1</f>
        <v>45994</v>
      </c>
      <c r="V22" s="533"/>
      <c r="W22" s="533"/>
      <c r="X22" s="533"/>
      <c r="Y22" s="533"/>
      <c r="Z22" s="554">
        <f>U22+1</f>
        <v>45995</v>
      </c>
      <c r="AA22" s="533"/>
      <c r="AB22" s="533"/>
      <c r="AC22" s="533"/>
      <c r="AD22" s="533"/>
      <c r="AE22" s="554">
        <f>Z22+1</f>
        <v>45996</v>
      </c>
      <c r="AF22" s="533"/>
      <c r="AG22" s="533"/>
      <c r="AH22" s="533"/>
      <c r="AI22" s="533"/>
      <c r="AJ22" s="554">
        <f>AE22+1</f>
        <v>45997</v>
      </c>
      <c r="AK22" s="533"/>
      <c r="AL22" s="533"/>
      <c r="AM22" s="533"/>
      <c r="AN22" s="533"/>
      <c r="AO22" s="554">
        <f>AJ22+1</f>
        <v>45998</v>
      </c>
      <c r="AP22" s="533"/>
      <c r="AQ22" s="533"/>
      <c r="AR22" s="533"/>
      <c r="AS22" s="533"/>
      <c r="AT22" s="554">
        <f>AO22+1</f>
        <v>45999</v>
      </c>
      <c r="AU22" s="533"/>
      <c r="AV22" s="533"/>
      <c r="AW22" s="533"/>
      <c r="AX22" s="533"/>
    </row>
    <row r="23" spans="2:54" ht="15.5">
      <c r="B23" s="558"/>
      <c r="C23" s="558"/>
      <c r="D23" s="558"/>
      <c r="E23" s="558"/>
      <c r="F23" s="558"/>
      <c r="G23" s="558"/>
      <c r="H23" s="558"/>
      <c r="I23" s="205"/>
      <c r="J23" s="205"/>
      <c r="K23" s="205"/>
      <c r="L23" s="205"/>
      <c r="M23" s="206"/>
      <c r="N23" s="560"/>
      <c r="O23" s="560"/>
      <c r="P23" s="554" t="s">
        <v>707</v>
      </c>
      <c r="Q23" s="533"/>
      <c r="R23" s="533"/>
      <c r="S23" s="533"/>
      <c r="T23" s="533"/>
      <c r="U23" s="554" t="s">
        <v>773</v>
      </c>
      <c r="V23" s="533"/>
      <c r="W23" s="533"/>
      <c r="X23" s="533"/>
      <c r="Y23" s="533"/>
      <c r="Z23" s="554" t="s">
        <v>774</v>
      </c>
      <c r="AA23" s="533"/>
      <c r="AB23" s="533"/>
      <c r="AC23" s="533"/>
      <c r="AD23" s="533"/>
      <c r="AE23" s="554" t="s">
        <v>775</v>
      </c>
      <c r="AF23" s="533"/>
      <c r="AG23" s="533"/>
      <c r="AH23" s="533"/>
      <c r="AI23" s="533"/>
      <c r="AJ23" s="554" t="s">
        <v>776</v>
      </c>
      <c r="AK23" s="533"/>
      <c r="AL23" s="533"/>
      <c r="AM23" s="533"/>
      <c r="AN23" s="533"/>
      <c r="AO23" s="554" t="s">
        <v>777</v>
      </c>
      <c r="AP23" s="533"/>
      <c r="AQ23" s="533"/>
      <c r="AR23" s="533"/>
      <c r="AS23" s="533"/>
      <c r="AT23" s="554" t="s">
        <v>778</v>
      </c>
      <c r="AU23" s="533"/>
      <c r="AV23" s="533"/>
      <c r="AW23" s="533"/>
      <c r="AX23" s="533"/>
    </row>
    <row r="24" spans="2:54">
      <c r="B24" s="544" t="s">
        <v>779</v>
      </c>
      <c r="C24" s="544" t="s">
        <v>780</v>
      </c>
      <c r="D24" s="544"/>
      <c r="E24" s="544" t="s">
        <v>781</v>
      </c>
      <c r="F24" s="544"/>
      <c r="G24" s="544"/>
      <c r="H24" s="561" t="s">
        <v>782</v>
      </c>
      <c r="I24" s="583" t="s">
        <v>783</v>
      </c>
      <c r="J24" s="583"/>
      <c r="K24" s="583"/>
      <c r="L24" s="584" t="s">
        <v>782</v>
      </c>
      <c r="M24" s="567" t="s">
        <v>784</v>
      </c>
      <c r="N24" s="544"/>
      <c r="O24" s="544" t="s">
        <v>785</v>
      </c>
      <c r="P24" s="548" t="s">
        <v>750</v>
      </c>
      <c r="Q24" s="549"/>
      <c r="R24" s="549"/>
      <c r="S24" s="550"/>
      <c r="T24" s="544" t="s">
        <v>782</v>
      </c>
      <c r="U24" s="548" t="s">
        <v>750</v>
      </c>
      <c r="V24" s="549"/>
      <c r="W24" s="549"/>
      <c r="X24" s="550"/>
      <c r="Y24" s="544" t="s">
        <v>782</v>
      </c>
      <c r="Z24" s="548" t="s">
        <v>750</v>
      </c>
      <c r="AA24" s="549"/>
      <c r="AB24" s="549"/>
      <c r="AC24" s="550"/>
      <c r="AD24" s="544" t="s">
        <v>782</v>
      </c>
      <c r="AE24" s="548" t="s">
        <v>750</v>
      </c>
      <c r="AF24" s="549"/>
      <c r="AG24" s="549"/>
      <c r="AH24" s="550"/>
      <c r="AI24" s="544" t="s">
        <v>782</v>
      </c>
      <c r="AJ24" s="548" t="s">
        <v>750</v>
      </c>
      <c r="AK24" s="549"/>
      <c r="AL24" s="549"/>
      <c r="AM24" s="550"/>
      <c r="AN24" s="544" t="s">
        <v>782</v>
      </c>
      <c r="AO24" s="548" t="s">
        <v>750</v>
      </c>
      <c r="AP24" s="549"/>
      <c r="AQ24" s="549"/>
      <c r="AR24" s="550"/>
      <c r="AS24" s="544" t="s">
        <v>782</v>
      </c>
      <c r="AT24" s="548" t="s">
        <v>750</v>
      </c>
      <c r="AU24" s="549"/>
      <c r="AV24" s="549"/>
      <c r="AW24" s="550"/>
      <c r="AX24" s="544" t="s">
        <v>782</v>
      </c>
    </row>
    <row r="25" spans="2:54">
      <c r="B25" s="544"/>
      <c r="C25" s="544"/>
      <c r="D25" s="544"/>
      <c r="E25" s="544" t="s">
        <v>786</v>
      </c>
      <c r="F25" s="544"/>
      <c r="G25" s="544"/>
      <c r="H25" s="562"/>
      <c r="I25" s="583" t="s">
        <v>786</v>
      </c>
      <c r="J25" s="583"/>
      <c r="K25" s="583"/>
      <c r="L25" s="585"/>
      <c r="M25" s="568"/>
      <c r="N25" s="544"/>
      <c r="O25" s="544"/>
      <c r="P25" s="548" t="s">
        <v>757</v>
      </c>
      <c r="Q25" s="549"/>
      <c r="R25" s="549"/>
      <c r="S25" s="550"/>
      <c r="T25" s="544"/>
      <c r="U25" s="548" t="s">
        <v>757</v>
      </c>
      <c r="V25" s="549"/>
      <c r="W25" s="549"/>
      <c r="X25" s="550"/>
      <c r="Y25" s="544"/>
      <c r="Z25" s="548" t="s">
        <v>757</v>
      </c>
      <c r="AA25" s="549"/>
      <c r="AB25" s="549"/>
      <c r="AC25" s="550"/>
      <c r="AD25" s="544"/>
      <c r="AE25" s="548" t="s">
        <v>757</v>
      </c>
      <c r="AF25" s="549"/>
      <c r="AG25" s="549"/>
      <c r="AH25" s="550"/>
      <c r="AI25" s="544"/>
      <c r="AJ25" s="548" t="s">
        <v>757</v>
      </c>
      <c r="AK25" s="549"/>
      <c r="AL25" s="549"/>
      <c r="AM25" s="550"/>
      <c r="AN25" s="544"/>
      <c r="AO25" s="548" t="s">
        <v>757</v>
      </c>
      <c r="AP25" s="549"/>
      <c r="AQ25" s="549"/>
      <c r="AR25" s="550"/>
      <c r="AS25" s="544"/>
      <c r="AT25" s="548" t="s">
        <v>757</v>
      </c>
      <c r="AU25" s="549"/>
      <c r="AV25" s="549"/>
      <c r="AW25" s="550"/>
      <c r="AX25" s="544"/>
    </row>
    <row r="26" spans="2:54">
      <c r="B26" s="544"/>
      <c r="C26" s="544"/>
      <c r="D26" s="544"/>
      <c r="E26" s="403" t="s">
        <v>787</v>
      </c>
      <c r="F26" s="403" t="s">
        <v>764</v>
      </c>
      <c r="G26" s="403" t="s">
        <v>788</v>
      </c>
      <c r="H26" s="563"/>
      <c r="I26" s="402" t="s">
        <v>787</v>
      </c>
      <c r="J26" s="402" t="s">
        <v>764</v>
      </c>
      <c r="K26" s="402" t="s">
        <v>788</v>
      </c>
      <c r="L26" s="586"/>
      <c r="M26" s="569"/>
      <c r="N26" s="544"/>
      <c r="O26" s="544"/>
      <c r="P26" s="403" t="s">
        <v>787</v>
      </c>
      <c r="Q26" s="403" t="s">
        <v>764</v>
      </c>
      <c r="R26" s="403" t="s">
        <v>788</v>
      </c>
      <c r="S26" s="403" t="s">
        <v>784</v>
      </c>
      <c r="T26" s="544"/>
      <c r="U26" s="403" t="s">
        <v>787</v>
      </c>
      <c r="V26" s="403" t="s">
        <v>764</v>
      </c>
      <c r="W26" s="403" t="s">
        <v>788</v>
      </c>
      <c r="X26" s="403" t="s">
        <v>784</v>
      </c>
      <c r="Y26" s="544"/>
      <c r="Z26" s="403" t="s">
        <v>787</v>
      </c>
      <c r="AA26" s="403" t="s">
        <v>764</v>
      </c>
      <c r="AB26" s="403" t="s">
        <v>788</v>
      </c>
      <c r="AC26" s="403" t="s">
        <v>784</v>
      </c>
      <c r="AD26" s="544"/>
      <c r="AE26" s="403" t="s">
        <v>787</v>
      </c>
      <c r="AF26" s="403" t="s">
        <v>764</v>
      </c>
      <c r="AG26" s="403" t="s">
        <v>788</v>
      </c>
      <c r="AH26" s="403" t="s">
        <v>784</v>
      </c>
      <c r="AI26" s="544"/>
      <c r="AJ26" s="403" t="s">
        <v>787</v>
      </c>
      <c r="AK26" s="403" t="s">
        <v>764</v>
      </c>
      <c r="AL26" s="403" t="s">
        <v>788</v>
      </c>
      <c r="AM26" s="403" t="s">
        <v>784</v>
      </c>
      <c r="AN26" s="544"/>
      <c r="AO26" s="403" t="s">
        <v>787</v>
      </c>
      <c r="AP26" s="403" t="s">
        <v>764</v>
      </c>
      <c r="AQ26" s="403" t="s">
        <v>788</v>
      </c>
      <c r="AR26" s="403" t="s">
        <v>784</v>
      </c>
      <c r="AS26" s="544"/>
      <c r="AT26" s="403" t="s">
        <v>787</v>
      </c>
      <c r="AU26" s="403" t="s">
        <v>764</v>
      </c>
      <c r="AV26" s="403" t="s">
        <v>788</v>
      </c>
      <c r="AW26" s="403" t="s">
        <v>784</v>
      </c>
      <c r="AX26" s="544"/>
    </row>
    <row r="27" spans="2:54">
      <c r="B27" s="544" t="s">
        <v>789</v>
      </c>
      <c r="C27" s="404">
        <v>1</v>
      </c>
      <c r="D27" s="226" t="s">
        <v>394</v>
      </c>
      <c r="E27" s="182">
        <v>20</v>
      </c>
      <c r="F27" s="404">
        <v>2400</v>
      </c>
      <c r="G27" s="405">
        <v>120</v>
      </c>
      <c r="H27" s="597">
        <f>AVERAGE(G27:G41)</f>
        <v>144.76</v>
      </c>
      <c r="I27" s="408">
        <f t="shared" ref="I27:K31" si="15">AVERAGE(P27,U27,Z27,AE27,AJ27,AO27,AT27)</f>
        <v>20.142857142857142</v>
      </c>
      <c r="J27" s="408">
        <f t="shared" si="15"/>
        <v>2183.9833569791563</v>
      </c>
      <c r="K27" s="406">
        <f t="shared" si="15"/>
        <v>108.46519004731081</v>
      </c>
      <c r="L27" s="587">
        <f>IFERROR(AVERAGE(K27:K41),"-")</f>
        <v>119.36465716267438</v>
      </c>
      <c r="M27" s="407">
        <f>RANK(K27, K$27:$K$41)</f>
        <v>4</v>
      </c>
      <c r="N27" s="544"/>
      <c r="O27" s="544"/>
      <c r="P27" s="182">
        <v>21</v>
      </c>
      <c r="Q27" s="405">
        <v>2157.8947368421068</v>
      </c>
      <c r="R27" s="405">
        <v>102.75689223057651</v>
      </c>
      <c r="S27" s="404">
        <f t="shared" ref="S27:S41" si="16">RANK(R27, R$27:R$41)</f>
        <v>4</v>
      </c>
      <c r="T27" s="597">
        <f>AVERAGE(R27:R41)</f>
        <v>116.20795931607149</v>
      </c>
      <c r="U27" s="182">
        <v>20</v>
      </c>
      <c r="V27" s="405">
        <v>2222.1052631578964</v>
      </c>
      <c r="W27" s="405">
        <v>111.10526315789483</v>
      </c>
      <c r="X27" s="404">
        <f t="shared" ref="X27:X41" si="17">RANK(W27, W$27:W$41)</f>
        <v>5</v>
      </c>
      <c r="Y27" s="597">
        <f t="shared" ref="Y27" si="18">AVERAGE(W27:W41)</f>
        <v>122.57233710882244</v>
      </c>
      <c r="Z27" s="182">
        <v>20</v>
      </c>
      <c r="AA27" s="405">
        <v>2190.0000000000014</v>
      </c>
      <c r="AB27" s="405">
        <v>109.50000000000007</v>
      </c>
      <c r="AC27" s="404">
        <f t="shared" ref="AC27:AC41" si="19">RANK(AB27, AB$27:AB$41)</f>
        <v>4</v>
      </c>
      <c r="AD27" s="597">
        <f t="shared" ref="AD27" si="20">AVERAGE(AB27:AB41)</f>
        <v>117.88993375046012</v>
      </c>
      <c r="AE27" s="182">
        <v>20</v>
      </c>
      <c r="AF27" s="405">
        <v>2127.0588235294094</v>
      </c>
      <c r="AG27" s="405">
        <v>106.35294117647047</v>
      </c>
      <c r="AH27" s="404">
        <f t="shared" ref="AH27:AH41" si="21">RANK(AG27, AG$27:AG$41)</f>
        <v>5</v>
      </c>
      <c r="AI27" s="597">
        <f t="shared" ref="AI27" si="22">AVERAGE(AG27:AG41)</f>
        <v>118.69628110572384</v>
      </c>
      <c r="AJ27" s="182">
        <v>20</v>
      </c>
      <c r="AK27" s="405">
        <v>2232.0000000000005</v>
      </c>
      <c r="AL27" s="405">
        <v>111.60000000000002</v>
      </c>
      <c r="AM27" s="404">
        <f t="shared" ref="AM27:AM41" si="23">RANK(AL27, AL$27:AL$41)</f>
        <v>4</v>
      </c>
      <c r="AN27" s="597">
        <f t="shared" ref="AN27" si="24">AVERAGE(AL27:AL41)</f>
        <v>119.8083843580785</v>
      </c>
      <c r="AO27" s="182">
        <v>20</v>
      </c>
      <c r="AP27" s="405">
        <v>2184.6428571428587</v>
      </c>
      <c r="AQ27" s="405">
        <v>109.23214285714293</v>
      </c>
      <c r="AR27" s="404">
        <f t="shared" ref="AR27:AR41" si="25">RANK(AQ27, AQ$27:AQ$41)</f>
        <v>4</v>
      </c>
      <c r="AS27" s="597">
        <f t="shared" ref="AS27" si="26">AVERAGE(AQ27:AQ41)</f>
        <v>120.71824270499212</v>
      </c>
      <c r="AT27" s="182">
        <v>20</v>
      </c>
      <c r="AU27" s="405">
        <v>2174.1818181818198</v>
      </c>
      <c r="AV27" s="405">
        <v>108.70909090909099</v>
      </c>
      <c r="AW27" s="404">
        <f t="shared" ref="AW27:AW41" si="27">RANK(AV27, AV$27:AV$41)</f>
        <v>4</v>
      </c>
      <c r="AX27" s="534">
        <f t="shared" ref="AX27" si="28">AVERAGE(AV27:AV41)</f>
        <v>119.65946179457217</v>
      </c>
    </row>
    <row r="28" spans="2:54">
      <c r="B28" s="533"/>
      <c r="C28" s="404">
        <v>2</v>
      </c>
      <c r="D28" s="226" t="s">
        <v>395</v>
      </c>
      <c r="E28" s="182">
        <v>18</v>
      </c>
      <c r="F28" s="404">
        <v>3000</v>
      </c>
      <c r="G28" s="405">
        <v>166.7</v>
      </c>
      <c r="H28" s="598"/>
      <c r="I28" s="408">
        <f t="shared" si="15"/>
        <v>18.857142857142858</v>
      </c>
      <c r="J28" s="408">
        <f t="shared" si="15"/>
        <v>2352.7949114623711</v>
      </c>
      <c r="K28" s="406">
        <f t="shared" si="15"/>
        <v>124.84900688413634</v>
      </c>
      <c r="L28" s="588"/>
      <c r="M28" s="407">
        <f>RANK(K28, K$27:$K$41)</f>
        <v>3</v>
      </c>
      <c r="N28" s="544"/>
      <c r="O28" s="544"/>
      <c r="P28" s="404">
        <v>19</v>
      </c>
      <c r="Q28" s="405">
        <v>2324.5161290322603</v>
      </c>
      <c r="R28" s="405">
        <v>122.34295415959265</v>
      </c>
      <c r="S28" s="404">
        <f t="shared" si="16"/>
        <v>3</v>
      </c>
      <c r="T28" s="598"/>
      <c r="U28" s="404">
        <v>18</v>
      </c>
      <c r="V28" s="405">
        <v>2436.3636363636392</v>
      </c>
      <c r="W28" s="405">
        <v>135.35353535353551</v>
      </c>
      <c r="X28" s="404">
        <f t="shared" si="17"/>
        <v>1</v>
      </c>
      <c r="Y28" s="598"/>
      <c r="Z28" s="404">
        <v>19</v>
      </c>
      <c r="AA28" s="405">
        <v>2369.0909090909117</v>
      </c>
      <c r="AB28" s="405">
        <v>124.68899521531114</v>
      </c>
      <c r="AC28" s="404">
        <f t="shared" si="19"/>
        <v>2</v>
      </c>
      <c r="AD28" s="598"/>
      <c r="AE28" s="404">
        <v>19</v>
      </c>
      <c r="AF28" s="405">
        <v>2352.8571428571445</v>
      </c>
      <c r="AG28" s="405">
        <v>123.8345864661655</v>
      </c>
      <c r="AH28" s="404">
        <f t="shared" si="21"/>
        <v>3</v>
      </c>
      <c r="AI28" s="598"/>
      <c r="AJ28" s="404">
        <v>19</v>
      </c>
      <c r="AK28" s="405">
        <v>2305.8620689655158</v>
      </c>
      <c r="AL28" s="405">
        <v>121.36116152450083</v>
      </c>
      <c r="AM28" s="404">
        <f t="shared" si="23"/>
        <v>3</v>
      </c>
      <c r="AN28" s="598"/>
      <c r="AO28" s="404">
        <v>19</v>
      </c>
      <c r="AP28" s="405">
        <v>2362.1052631578968</v>
      </c>
      <c r="AQ28" s="405">
        <v>124.32132963988931</v>
      </c>
      <c r="AR28" s="404">
        <f t="shared" si="25"/>
        <v>3</v>
      </c>
      <c r="AS28" s="598"/>
      <c r="AT28" s="404">
        <v>19</v>
      </c>
      <c r="AU28" s="405">
        <v>2318.76923076923</v>
      </c>
      <c r="AV28" s="405">
        <v>122.04048582995948</v>
      </c>
      <c r="AW28" s="404">
        <f t="shared" si="27"/>
        <v>3</v>
      </c>
      <c r="AX28" s="534"/>
    </row>
    <row r="29" spans="2:54">
      <c r="B29" s="533"/>
      <c r="C29" s="404">
        <v>3</v>
      </c>
      <c r="D29" s="226" t="s">
        <v>396</v>
      </c>
      <c r="E29" s="182">
        <v>18</v>
      </c>
      <c r="F29" s="404">
        <v>3000</v>
      </c>
      <c r="G29" s="405">
        <v>166.7</v>
      </c>
      <c r="H29" s="598"/>
      <c r="I29" s="408">
        <f t="shared" si="15"/>
        <v>19</v>
      </c>
      <c r="J29" s="408">
        <f t="shared" si="15"/>
        <v>2485.3703702362227</v>
      </c>
      <c r="K29" s="406">
        <f t="shared" si="15"/>
        <v>130.80896685453806</v>
      </c>
      <c r="L29" s="588"/>
      <c r="M29" s="407">
        <f>RANK(K29, K$27:$K$41)</f>
        <v>1</v>
      </c>
      <c r="N29" s="544"/>
      <c r="O29" s="544"/>
      <c r="P29" s="404">
        <v>19</v>
      </c>
      <c r="Q29" s="405">
        <v>2481.9512195121943</v>
      </c>
      <c r="R29" s="405">
        <v>130.62901155327339</v>
      </c>
      <c r="S29" s="404">
        <f t="shared" si="16"/>
        <v>1</v>
      </c>
      <c r="T29" s="598"/>
      <c r="U29" s="404">
        <v>19</v>
      </c>
      <c r="V29" s="405">
        <v>2529.9999999999991</v>
      </c>
      <c r="W29" s="405">
        <v>133.15789473684205</v>
      </c>
      <c r="X29" s="404">
        <f t="shared" si="17"/>
        <v>2</v>
      </c>
      <c r="Y29" s="598"/>
      <c r="Z29" s="404">
        <v>19</v>
      </c>
      <c r="AA29" s="405">
        <v>2475.3846153846139</v>
      </c>
      <c r="AB29" s="405">
        <v>130.28340080971651</v>
      </c>
      <c r="AC29" s="404">
        <f t="shared" si="19"/>
        <v>1</v>
      </c>
      <c r="AD29" s="598"/>
      <c r="AE29" s="404">
        <v>19</v>
      </c>
      <c r="AF29" s="405">
        <v>2456.7567567567548</v>
      </c>
      <c r="AG29" s="405">
        <v>129.30298719772395</v>
      </c>
      <c r="AH29" s="404">
        <f t="shared" si="21"/>
        <v>1</v>
      </c>
      <c r="AI29" s="598"/>
      <c r="AJ29" s="404">
        <v>19</v>
      </c>
      <c r="AK29" s="405">
        <v>2503.4999999999991</v>
      </c>
      <c r="AL29" s="405">
        <v>131.76315789473679</v>
      </c>
      <c r="AM29" s="404">
        <f t="shared" si="23"/>
        <v>1</v>
      </c>
      <c r="AN29" s="598"/>
      <c r="AO29" s="404">
        <v>19</v>
      </c>
      <c r="AP29" s="405">
        <v>2468.9999999999991</v>
      </c>
      <c r="AQ29" s="405">
        <v>129.94736842105257</v>
      </c>
      <c r="AR29" s="404">
        <f t="shared" si="25"/>
        <v>2</v>
      </c>
      <c r="AS29" s="598"/>
      <c r="AT29" s="404">
        <v>19</v>
      </c>
      <c r="AU29" s="405">
        <v>2480.9999999999991</v>
      </c>
      <c r="AV29" s="405">
        <v>130.57894736842101</v>
      </c>
      <c r="AW29" s="404">
        <f t="shared" si="27"/>
        <v>2</v>
      </c>
      <c r="AX29" s="534"/>
    </row>
    <row r="30" spans="2:54">
      <c r="B30" s="533"/>
      <c r="C30" s="404">
        <v>4</v>
      </c>
      <c r="D30" s="226" t="s">
        <v>397</v>
      </c>
      <c r="E30" s="182">
        <v>19</v>
      </c>
      <c r="F30" s="404">
        <v>3000</v>
      </c>
      <c r="G30" s="405">
        <v>157.9</v>
      </c>
      <c r="H30" s="598"/>
      <c r="I30" s="408">
        <f t="shared" si="15"/>
        <v>19.571428571428573</v>
      </c>
      <c r="J30" s="408">
        <f t="shared" si="15"/>
        <v>2465.5827878777163</v>
      </c>
      <c r="K30" s="406">
        <f t="shared" si="15"/>
        <v>126.07044520183001</v>
      </c>
      <c r="L30" s="588"/>
      <c r="M30" s="407">
        <f>RANK(K30, K$27:$K$41)</f>
        <v>2</v>
      </c>
      <c r="N30" s="544"/>
      <c r="O30" s="544"/>
      <c r="P30" s="404">
        <v>20</v>
      </c>
      <c r="Q30" s="405">
        <v>2453.6842105263177</v>
      </c>
      <c r="R30" s="405">
        <v>122.68421052631588</v>
      </c>
      <c r="S30" s="404">
        <f t="shared" si="16"/>
        <v>2</v>
      </c>
      <c r="T30" s="598"/>
      <c r="U30" s="404">
        <v>20</v>
      </c>
      <c r="V30" s="405">
        <v>2437.6271186440695</v>
      </c>
      <c r="W30" s="405">
        <v>121.88135593220348</v>
      </c>
      <c r="X30" s="404">
        <f t="shared" si="17"/>
        <v>3</v>
      </c>
      <c r="Y30" s="598"/>
      <c r="Z30" s="404">
        <v>20</v>
      </c>
      <c r="AA30" s="405">
        <v>2445.0000000000023</v>
      </c>
      <c r="AB30" s="405">
        <v>122.25000000000011</v>
      </c>
      <c r="AC30" s="404">
        <f t="shared" si="19"/>
        <v>3</v>
      </c>
      <c r="AD30" s="598"/>
      <c r="AE30" s="404">
        <v>20</v>
      </c>
      <c r="AF30" s="405">
        <v>2497.8947368421072</v>
      </c>
      <c r="AG30" s="405">
        <v>124.89473684210536</v>
      </c>
      <c r="AH30" s="404">
        <f t="shared" si="21"/>
        <v>2</v>
      </c>
      <c r="AI30" s="598"/>
      <c r="AJ30" s="404">
        <v>19</v>
      </c>
      <c r="AK30" s="405">
        <v>2420.3225806451637</v>
      </c>
      <c r="AL30" s="405">
        <v>127.3853989813244</v>
      </c>
      <c r="AM30" s="404">
        <f t="shared" si="23"/>
        <v>2</v>
      </c>
      <c r="AN30" s="598"/>
      <c r="AO30" s="404">
        <v>19</v>
      </c>
      <c r="AP30" s="405">
        <v>2512.615384615387</v>
      </c>
      <c r="AQ30" s="405">
        <v>132.24291497975722</v>
      </c>
      <c r="AR30" s="404">
        <f t="shared" si="25"/>
        <v>1</v>
      </c>
      <c r="AS30" s="598"/>
      <c r="AT30" s="404">
        <v>19</v>
      </c>
      <c r="AU30" s="405">
        <v>2491.9354838709696</v>
      </c>
      <c r="AV30" s="405">
        <v>131.15449915110366</v>
      </c>
      <c r="AW30" s="404">
        <f t="shared" si="27"/>
        <v>1</v>
      </c>
      <c r="AX30" s="534"/>
    </row>
    <row r="31" spans="2:54">
      <c r="B31" s="533"/>
      <c r="C31" s="404">
        <v>5</v>
      </c>
      <c r="D31" s="226" t="s">
        <v>582</v>
      </c>
      <c r="E31" s="182">
        <v>20</v>
      </c>
      <c r="F31" s="404">
        <v>2250</v>
      </c>
      <c r="G31" s="405">
        <v>112.5</v>
      </c>
      <c r="H31" s="598"/>
      <c r="I31" s="408">
        <f t="shared" si="15"/>
        <v>20.285714285714285</v>
      </c>
      <c r="J31" s="408">
        <f t="shared" si="15"/>
        <v>2161.9298223451156</v>
      </c>
      <c r="K31" s="406">
        <f t="shared" si="15"/>
        <v>106.62967682555669</v>
      </c>
      <c r="L31" s="588"/>
      <c r="M31" s="407">
        <f>RANK(K31, K$27:$K$41)</f>
        <v>5</v>
      </c>
      <c r="N31" s="544"/>
      <c r="O31" s="544"/>
      <c r="P31" s="404">
        <v>21</v>
      </c>
      <c r="Q31" s="405">
        <v>2155.16129032258</v>
      </c>
      <c r="R31" s="405">
        <v>102.62672811059905</v>
      </c>
      <c r="S31" s="404">
        <f t="shared" si="16"/>
        <v>5</v>
      </c>
      <c r="T31" s="598"/>
      <c r="U31" s="404">
        <v>20</v>
      </c>
      <c r="V31" s="405">
        <v>2227.2727272727275</v>
      </c>
      <c r="W31" s="405">
        <v>111.36363636363637</v>
      </c>
      <c r="X31" s="404">
        <f t="shared" si="17"/>
        <v>4</v>
      </c>
      <c r="Y31" s="598"/>
      <c r="Z31" s="404">
        <v>21</v>
      </c>
      <c r="AA31" s="405">
        <v>2157.272727272727</v>
      </c>
      <c r="AB31" s="405">
        <v>102.72727272727272</v>
      </c>
      <c r="AC31" s="404">
        <f t="shared" si="19"/>
        <v>5</v>
      </c>
      <c r="AD31" s="598"/>
      <c r="AE31" s="404">
        <v>20</v>
      </c>
      <c r="AF31" s="405">
        <v>2181.923076923078</v>
      </c>
      <c r="AG31" s="405">
        <v>109.0961538461539</v>
      </c>
      <c r="AH31" s="404">
        <f t="shared" si="21"/>
        <v>4</v>
      </c>
      <c r="AI31" s="598"/>
      <c r="AJ31" s="404">
        <v>20</v>
      </c>
      <c r="AK31" s="405">
        <v>2138.6440677966093</v>
      </c>
      <c r="AL31" s="405">
        <v>106.93220338983046</v>
      </c>
      <c r="AM31" s="404">
        <f t="shared" si="23"/>
        <v>5</v>
      </c>
      <c r="AN31" s="598"/>
      <c r="AO31" s="404">
        <v>20</v>
      </c>
      <c r="AP31" s="405">
        <v>2156.9491525423718</v>
      </c>
      <c r="AQ31" s="405">
        <v>107.84745762711859</v>
      </c>
      <c r="AR31" s="404">
        <f t="shared" si="25"/>
        <v>5</v>
      </c>
      <c r="AS31" s="598"/>
      <c r="AT31" s="404">
        <v>20</v>
      </c>
      <c r="AU31" s="405">
        <v>2116.2857142857147</v>
      </c>
      <c r="AV31" s="405">
        <v>105.81428571428573</v>
      </c>
      <c r="AW31" s="404">
        <f t="shared" si="27"/>
        <v>5</v>
      </c>
      <c r="AX31" s="534"/>
    </row>
    <row r="32" spans="2:54">
      <c r="B32" s="533"/>
      <c r="C32" s="404">
        <v>6</v>
      </c>
      <c r="D32" s="226"/>
      <c r="E32" s="182"/>
      <c r="F32" s="404"/>
      <c r="G32" s="405"/>
      <c r="H32" s="598"/>
      <c r="I32" s="408"/>
      <c r="J32" s="408"/>
      <c r="K32" s="406"/>
      <c r="L32" s="588"/>
      <c r="M32" s="407" t="e">
        <f>RANK(K32, K$27:$K$41)</f>
        <v>#N/A</v>
      </c>
      <c r="N32" s="544"/>
      <c r="O32" s="544"/>
      <c r="P32" s="404"/>
      <c r="Q32" s="405"/>
      <c r="R32" s="405"/>
      <c r="S32" s="404" t="e">
        <f t="shared" si="16"/>
        <v>#N/A</v>
      </c>
      <c r="T32" s="598"/>
      <c r="U32" s="404"/>
      <c r="V32" s="405"/>
      <c r="W32" s="405"/>
      <c r="X32" s="404" t="e">
        <f t="shared" si="17"/>
        <v>#N/A</v>
      </c>
      <c r="Y32" s="598"/>
      <c r="Z32" s="404"/>
      <c r="AA32" s="405"/>
      <c r="AB32" s="405"/>
      <c r="AC32" s="404" t="e">
        <f t="shared" si="19"/>
        <v>#N/A</v>
      </c>
      <c r="AD32" s="598"/>
      <c r="AE32" s="404"/>
      <c r="AF32" s="405"/>
      <c r="AG32" s="405"/>
      <c r="AH32" s="404" t="e">
        <f t="shared" si="21"/>
        <v>#N/A</v>
      </c>
      <c r="AI32" s="598"/>
      <c r="AJ32" s="404"/>
      <c r="AK32" s="405"/>
      <c r="AL32" s="405"/>
      <c r="AM32" s="404" t="e">
        <f t="shared" si="23"/>
        <v>#N/A</v>
      </c>
      <c r="AN32" s="598"/>
      <c r="AO32" s="404"/>
      <c r="AP32" s="405"/>
      <c r="AQ32" s="405"/>
      <c r="AR32" s="404" t="e">
        <f t="shared" si="25"/>
        <v>#N/A</v>
      </c>
      <c r="AS32" s="598"/>
      <c r="AT32" s="404"/>
      <c r="AU32" s="405"/>
      <c r="AV32" s="405"/>
      <c r="AW32" s="404" t="e">
        <f t="shared" si="27"/>
        <v>#N/A</v>
      </c>
      <c r="AX32" s="534"/>
    </row>
    <row r="33" spans="2:50">
      <c r="B33" s="533"/>
      <c r="C33" s="404">
        <v>7</v>
      </c>
      <c r="D33" s="226"/>
      <c r="E33" s="182"/>
      <c r="F33" s="404"/>
      <c r="G33" s="405"/>
      <c r="H33" s="598"/>
      <c r="I33" s="408"/>
      <c r="J33" s="408"/>
      <c r="K33" s="406"/>
      <c r="L33" s="588"/>
      <c r="M33" s="407" t="e">
        <f>RANK(K33, K$27:$K$41)</f>
        <v>#N/A</v>
      </c>
      <c r="N33" s="544"/>
      <c r="O33" s="544"/>
      <c r="P33" s="404"/>
      <c r="Q33" s="405"/>
      <c r="R33" s="405"/>
      <c r="S33" s="404" t="e">
        <f t="shared" si="16"/>
        <v>#N/A</v>
      </c>
      <c r="T33" s="598"/>
      <c r="U33" s="404"/>
      <c r="V33" s="405"/>
      <c r="W33" s="405"/>
      <c r="X33" s="404" t="e">
        <f t="shared" si="17"/>
        <v>#N/A</v>
      </c>
      <c r="Y33" s="598"/>
      <c r="Z33" s="404"/>
      <c r="AA33" s="405"/>
      <c r="AB33" s="405"/>
      <c r="AC33" s="404" t="e">
        <f t="shared" si="19"/>
        <v>#N/A</v>
      </c>
      <c r="AD33" s="598"/>
      <c r="AE33" s="404"/>
      <c r="AF33" s="405"/>
      <c r="AG33" s="405"/>
      <c r="AH33" s="404" t="e">
        <f t="shared" si="21"/>
        <v>#N/A</v>
      </c>
      <c r="AI33" s="598"/>
      <c r="AJ33" s="404"/>
      <c r="AK33" s="405"/>
      <c r="AL33" s="405"/>
      <c r="AM33" s="404" t="e">
        <f t="shared" si="23"/>
        <v>#N/A</v>
      </c>
      <c r="AN33" s="598"/>
      <c r="AO33" s="404"/>
      <c r="AP33" s="405"/>
      <c r="AQ33" s="405"/>
      <c r="AR33" s="404" t="e">
        <f t="shared" si="25"/>
        <v>#N/A</v>
      </c>
      <c r="AS33" s="598"/>
      <c r="AT33" s="404"/>
      <c r="AU33" s="405"/>
      <c r="AV33" s="405"/>
      <c r="AW33" s="404" t="e">
        <f t="shared" si="27"/>
        <v>#N/A</v>
      </c>
      <c r="AX33" s="534"/>
    </row>
    <row r="34" spans="2:50">
      <c r="B34" s="533"/>
      <c r="C34" s="404">
        <v>8</v>
      </c>
      <c r="D34" s="226"/>
      <c r="E34" s="182"/>
      <c r="F34" s="404"/>
      <c r="G34" s="405"/>
      <c r="H34" s="598"/>
      <c r="I34" s="408"/>
      <c r="J34" s="408"/>
      <c r="K34" s="406"/>
      <c r="L34" s="588"/>
      <c r="M34" s="407" t="e">
        <f>RANK(K34, K$27:$K$41)</f>
        <v>#N/A</v>
      </c>
      <c r="N34" s="544"/>
      <c r="O34" s="544"/>
      <c r="P34" s="404"/>
      <c r="Q34" s="405"/>
      <c r="R34" s="405"/>
      <c r="S34" s="404" t="e">
        <f t="shared" si="16"/>
        <v>#N/A</v>
      </c>
      <c r="T34" s="598"/>
      <c r="U34" s="404"/>
      <c r="V34" s="405"/>
      <c r="W34" s="405"/>
      <c r="X34" s="404" t="e">
        <f t="shared" si="17"/>
        <v>#N/A</v>
      </c>
      <c r="Y34" s="598"/>
      <c r="Z34" s="404"/>
      <c r="AA34" s="405"/>
      <c r="AB34" s="405"/>
      <c r="AC34" s="404" t="e">
        <f t="shared" si="19"/>
        <v>#N/A</v>
      </c>
      <c r="AD34" s="598"/>
      <c r="AE34" s="404"/>
      <c r="AF34" s="405"/>
      <c r="AG34" s="405"/>
      <c r="AH34" s="404" t="e">
        <f t="shared" si="21"/>
        <v>#N/A</v>
      </c>
      <c r="AI34" s="598"/>
      <c r="AJ34" s="404"/>
      <c r="AK34" s="405"/>
      <c r="AL34" s="405"/>
      <c r="AM34" s="404" t="e">
        <f t="shared" si="23"/>
        <v>#N/A</v>
      </c>
      <c r="AN34" s="598"/>
      <c r="AO34" s="404"/>
      <c r="AP34" s="405"/>
      <c r="AQ34" s="405"/>
      <c r="AR34" s="404" t="e">
        <f t="shared" si="25"/>
        <v>#N/A</v>
      </c>
      <c r="AS34" s="598"/>
      <c r="AT34" s="404"/>
      <c r="AU34" s="405"/>
      <c r="AV34" s="405"/>
      <c r="AW34" s="404" t="e">
        <f t="shared" si="27"/>
        <v>#N/A</v>
      </c>
      <c r="AX34" s="534"/>
    </row>
    <row r="35" spans="2:50">
      <c r="B35" s="533"/>
      <c r="C35" s="404">
        <v>9</v>
      </c>
      <c r="D35" s="226"/>
      <c r="E35" s="182"/>
      <c r="F35" s="404"/>
      <c r="G35" s="405"/>
      <c r="H35" s="598"/>
      <c r="I35" s="408"/>
      <c r="J35" s="408"/>
      <c r="K35" s="406"/>
      <c r="L35" s="588"/>
      <c r="M35" s="407" t="e">
        <f>RANK(K35, K$27:$K$41)</f>
        <v>#N/A</v>
      </c>
      <c r="N35" s="544"/>
      <c r="O35" s="544"/>
      <c r="P35" s="404"/>
      <c r="Q35" s="405"/>
      <c r="R35" s="405"/>
      <c r="S35" s="404" t="e">
        <f t="shared" si="16"/>
        <v>#N/A</v>
      </c>
      <c r="T35" s="598"/>
      <c r="U35" s="404"/>
      <c r="V35" s="405"/>
      <c r="W35" s="405"/>
      <c r="X35" s="404" t="e">
        <f t="shared" si="17"/>
        <v>#N/A</v>
      </c>
      <c r="Y35" s="598"/>
      <c r="Z35" s="404"/>
      <c r="AA35" s="405"/>
      <c r="AB35" s="405"/>
      <c r="AC35" s="404" t="e">
        <f t="shared" si="19"/>
        <v>#N/A</v>
      </c>
      <c r="AD35" s="598"/>
      <c r="AE35" s="404"/>
      <c r="AF35" s="405"/>
      <c r="AG35" s="405"/>
      <c r="AH35" s="404" t="e">
        <f t="shared" si="21"/>
        <v>#N/A</v>
      </c>
      <c r="AI35" s="598"/>
      <c r="AJ35" s="404"/>
      <c r="AK35" s="405"/>
      <c r="AL35" s="405"/>
      <c r="AM35" s="404" t="e">
        <f t="shared" si="23"/>
        <v>#N/A</v>
      </c>
      <c r="AN35" s="598"/>
      <c r="AO35" s="404"/>
      <c r="AP35" s="405"/>
      <c r="AQ35" s="405"/>
      <c r="AR35" s="404" t="e">
        <f t="shared" si="25"/>
        <v>#N/A</v>
      </c>
      <c r="AS35" s="598"/>
      <c r="AT35" s="404"/>
      <c r="AU35" s="405"/>
      <c r="AV35" s="405"/>
      <c r="AW35" s="404" t="e">
        <f t="shared" si="27"/>
        <v>#N/A</v>
      </c>
      <c r="AX35" s="534"/>
    </row>
    <row r="36" spans="2:50">
      <c r="B36" s="533"/>
      <c r="C36" s="404">
        <v>10</v>
      </c>
      <c r="D36" s="226"/>
      <c r="E36" s="182"/>
      <c r="F36" s="404"/>
      <c r="G36" s="405"/>
      <c r="H36" s="598"/>
      <c r="I36" s="408"/>
      <c r="J36" s="408"/>
      <c r="K36" s="406"/>
      <c r="L36" s="588"/>
      <c r="M36" s="407" t="e">
        <f>RANK(K36, K$27:$K$41)</f>
        <v>#N/A</v>
      </c>
      <c r="N36" s="544"/>
      <c r="O36" s="544"/>
      <c r="P36" s="404"/>
      <c r="Q36" s="404"/>
      <c r="R36" s="405"/>
      <c r="S36" s="404" t="e">
        <f t="shared" si="16"/>
        <v>#N/A</v>
      </c>
      <c r="T36" s="598"/>
      <c r="U36" s="404"/>
      <c r="V36" s="404"/>
      <c r="W36" s="405"/>
      <c r="X36" s="404" t="e">
        <f t="shared" si="17"/>
        <v>#N/A</v>
      </c>
      <c r="Y36" s="598"/>
      <c r="Z36" s="404"/>
      <c r="AA36" s="404"/>
      <c r="AB36" s="405"/>
      <c r="AC36" s="404" t="e">
        <f t="shared" si="19"/>
        <v>#N/A</v>
      </c>
      <c r="AD36" s="598"/>
      <c r="AE36" s="404"/>
      <c r="AF36" s="404"/>
      <c r="AG36" s="405"/>
      <c r="AH36" s="404" t="e">
        <f t="shared" si="21"/>
        <v>#N/A</v>
      </c>
      <c r="AI36" s="598"/>
      <c r="AJ36" s="404"/>
      <c r="AK36" s="404"/>
      <c r="AL36" s="405"/>
      <c r="AM36" s="404" t="e">
        <f t="shared" si="23"/>
        <v>#N/A</v>
      </c>
      <c r="AN36" s="598"/>
      <c r="AO36" s="404"/>
      <c r="AP36" s="404"/>
      <c r="AQ36" s="405"/>
      <c r="AR36" s="404" t="e">
        <f t="shared" si="25"/>
        <v>#N/A</v>
      </c>
      <c r="AS36" s="598"/>
      <c r="AT36" s="404"/>
      <c r="AU36" s="404"/>
      <c r="AV36" s="405"/>
      <c r="AW36" s="404" t="e">
        <f t="shared" si="27"/>
        <v>#N/A</v>
      </c>
      <c r="AX36" s="534"/>
    </row>
    <row r="37" spans="2:50">
      <c r="B37" s="533"/>
      <c r="C37" s="404">
        <v>11</v>
      </c>
      <c r="D37" s="226"/>
      <c r="E37" s="182"/>
      <c r="F37" s="404"/>
      <c r="G37" s="405"/>
      <c r="H37" s="598"/>
      <c r="I37" s="202"/>
      <c r="J37" s="202"/>
      <c r="K37" s="202"/>
      <c r="L37" s="588"/>
      <c r="M37" s="407" t="e">
        <f>RANK(K37, K$27:$K$41)</f>
        <v>#N/A</v>
      </c>
      <c r="N37" s="544"/>
      <c r="O37" s="544"/>
      <c r="P37" s="404"/>
      <c r="Q37" s="404"/>
      <c r="R37" s="404"/>
      <c r="S37" s="404" t="e">
        <f t="shared" si="16"/>
        <v>#N/A</v>
      </c>
      <c r="T37" s="598"/>
      <c r="U37" s="404"/>
      <c r="V37" s="404"/>
      <c r="W37" s="404"/>
      <c r="X37" s="404" t="e">
        <f t="shared" si="17"/>
        <v>#N/A</v>
      </c>
      <c r="Y37" s="598"/>
      <c r="Z37" s="404"/>
      <c r="AA37" s="404"/>
      <c r="AB37" s="404"/>
      <c r="AC37" s="404" t="e">
        <f t="shared" si="19"/>
        <v>#N/A</v>
      </c>
      <c r="AD37" s="598"/>
      <c r="AE37" s="404"/>
      <c r="AF37" s="404"/>
      <c r="AG37" s="404"/>
      <c r="AH37" s="404" t="e">
        <f t="shared" si="21"/>
        <v>#N/A</v>
      </c>
      <c r="AI37" s="598"/>
      <c r="AJ37" s="404"/>
      <c r="AK37" s="404"/>
      <c r="AL37" s="404"/>
      <c r="AM37" s="404" t="e">
        <f t="shared" si="23"/>
        <v>#N/A</v>
      </c>
      <c r="AN37" s="598"/>
      <c r="AO37" s="404"/>
      <c r="AP37" s="404"/>
      <c r="AQ37" s="404"/>
      <c r="AR37" s="404" t="e">
        <f t="shared" si="25"/>
        <v>#N/A</v>
      </c>
      <c r="AS37" s="598"/>
      <c r="AT37" s="404"/>
      <c r="AU37" s="404"/>
      <c r="AV37" s="404"/>
      <c r="AW37" s="404" t="e">
        <f t="shared" si="27"/>
        <v>#N/A</v>
      </c>
      <c r="AX37" s="534"/>
    </row>
    <row r="38" spans="2:50">
      <c r="B38" s="533"/>
      <c r="C38" s="404">
        <v>12</v>
      </c>
      <c r="D38" s="226"/>
      <c r="E38" s="182"/>
      <c r="F38" s="404"/>
      <c r="G38" s="405"/>
      <c r="H38" s="598"/>
      <c r="I38" s="202"/>
      <c r="J38" s="202"/>
      <c r="K38" s="202"/>
      <c r="L38" s="588"/>
      <c r="M38" s="407" t="e">
        <f>RANK(K38, K$27:$K$41)</f>
        <v>#N/A</v>
      </c>
      <c r="N38" s="544"/>
      <c r="O38" s="544"/>
      <c r="P38" s="404"/>
      <c r="Q38" s="404"/>
      <c r="R38" s="404"/>
      <c r="S38" s="404" t="e">
        <f t="shared" si="16"/>
        <v>#N/A</v>
      </c>
      <c r="T38" s="598"/>
      <c r="U38" s="404"/>
      <c r="V38" s="404"/>
      <c r="W38" s="404"/>
      <c r="X38" s="404" t="e">
        <f t="shared" si="17"/>
        <v>#N/A</v>
      </c>
      <c r="Y38" s="598"/>
      <c r="Z38" s="404"/>
      <c r="AA38" s="404"/>
      <c r="AB38" s="404"/>
      <c r="AC38" s="404" t="e">
        <f t="shared" si="19"/>
        <v>#N/A</v>
      </c>
      <c r="AD38" s="598"/>
      <c r="AE38" s="404"/>
      <c r="AF38" s="404"/>
      <c r="AG38" s="404"/>
      <c r="AH38" s="404" t="e">
        <f t="shared" si="21"/>
        <v>#N/A</v>
      </c>
      <c r="AI38" s="598"/>
      <c r="AJ38" s="404"/>
      <c r="AK38" s="404"/>
      <c r="AL38" s="404"/>
      <c r="AM38" s="404" t="e">
        <f t="shared" si="23"/>
        <v>#N/A</v>
      </c>
      <c r="AN38" s="598"/>
      <c r="AO38" s="404"/>
      <c r="AP38" s="404"/>
      <c r="AQ38" s="404"/>
      <c r="AR38" s="404" t="e">
        <f t="shared" si="25"/>
        <v>#N/A</v>
      </c>
      <c r="AS38" s="598"/>
      <c r="AT38" s="404"/>
      <c r="AU38" s="404"/>
      <c r="AV38" s="404"/>
      <c r="AW38" s="404" t="e">
        <f t="shared" si="27"/>
        <v>#N/A</v>
      </c>
      <c r="AX38" s="534"/>
    </row>
    <row r="39" spans="2:50">
      <c r="B39" s="533"/>
      <c r="C39" s="404">
        <v>13</v>
      </c>
      <c r="D39" s="226"/>
      <c r="E39" s="182"/>
      <c r="F39" s="404"/>
      <c r="G39" s="405"/>
      <c r="H39" s="598"/>
      <c r="I39" s="202"/>
      <c r="J39" s="202"/>
      <c r="K39" s="202"/>
      <c r="L39" s="588"/>
      <c r="M39" s="407" t="e">
        <f>RANK(K39, K$27:$K$41)</f>
        <v>#N/A</v>
      </c>
      <c r="N39" s="544"/>
      <c r="O39" s="544"/>
      <c r="P39" s="404"/>
      <c r="Q39" s="404"/>
      <c r="R39" s="404"/>
      <c r="S39" s="404" t="e">
        <f t="shared" si="16"/>
        <v>#N/A</v>
      </c>
      <c r="T39" s="598"/>
      <c r="U39" s="404"/>
      <c r="V39" s="404"/>
      <c r="W39" s="404"/>
      <c r="X39" s="404" t="e">
        <f t="shared" si="17"/>
        <v>#N/A</v>
      </c>
      <c r="Y39" s="598"/>
      <c r="Z39" s="404"/>
      <c r="AA39" s="404"/>
      <c r="AB39" s="404"/>
      <c r="AC39" s="404" t="e">
        <f t="shared" si="19"/>
        <v>#N/A</v>
      </c>
      <c r="AD39" s="598"/>
      <c r="AE39" s="404"/>
      <c r="AF39" s="404"/>
      <c r="AG39" s="404"/>
      <c r="AH39" s="404" t="e">
        <f t="shared" si="21"/>
        <v>#N/A</v>
      </c>
      <c r="AI39" s="598"/>
      <c r="AJ39" s="404"/>
      <c r="AK39" s="404"/>
      <c r="AL39" s="404"/>
      <c r="AM39" s="404" t="e">
        <f t="shared" si="23"/>
        <v>#N/A</v>
      </c>
      <c r="AN39" s="598"/>
      <c r="AO39" s="404"/>
      <c r="AP39" s="404"/>
      <c r="AQ39" s="404"/>
      <c r="AR39" s="404" t="e">
        <f t="shared" si="25"/>
        <v>#N/A</v>
      </c>
      <c r="AS39" s="598"/>
      <c r="AT39" s="404"/>
      <c r="AU39" s="404"/>
      <c r="AV39" s="404"/>
      <c r="AW39" s="404" t="e">
        <f t="shared" si="27"/>
        <v>#N/A</v>
      </c>
      <c r="AX39" s="534"/>
    </row>
    <row r="40" spans="2:50">
      <c r="B40" s="533"/>
      <c r="C40" s="404">
        <v>14</v>
      </c>
      <c r="D40" s="226"/>
      <c r="E40" s="182"/>
      <c r="F40" s="404"/>
      <c r="G40" s="405"/>
      <c r="H40" s="598"/>
      <c r="I40" s="202"/>
      <c r="J40" s="202"/>
      <c r="K40" s="202"/>
      <c r="L40" s="588"/>
      <c r="M40" s="407" t="e">
        <f>RANK(K40, K$27:$K$41)</f>
        <v>#N/A</v>
      </c>
      <c r="N40" s="544"/>
      <c r="O40" s="544"/>
      <c r="P40" s="404"/>
      <c r="Q40" s="404"/>
      <c r="R40" s="404"/>
      <c r="S40" s="404" t="e">
        <f t="shared" si="16"/>
        <v>#N/A</v>
      </c>
      <c r="T40" s="598"/>
      <c r="U40" s="404"/>
      <c r="V40" s="404"/>
      <c r="W40" s="404"/>
      <c r="X40" s="404" t="e">
        <f t="shared" si="17"/>
        <v>#N/A</v>
      </c>
      <c r="Y40" s="598"/>
      <c r="Z40" s="404"/>
      <c r="AA40" s="404"/>
      <c r="AB40" s="404"/>
      <c r="AC40" s="404" t="e">
        <f t="shared" si="19"/>
        <v>#N/A</v>
      </c>
      <c r="AD40" s="598"/>
      <c r="AE40" s="404"/>
      <c r="AF40" s="404"/>
      <c r="AG40" s="404"/>
      <c r="AH40" s="404" t="e">
        <f t="shared" si="21"/>
        <v>#N/A</v>
      </c>
      <c r="AI40" s="598"/>
      <c r="AJ40" s="404"/>
      <c r="AK40" s="404"/>
      <c r="AL40" s="404"/>
      <c r="AM40" s="404" t="e">
        <f t="shared" si="23"/>
        <v>#N/A</v>
      </c>
      <c r="AN40" s="598"/>
      <c r="AO40" s="404"/>
      <c r="AP40" s="404"/>
      <c r="AQ40" s="404"/>
      <c r="AR40" s="404" t="e">
        <f t="shared" si="25"/>
        <v>#N/A</v>
      </c>
      <c r="AS40" s="598"/>
      <c r="AT40" s="404"/>
      <c r="AU40" s="404"/>
      <c r="AV40" s="404"/>
      <c r="AW40" s="404" t="e">
        <f t="shared" si="27"/>
        <v>#N/A</v>
      </c>
      <c r="AX40" s="534"/>
    </row>
    <row r="41" spans="2:50">
      <c r="B41" s="533"/>
      <c r="C41" s="404">
        <v>15</v>
      </c>
      <c r="D41" s="226"/>
      <c r="E41" s="182"/>
      <c r="F41" s="404"/>
      <c r="G41" s="405"/>
      <c r="H41" s="599"/>
      <c r="I41" s="202"/>
      <c r="J41" s="202"/>
      <c r="K41" s="202"/>
      <c r="L41" s="589"/>
      <c r="M41" s="408" t="e">
        <f>RANK(K41, K$27:$K$41)</f>
        <v>#N/A</v>
      </c>
      <c r="N41" s="544"/>
      <c r="O41" s="544"/>
      <c r="P41" s="404"/>
      <c r="Q41" s="404"/>
      <c r="R41" s="404"/>
      <c r="S41" s="404" t="e">
        <f t="shared" si="16"/>
        <v>#N/A</v>
      </c>
      <c r="T41" s="599"/>
      <c r="U41" s="404"/>
      <c r="V41" s="404"/>
      <c r="W41" s="404"/>
      <c r="X41" s="404" t="e">
        <f t="shared" si="17"/>
        <v>#N/A</v>
      </c>
      <c r="Y41" s="599"/>
      <c r="Z41" s="404"/>
      <c r="AA41" s="404"/>
      <c r="AB41" s="404"/>
      <c r="AC41" s="404" t="e">
        <f t="shared" si="19"/>
        <v>#N/A</v>
      </c>
      <c r="AD41" s="599"/>
      <c r="AE41" s="404"/>
      <c r="AF41" s="404"/>
      <c r="AG41" s="404"/>
      <c r="AH41" s="404" t="e">
        <f t="shared" si="21"/>
        <v>#N/A</v>
      </c>
      <c r="AI41" s="599"/>
      <c r="AJ41" s="404"/>
      <c r="AK41" s="404"/>
      <c r="AL41" s="404"/>
      <c r="AM41" s="404" t="e">
        <f t="shared" si="23"/>
        <v>#N/A</v>
      </c>
      <c r="AN41" s="599"/>
      <c r="AO41" s="404"/>
      <c r="AP41" s="404"/>
      <c r="AQ41" s="404"/>
      <c r="AR41" s="404" t="e">
        <f t="shared" si="25"/>
        <v>#N/A</v>
      </c>
      <c r="AS41" s="599"/>
      <c r="AT41" s="404"/>
      <c r="AU41" s="404"/>
      <c r="AV41" s="404"/>
      <c r="AW41" s="404" t="e">
        <f t="shared" si="27"/>
        <v>#N/A</v>
      </c>
      <c r="AX41" s="534"/>
    </row>
    <row r="42" spans="2:50" ht="15.5">
      <c r="B42" s="575" t="s">
        <v>790</v>
      </c>
      <c r="C42" s="576"/>
      <c r="D42" s="576"/>
      <c r="E42" s="576"/>
      <c r="F42" s="576"/>
      <c r="G42" s="576"/>
      <c r="H42" s="576"/>
      <c r="I42" s="208"/>
      <c r="J42" s="203"/>
      <c r="K42" s="208"/>
      <c r="L42" s="208"/>
      <c r="M42" s="204"/>
      <c r="N42" s="559" t="s">
        <v>791</v>
      </c>
      <c r="O42" s="559" t="s">
        <v>792</v>
      </c>
      <c r="P42" s="554">
        <f>P22+7</f>
        <v>46000</v>
      </c>
      <c r="Q42" s="533"/>
      <c r="R42" s="533"/>
      <c r="S42" s="533"/>
      <c r="T42" s="533"/>
      <c r="U42" s="551">
        <f>P42+1</f>
        <v>46001</v>
      </c>
      <c r="V42" s="552"/>
      <c r="W42" s="552"/>
      <c r="X42" s="552"/>
      <c r="Y42" s="553"/>
      <c r="Z42" s="551">
        <f>U42+1</f>
        <v>46002</v>
      </c>
      <c r="AA42" s="552"/>
      <c r="AB42" s="552"/>
      <c r="AC42" s="552"/>
      <c r="AD42" s="553"/>
      <c r="AE42" s="551">
        <f>Z42+1</f>
        <v>46003</v>
      </c>
      <c r="AF42" s="552"/>
      <c r="AG42" s="552"/>
      <c r="AH42" s="552"/>
      <c r="AI42" s="553"/>
      <c r="AJ42" s="551">
        <f>AE42+1</f>
        <v>46004</v>
      </c>
      <c r="AK42" s="552"/>
      <c r="AL42" s="552"/>
      <c r="AM42" s="552"/>
      <c r="AN42" s="553"/>
      <c r="AO42" s="551">
        <f>AJ42+1</f>
        <v>46005</v>
      </c>
      <c r="AP42" s="552"/>
      <c r="AQ42" s="552"/>
      <c r="AR42" s="552"/>
      <c r="AS42" s="553"/>
      <c r="AT42" s="551">
        <f>AO42+1</f>
        <v>46006</v>
      </c>
      <c r="AU42" s="552"/>
      <c r="AV42" s="552"/>
      <c r="AW42" s="552"/>
      <c r="AX42" s="553"/>
    </row>
    <row r="43" spans="2:50" ht="15.5">
      <c r="B43" s="558"/>
      <c r="C43" s="558"/>
      <c r="D43" s="558"/>
      <c r="E43" s="558"/>
      <c r="F43" s="558"/>
      <c r="G43" s="558"/>
      <c r="H43" s="558"/>
      <c r="I43" s="205"/>
      <c r="J43" s="205"/>
      <c r="K43" s="205"/>
      <c r="L43" s="205"/>
      <c r="M43" s="206"/>
      <c r="N43" s="560"/>
      <c r="O43" s="560"/>
      <c r="P43" s="554" t="s">
        <v>689</v>
      </c>
      <c r="Q43" s="533"/>
      <c r="R43" s="533"/>
      <c r="S43" s="533"/>
      <c r="T43" s="533"/>
      <c r="U43" s="554" t="s">
        <v>335</v>
      </c>
      <c r="V43" s="533"/>
      <c r="W43" s="533"/>
      <c r="X43" s="533"/>
      <c r="Y43" s="533"/>
      <c r="Z43" s="554" t="s">
        <v>159</v>
      </c>
      <c r="AA43" s="533"/>
      <c r="AB43" s="533"/>
      <c r="AC43" s="533"/>
      <c r="AD43" s="533"/>
      <c r="AE43" s="554" t="s">
        <v>693</v>
      </c>
      <c r="AF43" s="533"/>
      <c r="AG43" s="533"/>
      <c r="AH43" s="533"/>
      <c r="AI43" s="533"/>
      <c r="AJ43" s="554" t="s">
        <v>338</v>
      </c>
      <c r="AK43" s="533"/>
      <c r="AL43" s="533"/>
      <c r="AM43" s="533"/>
      <c r="AN43" s="533"/>
      <c r="AO43" s="554" t="s">
        <v>339</v>
      </c>
      <c r="AP43" s="533"/>
      <c r="AQ43" s="533"/>
      <c r="AR43" s="533"/>
      <c r="AS43" s="533"/>
      <c r="AT43" s="554" t="s">
        <v>162</v>
      </c>
      <c r="AU43" s="533"/>
      <c r="AV43" s="533"/>
      <c r="AW43" s="533"/>
      <c r="AX43" s="533"/>
    </row>
    <row r="44" spans="2:50">
      <c r="B44" s="544" t="s">
        <v>154</v>
      </c>
      <c r="C44" s="544" t="s">
        <v>434</v>
      </c>
      <c r="D44" s="544"/>
      <c r="E44" s="544" t="s">
        <v>425</v>
      </c>
      <c r="F44" s="544"/>
      <c r="G44" s="544"/>
      <c r="H44" s="561" t="s">
        <v>421</v>
      </c>
      <c r="I44" s="583" t="s">
        <v>454</v>
      </c>
      <c r="J44" s="583"/>
      <c r="K44" s="583"/>
      <c r="L44" s="584" t="s">
        <v>421</v>
      </c>
      <c r="M44" s="567" t="s">
        <v>422</v>
      </c>
      <c r="N44" s="544"/>
      <c r="O44" s="544" t="s">
        <v>427</v>
      </c>
      <c r="P44" s="548" t="s">
        <v>457</v>
      </c>
      <c r="Q44" s="549"/>
      <c r="R44" s="549"/>
      <c r="S44" s="550"/>
      <c r="T44" s="544" t="s">
        <v>421</v>
      </c>
      <c r="U44" s="548" t="s">
        <v>457</v>
      </c>
      <c r="V44" s="549"/>
      <c r="W44" s="549"/>
      <c r="X44" s="550"/>
      <c r="Y44" s="544" t="s">
        <v>421</v>
      </c>
      <c r="Z44" s="548" t="s">
        <v>457</v>
      </c>
      <c r="AA44" s="549"/>
      <c r="AB44" s="549"/>
      <c r="AC44" s="550"/>
      <c r="AD44" s="544" t="s">
        <v>421</v>
      </c>
      <c r="AE44" s="548" t="s">
        <v>457</v>
      </c>
      <c r="AF44" s="549"/>
      <c r="AG44" s="549"/>
      <c r="AH44" s="550"/>
      <c r="AI44" s="544" t="s">
        <v>421</v>
      </c>
      <c r="AJ44" s="548" t="s">
        <v>457</v>
      </c>
      <c r="AK44" s="549"/>
      <c r="AL44" s="549"/>
      <c r="AM44" s="550"/>
      <c r="AN44" s="544" t="s">
        <v>421</v>
      </c>
      <c r="AO44" s="548" t="s">
        <v>457</v>
      </c>
      <c r="AP44" s="549"/>
      <c r="AQ44" s="549"/>
      <c r="AR44" s="550"/>
      <c r="AS44" s="544" t="s">
        <v>421</v>
      </c>
      <c r="AT44" s="548" t="s">
        <v>457</v>
      </c>
      <c r="AU44" s="549"/>
      <c r="AV44" s="549"/>
      <c r="AW44" s="550"/>
      <c r="AX44" s="544" t="s">
        <v>421</v>
      </c>
    </row>
    <row r="45" spans="2:50">
      <c r="B45" s="544"/>
      <c r="C45" s="544"/>
      <c r="D45" s="544"/>
      <c r="E45" s="544" t="s">
        <v>428</v>
      </c>
      <c r="F45" s="544"/>
      <c r="G45" s="544"/>
      <c r="H45" s="562"/>
      <c r="I45" s="583" t="s">
        <v>428</v>
      </c>
      <c r="J45" s="583"/>
      <c r="K45" s="583"/>
      <c r="L45" s="585"/>
      <c r="M45" s="568"/>
      <c r="N45" s="544"/>
      <c r="O45" s="544"/>
      <c r="P45" s="548" t="s">
        <v>459</v>
      </c>
      <c r="Q45" s="549"/>
      <c r="R45" s="549"/>
      <c r="S45" s="550"/>
      <c r="T45" s="544"/>
      <c r="U45" s="548" t="s">
        <v>459</v>
      </c>
      <c r="V45" s="549"/>
      <c r="W45" s="549"/>
      <c r="X45" s="550"/>
      <c r="Y45" s="544"/>
      <c r="Z45" s="548" t="s">
        <v>459</v>
      </c>
      <c r="AA45" s="549"/>
      <c r="AB45" s="549"/>
      <c r="AC45" s="550"/>
      <c r="AD45" s="544"/>
      <c r="AE45" s="548" t="s">
        <v>459</v>
      </c>
      <c r="AF45" s="549"/>
      <c r="AG45" s="549"/>
      <c r="AH45" s="550"/>
      <c r="AI45" s="544"/>
      <c r="AJ45" s="548" t="s">
        <v>459</v>
      </c>
      <c r="AK45" s="549"/>
      <c r="AL45" s="549"/>
      <c r="AM45" s="550"/>
      <c r="AN45" s="544"/>
      <c r="AO45" s="548" t="s">
        <v>459</v>
      </c>
      <c r="AP45" s="549"/>
      <c r="AQ45" s="549"/>
      <c r="AR45" s="550"/>
      <c r="AS45" s="544"/>
      <c r="AT45" s="548" t="s">
        <v>459</v>
      </c>
      <c r="AU45" s="549"/>
      <c r="AV45" s="549"/>
      <c r="AW45" s="550"/>
      <c r="AX45" s="544"/>
    </row>
    <row r="46" spans="2:50">
      <c r="B46" s="544"/>
      <c r="C46" s="544"/>
      <c r="D46" s="544"/>
      <c r="E46" s="403" t="s">
        <v>430</v>
      </c>
      <c r="F46" s="403" t="s">
        <v>466</v>
      </c>
      <c r="G46" s="403" t="s">
        <v>462</v>
      </c>
      <c r="H46" s="563"/>
      <c r="I46" s="402" t="s">
        <v>430</v>
      </c>
      <c r="J46" s="402" t="s">
        <v>466</v>
      </c>
      <c r="K46" s="402" t="s">
        <v>462</v>
      </c>
      <c r="L46" s="586"/>
      <c r="M46" s="569"/>
      <c r="N46" s="544"/>
      <c r="O46" s="544"/>
      <c r="P46" s="403" t="s">
        <v>430</v>
      </c>
      <c r="Q46" s="403" t="s">
        <v>466</v>
      </c>
      <c r="R46" s="403" t="s">
        <v>462</v>
      </c>
      <c r="S46" s="403" t="s">
        <v>422</v>
      </c>
      <c r="T46" s="544"/>
      <c r="U46" s="403" t="s">
        <v>430</v>
      </c>
      <c r="V46" s="403" t="s">
        <v>466</v>
      </c>
      <c r="W46" s="403" t="s">
        <v>462</v>
      </c>
      <c r="X46" s="403" t="s">
        <v>422</v>
      </c>
      <c r="Y46" s="544"/>
      <c r="Z46" s="403" t="s">
        <v>430</v>
      </c>
      <c r="AA46" s="403" t="s">
        <v>466</v>
      </c>
      <c r="AB46" s="403" t="s">
        <v>462</v>
      </c>
      <c r="AC46" s="403" t="s">
        <v>422</v>
      </c>
      <c r="AD46" s="544"/>
      <c r="AE46" s="403" t="s">
        <v>430</v>
      </c>
      <c r="AF46" s="403" t="s">
        <v>466</v>
      </c>
      <c r="AG46" s="403" t="s">
        <v>462</v>
      </c>
      <c r="AH46" s="403" t="s">
        <v>422</v>
      </c>
      <c r="AI46" s="544"/>
      <c r="AJ46" s="403" t="s">
        <v>430</v>
      </c>
      <c r="AK46" s="403" t="s">
        <v>466</v>
      </c>
      <c r="AL46" s="403" t="s">
        <v>462</v>
      </c>
      <c r="AM46" s="403" t="s">
        <v>422</v>
      </c>
      <c r="AN46" s="544"/>
      <c r="AO46" s="403" t="s">
        <v>430</v>
      </c>
      <c r="AP46" s="403" t="s">
        <v>466</v>
      </c>
      <c r="AQ46" s="403" t="s">
        <v>462</v>
      </c>
      <c r="AR46" s="403" t="s">
        <v>422</v>
      </c>
      <c r="AS46" s="544"/>
      <c r="AT46" s="403" t="s">
        <v>430</v>
      </c>
      <c r="AU46" s="403" t="s">
        <v>466</v>
      </c>
      <c r="AV46" s="403" t="s">
        <v>462</v>
      </c>
      <c r="AW46" s="403" t="s">
        <v>422</v>
      </c>
      <c r="AX46" s="544"/>
    </row>
    <row r="47" spans="2:50">
      <c r="B47" s="544" t="s">
        <v>464</v>
      </c>
      <c r="C47" s="404">
        <v>1</v>
      </c>
      <c r="D47" s="226" t="s">
        <v>394</v>
      </c>
      <c r="E47" s="182">
        <v>20</v>
      </c>
      <c r="F47" s="404">
        <v>2400</v>
      </c>
      <c r="G47" s="405">
        <v>120</v>
      </c>
      <c r="H47" s="597">
        <f>AVERAGE(G47:G61)</f>
        <v>144.76</v>
      </c>
      <c r="I47" s="408">
        <f t="shared" ref="I47:K51" si="29">AVERAGE(P47,U47,Z47,AE47,AJ47,AO47,AT47)</f>
        <v>19.428571428571427</v>
      </c>
      <c r="J47" s="408">
        <f t="shared" si="29"/>
        <v>2117.046893292928</v>
      </c>
      <c r="K47" s="406">
        <f t="shared" si="29"/>
        <v>109.04912716863048</v>
      </c>
      <c r="L47" s="587">
        <f>IFERROR(AVERAGE(K47:K61),"-")</f>
        <v>118.86480959240905</v>
      </c>
      <c r="M47" s="407">
        <f>RANK(K47, K$47:$K$61)</f>
        <v>4</v>
      </c>
      <c r="N47" s="544"/>
      <c r="O47" s="544"/>
      <c r="P47" s="182">
        <v>20</v>
      </c>
      <c r="Q47" s="405">
        <v>2115.0000000000018</v>
      </c>
      <c r="R47" s="405">
        <v>105.75000000000009</v>
      </c>
      <c r="S47" s="404">
        <f>RANK(R47, R$47:R$61)</f>
        <v>4</v>
      </c>
      <c r="T47" s="597">
        <f>AVERAGE(R47:R61)</f>
        <v>118.29561014921744</v>
      </c>
      <c r="U47" s="182">
        <v>20</v>
      </c>
      <c r="V47" s="405">
        <v>2119.0000000000018</v>
      </c>
      <c r="W47" s="405">
        <v>105.95000000000009</v>
      </c>
      <c r="X47" s="404">
        <f t="shared" ref="X47:X61" si="30">RANK(W47, W$47:W$61)</f>
        <v>5</v>
      </c>
      <c r="Y47" s="597">
        <f t="shared" ref="Y47" si="31">AVERAGE(W47:W61)</f>
        <v>118.06797365705911</v>
      </c>
      <c r="Z47" s="182">
        <v>20</v>
      </c>
      <c r="AA47" s="405">
        <v>2081.8867924528313</v>
      </c>
      <c r="AB47" s="405">
        <v>104.09433962264157</v>
      </c>
      <c r="AC47" s="404">
        <f t="shared" ref="AC47:AC61" si="32">RANK(AB47, AB$47:AB$61)</f>
        <v>5</v>
      </c>
      <c r="AD47" s="597">
        <f t="shared" ref="AD47" si="33">AVERAGE(AB47:AB61)</f>
        <v>118.13828615490952</v>
      </c>
      <c r="AE47" s="182">
        <v>19</v>
      </c>
      <c r="AF47" s="405">
        <v>2125.2089552238808</v>
      </c>
      <c r="AG47" s="405">
        <v>111.85310290652005</v>
      </c>
      <c r="AH47" s="404">
        <f t="shared" ref="AH47:AH61" si="34">RANK(AG47, AG$47:AG$61)</f>
        <v>4</v>
      </c>
      <c r="AI47" s="597">
        <f t="shared" ref="AI47" si="35">AVERAGE(AG47:AG61)</f>
        <v>118.61513111705858</v>
      </c>
      <c r="AJ47" s="182">
        <v>19</v>
      </c>
      <c r="AK47" s="405">
        <v>2144.2641509433975</v>
      </c>
      <c r="AL47" s="405">
        <v>112.85600794438933</v>
      </c>
      <c r="AM47" s="404">
        <f t="shared" ref="AM47:AM61" si="36">RANK(AL47, AL$47:AL$61)</f>
        <v>4</v>
      </c>
      <c r="AN47" s="597">
        <f t="shared" ref="AN47" si="37">AVERAGE(AL47:AL61)</f>
        <v>119.65618258422913</v>
      </c>
      <c r="AO47" s="182">
        <v>19</v>
      </c>
      <c r="AP47" s="405">
        <v>2125.5000000000009</v>
      </c>
      <c r="AQ47" s="405">
        <v>111.86842105263163</v>
      </c>
      <c r="AR47" s="404">
        <f t="shared" ref="AR47:AR61" si="38">RANK(AQ47, AQ$47:AQ$61)</f>
        <v>4</v>
      </c>
      <c r="AS47" s="597">
        <f t="shared" ref="AS47" si="39">AVERAGE(AQ47:AQ61)</f>
        <v>120.02289540988022</v>
      </c>
      <c r="AT47" s="182">
        <v>19</v>
      </c>
      <c r="AU47" s="405">
        <v>2108.4683544303807</v>
      </c>
      <c r="AV47" s="405">
        <v>110.97201865423057</v>
      </c>
      <c r="AW47" s="404">
        <f t="shared" ref="AW47:AW61" si="40">RANK(AV47, AV$47:AV$61)</f>
        <v>4</v>
      </c>
      <c r="AX47" s="534">
        <f t="shared" ref="AX47" si="41">AVERAGE(AV47:AV61)</f>
        <v>119.25758807450923</v>
      </c>
    </row>
    <row r="48" spans="2:50">
      <c r="B48" s="533"/>
      <c r="C48" s="404">
        <v>2</v>
      </c>
      <c r="D48" s="226" t="s">
        <v>395</v>
      </c>
      <c r="E48" s="182">
        <v>18</v>
      </c>
      <c r="F48" s="404">
        <v>3000</v>
      </c>
      <c r="G48" s="405">
        <v>166.7</v>
      </c>
      <c r="H48" s="598"/>
      <c r="I48" s="408">
        <f t="shared" si="29"/>
        <v>19</v>
      </c>
      <c r="J48" s="408">
        <f t="shared" si="29"/>
        <v>2434.8750614600908</v>
      </c>
      <c r="K48" s="406">
        <f t="shared" si="29"/>
        <v>128.1513190242153</v>
      </c>
      <c r="L48" s="588"/>
      <c r="M48" s="407">
        <f>RANK(K48, K$47:$K$61)</f>
        <v>2</v>
      </c>
      <c r="N48" s="544"/>
      <c r="O48" s="544"/>
      <c r="P48" s="404">
        <v>19</v>
      </c>
      <c r="Q48" s="405">
        <v>2453.8983050847446</v>
      </c>
      <c r="R48" s="405">
        <v>129.1525423728813</v>
      </c>
      <c r="S48" s="404">
        <f t="shared" ref="S48:S61" si="42">RANK(R48, R$47:R$61)</f>
        <v>1</v>
      </c>
      <c r="T48" s="598"/>
      <c r="U48" s="404">
        <v>19</v>
      </c>
      <c r="V48" s="405">
        <v>2429.5081967213105</v>
      </c>
      <c r="W48" s="405">
        <v>127.86885245901634</v>
      </c>
      <c r="X48" s="404">
        <f t="shared" si="30"/>
        <v>1</v>
      </c>
      <c r="Y48" s="598"/>
      <c r="Z48" s="404">
        <v>19</v>
      </c>
      <c r="AA48" s="405">
        <v>2448.8888888888905</v>
      </c>
      <c r="AB48" s="405">
        <v>128.88888888888897</v>
      </c>
      <c r="AC48" s="404">
        <f t="shared" si="32"/>
        <v>2</v>
      </c>
      <c r="AD48" s="598"/>
      <c r="AE48" s="404">
        <v>19</v>
      </c>
      <c r="AF48" s="405">
        <v>2443.0434782608695</v>
      </c>
      <c r="AG48" s="405">
        <v>128.58123569794051</v>
      </c>
      <c r="AH48" s="404">
        <f t="shared" si="34"/>
        <v>1</v>
      </c>
      <c r="AI48" s="598"/>
      <c r="AJ48" s="404">
        <v>19</v>
      </c>
      <c r="AK48" s="405">
        <v>2390.9999999999991</v>
      </c>
      <c r="AL48" s="405">
        <v>125.84210526315785</v>
      </c>
      <c r="AM48" s="404">
        <f t="shared" si="36"/>
        <v>2</v>
      </c>
      <c r="AN48" s="598"/>
      <c r="AO48" s="404">
        <v>19</v>
      </c>
      <c r="AP48" s="405">
        <v>2428.695652173913</v>
      </c>
      <c r="AQ48" s="405">
        <v>127.82608695652173</v>
      </c>
      <c r="AR48" s="404">
        <f t="shared" si="38"/>
        <v>2</v>
      </c>
      <c r="AS48" s="598"/>
      <c r="AT48" s="404">
        <v>19</v>
      </c>
      <c r="AU48" s="405">
        <v>2449.0909090909072</v>
      </c>
      <c r="AV48" s="405">
        <v>128.89952153110039</v>
      </c>
      <c r="AW48" s="404">
        <f t="shared" si="40"/>
        <v>1</v>
      </c>
      <c r="AX48" s="534"/>
    </row>
    <row r="49" spans="2:50">
      <c r="B49" s="533"/>
      <c r="C49" s="404">
        <v>3</v>
      </c>
      <c r="D49" s="226" t="s">
        <v>396</v>
      </c>
      <c r="E49" s="182">
        <v>18</v>
      </c>
      <c r="F49" s="404">
        <v>3000</v>
      </c>
      <c r="G49" s="405">
        <v>166.7</v>
      </c>
      <c r="H49" s="598"/>
      <c r="I49" s="408">
        <f t="shared" si="29"/>
        <v>19</v>
      </c>
      <c r="J49" s="408">
        <f t="shared" si="29"/>
        <v>2439.4395951526008</v>
      </c>
      <c r="K49" s="406">
        <f t="shared" si="29"/>
        <v>128.39155763961054</v>
      </c>
      <c r="L49" s="588"/>
      <c r="M49" s="407">
        <f>RANK(K49, K$47:$K$61)</f>
        <v>1</v>
      </c>
      <c r="N49" s="544"/>
      <c r="O49" s="544"/>
      <c r="P49" s="404">
        <v>19</v>
      </c>
      <c r="Q49" s="405">
        <v>2425.4999999999991</v>
      </c>
      <c r="R49" s="405">
        <v>127.65789473684205</v>
      </c>
      <c r="S49" s="404">
        <f t="shared" si="42"/>
        <v>2</v>
      </c>
      <c r="T49" s="598"/>
      <c r="U49" s="404">
        <v>19</v>
      </c>
      <c r="V49" s="405">
        <v>2394.5454545454545</v>
      </c>
      <c r="W49" s="405">
        <v>126.02870813397129</v>
      </c>
      <c r="X49" s="404">
        <f t="shared" si="30"/>
        <v>2</v>
      </c>
      <c r="Y49" s="598"/>
      <c r="Z49" s="404">
        <v>19</v>
      </c>
      <c r="AA49" s="405">
        <v>2478.9473684210507</v>
      </c>
      <c r="AB49" s="405">
        <v>130.47091412742373</v>
      </c>
      <c r="AC49" s="404">
        <f t="shared" si="32"/>
        <v>1</v>
      </c>
      <c r="AD49" s="598"/>
      <c r="AE49" s="404">
        <v>19</v>
      </c>
      <c r="AF49" s="405">
        <v>2410.9859154929582</v>
      </c>
      <c r="AG49" s="405">
        <v>126.89399555226096</v>
      </c>
      <c r="AH49" s="404">
        <f t="shared" si="34"/>
        <v>2</v>
      </c>
      <c r="AI49" s="598"/>
      <c r="AJ49" s="404">
        <v>19</v>
      </c>
      <c r="AK49" s="405">
        <v>2485.4237288135582</v>
      </c>
      <c r="AL49" s="405">
        <v>130.81177520071358</v>
      </c>
      <c r="AM49" s="404">
        <f t="shared" si="36"/>
        <v>1</v>
      </c>
      <c r="AN49" s="598"/>
      <c r="AO49" s="404">
        <v>19</v>
      </c>
      <c r="AP49" s="405">
        <v>2472.0000000000005</v>
      </c>
      <c r="AQ49" s="405">
        <v>130.10526315789477</v>
      </c>
      <c r="AR49" s="404">
        <f t="shared" si="38"/>
        <v>1</v>
      </c>
      <c r="AS49" s="598"/>
      <c r="AT49" s="404">
        <v>19</v>
      </c>
      <c r="AU49" s="405">
        <v>2408.6746987951824</v>
      </c>
      <c r="AV49" s="405">
        <v>126.77235256816749</v>
      </c>
      <c r="AW49" s="404">
        <f t="shared" si="40"/>
        <v>2</v>
      </c>
      <c r="AX49" s="534"/>
    </row>
    <row r="50" spans="2:50">
      <c r="B50" s="533"/>
      <c r="C50" s="404">
        <v>4</v>
      </c>
      <c r="D50" s="226" t="s">
        <v>397</v>
      </c>
      <c r="E50" s="182">
        <v>19</v>
      </c>
      <c r="F50" s="404">
        <v>3000</v>
      </c>
      <c r="G50" s="405">
        <v>157.9</v>
      </c>
      <c r="H50" s="598"/>
      <c r="I50" s="408">
        <f t="shared" si="29"/>
        <v>20</v>
      </c>
      <c r="J50" s="408">
        <f t="shared" si="29"/>
        <v>2449.0656514270681</v>
      </c>
      <c r="K50" s="406">
        <f t="shared" si="29"/>
        <v>122.45328257135341</v>
      </c>
      <c r="L50" s="588"/>
      <c r="M50" s="407">
        <f>RANK(K50, K$47:$K$61)</f>
        <v>3</v>
      </c>
      <c r="N50" s="544"/>
      <c r="O50" s="544"/>
      <c r="P50" s="404">
        <v>20</v>
      </c>
      <c r="Q50" s="405">
        <v>2465.6250000000027</v>
      </c>
      <c r="R50" s="405">
        <v>123.28125000000014</v>
      </c>
      <c r="S50" s="404">
        <f t="shared" si="42"/>
        <v>3</v>
      </c>
      <c r="T50" s="598"/>
      <c r="U50" s="404">
        <v>20</v>
      </c>
      <c r="V50" s="405">
        <v>2463.6923076923104</v>
      </c>
      <c r="W50" s="405">
        <v>123.18461538461551</v>
      </c>
      <c r="X50" s="404">
        <f t="shared" si="30"/>
        <v>3</v>
      </c>
      <c r="Y50" s="598"/>
      <c r="Z50" s="404">
        <v>20</v>
      </c>
      <c r="AA50" s="405">
        <v>2441.6949152542393</v>
      </c>
      <c r="AB50" s="405">
        <v>122.08474576271196</v>
      </c>
      <c r="AC50" s="404">
        <f t="shared" si="32"/>
        <v>3</v>
      </c>
      <c r="AD50" s="598"/>
      <c r="AE50" s="404">
        <v>20</v>
      </c>
      <c r="AF50" s="405">
        <v>2406.3749999999991</v>
      </c>
      <c r="AG50" s="405">
        <v>120.31874999999995</v>
      </c>
      <c r="AH50" s="404">
        <f t="shared" si="34"/>
        <v>3</v>
      </c>
      <c r="AI50" s="598"/>
      <c r="AJ50" s="404">
        <v>20</v>
      </c>
      <c r="AK50" s="405">
        <v>2447.5135135135115</v>
      </c>
      <c r="AL50" s="405">
        <v>122.37567567567558</v>
      </c>
      <c r="AM50" s="404">
        <f t="shared" si="36"/>
        <v>3</v>
      </c>
      <c r="AN50" s="598"/>
      <c r="AO50" s="404">
        <v>20</v>
      </c>
      <c r="AP50" s="405">
        <v>2458.0588235294126</v>
      </c>
      <c r="AQ50" s="405">
        <v>122.90294117647063</v>
      </c>
      <c r="AR50" s="404">
        <f t="shared" si="38"/>
        <v>3</v>
      </c>
      <c r="AS50" s="598"/>
      <c r="AT50" s="404">
        <v>20</v>
      </c>
      <c r="AU50" s="405">
        <v>2460.5000000000018</v>
      </c>
      <c r="AV50" s="405">
        <v>123.02500000000009</v>
      </c>
      <c r="AW50" s="404">
        <f t="shared" si="40"/>
        <v>3</v>
      </c>
      <c r="AX50" s="534"/>
    </row>
    <row r="51" spans="2:50">
      <c r="B51" s="533"/>
      <c r="C51" s="404">
        <v>5</v>
      </c>
      <c r="D51" s="226" t="s">
        <v>582</v>
      </c>
      <c r="E51" s="182">
        <v>20</v>
      </c>
      <c r="F51" s="404">
        <v>2250</v>
      </c>
      <c r="G51" s="405">
        <v>112.5</v>
      </c>
      <c r="H51" s="598"/>
      <c r="I51" s="408">
        <f t="shared" si="29"/>
        <v>20</v>
      </c>
      <c r="J51" s="408">
        <f t="shared" si="29"/>
        <v>2125.5752311647079</v>
      </c>
      <c r="K51" s="406">
        <f t="shared" si="29"/>
        <v>106.27876155823544</v>
      </c>
      <c r="L51" s="588"/>
      <c r="M51" s="407">
        <f>RANK(K51, K$47:$K$61)</f>
        <v>5</v>
      </c>
      <c r="N51" s="544"/>
      <c r="O51" s="544"/>
      <c r="P51" s="404">
        <v>20</v>
      </c>
      <c r="Q51" s="405">
        <v>2112.7272727272725</v>
      </c>
      <c r="R51" s="405">
        <v>105.63636363636363</v>
      </c>
      <c r="S51" s="404">
        <f t="shared" si="42"/>
        <v>5</v>
      </c>
      <c r="T51" s="598"/>
      <c r="U51" s="404">
        <v>20</v>
      </c>
      <c r="V51" s="405">
        <v>2146.1538461538457</v>
      </c>
      <c r="W51" s="405">
        <v>107.30769230769229</v>
      </c>
      <c r="X51" s="404">
        <f t="shared" si="30"/>
        <v>4</v>
      </c>
      <c r="Y51" s="598"/>
      <c r="Z51" s="404">
        <v>20</v>
      </c>
      <c r="AA51" s="405">
        <v>2103.0508474576259</v>
      </c>
      <c r="AB51" s="405">
        <v>105.1525423728813</v>
      </c>
      <c r="AC51" s="404">
        <f t="shared" si="32"/>
        <v>4</v>
      </c>
      <c r="AD51" s="598"/>
      <c r="AE51" s="404">
        <v>20</v>
      </c>
      <c r="AF51" s="405">
        <v>2108.5714285714294</v>
      </c>
      <c r="AG51" s="405">
        <v>105.42857142857147</v>
      </c>
      <c r="AH51" s="404">
        <f t="shared" si="34"/>
        <v>5</v>
      </c>
      <c r="AI51" s="598"/>
      <c r="AJ51" s="404">
        <v>20</v>
      </c>
      <c r="AK51" s="405">
        <v>2127.9069767441856</v>
      </c>
      <c r="AL51" s="405">
        <v>106.39534883720928</v>
      </c>
      <c r="AM51" s="404">
        <f t="shared" si="36"/>
        <v>5</v>
      </c>
      <c r="AN51" s="598"/>
      <c r="AO51" s="404">
        <v>20</v>
      </c>
      <c r="AP51" s="405">
        <v>2148.2352941176478</v>
      </c>
      <c r="AQ51" s="405">
        <v>107.41176470588239</v>
      </c>
      <c r="AR51" s="404">
        <f t="shared" si="38"/>
        <v>5</v>
      </c>
      <c r="AS51" s="598"/>
      <c r="AT51" s="404">
        <v>20</v>
      </c>
      <c r="AU51" s="405">
        <v>2132.3809523809518</v>
      </c>
      <c r="AV51" s="405">
        <v>106.61904761904759</v>
      </c>
      <c r="AW51" s="404">
        <f t="shared" si="40"/>
        <v>5</v>
      </c>
      <c r="AX51" s="534"/>
    </row>
    <row r="52" spans="2:50">
      <c r="B52" s="533"/>
      <c r="C52" s="404">
        <v>6</v>
      </c>
      <c r="D52" s="226"/>
      <c r="E52" s="182"/>
      <c r="F52" s="404"/>
      <c r="G52" s="405"/>
      <c r="H52" s="598"/>
      <c r="I52" s="408"/>
      <c r="J52" s="408"/>
      <c r="K52" s="406"/>
      <c r="L52" s="588"/>
      <c r="M52" s="407" t="e">
        <f>RANK(K52, K$47:$K$61)</f>
        <v>#N/A</v>
      </c>
      <c r="N52" s="544"/>
      <c r="O52" s="544"/>
      <c r="P52" s="404"/>
      <c r="Q52" s="405"/>
      <c r="R52" s="405"/>
      <c r="S52" s="404" t="e">
        <f t="shared" si="42"/>
        <v>#N/A</v>
      </c>
      <c r="T52" s="598"/>
      <c r="U52" s="404"/>
      <c r="V52" s="405"/>
      <c r="W52" s="405"/>
      <c r="X52" s="404" t="e">
        <f t="shared" si="30"/>
        <v>#N/A</v>
      </c>
      <c r="Y52" s="598"/>
      <c r="Z52" s="404"/>
      <c r="AA52" s="405"/>
      <c r="AB52" s="405"/>
      <c r="AC52" s="404" t="e">
        <f t="shared" si="32"/>
        <v>#N/A</v>
      </c>
      <c r="AD52" s="598"/>
      <c r="AE52" s="404"/>
      <c r="AF52" s="405"/>
      <c r="AG52" s="405"/>
      <c r="AH52" s="404" t="e">
        <f t="shared" si="34"/>
        <v>#N/A</v>
      </c>
      <c r="AI52" s="598"/>
      <c r="AJ52" s="404"/>
      <c r="AK52" s="405"/>
      <c r="AL52" s="405"/>
      <c r="AM52" s="404" t="e">
        <f t="shared" si="36"/>
        <v>#N/A</v>
      </c>
      <c r="AN52" s="598"/>
      <c r="AO52" s="404"/>
      <c r="AP52" s="405"/>
      <c r="AQ52" s="405"/>
      <c r="AR52" s="404" t="e">
        <f t="shared" si="38"/>
        <v>#N/A</v>
      </c>
      <c r="AS52" s="598"/>
      <c r="AT52" s="404"/>
      <c r="AU52" s="405"/>
      <c r="AV52" s="405"/>
      <c r="AW52" s="404" t="e">
        <f t="shared" si="40"/>
        <v>#N/A</v>
      </c>
      <c r="AX52" s="534"/>
    </row>
    <row r="53" spans="2:50">
      <c r="B53" s="533"/>
      <c r="C53" s="404">
        <v>7</v>
      </c>
      <c r="D53" s="226"/>
      <c r="E53" s="182"/>
      <c r="F53" s="404"/>
      <c r="G53" s="405"/>
      <c r="H53" s="598"/>
      <c r="I53" s="408"/>
      <c r="J53" s="408"/>
      <c r="K53" s="406"/>
      <c r="L53" s="588"/>
      <c r="M53" s="407" t="e">
        <f>RANK(K53, K$47:$K$61)</f>
        <v>#N/A</v>
      </c>
      <c r="N53" s="544"/>
      <c r="O53" s="544"/>
      <c r="P53" s="404"/>
      <c r="Q53" s="405"/>
      <c r="R53" s="405"/>
      <c r="S53" s="404" t="e">
        <f t="shared" si="42"/>
        <v>#N/A</v>
      </c>
      <c r="T53" s="598"/>
      <c r="U53" s="404"/>
      <c r="V53" s="405"/>
      <c r="W53" s="405"/>
      <c r="X53" s="404" t="e">
        <f t="shared" si="30"/>
        <v>#N/A</v>
      </c>
      <c r="Y53" s="598"/>
      <c r="Z53" s="404"/>
      <c r="AA53" s="405"/>
      <c r="AB53" s="405"/>
      <c r="AC53" s="404" t="e">
        <f t="shared" si="32"/>
        <v>#N/A</v>
      </c>
      <c r="AD53" s="598"/>
      <c r="AE53" s="404"/>
      <c r="AF53" s="405"/>
      <c r="AG53" s="405"/>
      <c r="AH53" s="404" t="e">
        <f t="shared" si="34"/>
        <v>#N/A</v>
      </c>
      <c r="AI53" s="598"/>
      <c r="AJ53" s="404"/>
      <c r="AK53" s="405"/>
      <c r="AL53" s="405"/>
      <c r="AM53" s="404" t="e">
        <f t="shared" si="36"/>
        <v>#N/A</v>
      </c>
      <c r="AN53" s="598"/>
      <c r="AO53" s="404"/>
      <c r="AP53" s="405"/>
      <c r="AQ53" s="405"/>
      <c r="AR53" s="404" t="e">
        <f t="shared" si="38"/>
        <v>#N/A</v>
      </c>
      <c r="AS53" s="598"/>
      <c r="AT53" s="404"/>
      <c r="AU53" s="405"/>
      <c r="AV53" s="405"/>
      <c r="AW53" s="404" t="e">
        <f t="shared" si="40"/>
        <v>#N/A</v>
      </c>
      <c r="AX53" s="534"/>
    </row>
    <row r="54" spans="2:50">
      <c r="B54" s="533"/>
      <c r="C54" s="404">
        <v>8</v>
      </c>
      <c r="D54" s="226"/>
      <c r="E54" s="182"/>
      <c r="F54" s="404"/>
      <c r="G54" s="405"/>
      <c r="H54" s="598"/>
      <c r="I54" s="408"/>
      <c r="J54" s="408"/>
      <c r="K54" s="406"/>
      <c r="L54" s="588"/>
      <c r="M54" s="407" t="e">
        <f>RANK(K54, K$47:$K$61)</f>
        <v>#N/A</v>
      </c>
      <c r="N54" s="544"/>
      <c r="O54" s="544"/>
      <c r="P54" s="404"/>
      <c r="Q54" s="405"/>
      <c r="R54" s="405"/>
      <c r="S54" s="404" t="e">
        <f t="shared" si="42"/>
        <v>#N/A</v>
      </c>
      <c r="T54" s="598"/>
      <c r="U54" s="404"/>
      <c r="V54" s="405"/>
      <c r="W54" s="405"/>
      <c r="X54" s="404" t="e">
        <f t="shared" si="30"/>
        <v>#N/A</v>
      </c>
      <c r="Y54" s="598"/>
      <c r="Z54" s="404"/>
      <c r="AA54" s="405"/>
      <c r="AB54" s="405"/>
      <c r="AC54" s="404" t="e">
        <f t="shared" si="32"/>
        <v>#N/A</v>
      </c>
      <c r="AD54" s="598"/>
      <c r="AE54" s="404"/>
      <c r="AF54" s="405"/>
      <c r="AG54" s="405"/>
      <c r="AH54" s="404" t="e">
        <f t="shared" si="34"/>
        <v>#N/A</v>
      </c>
      <c r="AI54" s="598"/>
      <c r="AJ54" s="404"/>
      <c r="AK54" s="405"/>
      <c r="AL54" s="405"/>
      <c r="AM54" s="404" t="e">
        <f t="shared" si="36"/>
        <v>#N/A</v>
      </c>
      <c r="AN54" s="598"/>
      <c r="AO54" s="404"/>
      <c r="AP54" s="405"/>
      <c r="AQ54" s="405"/>
      <c r="AR54" s="404" t="e">
        <f t="shared" si="38"/>
        <v>#N/A</v>
      </c>
      <c r="AS54" s="598"/>
      <c r="AT54" s="404"/>
      <c r="AU54" s="405"/>
      <c r="AV54" s="405"/>
      <c r="AW54" s="404" t="e">
        <f t="shared" si="40"/>
        <v>#N/A</v>
      </c>
      <c r="AX54" s="534"/>
    </row>
    <row r="55" spans="2:50">
      <c r="B55" s="533"/>
      <c r="C55" s="404">
        <v>9</v>
      </c>
      <c r="D55" s="226"/>
      <c r="E55" s="182"/>
      <c r="F55" s="404"/>
      <c r="G55" s="405"/>
      <c r="H55" s="598"/>
      <c r="I55" s="408"/>
      <c r="J55" s="408"/>
      <c r="K55" s="406"/>
      <c r="L55" s="588"/>
      <c r="M55" s="407" t="e">
        <f>RANK(K55, K$47:$K$61)</f>
        <v>#N/A</v>
      </c>
      <c r="N55" s="544"/>
      <c r="O55" s="544"/>
      <c r="P55" s="404"/>
      <c r="Q55" s="405"/>
      <c r="R55" s="405"/>
      <c r="S55" s="404" t="e">
        <f t="shared" si="42"/>
        <v>#N/A</v>
      </c>
      <c r="T55" s="598"/>
      <c r="U55" s="404"/>
      <c r="V55" s="405"/>
      <c r="W55" s="405"/>
      <c r="X55" s="404" t="e">
        <f t="shared" si="30"/>
        <v>#N/A</v>
      </c>
      <c r="Y55" s="598"/>
      <c r="Z55" s="404"/>
      <c r="AA55" s="405"/>
      <c r="AB55" s="405"/>
      <c r="AC55" s="404" t="e">
        <f t="shared" si="32"/>
        <v>#N/A</v>
      </c>
      <c r="AD55" s="598"/>
      <c r="AE55" s="404"/>
      <c r="AF55" s="405"/>
      <c r="AG55" s="405"/>
      <c r="AH55" s="404" t="e">
        <f t="shared" si="34"/>
        <v>#N/A</v>
      </c>
      <c r="AI55" s="598"/>
      <c r="AJ55" s="404"/>
      <c r="AK55" s="405"/>
      <c r="AL55" s="405"/>
      <c r="AM55" s="404" t="e">
        <f t="shared" si="36"/>
        <v>#N/A</v>
      </c>
      <c r="AN55" s="598"/>
      <c r="AO55" s="404"/>
      <c r="AP55" s="405"/>
      <c r="AQ55" s="405"/>
      <c r="AR55" s="404" t="e">
        <f t="shared" si="38"/>
        <v>#N/A</v>
      </c>
      <c r="AS55" s="598"/>
      <c r="AT55" s="404"/>
      <c r="AU55" s="405"/>
      <c r="AV55" s="405"/>
      <c r="AW55" s="404" t="e">
        <f t="shared" si="40"/>
        <v>#N/A</v>
      </c>
      <c r="AX55" s="534"/>
    </row>
    <row r="56" spans="2:50">
      <c r="B56" s="533"/>
      <c r="C56" s="404">
        <v>10</v>
      </c>
      <c r="D56" s="226"/>
      <c r="E56" s="182"/>
      <c r="F56" s="404"/>
      <c r="G56" s="405"/>
      <c r="H56" s="598"/>
      <c r="I56" s="408"/>
      <c r="J56" s="408"/>
      <c r="K56" s="406"/>
      <c r="L56" s="588"/>
      <c r="M56" s="407" t="e">
        <f>RANK(K56, K$47:$K$61)</f>
        <v>#N/A</v>
      </c>
      <c r="N56" s="544"/>
      <c r="O56" s="544"/>
      <c r="P56" s="404"/>
      <c r="Q56" s="404"/>
      <c r="R56" s="405"/>
      <c r="S56" s="404" t="e">
        <f t="shared" si="42"/>
        <v>#N/A</v>
      </c>
      <c r="T56" s="598"/>
      <c r="U56" s="404"/>
      <c r="V56" s="404"/>
      <c r="W56" s="405"/>
      <c r="X56" s="404" t="e">
        <f t="shared" si="30"/>
        <v>#N/A</v>
      </c>
      <c r="Y56" s="598"/>
      <c r="Z56" s="404"/>
      <c r="AA56" s="404"/>
      <c r="AB56" s="405"/>
      <c r="AC56" s="404" t="e">
        <f t="shared" si="32"/>
        <v>#N/A</v>
      </c>
      <c r="AD56" s="598"/>
      <c r="AE56" s="404"/>
      <c r="AF56" s="404"/>
      <c r="AG56" s="405"/>
      <c r="AH56" s="404" t="e">
        <f t="shared" si="34"/>
        <v>#N/A</v>
      </c>
      <c r="AI56" s="598"/>
      <c r="AJ56" s="404"/>
      <c r="AK56" s="404"/>
      <c r="AL56" s="405"/>
      <c r="AM56" s="404" t="e">
        <f t="shared" si="36"/>
        <v>#N/A</v>
      </c>
      <c r="AN56" s="598"/>
      <c r="AO56" s="404"/>
      <c r="AP56" s="404"/>
      <c r="AQ56" s="405"/>
      <c r="AR56" s="404" t="e">
        <f t="shared" si="38"/>
        <v>#N/A</v>
      </c>
      <c r="AS56" s="598"/>
      <c r="AT56" s="404"/>
      <c r="AU56" s="404"/>
      <c r="AV56" s="405"/>
      <c r="AW56" s="404" t="e">
        <f t="shared" si="40"/>
        <v>#N/A</v>
      </c>
      <c r="AX56" s="534"/>
    </row>
    <row r="57" spans="2:50">
      <c r="B57" s="533"/>
      <c r="C57" s="404">
        <v>11</v>
      </c>
      <c r="D57" s="226"/>
      <c r="E57" s="182"/>
      <c r="F57" s="404"/>
      <c r="G57" s="405"/>
      <c r="H57" s="598"/>
      <c r="I57" s="202"/>
      <c r="J57" s="202"/>
      <c r="K57" s="202"/>
      <c r="L57" s="588"/>
      <c r="M57" s="407" t="e">
        <f>RANK(K57, K$47:$K$61)</f>
        <v>#N/A</v>
      </c>
      <c r="N57" s="544"/>
      <c r="O57" s="544"/>
      <c r="P57" s="404"/>
      <c r="Q57" s="404"/>
      <c r="R57" s="404"/>
      <c r="S57" s="404" t="e">
        <f t="shared" si="42"/>
        <v>#N/A</v>
      </c>
      <c r="T57" s="598"/>
      <c r="U57" s="404"/>
      <c r="V57" s="404"/>
      <c r="W57" s="404"/>
      <c r="X57" s="404" t="e">
        <f t="shared" si="30"/>
        <v>#N/A</v>
      </c>
      <c r="Y57" s="598"/>
      <c r="Z57" s="404"/>
      <c r="AA57" s="404"/>
      <c r="AB57" s="404"/>
      <c r="AC57" s="404" t="e">
        <f t="shared" si="32"/>
        <v>#N/A</v>
      </c>
      <c r="AD57" s="598"/>
      <c r="AE57" s="404"/>
      <c r="AF57" s="404"/>
      <c r="AG57" s="404"/>
      <c r="AH57" s="404" t="e">
        <f t="shared" si="34"/>
        <v>#N/A</v>
      </c>
      <c r="AI57" s="598"/>
      <c r="AJ57" s="404"/>
      <c r="AK57" s="404"/>
      <c r="AL57" s="404"/>
      <c r="AM57" s="404" t="e">
        <f t="shared" si="36"/>
        <v>#N/A</v>
      </c>
      <c r="AN57" s="598"/>
      <c r="AO57" s="404"/>
      <c r="AP57" s="404"/>
      <c r="AQ57" s="404"/>
      <c r="AR57" s="404" t="e">
        <f t="shared" si="38"/>
        <v>#N/A</v>
      </c>
      <c r="AS57" s="598"/>
      <c r="AT57" s="404"/>
      <c r="AU57" s="404"/>
      <c r="AV57" s="404"/>
      <c r="AW57" s="404" t="e">
        <f t="shared" si="40"/>
        <v>#N/A</v>
      </c>
      <c r="AX57" s="534"/>
    </row>
    <row r="58" spans="2:50">
      <c r="B58" s="533"/>
      <c r="C58" s="404">
        <v>12</v>
      </c>
      <c r="D58" s="226"/>
      <c r="E58" s="182"/>
      <c r="F58" s="404"/>
      <c r="G58" s="405"/>
      <c r="H58" s="598"/>
      <c r="I58" s="202"/>
      <c r="J58" s="202"/>
      <c r="K58" s="202"/>
      <c r="L58" s="588"/>
      <c r="M58" s="407" t="e">
        <f>RANK(K58, K$47:$K$61)</f>
        <v>#N/A</v>
      </c>
      <c r="N58" s="544"/>
      <c r="O58" s="544"/>
      <c r="P58" s="404"/>
      <c r="Q58" s="404"/>
      <c r="R58" s="404"/>
      <c r="S58" s="404" t="e">
        <f t="shared" si="42"/>
        <v>#N/A</v>
      </c>
      <c r="T58" s="598"/>
      <c r="U58" s="404"/>
      <c r="V58" s="404"/>
      <c r="W58" s="404"/>
      <c r="X58" s="404" t="e">
        <f t="shared" si="30"/>
        <v>#N/A</v>
      </c>
      <c r="Y58" s="598"/>
      <c r="Z58" s="404"/>
      <c r="AA58" s="404"/>
      <c r="AB58" s="404"/>
      <c r="AC58" s="404" t="e">
        <f t="shared" si="32"/>
        <v>#N/A</v>
      </c>
      <c r="AD58" s="598"/>
      <c r="AE58" s="404"/>
      <c r="AF58" s="404"/>
      <c r="AG58" s="404"/>
      <c r="AH58" s="404" t="e">
        <f t="shared" si="34"/>
        <v>#N/A</v>
      </c>
      <c r="AI58" s="598"/>
      <c r="AJ58" s="404"/>
      <c r="AK58" s="404"/>
      <c r="AL58" s="404"/>
      <c r="AM58" s="404" t="e">
        <f t="shared" si="36"/>
        <v>#N/A</v>
      </c>
      <c r="AN58" s="598"/>
      <c r="AO58" s="404"/>
      <c r="AP58" s="404"/>
      <c r="AQ58" s="404"/>
      <c r="AR58" s="404" t="e">
        <f t="shared" si="38"/>
        <v>#N/A</v>
      </c>
      <c r="AS58" s="598"/>
      <c r="AT58" s="404"/>
      <c r="AU58" s="404"/>
      <c r="AV58" s="404"/>
      <c r="AW58" s="404" t="e">
        <f t="shared" si="40"/>
        <v>#N/A</v>
      </c>
      <c r="AX58" s="534"/>
    </row>
    <row r="59" spans="2:50">
      <c r="B59" s="533"/>
      <c r="C59" s="404">
        <v>13</v>
      </c>
      <c r="D59" s="226"/>
      <c r="E59" s="182"/>
      <c r="F59" s="404"/>
      <c r="G59" s="405"/>
      <c r="H59" s="598"/>
      <c r="I59" s="202"/>
      <c r="J59" s="202"/>
      <c r="K59" s="202"/>
      <c r="L59" s="588"/>
      <c r="M59" s="407" t="e">
        <f>RANK(K59, K$47:$K$61)</f>
        <v>#N/A</v>
      </c>
      <c r="N59" s="544"/>
      <c r="O59" s="544"/>
      <c r="P59" s="404"/>
      <c r="Q59" s="404"/>
      <c r="R59" s="404"/>
      <c r="S59" s="404" t="e">
        <f t="shared" si="42"/>
        <v>#N/A</v>
      </c>
      <c r="T59" s="598"/>
      <c r="U59" s="404"/>
      <c r="V59" s="404"/>
      <c r="W59" s="404"/>
      <c r="X59" s="404" t="e">
        <f t="shared" si="30"/>
        <v>#N/A</v>
      </c>
      <c r="Y59" s="598"/>
      <c r="Z59" s="404"/>
      <c r="AA59" s="404"/>
      <c r="AB59" s="404"/>
      <c r="AC59" s="404" t="e">
        <f t="shared" si="32"/>
        <v>#N/A</v>
      </c>
      <c r="AD59" s="598"/>
      <c r="AE59" s="404"/>
      <c r="AF59" s="404"/>
      <c r="AG59" s="404"/>
      <c r="AH59" s="404" t="e">
        <f t="shared" si="34"/>
        <v>#N/A</v>
      </c>
      <c r="AI59" s="598"/>
      <c r="AJ59" s="404"/>
      <c r="AK59" s="404"/>
      <c r="AL59" s="404"/>
      <c r="AM59" s="404" t="e">
        <f t="shared" si="36"/>
        <v>#N/A</v>
      </c>
      <c r="AN59" s="598"/>
      <c r="AO59" s="404"/>
      <c r="AP59" s="404"/>
      <c r="AQ59" s="404"/>
      <c r="AR59" s="404" t="e">
        <f t="shared" si="38"/>
        <v>#N/A</v>
      </c>
      <c r="AS59" s="598"/>
      <c r="AT59" s="404"/>
      <c r="AU59" s="404"/>
      <c r="AV59" s="404"/>
      <c r="AW59" s="404" t="e">
        <f t="shared" si="40"/>
        <v>#N/A</v>
      </c>
      <c r="AX59" s="534"/>
    </row>
    <row r="60" spans="2:50">
      <c r="B60" s="533"/>
      <c r="C60" s="404">
        <v>14</v>
      </c>
      <c r="D60" s="226"/>
      <c r="E60" s="182"/>
      <c r="F60" s="404"/>
      <c r="G60" s="405"/>
      <c r="H60" s="598"/>
      <c r="I60" s="202"/>
      <c r="J60" s="202"/>
      <c r="K60" s="202"/>
      <c r="L60" s="588"/>
      <c r="M60" s="407" t="e">
        <f>RANK(K60, K$47:$K$61)</f>
        <v>#N/A</v>
      </c>
      <c r="N60" s="544"/>
      <c r="O60" s="544"/>
      <c r="P60" s="404"/>
      <c r="Q60" s="404"/>
      <c r="R60" s="404"/>
      <c r="S60" s="404" t="e">
        <f t="shared" si="42"/>
        <v>#N/A</v>
      </c>
      <c r="T60" s="598"/>
      <c r="U60" s="404"/>
      <c r="V60" s="404"/>
      <c r="W60" s="404"/>
      <c r="X60" s="404" t="e">
        <f t="shared" si="30"/>
        <v>#N/A</v>
      </c>
      <c r="Y60" s="598"/>
      <c r="Z60" s="404"/>
      <c r="AA60" s="404"/>
      <c r="AB60" s="404"/>
      <c r="AC60" s="404" t="e">
        <f t="shared" si="32"/>
        <v>#N/A</v>
      </c>
      <c r="AD60" s="598"/>
      <c r="AE60" s="404"/>
      <c r="AF60" s="404"/>
      <c r="AG60" s="404"/>
      <c r="AH60" s="404" t="e">
        <f t="shared" si="34"/>
        <v>#N/A</v>
      </c>
      <c r="AI60" s="598"/>
      <c r="AJ60" s="404"/>
      <c r="AK60" s="404"/>
      <c r="AL60" s="404"/>
      <c r="AM60" s="404" t="e">
        <f t="shared" si="36"/>
        <v>#N/A</v>
      </c>
      <c r="AN60" s="598"/>
      <c r="AO60" s="404"/>
      <c r="AP60" s="404"/>
      <c r="AQ60" s="404"/>
      <c r="AR60" s="404" t="e">
        <f t="shared" si="38"/>
        <v>#N/A</v>
      </c>
      <c r="AS60" s="598"/>
      <c r="AT60" s="404"/>
      <c r="AU60" s="404"/>
      <c r="AV60" s="404"/>
      <c r="AW60" s="404" t="e">
        <f t="shared" si="40"/>
        <v>#N/A</v>
      </c>
      <c r="AX60" s="534"/>
    </row>
    <row r="61" spans="2:50">
      <c r="B61" s="533"/>
      <c r="C61" s="404">
        <v>15</v>
      </c>
      <c r="D61" s="226"/>
      <c r="E61" s="182"/>
      <c r="F61" s="404"/>
      <c r="G61" s="405"/>
      <c r="H61" s="599"/>
      <c r="I61" s="202"/>
      <c r="J61" s="202"/>
      <c r="K61" s="202"/>
      <c r="L61" s="589"/>
      <c r="M61" s="407" t="e">
        <f>RANK(K61, K$47:$K$61)</f>
        <v>#N/A</v>
      </c>
      <c r="N61" s="544"/>
      <c r="O61" s="544"/>
      <c r="P61" s="404"/>
      <c r="Q61" s="404"/>
      <c r="R61" s="404"/>
      <c r="S61" s="404" t="e">
        <f t="shared" si="42"/>
        <v>#N/A</v>
      </c>
      <c r="T61" s="599"/>
      <c r="U61" s="404"/>
      <c r="V61" s="404"/>
      <c r="W61" s="404"/>
      <c r="X61" s="404" t="e">
        <f t="shared" si="30"/>
        <v>#N/A</v>
      </c>
      <c r="Y61" s="599"/>
      <c r="Z61" s="404"/>
      <c r="AA61" s="404"/>
      <c r="AB61" s="404"/>
      <c r="AC61" s="404" t="e">
        <f t="shared" si="32"/>
        <v>#N/A</v>
      </c>
      <c r="AD61" s="599"/>
      <c r="AE61" s="404"/>
      <c r="AF61" s="404"/>
      <c r="AG61" s="404"/>
      <c r="AH61" s="404" t="e">
        <f t="shared" si="34"/>
        <v>#N/A</v>
      </c>
      <c r="AI61" s="599"/>
      <c r="AJ61" s="404"/>
      <c r="AK61" s="404"/>
      <c r="AL61" s="404"/>
      <c r="AM61" s="404" t="e">
        <f t="shared" si="36"/>
        <v>#N/A</v>
      </c>
      <c r="AN61" s="599"/>
      <c r="AO61" s="404"/>
      <c r="AP61" s="404"/>
      <c r="AQ61" s="404"/>
      <c r="AR61" s="404" t="e">
        <f t="shared" si="38"/>
        <v>#N/A</v>
      </c>
      <c r="AS61" s="599"/>
      <c r="AT61" s="404"/>
      <c r="AU61" s="404"/>
      <c r="AV61" s="404"/>
      <c r="AW61" s="404" t="e">
        <f t="shared" si="40"/>
        <v>#N/A</v>
      </c>
      <c r="AX61" s="534"/>
    </row>
    <row r="62" spans="2:50" ht="15.5">
      <c r="B62" s="555" t="s">
        <v>163</v>
      </c>
      <c r="C62" s="556"/>
      <c r="D62" s="556"/>
      <c r="E62" s="556"/>
      <c r="F62" s="556"/>
      <c r="G62" s="556"/>
      <c r="H62" s="557"/>
      <c r="I62" s="208"/>
      <c r="J62" s="208"/>
      <c r="K62" s="208"/>
      <c r="L62" s="208"/>
      <c r="M62" s="207"/>
      <c r="N62" s="559" t="s">
        <v>156</v>
      </c>
      <c r="O62" s="559" t="s">
        <v>105</v>
      </c>
      <c r="P62" s="554">
        <f>P42+7</f>
        <v>46007</v>
      </c>
      <c r="Q62" s="533"/>
      <c r="R62" s="533"/>
      <c r="S62" s="533"/>
      <c r="T62" s="533"/>
      <c r="U62" s="551">
        <f>P62+1</f>
        <v>46008</v>
      </c>
      <c r="V62" s="552"/>
      <c r="W62" s="552"/>
      <c r="X62" s="552"/>
      <c r="Y62" s="553"/>
      <c r="Z62" s="551">
        <f>U62+1</f>
        <v>46009</v>
      </c>
      <c r="AA62" s="552"/>
      <c r="AB62" s="552"/>
      <c r="AC62" s="552"/>
      <c r="AD62" s="553"/>
      <c r="AE62" s="551">
        <f>Z62+1</f>
        <v>46010</v>
      </c>
      <c r="AF62" s="552"/>
      <c r="AG62" s="552"/>
      <c r="AH62" s="552"/>
      <c r="AI62" s="553"/>
      <c r="AJ62" s="551">
        <f>AE62+1</f>
        <v>46011</v>
      </c>
      <c r="AK62" s="552"/>
      <c r="AL62" s="552"/>
      <c r="AM62" s="552"/>
      <c r="AN62" s="553"/>
      <c r="AO62" s="551">
        <f>AJ62+1</f>
        <v>46012</v>
      </c>
      <c r="AP62" s="552"/>
      <c r="AQ62" s="552"/>
      <c r="AR62" s="552"/>
      <c r="AS62" s="553"/>
      <c r="AT62" s="551">
        <f>AO62+1</f>
        <v>46013</v>
      </c>
      <c r="AU62" s="552"/>
      <c r="AV62" s="552"/>
      <c r="AW62" s="552"/>
      <c r="AX62" s="553"/>
    </row>
    <row r="63" spans="2:50" ht="15.5">
      <c r="B63" s="558"/>
      <c r="C63" s="558"/>
      <c r="D63" s="558"/>
      <c r="E63" s="558"/>
      <c r="F63" s="558"/>
      <c r="G63" s="558"/>
      <c r="H63" s="558"/>
      <c r="I63" s="205"/>
      <c r="J63" s="205"/>
      <c r="K63" s="205"/>
      <c r="L63" s="205"/>
      <c r="M63" s="206"/>
      <c r="N63" s="560"/>
      <c r="O63" s="560"/>
      <c r="P63" s="554" t="s">
        <v>707</v>
      </c>
      <c r="Q63" s="533"/>
      <c r="R63" s="533"/>
      <c r="S63" s="533"/>
      <c r="T63" s="533"/>
      <c r="U63" s="554" t="s">
        <v>708</v>
      </c>
      <c r="V63" s="533"/>
      <c r="W63" s="533"/>
      <c r="X63" s="533"/>
      <c r="Y63" s="533"/>
      <c r="Z63" s="554" t="s">
        <v>709</v>
      </c>
      <c r="AA63" s="533"/>
      <c r="AB63" s="533"/>
      <c r="AC63" s="533"/>
      <c r="AD63" s="533"/>
      <c r="AE63" s="554" t="s">
        <v>710</v>
      </c>
      <c r="AF63" s="533"/>
      <c r="AG63" s="533"/>
      <c r="AH63" s="533"/>
      <c r="AI63" s="533"/>
      <c r="AJ63" s="554" t="s">
        <v>711</v>
      </c>
      <c r="AK63" s="533"/>
      <c r="AL63" s="533"/>
      <c r="AM63" s="533"/>
      <c r="AN63" s="533"/>
      <c r="AO63" s="554" t="s">
        <v>712</v>
      </c>
      <c r="AP63" s="533"/>
      <c r="AQ63" s="533"/>
      <c r="AR63" s="533"/>
      <c r="AS63" s="533"/>
      <c r="AT63" s="554" t="s">
        <v>713</v>
      </c>
      <c r="AU63" s="533"/>
      <c r="AV63" s="533"/>
      <c r="AW63" s="533"/>
      <c r="AX63" s="533"/>
    </row>
    <row r="64" spans="2:50">
      <c r="B64" s="544" t="s">
        <v>649</v>
      </c>
      <c r="C64" s="544" t="s">
        <v>650</v>
      </c>
      <c r="D64" s="544"/>
      <c r="E64" s="544" t="s">
        <v>651</v>
      </c>
      <c r="F64" s="544"/>
      <c r="G64" s="544"/>
      <c r="H64" s="561" t="s">
        <v>652</v>
      </c>
      <c r="I64" s="583" t="s">
        <v>653</v>
      </c>
      <c r="J64" s="583"/>
      <c r="K64" s="583"/>
      <c r="L64" s="584" t="s">
        <v>652</v>
      </c>
      <c r="M64" s="567" t="s">
        <v>654</v>
      </c>
      <c r="N64" s="544"/>
      <c r="O64" s="544" t="s">
        <v>655</v>
      </c>
      <c r="P64" s="548" t="s">
        <v>656</v>
      </c>
      <c r="Q64" s="549"/>
      <c r="R64" s="549"/>
      <c r="S64" s="550"/>
      <c r="T64" s="544" t="s">
        <v>652</v>
      </c>
      <c r="U64" s="548" t="s">
        <v>656</v>
      </c>
      <c r="V64" s="549"/>
      <c r="W64" s="549"/>
      <c r="X64" s="550"/>
      <c r="Y64" s="544" t="s">
        <v>652</v>
      </c>
      <c r="Z64" s="548" t="s">
        <v>656</v>
      </c>
      <c r="AA64" s="549"/>
      <c r="AB64" s="549"/>
      <c r="AC64" s="550"/>
      <c r="AD64" s="544" t="s">
        <v>652</v>
      </c>
      <c r="AE64" s="548" t="s">
        <v>656</v>
      </c>
      <c r="AF64" s="549"/>
      <c r="AG64" s="549"/>
      <c r="AH64" s="550"/>
      <c r="AI64" s="544" t="s">
        <v>652</v>
      </c>
      <c r="AJ64" s="548" t="s">
        <v>656</v>
      </c>
      <c r="AK64" s="549"/>
      <c r="AL64" s="549"/>
      <c r="AM64" s="550"/>
      <c r="AN64" s="544" t="s">
        <v>652</v>
      </c>
      <c r="AO64" s="548" t="s">
        <v>656</v>
      </c>
      <c r="AP64" s="549"/>
      <c r="AQ64" s="549"/>
      <c r="AR64" s="550"/>
      <c r="AS64" s="544" t="s">
        <v>652</v>
      </c>
      <c r="AT64" s="548" t="s">
        <v>656</v>
      </c>
      <c r="AU64" s="549"/>
      <c r="AV64" s="549"/>
      <c r="AW64" s="550"/>
      <c r="AX64" s="544" t="s">
        <v>652</v>
      </c>
    </row>
    <row r="65" spans="2:50">
      <c r="B65" s="544"/>
      <c r="C65" s="544"/>
      <c r="D65" s="544"/>
      <c r="E65" s="544" t="s">
        <v>657</v>
      </c>
      <c r="F65" s="544"/>
      <c r="G65" s="544"/>
      <c r="H65" s="562"/>
      <c r="I65" s="583" t="s">
        <v>657</v>
      </c>
      <c r="J65" s="583"/>
      <c r="K65" s="583"/>
      <c r="L65" s="585"/>
      <c r="M65" s="568"/>
      <c r="N65" s="544"/>
      <c r="O65" s="544"/>
      <c r="P65" s="548" t="s">
        <v>658</v>
      </c>
      <c r="Q65" s="549"/>
      <c r="R65" s="549"/>
      <c r="S65" s="550"/>
      <c r="T65" s="544"/>
      <c r="U65" s="548" t="s">
        <v>658</v>
      </c>
      <c r="V65" s="549"/>
      <c r="W65" s="549"/>
      <c r="X65" s="550"/>
      <c r="Y65" s="544"/>
      <c r="Z65" s="548" t="s">
        <v>658</v>
      </c>
      <c r="AA65" s="549"/>
      <c r="AB65" s="549"/>
      <c r="AC65" s="550"/>
      <c r="AD65" s="544"/>
      <c r="AE65" s="548" t="s">
        <v>658</v>
      </c>
      <c r="AF65" s="549"/>
      <c r="AG65" s="549"/>
      <c r="AH65" s="550"/>
      <c r="AI65" s="544"/>
      <c r="AJ65" s="548" t="s">
        <v>658</v>
      </c>
      <c r="AK65" s="549"/>
      <c r="AL65" s="549"/>
      <c r="AM65" s="550"/>
      <c r="AN65" s="544"/>
      <c r="AO65" s="548" t="s">
        <v>658</v>
      </c>
      <c r="AP65" s="549"/>
      <c r="AQ65" s="549"/>
      <c r="AR65" s="550"/>
      <c r="AS65" s="544"/>
      <c r="AT65" s="548" t="s">
        <v>658</v>
      </c>
      <c r="AU65" s="549"/>
      <c r="AV65" s="549"/>
      <c r="AW65" s="550"/>
      <c r="AX65" s="544"/>
    </row>
    <row r="66" spans="2:50">
      <c r="B66" s="544"/>
      <c r="C66" s="544"/>
      <c r="D66" s="544"/>
      <c r="E66" s="403" t="s">
        <v>659</v>
      </c>
      <c r="F66" s="403" t="s">
        <v>660</v>
      </c>
      <c r="G66" s="403" t="s">
        <v>661</v>
      </c>
      <c r="H66" s="563"/>
      <c r="I66" s="402" t="s">
        <v>659</v>
      </c>
      <c r="J66" s="402" t="s">
        <v>660</v>
      </c>
      <c r="K66" s="402" t="s">
        <v>661</v>
      </c>
      <c r="L66" s="586"/>
      <c r="M66" s="569"/>
      <c r="N66" s="544"/>
      <c r="O66" s="544"/>
      <c r="P66" s="403" t="s">
        <v>659</v>
      </c>
      <c r="Q66" s="403" t="s">
        <v>660</v>
      </c>
      <c r="R66" s="403" t="s">
        <v>661</v>
      </c>
      <c r="S66" s="403" t="s">
        <v>654</v>
      </c>
      <c r="T66" s="544"/>
      <c r="U66" s="403" t="s">
        <v>659</v>
      </c>
      <c r="V66" s="403" t="s">
        <v>660</v>
      </c>
      <c r="W66" s="403" t="s">
        <v>661</v>
      </c>
      <c r="X66" s="403" t="s">
        <v>654</v>
      </c>
      <c r="Y66" s="544"/>
      <c r="Z66" s="403" t="s">
        <v>659</v>
      </c>
      <c r="AA66" s="403" t="s">
        <v>660</v>
      </c>
      <c r="AB66" s="403" t="s">
        <v>661</v>
      </c>
      <c r="AC66" s="403" t="s">
        <v>654</v>
      </c>
      <c r="AD66" s="544"/>
      <c r="AE66" s="403" t="s">
        <v>659</v>
      </c>
      <c r="AF66" s="403" t="s">
        <v>660</v>
      </c>
      <c r="AG66" s="403" t="s">
        <v>661</v>
      </c>
      <c r="AH66" s="403" t="s">
        <v>654</v>
      </c>
      <c r="AI66" s="544"/>
      <c r="AJ66" s="403" t="s">
        <v>659</v>
      </c>
      <c r="AK66" s="403" t="s">
        <v>660</v>
      </c>
      <c r="AL66" s="403" t="s">
        <v>661</v>
      </c>
      <c r="AM66" s="403" t="s">
        <v>654</v>
      </c>
      <c r="AN66" s="544"/>
      <c r="AO66" s="403" t="s">
        <v>659</v>
      </c>
      <c r="AP66" s="403" t="s">
        <v>660</v>
      </c>
      <c r="AQ66" s="403" t="s">
        <v>661</v>
      </c>
      <c r="AR66" s="403" t="s">
        <v>654</v>
      </c>
      <c r="AS66" s="544"/>
      <c r="AT66" s="403" t="s">
        <v>659</v>
      </c>
      <c r="AU66" s="403" t="s">
        <v>660</v>
      </c>
      <c r="AV66" s="403" t="s">
        <v>661</v>
      </c>
      <c r="AW66" s="403" t="s">
        <v>654</v>
      </c>
      <c r="AX66" s="544"/>
    </row>
    <row r="67" spans="2:50">
      <c r="B67" s="544" t="s">
        <v>793</v>
      </c>
      <c r="C67" s="404">
        <v>1</v>
      </c>
      <c r="D67" s="226" t="s">
        <v>394</v>
      </c>
      <c r="E67" s="182">
        <v>20</v>
      </c>
      <c r="F67" s="404">
        <v>2400</v>
      </c>
      <c r="G67" s="405">
        <v>120</v>
      </c>
      <c r="H67" s="597">
        <f>AVERAGE(G67:G81)</f>
        <v>144.76</v>
      </c>
      <c r="I67" s="408">
        <f t="shared" ref="I67:K71" si="43">AVERAGE(P67,U67,Z67,AE67,AJ67,AO67,AT67)</f>
        <v>19.285714285714285</v>
      </c>
      <c r="J67" s="408">
        <f t="shared" si="43"/>
        <v>2134.6392240982241</v>
      </c>
      <c r="K67" s="406">
        <f t="shared" si="43"/>
        <v>110.72013401666034</v>
      </c>
      <c r="L67" s="587">
        <f>IFERROR(AVERAGE(K67:K81),"-")</f>
        <v>121.15219794110662</v>
      </c>
      <c r="M67" s="407">
        <f>RANK(K67, K$67:$K$81)</f>
        <v>4</v>
      </c>
      <c r="N67" s="544"/>
      <c r="O67" s="544"/>
      <c r="P67" s="182">
        <v>20</v>
      </c>
      <c r="Q67" s="405">
        <v>2089.662162162163</v>
      </c>
      <c r="R67" s="405">
        <v>104.48310810810815</v>
      </c>
      <c r="S67" s="404">
        <f>RANK(R67, R$67:R$81)</f>
        <v>4</v>
      </c>
      <c r="T67" s="597">
        <f>AVERAGE(R67:R81)</f>
        <v>119.36222768894761</v>
      </c>
      <c r="U67" s="182">
        <v>19</v>
      </c>
      <c r="V67" s="405">
        <v>2124.1267605633807</v>
      </c>
      <c r="W67" s="405">
        <v>111.79614529280951</v>
      </c>
      <c r="X67" s="404">
        <f t="shared" ref="X67:X81" si="44">RANK(W67, W$67:W$81)</f>
        <v>4</v>
      </c>
      <c r="Y67" s="597">
        <f t="shared" ref="Y67" si="45">AVERAGE(W67:W81)</f>
        <v>120.97742784631382</v>
      </c>
      <c r="Z67" s="182">
        <v>19</v>
      </c>
      <c r="AA67" s="405">
        <v>2116.0285714285719</v>
      </c>
      <c r="AB67" s="405">
        <v>111.36992481203011</v>
      </c>
      <c r="AC67" s="404">
        <f t="shared" ref="AC67:AC81" si="46">RANK(AB67, AB$67:AB$81)</f>
        <v>4</v>
      </c>
      <c r="AD67" s="597">
        <f t="shared" ref="AD67" si="47">AVERAGE(AB67:AB81)</f>
        <v>121.38749881485251</v>
      </c>
      <c r="AE67" s="182">
        <v>20</v>
      </c>
      <c r="AF67" s="405">
        <v>2244.2727272727275</v>
      </c>
      <c r="AG67" s="405">
        <v>112.21363636363637</v>
      </c>
      <c r="AH67" s="404">
        <f t="shared" ref="AH67:AH81" si="48">RANK(AG67, AG$67:AG$81)</f>
        <v>5</v>
      </c>
      <c r="AI67" s="597">
        <f t="shared" ref="AI67" si="49">AVERAGE(AG67:AG81)</f>
        <v>127.48167957825179</v>
      </c>
      <c r="AJ67" s="182">
        <v>19</v>
      </c>
      <c r="AK67" s="405">
        <v>2094.2465753424663</v>
      </c>
      <c r="AL67" s="405">
        <v>110.22350396539296</v>
      </c>
      <c r="AM67" s="404">
        <f t="shared" ref="AM67:AM81" si="50">RANK(AL67, AL$67:AL$81)</f>
        <v>4</v>
      </c>
      <c r="AN67" s="597">
        <f t="shared" ref="AN67" si="51">AVERAGE(AL67:AL81)</f>
        <v>119.46646322121549</v>
      </c>
      <c r="AO67" s="182">
        <v>19</v>
      </c>
      <c r="AP67" s="405">
        <v>2125.9756097560971</v>
      </c>
      <c r="AQ67" s="405">
        <v>111.89345314505775</v>
      </c>
      <c r="AR67" s="404">
        <f t="shared" ref="AR67:AR81" si="52">RANK(AQ67, AQ$67:AQ$81)</f>
        <v>4</v>
      </c>
      <c r="AS67" s="597">
        <f t="shared" ref="AS67" si="53">AVERAGE(AQ67:AQ81)</f>
        <v>119.91382972038055</v>
      </c>
      <c r="AT67" s="182">
        <v>19</v>
      </c>
      <c r="AU67" s="405">
        <v>2148.162162162163</v>
      </c>
      <c r="AV67" s="405">
        <v>113.06116642958753</v>
      </c>
      <c r="AW67" s="404">
        <f t="shared" ref="AW67:AW81" si="54">RANK(AV67, AV$67:AV$81)</f>
        <v>4</v>
      </c>
      <c r="AX67" s="534">
        <f t="shared" ref="AX67" si="55">AVERAGE(AV67:AV81)</f>
        <v>119.47625871778446</v>
      </c>
    </row>
    <row r="68" spans="2:50">
      <c r="B68" s="533"/>
      <c r="C68" s="404">
        <v>2</v>
      </c>
      <c r="D68" s="226" t="s">
        <v>395</v>
      </c>
      <c r="E68" s="182">
        <v>18</v>
      </c>
      <c r="F68" s="404">
        <v>3000</v>
      </c>
      <c r="G68" s="405">
        <v>166.7</v>
      </c>
      <c r="H68" s="598"/>
      <c r="I68" s="408">
        <f t="shared" si="43"/>
        <v>19</v>
      </c>
      <c r="J68" s="408">
        <f t="shared" si="43"/>
        <v>2557.6361773208146</v>
      </c>
      <c r="K68" s="406">
        <f t="shared" si="43"/>
        <v>134.61243038530603</v>
      </c>
      <c r="L68" s="588"/>
      <c r="M68" s="407">
        <f>RANK(K68, K$67:$K$81)</f>
        <v>1</v>
      </c>
      <c r="N68" s="544"/>
      <c r="O68" s="544"/>
      <c r="P68" s="404">
        <v>19</v>
      </c>
      <c r="Q68" s="405">
        <v>2518.6451612903247</v>
      </c>
      <c r="R68" s="405">
        <v>132.56027164685921</v>
      </c>
      <c r="S68" s="404">
        <f t="shared" ref="S68:S81" si="56">RANK(R68, R$67:R$81)</f>
        <v>1</v>
      </c>
      <c r="T68" s="598"/>
      <c r="U68" s="404">
        <v>19</v>
      </c>
      <c r="V68" s="405">
        <v>2504.5312500000032</v>
      </c>
      <c r="W68" s="405">
        <v>131.81743421052647</v>
      </c>
      <c r="X68" s="404">
        <f t="shared" si="44"/>
        <v>2</v>
      </c>
      <c r="Y68" s="598"/>
      <c r="Z68" s="404">
        <v>19</v>
      </c>
      <c r="AA68" s="405">
        <v>2551.3548387096798</v>
      </c>
      <c r="AB68" s="405">
        <v>134.28183361629894</v>
      </c>
      <c r="AC68" s="404">
        <f t="shared" si="46"/>
        <v>2</v>
      </c>
      <c r="AD68" s="598"/>
      <c r="AE68" s="404">
        <v>19</v>
      </c>
      <c r="AF68" s="405">
        <v>2824.7142857142881</v>
      </c>
      <c r="AG68" s="405">
        <v>148.66917293233095</v>
      </c>
      <c r="AH68" s="404">
        <f t="shared" si="48"/>
        <v>1</v>
      </c>
      <c r="AI68" s="598"/>
      <c r="AJ68" s="404">
        <v>19</v>
      </c>
      <c r="AK68" s="405">
        <v>2503.0909090909117</v>
      </c>
      <c r="AL68" s="405">
        <v>131.74162679425851</v>
      </c>
      <c r="AM68" s="404">
        <f t="shared" si="50"/>
        <v>1</v>
      </c>
      <c r="AN68" s="598"/>
      <c r="AO68" s="404">
        <v>19</v>
      </c>
      <c r="AP68" s="405">
        <v>2475.3103448275874</v>
      </c>
      <c r="AQ68" s="405">
        <v>130.2794918330309</v>
      </c>
      <c r="AR68" s="404">
        <f t="shared" si="52"/>
        <v>2</v>
      </c>
      <c r="AS68" s="598"/>
      <c r="AT68" s="404">
        <v>19</v>
      </c>
      <c r="AU68" s="405">
        <v>2525.8064516129057</v>
      </c>
      <c r="AV68" s="405">
        <v>132.93718166383715</v>
      </c>
      <c r="AW68" s="404">
        <f t="shared" si="54"/>
        <v>1</v>
      </c>
      <c r="AX68" s="534"/>
    </row>
    <row r="69" spans="2:50">
      <c r="B69" s="533"/>
      <c r="C69" s="404">
        <v>3</v>
      </c>
      <c r="D69" s="226" t="s">
        <v>396</v>
      </c>
      <c r="E69" s="182">
        <v>18</v>
      </c>
      <c r="F69" s="404">
        <v>3000</v>
      </c>
      <c r="G69" s="405">
        <v>166.7</v>
      </c>
      <c r="H69" s="598"/>
      <c r="I69" s="408">
        <f t="shared" si="43"/>
        <v>19</v>
      </c>
      <c r="J69" s="408">
        <f t="shared" si="43"/>
        <v>2537.3089367354673</v>
      </c>
      <c r="K69" s="406">
        <f t="shared" si="43"/>
        <v>133.54257561765618</v>
      </c>
      <c r="L69" s="588"/>
      <c r="M69" s="407">
        <f>RANK(K69, K$67:$K$81)</f>
        <v>2</v>
      </c>
      <c r="N69" s="544"/>
      <c r="O69" s="544"/>
      <c r="P69" s="404">
        <v>19</v>
      </c>
      <c r="Q69" s="405">
        <v>2509.2765957446813</v>
      </c>
      <c r="R69" s="405">
        <v>132.06718924972006</v>
      </c>
      <c r="S69" s="404">
        <f t="shared" si="56"/>
        <v>2</v>
      </c>
      <c r="T69" s="598"/>
      <c r="U69" s="404">
        <v>19</v>
      </c>
      <c r="V69" s="405">
        <v>2567.0666666666666</v>
      </c>
      <c r="W69" s="405">
        <v>135.10877192982457</v>
      </c>
      <c r="X69" s="404">
        <f t="shared" si="44"/>
        <v>1</v>
      </c>
      <c r="Y69" s="598"/>
      <c r="Z69" s="404">
        <v>19</v>
      </c>
      <c r="AA69" s="405">
        <v>2575.7727272727275</v>
      </c>
      <c r="AB69" s="405">
        <v>135.56698564593302</v>
      </c>
      <c r="AC69" s="404">
        <f t="shared" si="46"/>
        <v>1</v>
      </c>
      <c r="AD69" s="598"/>
      <c r="AE69" s="404">
        <v>19</v>
      </c>
      <c r="AF69" s="405">
        <v>2635.6744186046508</v>
      </c>
      <c r="AG69" s="405">
        <v>138.71970624235004</v>
      </c>
      <c r="AH69" s="404">
        <f t="shared" si="48"/>
        <v>2</v>
      </c>
      <c r="AI69" s="598"/>
      <c r="AJ69" s="404">
        <v>19</v>
      </c>
      <c r="AK69" s="405">
        <v>2478.4897959183681</v>
      </c>
      <c r="AL69" s="405">
        <v>130.44683136412465</v>
      </c>
      <c r="AM69" s="404">
        <f t="shared" si="50"/>
        <v>2</v>
      </c>
      <c r="AN69" s="598"/>
      <c r="AO69" s="404">
        <v>19</v>
      </c>
      <c r="AP69" s="405">
        <v>2505.0000000000014</v>
      </c>
      <c r="AQ69" s="405">
        <v>131.84210526315798</v>
      </c>
      <c r="AR69" s="404">
        <f t="shared" si="52"/>
        <v>1</v>
      </c>
      <c r="AS69" s="598"/>
      <c r="AT69" s="404">
        <v>19</v>
      </c>
      <c r="AU69" s="405">
        <v>2489.8823529411775</v>
      </c>
      <c r="AV69" s="405">
        <v>131.04643962848303</v>
      </c>
      <c r="AW69" s="404">
        <f t="shared" si="54"/>
        <v>2</v>
      </c>
      <c r="AX69" s="534"/>
    </row>
    <row r="70" spans="2:50">
      <c r="B70" s="533"/>
      <c r="C70" s="404">
        <v>4</v>
      </c>
      <c r="D70" s="226" t="s">
        <v>397</v>
      </c>
      <c r="E70" s="182">
        <v>19</v>
      </c>
      <c r="F70" s="404">
        <v>3000</v>
      </c>
      <c r="G70" s="405">
        <v>157.9</v>
      </c>
      <c r="H70" s="598"/>
      <c r="I70" s="408">
        <f t="shared" si="43"/>
        <v>20</v>
      </c>
      <c r="J70" s="408">
        <f t="shared" si="43"/>
        <v>2523.1137349080486</v>
      </c>
      <c r="K70" s="406">
        <f t="shared" si="43"/>
        <v>126.15568674540246</v>
      </c>
      <c r="L70" s="588"/>
      <c r="M70" s="407">
        <f>RANK(K70, K$67:$K$81)</f>
        <v>3</v>
      </c>
      <c r="N70" s="544"/>
      <c r="O70" s="544"/>
      <c r="P70" s="404">
        <v>20</v>
      </c>
      <c r="Q70" s="405">
        <v>2575.0458715596328</v>
      </c>
      <c r="R70" s="405">
        <v>128.75229357798165</v>
      </c>
      <c r="S70" s="404">
        <f t="shared" si="56"/>
        <v>3</v>
      </c>
      <c r="T70" s="598"/>
      <c r="U70" s="404">
        <v>20</v>
      </c>
      <c r="V70" s="405">
        <v>2540.192307692309</v>
      </c>
      <c r="W70" s="405">
        <v>127.00961538461544</v>
      </c>
      <c r="X70" s="404">
        <f t="shared" si="44"/>
        <v>3</v>
      </c>
      <c r="Y70" s="598"/>
      <c r="Z70" s="404">
        <v>20</v>
      </c>
      <c r="AA70" s="405">
        <v>2554.3750000000009</v>
      </c>
      <c r="AB70" s="405">
        <v>127.71875000000004</v>
      </c>
      <c r="AC70" s="404">
        <f t="shared" si="46"/>
        <v>3</v>
      </c>
      <c r="AD70" s="598"/>
      <c r="AE70" s="404">
        <v>20</v>
      </c>
      <c r="AF70" s="405">
        <v>2404.1176470588243</v>
      </c>
      <c r="AG70" s="405">
        <v>120.20588235294122</v>
      </c>
      <c r="AH70" s="404">
        <f t="shared" si="48"/>
        <v>3</v>
      </c>
      <c r="AI70" s="598"/>
      <c r="AJ70" s="404">
        <v>20</v>
      </c>
      <c r="AK70" s="405">
        <v>2518.4070796460196</v>
      </c>
      <c r="AL70" s="405">
        <v>125.92035398230098</v>
      </c>
      <c r="AM70" s="404">
        <f t="shared" si="50"/>
        <v>3</v>
      </c>
      <c r="AN70" s="598"/>
      <c r="AO70" s="404">
        <v>20</v>
      </c>
      <c r="AP70" s="405">
        <v>2545.0819672131151</v>
      </c>
      <c r="AQ70" s="405">
        <v>127.25409836065576</v>
      </c>
      <c r="AR70" s="404">
        <f t="shared" si="52"/>
        <v>3</v>
      </c>
      <c r="AS70" s="598"/>
      <c r="AT70" s="404">
        <v>20</v>
      </c>
      <c r="AU70" s="405">
        <v>2524.5762711864395</v>
      </c>
      <c r="AV70" s="405">
        <v>126.22881355932198</v>
      </c>
      <c r="AW70" s="404">
        <f t="shared" si="54"/>
        <v>3</v>
      </c>
      <c r="AX70" s="534"/>
    </row>
    <row r="71" spans="2:50">
      <c r="B71" s="533"/>
      <c r="C71" s="404">
        <v>5</v>
      </c>
      <c r="D71" s="226" t="s">
        <v>582</v>
      </c>
      <c r="E71" s="182">
        <v>20</v>
      </c>
      <c r="F71" s="404">
        <v>2250</v>
      </c>
      <c r="G71" s="405">
        <v>112.5</v>
      </c>
      <c r="H71" s="598"/>
      <c r="I71" s="408">
        <f t="shared" si="43"/>
        <v>20</v>
      </c>
      <c r="J71" s="408">
        <f t="shared" si="43"/>
        <v>2014.6032588101607</v>
      </c>
      <c r="K71" s="406">
        <f t="shared" si="43"/>
        <v>100.73016294050804</v>
      </c>
      <c r="L71" s="588"/>
      <c r="M71" s="407">
        <f>RANK(K71, K$67:$K$81)</f>
        <v>5</v>
      </c>
      <c r="N71" s="544"/>
      <c r="O71" s="544"/>
      <c r="P71" s="404">
        <v>20</v>
      </c>
      <c r="Q71" s="405">
        <v>1978.9655172413795</v>
      </c>
      <c r="R71" s="405">
        <v>98.948275862068982</v>
      </c>
      <c r="S71" s="404">
        <f t="shared" si="56"/>
        <v>5</v>
      </c>
      <c r="T71" s="598"/>
      <c r="U71" s="404">
        <v>20</v>
      </c>
      <c r="V71" s="405">
        <v>1983.1034482758623</v>
      </c>
      <c r="W71" s="405">
        <v>99.15517241379311</v>
      </c>
      <c r="X71" s="404">
        <f t="shared" si="44"/>
        <v>5</v>
      </c>
      <c r="Y71" s="598"/>
      <c r="Z71" s="404">
        <v>20</v>
      </c>
      <c r="AA71" s="405">
        <v>1960.000000000007</v>
      </c>
      <c r="AB71" s="405">
        <v>98.000000000000355</v>
      </c>
      <c r="AC71" s="404">
        <f t="shared" si="46"/>
        <v>5</v>
      </c>
      <c r="AD71" s="598"/>
      <c r="AE71" s="404">
        <v>20</v>
      </c>
      <c r="AF71" s="405">
        <v>2352.0000000000082</v>
      </c>
      <c r="AG71" s="405">
        <v>117.60000000000041</v>
      </c>
      <c r="AH71" s="404">
        <f t="shared" si="48"/>
        <v>4</v>
      </c>
      <c r="AI71" s="598"/>
      <c r="AJ71" s="404">
        <v>20</v>
      </c>
      <c r="AK71" s="405">
        <v>1980.0000000000068</v>
      </c>
      <c r="AL71" s="405">
        <v>99.000000000000341</v>
      </c>
      <c r="AM71" s="404">
        <f t="shared" si="50"/>
        <v>5</v>
      </c>
      <c r="AN71" s="598"/>
      <c r="AO71" s="404">
        <v>20</v>
      </c>
      <c r="AP71" s="405">
        <v>1966.0000000000073</v>
      </c>
      <c r="AQ71" s="405">
        <v>98.300000000000367</v>
      </c>
      <c r="AR71" s="404">
        <f t="shared" si="52"/>
        <v>5</v>
      </c>
      <c r="AS71" s="598"/>
      <c r="AT71" s="404">
        <v>20</v>
      </c>
      <c r="AU71" s="405">
        <v>1882.153846153853</v>
      </c>
      <c r="AV71" s="405">
        <v>94.107692307692645</v>
      </c>
      <c r="AW71" s="404">
        <f t="shared" si="54"/>
        <v>5</v>
      </c>
      <c r="AX71" s="534"/>
    </row>
    <row r="72" spans="2:50">
      <c r="B72" s="533"/>
      <c r="C72" s="404">
        <v>6</v>
      </c>
      <c r="D72" s="226"/>
      <c r="E72" s="182"/>
      <c r="F72" s="404"/>
      <c r="G72" s="405"/>
      <c r="H72" s="598"/>
      <c r="I72" s="408"/>
      <c r="J72" s="408"/>
      <c r="K72" s="406"/>
      <c r="L72" s="588"/>
      <c r="M72" s="407" t="e">
        <f>RANK(K72, K$67:$K$81)</f>
        <v>#N/A</v>
      </c>
      <c r="N72" s="544"/>
      <c r="O72" s="544"/>
      <c r="P72" s="404"/>
      <c r="Q72" s="405"/>
      <c r="R72" s="405"/>
      <c r="S72" s="404" t="e">
        <f t="shared" si="56"/>
        <v>#N/A</v>
      </c>
      <c r="T72" s="598"/>
      <c r="U72" s="404"/>
      <c r="V72" s="405"/>
      <c r="W72" s="405"/>
      <c r="X72" s="404" t="e">
        <f t="shared" si="44"/>
        <v>#N/A</v>
      </c>
      <c r="Y72" s="598"/>
      <c r="Z72" s="404"/>
      <c r="AA72" s="405"/>
      <c r="AB72" s="405"/>
      <c r="AC72" s="404" t="e">
        <f t="shared" si="46"/>
        <v>#N/A</v>
      </c>
      <c r="AD72" s="598"/>
      <c r="AE72" s="404"/>
      <c r="AF72" s="405"/>
      <c r="AG72" s="405"/>
      <c r="AH72" s="404" t="e">
        <f t="shared" si="48"/>
        <v>#N/A</v>
      </c>
      <c r="AI72" s="598"/>
      <c r="AJ72" s="404"/>
      <c r="AK72" s="405"/>
      <c r="AL72" s="405"/>
      <c r="AM72" s="404" t="e">
        <f t="shared" si="50"/>
        <v>#N/A</v>
      </c>
      <c r="AN72" s="598"/>
      <c r="AO72" s="404"/>
      <c r="AP72" s="405"/>
      <c r="AQ72" s="405"/>
      <c r="AR72" s="404" t="e">
        <f t="shared" si="52"/>
        <v>#N/A</v>
      </c>
      <c r="AS72" s="598"/>
      <c r="AT72" s="404"/>
      <c r="AU72" s="405"/>
      <c r="AV72" s="405"/>
      <c r="AW72" s="404" t="e">
        <f t="shared" si="54"/>
        <v>#N/A</v>
      </c>
      <c r="AX72" s="534"/>
    </row>
    <row r="73" spans="2:50">
      <c r="B73" s="533"/>
      <c r="C73" s="404">
        <v>7</v>
      </c>
      <c r="D73" s="226"/>
      <c r="E73" s="182"/>
      <c r="F73" s="404"/>
      <c r="G73" s="405"/>
      <c r="H73" s="598"/>
      <c r="I73" s="408"/>
      <c r="J73" s="408"/>
      <c r="K73" s="406"/>
      <c r="L73" s="588"/>
      <c r="M73" s="407" t="e">
        <f>RANK(K73, K$67:$K$81)</f>
        <v>#N/A</v>
      </c>
      <c r="N73" s="544"/>
      <c r="O73" s="544"/>
      <c r="P73" s="404"/>
      <c r="Q73" s="405"/>
      <c r="R73" s="405"/>
      <c r="S73" s="404" t="e">
        <f t="shared" si="56"/>
        <v>#N/A</v>
      </c>
      <c r="T73" s="598"/>
      <c r="U73" s="404"/>
      <c r="V73" s="405"/>
      <c r="W73" s="405"/>
      <c r="X73" s="404" t="e">
        <f t="shared" si="44"/>
        <v>#N/A</v>
      </c>
      <c r="Y73" s="598"/>
      <c r="Z73" s="404"/>
      <c r="AA73" s="405"/>
      <c r="AB73" s="405"/>
      <c r="AC73" s="404" t="e">
        <f t="shared" si="46"/>
        <v>#N/A</v>
      </c>
      <c r="AD73" s="598"/>
      <c r="AE73" s="404"/>
      <c r="AF73" s="405"/>
      <c r="AG73" s="405"/>
      <c r="AH73" s="404" t="e">
        <f t="shared" si="48"/>
        <v>#N/A</v>
      </c>
      <c r="AI73" s="598"/>
      <c r="AJ73" s="404"/>
      <c r="AK73" s="405"/>
      <c r="AL73" s="405"/>
      <c r="AM73" s="404" t="e">
        <f t="shared" si="50"/>
        <v>#N/A</v>
      </c>
      <c r="AN73" s="598"/>
      <c r="AO73" s="404"/>
      <c r="AP73" s="405"/>
      <c r="AQ73" s="405"/>
      <c r="AR73" s="404" t="e">
        <f t="shared" si="52"/>
        <v>#N/A</v>
      </c>
      <c r="AS73" s="598"/>
      <c r="AT73" s="404"/>
      <c r="AU73" s="405"/>
      <c r="AV73" s="405"/>
      <c r="AW73" s="404" t="e">
        <f t="shared" si="54"/>
        <v>#N/A</v>
      </c>
      <c r="AX73" s="534"/>
    </row>
    <row r="74" spans="2:50">
      <c r="B74" s="533"/>
      <c r="C74" s="404">
        <v>8</v>
      </c>
      <c r="D74" s="226"/>
      <c r="E74" s="182"/>
      <c r="F74" s="404"/>
      <c r="G74" s="405"/>
      <c r="H74" s="598"/>
      <c r="I74" s="408"/>
      <c r="J74" s="408"/>
      <c r="K74" s="406"/>
      <c r="L74" s="588"/>
      <c r="M74" s="407" t="e">
        <f>RANK(K74, K$67:$K$81)</f>
        <v>#N/A</v>
      </c>
      <c r="N74" s="544"/>
      <c r="O74" s="544"/>
      <c r="P74" s="404"/>
      <c r="Q74" s="405"/>
      <c r="R74" s="405"/>
      <c r="S74" s="404" t="e">
        <f t="shared" si="56"/>
        <v>#N/A</v>
      </c>
      <c r="T74" s="598"/>
      <c r="U74" s="404"/>
      <c r="V74" s="405"/>
      <c r="W74" s="405"/>
      <c r="X74" s="404" t="e">
        <f t="shared" si="44"/>
        <v>#N/A</v>
      </c>
      <c r="Y74" s="598"/>
      <c r="Z74" s="404"/>
      <c r="AA74" s="405"/>
      <c r="AB74" s="405"/>
      <c r="AC74" s="404" t="e">
        <f t="shared" si="46"/>
        <v>#N/A</v>
      </c>
      <c r="AD74" s="598"/>
      <c r="AE74" s="404"/>
      <c r="AF74" s="405"/>
      <c r="AG74" s="405"/>
      <c r="AH74" s="404" t="e">
        <f t="shared" si="48"/>
        <v>#N/A</v>
      </c>
      <c r="AI74" s="598"/>
      <c r="AJ74" s="404"/>
      <c r="AK74" s="405"/>
      <c r="AL74" s="405"/>
      <c r="AM74" s="404" t="e">
        <f t="shared" si="50"/>
        <v>#N/A</v>
      </c>
      <c r="AN74" s="598"/>
      <c r="AO74" s="404"/>
      <c r="AP74" s="405"/>
      <c r="AQ74" s="405"/>
      <c r="AR74" s="404" t="e">
        <f t="shared" si="52"/>
        <v>#N/A</v>
      </c>
      <c r="AS74" s="598"/>
      <c r="AT74" s="404"/>
      <c r="AU74" s="405"/>
      <c r="AV74" s="405"/>
      <c r="AW74" s="404" t="e">
        <f t="shared" si="54"/>
        <v>#N/A</v>
      </c>
      <c r="AX74" s="534"/>
    </row>
    <row r="75" spans="2:50">
      <c r="B75" s="533"/>
      <c r="C75" s="404">
        <v>9</v>
      </c>
      <c r="D75" s="226"/>
      <c r="E75" s="182"/>
      <c r="F75" s="404"/>
      <c r="G75" s="405"/>
      <c r="H75" s="598"/>
      <c r="I75" s="408"/>
      <c r="J75" s="408"/>
      <c r="K75" s="406"/>
      <c r="L75" s="588"/>
      <c r="M75" s="407" t="e">
        <f>RANK(K75, K$67:$K$81)</f>
        <v>#N/A</v>
      </c>
      <c r="N75" s="544"/>
      <c r="O75" s="544"/>
      <c r="P75" s="404"/>
      <c r="Q75" s="405"/>
      <c r="R75" s="405"/>
      <c r="S75" s="404" t="e">
        <f t="shared" si="56"/>
        <v>#N/A</v>
      </c>
      <c r="T75" s="598"/>
      <c r="U75" s="404"/>
      <c r="V75" s="405"/>
      <c r="W75" s="405"/>
      <c r="X75" s="404" t="e">
        <f t="shared" si="44"/>
        <v>#N/A</v>
      </c>
      <c r="Y75" s="598"/>
      <c r="Z75" s="404"/>
      <c r="AA75" s="405"/>
      <c r="AB75" s="405"/>
      <c r="AC75" s="404" t="e">
        <f t="shared" si="46"/>
        <v>#N/A</v>
      </c>
      <c r="AD75" s="598"/>
      <c r="AE75" s="404"/>
      <c r="AF75" s="405"/>
      <c r="AG75" s="405"/>
      <c r="AH75" s="404" t="e">
        <f t="shared" si="48"/>
        <v>#N/A</v>
      </c>
      <c r="AI75" s="598"/>
      <c r="AJ75" s="404"/>
      <c r="AK75" s="405"/>
      <c r="AL75" s="405"/>
      <c r="AM75" s="404" t="e">
        <f t="shared" si="50"/>
        <v>#N/A</v>
      </c>
      <c r="AN75" s="598"/>
      <c r="AO75" s="404"/>
      <c r="AP75" s="405"/>
      <c r="AQ75" s="405"/>
      <c r="AR75" s="404" t="e">
        <f t="shared" si="52"/>
        <v>#N/A</v>
      </c>
      <c r="AS75" s="598"/>
      <c r="AT75" s="404"/>
      <c r="AU75" s="405"/>
      <c r="AV75" s="405"/>
      <c r="AW75" s="404" t="e">
        <f t="shared" si="54"/>
        <v>#N/A</v>
      </c>
      <c r="AX75" s="534"/>
    </row>
    <row r="76" spans="2:50">
      <c r="B76" s="533"/>
      <c r="C76" s="404">
        <v>10</v>
      </c>
      <c r="D76" s="226"/>
      <c r="E76" s="182"/>
      <c r="F76" s="404"/>
      <c r="G76" s="405"/>
      <c r="H76" s="598"/>
      <c r="I76" s="408"/>
      <c r="J76" s="408"/>
      <c r="K76" s="406"/>
      <c r="L76" s="588"/>
      <c r="M76" s="407" t="e">
        <f>RANK(K76, K$67:$K$81)</f>
        <v>#N/A</v>
      </c>
      <c r="N76" s="544"/>
      <c r="O76" s="544"/>
      <c r="P76" s="404"/>
      <c r="Q76" s="404"/>
      <c r="R76" s="405"/>
      <c r="S76" s="404" t="e">
        <f t="shared" si="56"/>
        <v>#N/A</v>
      </c>
      <c r="T76" s="598"/>
      <c r="U76" s="404"/>
      <c r="V76" s="404"/>
      <c r="W76" s="405"/>
      <c r="X76" s="404" t="e">
        <f t="shared" si="44"/>
        <v>#N/A</v>
      </c>
      <c r="Y76" s="598"/>
      <c r="Z76" s="404"/>
      <c r="AA76" s="404"/>
      <c r="AB76" s="405"/>
      <c r="AC76" s="404" t="e">
        <f t="shared" si="46"/>
        <v>#N/A</v>
      </c>
      <c r="AD76" s="598"/>
      <c r="AE76" s="404"/>
      <c r="AF76" s="404"/>
      <c r="AG76" s="405"/>
      <c r="AH76" s="404" t="e">
        <f t="shared" si="48"/>
        <v>#N/A</v>
      </c>
      <c r="AI76" s="598"/>
      <c r="AJ76" s="404"/>
      <c r="AK76" s="404"/>
      <c r="AL76" s="405"/>
      <c r="AM76" s="404" t="e">
        <f t="shared" si="50"/>
        <v>#N/A</v>
      </c>
      <c r="AN76" s="598"/>
      <c r="AO76" s="404"/>
      <c r="AP76" s="404"/>
      <c r="AQ76" s="405"/>
      <c r="AR76" s="404" t="e">
        <f t="shared" si="52"/>
        <v>#N/A</v>
      </c>
      <c r="AS76" s="598"/>
      <c r="AT76" s="404"/>
      <c r="AU76" s="404"/>
      <c r="AV76" s="405"/>
      <c r="AW76" s="404" t="e">
        <f t="shared" si="54"/>
        <v>#N/A</v>
      </c>
      <c r="AX76" s="534"/>
    </row>
    <row r="77" spans="2:50">
      <c r="B77" s="533"/>
      <c r="C77" s="404">
        <v>11</v>
      </c>
      <c r="D77" s="226"/>
      <c r="E77" s="182"/>
      <c r="F77" s="404"/>
      <c r="G77" s="405"/>
      <c r="H77" s="598"/>
      <c r="I77" s="202"/>
      <c r="J77" s="202"/>
      <c r="K77" s="202"/>
      <c r="L77" s="588"/>
      <c r="M77" s="407" t="e">
        <f>RANK(K77, K$67:$K$81)</f>
        <v>#N/A</v>
      </c>
      <c r="N77" s="544"/>
      <c r="O77" s="544"/>
      <c r="P77" s="404"/>
      <c r="Q77" s="404"/>
      <c r="R77" s="404"/>
      <c r="S77" s="404" t="e">
        <f t="shared" si="56"/>
        <v>#N/A</v>
      </c>
      <c r="T77" s="598"/>
      <c r="U77" s="404"/>
      <c r="V77" s="404"/>
      <c r="W77" s="404"/>
      <c r="X77" s="404" t="e">
        <f t="shared" si="44"/>
        <v>#N/A</v>
      </c>
      <c r="Y77" s="598"/>
      <c r="Z77" s="404"/>
      <c r="AA77" s="404"/>
      <c r="AB77" s="404"/>
      <c r="AC77" s="404" t="e">
        <f t="shared" si="46"/>
        <v>#N/A</v>
      </c>
      <c r="AD77" s="598"/>
      <c r="AE77" s="404"/>
      <c r="AF77" s="404"/>
      <c r="AG77" s="404"/>
      <c r="AH77" s="404" t="e">
        <f t="shared" si="48"/>
        <v>#N/A</v>
      </c>
      <c r="AI77" s="598"/>
      <c r="AJ77" s="404"/>
      <c r="AK77" s="404"/>
      <c r="AL77" s="404"/>
      <c r="AM77" s="404" t="e">
        <f t="shared" si="50"/>
        <v>#N/A</v>
      </c>
      <c r="AN77" s="598"/>
      <c r="AO77" s="404"/>
      <c r="AP77" s="404"/>
      <c r="AQ77" s="404"/>
      <c r="AR77" s="404" t="e">
        <f t="shared" si="52"/>
        <v>#N/A</v>
      </c>
      <c r="AS77" s="598"/>
      <c r="AT77" s="404"/>
      <c r="AU77" s="404"/>
      <c r="AV77" s="404"/>
      <c r="AW77" s="404" t="e">
        <f t="shared" si="54"/>
        <v>#N/A</v>
      </c>
      <c r="AX77" s="534"/>
    </row>
    <row r="78" spans="2:50">
      <c r="B78" s="533"/>
      <c r="C78" s="404">
        <v>12</v>
      </c>
      <c r="D78" s="226"/>
      <c r="E78" s="182"/>
      <c r="F78" s="404"/>
      <c r="G78" s="405"/>
      <c r="H78" s="598"/>
      <c r="I78" s="202"/>
      <c r="J78" s="202"/>
      <c r="K78" s="202"/>
      <c r="L78" s="588"/>
      <c r="M78" s="407" t="e">
        <f>RANK(K78, K$67:$K$81)</f>
        <v>#N/A</v>
      </c>
      <c r="N78" s="544"/>
      <c r="O78" s="544"/>
      <c r="P78" s="404"/>
      <c r="Q78" s="404"/>
      <c r="R78" s="404"/>
      <c r="S78" s="404" t="e">
        <f t="shared" si="56"/>
        <v>#N/A</v>
      </c>
      <c r="T78" s="598"/>
      <c r="U78" s="404"/>
      <c r="V78" s="404"/>
      <c r="W78" s="404"/>
      <c r="X78" s="404" t="e">
        <f t="shared" si="44"/>
        <v>#N/A</v>
      </c>
      <c r="Y78" s="598"/>
      <c r="Z78" s="404"/>
      <c r="AA78" s="404"/>
      <c r="AB78" s="404"/>
      <c r="AC78" s="404" t="e">
        <f t="shared" si="46"/>
        <v>#N/A</v>
      </c>
      <c r="AD78" s="598"/>
      <c r="AE78" s="404"/>
      <c r="AF78" s="404"/>
      <c r="AG78" s="404"/>
      <c r="AH78" s="404" t="e">
        <f t="shared" si="48"/>
        <v>#N/A</v>
      </c>
      <c r="AI78" s="598"/>
      <c r="AJ78" s="404"/>
      <c r="AK78" s="404"/>
      <c r="AL78" s="404"/>
      <c r="AM78" s="404" t="e">
        <f t="shared" si="50"/>
        <v>#N/A</v>
      </c>
      <c r="AN78" s="598"/>
      <c r="AO78" s="404"/>
      <c r="AP78" s="404"/>
      <c r="AQ78" s="404"/>
      <c r="AR78" s="404" t="e">
        <f t="shared" si="52"/>
        <v>#N/A</v>
      </c>
      <c r="AS78" s="598"/>
      <c r="AT78" s="404"/>
      <c r="AU78" s="404"/>
      <c r="AV78" s="404"/>
      <c r="AW78" s="404" t="e">
        <f t="shared" si="54"/>
        <v>#N/A</v>
      </c>
      <c r="AX78" s="534"/>
    </row>
    <row r="79" spans="2:50">
      <c r="B79" s="533"/>
      <c r="C79" s="404">
        <v>13</v>
      </c>
      <c r="D79" s="226"/>
      <c r="E79" s="182"/>
      <c r="F79" s="404"/>
      <c r="G79" s="405"/>
      <c r="H79" s="598"/>
      <c r="I79" s="202"/>
      <c r="J79" s="202"/>
      <c r="K79" s="202"/>
      <c r="L79" s="588"/>
      <c r="M79" s="407" t="e">
        <f>RANK(K79, K$67:$K$81)</f>
        <v>#N/A</v>
      </c>
      <c r="N79" s="544"/>
      <c r="O79" s="544"/>
      <c r="P79" s="404"/>
      <c r="Q79" s="404"/>
      <c r="R79" s="404"/>
      <c r="S79" s="404" t="e">
        <f t="shared" si="56"/>
        <v>#N/A</v>
      </c>
      <c r="T79" s="598"/>
      <c r="U79" s="404"/>
      <c r="V79" s="404"/>
      <c r="W79" s="404"/>
      <c r="X79" s="404" t="e">
        <f t="shared" si="44"/>
        <v>#N/A</v>
      </c>
      <c r="Y79" s="598"/>
      <c r="Z79" s="404"/>
      <c r="AA79" s="404"/>
      <c r="AB79" s="404"/>
      <c r="AC79" s="404" t="e">
        <f t="shared" si="46"/>
        <v>#N/A</v>
      </c>
      <c r="AD79" s="598"/>
      <c r="AE79" s="404"/>
      <c r="AF79" s="404"/>
      <c r="AG79" s="404"/>
      <c r="AH79" s="404" t="e">
        <f t="shared" si="48"/>
        <v>#N/A</v>
      </c>
      <c r="AI79" s="598"/>
      <c r="AJ79" s="404"/>
      <c r="AK79" s="404"/>
      <c r="AL79" s="404"/>
      <c r="AM79" s="404" t="e">
        <f t="shared" si="50"/>
        <v>#N/A</v>
      </c>
      <c r="AN79" s="598"/>
      <c r="AO79" s="404"/>
      <c r="AP79" s="404"/>
      <c r="AQ79" s="404"/>
      <c r="AR79" s="404" t="e">
        <f t="shared" si="52"/>
        <v>#N/A</v>
      </c>
      <c r="AS79" s="598"/>
      <c r="AT79" s="404"/>
      <c r="AU79" s="404"/>
      <c r="AV79" s="404"/>
      <c r="AW79" s="404" t="e">
        <f t="shared" si="54"/>
        <v>#N/A</v>
      </c>
      <c r="AX79" s="534"/>
    </row>
    <row r="80" spans="2:50">
      <c r="B80" s="533"/>
      <c r="C80" s="404">
        <v>14</v>
      </c>
      <c r="D80" s="226"/>
      <c r="E80" s="182"/>
      <c r="F80" s="404"/>
      <c r="G80" s="405"/>
      <c r="H80" s="598"/>
      <c r="I80" s="202"/>
      <c r="J80" s="202"/>
      <c r="K80" s="202"/>
      <c r="L80" s="588"/>
      <c r="M80" s="407" t="e">
        <f>RANK(K80, K$67:$K$81)</f>
        <v>#N/A</v>
      </c>
      <c r="N80" s="544"/>
      <c r="O80" s="544"/>
      <c r="P80" s="404"/>
      <c r="Q80" s="404"/>
      <c r="R80" s="404"/>
      <c r="S80" s="404" t="e">
        <f t="shared" si="56"/>
        <v>#N/A</v>
      </c>
      <c r="T80" s="598"/>
      <c r="U80" s="404"/>
      <c r="V80" s="404"/>
      <c r="W80" s="404"/>
      <c r="X80" s="404" t="e">
        <f t="shared" si="44"/>
        <v>#N/A</v>
      </c>
      <c r="Y80" s="598"/>
      <c r="Z80" s="404"/>
      <c r="AA80" s="404"/>
      <c r="AB80" s="404"/>
      <c r="AC80" s="404" t="e">
        <f t="shared" si="46"/>
        <v>#N/A</v>
      </c>
      <c r="AD80" s="598"/>
      <c r="AE80" s="404"/>
      <c r="AF80" s="404"/>
      <c r="AG80" s="404"/>
      <c r="AH80" s="404" t="e">
        <f t="shared" si="48"/>
        <v>#N/A</v>
      </c>
      <c r="AI80" s="598"/>
      <c r="AJ80" s="404"/>
      <c r="AK80" s="404"/>
      <c r="AL80" s="404"/>
      <c r="AM80" s="404" t="e">
        <f t="shared" si="50"/>
        <v>#N/A</v>
      </c>
      <c r="AN80" s="598"/>
      <c r="AO80" s="404"/>
      <c r="AP80" s="404"/>
      <c r="AQ80" s="404"/>
      <c r="AR80" s="404" t="e">
        <f t="shared" si="52"/>
        <v>#N/A</v>
      </c>
      <c r="AS80" s="598"/>
      <c r="AT80" s="404"/>
      <c r="AU80" s="404"/>
      <c r="AV80" s="404"/>
      <c r="AW80" s="404" t="e">
        <f t="shared" si="54"/>
        <v>#N/A</v>
      </c>
      <c r="AX80" s="534"/>
    </row>
    <row r="81" spans="2:50">
      <c r="B81" s="533"/>
      <c r="C81" s="404">
        <v>15</v>
      </c>
      <c r="D81" s="226"/>
      <c r="E81" s="182"/>
      <c r="F81" s="404"/>
      <c r="G81" s="405"/>
      <c r="H81" s="599"/>
      <c r="I81" s="202"/>
      <c r="J81" s="202"/>
      <c r="K81" s="202"/>
      <c r="L81" s="589"/>
      <c r="M81" s="407" t="e">
        <f>RANK(K81, K$67:$K$81)</f>
        <v>#N/A</v>
      </c>
      <c r="N81" s="544"/>
      <c r="O81" s="544"/>
      <c r="P81" s="404"/>
      <c r="Q81" s="404"/>
      <c r="R81" s="404"/>
      <c r="S81" s="404" t="e">
        <f t="shared" si="56"/>
        <v>#N/A</v>
      </c>
      <c r="T81" s="599"/>
      <c r="U81" s="404"/>
      <c r="V81" s="404"/>
      <c r="W81" s="404"/>
      <c r="X81" s="404" t="e">
        <f t="shared" si="44"/>
        <v>#N/A</v>
      </c>
      <c r="Y81" s="599"/>
      <c r="Z81" s="404"/>
      <c r="AA81" s="404"/>
      <c r="AB81" s="404"/>
      <c r="AC81" s="404" t="e">
        <f t="shared" si="46"/>
        <v>#N/A</v>
      </c>
      <c r="AD81" s="599"/>
      <c r="AE81" s="404"/>
      <c r="AF81" s="404"/>
      <c r="AG81" s="404"/>
      <c r="AH81" s="404" t="e">
        <f t="shared" si="48"/>
        <v>#N/A</v>
      </c>
      <c r="AI81" s="599"/>
      <c r="AJ81" s="404"/>
      <c r="AK81" s="404"/>
      <c r="AL81" s="404"/>
      <c r="AM81" s="404" t="e">
        <f t="shared" si="50"/>
        <v>#N/A</v>
      </c>
      <c r="AN81" s="599"/>
      <c r="AO81" s="404"/>
      <c r="AP81" s="404"/>
      <c r="AQ81" s="404"/>
      <c r="AR81" s="404" t="e">
        <f t="shared" si="52"/>
        <v>#N/A</v>
      </c>
      <c r="AS81" s="599"/>
      <c r="AT81" s="404"/>
      <c r="AU81" s="404"/>
      <c r="AV81" s="404"/>
      <c r="AW81" s="404" t="e">
        <f t="shared" si="54"/>
        <v>#N/A</v>
      </c>
      <c r="AX81" s="534"/>
    </row>
    <row r="82" spans="2:50" ht="15.5">
      <c r="B82" s="555" t="s">
        <v>704</v>
      </c>
      <c r="C82" s="556"/>
      <c r="D82" s="556"/>
      <c r="E82" s="556"/>
      <c r="F82" s="556"/>
      <c r="G82" s="556"/>
      <c r="H82" s="557"/>
      <c r="I82" s="208"/>
      <c r="J82" s="208"/>
      <c r="K82" s="208"/>
      <c r="L82" s="208"/>
      <c r="M82" s="207"/>
      <c r="N82" s="559" t="s">
        <v>705</v>
      </c>
      <c r="O82" s="559" t="s">
        <v>706</v>
      </c>
      <c r="P82" s="554">
        <f>P62+7</f>
        <v>46014</v>
      </c>
      <c r="Q82" s="533"/>
      <c r="R82" s="533"/>
      <c r="S82" s="533"/>
      <c r="T82" s="533"/>
      <c r="U82" s="551">
        <f>P82+1</f>
        <v>46015</v>
      </c>
      <c r="V82" s="552"/>
      <c r="W82" s="552"/>
      <c r="X82" s="552"/>
      <c r="Y82" s="553"/>
      <c r="Z82" s="551">
        <f>U82+1</f>
        <v>46016</v>
      </c>
      <c r="AA82" s="552"/>
      <c r="AB82" s="552"/>
      <c r="AC82" s="552"/>
      <c r="AD82" s="553"/>
      <c r="AE82" s="551">
        <f>Z82+1</f>
        <v>46017</v>
      </c>
      <c r="AF82" s="552"/>
      <c r="AG82" s="552"/>
      <c r="AH82" s="552"/>
      <c r="AI82" s="553"/>
      <c r="AJ82" s="551">
        <f>AE82+1</f>
        <v>46018</v>
      </c>
      <c r="AK82" s="552"/>
      <c r="AL82" s="552"/>
      <c r="AM82" s="552"/>
      <c r="AN82" s="553"/>
      <c r="AO82" s="551">
        <f>AJ82+1</f>
        <v>46019</v>
      </c>
      <c r="AP82" s="552"/>
      <c r="AQ82" s="552"/>
      <c r="AR82" s="552"/>
      <c r="AS82" s="553"/>
      <c r="AT82" s="551">
        <f>AO82+1</f>
        <v>46020</v>
      </c>
      <c r="AU82" s="552"/>
      <c r="AV82" s="552"/>
      <c r="AW82" s="552"/>
      <c r="AX82" s="553"/>
    </row>
    <row r="83" spans="2:50" ht="15.5">
      <c r="B83" s="558"/>
      <c r="C83" s="558"/>
      <c r="D83" s="558"/>
      <c r="E83" s="558"/>
      <c r="F83" s="558"/>
      <c r="G83" s="558"/>
      <c r="H83" s="558"/>
      <c r="I83" s="205"/>
      <c r="J83" s="205"/>
      <c r="K83" s="205"/>
      <c r="L83" s="205"/>
      <c r="M83" s="206"/>
      <c r="N83" s="560"/>
      <c r="O83" s="560"/>
      <c r="P83" s="554" t="s">
        <v>707</v>
      </c>
      <c r="Q83" s="533"/>
      <c r="R83" s="533"/>
      <c r="S83" s="533"/>
      <c r="T83" s="533"/>
      <c r="U83" s="554" t="s">
        <v>708</v>
      </c>
      <c r="V83" s="533"/>
      <c r="W83" s="533"/>
      <c r="X83" s="533"/>
      <c r="Y83" s="533"/>
      <c r="Z83" s="554" t="s">
        <v>709</v>
      </c>
      <c r="AA83" s="533"/>
      <c r="AB83" s="533"/>
      <c r="AC83" s="533"/>
      <c r="AD83" s="533"/>
      <c r="AE83" s="554" t="s">
        <v>710</v>
      </c>
      <c r="AF83" s="533"/>
      <c r="AG83" s="533"/>
      <c r="AH83" s="533"/>
      <c r="AI83" s="533"/>
      <c r="AJ83" s="554" t="s">
        <v>711</v>
      </c>
      <c r="AK83" s="533"/>
      <c r="AL83" s="533"/>
      <c r="AM83" s="533"/>
      <c r="AN83" s="533"/>
      <c r="AO83" s="554" t="s">
        <v>712</v>
      </c>
      <c r="AP83" s="533"/>
      <c r="AQ83" s="533"/>
      <c r="AR83" s="533"/>
      <c r="AS83" s="533"/>
      <c r="AT83" s="554" t="s">
        <v>713</v>
      </c>
      <c r="AU83" s="533"/>
      <c r="AV83" s="533"/>
      <c r="AW83" s="533"/>
      <c r="AX83" s="533"/>
    </row>
    <row r="84" spans="2:50">
      <c r="B84" s="544" t="s">
        <v>649</v>
      </c>
      <c r="C84" s="544" t="s">
        <v>650</v>
      </c>
      <c r="D84" s="544"/>
      <c r="E84" s="544" t="s">
        <v>651</v>
      </c>
      <c r="F84" s="544"/>
      <c r="G84" s="544"/>
      <c r="H84" s="561" t="s">
        <v>652</v>
      </c>
      <c r="I84" s="583" t="s">
        <v>653</v>
      </c>
      <c r="J84" s="583"/>
      <c r="K84" s="583"/>
      <c r="L84" s="584" t="s">
        <v>652</v>
      </c>
      <c r="M84" s="567" t="s">
        <v>654</v>
      </c>
      <c r="N84" s="544"/>
      <c r="O84" s="544" t="s">
        <v>655</v>
      </c>
      <c r="P84" s="548" t="s">
        <v>656</v>
      </c>
      <c r="Q84" s="549"/>
      <c r="R84" s="549"/>
      <c r="S84" s="550"/>
      <c r="T84" s="544" t="s">
        <v>652</v>
      </c>
      <c r="U84" s="548" t="s">
        <v>656</v>
      </c>
      <c r="V84" s="549"/>
      <c r="W84" s="549"/>
      <c r="X84" s="550"/>
      <c r="Y84" s="544" t="s">
        <v>652</v>
      </c>
      <c r="Z84" s="548" t="s">
        <v>656</v>
      </c>
      <c r="AA84" s="549"/>
      <c r="AB84" s="549"/>
      <c r="AC84" s="550"/>
      <c r="AD84" s="544" t="s">
        <v>652</v>
      </c>
      <c r="AE84" s="548" t="s">
        <v>656</v>
      </c>
      <c r="AF84" s="549"/>
      <c r="AG84" s="549"/>
      <c r="AH84" s="550"/>
      <c r="AI84" s="544" t="s">
        <v>652</v>
      </c>
      <c r="AJ84" s="548" t="s">
        <v>656</v>
      </c>
      <c r="AK84" s="549"/>
      <c r="AL84" s="549"/>
      <c r="AM84" s="550"/>
      <c r="AN84" s="544" t="s">
        <v>652</v>
      </c>
      <c r="AO84" s="548" t="s">
        <v>656</v>
      </c>
      <c r="AP84" s="549"/>
      <c r="AQ84" s="549"/>
      <c r="AR84" s="550"/>
      <c r="AS84" s="544" t="s">
        <v>652</v>
      </c>
      <c r="AT84" s="548" t="s">
        <v>656</v>
      </c>
      <c r="AU84" s="549"/>
      <c r="AV84" s="549"/>
      <c r="AW84" s="550"/>
      <c r="AX84" s="544" t="s">
        <v>652</v>
      </c>
    </row>
    <row r="85" spans="2:50">
      <c r="B85" s="544"/>
      <c r="C85" s="544"/>
      <c r="D85" s="544"/>
      <c r="E85" s="544" t="s">
        <v>657</v>
      </c>
      <c r="F85" s="544"/>
      <c r="G85" s="544"/>
      <c r="H85" s="562"/>
      <c r="I85" s="583" t="s">
        <v>657</v>
      </c>
      <c r="J85" s="583"/>
      <c r="K85" s="583"/>
      <c r="L85" s="585"/>
      <c r="M85" s="568"/>
      <c r="N85" s="544"/>
      <c r="O85" s="544"/>
      <c r="P85" s="548" t="s">
        <v>658</v>
      </c>
      <c r="Q85" s="549"/>
      <c r="R85" s="549"/>
      <c r="S85" s="550"/>
      <c r="T85" s="544"/>
      <c r="U85" s="548" t="s">
        <v>658</v>
      </c>
      <c r="V85" s="549"/>
      <c r="W85" s="549"/>
      <c r="X85" s="550"/>
      <c r="Y85" s="544"/>
      <c r="Z85" s="548" t="s">
        <v>658</v>
      </c>
      <c r="AA85" s="549"/>
      <c r="AB85" s="549"/>
      <c r="AC85" s="550"/>
      <c r="AD85" s="544"/>
      <c r="AE85" s="548" t="s">
        <v>658</v>
      </c>
      <c r="AF85" s="549"/>
      <c r="AG85" s="549"/>
      <c r="AH85" s="550"/>
      <c r="AI85" s="544"/>
      <c r="AJ85" s="548" t="s">
        <v>658</v>
      </c>
      <c r="AK85" s="549"/>
      <c r="AL85" s="549"/>
      <c r="AM85" s="550"/>
      <c r="AN85" s="544"/>
      <c r="AO85" s="548" t="s">
        <v>658</v>
      </c>
      <c r="AP85" s="549"/>
      <c r="AQ85" s="549"/>
      <c r="AR85" s="550"/>
      <c r="AS85" s="544"/>
      <c r="AT85" s="548" t="s">
        <v>658</v>
      </c>
      <c r="AU85" s="549"/>
      <c r="AV85" s="549"/>
      <c r="AW85" s="550"/>
      <c r="AX85" s="544"/>
    </row>
    <row r="86" spans="2:50">
      <c r="B86" s="544"/>
      <c r="C86" s="544"/>
      <c r="D86" s="544"/>
      <c r="E86" s="403" t="s">
        <v>659</v>
      </c>
      <c r="F86" s="403" t="s">
        <v>660</v>
      </c>
      <c r="G86" s="403" t="s">
        <v>661</v>
      </c>
      <c r="H86" s="563"/>
      <c r="I86" s="402" t="s">
        <v>659</v>
      </c>
      <c r="J86" s="402" t="s">
        <v>660</v>
      </c>
      <c r="K86" s="402" t="s">
        <v>661</v>
      </c>
      <c r="L86" s="586"/>
      <c r="M86" s="569"/>
      <c r="N86" s="544"/>
      <c r="O86" s="544"/>
      <c r="P86" s="403" t="s">
        <v>659</v>
      </c>
      <c r="Q86" s="403" t="s">
        <v>660</v>
      </c>
      <c r="R86" s="403" t="s">
        <v>661</v>
      </c>
      <c r="S86" s="403" t="s">
        <v>654</v>
      </c>
      <c r="T86" s="544"/>
      <c r="U86" s="403" t="s">
        <v>659</v>
      </c>
      <c r="V86" s="403" t="s">
        <v>660</v>
      </c>
      <c r="W86" s="403" t="s">
        <v>661</v>
      </c>
      <c r="X86" s="403" t="s">
        <v>654</v>
      </c>
      <c r="Y86" s="544"/>
      <c r="Z86" s="403" t="s">
        <v>659</v>
      </c>
      <c r="AA86" s="403" t="s">
        <v>660</v>
      </c>
      <c r="AB86" s="403" t="s">
        <v>661</v>
      </c>
      <c r="AC86" s="403" t="s">
        <v>654</v>
      </c>
      <c r="AD86" s="544"/>
      <c r="AE86" s="403" t="s">
        <v>659</v>
      </c>
      <c r="AF86" s="403" t="s">
        <v>660</v>
      </c>
      <c r="AG86" s="403" t="s">
        <v>661</v>
      </c>
      <c r="AH86" s="403" t="s">
        <v>654</v>
      </c>
      <c r="AI86" s="544"/>
      <c r="AJ86" s="403" t="s">
        <v>659</v>
      </c>
      <c r="AK86" s="403" t="s">
        <v>660</v>
      </c>
      <c r="AL86" s="403" t="s">
        <v>661</v>
      </c>
      <c r="AM86" s="403" t="s">
        <v>654</v>
      </c>
      <c r="AN86" s="544"/>
      <c r="AO86" s="403" t="s">
        <v>659</v>
      </c>
      <c r="AP86" s="403" t="s">
        <v>660</v>
      </c>
      <c r="AQ86" s="403" t="s">
        <v>661</v>
      </c>
      <c r="AR86" s="403" t="s">
        <v>654</v>
      </c>
      <c r="AS86" s="544"/>
      <c r="AT86" s="403" t="s">
        <v>659</v>
      </c>
      <c r="AU86" s="403" t="s">
        <v>660</v>
      </c>
      <c r="AV86" s="403" t="s">
        <v>661</v>
      </c>
      <c r="AW86" s="403" t="s">
        <v>654</v>
      </c>
      <c r="AX86" s="544"/>
    </row>
    <row r="87" spans="2:50">
      <c r="B87" s="544" t="s">
        <v>793</v>
      </c>
      <c r="C87" s="404">
        <v>1</v>
      </c>
      <c r="D87" s="226" t="s">
        <v>394</v>
      </c>
      <c r="E87" s="182">
        <v>20</v>
      </c>
      <c r="F87" s="404">
        <v>2400</v>
      </c>
      <c r="G87" s="405">
        <v>120</v>
      </c>
      <c r="H87" s="597">
        <f>AVERAGE(G87:G101)</f>
        <v>144.76</v>
      </c>
      <c r="I87" s="408">
        <f>AVERAGE(P87,U87,Z87,AE87,AJ87,AO87,AT87)</f>
        <v>19</v>
      </c>
      <c r="J87" s="408">
        <f>AVERAGE(Q87,V87,AA87,AF87,AK87,AP87,AU87)</f>
        <v>2232.6639845033928</v>
      </c>
      <c r="K87" s="406">
        <f>AVERAGE(R87,W87,AB87,AG87,AL87,AQ87,AV87)</f>
        <v>117.50863076333646</v>
      </c>
      <c r="L87" s="587">
        <f>IFERROR(AVERAGE(K87:K101),"-")</f>
        <v>121.3804689582707</v>
      </c>
      <c r="M87" s="407">
        <f>RANK(K87, K$87:$K$101)</f>
        <v>4</v>
      </c>
      <c r="N87" s="544"/>
      <c r="O87" s="544"/>
      <c r="P87" s="182">
        <v>19</v>
      </c>
      <c r="Q87" s="405">
        <v>2226.4137931034466</v>
      </c>
      <c r="R87" s="405">
        <v>117.17967332123403</v>
      </c>
      <c r="S87" s="404">
        <f>RANK(R87, R$87:R$101)</f>
        <v>4</v>
      </c>
      <c r="T87" s="597">
        <f>AVERAGE(R87:R101)</f>
        <v>119.76044010259997</v>
      </c>
      <c r="U87" s="182">
        <v>19</v>
      </c>
      <c r="V87" s="405">
        <v>2207.7209302325577</v>
      </c>
      <c r="W87" s="405">
        <v>116.19583843329251</v>
      </c>
      <c r="X87" s="404">
        <f t="shared" ref="X87:X101" si="57">RANK(W87, W$87:W$101)</f>
        <v>4</v>
      </c>
      <c r="Y87" s="597">
        <f t="shared" ref="Y87" si="58">AVERAGE(W87:W101)</f>
        <v>119.10420014302228</v>
      </c>
      <c r="Z87" s="182">
        <v>19</v>
      </c>
      <c r="AA87" s="405">
        <v>2234.4</v>
      </c>
      <c r="AB87" s="405">
        <v>117.60000000000001</v>
      </c>
      <c r="AC87" s="404">
        <f t="shared" ref="AC87:AC101" si="59">RANK(AB87, AB$87:AB$101)</f>
        <v>4</v>
      </c>
      <c r="AD87" s="597">
        <f t="shared" ref="AD87" si="60">AVERAGE(AB87:AB101)</f>
        <v>121.61561482892759</v>
      </c>
      <c r="AE87" s="182">
        <v>19</v>
      </c>
      <c r="AF87" s="405">
        <v>2233.6</v>
      </c>
      <c r="AG87" s="405">
        <v>117.5578947368421</v>
      </c>
      <c r="AH87" s="404">
        <f t="shared" ref="AH87:AH101" si="61">RANK(AG87, AG$87:AG$101)</f>
        <v>4</v>
      </c>
      <c r="AI87" s="597">
        <f t="shared" ref="AI87" si="62">AVERAGE(AG87:AG101)</f>
        <v>120.35577779996467</v>
      </c>
      <c r="AJ87" s="182">
        <v>19</v>
      </c>
      <c r="AK87" s="405">
        <v>2283.2307692307704</v>
      </c>
      <c r="AL87" s="405">
        <v>120.17004048583003</v>
      </c>
      <c r="AM87" s="404">
        <f t="shared" ref="AM87:AM101" si="63">RANK(AL87, AL$87:AL$101)</f>
        <v>4</v>
      </c>
      <c r="AN87" s="597">
        <f t="shared" ref="AN87" si="64">AVERAGE(AL87:AL101)</f>
        <v>123.03052536435999</v>
      </c>
      <c r="AO87" s="182">
        <v>19</v>
      </c>
      <c r="AP87" s="405">
        <v>2213.7230769230764</v>
      </c>
      <c r="AQ87" s="405">
        <v>116.51174089068823</v>
      </c>
      <c r="AR87" s="404">
        <f t="shared" ref="AR87:AR101" si="65">RANK(AQ87, AQ$87:AQ$101)</f>
        <v>4</v>
      </c>
      <c r="AS87" s="597">
        <f t="shared" ref="AS87" si="66">AVERAGE(AQ87:AQ101)</f>
        <v>122.30176902067107</v>
      </c>
      <c r="AT87" s="182">
        <v>19</v>
      </c>
      <c r="AU87" s="405">
        <v>2229.5593220338974</v>
      </c>
      <c r="AV87" s="405">
        <v>117.34522747546828</v>
      </c>
      <c r="AW87" s="404">
        <f t="shared" ref="AW87:AW101" si="67">RANK(AV87, AV$87:AV$101)</f>
        <v>4</v>
      </c>
      <c r="AX87" s="534">
        <f t="shared" ref="AX87" si="68">AVERAGE(AV87:AV101)</f>
        <v>123.49495544834915</v>
      </c>
    </row>
    <row r="88" spans="2:50">
      <c r="B88" s="533"/>
      <c r="C88" s="404">
        <v>2</v>
      </c>
      <c r="D88" s="226" t="s">
        <v>395</v>
      </c>
      <c r="E88" s="182">
        <v>18</v>
      </c>
      <c r="F88" s="404">
        <v>3000</v>
      </c>
      <c r="G88" s="405">
        <v>166.7</v>
      </c>
      <c r="H88" s="598"/>
      <c r="I88" s="408">
        <f t="shared" ref="I88:K91" si="69">AVERAGE(P88,U88,Z88,AE88,AJ88,AO88,AT88)</f>
        <v>19</v>
      </c>
      <c r="J88" s="408">
        <f t="shared" si="69"/>
        <v>2471.169867947181</v>
      </c>
      <c r="K88" s="406">
        <f t="shared" si="69"/>
        <v>130.06157199722006</v>
      </c>
      <c r="L88" s="588"/>
      <c r="M88" s="407">
        <f>RANK(K88, K$87:$K$101)</f>
        <v>2</v>
      </c>
      <c r="N88" s="544"/>
      <c r="O88" s="544"/>
      <c r="P88" s="404">
        <v>19</v>
      </c>
      <c r="Q88" s="405">
        <v>2341.285714285716</v>
      </c>
      <c r="R88" s="405">
        <v>123.22556390977452</v>
      </c>
      <c r="S88" s="404">
        <f t="shared" ref="S88:S101" si="70">RANK(R88, R$87:R$101)</f>
        <v>3</v>
      </c>
      <c r="T88" s="598"/>
      <c r="U88" s="404">
        <v>19</v>
      </c>
      <c r="V88" s="405">
        <v>2423.6470588235325</v>
      </c>
      <c r="W88" s="405">
        <v>127.56037151702803</v>
      </c>
      <c r="X88" s="404">
        <f t="shared" si="57"/>
        <v>2</v>
      </c>
      <c r="Y88" s="598"/>
      <c r="Z88" s="404">
        <v>19</v>
      </c>
      <c r="AA88" s="405">
        <v>2555.4705882352978</v>
      </c>
      <c r="AB88" s="405">
        <v>134.49845201238409</v>
      </c>
      <c r="AC88" s="404">
        <f t="shared" si="59"/>
        <v>1</v>
      </c>
      <c r="AD88" s="598"/>
      <c r="AE88" s="404">
        <v>19</v>
      </c>
      <c r="AF88" s="405">
        <v>2398.285714285716</v>
      </c>
      <c r="AG88" s="405">
        <v>126.22556390977452</v>
      </c>
      <c r="AH88" s="404">
        <f t="shared" si="61"/>
        <v>3</v>
      </c>
      <c r="AI88" s="598"/>
      <c r="AJ88" s="404">
        <v>19</v>
      </c>
      <c r="AK88" s="405">
        <v>2568.0000000000014</v>
      </c>
      <c r="AL88" s="405">
        <v>135.15789473684217</v>
      </c>
      <c r="AM88" s="404">
        <f t="shared" si="63"/>
        <v>1</v>
      </c>
      <c r="AN88" s="598"/>
      <c r="AO88" s="404">
        <v>19</v>
      </c>
      <c r="AP88" s="405">
        <v>2476.5000000000018</v>
      </c>
      <c r="AQ88" s="405">
        <v>130.342105263158</v>
      </c>
      <c r="AR88" s="404">
        <f t="shared" si="65"/>
        <v>3</v>
      </c>
      <c r="AS88" s="598"/>
      <c r="AT88" s="404">
        <v>19</v>
      </c>
      <c r="AU88" s="405">
        <v>2535.0000000000018</v>
      </c>
      <c r="AV88" s="405">
        <v>133.42105263157904</v>
      </c>
      <c r="AW88" s="404">
        <f t="shared" si="67"/>
        <v>2</v>
      </c>
      <c r="AX88" s="534"/>
    </row>
    <row r="89" spans="2:50">
      <c r="B89" s="533"/>
      <c r="C89" s="404">
        <v>3</v>
      </c>
      <c r="D89" s="226" t="s">
        <v>396</v>
      </c>
      <c r="E89" s="182">
        <v>18</v>
      </c>
      <c r="F89" s="404">
        <v>3000</v>
      </c>
      <c r="G89" s="405">
        <v>166.7</v>
      </c>
      <c r="H89" s="598"/>
      <c r="I89" s="408">
        <f t="shared" si="69"/>
        <v>19.142857142857142</v>
      </c>
      <c r="J89" s="408">
        <f t="shared" si="69"/>
        <v>2466.0528786622745</v>
      </c>
      <c r="K89" s="406">
        <f t="shared" si="69"/>
        <v>128.95102325311959</v>
      </c>
      <c r="L89" s="588"/>
      <c r="M89" s="407">
        <f>RANK(K89, K$87:$K$101)</f>
        <v>3</v>
      </c>
      <c r="N89" s="544"/>
      <c r="O89" s="544"/>
      <c r="P89" s="404">
        <v>19</v>
      </c>
      <c r="Q89" s="405">
        <v>2450.5714285714289</v>
      </c>
      <c r="R89" s="405">
        <v>128.97744360902257</v>
      </c>
      <c r="S89" s="404">
        <f t="shared" si="70"/>
        <v>1</v>
      </c>
      <c r="T89" s="598"/>
      <c r="U89" s="404">
        <v>20</v>
      </c>
      <c r="V89" s="405">
        <v>2485.5555555555566</v>
      </c>
      <c r="W89" s="405">
        <v>124.27777777777783</v>
      </c>
      <c r="X89" s="404">
        <f t="shared" si="57"/>
        <v>3</v>
      </c>
      <c r="Y89" s="598"/>
      <c r="Z89" s="404">
        <v>20</v>
      </c>
      <c r="AA89" s="405">
        <v>2470.0000000000009</v>
      </c>
      <c r="AB89" s="405">
        <v>123.50000000000004</v>
      </c>
      <c r="AC89" s="404">
        <f t="shared" si="59"/>
        <v>3</v>
      </c>
      <c r="AD89" s="598"/>
      <c r="AE89" s="404">
        <v>19</v>
      </c>
      <c r="AF89" s="405">
        <v>2439.2727272727252</v>
      </c>
      <c r="AG89" s="405">
        <v>128.38277511961712</v>
      </c>
      <c r="AH89" s="404">
        <f t="shared" si="61"/>
        <v>2</v>
      </c>
      <c r="AI89" s="598"/>
      <c r="AJ89" s="404">
        <v>19</v>
      </c>
      <c r="AK89" s="405">
        <v>2474.5454545454545</v>
      </c>
      <c r="AL89" s="405">
        <v>130.23923444976077</v>
      </c>
      <c r="AM89" s="404">
        <f t="shared" si="63"/>
        <v>3</v>
      </c>
      <c r="AN89" s="598"/>
      <c r="AO89" s="404">
        <v>19</v>
      </c>
      <c r="AP89" s="405">
        <v>2496.3380281690147</v>
      </c>
      <c r="AQ89" s="405">
        <v>131.38621200889551</v>
      </c>
      <c r="AR89" s="404">
        <f t="shared" si="65"/>
        <v>2</v>
      </c>
      <c r="AS89" s="598"/>
      <c r="AT89" s="404">
        <v>18</v>
      </c>
      <c r="AU89" s="405">
        <v>2446.086956521739</v>
      </c>
      <c r="AV89" s="405">
        <v>135.89371980676327</v>
      </c>
      <c r="AW89" s="404">
        <f t="shared" si="67"/>
        <v>1</v>
      </c>
      <c r="AX89" s="534"/>
    </row>
    <row r="90" spans="2:50">
      <c r="B90" s="533"/>
      <c r="C90" s="404">
        <v>4</v>
      </c>
      <c r="D90" s="226" t="s">
        <v>397</v>
      </c>
      <c r="E90" s="182">
        <v>19</v>
      </c>
      <c r="F90" s="404">
        <v>3000</v>
      </c>
      <c r="G90" s="405">
        <v>157.9</v>
      </c>
      <c r="H90" s="598"/>
      <c r="I90" s="408">
        <f t="shared" si="69"/>
        <v>19</v>
      </c>
      <c r="J90" s="408">
        <f t="shared" si="69"/>
        <v>2498.139803227416</v>
      </c>
      <c r="K90" s="406">
        <f t="shared" si="69"/>
        <v>131.48104227512715</v>
      </c>
      <c r="L90" s="588"/>
      <c r="M90" s="407">
        <f>RANK(K90, K$87:$K$101)</f>
        <v>1</v>
      </c>
      <c r="N90" s="544"/>
      <c r="O90" s="544"/>
      <c r="P90" s="404">
        <v>19</v>
      </c>
      <c r="Q90" s="405">
        <v>2420.9708737864071</v>
      </c>
      <c r="R90" s="405">
        <v>127.41951967296879</v>
      </c>
      <c r="S90" s="404">
        <f t="shared" si="70"/>
        <v>2</v>
      </c>
      <c r="T90" s="598"/>
      <c r="U90" s="404">
        <v>19</v>
      </c>
      <c r="V90" s="405">
        <v>2472.4675324675336</v>
      </c>
      <c r="W90" s="405">
        <v>130.1298701298702</v>
      </c>
      <c r="X90" s="404">
        <f t="shared" si="57"/>
        <v>1</v>
      </c>
      <c r="Y90" s="598"/>
      <c r="Z90" s="404">
        <v>19</v>
      </c>
      <c r="AA90" s="405">
        <v>2553.8461538461556</v>
      </c>
      <c r="AB90" s="405">
        <v>134.41295546558715</v>
      </c>
      <c r="AC90" s="404">
        <f t="shared" si="59"/>
        <v>2</v>
      </c>
      <c r="AD90" s="598"/>
      <c r="AE90" s="404">
        <v>19</v>
      </c>
      <c r="AF90" s="405">
        <v>2487.6404494382023</v>
      </c>
      <c r="AG90" s="405">
        <v>130.9284447072738</v>
      </c>
      <c r="AH90" s="404">
        <f t="shared" si="61"/>
        <v>1</v>
      </c>
      <c r="AI90" s="598"/>
      <c r="AJ90" s="404">
        <v>19</v>
      </c>
      <c r="AK90" s="405">
        <v>2507.8787878787884</v>
      </c>
      <c r="AL90" s="405">
        <v>131.99362041467307</v>
      </c>
      <c r="AM90" s="404">
        <f t="shared" si="63"/>
        <v>2</v>
      </c>
      <c r="AN90" s="598"/>
      <c r="AO90" s="404">
        <v>19</v>
      </c>
      <c r="AP90" s="405">
        <v>2527.6363636363635</v>
      </c>
      <c r="AQ90" s="405">
        <v>133.03349282296651</v>
      </c>
      <c r="AR90" s="404">
        <f t="shared" si="65"/>
        <v>1</v>
      </c>
      <c r="AS90" s="598"/>
      <c r="AT90" s="404">
        <v>19</v>
      </c>
      <c r="AU90" s="405">
        <v>2516.538461538461</v>
      </c>
      <c r="AV90" s="405">
        <v>132.44939271255058</v>
      </c>
      <c r="AW90" s="404">
        <f t="shared" si="67"/>
        <v>3</v>
      </c>
      <c r="AX90" s="534"/>
    </row>
    <row r="91" spans="2:50">
      <c r="B91" s="533"/>
      <c r="C91" s="404">
        <v>5</v>
      </c>
      <c r="D91" s="226" t="s">
        <v>582</v>
      </c>
      <c r="E91" s="182">
        <v>20</v>
      </c>
      <c r="F91" s="404">
        <v>2250</v>
      </c>
      <c r="G91" s="405">
        <v>112.5</v>
      </c>
      <c r="H91" s="598"/>
      <c r="I91" s="408">
        <f t="shared" si="69"/>
        <v>20</v>
      </c>
      <c r="J91" s="408">
        <f t="shared" si="69"/>
        <v>1978.0015300510022</v>
      </c>
      <c r="K91" s="406">
        <f t="shared" si="69"/>
        <v>98.900076502550135</v>
      </c>
      <c r="L91" s="588"/>
      <c r="M91" s="407">
        <f>RANK(K91, K$87:$K$101)</f>
        <v>5</v>
      </c>
      <c r="N91" s="544"/>
      <c r="O91" s="544"/>
      <c r="P91" s="404">
        <v>20</v>
      </c>
      <c r="Q91" s="405">
        <v>2039.9999999999991</v>
      </c>
      <c r="R91" s="405">
        <v>101.99999999999996</v>
      </c>
      <c r="S91" s="404">
        <f t="shared" si="70"/>
        <v>5</v>
      </c>
      <c r="T91" s="598"/>
      <c r="U91" s="404">
        <v>20</v>
      </c>
      <c r="V91" s="405">
        <v>1947.1428571428564</v>
      </c>
      <c r="W91" s="405">
        <v>97.357142857142819</v>
      </c>
      <c r="X91" s="404">
        <f t="shared" si="57"/>
        <v>5</v>
      </c>
      <c r="Y91" s="598"/>
      <c r="Z91" s="404">
        <v>20</v>
      </c>
      <c r="AA91" s="405">
        <v>1961.3333333333335</v>
      </c>
      <c r="AB91" s="405">
        <v>98.066666666666677</v>
      </c>
      <c r="AC91" s="404">
        <f t="shared" si="59"/>
        <v>5</v>
      </c>
      <c r="AD91" s="598"/>
      <c r="AE91" s="404">
        <v>20</v>
      </c>
      <c r="AF91" s="405">
        <v>1973.6842105263165</v>
      </c>
      <c r="AG91" s="405">
        <v>98.684210526315823</v>
      </c>
      <c r="AH91" s="404">
        <f t="shared" si="61"/>
        <v>5</v>
      </c>
      <c r="AI91" s="598"/>
      <c r="AJ91" s="404">
        <v>20</v>
      </c>
      <c r="AK91" s="405">
        <v>1951.836734693878</v>
      </c>
      <c r="AL91" s="405">
        <v>97.591836734693899</v>
      </c>
      <c r="AM91" s="404">
        <f t="shared" si="63"/>
        <v>5</v>
      </c>
      <c r="AN91" s="598"/>
      <c r="AO91" s="404">
        <v>20</v>
      </c>
      <c r="AP91" s="405">
        <v>2004.7058823529405</v>
      </c>
      <c r="AQ91" s="405">
        <v>100.23529411764703</v>
      </c>
      <c r="AR91" s="404">
        <f t="shared" si="65"/>
        <v>5</v>
      </c>
      <c r="AS91" s="598"/>
      <c r="AT91" s="404">
        <v>20</v>
      </c>
      <c r="AU91" s="405">
        <v>1967.3076923076919</v>
      </c>
      <c r="AV91" s="405">
        <v>98.365384615384599</v>
      </c>
      <c r="AW91" s="404">
        <f t="shared" si="67"/>
        <v>5</v>
      </c>
      <c r="AX91" s="534"/>
    </row>
    <row r="92" spans="2:50">
      <c r="B92" s="533"/>
      <c r="C92" s="404">
        <v>6</v>
      </c>
      <c r="D92" s="226"/>
      <c r="E92" s="182"/>
      <c r="F92" s="404"/>
      <c r="G92" s="405"/>
      <c r="H92" s="598"/>
      <c r="I92" s="408"/>
      <c r="J92" s="408"/>
      <c r="K92" s="406"/>
      <c r="L92" s="588"/>
      <c r="M92" s="407" t="e">
        <f>RANK(K92, K$87:$K$101)</f>
        <v>#N/A</v>
      </c>
      <c r="N92" s="544"/>
      <c r="O92" s="544"/>
      <c r="P92" s="404"/>
      <c r="Q92" s="405"/>
      <c r="R92" s="405"/>
      <c r="S92" s="404" t="e">
        <f t="shared" si="70"/>
        <v>#N/A</v>
      </c>
      <c r="T92" s="598"/>
      <c r="U92" s="404"/>
      <c r="V92" s="405"/>
      <c r="W92" s="405"/>
      <c r="X92" s="404" t="e">
        <f t="shared" si="57"/>
        <v>#N/A</v>
      </c>
      <c r="Y92" s="598"/>
      <c r="Z92" s="404"/>
      <c r="AA92" s="405"/>
      <c r="AB92" s="405"/>
      <c r="AC92" s="404" t="e">
        <f t="shared" si="59"/>
        <v>#N/A</v>
      </c>
      <c r="AD92" s="598"/>
      <c r="AE92" s="404"/>
      <c r="AF92" s="405"/>
      <c r="AG92" s="405"/>
      <c r="AH92" s="404" t="e">
        <f t="shared" si="61"/>
        <v>#N/A</v>
      </c>
      <c r="AI92" s="598"/>
      <c r="AJ92" s="404"/>
      <c r="AK92" s="405"/>
      <c r="AL92" s="405"/>
      <c r="AM92" s="404" t="e">
        <f t="shared" si="63"/>
        <v>#N/A</v>
      </c>
      <c r="AN92" s="598"/>
      <c r="AO92" s="404"/>
      <c r="AP92" s="405"/>
      <c r="AQ92" s="405"/>
      <c r="AR92" s="404" t="e">
        <f t="shared" si="65"/>
        <v>#N/A</v>
      </c>
      <c r="AS92" s="598"/>
      <c r="AT92" s="404"/>
      <c r="AU92" s="405"/>
      <c r="AV92" s="405"/>
      <c r="AW92" s="404" t="e">
        <f t="shared" si="67"/>
        <v>#N/A</v>
      </c>
      <c r="AX92" s="534"/>
    </row>
    <row r="93" spans="2:50">
      <c r="B93" s="533"/>
      <c r="C93" s="404">
        <v>7</v>
      </c>
      <c r="D93" s="226"/>
      <c r="E93" s="182"/>
      <c r="F93" s="404"/>
      <c r="G93" s="405"/>
      <c r="H93" s="598"/>
      <c r="I93" s="408"/>
      <c r="J93" s="408"/>
      <c r="K93" s="406"/>
      <c r="L93" s="588"/>
      <c r="M93" s="407" t="e">
        <f>RANK(K93, K$87:$K$101)</f>
        <v>#N/A</v>
      </c>
      <c r="N93" s="544"/>
      <c r="O93" s="544"/>
      <c r="P93" s="404"/>
      <c r="Q93" s="405"/>
      <c r="R93" s="405"/>
      <c r="S93" s="404" t="e">
        <f t="shared" si="70"/>
        <v>#N/A</v>
      </c>
      <c r="T93" s="598"/>
      <c r="U93" s="404"/>
      <c r="V93" s="405"/>
      <c r="W93" s="405"/>
      <c r="X93" s="404" t="e">
        <f t="shared" si="57"/>
        <v>#N/A</v>
      </c>
      <c r="Y93" s="598"/>
      <c r="Z93" s="404"/>
      <c r="AA93" s="405"/>
      <c r="AB93" s="405"/>
      <c r="AC93" s="404" t="e">
        <f t="shared" si="59"/>
        <v>#N/A</v>
      </c>
      <c r="AD93" s="598"/>
      <c r="AE93" s="404"/>
      <c r="AF93" s="405"/>
      <c r="AG93" s="405"/>
      <c r="AH93" s="404" t="e">
        <f t="shared" si="61"/>
        <v>#N/A</v>
      </c>
      <c r="AI93" s="598"/>
      <c r="AJ93" s="404"/>
      <c r="AK93" s="405"/>
      <c r="AL93" s="405"/>
      <c r="AM93" s="404" t="e">
        <f t="shared" si="63"/>
        <v>#N/A</v>
      </c>
      <c r="AN93" s="598"/>
      <c r="AO93" s="404"/>
      <c r="AP93" s="405"/>
      <c r="AQ93" s="405"/>
      <c r="AR93" s="404" t="e">
        <f t="shared" si="65"/>
        <v>#N/A</v>
      </c>
      <c r="AS93" s="598"/>
      <c r="AT93" s="404"/>
      <c r="AU93" s="405"/>
      <c r="AV93" s="405"/>
      <c r="AW93" s="404" t="e">
        <f t="shared" si="67"/>
        <v>#N/A</v>
      </c>
      <c r="AX93" s="534"/>
    </row>
    <row r="94" spans="2:50">
      <c r="B94" s="533"/>
      <c r="C94" s="404">
        <v>8</v>
      </c>
      <c r="D94" s="226"/>
      <c r="E94" s="182"/>
      <c r="F94" s="404"/>
      <c r="G94" s="405"/>
      <c r="H94" s="598"/>
      <c r="I94" s="408"/>
      <c r="J94" s="408"/>
      <c r="K94" s="406"/>
      <c r="L94" s="588"/>
      <c r="M94" s="407" t="e">
        <f>RANK(K94, K$87:$K$101)</f>
        <v>#N/A</v>
      </c>
      <c r="N94" s="544"/>
      <c r="O94" s="544"/>
      <c r="P94" s="404"/>
      <c r="Q94" s="405"/>
      <c r="R94" s="405"/>
      <c r="S94" s="404" t="e">
        <f t="shared" si="70"/>
        <v>#N/A</v>
      </c>
      <c r="T94" s="598"/>
      <c r="U94" s="404"/>
      <c r="V94" s="405"/>
      <c r="W94" s="405"/>
      <c r="X94" s="404" t="e">
        <f t="shared" si="57"/>
        <v>#N/A</v>
      </c>
      <c r="Y94" s="598"/>
      <c r="Z94" s="404"/>
      <c r="AA94" s="405"/>
      <c r="AB94" s="405"/>
      <c r="AC94" s="404" t="e">
        <f t="shared" si="59"/>
        <v>#N/A</v>
      </c>
      <c r="AD94" s="598"/>
      <c r="AE94" s="404"/>
      <c r="AF94" s="405"/>
      <c r="AG94" s="405"/>
      <c r="AH94" s="404" t="e">
        <f t="shared" si="61"/>
        <v>#N/A</v>
      </c>
      <c r="AI94" s="598"/>
      <c r="AJ94" s="404"/>
      <c r="AK94" s="405"/>
      <c r="AL94" s="405"/>
      <c r="AM94" s="404" t="e">
        <f t="shared" si="63"/>
        <v>#N/A</v>
      </c>
      <c r="AN94" s="598"/>
      <c r="AO94" s="404"/>
      <c r="AP94" s="405"/>
      <c r="AQ94" s="405"/>
      <c r="AR94" s="404" t="e">
        <f t="shared" si="65"/>
        <v>#N/A</v>
      </c>
      <c r="AS94" s="598"/>
      <c r="AT94" s="404"/>
      <c r="AU94" s="405"/>
      <c r="AV94" s="405"/>
      <c r="AW94" s="404" t="e">
        <f t="shared" si="67"/>
        <v>#N/A</v>
      </c>
      <c r="AX94" s="534"/>
    </row>
    <row r="95" spans="2:50">
      <c r="B95" s="533"/>
      <c r="C95" s="404">
        <v>9</v>
      </c>
      <c r="D95" s="226"/>
      <c r="E95" s="182"/>
      <c r="F95" s="404"/>
      <c r="G95" s="405"/>
      <c r="H95" s="598"/>
      <c r="I95" s="408"/>
      <c r="J95" s="408"/>
      <c r="K95" s="406"/>
      <c r="L95" s="588"/>
      <c r="M95" s="407" t="e">
        <f>RANK(K95, K$87:$K$101)</f>
        <v>#N/A</v>
      </c>
      <c r="N95" s="544"/>
      <c r="O95" s="544"/>
      <c r="P95" s="404"/>
      <c r="Q95" s="405"/>
      <c r="R95" s="405"/>
      <c r="S95" s="404" t="e">
        <f t="shared" si="70"/>
        <v>#N/A</v>
      </c>
      <c r="T95" s="598"/>
      <c r="U95" s="404"/>
      <c r="V95" s="405"/>
      <c r="W95" s="405"/>
      <c r="X95" s="404" t="e">
        <f t="shared" si="57"/>
        <v>#N/A</v>
      </c>
      <c r="Y95" s="598"/>
      <c r="Z95" s="404"/>
      <c r="AA95" s="405"/>
      <c r="AB95" s="405"/>
      <c r="AC95" s="404" t="e">
        <f t="shared" si="59"/>
        <v>#N/A</v>
      </c>
      <c r="AD95" s="598"/>
      <c r="AE95" s="404"/>
      <c r="AF95" s="405"/>
      <c r="AG95" s="405"/>
      <c r="AH95" s="404" t="e">
        <f t="shared" si="61"/>
        <v>#N/A</v>
      </c>
      <c r="AI95" s="598"/>
      <c r="AJ95" s="404"/>
      <c r="AK95" s="405"/>
      <c r="AL95" s="405"/>
      <c r="AM95" s="404" t="e">
        <f t="shared" si="63"/>
        <v>#N/A</v>
      </c>
      <c r="AN95" s="598"/>
      <c r="AO95" s="404"/>
      <c r="AP95" s="405"/>
      <c r="AQ95" s="405"/>
      <c r="AR95" s="404" t="e">
        <f t="shared" si="65"/>
        <v>#N/A</v>
      </c>
      <c r="AS95" s="598"/>
      <c r="AT95" s="404"/>
      <c r="AU95" s="405"/>
      <c r="AV95" s="405"/>
      <c r="AW95" s="404" t="e">
        <f t="shared" si="67"/>
        <v>#N/A</v>
      </c>
      <c r="AX95" s="534"/>
    </row>
    <row r="96" spans="2:50">
      <c r="B96" s="533"/>
      <c r="C96" s="404">
        <v>10</v>
      </c>
      <c r="D96" s="226"/>
      <c r="E96" s="182"/>
      <c r="F96" s="404"/>
      <c r="G96" s="405"/>
      <c r="H96" s="598"/>
      <c r="I96" s="408"/>
      <c r="J96" s="408"/>
      <c r="K96" s="406"/>
      <c r="L96" s="588"/>
      <c r="M96" s="407" t="e">
        <f>RANK(K96, K$87:$K$101)</f>
        <v>#N/A</v>
      </c>
      <c r="N96" s="544"/>
      <c r="O96" s="544"/>
      <c r="P96" s="404"/>
      <c r="Q96" s="404"/>
      <c r="R96" s="405"/>
      <c r="S96" s="404" t="e">
        <f t="shared" si="70"/>
        <v>#N/A</v>
      </c>
      <c r="T96" s="598"/>
      <c r="U96" s="404"/>
      <c r="V96" s="404"/>
      <c r="W96" s="405"/>
      <c r="X96" s="404" t="e">
        <f t="shared" si="57"/>
        <v>#N/A</v>
      </c>
      <c r="Y96" s="598"/>
      <c r="Z96" s="404"/>
      <c r="AA96" s="404"/>
      <c r="AB96" s="405"/>
      <c r="AC96" s="404" t="e">
        <f t="shared" si="59"/>
        <v>#N/A</v>
      </c>
      <c r="AD96" s="598"/>
      <c r="AE96" s="404"/>
      <c r="AF96" s="404"/>
      <c r="AG96" s="405"/>
      <c r="AH96" s="404" t="e">
        <f t="shared" si="61"/>
        <v>#N/A</v>
      </c>
      <c r="AI96" s="598"/>
      <c r="AJ96" s="404"/>
      <c r="AK96" s="404"/>
      <c r="AL96" s="405"/>
      <c r="AM96" s="404" t="e">
        <f t="shared" si="63"/>
        <v>#N/A</v>
      </c>
      <c r="AN96" s="598"/>
      <c r="AO96" s="404"/>
      <c r="AP96" s="404"/>
      <c r="AQ96" s="405"/>
      <c r="AR96" s="404" t="e">
        <f t="shared" si="65"/>
        <v>#N/A</v>
      </c>
      <c r="AS96" s="598"/>
      <c r="AT96" s="404"/>
      <c r="AU96" s="404"/>
      <c r="AV96" s="405"/>
      <c r="AW96" s="404" t="e">
        <f t="shared" si="67"/>
        <v>#N/A</v>
      </c>
      <c r="AX96" s="534"/>
    </row>
    <row r="97" spans="2:50">
      <c r="B97" s="533"/>
      <c r="C97" s="404">
        <v>11</v>
      </c>
      <c r="D97" s="226"/>
      <c r="E97" s="182"/>
      <c r="F97" s="404"/>
      <c r="G97" s="405"/>
      <c r="H97" s="598"/>
      <c r="I97" s="202"/>
      <c r="J97" s="202"/>
      <c r="K97" s="202"/>
      <c r="L97" s="588"/>
      <c r="M97" s="407" t="e">
        <f>RANK(K97, K$87:$K$101)</f>
        <v>#N/A</v>
      </c>
      <c r="N97" s="544"/>
      <c r="O97" s="544"/>
      <c r="P97" s="404"/>
      <c r="Q97" s="404"/>
      <c r="R97" s="404"/>
      <c r="S97" s="404" t="e">
        <f t="shared" si="70"/>
        <v>#N/A</v>
      </c>
      <c r="T97" s="598"/>
      <c r="U97" s="404"/>
      <c r="V97" s="404"/>
      <c r="W97" s="404"/>
      <c r="X97" s="404" t="e">
        <f t="shared" si="57"/>
        <v>#N/A</v>
      </c>
      <c r="Y97" s="598"/>
      <c r="Z97" s="404"/>
      <c r="AA97" s="404"/>
      <c r="AB97" s="404"/>
      <c r="AC97" s="404" t="e">
        <f t="shared" si="59"/>
        <v>#N/A</v>
      </c>
      <c r="AD97" s="598"/>
      <c r="AE97" s="404"/>
      <c r="AF97" s="404"/>
      <c r="AG97" s="404"/>
      <c r="AH97" s="404" t="e">
        <f t="shared" si="61"/>
        <v>#N/A</v>
      </c>
      <c r="AI97" s="598"/>
      <c r="AJ97" s="404"/>
      <c r="AK97" s="404"/>
      <c r="AL97" s="404"/>
      <c r="AM97" s="404" t="e">
        <f t="shared" si="63"/>
        <v>#N/A</v>
      </c>
      <c r="AN97" s="598"/>
      <c r="AO97" s="404"/>
      <c r="AP97" s="404"/>
      <c r="AQ97" s="404"/>
      <c r="AR97" s="404" t="e">
        <f t="shared" si="65"/>
        <v>#N/A</v>
      </c>
      <c r="AS97" s="598"/>
      <c r="AT97" s="404"/>
      <c r="AU97" s="404"/>
      <c r="AV97" s="404"/>
      <c r="AW97" s="404" t="e">
        <f t="shared" si="67"/>
        <v>#N/A</v>
      </c>
      <c r="AX97" s="534"/>
    </row>
    <row r="98" spans="2:50">
      <c r="B98" s="533"/>
      <c r="C98" s="404">
        <v>12</v>
      </c>
      <c r="D98" s="226"/>
      <c r="E98" s="182"/>
      <c r="F98" s="404"/>
      <c r="G98" s="405"/>
      <c r="H98" s="598"/>
      <c r="I98" s="202"/>
      <c r="J98" s="202"/>
      <c r="K98" s="202"/>
      <c r="L98" s="588"/>
      <c r="M98" s="407" t="e">
        <f>RANK(K98, K$87:$K$101)</f>
        <v>#N/A</v>
      </c>
      <c r="N98" s="544"/>
      <c r="O98" s="544"/>
      <c r="P98" s="404"/>
      <c r="Q98" s="404"/>
      <c r="R98" s="404"/>
      <c r="S98" s="404" t="e">
        <f t="shared" si="70"/>
        <v>#N/A</v>
      </c>
      <c r="T98" s="598"/>
      <c r="U98" s="404"/>
      <c r="V98" s="404"/>
      <c r="W98" s="404"/>
      <c r="X98" s="404" t="e">
        <f t="shared" si="57"/>
        <v>#N/A</v>
      </c>
      <c r="Y98" s="598"/>
      <c r="Z98" s="404"/>
      <c r="AA98" s="404"/>
      <c r="AB98" s="404"/>
      <c r="AC98" s="404" t="e">
        <f t="shared" si="59"/>
        <v>#N/A</v>
      </c>
      <c r="AD98" s="598"/>
      <c r="AE98" s="404"/>
      <c r="AF98" s="404"/>
      <c r="AG98" s="404"/>
      <c r="AH98" s="404" t="e">
        <f t="shared" si="61"/>
        <v>#N/A</v>
      </c>
      <c r="AI98" s="598"/>
      <c r="AJ98" s="404"/>
      <c r="AK98" s="404"/>
      <c r="AL98" s="404"/>
      <c r="AM98" s="404" t="e">
        <f t="shared" si="63"/>
        <v>#N/A</v>
      </c>
      <c r="AN98" s="598"/>
      <c r="AO98" s="404"/>
      <c r="AP98" s="404"/>
      <c r="AQ98" s="404"/>
      <c r="AR98" s="404" t="e">
        <f t="shared" si="65"/>
        <v>#N/A</v>
      </c>
      <c r="AS98" s="598"/>
      <c r="AT98" s="404"/>
      <c r="AU98" s="404"/>
      <c r="AV98" s="404"/>
      <c r="AW98" s="404" t="e">
        <f t="shared" si="67"/>
        <v>#N/A</v>
      </c>
      <c r="AX98" s="534"/>
    </row>
    <row r="99" spans="2:50">
      <c r="B99" s="533"/>
      <c r="C99" s="404">
        <v>13</v>
      </c>
      <c r="D99" s="226"/>
      <c r="E99" s="182"/>
      <c r="F99" s="404"/>
      <c r="G99" s="405"/>
      <c r="H99" s="598"/>
      <c r="I99" s="202"/>
      <c r="J99" s="202"/>
      <c r="K99" s="202"/>
      <c r="L99" s="588"/>
      <c r="M99" s="407" t="e">
        <f>RANK(K99, K$87:$K$101)</f>
        <v>#N/A</v>
      </c>
      <c r="N99" s="544"/>
      <c r="O99" s="544"/>
      <c r="P99" s="404"/>
      <c r="Q99" s="404"/>
      <c r="R99" s="404"/>
      <c r="S99" s="404" t="e">
        <f t="shared" si="70"/>
        <v>#N/A</v>
      </c>
      <c r="T99" s="598"/>
      <c r="U99" s="404"/>
      <c r="V99" s="404"/>
      <c r="W99" s="404"/>
      <c r="X99" s="404" t="e">
        <f t="shared" si="57"/>
        <v>#N/A</v>
      </c>
      <c r="Y99" s="598"/>
      <c r="Z99" s="404"/>
      <c r="AA99" s="404"/>
      <c r="AB99" s="404"/>
      <c r="AC99" s="404" t="e">
        <f t="shared" si="59"/>
        <v>#N/A</v>
      </c>
      <c r="AD99" s="598"/>
      <c r="AE99" s="404"/>
      <c r="AF99" s="404"/>
      <c r="AG99" s="404"/>
      <c r="AH99" s="404" t="e">
        <f t="shared" si="61"/>
        <v>#N/A</v>
      </c>
      <c r="AI99" s="598"/>
      <c r="AJ99" s="404"/>
      <c r="AK99" s="404"/>
      <c r="AL99" s="404"/>
      <c r="AM99" s="404" t="e">
        <f t="shared" si="63"/>
        <v>#N/A</v>
      </c>
      <c r="AN99" s="598"/>
      <c r="AO99" s="404"/>
      <c r="AP99" s="404"/>
      <c r="AQ99" s="404"/>
      <c r="AR99" s="404" t="e">
        <f t="shared" si="65"/>
        <v>#N/A</v>
      </c>
      <c r="AS99" s="598"/>
      <c r="AT99" s="404"/>
      <c r="AU99" s="404"/>
      <c r="AV99" s="404"/>
      <c r="AW99" s="404" t="e">
        <f t="shared" si="67"/>
        <v>#N/A</v>
      </c>
      <c r="AX99" s="534"/>
    </row>
    <row r="100" spans="2:50">
      <c r="B100" s="533"/>
      <c r="C100" s="404">
        <v>14</v>
      </c>
      <c r="D100" s="226"/>
      <c r="E100" s="182"/>
      <c r="F100" s="404"/>
      <c r="G100" s="405"/>
      <c r="H100" s="598"/>
      <c r="I100" s="202"/>
      <c r="J100" s="202"/>
      <c r="K100" s="202"/>
      <c r="L100" s="588"/>
      <c r="M100" s="407" t="e">
        <f>RANK(K100, K$87:$K$101)</f>
        <v>#N/A</v>
      </c>
      <c r="N100" s="544"/>
      <c r="O100" s="544"/>
      <c r="P100" s="404"/>
      <c r="Q100" s="404"/>
      <c r="R100" s="404"/>
      <c r="S100" s="404" t="e">
        <f t="shared" si="70"/>
        <v>#N/A</v>
      </c>
      <c r="T100" s="598"/>
      <c r="U100" s="404"/>
      <c r="V100" s="404"/>
      <c r="W100" s="404"/>
      <c r="X100" s="404" t="e">
        <f t="shared" si="57"/>
        <v>#N/A</v>
      </c>
      <c r="Y100" s="598"/>
      <c r="Z100" s="404"/>
      <c r="AA100" s="404"/>
      <c r="AB100" s="404"/>
      <c r="AC100" s="404" t="e">
        <f t="shared" si="59"/>
        <v>#N/A</v>
      </c>
      <c r="AD100" s="598"/>
      <c r="AE100" s="404"/>
      <c r="AF100" s="404"/>
      <c r="AG100" s="404"/>
      <c r="AH100" s="404" t="e">
        <f t="shared" si="61"/>
        <v>#N/A</v>
      </c>
      <c r="AI100" s="598"/>
      <c r="AJ100" s="404"/>
      <c r="AK100" s="404"/>
      <c r="AL100" s="404"/>
      <c r="AM100" s="404" t="e">
        <f t="shared" si="63"/>
        <v>#N/A</v>
      </c>
      <c r="AN100" s="598"/>
      <c r="AO100" s="404"/>
      <c r="AP100" s="404"/>
      <c r="AQ100" s="404"/>
      <c r="AR100" s="404" t="e">
        <f t="shared" si="65"/>
        <v>#N/A</v>
      </c>
      <c r="AS100" s="598"/>
      <c r="AT100" s="404"/>
      <c r="AU100" s="404"/>
      <c r="AV100" s="404"/>
      <c r="AW100" s="404" t="e">
        <f t="shared" si="67"/>
        <v>#N/A</v>
      </c>
      <c r="AX100" s="534"/>
    </row>
    <row r="101" spans="2:50">
      <c r="B101" s="533"/>
      <c r="C101" s="404">
        <v>15</v>
      </c>
      <c r="D101" s="226"/>
      <c r="E101" s="182"/>
      <c r="F101" s="404"/>
      <c r="G101" s="405"/>
      <c r="H101" s="599"/>
      <c r="I101" s="202"/>
      <c r="J101" s="202"/>
      <c r="K101" s="202"/>
      <c r="L101" s="589"/>
      <c r="M101" s="408" t="e">
        <f>RANK(K101, K$87:$K$101)</f>
        <v>#N/A</v>
      </c>
      <c r="N101" s="544"/>
      <c r="O101" s="544"/>
      <c r="P101" s="404"/>
      <c r="Q101" s="404"/>
      <c r="R101" s="404"/>
      <c r="S101" s="404" t="e">
        <f t="shared" si="70"/>
        <v>#N/A</v>
      </c>
      <c r="T101" s="599"/>
      <c r="U101" s="404"/>
      <c r="V101" s="404"/>
      <c r="W101" s="404"/>
      <c r="X101" s="404" t="e">
        <f t="shared" si="57"/>
        <v>#N/A</v>
      </c>
      <c r="Y101" s="599"/>
      <c r="Z101" s="404"/>
      <c r="AA101" s="404"/>
      <c r="AB101" s="404"/>
      <c r="AC101" s="404" t="e">
        <f t="shared" si="59"/>
        <v>#N/A</v>
      </c>
      <c r="AD101" s="599"/>
      <c r="AE101" s="404"/>
      <c r="AF101" s="404"/>
      <c r="AG101" s="404"/>
      <c r="AH101" s="404" t="e">
        <f t="shared" si="61"/>
        <v>#N/A</v>
      </c>
      <c r="AI101" s="599"/>
      <c r="AJ101" s="404"/>
      <c r="AK101" s="404"/>
      <c r="AL101" s="404"/>
      <c r="AM101" s="404" t="e">
        <f t="shared" si="63"/>
        <v>#N/A</v>
      </c>
      <c r="AN101" s="599"/>
      <c r="AO101" s="404"/>
      <c r="AP101" s="404"/>
      <c r="AQ101" s="404"/>
      <c r="AR101" s="404" t="e">
        <f t="shared" si="65"/>
        <v>#N/A</v>
      </c>
      <c r="AS101" s="599"/>
      <c r="AT101" s="404"/>
      <c r="AU101" s="404"/>
      <c r="AV101" s="404"/>
      <c r="AW101" s="404" t="e">
        <f t="shared" si="67"/>
        <v>#N/A</v>
      </c>
      <c r="AX101" s="534"/>
    </row>
    <row r="102" spans="2:50" ht="15.5">
      <c r="B102" s="555" t="s">
        <v>163</v>
      </c>
      <c r="C102" s="556"/>
      <c r="D102" s="556"/>
      <c r="E102" s="556"/>
      <c r="F102" s="556"/>
      <c r="G102" s="556"/>
      <c r="H102" s="557"/>
      <c r="I102" s="208"/>
      <c r="J102" s="208"/>
      <c r="K102" s="208"/>
      <c r="L102" s="208"/>
      <c r="M102" s="207"/>
      <c r="N102" s="559" t="s">
        <v>156</v>
      </c>
      <c r="O102" s="559" t="s">
        <v>105</v>
      </c>
      <c r="P102" s="554">
        <f>P82+7</f>
        <v>46021</v>
      </c>
      <c r="Q102" s="533"/>
      <c r="R102" s="533"/>
      <c r="S102" s="533"/>
      <c r="T102" s="533"/>
      <c r="U102" s="551">
        <f>P102+1</f>
        <v>46022</v>
      </c>
      <c r="V102" s="552"/>
      <c r="W102" s="552"/>
      <c r="X102" s="552"/>
      <c r="Y102" s="553"/>
      <c r="Z102" s="551">
        <f>U102+1</f>
        <v>46023</v>
      </c>
      <c r="AA102" s="552"/>
      <c r="AB102" s="552"/>
      <c r="AC102" s="552"/>
      <c r="AD102" s="553"/>
      <c r="AE102" s="551">
        <f>Z102+1</f>
        <v>46024</v>
      </c>
      <c r="AF102" s="552"/>
      <c r="AG102" s="552"/>
      <c r="AH102" s="552"/>
      <c r="AI102" s="553"/>
      <c r="AJ102" s="551">
        <f>AE102+1</f>
        <v>46025</v>
      </c>
      <c r="AK102" s="552"/>
      <c r="AL102" s="552"/>
      <c r="AM102" s="552"/>
      <c r="AN102" s="553"/>
      <c r="AO102" s="551">
        <f>AJ102+1</f>
        <v>46026</v>
      </c>
      <c r="AP102" s="552"/>
      <c r="AQ102" s="552"/>
      <c r="AR102" s="552"/>
      <c r="AS102" s="553"/>
      <c r="AT102" s="551">
        <f>AO102+1</f>
        <v>46027</v>
      </c>
      <c r="AU102" s="552"/>
      <c r="AV102" s="552"/>
      <c r="AW102" s="552"/>
      <c r="AX102" s="553"/>
    </row>
    <row r="103" spans="2:50" ht="15.5">
      <c r="B103" s="558"/>
      <c r="C103" s="558"/>
      <c r="D103" s="558"/>
      <c r="E103" s="558"/>
      <c r="F103" s="558"/>
      <c r="G103" s="558"/>
      <c r="H103" s="558"/>
      <c r="I103" s="205"/>
      <c r="J103" s="205"/>
      <c r="K103" s="205"/>
      <c r="L103" s="205"/>
      <c r="M103" s="206"/>
      <c r="N103" s="560"/>
      <c r="O103" s="560"/>
      <c r="P103" s="554" t="s">
        <v>158</v>
      </c>
      <c r="Q103" s="533"/>
      <c r="R103" s="533"/>
      <c r="S103" s="533"/>
      <c r="T103" s="533"/>
      <c r="U103" s="554" t="s">
        <v>114</v>
      </c>
      <c r="V103" s="533"/>
      <c r="W103" s="533"/>
      <c r="X103" s="533"/>
      <c r="Y103" s="533"/>
      <c r="Z103" s="554" t="s">
        <v>159</v>
      </c>
      <c r="AA103" s="533"/>
      <c r="AB103" s="533"/>
      <c r="AC103" s="533"/>
      <c r="AD103" s="533"/>
      <c r="AE103" s="554" t="s">
        <v>157</v>
      </c>
      <c r="AF103" s="533"/>
      <c r="AG103" s="533"/>
      <c r="AH103" s="533"/>
      <c r="AI103" s="533"/>
      <c r="AJ103" s="554" t="s">
        <v>160</v>
      </c>
      <c r="AK103" s="533"/>
      <c r="AL103" s="533"/>
      <c r="AM103" s="533"/>
      <c r="AN103" s="533"/>
      <c r="AO103" s="554" t="s">
        <v>115</v>
      </c>
      <c r="AP103" s="533"/>
      <c r="AQ103" s="533"/>
      <c r="AR103" s="533"/>
      <c r="AS103" s="533"/>
      <c r="AT103" s="554" t="s">
        <v>162</v>
      </c>
      <c r="AU103" s="533"/>
      <c r="AV103" s="533"/>
      <c r="AW103" s="533"/>
      <c r="AX103" s="533"/>
    </row>
    <row r="104" spans="2:50">
      <c r="B104" s="544" t="s">
        <v>926</v>
      </c>
      <c r="C104" s="544" t="s">
        <v>927</v>
      </c>
      <c r="D104" s="544"/>
      <c r="E104" s="544" t="s">
        <v>928</v>
      </c>
      <c r="F104" s="544"/>
      <c r="G104" s="544"/>
      <c r="H104" s="561" t="s">
        <v>929</v>
      </c>
      <c r="I104" s="544" t="s">
        <v>930</v>
      </c>
      <c r="J104" s="544"/>
      <c r="K104" s="544"/>
      <c r="L104" s="561" t="s">
        <v>929</v>
      </c>
      <c r="M104" s="559" t="s">
        <v>931</v>
      </c>
      <c r="N104" s="544"/>
      <c r="O104" s="544" t="s">
        <v>892</v>
      </c>
      <c r="P104" s="548" t="s">
        <v>893</v>
      </c>
      <c r="Q104" s="549"/>
      <c r="R104" s="549"/>
      <c r="S104" s="550"/>
      <c r="T104" s="544" t="s">
        <v>889</v>
      </c>
      <c r="U104" s="548" t="s">
        <v>893</v>
      </c>
      <c r="V104" s="549"/>
      <c r="W104" s="549"/>
      <c r="X104" s="550"/>
      <c r="Y104" s="544" t="s">
        <v>889</v>
      </c>
      <c r="Z104" s="548" t="s">
        <v>423</v>
      </c>
      <c r="AA104" s="549"/>
      <c r="AB104" s="549"/>
      <c r="AC104" s="550"/>
      <c r="AD104" s="544" t="s">
        <v>421</v>
      </c>
      <c r="AE104" s="548" t="s">
        <v>423</v>
      </c>
      <c r="AF104" s="549"/>
      <c r="AG104" s="549"/>
      <c r="AH104" s="550"/>
      <c r="AI104" s="544" t="s">
        <v>421</v>
      </c>
      <c r="AJ104" s="548" t="s">
        <v>423</v>
      </c>
      <c r="AK104" s="549"/>
      <c r="AL104" s="549"/>
      <c r="AM104" s="550"/>
      <c r="AN104" s="544" t="s">
        <v>421</v>
      </c>
      <c r="AO104" s="548" t="s">
        <v>423</v>
      </c>
      <c r="AP104" s="549"/>
      <c r="AQ104" s="549"/>
      <c r="AR104" s="550"/>
      <c r="AS104" s="544" t="s">
        <v>421</v>
      </c>
      <c r="AT104" s="548" t="s">
        <v>423</v>
      </c>
      <c r="AU104" s="549"/>
      <c r="AV104" s="549"/>
      <c r="AW104" s="550"/>
      <c r="AX104" s="544" t="s">
        <v>421</v>
      </c>
    </row>
    <row r="105" spans="2:50">
      <c r="B105" s="544"/>
      <c r="C105" s="544"/>
      <c r="D105" s="544"/>
      <c r="E105" s="544" t="s">
        <v>933</v>
      </c>
      <c r="F105" s="544"/>
      <c r="G105" s="544"/>
      <c r="H105" s="562"/>
      <c r="I105" s="544" t="s">
        <v>933</v>
      </c>
      <c r="J105" s="544"/>
      <c r="K105" s="544"/>
      <c r="L105" s="562"/>
      <c r="M105" s="564"/>
      <c r="N105" s="544"/>
      <c r="O105" s="544"/>
      <c r="P105" s="548" t="s">
        <v>895</v>
      </c>
      <c r="Q105" s="549"/>
      <c r="R105" s="549"/>
      <c r="S105" s="550"/>
      <c r="T105" s="544"/>
      <c r="U105" s="548" t="s">
        <v>895</v>
      </c>
      <c r="V105" s="549"/>
      <c r="W105" s="549"/>
      <c r="X105" s="550"/>
      <c r="Y105" s="544"/>
      <c r="Z105" s="548" t="s">
        <v>429</v>
      </c>
      <c r="AA105" s="549"/>
      <c r="AB105" s="549"/>
      <c r="AC105" s="550"/>
      <c r="AD105" s="544"/>
      <c r="AE105" s="548" t="s">
        <v>429</v>
      </c>
      <c r="AF105" s="549"/>
      <c r="AG105" s="549"/>
      <c r="AH105" s="550"/>
      <c r="AI105" s="544"/>
      <c r="AJ105" s="548" t="s">
        <v>429</v>
      </c>
      <c r="AK105" s="549"/>
      <c r="AL105" s="549"/>
      <c r="AM105" s="550"/>
      <c r="AN105" s="544"/>
      <c r="AO105" s="548" t="s">
        <v>429</v>
      </c>
      <c r="AP105" s="549"/>
      <c r="AQ105" s="549"/>
      <c r="AR105" s="550"/>
      <c r="AS105" s="544"/>
      <c r="AT105" s="548" t="s">
        <v>429</v>
      </c>
      <c r="AU105" s="549"/>
      <c r="AV105" s="549"/>
      <c r="AW105" s="550"/>
      <c r="AX105" s="544"/>
    </row>
    <row r="106" spans="2:50">
      <c r="B106" s="544"/>
      <c r="C106" s="544"/>
      <c r="D106" s="544"/>
      <c r="E106" s="426" t="s">
        <v>934</v>
      </c>
      <c r="F106" s="426" t="s">
        <v>935</v>
      </c>
      <c r="G106" s="426" t="s">
        <v>936</v>
      </c>
      <c r="H106" s="563"/>
      <c r="I106" s="426" t="s">
        <v>934</v>
      </c>
      <c r="J106" s="426" t="s">
        <v>935</v>
      </c>
      <c r="K106" s="426" t="s">
        <v>936</v>
      </c>
      <c r="L106" s="563"/>
      <c r="M106" s="560"/>
      <c r="N106" s="544"/>
      <c r="O106" s="544"/>
      <c r="P106" s="426" t="s">
        <v>896</v>
      </c>
      <c r="Q106" s="426" t="s">
        <v>897</v>
      </c>
      <c r="R106" s="426" t="s">
        <v>898</v>
      </c>
      <c r="S106" s="426" t="s">
        <v>891</v>
      </c>
      <c r="T106" s="544"/>
      <c r="U106" s="426" t="s">
        <v>896</v>
      </c>
      <c r="V106" s="426" t="s">
        <v>897</v>
      </c>
      <c r="W106" s="426" t="s">
        <v>898</v>
      </c>
      <c r="X106" s="426" t="s">
        <v>891</v>
      </c>
      <c r="Y106" s="544"/>
      <c r="Z106" s="305" t="s">
        <v>430</v>
      </c>
      <c r="AA106" s="305" t="s">
        <v>431</v>
      </c>
      <c r="AB106" s="305" t="s">
        <v>432</v>
      </c>
      <c r="AC106" s="305" t="s">
        <v>422</v>
      </c>
      <c r="AD106" s="544"/>
      <c r="AE106" s="305" t="s">
        <v>430</v>
      </c>
      <c r="AF106" s="305" t="s">
        <v>431</v>
      </c>
      <c r="AG106" s="305" t="s">
        <v>432</v>
      </c>
      <c r="AH106" s="305" t="s">
        <v>422</v>
      </c>
      <c r="AI106" s="544"/>
      <c r="AJ106" s="305" t="s">
        <v>430</v>
      </c>
      <c r="AK106" s="305" t="s">
        <v>431</v>
      </c>
      <c r="AL106" s="305" t="s">
        <v>432</v>
      </c>
      <c r="AM106" s="305" t="s">
        <v>422</v>
      </c>
      <c r="AN106" s="544"/>
      <c r="AO106" s="305" t="s">
        <v>430</v>
      </c>
      <c r="AP106" s="305" t="s">
        <v>431</v>
      </c>
      <c r="AQ106" s="305" t="s">
        <v>432</v>
      </c>
      <c r="AR106" s="305" t="s">
        <v>422</v>
      </c>
      <c r="AS106" s="544"/>
      <c r="AT106" s="305" t="s">
        <v>430</v>
      </c>
      <c r="AU106" s="305" t="s">
        <v>431</v>
      </c>
      <c r="AV106" s="305" t="s">
        <v>432</v>
      </c>
      <c r="AW106" s="305" t="s">
        <v>422</v>
      </c>
      <c r="AX106" s="544"/>
    </row>
    <row r="107" spans="2:50">
      <c r="B107" s="544" t="s">
        <v>136</v>
      </c>
      <c r="C107" s="463">
        <v>1</v>
      </c>
      <c r="D107" s="467" t="s">
        <v>394</v>
      </c>
      <c r="E107" s="464">
        <v>20</v>
      </c>
      <c r="F107" s="464">
        <v>2400</v>
      </c>
      <c r="G107" s="464">
        <v>120</v>
      </c>
      <c r="H107" s="616">
        <f>AVERAGE(G107:G121)</f>
        <v>144.76</v>
      </c>
      <c r="I107" s="464">
        <f>AVERAGE(P107,U107,Z107,AE107,AJ107,AO107,AT107)</f>
        <v>19</v>
      </c>
      <c r="J107" s="464">
        <f>AVERAGE(Q107,V107,AA107,AF107,AK107,AP107,AU107)</f>
        <v>2243.2298747763871</v>
      </c>
      <c r="K107" s="465">
        <f>AVERAGE(R107,W107,AB107,AG107,AL107,AQ107,AV107)</f>
        <v>118.06473025138878</v>
      </c>
      <c r="L107" s="546">
        <f>AVERAGE(K107:K121)</f>
        <v>122.16229457694851</v>
      </c>
      <c r="M107" s="464">
        <f>RANK(K107, K$107:$K$121)</f>
        <v>4</v>
      </c>
      <c r="N107" s="544"/>
      <c r="O107" s="544"/>
      <c r="P107" s="463">
        <v>19</v>
      </c>
      <c r="Q107" s="464">
        <v>2232.692307692309</v>
      </c>
      <c r="R107" s="464">
        <v>117.51012145748994</v>
      </c>
      <c r="S107" s="463">
        <f>RANK(R107, R$107:R$121)</f>
        <v>4</v>
      </c>
      <c r="T107" s="536">
        <f>AVERAGE(R107:R121)</f>
        <v>122.74257603272761</v>
      </c>
      <c r="U107" s="463">
        <v>19</v>
      </c>
      <c r="V107" s="464">
        <v>2253.7674418604647</v>
      </c>
      <c r="W107" s="464">
        <v>118.61933904528762</v>
      </c>
      <c r="X107" s="463">
        <f>RANK(W107, W$107:W$121)</f>
        <v>4</v>
      </c>
      <c r="Y107" s="536">
        <f>AVERAGE(W107:W121)</f>
        <v>121.58201312116944</v>
      </c>
      <c r="Z107" s="182"/>
      <c r="AA107" s="319"/>
      <c r="AB107" s="319"/>
      <c r="AC107" s="304" t="e">
        <f>RANK(AB107, AB$107:AB$121)</f>
        <v>#N/A</v>
      </c>
      <c r="AD107" s="597" t="e">
        <f>AVERAGE(AB107:AB121)</f>
        <v>#DIV/0!</v>
      </c>
      <c r="AE107" s="182"/>
      <c r="AF107" s="319"/>
      <c r="AG107" s="319"/>
      <c r="AH107" s="304" t="e">
        <f>RANK(AG107, AG$107:AG$121)</f>
        <v>#N/A</v>
      </c>
      <c r="AI107" s="597" t="e">
        <f>AVERAGE(AG107:AG121)</f>
        <v>#DIV/0!</v>
      </c>
      <c r="AJ107" s="182"/>
      <c r="AK107" s="319"/>
      <c r="AL107" s="319"/>
      <c r="AM107" s="304" t="e">
        <f>RANK(AL107, AL$107:AL$121)</f>
        <v>#N/A</v>
      </c>
      <c r="AN107" s="597" t="e">
        <f>AVERAGE(AL107:AL121)</f>
        <v>#DIV/0!</v>
      </c>
      <c r="AO107" s="182"/>
      <c r="AP107" s="319"/>
      <c r="AQ107" s="319"/>
      <c r="AR107" s="304" t="e">
        <f>RANK(AQ107, AQ$107:AQ$121)</f>
        <v>#N/A</v>
      </c>
      <c r="AS107" s="597" t="e">
        <f>AVERAGE(AQ107:AQ121)</f>
        <v>#DIV/0!</v>
      </c>
      <c r="AT107" s="182"/>
      <c r="AU107" s="319"/>
      <c r="AV107" s="319"/>
      <c r="AW107" s="304" t="e">
        <f>RANK(AV107, AV$107:AV$121)</f>
        <v>#N/A</v>
      </c>
      <c r="AX107" s="534" t="e">
        <f>AVERAGE(AV107:AV121)</f>
        <v>#DIV/0!</v>
      </c>
    </row>
    <row r="108" spans="2:50">
      <c r="B108" s="565"/>
      <c r="C108" s="463">
        <v>2</v>
      </c>
      <c r="D108" s="467" t="s">
        <v>395</v>
      </c>
      <c r="E108" s="464">
        <v>18</v>
      </c>
      <c r="F108" s="464">
        <v>3000</v>
      </c>
      <c r="G108" s="464">
        <v>166.7</v>
      </c>
      <c r="H108" s="617"/>
      <c r="I108" s="464">
        <f t="shared" ref="I108:K111" si="71">AVERAGE(P108,U108,Z108,AE108,AJ108,AO108,AT108)</f>
        <v>19</v>
      </c>
      <c r="J108" s="464">
        <f t="shared" si="71"/>
        <v>2497.1538461538476</v>
      </c>
      <c r="K108" s="465">
        <f t="shared" si="71"/>
        <v>131.42914979757091</v>
      </c>
      <c r="L108" s="547"/>
      <c r="M108" s="464">
        <f>RANK(K108, K$107:$K$121)</f>
        <v>2</v>
      </c>
      <c r="N108" s="544"/>
      <c r="O108" s="544"/>
      <c r="P108" s="463">
        <v>19</v>
      </c>
      <c r="Q108" s="464">
        <v>2505.0000000000014</v>
      </c>
      <c r="R108" s="464">
        <v>131.84210526315798</v>
      </c>
      <c r="S108" s="463">
        <f t="shared" ref="S108:S121" si="72">RANK(R108, R$107:R$121)</f>
        <v>3</v>
      </c>
      <c r="T108" s="536"/>
      <c r="U108" s="463">
        <v>19</v>
      </c>
      <c r="V108" s="464">
        <v>2489.3076923076933</v>
      </c>
      <c r="W108" s="464">
        <v>131.01619433198385</v>
      </c>
      <c r="X108" s="463">
        <f t="shared" ref="X108:X121" si="73">RANK(W108, W$107:W$121)</f>
        <v>1</v>
      </c>
      <c r="Y108" s="536"/>
      <c r="Z108" s="318"/>
      <c r="AA108" s="319"/>
      <c r="AB108" s="319"/>
      <c r="AC108" s="304" t="e">
        <f t="shared" ref="AC108:AC121" si="74">RANK(AB108, AB$107:AB$121)</f>
        <v>#N/A</v>
      </c>
      <c r="AD108" s="598"/>
      <c r="AE108" s="318"/>
      <c r="AF108" s="319"/>
      <c r="AG108" s="319"/>
      <c r="AH108" s="304" t="e">
        <f t="shared" ref="AH108:AH121" si="75">RANK(AG108, AG$107:AG$121)</f>
        <v>#N/A</v>
      </c>
      <c r="AI108" s="598"/>
      <c r="AJ108" s="318"/>
      <c r="AK108" s="319"/>
      <c r="AL108" s="319"/>
      <c r="AM108" s="304" t="e">
        <f t="shared" ref="AM108:AM121" si="76">RANK(AL108, AL$107:AL$121)</f>
        <v>#N/A</v>
      </c>
      <c r="AN108" s="598"/>
      <c r="AO108" s="318"/>
      <c r="AP108" s="319"/>
      <c r="AQ108" s="319"/>
      <c r="AR108" s="304" t="e">
        <f t="shared" ref="AR108:AR121" si="77">RANK(AQ108, AQ$107:AQ$121)</f>
        <v>#N/A</v>
      </c>
      <c r="AS108" s="598"/>
      <c r="AT108" s="318"/>
      <c r="AU108" s="319"/>
      <c r="AV108" s="319"/>
      <c r="AW108" s="304" t="e">
        <f t="shared" ref="AW108:AW121" si="78">RANK(AV108, AV$107:AV$121)</f>
        <v>#N/A</v>
      </c>
      <c r="AX108" s="534"/>
    </row>
    <row r="109" spans="2:50">
      <c r="B109" s="565"/>
      <c r="C109" s="463">
        <v>3</v>
      </c>
      <c r="D109" s="467" t="s">
        <v>396</v>
      </c>
      <c r="E109" s="464">
        <v>18</v>
      </c>
      <c r="F109" s="464">
        <v>3000</v>
      </c>
      <c r="G109" s="464">
        <v>166.7</v>
      </c>
      <c r="H109" s="617"/>
      <c r="I109" s="464">
        <f t="shared" si="71"/>
        <v>19.5</v>
      </c>
      <c r="J109" s="464">
        <f t="shared" si="71"/>
        <v>2519.8390461997005</v>
      </c>
      <c r="K109" s="465">
        <f t="shared" si="71"/>
        <v>129.31162444113255</v>
      </c>
      <c r="L109" s="547"/>
      <c r="M109" s="464">
        <f>RANK(K109, K$107:$K$121)</f>
        <v>3</v>
      </c>
      <c r="N109" s="544"/>
      <c r="O109" s="544"/>
      <c r="P109" s="463">
        <v>19</v>
      </c>
      <c r="Q109" s="464">
        <v>2522.9508196721304</v>
      </c>
      <c r="R109" s="464">
        <v>132.7868852459016</v>
      </c>
      <c r="S109" s="463">
        <f t="shared" si="72"/>
        <v>1</v>
      </c>
      <c r="T109" s="536"/>
      <c r="U109" s="463">
        <v>20</v>
      </c>
      <c r="V109" s="464">
        <v>2516.7272727272707</v>
      </c>
      <c r="W109" s="464">
        <v>125.83636363636353</v>
      </c>
      <c r="X109" s="463">
        <f t="shared" si="73"/>
        <v>3</v>
      </c>
      <c r="Y109" s="536"/>
      <c r="Z109" s="318"/>
      <c r="AA109" s="319"/>
      <c r="AB109" s="319"/>
      <c r="AC109" s="304" t="e">
        <f t="shared" si="74"/>
        <v>#N/A</v>
      </c>
      <c r="AD109" s="598"/>
      <c r="AE109" s="318"/>
      <c r="AF109" s="319"/>
      <c r="AG109" s="319"/>
      <c r="AH109" s="304" t="e">
        <f t="shared" si="75"/>
        <v>#N/A</v>
      </c>
      <c r="AI109" s="598"/>
      <c r="AJ109" s="318"/>
      <c r="AK109" s="319"/>
      <c r="AL109" s="319"/>
      <c r="AM109" s="304" t="e">
        <f t="shared" si="76"/>
        <v>#N/A</v>
      </c>
      <c r="AN109" s="598"/>
      <c r="AO109" s="318"/>
      <c r="AP109" s="319"/>
      <c r="AQ109" s="319"/>
      <c r="AR109" s="304" t="e">
        <f t="shared" si="77"/>
        <v>#N/A</v>
      </c>
      <c r="AS109" s="598"/>
      <c r="AT109" s="318"/>
      <c r="AU109" s="319"/>
      <c r="AV109" s="319"/>
      <c r="AW109" s="304" t="e">
        <f t="shared" si="78"/>
        <v>#N/A</v>
      </c>
      <c r="AX109" s="534"/>
    </row>
    <row r="110" spans="2:50">
      <c r="B110" s="565"/>
      <c r="C110" s="463">
        <v>4</v>
      </c>
      <c r="D110" s="467" t="s">
        <v>397</v>
      </c>
      <c r="E110" s="464">
        <v>19</v>
      </c>
      <c r="F110" s="464">
        <v>3000</v>
      </c>
      <c r="G110" s="464">
        <v>157.9</v>
      </c>
      <c r="H110" s="617"/>
      <c r="I110" s="464">
        <f t="shared" si="71"/>
        <v>19</v>
      </c>
      <c r="J110" s="464">
        <f t="shared" si="71"/>
        <v>2503.9716312056735</v>
      </c>
      <c r="K110" s="465">
        <f t="shared" si="71"/>
        <v>131.7879805897723</v>
      </c>
      <c r="L110" s="547"/>
      <c r="M110" s="464">
        <f>RANK(K110, K$107:$K$121)</f>
        <v>1</v>
      </c>
      <c r="N110" s="544"/>
      <c r="O110" s="544"/>
      <c r="P110" s="463">
        <v>19</v>
      </c>
      <c r="Q110" s="464">
        <v>2521.2765957446813</v>
      </c>
      <c r="R110" s="464">
        <v>132.6987681970885</v>
      </c>
      <c r="S110" s="463">
        <f t="shared" si="72"/>
        <v>2</v>
      </c>
      <c r="T110" s="536"/>
      <c r="U110" s="463">
        <v>19</v>
      </c>
      <c r="V110" s="464">
        <v>2486.6666666666656</v>
      </c>
      <c r="W110" s="464">
        <v>130.87719298245608</v>
      </c>
      <c r="X110" s="463">
        <f t="shared" si="73"/>
        <v>2</v>
      </c>
      <c r="Y110" s="536"/>
      <c r="Z110" s="318"/>
      <c r="AA110" s="319"/>
      <c r="AB110" s="319"/>
      <c r="AC110" s="304" t="e">
        <f t="shared" si="74"/>
        <v>#N/A</v>
      </c>
      <c r="AD110" s="598"/>
      <c r="AE110" s="318"/>
      <c r="AF110" s="319"/>
      <c r="AG110" s="319"/>
      <c r="AH110" s="304" t="e">
        <f t="shared" si="75"/>
        <v>#N/A</v>
      </c>
      <c r="AI110" s="598"/>
      <c r="AJ110" s="318"/>
      <c r="AK110" s="319"/>
      <c r="AL110" s="319"/>
      <c r="AM110" s="304" t="e">
        <f t="shared" si="76"/>
        <v>#N/A</v>
      </c>
      <c r="AN110" s="598"/>
      <c r="AO110" s="318"/>
      <c r="AP110" s="319"/>
      <c r="AQ110" s="319"/>
      <c r="AR110" s="304" t="e">
        <f t="shared" si="77"/>
        <v>#N/A</v>
      </c>
      <c r="AS110" s="598"/>
      <c r="AT110" s="318"/>
      <c r="AU110" s="319"/>
      <c r="AV110" s="319"/>
      <c r="AW110" s="304" t="e">
        <f t="shared" si="78"/>
        <v>#N/A</v>
      </c>
      <c r="AX110" s="534"/>
    </row>
    <row r="111" spans="2:50">
      <c r="B111" s="565"/>
      <c r="C111" s="463">
        <v>5</v>
      </c>
      <c r="D111" s="467" t="s">
        <v>582</v>
      </c>
      <c r="E111" s="464">
        <v>20</v>
      </c>
      <c r="F111" s="464">
        <v>2250</v>
      </c>
      <c r="G111" s="464">
        <v>112.5</v>
      </c>
      <c r="H111" s="617"/>
      <c r="I111" s="464">
        <f t="shared" si="71"/>
        <v>20</v>
      </c>
      <c r="J111" s="464">
        <f t="shared" si="71"/>
        <v>2004.3597560975609</v>
      </c>
      <c r="K111" s="465">
        <f t="shared" si="71"/>
        <v>100.21798780487805</v>
      </c>
      <c r="L111" s="547"/>
      <c r="M111" s="464">
        <f>RANK(K111, K$107:$K$121)</f>
        <v>5</v>
      </c>
      <c r="N111" s="544"/>
      <c r="O111" s="544"/>
      <c r="P111" s="463">
        <v>20</v>
      </c>
      <c r="Q111" s="464">
        <v>1977.5000000000005</v>
      </c>
      <c r="R111" s="464">
        <v>98.875000000000028</v>
      </c>
      <c r="S111" s="463">
        <f t="shared" si="72"/>
        <v>5</v>
      </c>
      <c r="T111" s="536"/>
      <c r="U111" s="463">
        <v>20</v>
      </c>
      <c r="V111" s="464">
        <v>2031.2195121951213</v>
      </c>
      <c r="W111" s="464">
        <v>101.56097560975607</v>
      </c>
      <c r="X111" s="463">
        <f t="shared" si="73"/>
        <v>5</v>
      </c>
      <c r="Y111" s="536"/>
      <c r="Z111" s="318"/>
      <c r="AA111" s="319"/>
      <c r="AB111" s="319"/>
      <c r="AC111" s="304" t="e">
        <f t="shared" si="74"/>
        <v>#N/A</v>
      </c>
      <c r="AD111" s="598"/>
      <c r="AE111" s="318"/>
      <c r="AF111" s="319"/>
      <c r="AG111" s="319"/>
      <c r="AH111" s="304" t="e">
        <f t="shared" si="75"/>
        <v>#N/A</v>
      </c>
      <c r="AI111" s="598"/>
      <c r="AJ111" s="318"/>
      <c r="AK111" s="319"/>
      <c r="AL111" s="319"/>
      <c r="AM111" s="304" t="e">
        <f t="shared" si="76"/>
        <v>#N/A</v>
      </c>
      <c r="AN111" s="598"/>
      <c r="AO111" s="318"/>
      <c r="AP111" s="319"/>
      <c r="AQ111" s="319"/>
      <c r="AR111" s="304" t="e">
        <f t="shared" si="77"/>
        <v>#N/A</v>
      </c>
      <c r="AS111" s="598"/>
      <c r="AT111" s="318"/>
      <c r="AU111" s="319"/>
      <c r="AV111" s="319"/>
      <c r="AW111" s="304" t="e">
        <f t="shared" si="78"/>
        <v>#N/A</v>
      </c>
      <c r="AX111" s="534"/>
    </row>
    <row r="112" spans="2:50">
      <c r="B112" s="565"/>
      <c r="C112" s="463">
        <v>6</v>
      </c>
      <c r="D112" s="467"/>
      <c r="E112" s="464" t="s">
        <v>578</v>
      </c>
      <c r="F112" s="464" t="s">
        <v>578</v>
      </c>
      <c r="G112" s="464" t="s">
        <v>578</v>
      </c>
      <c r="H112" s="617"/>
      <c r="I112" s="464"/>
      <c r="J112" s="464"/>
      <c r="K112" s="465"/>
      <c r="L112" s="547"/>
      <c r="M112" s="464" t="e">
        <f>RANK(K112, K$107:$K$121)</f>
        <v>#N/A</v>
      </c>
      <c r="N112" s="544"/>
      <c r="O112" s="544"/>
      <c r="P112" s="463" t="s">
        <v>578</v>
      </c>
      <c r="Q112" s="464" t="s">
        <v>578</v>
      </c>
      <c r="R112" s="464" t="s">
        <v>578</v>
      </c>
      <c r="S112" s="463" t="e">
        <f t="shared" si="72"/>
        <v>#VALUE!</v>
      </c>
      <c r="T112" s="536"/>
      <c r="U112" s="463" t="s">
        <v>578</v>
      </c>
      <c r="V112" s="464" t="s">
        <v>578</v>
      </c>
      <c r="W112" s="464" t="s">
        <v>578</v>
      </c>
      <c r="X112" s="463" t="e">
        <f t="shared" si="73"/>
        <v>#VALUE!</v>
      </c>
      <c r="Y112" s="536"/>
      <c r="Z112" s="318"/>
      <c r="AA112" s="319"/>
      <c r="AB112" s="319"/>
      <c r="AC112" s="304" t="e">
        <f t="shared" si="74"/>
        <v>#N/A</v>
      </c>
      <c r="AD112" s="598"/>
      <c r="AE112" s="318"/>
      <c r="AF112" s="319"/>
      <c r="AG112" s="319"/>
      <c r="AH112" s="304" t="e">
        <f t="shared" si="75"/>
        <v>#N/A</v>
      </c>
      <c r="AI112" s="598"/>
      <c r="AJ112" s="318"/>
      <c r="AK112" s="319"/>
      <c r="AL112" s="319"/>
      <c r="AM112" s="304" t="e">
        <f t="shared" si="76"/>
        <v>#N/A</v>
      </c>
      <c r="AN112" s="598"/>
      <c r="AO112" s="318"/>
      <c r="AP112" s="319"/>
      <c r="AQ112" s="319"/>
      <c r="AR112" s="304" t="e">
        <f t="shared" si="77"/>
        <v>#N/A</v>
      </c>
      <c r="AS112" s="598"/>
      <c r="AT112" s="318"/>
      <c r="AU112" s="319"/>
      <c r="AV112" s="319"/>
      <c r="AW112" s="304" t="e">
        <f t="shared" si="78"/>
        <v>#N/A</v>
      </c>
      <c r="AX112" s="534"/>
    </row>
    <row r="113" spans="2:50">
      <c r="B113" s="565"/>
      <c r="C113" s="463">
        <v>7</v>
      </c>
      <c r="D113" s="467"/>
      <c r="E113" s="464" t="s">
        <v>578</v>
      </c>
      <c r="F113" s="464" t="s">
        <v>578</v>
      </c>
      <c r="G113" s="464" t="s">
        <v>578</v>
      </c>
      <c r="H113" s="617"/>
      <c r="I113" s="464"/>
      <c r="J113" s="464"/>
      <c r="K113" s="465"/>
      <c r="L113" s="547"/>
      <c r="M113" s="464" t="e">
        <f>RANK(K113, K$107:$K$121)</f>
        <v>#N/A</v>
      </c>
      <c r="N113" s="544"/>
      <c r="O113" s="544"/>
      <c r="P113" s="463" t="s">
        <v>578</v>
      </c>
      <c r="Q113" s="464" t="s">
        <v>578</v>
      </c>
      <c r="R113" s="464" t="s">
        <v>578</v>
      </c>
      <c r="S113" s="463" t="e">
        <f t="shared" si="72"/>
        <v>#VALUE!</v>
      </c>
      <c r="T113" s="536"/>
      <c r="U113" s="463" t="s">
        <v>578</v>
      </c>
      <c r="V113" s="464" t="s">
        <v>578</v>
      </c>
      <c r="W113" s="464" t="s">
        <v>578</v>
      </c>
      <c r="X113" s="463" t="e">
        <f t="shared" si="73"/>
        <v>#VALUE!</v>
      </c>
      <c r="Y113" s="536"/>
      <c r="Z113" s="318"/>
      <c r="AA113" s="319"/>
      <c r="AB113" s="319"/>
      <c r="AC113" s="304" t="e">
        <f t="shared" si="74"/>
        <v>#N/A</v>
      </c>
      <c r="AD113" s="598"/>
      <c r="AE113" s="318"/>
      <c r="AF113" s="319"/>
      <c r="AG113" s="319"/>
      <c r="AH113" s="304" t="e">
        <f t="shared" si="75"/>
        <v>#N/A</v>
      </c>
      <c r="AI113" s="598"/>
      <c r="AJ113" s="318"/>
      <c r="AK113" s="319"/>
      <c r="AL113" s="319"/>
      <c r="AM113" s="304" t="e">
        <f t="shared" si="76"/>
        <v>#N/A</v>
      </c>
      <c r="AN113" s="598"/>
      <c r="AO113" s="318"/>
      <c r="AP113" s="319"/>
      <c r="AQ113" s="319"/>
      <c r="AR113" s="304" t="e">
        <f t="shared" si="77"/>
        <v>#N/A</v>
      </c>
      <c r="AS113" s="598"/>
      <c r="AT113" s="318"/>
      <c r="AU113" s="319"/>
      <c r="AV113" s="319"/>
      <c r="AW113" s="304" t="e">
        <f t="shared" si="78"/>
        <v>#N/A</v>
      </c>
      <c r="AX113" s="534"/>
    </row>
    <row r="114" spans="2:50">
      <c r="B114" s="565"/>
      <c r="C114" s="463">
        <v>8</v>
      </c>
      <c r="D114" s="467"/>
      <c r="E114" s="464" t="s">
        <v>578</v>
      </c>
      <c r="F114" s="464" t="s">
        <v>578</v>
      </c>
      <c r="G114" s="464" t="s">
        <v>578</v>
      </c>
      <c r="H114" s="617"/>
      <c r="I114" s="464"/>
      <c r="J114" s="464"/>
      <c r="K114" s="465"/>
      <c r="L114" s="547"/>
      <c r="M114" s="464" t="e">
        <f>RANK(K114, K$107:$K$121)</f>
        <v>#N/A</v>
      </c>
      <c r="N114" s="544"/>
      <c r="O114" s="544"/>
      <c r="P114" s="463" t="s">
        <v>578</v>
      </c>
      <c r="Q114" s="464" t="s">
        <v>578</v>
      </c>
      <c r="R114" s="464" t="s">
        <v>578</v>
      </c>
      <c r="S114" s="463" t="e">
        <f t="shared" si="72"/>
        <v>#VALUE!</v>
      </c>
      <c r="T114" s="536"/>
      <c r="U114" s="463" t="s">
        <v>578</v>
      </c>
      <c r="V114" s="464" t="s">
        <v>578</v>
      </c>
      <c r="W114" s="464" t="s">
        <v>578</v>
      </c>
      <c r="X114" s="463" t="e">
        <f t="shared" si="73"/>
        <v>#VALUE!</v>
      </c>
      <c r="Y114" s="536"/>
      <c r="Z114" s="318"/>
      <c r="AA114" s="319"/>
      <c r="AB114" s="319"/>
      <c r="AC114" s="304" t="e">
        <f t="shared" si="74"/>
        <v>#N/A</v>
      </c>
      <c r="AD114" s="598"/>
      <c r="AE114" s="318"/>
      <c r="AF114" s="319"/>
      <c r="AG114" s="319"/>
      <c r="AH114" s="304" t="e">
        <f t="shared" si="75"/>
        <v>#N/A</v>
      </c>
      <c r="AI114" s="598"/>
      <c r="AJ114" s="318"/>
      <c r="AK114" s="319"/>
      <c r="AL114" s="319"/>
      <c r="AM114" s="304" t="e">
        <f t="shared" si="76"/>
        <v>#N/A</v>
      </c>
      <c r="AN114" s="598"/>
      <c r="AO114" s="318"/>
      <c r="AP114" s="319"/>
      <c r="AQ114" s="319"/>
      <c r="AR114" s="304" t="e">
        <f t="shared" si="77"/>
        <v>#N/A</v>
      </c>
      <c r="AS114" s="598"/>
      <c r="AT114" s="318"/>
      <c r="AU114" s="319"/>
      <c r="AV114" s="319"/>
      <c r="AW114" s="304" t="e">
        <f t="shared" si="78"/>
        <v>#N/A</v>
      </c>
      <c r="AX114" s="534"/>
    </row>
    <row r="115" spans="2:50">
      <c r="B115" s="565"/>
      <c r="C115" s="463">
        <v>9</v>
      </c>
      <c r="D115" s="467"/>
      <c r="E115" s="464" t="s">
        <v>578</v>
      </c>
      <c r="F115" s="464" t="s">
        <v>578</v>
      </c>
      <c r="G115" s="464" t="s">
        <v>578</v>
      </c>
      <c r="H115" s="617"/>
      <c r="I115" s="464"/>
      <c r="J115" s="464"/>
      <c r="K115" s="465"/>
      <c r="L115" s="547"/>
      <c r="M115" s="464" t="e">
        <f>RANK(K115, K$107:$K$121)</f>
        <v>#N/A</v>
      </c>
      <c r="N115" s="544"/>
      <c r="O115" s="544"/>
      <c r="P115" s="463" t="s">
        <v>578</v>
      </c>
      <c r="Q115" s="464" t="s">
        <v>578</v>
      </c>
      <c r="R115" s="464" t="s">
        <v>578</v>
      </c>
      <c r="S115" s="463" t="e">
        <f t="shared" si="72"/>
        <v>#VALUE!</v>
      </c>
      <c r="T115" s="536"/>
      <c r="U115" s="463" t="s">
        <v>578</v>
      </c>
      <c r="V115" s="464" t="s">
        <v>578</v>
      </c>
      <c r="W115" s="464" t="s">
        <v>578</v>
      </c>
      <c r="X115" s="463" t="e">
        <f t="shared" si="73"/>
        <v>#VALUE!</v>
      </c>
      <c r="Y115" s="536"/>
      <c r="Z115" s="318"/>
      <c r="AA115" s="319"/>
      <c r="AB115" s="319"/>
      <c r="AC115" s="304" t="e">
        <f t="shared" si="74"/>
        <v>#N/A</v>
      </c>
      <c r="AD115" s="598"/>
      <c r="AE115" s="318"/>
      <c r="AF115" s="319"/>
      <c r="AG115" s="319"/>
      <c r="AH115" s="304" t="e">
        <f t="shared" si="75"/>
        <v>#N/A</v>
      </c>
      <c r="AI115" s="598"/>
      <c r="AJ115" s="318"/>
      <c r="AK115" s="319"/>
      <c r="AL115" s="319"/>
      <c r="AM115" s="304" t="e">
        <f t="shared" si="76"/>
        <v>#N/A</v>
      </c>
      <c r="AN115" s="598"/>
      <c r="AO115" s="318"/>
      <c r="AP115" s="319"/>
      <c r="AQ115" s="319"/>
      <c r="AR115" s="304" t="e">
        <f t="shared" si="77"/>
        <v>#N/A</v>
      </c>
      <c r="AS115" s="598"/>
      <c r="AT115" s="318"/>
      <c r="AU115" s="319"/>
      <c r="AV115" s="319"/>
      <c r="AW115" s="304" t="e">
        <f t="shared" si="78"/>
        <v>#N/A</v>
      </c>
      <c r="AX115" s="534"/>
    </row>
    <row r="116" spans="2:50">
      <c r="B116" s="565"/>
      <c r="C116" s="463">
        <v>10</v>
      </c>
      <c r="D116" s="467"/>
      <c r="E116" s="464" t="s">
        <v>578</v>
      </c>
      <c r="F116" s="464" t="s">
        <v>578</v>
      </c>
      <c r="G116" s="464" t="s">
        <v>578</v>
      </c>
      <c r="H116" s="617"/>
      <c r="I116" s="464"/>
      <c r="J116" s="464"/>
      <c r="K116" s="465"/>
      <c r="L116" s="547"/>
      <c r="M116" s="464" t="e">
        <f>RANK(K116, K$107:$K$121)</f>
        <v>#N/A</v>
      </c>
      <c r="N116" s="544"/>
      <c r="O116" s="544"/>
      <c r="P116" s="463" t="s">
        <v>578</v>
      </c>
      <c r="Q116" s="464" t="s">
        <v>578</v>
      </c>
      <c r="R116" s="464" t="s">
        <v>578</v>
      </c>
      <c r="S116" s="463" t="e">
        <f t="shared" si="72"/>
        <v>#VALUE!</v>
      </c>
      <c r="T116" s="536"/>
      <c r="U116" s="463" t="s">
        <v>578</v>
      </c>
      <c r="V116" s="464" t="s">
        <v>578</v>
      </c>
      <c r="W116" s="464" t="s">
        <v>578</v>
      </c>
      <c r="X116" s="463" t="e">
        <f t="shared" si="73"/>
        <v>#VALUE!</v>
      </c>
      <c r="Y116" s="536"/>
      <c r="Z116" s="318"/>
      <c r="AA116" s="318"/>
      <c r="AB116" s="319"/>
      <c r="AC116" s="304" t="e">
        <f t="shared" si="74"/>
        <v>#N/A</v>
      </c>
      <c r="AD116" s="598"/>
      <c r="AE116" s="318"/>
      <c r="AF116" s="318"/>
      <c r="AG116" s="319"/>
      <c r="AH116" s="304" t="e">
        <f t="shared" si="75"/>
        <v>#N/A</v>
      </c>
      <c r="AI116" s="598"/>
      <c r="AJ116" s="318"/>
      <c r="AK116" s="318"/>
      <c r="AL116" s="319"/>
      <c r="AM116" s="304" t="e">
        <f t="shared" si="76"/>
        <v>#N/A</v>
      </c>
      <c r="AN116" s="598"/>
      <c r="AO116" s="318"/>
      <c r="AP116" s="318"/>
      <c r="AQ116" s="319"/>
      <c r="AR116" s="304" t="e">
        <f t="shared" si="77"/>
        <v>#N/A</v>
      </c>
      <c r="AS116" s="598"/>
      <c r="AT116" s="318"/>
      <c r="AU116" s="318"/>
      <c r="AV116" s="319"/>
      <c r="AW116" s="304" t="e">
        <f t="shared" si="78"/>
        <v>#N/A</v>
      </c>
      <c r="AX116" s="534"/>
    </row>
    <row r="117" spans="2:50">
      <c r="B117" s="565"/>
      <c r="C117" s="463">
        <v>11</v>
      </c>
      <c r="D117" s="467"/>
      <c r="E117" s="464" t="s">
        <v>578</v>
      </c>
      <c r="F117" s="464" t="s">
        <v>578</v>
      </c>
      <c r="G117" s="464" t="s">
        <v>578</v>
      </c>
      <c r="H117" s="617"/>
      <c r="I117" s="463"/>
      <c r="J117" s="463"/>
      <c r="K117" s="463"/>
      <c r="L117" s="547"/>
      <c r="M117" s="464" t="e">
        <f>RANK(K117, K$107:$K$121)</f>
        <v>#N/A</v>
      </c>
      <c r="N117" s="544"/>
      <c r="O117" s="544"/>
      <c r="P117" s="463" t="s">
        <v>578</v>
      </c>
      <c r="Q117" s="464" t="s">
        <v>578</v>
      </c>
      <c r="R117" s="464" t="s">
        <v>578</v>
      </c>
      <c r="S117" s="463" t="e">
        <f t="shared" si="72"/>
        <v>#VALUE!</v>
      </c>
      <c r="T117" s="536"/>
      <c r="U117" s="463" t="s">
        <v>578</v>
      </c>
      <c r="V117" s="464" t="s">
        <v>578</v>
      </c>
      <c r="W117" s="464" t="s">
        <v>578</v>
      </c>
      <c r="X117" s="463" t="e">
        <f t="shared" si="73"/>
        <v>#VALUE!</v>
      </c>
      <c r="Y117" s="536"/>
      <c r="Z117" s="318"/>
      <c r="AA117" s="318"/>
      <c r="AB117" s="318"/>
      <c r="AC117" s="304" t="e">
        <f t="shared" si="74"/>
        <v>#N/A</v>
      </c>
      <c r="AD117" s="598"/>
      <c r="AE117" s="318"/>
      <c r="AF117" s="318"/>
      <c r="AG117" s="318"/>
      <c r="AH117" s="304" t="e">
        <f t="shared" si="75"/>
        <v>#N/A</v>
      </c>
      <c r="AI117" s="598"/>
      <c r="AJ117" s="318"/>
      <c r="AK117" s="318"/>
      <c r="AL117" s="318"/>
      <c r="AM117" s="304" t="e">
        <f t="shared" si="76"/>
        <v>#N/A</v>
      </c>
      <c r="AN117" s="598"/>
      <c r="AO117" s="318"/>
      <c r="AP117" s="318"/>
      <c r="AQ117" s="318"/>
      <c r="AR117" s="304" t="e">
        <f t="shared" si="77"/>
        <v>#N/A</v>
      </c>
      <c r="AS117" s="598"/>
      <c r="AT117" s="318"/>
      <c r="AU117" s="318"/>
      <c r="AV117" s="318"/>
      <c r="AW117" s="304" t="e">
        <f t="shared" si="78"/>
        <v>#N/A</v>
      </c>
      <c r="AX117" s="534"/>
    </row>
    <row r="118" spans="2:50">
      <c r="B118" s="565"/>
      <c r="C118" s="463">
        <v>12</v>
      </c>
      <c r="D118" s="467"/>
      <c r="E118" s="464" t="s">
        <v>578</v>
      </c>
      <c r="F118" s="464" t="s">
        <v>578</v>
      </c>
      <c r="G118" s="464" t="s">
        <v>578</v>
      </c>
      <c r="H118" s="617"/>
      <c r="I118" s="463"/>
      <c r="J118" s="463"/>
      <c r="K118" s="463"/>
      <c r="L118" s="547"/>
      <c r="M118" s="464" t="e">
        <f>RANK(K118, K$107:$K$121)</f>
        <v>#N/A</v>
      </c>
      <c r="N118" s="544"/>
      <c r="O118" s="544"/>
      <c r="P118" s="463" t="s">
        <v>578</v>
      </c>
      <c r="Q118" s="464" t="s">
        <v>578</v>
      </c>
      <c r="R118" s="464" t="s">
        <v>578</v>
      </c>
      <c r="S118" s="463" t="e">
        <f t="shared" si="72"/>
        <v>#VALUE!</v>
      </c>
      <c r="T118" s="536"/>
      <c r="U118" s="463" t="s">
        <v>578</v>
      </c>
      <c r="V118" s="464" t="s">
        <v>578</v>
      </c>
      <c r="W118" s="464" t="s">
        <v>578</v>
      </c>
      <c r="X118" s="463" t="e">
        <f t="shared" si="73"/>
        <v>#VALUE!</v>
      </c>
      <c r="Y118" s="536"/>
      <c r="Z118" s="318"/>
      <c r="AA118" s="318"/>
      <c r="AB118" s="318"/>
      <c r="AC118" s="304" t="e">
        <f t="shared" si="74"/>
        <v>#N/A</v>
      </c>
      <c r="AD118" s="598"/>
      <c r="AE118" s="318"/>
      <c r="AF118" s="318"/>
      <c r="AG118" s="318"/>
      <c r="AH118" s="304" t="e">
        <f t="shared" si="75"/>
        <v>#N/A</v>
      </c>
      <c r="AI118" s="598"/>
      <c r="AJ118" s="318"/>
      <c r="AK118" s="318"/>
      <c r="AL118" s="318"/>
      <c r="AM118" s="304" t="e">
        <f t="shared" si="76"/>
        <v>#N/A</v>
      </c>
      <c r="AN118" s="598"/>
      <c r="AO118" s="318"/>
      <c r="AP118" s="318"/>
      <c r="AQ118" s="318"/>
      <c r="AR118" s="304" t="e">
        <f t="shared" si="77"/>
        <v>#N/A</v>
      </c>
      <c r="AS118" s="598"/>
      <c r="AT118" s="318"/>
      <c r="AU118" s="318"/>
      <c r="AV118" s="318"/>
      <c r="AW118" s="304" t="e">
        <f t="shared" si="78"/>
        <v>#N/A</v>
      </c>
      <c r="AX118" s="534"/>
    </row>
    <row r="119" spans="2:50">
      <c r="B119" s="565"/>
      <c r="C119" s="463">
        <v>13</v>
      </c>
      <c r="D119" s="467"/>
      <c r="E119" s="464" t="s">
        <v>578</v>
      </c>
      <c r="F119" s="464" t="s">
        <v>578</v>
      </c>
      <c r="G119" s="464" t="s">
        <v>578</v>
      </c>
      <c r="H119" s="617"/>
      <c r="I119" s="463"/>
      <c r="J119" s="463"/>
      <c r="K119" s="463"/>
      <c r="L119" s="547"/>
      <c r="M119" s="464" t="e">
        <f>RANK(K119, K$107:$K$121)</f>
        <v>#N/A</v>
      </c>
      <c r="N119" s="544"/>
      <c r="O119" s="544"/>
      <c r="P119" s="463" t="s">
        <v>578</v>
      </c>
      <c r="Q119" s="464" t="s">
        <v>578</v>
      </c>
      <c r="R119" s="464" t="s">
        <v>578</v>
      </c>
      <c r="S119" s="463" t="e">
        <f t="shared" si="72"/>
        <v>#VALUE!</v>
      </c>
      <c r="T119" s="536"/>
      <c r="U119" s="463" t="s">
        <v>578</v>
      </c>
      <c r="V119" s="464" t="s">
        <v>578</v>
      </c>
      <c r="W119" s="464" t="s">
        <v>578</v>
      </c>
      <c r="X119" s="463" t="e">
        <f t="shared" si="73"/>
        <v>#VALUE!</v>
      </c>
      <c r="Y119" s="536"/>
      <c r="Z119" s="318"/>
      <c r="AA119" s="318"/>
      <c r="AB119" s="318"/>
      <c r="AC119" s="304" t="e">
        <f t="shared" si="74"/>
        <v>#N/A</v>
      </c>
      <c r="AD119" s="598"/>
      <c r="AE119" s="318"/>
      <c r="AF119" s="318"/>
      <c r="AG119" s="318"/>
      <c r="AH119" s="304" t="e">
        <f t="shared" si="75"/>
        <v>#N/A</v>
      </c>
      <c r="AI119" s="598"/>
      <c r="AJ119" s="318"/>
      <c r="AK119" s="318"/>
      <c r="AL119" s="318"/>
      <c r="AM119" s="304" t="e">
        <f t="shared" si="76"/>
        <v>#N/A</v>
      </c>
      <c r="AN119" s="598"/>
      <c r="AO119" s="318"/>
      <c r="AP119" s="318"/>
      <c r="AQ119" s="318"/>
      <c r="AR119" s="304" t="e">
        <f t="shared" si="77"/>
        <v>#N/A</v>
      </c>
      <c r="AS119" s="598"/>
      <c r="AT119" s="318"/>
      <c r="AU119" s="318"/>
      <c r="AV119" s="318"/>
      <c r="AW119" s="304" t="e">
        <f t="shared" si="78"/>
        <v>#N/A</v>
      </c>
      <c r="AX119" s="534"/>
    </row>
    <row r="120" spans="2:50">
      <c r="B120" s="565"/>
      <c r="C120" s="463">
        <v>14</v>
      </c>
      <c r="D120" s="467"/>
      <c r="E120" s="464" t="s">
        <v>578</v>
      </c>
      <c r="F120" s="464" t="s">
        <v>578</v>
      </c>
      <c r="G120" s="464" t="s">
        <v>578</v>
      </c>
      <c r="H120" s="617"/>
      <c r="I120" s="463"/>
      <c r="J120" s="463"/>
      <c r="K120" s="463"/>
      <c r="L120" s="547"/>
      <c r="M120" s="464" t="e">
        <f>RANK(K120, K$107:$K$121)</f>
        <v>#N/A</v>
      </c>
      <c r="N120" s="544"/>
      <c r="O120" s="544"/>
      <c r="P120" s="463" t="s">
        <v>578</v>
      </c>
      <c r="Q120" s="464" t="s">
        <v>578</v>
      </c>
      <c r="R120" s="464" t="s">
        <v>578</v>
      </c>
      <c r="S120" s="463" t="e">
        <f t="shared" si="72"/>
        <v>#VALUE!</v>
      </c>
      <c r="T120" s="536"/>
      <c r="U120" s="463" t="s">
        <v>578</v>
      </c>
      <c r="V120" s="464" t="s">
        <v>578</v>
      </c>
      <c r="W120" s="464" t="s">
        <v>578</v>
      </c>
      <c r="X120" s="463" t="e">
        <f t="shared" si="73"/>
        <v>#VALUE!</v>
      </c>
      <c r="Y120" s="536"/>
      <c r="Z120" s="318"/>
      <c r="AA120" s="318"/>
      <c r="AB120" s="318"/>
      <c r="AC120" s="304" t="e">
        <f t="shared" si="74"/>
        <v>#N/A</v>
      </c>
      <c r="AD120" s="598"/>
      <c r="AE120" s="318"/>
      <c r="AF120" s="318"/>
      <c r="AG120" s="318"/>
      <c r="AH120" s="304" t="e">
        <f t="shared" si="75"/>
        <v>#N/A</v>
      </c>
      <c r="AI120" s="598"/>
      <c r="AJ120" s="318"/>
      <c r="AK120" s="318"/>
      <c r="AL120" s="318"/>
      <c r="AM120" s="304" t="e">
        <f t="shared" si="76"/>
        <v>#N/A</v>
      </c>
      <c r="AN120" s="598"/>
      <c r="AO120" s="318"/>
      <c r="AP120" s="318"/>
      <c r="AQ120" s="318"/>
      <c r="AR120" s="304" t="e">
        <f t="shared" si="77"/>
        <v>#N/A</v>
      </c>
      <c r="AS120" s="598"/>
      <c r="AT120" s="318"/>
      <c r="AU120" s="318"/>
      <c r="AV120" s="318"/>
      <c r="AW120" s="304" t="e">
        <f t="shared" si="78"/>
        <v>#N/A</v>
      </c>
      <c r="AX120" s="534"/>
    </row>
    <row r="121" spans="2:50">
      <c r="B121" s="565"/>
      <c r="C121" s="463">
        <v>15</v>
      </c>
      <c r="D121" s="467"/>
      <c r="E121" s="464" t="s">
        <v>578</v>
      </c>
      <c r="F121" s="464" t="s">
        <v>578</v>
      </c>
      <c r="G121" s="464" t="s">
        <v>578</v>
      </c>
      <c r="H121" s="618"/>
      <c r="I121" s="463"/>
      <c r="J121" s="463"/>
      <c r="K121" s="463"/>
      <c r="L121" s="606"/>
      <c r="M121" s="464" t="e">
        <f>RANK(K121, K$107:$K$121)</f>
        <v>#N/A</v>
      </c>
      <c r="N121" s="544"/>
      <c r="O121" s="544"/>
      <c r="P121" s="463" t="s">
        <v>578</v>
      </c>
      <c r="Q121" s="464" t="s">
        <v>578</v>
      </c>
      <c r="R121" s="464" t="s">
        <v>578</v>
      </c>
      <c r="S121" s="463" t="e">
        <f t="shared" si="72"/>
        <v>#VALUE!</v>
      </c>
      <c r="T121" s="536"/>
      <c r="U121" s="463" t="s">
        <v>578</v>
      </c>
      <c r="V121" s="464" t="s">
        <v>578</v>
      </c>
      <c r="W121" s="464" t="s">
        <v>578</v>
      </c>
      <c r="X121" s="463" t="e">
        <f t="shared" si="73"/>
        <v>#VALUE!</v>
      </c>
      <c r="Y121" s="536"/>
      <c r="Z121" s="318"/>
      <c r="AA121" s="318"/>
      <c r="AB121" s="318"/>
      <c r="AC121" s="304" t="e">
        <f t="shared" si="74"/>
        <v>#N/A</v>
      </c>
      <c r="AD121" s="599"/>
      <c r="AE121" s="318"/>
      <c r="AF121" s="318"/>
      <c r="AG121" s="318"/>
      <c r="AH121" s="304" t="e">
        <f t="shared" si="75"/>
        <v>#N/A</v>
      </c>
      <c r="AI121" s="599"/>
      <c r="AJ121" s="318"/>
      <c r="AK121" s="318"/>
      <c r="AL121" s="318"/>
      <c r="AM121" s="304" t="e">
        <f t="shared" si="76"/>
        <v>#N/A</v>
      </c>
      <c r="AN121" s="599"/>
      <c r="AO121" s="318"/>
      <c r="AP121" s="318"/>
      <c r="AQ121" s="318"/>
      <c r="AR121" s="304" t="e">
        <f t="shared" si="77"/>
        <v>#N/A</v>
      </c>
      <c r="AS121" s="599"/>
      <c r="AT121" s="318"/>
      <c r="AU121" s="318"/>
      <c r="AV121" s="318"/>
      <c r="AW121" s="304" t="e">
        <f t="shared" si="78"/>
        <v>#N/A</v>
      </c>
      <c r="AX121" s="534"/>
    </row>
    <row r="123" spans="2:50" ht="15.5">
      <c r="B123" s="540" t="s">
        <v>485</v>
      </c>
      <c r="C123" s="541"/>
      <c r="D123" s="541"/>
      <c r="E123" s="541"/>
      <c r="F123" s="541"/>
      <c r="G123" s="541"/>
      <c r="H123" s="542"/>
      <c r="I123" s="308"/>
      <c r="J123" s="308"/>
      <c r="K123" s="308"/>
      <c r="L123" s="308"/>
      <c r="M123" s="309"/>
    </row>
    <row r="124" spans="2:50" ht="15.5">
      <c r="B124" s="543"/>
      <c r="C124" s="543"/>
      <c r="D124" s="543"/>
      <c r="E124" s="543"/>
      <c r="F124" s="543"/>
      <c r="G124" s="543"/>
      <c r="H124" s="543"/>
      <c r="I124" s="310"/>
      <c r="J124" s="310"/>
      <c r="K124" s="310"/>
      <c r="L124" s="310"/>
      <c r="M124" s="311"/>
    </row>
    <row r="125" spans="2:50">
      <c r="B125" s="544" t="s">
        <v>486</v>
      </c>
      <c r="C125" s="544" t="s">
        <v>487</v>
      </c>
      <c r="D125" s="544"/>
      <c r="E125" s="544" t="s">
        <v>488</v>
      </c>
      <c r="F125" s="544"/>
      <c r="G125" s="544"/>
      <c r="H125" s="561" t="s">
        <v>489</v>
      </c>
      <c r="I125" s="545" t="s">
        <v>490</v>
      </c>
      <c r="J125" s="545"/>
      <c r="K125" s="545"/>
      <c r="L125" s="600" t="s">
        <v>489</v>
      </c>
      <c r="M125" s="603" t="s">
        <v>491</v>
      </c>
    </row>
    <row r="126" spans="2:50">
      <c r="B126" s="544"/>
      <c r="C126" s="544"/>
      <c r="D126" s="544"/>
      <c r="E126" s="544" t="s">
        <v>492</v>
      </c>
      <c r="F126" s="544"/>
      <c r="G126" s="544"/>
      <c r="H126" s="562"/>
      <c r="I126" s="545" t="s">
        <v>492</v>
      </c>
      <c r="J126" s="545"/>
      <c r="K126" s="545"/>
      <c r="L126" s="601"/>
      <c r="M126" s="604"/>
    </row>
    <row r="127" spans="2:50">
      <c r="B127" s="544"/>
      <c r="C127" s="544"/>
      <c r="D127" s="544"/>
      <c r="E127" s="305" t="s">
        <v>493</v>
      </c>
      <c r="F127" s="305" t="s">
        <v>494</v>
      </c>
      <c r="G127" s="305" t="s">
        <v>495</v>
      </c>
      <c r="H127" s="563"/>
      <c r="I127" s="312" t="s">
        <v>493</v>
      </c>
      <c r="J127" s="312" t="s">
        <v>494</v>
      </c>
      <c r="K127" s="312" t="s">
        <v>495</v>
      </c>
      <c r="L127" s="602"/>
      <c r="M127" s="605"/>
    </row>
    <row r="128" spans="2:50">
      <c r="B128" s="544" t="s">
        <v>464</v>
      </c>
      <c r="C128" s="304">
        <v>1</v>
      </c>
      <c r="D128" s="313" t="s">
        <v>986</v>
      </c>
      <c r="E128" s="182">
        <v>21</v>
      </c>
      <c r="F128" s="304">
        <v>2400</v>
      </c>
      <c r="G128" s="307">
        <v>114.28571428571429</v>
      </c>
      <c r="H128" s="597">
        <f>AVERAGE(G128:G142)</f>
        <v>111.04546005536717</v>
      </c>
      <c r="I128" s="199">
        <f t="shared" ref="I128:J132" si="79">AVERAGEIF($D$7:$D$121,$D128,I$7:I$121)</f>
        <v>19.642857142857142</v>
      </c>
      <c r="J128" s="199">
        <f t="shared" si="79"/>
        <v>2184.5093818994278</v>
      </c>
      <c r="K128" s="468">
        <f>AVERAGEIF($D$7:$D$121,$D128,K$7:K$121)</f>
        <v>111.39251599159003</v>
      </c>
      <c r="L128" s="587">
        <f>AVERAGE(K128:K142)</f>
        <v>91.404171470181538</v>
      </c>
      <c r="M128" s="199">
        <f>RANK(K128, K$128:$K$142)</f>
        <v>4</v>
      </c>
    </row>
    <row r="129" spans="2:13">
      <c r="B129" s="533"/>
      <c r="C129" s="304">
        <v>2</v>
      </c>
      <c r="D129" s="313" t="s">
        <v>1021</v>
      </c>
      <c r="E129" s="182">
        <v>18</v>
      </c>
      <c r="F129" s="304">
        <v>3000</v>
      </c>
      <c r="G129" s="307">
        <v>166.66666666666666</v>
      </c>
      <c r="H129" s="598"/>
      <c r="I129" s="199">
        <f t="shared" si="79"/>
        <v>18.976190476190478</v>
      </c>
      <c r="J129" s="199">
        <f t="shared" si="79"/>
        <v>2455.8133107240506</v>
      </c>
      <c r="K129" s="468">
        <f>AVERAGEIF($D$7:$D$121,$D129,K$7:K$121)</f>
        <v>129.42294810246074</v>
      </c>
      <c r="L129" s="588"/>
      <c r="M129" s="199">
        <f>RANK(K129, K$128:$K$142)</f>
        <v>2</v>
      </c>
    </row>
    <row r="130" spans="2:13">
      <c r="B130" s="533"/>
      <c r="C130" s="304">
        <v>3</v>
      </c>
      <c r="D130" s="313" t="s">
        <v>991</v>
      </c>
      <c r="E130" s="182">
        <v>18</v>
      </c>
      <c r="F130" s="304">
        <v>3000</v>
      </c>
      <c r="G130" s="307">
        <v>166.66666666666666</v>
      </c>
      <c r="H130" s="598"/>
      <c r="I130" s="199">
        <f t="shared" si="79"/>
        <v>19.107142857142858</v>
      </c>
      <c r="J130" s="199">
        <f t="shared" si="79"/>
        <v>2489.4898997358064</v>
      </c>
      <c r="K130" s="468">
        <f>AVERAGEIF($D$7:$D$121,$D130,K$7:K$121)</f>
        <v>130.33366473459344</v>
      </c>
      <c r="L130" s="588"/>
      <c r="M130" s="199">
        <f>RANK(K130, K$128:$K$142)</f>
        <v>1</v>
      </c>
    </row>
    <row r="131" spans="2:13">
      <c r="B131" s="533"/>
      <c r="C131" s="304">
        <v>4</v>
      </c>
      <c r="D131" s="313" t="s">
        <v>1022</v>
      </c>
      <c r="E131" s="182">
        <v>19</v>
      </c>
      <c r="F131" s="304">
        <v>3000</v>
      </c>
      <c r="G131" s="307">
        <v>157.89473684210526</v>
      </c>
      <c r="H131" s="598"/>
      <c r="I131" s="199">
        <f t="shared" si="79"/>
        <v>19.428571428571427</v>
      </c>
      <c r="J131" s="199">
        <f t="shared" si="79"/>
        <v>2483.0491102129167</v>
      </c>
      <c r="K131" s="468">
        <f>AVERAGEIF($D$7:$D$121,$D131,K$7:K$121)</f>
        <v>127.88983651682281</v>
      </c>
      <c r="L131" s="588"/>
      <c r="M131" s="199">
        <f>RANK(K131, K$128:$K$142)</f>
        <v>3</v>
      </c>
    </row>
    <row r="132" spans="2:13">
      <c r="B132" s="533"/>
      <c r="C132" s="304">
        <v>5</v>
      </c>
      <c r="D132" s="313" t="s">
        <v>987</v>
      </c>
      <c r="E132" s="182">
        <v>20</v>
      </c>
      <c r="F132" s="304">
        <v>2250</v>
      </c>
      <c r="G132" s="307">
        <v>112.5</v>
      </c>
      <c r="H132" s="598"/>
      <c r="I132" s="199">
        <f t="shared" si="79"/>
        <v>20.047619047619047</v>
      </c>
      <c r="J132" s="199">
        <f t="shared" si="79"/>
        <v>2078.8509936841519</v>
      </c>
      <c r="K132" s="468">
        <f>AVERAGEIF($D$7:$D$121,$D132,K$7:K$121)</f>
        <v>103.69808063559107</v>
      </c>
      <c r="L132" s="588"/>
      <c r="M132" s="199">
        <f>RANK(K132, K$128:$K$142)</f>
        <v>5</v>
      </c>
    </row>
    <row r="133" spans="2:13">
      <c r="B133" s="533"/>
      <c r="C133" s="304">
        <v>6</v>
      </c>
      <c r="D133" s="313" t="s">
        <v>988</v>
      </c>
      <c r="E133" s="182">
        <v>19</v>
      </c>
      <c r="F133" s="304">
        <v>1100</v>
      </c>
      <c r="G133" s="307">
        <v>57.89473684210526</v>
      </c>
      <c r="H133" s="598"/>
      <c r="I133" s="199">
        <v>19.88095238095238</v>
      </c>
      <c r="J133" s="199">
        <v>1085.0644041993396</v>
      </c>
      <c r="K133" s="468">
        <v>54.608515640448168</v>
      </c>
      <c r="L133" s="588"/>
      <c r="M133" s="199">
        <f>RANK(K133, K$128:$K$142)</f>
        <v>7</v>
      </c>
    </row>
    <row r="134" spans="2:13">
      <c r="B134" s="533"/>
      <c r="C134" s="304">
        <v>7</v>
      </c>
      <c r="D134" s="313" t="s">
        <v>989</v>
      </c>
      <c r="E134" s="182">
        <v>19</v>
      </c>
      <c r="F134" s="304">
        <v>1385</v>
      </c>
      <c r="G134" s="307">
        <v>72.89473684210526</v>
      </c>
      <c r="H134" s="598"/>
      <c r="I134" s="199">
        <v>19.80952380952381</v>
      </c>
      <c r="J134" s="199">
        <v>1044.3060317906693</v>
      </c>
      <c r="K134" s="468">
        <v>52.747904742437377</v>
      </c>
      <c r="L134" s="588"/>
      <c r="M134" s="199">
        <f>RANK(K134, K$128:$K$142)</f>
        <v>9</v>
      </c>
    </row>
    <row r="135" spans="2:13">
      <c r="B135" s="533"/>
      <c r="C135" s="304">
        <v>8</v>
      </c>
      <c r="D135" s="313" t="s">
        <v>990</v>
      </c>
      <c r="E135" s="182">
        <v>17</v>
      </c>
      <c r="F135" s="304">
        <v>1440</v>
      </c>
      <c r="G135" s="307">
        <v>84.705882352941174</v>
      </c>
      <c r="H135" s="598"/>
      <c r="I135" s="199">
        <v>18.333333333333332</v>
      </c>
      <c r="J135" s="199">
        <v>1076.6287781544645</v>
      </c>
      <c r="K135" s="468">
        <v>58.763328547371259</v>
      </c>
      <c r="L135" s="588"/>
      <c r="M135" s="199">
        <f>RANK(K135, K$128:$K$142)</f>
        <v>6</v>
      </c>
    </row>
    <row r="136" spans="2:13">
      <c r="B136" s="533"/>
      <c r="C136" s="304">
        <v>9</v>
      </c>
      <c r="D136" s="313" t="s">
        <v>1020</v>
      </c>
      <c r="E136" s="304">
        <v>21</v>
      </c>
      <c r="F136" s="304">
        <v>1385</v>
      </c>
      <c r="G136" s="304">
        <v>65.900000000000006</v>
      </c>
      <c r="H136" s="598"/>
      <c r="I136" s="199">
        <v>20</v>
      </c>
      <c r="J136" s="199">
        <v>1075.6149664063794</v>
      </c>
      <c r="K136" s="468">
        <v>53.780748320318978</v>
      </c>
      <c r="L136" s="588"/>
      <c r="M136" s="199">
        <f>RANK(K136, K$128:$K$142)</f>
        <v>8</v>
      </c>
    </row>
    <row r="137" spans="2:13">
      <c r="B137" s="533"/>
      <c r="C137" s="304">
        <v>10</v>
      </c>
      <c r="D137" s="226"/>
      <c r="E137" s="304"/>
      <c r="F137" s="304"/>
      <c r="G137" s="304"/>
      <c r="H137" s="598"/>
      <c r="I137" s="199"/>
      <c r="J137" s="199"/>
      <c r="K137" s="468"/>
      <c r="L137" s="588"/>
      <c r="M137" s="199" t="e">
        <f>RANK(K137, K$128:$K$142)</f>
        <v>#N/A</v>
      </c>
    </row>
    <row r="138" spans="2:13">
      <c r="B138" s="533"/>
      <c r="C138" s="304">
        <v>11</v>
      </c>
      <c r="D138" s="226"/>
      <c r="E138" s="304"/>
      <c r="F138" s="304"/>
      <c r="G138" s="304"/>
      <c r="H138" s="598"/>
      <c r="I138" s="199"/>
      <c r="J138" s="199"/>
      <c r="K138" s="468"/>
      <c r="L138" s="588"/>
      <c r="M138" s="199" t="e">
        <f>RANK(K138, K$128:$K$142)</f>
        <v>#N/A</v>
      </c>
    </row>
    <row r="139" spans="2:13">
      <c r="B139" s="533"/>
      <c r="C139" s="304">
        <v>12</v>
      </c>
      <c r="D139" s="226"/>
      <c r="E139" s="304"/>
      <c r="F139" s="304"/>
      <c r="G139" s="304"/>
      <c r="H139" s="598"/>
      <c r="I139" s="199"/>
      <c r="J139" s="199"/>
      <c r="K139" s="468"/>
      <c r="L139" s="588"/>
      <c r="M139" s="199" t="e">
        <f>RANK(K139, K$128:$K$142)</f>
        <v>#N/A</v>
      </c>
    </row>
    <row r="140" spans="2:13">
      <c r="B140" s="533"/>
      <c r="C140" s="304">
        <v>13</v>
      </c>
      <c r="D140" s="226"/>
      <c r="E140" s="304"/>
      <c r="F140" s="304"/>
      <c r="G140" s="304"/>
      <c r="H140" s="598"/>
      <c r="I140" s="199"/>
      <c r="J140" s="199"/>
      <c r="K140" s="468"/>
      <c r="L140" s="588"/>
      <c r="M140" s="199" t="e">
        <f>RANK(K140, K$128:$K$142)</f>
        <v>#N/A</v>
      </c>
    </row>
    <row r="141" spans="2:13">
      <c r="B141" s="533"/>
      <c r="C141" s="304">
        <v>14</v>
      </c>
      <c r="D141" s="226"/>
      <c r="E141" s="304"/>
      <c r="F141" s="304"/>
      <c r="G141" s="304"/>
      <c r="H141" s="598"/>
      <c r="I141" s="199"/>
      <c r="J141" s="199"/>
      <c r="K141" s="468"/>
      <c r="L141" s="588"/>
      <c r="M141" s="199" t="e">
        <f>RANK(K141, K$128:$K$142)</f>
        <v>#N/A</v>
      </c>
    </row>
    <row r="142" spans="2:13">
      <c r="B142" s="533"/>
      <c r="C142" s="304">
        <v>15</v>
      </c>
      <c r="D142" s="226"/>
      <c r="E142" s="304"/>
      <c r="F142" s="304"/>
      <c r="G142" s="304"/>
      <c r="H142" s="599"/>
      <c r="I142" s="199"/>
      <c r="J142" s="199"/>
      <c r="K142" s="468"/>
      <c r="L142" s="589"/>
      <c r="M142" s="199" t="e">
        <f>RANK(K142, K$128:$K$142)</f>
        <v>#N/A</v>
      </c>
    </row>
  </sheetData>
  <mergeCells count="367">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T22:AX22"/>
    <mergeCell ref="P23:T23"/>
    <mergeCell ref="U23:Y23"/>
    <mergeCell ref="Z23:AD23"/>
    <mergeCell ref="AE23:AI23"/>
    <mergeCell ref="AJ23:AN23"/>
    <mergeCell ref="AO23:AS23"/>
    <mergeCell ref="AT23:AX23"/>
    <mergeCell ref="AX7:AX21"/>
    <mergeCell ref="B22:H23"/>
    <mergeCell ref="N22:N23"/>
    <mergeCell ref="O22:O23"/>
    <mergeCell ref="P22:T22"/>
    <mergeCell ref="U22:Y22"/>
    <mergeCell ref="Z22:AD22"/>
    <mergeCell ref="AE22:AI22"/>
    <mergeCell ref="AJ22:AN22"/>
    <mergeCell ref="AO22:AS22"/>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102:H103"/>
    <mergeCell ref="N102:N103"/>
    <mergeCell ref="O102:O103"/>
    <mergeCell ref="P102:T102"/>
    <mergeCell ref="U102:Y102"/>
    <mergeCell ref="Z102:AD102"/>
    <mergeCell ref="AE102:AI102"/>
    <mergeCell ref="AJ102:AN102"/>
    <mergeCell ref="AO102:AS102"/>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B128:B142"/>
    <mergeCell ref="H128:H142"/>
    <mergeCell ref="L128:L142"/>
    <mergeCell ref="AX107:AX121"/>
    <mergeCell ref="E125:G125"/>
    <mergeCell ref="I125:K125"/>
    <mergeCell ref="B107:B121"/>
    <mergeCell ref="H107:H121"/>
    <mergeCell ref="L107:L121"/>
    <mergeCell ref="T107:T121"/>
    <mergeCell ref="Y107:Y121"/>
    <mergeCell ref="AD107:AD121"/>
    <mergeCell ref="AI107:AI121"/>
    <mergeCell ref="AN107:AN121"/>
    <mergeCell ref="AS107:AS121"/>
    <mergeCell ref="B123:H124"/>
    <mergeCell ref="B125:B127"/>
    <mergeCell ref="C125:D127"/>
    <mergeCell ref="H125:H127"/>
    <mergeCell ref="L125:L127"/>
    <mergeCell ref="M125:M127"/>
    <mergeCell ref="E126:G126"/>
    <mergeCell ref="I126:K126"/>
  </mergeCells>
  <phoneticPr fontId="11" type="noConversion"/>
  <pageMargins left="0.7" right="0.7" top="0.75" bottom="0.75" header="0.3" footer="0.3"/>
  <pageSetup paperSize="9"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142"/>
  <sheetViews>
    <sheetView topLeftCell="A103" zoomScale="70" zoomScaleNormal="70" workbookViewId="0">
      <pane xSplit="15" topLeftCell="P1" activePane="topRight" state="frozen"/>
      <selection activeCell="B144" sqref="B144:AX176"/>
      <selection pane="topRight" activeCell="D135" sqref="D135"/>
    </sheetView>
  </sheetViews>
  <sheetFormatPr defaultColWidth="8.81640625" defaultRowHeight="12.5"/>
  <cols>
    <col min="1" max="1" width="5.54296875" style="108" customWidth="1"/>
    <col min="2" max="2" width="12.453125" style="108" customWidth="1"/>
    <col min="3" max="3" width="8.81640625" style="107"/>
    <col min="4" max="4" width="26.453125" style="107" customWidth="1"/>
    <col min="5" max="7" width="8.453125" style="107" customWidth="1"/>
    <col min="8" max="8" width="11.1796875" style="107" bestFit="1" customWidth="1"/>
    <col min="9" max="12" width="11.1796875" style="107" customWidth="1"/>
    <col min="13" max="13" width="13.54296875" style="107" customWidth="1"/>
    <col min="14" max="14" width="9.81640625" style="107" customWidth="1"/>
    <col min="15" max="15" width="7.1796875" style="107" customWidth="1"/>
    <col min="16" max="18" width="12.81640625" style="107" customWidth="1"/>
    <col min="19" max="19" width="5.453125" style="107" customWidth="1"/>
    <col min="20" max="20" width="12.81640625" style="107" customWidth="1"/>
    <col min="21" max="23" width="12.81640625" style="108" customWidth="1"/>
    <col min="24" max="24" width="5.453125" style="107" customWidth="1"/>
    <col min="25" max="28" width="12.81640625" style="108" customWidth="1"/>
    <col min="29" max="29" width="5.453125" style="107" customWidth="1"/>
    <col min="30" max="30" width="12.81640625" style="108" customWidth="1"/>
    <col min="31" max="33" width="12.54296875" style="108" customWidth="1"/>
    <col min="34" max="34" width="5.453125" style="107" customWidth="1"/>
    <col min="35" max="35" width="13" style="108" customWidth="1"/>
    <col min="36" max="38" width="12.54296875" style="108" customWidth="1"/>
    <col min="39" max="39" width="5.453125" style="107" customWidth="1"/>
    <col min="40" max="40" width="13" style="108" customWidth="1"/>
    <col min="41" max="43" width="13.1796875" style="108" customWidth="1"/>
    <col min="44" max="44" width="5.453125" style="108" customWidth="1"/>
    <col min="45" max="48" width="13.1796875" style="108" customWidth="1"/>
    <col min="49" max="49" width="5.453125" style="108" customWidth="1"/>
    <col min="50" max="50" width="13.1796875" style="108" customWidth="1"/>
    <col min="51" max="16384" width="8.81640625" style="108"/>
  </cols>
  <sheetData>
    <row r="1" spans="1:54" ht="21">
      <c r="A1" s="75"/>
      <c r="B1" s="221" t="s">
        <v>330</v>
      </c>
      <c r="C1" s="220">
        <f>AVERAGE(L7,L27,L47,L67,L87,L107)</f>
        <v>119.11370110269712</v>
      </c>
    </row>
    <row r="2" spans="1:54" ht="15.5">
      <c r="A2" s="81"/>
      <c r="B2" s="555" t="s">
        <v>163</v>
      </c>
      <c r="C2" s="555"/>
      <c r="D2" s="555"/>
      <c r="E2" s="555"/>
      <c r="F2" s="555"/>
      <c r="G2" s="555"/>
      <c r="H2" s="555"/>
      <c r="I2" s="287"/>
      <c r="J2" s="287"/>
      <c r="K2" s="287"/>
      <c r="L2" s="287"/>
      <c r="M2" s="197"/>
      <c r="N2" s="559" t="s">
        <v>156</v>
      </c>
      <c r="O2" s="559" t="s">
        <v>155</v>
      </c>
      <c r="P2" s="607"/>
      <c r="Q2" s="608"/>
      <c r="R2" s="608"/>
      <c r="S2" s="608"/>
      <c r="T2" s="609"/>
      <c r="U2" s="554"/>
      <c r="V2" s="533"/>
      <c r="W2" s="533"/>
      <c r="X2" s="533"/>
      <c r="Y2" s="533"/>
      <c r="Z2" s="554"/>
      <c r="AA2" s="533"/>
      <c r="AB2" s="533"/>
      <c r="AC2" s="533"/>
      <c r="AD2" s="533"/>
      <c r="AE2" s="554"/>
      <c r="AF2" s="533"/>
      <c r="AG2" s="533"/>
      <c r="AH2" s="533"/>
      <c r="AI2" s="533"/>
      <c r="AJ2" s="554">
        <v>45962</v>
      </c>
      <c r="AK2" s="533"/>
      <c r="AL2" s="533"/>
      <c r="AM2" s="533"/>
      <c r="AN2" s="533"/>
      <c r="AO2" s="554">
        <f>AJ2+1</f>
        <v>45963</v>
      </c>
      <c r="AP2" s="533"/>
      <c r="AQ2" s="533"/>
      <c r="AR2" s="533"/>
      <c r="AS2" s="533"/>
      <c r="AT2" s="554">
        <v>46357</v>
      </c>
      <c r="AU2" s="533"/>
      <c r="AV2" s="533"/>
      <c r="AW2" s="533"/>
      <c r="AX2" s="533"/>
    </row>
    <row r="3" spans="1:54" ht="15.5">
      <c r="A3" s="81"/>
      <c r="B3" s="566"/>
      <c r="C3" s="566"/>
      <c r="D3" s="566"/>
      <c r="E3" s="566"/>
      <c r="F3" s="566"/>
      <c r="G3" s="566"/>
      <c r="H3" s="566"/>
      <c r="I3" s="288"/>
      <c r="J3" s="288"/>
      <c r="K3" s="288"/>
      <c r="L3" s="288"/>
      <c r="M3" s="198"/>
      <c r="N3" s="560"/>
      <c r="O3" s="560"/>
      <c r="P3" s="551"/>
      <c r="Q3" s="552"/>
      <c r="R3" s="552"/>
      <c r="S3" s="552"/>
      <c r="T3" s="553"/>
      <c r="U3" s="551"/>
      <c r="V3" s="552"/>
      <c r="W3" s="552"/>
      <c r="X3" s="552"/>
      <c r="Y3" s="553"/>
      <c r="Z3" s="551"/>
      <c r="AA3" s="552"/>
      <c r="AB3" s="552"/>
      <c r="AC3" s="552"/>
      <c r="AD3" s="553"/>
      <c r="AE3" s="551"/>
      <c r="AF3" s="552"/>
      <c r="AG3" s="552"/>
      <c r="AH3" s="552"/>
      <c r="AI3" s="553"/>
      <c r="AJ3" s="551" t="s">
        <v>160</v>
      </c>
      <c r="AK3" s="552"/>
      <c r="AL3" s="552"/>
      <c r="AM3" s="552"/>
      <c r="AN3" s="553"/>
      <c r="AO3" s="551" t="s">
        <v>161</v>
      </c>
      <c r="AP3" s="552"/>
      <c r="AQ3" s="552"/>
      <c r="AR3" s="552"/>
      <c r="AS3" s="553"/>
      <c r="AT3" s="551" t="s">
        <v>162</v>
      </c>
      <c r="AU3" s="552"/>
      <c r="AV3" s="552"/>
      <c r="AW3" s="552"/>
      <c r="AX3" s="553"/>
    </row>
    <row r="4" spans="1:54">
      <c r="A4" s="81"/>
      <c r="B4" s="544" t="s">
        <v>649</v>
      </c>
      <c r="C4" s="544" t="s">
        <v>650</v>
      </c>
      <c r="D4" s="544"/>
      <c r="E4" s="544" t="s">
        <v>651</v>
      </c>
      <c r="F4" s="544"/>
      <c r="G4" s="544"/>
      <c r="H4" s="561" t="s">
        <v>652</v>
      </c>
      <c r="I4" s="583" t="s">
        <v>653</v>
      </c>
      <c r="J4" s="583"/>
      <c r="K4" s="583"/>
      <c r="L4" s="584" t="s">
        <v>652</v>
      </c>
      <c r="M4" s="567" t="s">
        <v>654</v>
      </c>
      <c r="N4" s="544"/>
      <c r="O4" s="544" t="s">
        <v>655</v>
      </c>
      <c r="P4" s="548" t="s">
        <v>656</v>
      </c>
      <c r="Q4" s="549"/>
      <c r="R4" s="549"/>
      <c r="S4" s="550"/>
      <c r="T4" s="544" t="s">
        <v>652</v>
      </c>
      <c r="U4" s="548" t="s">
        <v>656</v>
      </c>
      <c r="V4" s="549"/>
      <c r="W4" s="549"/>
      <c r="X4" s="550"/>
      <c r="Y4" s="544" t="s">
        <v>652</v>
      </c>
      <c r="Z4" s="548" t="s">
        <v>656</v>
      </c>
      <c r="AA4" s="549"/>
      <c r="AB4" s="549"/>
      <c r="AC4" s="550"/>
      <c r="AD4" s="544" t="s">
        <v>652</v>
      </c>
      <c r="AE4" s="548" t="s">
        <v>656</v>
      </c>
      <c r="AF4" s="549"/>
      <c r="AG4" s="549"/>
      <c r="AH4" s="550"/>
      <c r="AI4" s="544" t="s">
        <v>652</v>
      </c>
      <c r="AJ4" s="548" t="s">
        <v>656</v>
      </c>
      <c r="AK4" s="549"/>
      <c r="AL4" s="549"/>
      <c r="AM4" s="550"/>
      <c r="AN4" s="544" t="s">
        <v>652</v>
      </c>
      <c r="AO4" s="548" t="s">
        <v>656</v>
      </c>
      <c r="AP4" s="549"/>
      <c r="AQ4" s="549"/>
      <c r="AR4" s="550"/>
      <c r="AS4" s="544" t="s">
        <v>652</v>
      </c>
      <c r="AT4" s="548" t="s">
        <v>656</v>
      </c>
      <c r="AU4" s="549"/>
      <c r="AV4" s="549"/>
      <c r="AW4" s="550"/>
      <c r="AX4" s="544" t="s">
        <v>652</v>
      </c>
    </row>
    <row r="5" spans="1:54">
      <c r="A5" s="81"/>
      <c r="B5" s="544"/>
      <c r="C5" s="544"/>
      <c r="D5" s="544"/>
      <c r="E5" s="544" t="s">
        <v>657</v>
      </c>
      <c r="F5" s="544"/>
      <c r="G5" s="544"/>
      <c r="H5" s="562"/>
      <c r="I5" s="583" t="s">
        <v>657</v>
      </c>
      <c r="J5" s="583"/>
      <c r="K5" s="583"/>
      <c r="L5" s="585"/>
      <c r="M5" s="568"/>
      <c r="N5" s="544"/>
      <c r="O5" s="544"/>
      <c r="P5" s="548" t="s">
        <v>658</v>
      </c>
      <c r="Q5" s="549"/>
      <c r="R5" s="549"/>
      <c r="S5" s="550"/>
      <c r="T5" s="544"/>
      <c r="U5" s="548" t="s">
        <v>658</v>
      </c>
      <c r="V5" s="549"/>
      <c r="W5" s="549"/>
      <c r="X5" s="550"/>
      <c r="Y5" s="544"/>
      <c r="Z5" s="548" t="s">
        <v>658</v>
      </c>
      <c r="AA5" s="549"/>
      <c r="AB5" s="549"/>
      <c r="AC5" s="550"/>
      <c r="AD5" s="544"/>
      <c r="AE5" s="548" t="s">
        <v>658</v>
      </c>
      <c r="AF5" s="549"/>
      <c r="AG5" s="549"/>
      <c r="AH5" s="550"/>
      <c r="AI5" s="544"/>
      <c r="AJ5" s="548" t="s">
        <v>658</v>
      </c>
      <c r="AK5" s="549"/>
      <c r="AL5" s="549"/>
      <c r="AM5" s="550"/>
      <c r="AN5" s="544"/>
      <c r="AO5" s="548" t="s">
        <v>658</v>
      </c>
      <c r="AP5" s="549"/>
      <c r="AQ5" s="549"/>
      <c r="AR5" s="550"/>
      <c r="AS5" s="544"/>
      <c r="AT5" s="548" t="s">
        <v>658</v>
      </c>
      <c r="AU5" s="549"/>
      <c r="AV5" s="549"/>
      <c r="AW5" s="550"/>
      <c r="AX5" s="544"/>
    </row>
    <row r="6" spans="1:54">
      <c r="A6" s="79"/>
      <c r="B6" s="544"/>
      <c r="C6" s="544"/>
      <c r="D6" s="544"/>
      <c r="E6" s="403" t="s">
        <v>659</v>
      </c>
      <c r="F6" s="403" t="s">
        <v>660</v>
      </c>
      <c r="G6" s="403" t="s">
        <v>661</v>
      </c>
      <c r="H6" s="563"/>
      <c r="I6" s="402" t="s">
        <v>659</v>
      </c>
      <c r="J6" s="402" t="s">
        <v>660</v>
      </c>
      <c r="K6" s="402" t="s">
        <v>661</v>
      </c>
      <c r="L6" s="586"/>
      <c r="M6" s="569"/>
      <c r="N6" s="544"/>
      <c r="O6" s="544"/>
      <c r="P6" s="403" t="s">
        <v>659</v>
      </c>
      <c r="Q6" s="403" t="s">
        <v>660</v>
      </c>
      <c r="R6" s="403" t="s">
        <v>661</v>
      </c>
      <c r="S6" s="403" t="s">
        <v>654</v>
      </c>
      <c r="T6" s="544"/>
      <c r="U6" s="403" t="s">
        <v>659</v>
      </c>
      <c r="V6" s="403" t="s">
        <v>660</v>
      </c>
      <c r="W6" s="403" t="s">
        <v>661</v>
      </c>
      <c r="X6" s="403" t="s">
        <v>654</v>
      </c>
      <c r="Y6" s="544"/>
      <c r="Z6" s="403" t="s">
        <v>659</v>
      </c>
      <c r="AA6" s="403" t="s">
        <v>660</v>
      </c>
      <c r="AB6" s="403" t="s">
        <v>661</v>
      </c>
      <c r="AC6" s="403" t="s">
        <v>654</v>
      </c>
      <c r="AD6" s="544"/>
      <c r="AE6" s="403" t="s">
        <v>659</v>
      </c>
      <c r="AF6" s="403" t="s">
        <v>660</v>
      </c>
      <c r="AG6" s="403" t="s">
        <v>661</v>
      </c>
      <c r="AH6" s="403" t="s">
        <v>654</v>
      </c>
      <c r="AI6" s="544"/>
      <c r="AJ6" s="403" t="s">
        <v>659</v>
      </c>
      <c r="AK6" s="403" t="s">
        <v>660</v>
      </c>
      <c r="AL6" s="403" t="s">
        <v>661</v>
      </c>
      <c r="AM6" s="403" t="s">
        <v>654</v>
      </c>
      <c r="AN6" s="544"/>
      <c r="AO6" s="403" t="s">
        <v>659</v>
      </c>
      <c r="AP6" s="403" t="s">
        <v>660</v>
      </c>
      <c r="AQ6" s="403" t="s">
        <v>661</v>
      </c>
      <c r="AR6" s="403" t="s">
        <v>654</v>
      </c>
      <c r="AS6" s="544"/>
      <c r="AT6" s="403" t="s">
        <v>659</v>
      </c>
      <c r="AU6" s="403" t="s">
        <v>660</v>
      </c>
      <c r="AV6" s="403" t="s">
        <v>661</v>
      </c>
      <c r="AW6" s="403" t="s">
        <v>654</v>
      </c>
      <c r="AX6" s="544"/>
    </row>
    <row r="7" spans="1:54">
      <c r="A7" s="81"/>
      <c r="B7" s="544" t="s">
        <v>794</v>
      </c>
      <c r="C7" s="404">
        <v>1</v>
      </c>
      <c r="D7" s="226" t="s">
        <v>399</v>
      </c>
      <c r="E7" s="182">
        <v>7</v>
      </c>
      <c r="F7" s="404">
        <v>1500</v>
      </c>
      <c r="G7" s="405">
        <v>214.28571428571428</v>
      </c>
      <c r="H7" s="597">
        <f>AVERAGE(G7:G21)</f>
        <v>123.60609243697479</v>
      </c>
      <c r="I7" s="408">
        <f>AVERAGE(P7,U7,Z7,AE7,AJ7,AO7,AT7)</f>
        <v>7</v>
      </c>
      <c r="J7" s="408">
        <f>AVERAGE(Q7,V7,AA7,AF7,AK7,AP7,AU7)</f>
        <v>1314.4827586206893</v>
      </c>
      <c r="K7" s="406">
        <f>AVERAGE(R7,W7,AB7,AG7,AL7,AQ7,AV7)</f>
        <v>187.78325123152703</v>
      </c>
      <c r="L7" s="587">
        <f>IFERROR(AVERAGE(K7:K21),"-")</f>
        <v>110.03239847116873</v>
      </c>
      <c r="M7" s="407">
        <f>RANK(K7, $K$7:K$21)</f>
        <v>1</v>
      </c>
      <c r="N7" s="544"/>
      <c r="O7" s="544"/>
      <c r="P7" s="182"/>
      <c r="Q7" s="182"/>
      <c r="R7" s="405"/>
      <c r="S7" s="404" t="e">
        <f t="shared" ref="S7:S21" si="0">RANK(R7, R$7:R$21)</f>
        <v>#N/A</v>
      </c>
      <c r="T7" s="537" t="e">
        <f t="shared" ref="T7" si="1">AVERAGE(R7:R21)</f>
        <v>#DIV/0!</v>
      </c>
      <c r="U7" s="182"/>
      <c r="V7" s="182"/>
      <c r="W7" s="405"/>
      <c r="X7" s="404" t="e">
        <f t="shared" ref="X7:X21" si="2">RANK(W7, W$7:W$21)</f>
        <v>#N/A</v>
      </c>
      <c r="Y7" s="537" t="e">
        <f t="shared" ref="Y7" si="3">AVERAGE(W7:W21)</f>
        <v>#DIV/0!</v>
      </c>
      <c r="Z7" s="182"/>
      <c r="AA7" s="182"/>
      <c r="AB7" s="405"/>
      <c r="AC7" s="404" t="e">
        <f t="shared" ref="AC7:AC21" si="4">RANK(AB7, AB$7:AB$21)</f>
        <v>#N/A</v>
      </c>
      <c r="AD7" s="537" t="e">
        <f t="shared" ref="AD7" si="5">AVERAGE(AB7:AB21)</f>
        <v>#DIV/0!</v>
      </c>
      <c r="AE7" s="182"/>
      <c r="AF7" s="182"/>
      <c r="AG7" s="405"/>
      <c r="AH7" s="404" t="e">
        <f t="shared" ref="AH7:AH21" si="6">RANK(AG7, AG$7:AG$21)</f>
        <v>#N/A</v>
      </c>
      <c r="AI7" s="537" t="e">
        <f t="shared" ref="AI7" si="7">AVERAGE(AG7:AG21)</f>
        <v>#DIV/0!</v>
      </c>
      <c r="AJ7" s="182"/>
      <c r="AK7" s="182"/>
      <c r="AL7" s="405"/>
      <c r="AM7" s="404" t="e">
        <f t="shared" ref="AM7:AM21" si="8">RANK(AL7, AL$7:AL$21)</f>
        <v>#N/A</v>
      </c>
      <c r="AN7" s="537" t="e">
        <f t="shared" ref="AN7" si="9">AVERAGE(AL7:AL21)</f>
        <v>#DIV/0!</v>
      </c>
      <c r="AO7" s="182"/>
      <c r="AP7" s="182"/>
      <c r="AQ7" s="405"/>
      <c r="AR7" s="404" t="e">
        <f t="shared" ref="AR7:AR21" si="10">RANK(AQ7, AQ$7:AQ$21)</f>
        <v>#N/A</v>
      </c>
      <c r="AS7" s="537" t="e">
        <f t="shared" ref="AS7" si="11">AVERAGE(AQ7:AQ21)</f>
        <v>#DIV/0!</v>
      </c>
      <c r="AT7" s="182">
        <v>7</v>
      </c>
      <c r="AU7" s="182">
        <v>1314.4827586206893</v>
      </c>
      <c r="AV7" s="405">
        <v>187.78325123152703</v>
      </c>
      <c r="AW7" s="404">
        <f>RANK(AV7, AV$7:AV$21)</f>
        <v>1</v>
      </c>
      <c r="AX7" s="537">
        <f>AVERAGE(AV7:AV21)</f>
        <v>110.03239847116873</v>
      </c>
      <c r="AZ7" s="321" t="e">
        <f>RANK(AX7, $K$7:AX$21)</f>
        <v>#N/A</v>
      </c>
      <c r="BB7" s="318" t="e">
        <f>RANK(BA7, BA$7:BA$21)</f>
        <v>#N/A</v>
      </c>
    </row>
    <row r="8" spans="1:54" ht="15" customHeight="1">
      <c r="A8" s="81"/>
      <c r="B8" s="533"/>
      <c r="C8" s="404">
        <v>2</v>
      </c>
      <c r="D8" s="226" t="s">
        <v>400</v>
      </c>
      <c r="E8" s="182">
        <v>7</v>
      </c>
      <c r="F8" s="404">
        <v>1500</v>
      </c>
      <c r="G8" s="405">
        <v>214.28571428571428</v>
      </c>
      <c r="H8" s="598"/>
      <c r="I8" s="408">
        <f t="shared" ref="I8:K14" si="12">AVERAGE(P8,U8,Z8,AE8,AJ8,AO8,AT8)</f>
        <v>7</v>
      </c>
      <c r="J8" s="408">
        <f t="shared" si="12"/>
        <v>1308</v>
      </c>
      <c r="K8" s="406">
        <f t="shared" si="12"/>
        <v>186.85714285714286</v>
      </c>
      <c r="L8" s="588"/>
      <c r="M8" s="407">
        <f>RANK(K8, $K$7:K$21)</f>
        <v>2</v>
      </c>
      <c r="N8" s="544"/>
      <c r="O8" s="544"/>
      <c r="P8" s="404"/>
      <c r="Q8" s="182"/>
      <c r="R8" s="405"/>
      <c r="S8" s="404" t="e">
        <f t="shared" si="0"/>
        <v>#N/A</v>
      </c>
      <c r="T8" s="538"/>
      <c r="U8" s="404"/>
      <c r="V8" s="182"/>
      <c r="W8" s="405"/>
      <c r="X8" s="404" t="e">
        <f t="shared" si="2"/>
        <v>#N/A</v>
      </c>
      <c r="Y8" s="538"/>
      <c r="Z8" s="404"/>
      <c r="AA8" s="182"/>
      <c r="AB8" s="405"/>
      <c r="AC8" s="404" t="e">
        <f t="shared" si="4"/>
        <v>#N/A</v>
      </c>
      <c r="AD8" s="538"/>
      <c r="AE8" s="404"/>
      <c r="AF8" s="182"/>
      <c r="AG8" s="405"/>
      <c r="AH8" s="404" t="e">
        <f t="shared" si="6"/>
        <v>#N/A</v>
      </c>
      <c r="AI8" s="538"/>
      <c r="AJ8" s="404"/>
      <c r="AK8" s="182"/>
      <c r="AL8" s="405"/>
      <c r="AM8" s="404" t="e">
        <f t="shared" si="8"/>
        <v>#N/A</v>
      </c>
      <c r="AN8" s="538"/>
      <c r="AO8" s="404"/>
      <c r="AP8" s="182"/>
      <c r="AQ8" s="405"/>
      <c r="AR8" s="404" t="e">
        <f t="shared" si="10"/>
        <v>#N/A</v>
      </c>
      <c r="AS8" s="538"/>
      <c r="AT8" s="404">
        <v>7</v>
      </c>
      <c r="AU8" s="182">
        <v>1308</v>
      </c>
      <c r="AV8" s="405">
        <v>186.85714285714286</v>
      </c>
      <c r="AW8" s="404">
        <f t="shared" ref="AW8:AW21" si="13">RANK(AV8, AV$7:AV$21)</f>
        <v>2</v>
      </c>
      <c r="AX8" s="538"/>
      <c r="AZ8" s="321" t="e">
        <f>RANK(AX8, $K$7:AX$21)</f>
        <v>#N/A</v>
      </c>
      <c r="BB8" s="318" t="e">
        <f t="shared" ref="BB8:BB21" si="14">RANK(BA8, BA$7:BA$21)</f>
        <v>#N/A</v>
      </c>
    </row>
    <row r="9" spans="1:54">
      <c r="A9" s="81"/>
      <c r="B9" s="533"/>
      <c r="C9" s="404">
        <v>3</v>
      </c>
      <c r="D9" s="226" t="s">
        <v>349</v>
      </c>
      <c r="E9" s="182">
        <v>20</v>
      </c>
      <c r="F9" s="404">
        <v>1500</v>
      </c>
      <c r="G9" s="405">
        <v>75</v>
      </c>
      <c r="H9" s="598"/>
      <c r="I9" s="408">
        <f t="shared" si="12"/>
        <v>18</v>
      </c>
      <c r="J9" s="408">
        <f t="shared" si="12"/>
        <v>1271.5037593984962</v>
      </c>
      <c r="K9" s="406">
        <f t="shared" si="12"/>
        <v>70.639097744360896</v>
      </c>
      <c r="L9" s="588"/>
      <c r="M9" s="407">
        <f>RANK(K9, $K$7:K$21)</f>
        <v>6</v>
      </c>
      <c r="N9" s="544"/>
      <c r="O9" s="544"/>
      <c r="P9" s="404"/>
      <c r="Q9" s="182"/>
      <c r="R9" s="405"/>
      <c r="S9" s="404" t="e">
        <f t="shared" si="0"/>
        <v>#N/A</v>
      </c>
      <c r="T9" s="538"/>
      <c r="U9" s="404"/>
      <c r="V9" s="182"/>
      <c r="W9" s="405"/>
      <c r="X9" s="404" t="e">
        <f t="shared" si="2"/>
        <v>#N/A</v>
      </c>
      <c r="Y9" s="538"/>
      <c r="Z9" s="404"/>
      <c r="AA9" s="182"/>
      <c r="AB9" s="405"/>
      <c r="AC9" s="404" t="e">
        <f t="shared" si="4"/>
        <v>#N/A</v>
      </c>
      <c r="AD9" s="538"/>
      <c r="AE9" s="404"/>
      <c r="AF9" s="182"/>
      <c r="AG9" s="405"/>
      <c r="AH9" s="404" t="e">
        <f t="shared" si="6"/>
        <v>#N/A</v>
      </c>
      <c r="AI9" s="538"/>
      <c r="AJ9" s="404"/>
      <c r="AK9" s="182"/>
      <c r="AL9" s="405"/>
      <c r="AM9" s="404" t="e">
        <f t="shared" si="8"/>
        <v>#N/A</v>
      </c>
      <c r="AN9" s="538"/>
      <c r="AO9" s="404"/>
      <c r="AP9" s="182"/>
      <c r="AQ9" s="405"/>
      <c r="AR9" s="404" t="e">
        <f t="shared" si="10"/>
        <v>#N/A</v>
      </c>
      <c r="AS9" s="538"/>
      <c r="AT9" s="404">
        <v>18</v>
      </c>
      <c r="AU9" s="182">
        <v>1271.5037593984962</v>
      </c>
      <c r="AV9" s="405">
        <v>70.639097744360896</v>
      </c>
      <c r="AW9" s="404">
        <f t="shared" si="13"/>
        <v>6</v>
      </c>
      <c r="AX9" s="538"/>
      <c r="AZ9" s="321" t="e">
        <f>RANK(AX9, $K$7:AX$21)</f>
        <v>#N/A</v>
      </c>
      <c r="BB9" s="318" t="e">
        <f t="shared" si="14"/>
        <v>#N/A</v>
      </c>
    </row>
    <row r="10" spans="1:54">
      <c r="A10" s="81"/>
      <c r="B10" s="533"/>
      <c r="C10" s="404">
        <v>4</v>
      </c>
      <c r="D10" s="226" t="s">
        <v>401</v>
      </c>
      <c r="E10" s="182">
        <v>17</v>
      </c>
      <c r="F10" s="404">
        <v>1440</v>
      </c>
      <c r="G10" s="405">
        <v>84.705882352941174</v>
      </c>
      <c r="H10" s="598"/>
      <c r="I10" s="408">
        <f t="shared" si="12"/>
        <v>18</v>
      </c>
      <c r="J10" s="408">
        <f t="shared" si="12"/>
        <v>1276.4999999999995</v>
      </c>
      <c r="K10" s="406">
        <f t="shared" si="12"/>
        <v>70.916666666666643</v>
      </c>
      <c r="L10" s="588"/>
      <c r="M10" s="407">
        <f>RANK(K10, $K$7:K$21)</f>
        <v>5</v>
      </c>
      <c r="N10" s="544"/>
      <c r="O10" s="544"/>
      <c r="P10" s="404"/>
      <c r="Q10" s="182"/>
      <c r="R10" s="405"/>
      <c r="S10" s="404" t="e">
        <f t="shared" si="0"/>
        <v>#N/A</v>
      </c>
      <c r="T10" s="538"/>
      <c r="U10" s="404"/>
      <c r="V10" s="182"/>
      <c r="W10" s="405"/>
      <c r="X10" s="404" t="e">
        <f t="shared" si="2"/>
        <v>#N/A</v>
      </c>
      <c r="Y10" s="538"/>
      <c r="Z10" s="404"/>
      <c r="AA10" s="182"/>
      <c r="AB10" s="405"/>
      <c r="AC10" s="404" t="e">
        <f t="shared" si="4"/>
        <v>#N/A</v>
      </c>
      <c r="AD10" s="538"/>
      <c r="AE10" s="404"/>
      <c r="AF10" s="182"/>
      <c r="AG10" s="405"/>
      <c r="AH10" s="404" t="e">
        <f t="shared" si="6"/>
        <v>#N/A</v>
      </c>
      <c r="AI10" s="538"/>
      <c r="AJ10" s="404"/>
      <c r="AK10" s="182"/>
      <c r="AL10" s="405"/>
      <c r="AM10" s="404" t="e">
        <f t="shared" si="8"/>
        <v>#N/A</v>
      </c>
      <c r="AN10" s="538"/>
      <c r="AO10" s="404"/>
      <c r="AP10" s="182"/>
      <c r="AQ10" s="405"/>
      <c r="AR10" s="404" t="e">
        <f t="shared" si="10"/>
        <v>#N/A</v>
      </c>
      <c r="AS10" s="538"/>
      <c r="AT10" s="404">
        <v>18</v>
      </c>
      <c r="AU10" s="182">
        <v>1276.4999999999995</v>
      </c>
      <c r="AV10" s="405">
        <v>70.916666666666643</v>
      </c>
      <c r="AW10" s="404">
        <f t="shared" si="13"/>
        <v>5</v>
      </c>
      <c r="AX10" s="538"/>
      <c r="AZ10" s="321" t="e">
        <f>RANK(AX10, $K$7:AX$21)</f>
        <v>#N/A</v>
      </c>
      <c r="BB10" s="318" t="e">
        <f t="shared" si="14"/>
        <v>#N/A</v>
      </c>
    </row>
    <row r="11" spans="1:54">
      <c r="A11" s="81"/>
      <c r="B11" s="533"/>
      <c r="C11" s="404">
        <v>5</v>
      </c>
      <c r="D11" s="226" t="s">
        <v>448</v>
      </c>
      <c r="E11" s="182">
        <v>7</v>
      </c>
      <c r="F11" s="404">
        <v>1500</v>
      </c>
      <c r="G11" s="405">
        <v>214.28571428571428</v>
      </c>
      <c r="H11" s="598"/>
      <c r="I11" s="408">
        <f t="shared" si="12"/>
        <v>7</v>
      </c>
      <c r="J11" s="408">
        <f t="shared" si="12"/>
        <v>1297.3509933774833</v>
      </c>
      <c r="K11" s="406">
        <f t="shared" si="12"/>
        <v>185.33585619678334</v>
      </c>
      <c r="L11" s="588"/>
      <c r="M11" s="407">
        <f>RANK(K11, $K$7:K$21)</f>
        <v>3</v>
      </c>
      <c r="N11" s="544"/>
      <c r="O11" s="544"/>
      <c r="P11" s="404"/>
      <c r="Q11" s="182"/>
      <c r="R11" s="405"/>
      <c r="S11" s="404" t="e">
        <f t="shared" si="0"/>
        <v>#N/A</v>
      </c>
      <c r="T11" s="538"/>
      <c r="U11" s="404"/>
      <c r="V11" s="182"/>
      <c r="W11" s="405"/>
      <c r="X11" s="404" t="e">
        <f t="shared" si="2"/>
        <v>#N/A</v>
      </c>
      <c r="Y11" s="538"/>
      <c r="Z11" s="404"/>
      <c r="AA11" s="182"/>
      <c r="AB11" s="405"/>
      <c r="AC11" s="404" t="e">
        <f t="shared" si="4"/>
        <v>#N/A</v>
      </c>
      <c r="AD11" s="538"/>
      <c r="AE11" s="404"/>
      <c r="AF11" s="182"/>
      <c r="AG11" s="405"/>
      <c r="AH11" s="404" t="e">
        <f t="shared" si="6"/>
        <v>#N/A</v>
      </c>
      <c r="AI11" s="538"/>
      <c r="AJ11" s="404"/>
      <c r="AK11" s="182"/>
      <c r="AL11" s="405"/>
      <c r="AM11" s="404" t="e">
        <f t="shared" si="8"/>
        <v>#N/A</v>
      </c>
      <c r="AN11" s="538"/>
      <c r="AO11" s="404"/>
      <c r="AP11" s="182"/>
      <c r="AQ11" s="405"/>
      <c r="AR11" s="404" t="e">
        <f t="shared" si="10"/>
        <v>#N/A</v>
      </c>
      <c r="AS11" s="538"/>
      <c r="AT11" s="404">
        <v>7</v>
      </c>
      <c r="AU11" s="182">
        <v>1297.3509933774833</v>
      </c>
      <c r="AV11" s="405">
        <v>185.33585619678334</v>
      </c>
      <c r="AW11" s="404">
        <f t="shared" si="13"/>
        <v>3</v>
      </c>
      <c r="AX11" s="538"/>
      <c r="AZ11" s="321" t="e">
        <f>RANK(AX11, $K$7:AX$21)</f>
        <v>#N/A</v>
      </c>
      <c r="BB11" s="318" t="e">
        <f t="shared" si="14"/>
        <v>#N/A</v>
      </c>
    </row>
    <row r="12" spans="1:54">
      <c r="A12" s="81"/>
      <c r="B12" s="533"/>
      <c r="C12" s="404">
        <v>6</v>
      </c>
      <c r="D12" s="226" t="s">
        <v>484</v>
      </c>
      <c r="E12" s="182">
        <v>20</v>
      </c>
      <c r="F12" s="404">
        <v>1440</v>
      </c>
      <c r="G12" s="405">
        <v>72</v>
      </c>
      <c r="H12" s="598"/>
      <c r="I12" s="408">
        <f t="shared" si="12"/>
        <v>18</v>
      </c>
      <c r="J12" s="408">
        <f t="shared" si="12"/>
        <v>1307.3684210526317</v>
      </c>
      <c r="K12" s="406">
        <f t="shared" si="12"/>
        <v>72.631578947368425</v>
      </c>
      <c r="L12" s="588"/>
      <c r="M12" s="407">
        <f>RANK(K12, $K$7:K$21)</f>
        <v>4</v>
      </c>
      <c r="N12" s="544"/>
      <c r="O12" s="544"/>
      <c r="P12" s="404"/>
      <c r="Q12" s="182"/>
      <c r="R12" s="405"/>
      <c r="S12" s="404" t="e">
        <f t="shared" si="0"/>
        <v>#N/A</v>
      </c>
      <c r="T12" s="538"/>
      <c r="U12" s="404"/>
      <c r="V12" s="182"/>
      <c r="W12" s="405"/>
      <c r="X12" s="404" t="e">
        <f t="shared" si="2"/>
        <v>#N/A</v>
      </c>
      <c r="Y12" s="538"/>
      <c r="Z12" s="404"/>
      <c r="AA12" s="182"/>
      <c r="AB12" s="405"/>
      <c r="AC12" s="404" t="e">
        <f t="shared" si="4"/>
        <v>#N/A</v>
      </c>
      <c r="AD12" s="538"/>
      <c r="AE12" s="404"/>
      <c r="AF12" s="182"/>
      <c r="AG12" s="405"/>
      <c r="AH12" s="404" t="e">
        <f t="shared" si="6"/>
        <v>#N/A</v>
      </c>
      <c r="AI12" s="538"/>
      <c r="AJ12" s="404"/>
      <c r="AK12" s="182"/>
      <c r="AL12" s="405"/>
      <c r="AM12" s="404" t="e">
        <f t="shared" si="8"/>
        <v>#N/A</v>
      </c>
      <c r="AN12" s="538"/>
      <c r="AO12" s="404"/>
      <c r="AP12" s="182"/>
      <c r="AQ12" s="405"/>
      <c r="AR12" s="404" t="e">
        <f t="shared" si="10"/>
        <v>#N/A</v>
      </c>
      <c r="AS12" s="538"/>
      <c r="AT12" s="404">
        <v>18</v>
      </c>
      <c r="AU12" s="182">
        <v>1307.3684210526317</v>
      </c>
      <c r="AV12" s="405">
        <v>72.631578947368425</v>
      </c>
      <c r="AW12" s="404">
        <f t="shared" si="13"/>
        <v>4</v>
      </c>
      <c r="AX12" s="538"/>
      <c r="AZ12" s="321" t="e">
        <f>RANK(AX12, $K$7:AX$21)</f>
        <v>#N/A</v>
      </c>
      <c r="BB12" s="318" t="e">
        <f t="shared" si="14"/>
        <v>#N/A</v>
      </c>
    </row>
    <row r="13" spans="1:54">
      <c r="A13" s="81"/>
      <c r="B13" s="533"/>
      <c r="C13" s="404">
        <v>7</v>
      </c>
      <c r="D13" s="226" t="s">
        <v>501</v>
      </c>
      <c r="E13" s="182">
        <v>21</v>
      </c>
      <c r="F13" s="404">
        <v>1200</v>
      </c>
      <c r="G13" s="405">
        <v>57.142857142857146</v>
      </c>
      <c r="H13" s="598"/>
      <c r="I13" s="408">
        <f t="shared" si="12"/>
        <v>20</v>
      </c>
      <c r="J13" s="408">
        <f t="shared" si="12"/>
        <v>1087.9999999999991</v>
      </c>
      <c r="K13" s="406">
        <f t="shared" si="12"/>
        <v>54.399999999999956</v>
      </c>
      <c r="L13" s="588"/>
      <c r="M13" s="407">
        <f>RANK(K13, $K$7:K$21)</f>
        <v>7</v>
      </c>
      <c r="N13" s="544"/>
      <c r="O13" s="544"/>
      <c r="P13" s="404"/>
      <c r="Q13" s="182"/>
      <c r="R13" s="405"/>
      <c r="S13" s="404" t="e">
        <f t="shared" si="0"/>
        <v>#N/A</v>
      </c>
      <c r="T13" s="538"/>
      <c r="U13" s="404"/>
      <c r="V13" s="182"/>
      <c r="W13" s="405"/>
      <c r="X13" s="404" t="e">
        <f t="shared" si="2"/>
        <v>#N/A</v>
      </c>
      <c r="Y13" s="538"/>
      <c r="Z13" s="404"/>
      <c r="AA13" s="182"/>
      <c r="AB13" s="405"/>
      <c r="AC13" s="404" t="e">
        <f t="shared" si="4"/>
        <v>#N/A</v>
      </c>
      <c r="AD13" s="538"/>
      <c r="AE13" s="404"/>
      <c r="AF13" s="182"/>
      <c r="AG13" s="405"/>
      <c r="AH13" s="404" t="e">
        <f t="shared" si="6"/>
        <v>#N/A</v>
      </c>
      <c r="AI13" s="538"/>
      <c r="AJ13" s="404"/>
      <c r="AK13" s="182"/>
      <c r="AL13" s="405"/>
      <c r="AM13" s="404" t="e">
        <f t="shared" si="8"/>
        <v>#N/A</v>
      </c>
      <c r="AN13" s="538"/>
      <c r="AO13" s="404"/>
      <c r="AP13" s="182"/>
      <c r="AQ13" s="405"/>
      <c r="AR13" s="404" t="e">
        <f t="shared" si="10"/>
        <v>#N/A</v>
      </c>
      <c r="AS13" s="538"/>
      <c r="AT13" s="404">
        <v>20</v>
      </c>
      <c r="AU13" s="182">
        <v>1087.9999999999991</v>
      </c>
      <c r="AV13" s="405">
        <v>54.399999999999956</v>
      </c>
      <c r="AW13" s="404">
        <f t="shared" si="13"/>
        <v>7</v>
      </c>
      <c r="AX13" s="538"/>
      <c r="AZ13" s="321" t="e">
        <f>RANK(AX13, $K$7:AX$21)</f>
        <v>#N/A</v>
      </c>
      <c r="BB13" s="318" t="e">
        <f t="shared" si="14"/>
        <v>#N/A</v>
      </c>
    </row>
    <row r="14" spans="1:54">
      <c r="A14" s="81"/>
      <c r="B14" s="533"/>
      <c r="C14" s="404">
        <v>8</v>
      </c>
      <c r="D14" s="226" t="s">
        <v>583</v>
      </c>
      <c r="E14" s="182">
        <v>21</v>
      </c>
      <c r="F14" s="404">
        <v>1200</v>
      </c>
      <c r="G14" s="405">
        <v>57.142857142857146</v>
      </c>
      <c r="H14" s="598"/>
      <c r="I14" s="408">
        <f t="shared" si="12"/>
        <v>21</v>
      </c>
      <c r="J14" s="408">
        <f t="shared" si="12"/>
        <v>1085.6074766355146</v>
      </c>
      <c r="K14" s="406">
        <f t="shared" si="12"/>
        <v>51.695594125500691</v>
      </c>
      <c r="L14" s="588"/>
      <c r="M14" s="407">
        <f>RANK(K14, $K$7:K$21)</f>
        <v>8</v>
      </c>
      <c r="N14" s="544"/>
      <c r="O14" s="544"/>
      <c r="P14" s="404"/>
      <c r="Q14" s="182"/>
      <c r="R14" s="405"/>
      <c r="S14" s="404" t="e">
        <f t="shared" si="0"/>
        <v>#N/A</v>
      </c>
      <c r="T14" s="538"/>
      <c r="U14" s="404"/>
      <c r="V14" s="182"/>
      <c r="W14" s="405"/>
      <c r="X14" s="404" t="e">
        <f t="shared" si="2"/>
        <v>#N/A</v>
      </c>
      <c r="Y14" s="538"/>
      <c r="Z14" s="404"/>
      <c r="AA14" s="182"/>
      <c r="AB14" s="405"/>
      <c r="AC14" s="404" t="e">
        <f t="shared" si="4"/>
        <v>#N/A</v>
      </c>
      <c r="AD14" s="538"/>
      <c r="AE14" s="404"/>
      <c r="AF14" s="182"/>
      <c r="AG14" s="405"/>
      <c r="AH14" s="404" t="e">
        <f t="shared" si="6"/>
        <v>#N/A</v>
      </c>
      <c r="AI14" s="538"/>
      <c r="AJ14" s="404"/>
      <c r="AK14" s="182"/>
      <c r="AL14" s="405"/>
      <c r="AM14" s="404" t="e">
        <f t="shared" si="8"/>
        <v>#N/A</v>
      </c>
      <c r="AN14" s="538"/>
      <c r="AO14" s="404"/>
      <c r="AP14" s="182"/>
      <c r="AQ14" s="405"/>
      <c r="AR14" s="404" t="e">
        <f t="shared" si="10"/>
        <v>#N/A</v>
      </c>
      <c r="AS14" s="538"/>
      <c r="AT14" s="404">
        <v>21</v>
      </c>
      <c r="AU14" s="182">
        <v>1085.6074766355146</v>
      </c>
      <c r="AV14" s="405">
        <v>51.695594125500691</v>
      </c>
      <c r="AW14" s="404">
        <f t="shared" si="13"/>
        <v>8</v>
      </c>
      <c r="AX14" s="538"/>
      <c r="AZ14" s="321" t="e">
        <f>RANK(AX14, $K$7:AX$21)</f>
        <v>#N/A</v>
      </c>
      <c r="BB14" s="318" t="e">
        <f t="shared" si="14"/>
        <v>#N/A</v>
      </c>
    </row>
    <row r="15" spans="1:54">
      <c r="A15" s="81"/>
      <c r="B15" s="533"/>
      <c r="C15" s="404">
        <v>9</v>
      </c>
      <c r="D15" s="226"/>
      <c r="E15" s="182"/>
      <c r="F15" s="404"/>
      <c r="G15" s="405"/>
      <c r="H15" s="598"/>
      <c r="I15" s="408"/>
      <c r="J15" s="408"/>
      <c r="K15" s="406"/>
      <c r="L15" s="588"/>
      <c r="M15" s="407" t="e">
        <f>RANK(K15, $K$7:K$21)</f>
        <v>#N/A</v>
      </c>
      <c r="N15" s="544"/>
      <c r="O15" s="544"/>
      <c r="P15" s="404"/>
      <c r="Q15" s="182"/>
      <c r="R15" s="405"/>
      <c r="S15" s="404" t="e">
        <f t="shared" si="0"/>
        <v>#N/A</v>
      </c>
      <c r="T15" s="538"/>
      <c r="U15" s="404"/>
      <c r="V15" s="182"/>
      <c r="W15" s="405"/>
      <c r="X15" s="404" t="e">
        <f t="shared" si="2"/>
        <v>#N/A</v>
      </c>
      <c r="Y15" s="538"/>
      <c r="Z15" s="404"/>
      <c r="AA15" s="182"/>
      <c r="AB15" s="405"/>
      <c r="AC15" s="404" t="e">
        <f t="shared" si="4"/>
        <v>#N/A</v>
      </c>
      <c r="AD15" s="538"/>
      <c r="AE15" s="404"/>
      <c r="AF15" s="182"/>
      <c r="AG15" s="405"/>
      <c r="AH15" s="404" t="e">
        <f t="shared" si="6"/>
        <v>#N/A</v>
      </c>
      <c r="AI15" s="538"/>
      <c r="AJ15" s="404"/>
      <c r="AK15" s="182"/>
      <c r="AL15" s="405"/>
      <c r="AM15" s="404" t="e">
        <f t="shared" si="8"/>
        <v>#N/A</v>
      </c>
      <c r="AN15" s="538"/>
      <c r="AO15" s="404"/>
      <c r="AP15" s="182"/>
      <c r="AQ15" s="405"/>
      <c r="AR15" s="404" t="e">
        <f t="shared" si="10"/>
        <v>#N/A</v>
      </c>
      <c r="AS15" s="538"/>
      <c r="AT15" s="404"/>
      <c r="AU15" s="182"/>
      <c r="AV15" s="405"/>
      <c r="AW15" s="404" t="e">
        <f t="shared" si="13"/>
        <v>#N/A</v>
      </c>
      <c r="AX15" s="538"/>
      <c r="AZ15" s="321" t="e">
        <f>RANK(AX15, $K$7:AX$21)</f>
        <v>#N/A</v>
      </c>
      <c r="BB15" s="318" t="e">
        <f t="shared" si="14"/>
        <v>#N/A</v>
      </c>
    </row>
    <row r="16" spans="1:54">
      <c r="A16" s="81"/>
      <c r="B16" s="533"/>
      <c r="C16" s="404">
        <v>10</v>
      </c>
      <c r="D16" s="226"/>
      <c r="E16" s="182"/>
      <c r="F16" s="404"/>
      <c r="G16" s="405"/>
      <c r="H16" s="598"/>
      <c r="I16" s="408"/>
      <c r="J16" s="408"/>
      <c r="K16" s="406"/>
      <c r="L16" s="588"/>
      <c r="M16" s="407" t="e">
        <f>RANK(K16, $K$7:K$21)</f>
        <v>#N/A</v>
      </c>
      <c r="N16" s="544"/>
      <c r="O16" s="544"/>
      <c r="P16" s="404"/>
      <c r="Q16" s="182"/>
      <c r="R16" s="405"/>
      <c r="S16" s="404" t="e">
        <f t="shared" si="0"/>
        <v>#N/A</v>
      </c>
      <c r="T16" s="538"/>
      <c r="U16" s="404"/>
      <c r="V16" s="182"/>
      <c r="W16" s="405"/>
      <c r="X16" s="404" t="e">
        <f t="shared" si="2"/>
        <v>#N/A</v>
      </c>
      <c r="Y16" s="538"/>
      <c r="Z16" s="404"/>
      <c r="AA16" s="182"/>
      <c r="AB16" s="405"/>
      <c r="AC16" s="404" t="e">
        <f t="shared" si="4"/>
        <v>#N/A</v>
      </c>
      <c r="AD16" s="538"/>
      <c r="AE16" s="404"/>
      <c r="AF16" s="182"/>
      <c r="AG16" s="405"/>
      <c r="AH16" s="404" t="e">
        <f t="shared" si="6"/>
        <v>#N/A</v>
      </c>
      <c r="AI16" s="538"/>
      <c r="AJ16" s="404"/>
      <c r="AK16" s="182"/>
      <c r="AL16" s="405"/>
      <c r="AM16" s="404" t="e">
        <f t="shared" si="8"/>
        <v>#N/A</v>
      </c>
      <c r="AN16" s="538"/>
      <c r="AO16" s="404"/>
      <c r="AP16" s="182"/>
      <c r="AQ16" s="405"/>
      <c r="AR16" s="404" t="e">
        <f t="shared" si="10"/>
        <v>#N/A</v>
      </c>
      <c r="AS16" s="538"/>
      <c r="AT16" s="404"/>
      <c r="AU16" s="182"/>
      <c r="AV16" s="405"/>
      <c r="AW16" s="404" t="e">
        <f t="shared" si="13"/>
        <v>#N/A</v>
      </c>
      <c r="AX16" s="538"/>
      <c r="AZ16" s="321" t="e">
        <f>RANK(AX16, $K$7:AX$21)</f>
        <v>#N/A</v>
      </c>
      <c r="BB16" s="318" t="e">
        <f t="shared" si="14"/>
        <v>#N/A</v>
      </c>
    </row>
    <row r="17" spans="2:54">
      <c r="B17" s="533"/>
      <c r="C17" s="404">
        <v>11</v>
      </c>
      <c r="D17" s="226"/>
      <c r="E17" s="182"/>
      <c r="F17" s="404"/>
      <c r="G17" s="405"/>
      <c r="H17" s="598"/>
      <c r="I17" s="408"/>
      <c r="J17" s="408"/>
      <c r="K17" s="406"/>
      <c r="L17" s="588"/>
      <c r="M17" s="407" t="e">
        <f>RANK(K17, $K$7:K$21)</f>
        <v>#N/A</v>
      </c>
      <c r="N17" s="544"/>
      <c r="O17" s="544"/>
      <c r="P17" s="404"/>
      <c r="Q17" s="182"/>
      <c r="R17" s="405"/>
      <c r="S17" s="404" t="e">
        <f t="shared" si="0"/>
        <v>#N/A</v>
      </c>
      <c r="T17" s="538"/>
      <c r="U17" s="404"/>
      <c r="V17" s="182"/>
      <c r="W17" s="405"/>
      <c r="X17" s="404" t="e">
        <f t="shared" si="2"/>
        <v>#N/A</v>
      </c>
      <c r="Y17" s="538"/>
      <c r="Z17" s="404"/>
      <c r="AA17" s="182"/>
      <c r="AB17" s="405"/>
      <c r="AC17" s="404" t="e">
        <f t="shared" si="4"/>
        <v>#N/A</v>
      </c>
      <c r="AD17" s="538"/>
      <c r="AE17" s="404"/>
      <c r="AF17" s="182"/>
      <c r="AG17" s="405"/>
      <c r="AH17" s="404" t="e">
        <f t="shared" si="6"/>
        <v>#N/A</v>
      </c>
      <c r="AI17" s="538"/>
      <c r="AJ17" s="404"/>
      <c r="AK17" s="182"/>
      <c r="AL17" s="405"/>
      <c r="AM17" s="404" t="e">
        <f t="shared" si="8"/>
        <v>#N/A</v>
      </c>
      <c r="AN17" s="538"/>
      <c r="AO17" s="404"/>
      <c r="AP17" s="182"/>
      <c r="AQ17" s="405"/>
      <c r="AR17" s="404" t="e">
        <f t="shared" si="10"/>
        <v>#N/A</v>
      </c>
      <c r="AS17" s="538"/>
      <c r="AT17" s="404"/>
      <c r="AU17" s="182"/>
      <c r="AV17" s="405"/>
      <c r="AW17" s="404" t="e">
        <f t="shared" si="13"/>
        <v>#N/A</v>
      </c>
      <c r="AX17" s="538"/>
      <c r="AZ17" s="321" t="e">
        <f>RANK(AX17, $K$7:AX$21)</f>
        <v>#N/A</v>
      </c>
      <c r="BB17" s="318" t="e">
        <f t="shared" si="14"/>
        <v>#N/A</v>
      </c>
    </row>
    <row r="18" spans="2:54">
      <c r="B18" s="533"/>
      <c r="C18" s="404">
        <v>12</v>
      </c>
      <c r="D18" s="226"/>
      <c r="E18" s="182"/>
      <c r="F18" s="404"/>
      <c r="G18" s="405"/>
      <c r="H18" s="598"/>
      <c r="I18" s="408"/>
      <c r="J18" s="408"/>
      <c r="K18" s="406"/>
      <c r="L18" s="588"/>
      <c r="M18" s="407" t="e">
        <f>RANK(K18, $K$7:K$21)</f>
        <v>#N/A</v>
      </c>
      <c r="N18" s="544"/>
      <c r="O18" s="544"/>
      <c r="P18" s="404"/>
      <c r="Q18" s="182"/>
      <c r="R18" s="405"/>
      <c r="S18" s="404" t="e">
        <f t="shared" si="0"/>
        <v>#N/A</v>
      </c>
      <c r="T18" s="538"/>
      <c r="U18" s="404"/>
      <c r="V18" s="182"/>
      <c r="W18" s="405"/>
      <c r="X18" s="404" t="e">
        <f t="shared" si="2"/>
        <v>#N/A</v>
      </c>
      <c r="Y18" s="538"/>
      <c r="Z18" s="404"/>
      <c r="AA18" s="182"/>
      <c r="AB18" s="405"/>
      <c r="AC18" s="404" t="e">
        <f t="shared" si="4"/>
        <v>#N/A</v>
      </c>
      <c r="AD18" s="538"/>
      <c r="AE18" s="404"/>
      <c r="AF18" s="182"/>
      <c r="AG18" s="405"/>
      <c r="AH18" s="404" t="e">
        <f t="shared" si="6"/>
        <v>#N/A</v>
      </c>
      <c r="AI18" s="538"/>
      <c r="AJ18" s="404"/>
      <c r="AK18" s="182"/>
      <c r="AL18" s="405"/>
      <c r="AM18" s="404" t="e">
        <f t="shared" si="8"/>
        <v>#N/A</v>
      </c>
      <c r="AN18" s="538"/>
      <c r="AO18" s="404"/>
      <c r="AP18" s="182"/>
      <c r="AQ18" s="405"/>
      <c r="AR18" s="404" t="e">
        <f t="shared" si="10"/>
        <v>#N/A</v>
      </c>
      <c r="AS18" s="538"/>
      <c r="AT18" s="404"/>
      <c r="AU18" s="182"/>
      <c r="AV18" s="405"/>
      <c r="AW18" s="404" t="e">
        <f t="shared" si="13"/>
        <v>#N/A</v>
      </c>
      <c r="AX18" s="538"/>
      <c r="AZ18" s="321" t="e">
        <f>RANK(AX18, $K$7:AX$21)</f>
        <v>#N/A</v>
      </c>
      <c r="BB18" s="318" t="e">
        <f t="shared" si="14"/>
        <v>#N/A</v>
      </c>
    </row>
    <row r="19" spans="2:54">
      <c r="B19" s="533"/>
      <c r="C19" s="404">
        <v>13</v>
      </c>
      <c r="D19" s="226"/>
      <c r="E19" s="182"/>
      <c r="F19" s="404"/>
      <c r="G19" s="405"/>
      <c r="H19" s="598"/>
      <c r="I19" s="408"/>
      <c r="J19" s="408"/>
      <c r="K19" s="406"/>
      <c r="L19" s="588"/>
      <c r="M19" s="407" t="e">
        <f>RANK(K19, $K$7:K$21)</f>
        <v>#N/A</v>
      </c>
      <c r="N19" s="544"/>
      <c r="O19" s="544"/>
      <c r="P19" s="404"/>
      <c r="Q19" s="182"/>
      <c r="R19" s="405"/>
      <c r="S19" s="404" t="e">
        <f t="shared" si="0"/>
        <v>#N/A</v>
      </c>
      <c r="T19" s="538"/>
      <c r="U19" s="404"/>
      <c r="V19" s="182"/>
      <c r="W19" s="405"/>
      <c r="X19" s="404" t="e">
        <f t="shared" si="2"/>
        <v>#N/A</v>
      </c>
      <c r="Y19" s="538"/>
      <c r="Z19" s="404"/>
      <c r="AA19" s="182"/>
      <c r="AB19" s="405"/>
      <c r="AC19" s="404" t="e">
        <f t="shared" si="4"/>
        <v>#N/A</v>
      </c>
      <c r="AD19" s="538"/>
      <c r="AE19" s="404"/>
      <c r="AF19" s="182"/>
      <c r="AG19" s="405"/>
      <c r="AH19" s="404" t="e">
        <f t="shared" si="6"/>
        <v>#N/A</v>
      </c>
      <c r="AI19" s="538"/>
      <c r="AJ19" s="404"/>
      <c r="AK19" s="182"/>
      <c r="AL19" s="405"/>
      <c r="AM19" s="404" t="e">
        <f t="shared" si="8"/>
        <v>#N/A</v>
      </c>
      <c r="AN19" s="538"/>
      <c r="AO19" s="404"/>
      <c r="AP19" s="182"/>
      <c r="AQ19" s="405"/>
      <c r="AR19" s="404" t="e">
        <f t="shared" si="10"/>
        <v>#N/A</v>
      </c>
      <c r="AS19" s="538"/>
      <c r="AT19" s="404"/>
      <c r="AU19" s="182"/>
      <c r="AV19" s="405"/>
      <c r="AW19" s="404" t="e">
        <f t="shared" si="13"/>
        <v>#N/A</v>
      </c>
      <c r="AX19" s="538"/>
      <c r="AZ19" s="321" t="e">
        <f>RANK(AX19, $K$7:AX$21)</f>
        <v>#N/A</v>
      </c>
      <c r="BB19" s="318" t="e">
        <f t="shared" si="14"/>
        <v>#N/A</v>
      </c>
    </row>
    <row r="20" spans="2:54">
      <c r="B20" s="533"/>
      <c r="C20" s="404">
        <v>14</v>
      </c>
      <c r="D20" s="226"/>
      <c r="E20" s="182"/>
      <c r="F20" s="404"/>
      <c r="G20" s="405"/>
      <c r="H20" s="598"/>
      <c r="I20" s="408"/>
      <c r="J20" s="408"/>
      <c r="K20" s="406"/>
      <c r="L20" s="588"/>
      <c r="M20" s="407" t="e">
        <f>RANK(K20, $K$7:K$21)</f>
        <v>#N/A</v>
      </c>
      <c r="N20" s="544"/>
      <c r="O20" s="544"/>
      <c r="P20" s="404"/>
      <c r="Q20" s="182"/>
      <c r="R20" s="405"/>
      <c r="S20" s="404" t="e">
        <f t="shared" si="0"/>
        <v>#N/A</v>
      </c>
      <c r="T20" s="538"/>
      <c r="U20" s="404"/>
      <c r="V20" s="182"/>
      <c r="W20" s="405"/>
      <c r="X20" s="404" t="e">
        <f t="shared" si="2"/>
        <v>#N/A</v>
      </c>
      <c r="Y20" s="538"/>
      <c r="Z20" s="404"/>
      <c r="AA20" s="182"/>
      <c r="AB20" s="405"/>
      <c r="AC20" s="404" t="e">
        <f t="shared" si="4"/>
        <v>#N/A</v>
      </c>
      <c r="AD20" s="538"/>
      <c r="AE20" s="404"/>
      <c r="AF20" s="182"/>
      <c r="AG20" s="405"/>
      <c r="AH20" s="404" t="e">
        <f t="shared" si="6"/>
        <v>#N/A</v>
      </c>
      <c r="AI20" s="538"/>
      <c r="AJ20" s="404"/>
      <c r="AK20" s="182"/>
      <c r="AL20" s="405"/>
      <c r="AM20" s="404" t="e">
        <f t="shared" si="8"/>
        <v>#N/A</v>
      </c>
      <c r="AN20" s="538"/>
      <c r="AO20" s="404"/>
      <c r="AP20" s="182"/>
      <c r="AQ20" s="405"/>
      <c r="AR20" s="404" t="e">
        <f t="shared" si="10"/>
        <v>#N/A</v>
      </c>
      <c r="AS20" s="538"/>
      <c r="AT20" s="404"/>
      <c r="AU20" s="182"/>
      <c r="AV20" s="405"/>
      <c r="AW20" s="404" t="e">
        <f t="shared" si="13"/>
        <v>#N/A</v>
      </c>
      <c r="AX20" s="538"/>
      <c r="AZ20" s="321" t="e">
        <f>RANK(AX20, $K$7:AX$21)</f>
        <v>#N/A</v>
      </c>
      <c r="BB20" s="318" t="e">
        <f t="shared" si="14"/>
        <v>#N/A</v>
      </c>
    </row>
    <row r="21" spans="2:54">
      <c r="B21" s="533"/>
      <c r="C21" s="404">
        <v>15</v>
      </c>
      <c r="D21" s="226"/>
      <c r="E21" s="182"/>
      <c r="F21" s="404"/>
      <c r="G21" s="405"/>
      <c r="H21" s="599"/>
      <c r="I21" s="408"/>
      <c r="J21" s="408"/>
      <c r="K21" s="406"/>
      <c r="L21" s="589"/>
      <c r="M21" s="408" t="e">
        <f>RANK(K21, $K$7:K$21)</f>
        <v>#N/A</v>
      </c>
      <c r="N21" s="544"/>
      <c r="O21" s="544"/>
      <c r="P21" s="404"/>
      <c r="Q21" s="182"/>
      <c r="R21" s="405"/>
      <c r="S21" s="404" t="e">
        <f t="shared" si="0"/>
        <v>#N/A</v>
      </c>
      <c r="T21" s="539"/>
      <c r="U21" s="404"/>
      <c r="V21" s="182"/>
      <c r="W21" s="405"/>
      <c r="X21" s="404" t="e">
        <f t="shared" si="2"/>
        <v>#N/A</v>
      </c>
      <c r="Y21" s="539"/>
      <c r="Z21" s="404"/>
      <c r="AA21" s="182"/>
      <c r="AB21" s="405"/>
      <c r="AC21" s="404" t="e">
        <f t="shared" si="4"/>
        <v>#N/A</v>
      </c>
      <c r="AD21" s="539"/>
      <c r="AE21" s="404"/>
      <c r="AF21" s="182"/>
      <c r="AG21" s="405"/>
      <c r="AH21" s="404" t="e">
        <f t="shared" si="6"/>
        <v>#N/A</v>
      </c>
      <c r="AI21" s="539"/>
      <c r="AJ21" s="404"/>
      <c r="AK21" s="182"/>
      <c r="AL21" s="405"/>
      <c r="AM21" s="404" t="e">
        <f t="shared" si="8"/>
        <v>#N/A</v>
      </c>
      <c r="AN21" s="539"/>
      <c r="AO21" s="404"/>
      <c r="AP21" s="182"/>
      <c r="AQ21" s="405"/>
      <c r="AR21" s="404" t="e">
        <f t="shared" si="10"/>
        <v>#N/A</v>
      </c>
      <c r="AS21" s="539"/>
      <c r="AT21" s="404"/>
      <c r="AU21" s="182"/>
      <c r="AV21" s="405"/>
      <c r="AW21" s="404" t="e">
        <f t="shared" si="13"/>
        <v>#N/A</v>
      </c>
      <c r="AX21" s="539"/>
      <c r="AZ21" s="320" t="e">
        <f>RANK(AX21, $K$7:AX$21)</f>
        <v>#N/A</v>
      </c>
      <c r="BB21" s="318" t="e">
        <f t="shared" si="14"/>
        <v>#N/A</v>
      </c>
    </row>
    <row r="22" spans="2:54" ht="15.5">
      <c r="B22" s="575" t="s">
        <v>704</v>
      </c>
      <c r="C22" s="576"/>
      <c r="D22" s="576"/>
      <c r="E22" s="576"/>
      <c r="F22" s="576"/>
      <c r="G22" s="576"/>
      <c r="H22" s="576"/>
      <c r="I22" s="203"/>
      <c r="J22" s="203"/>
      <c r="K22" s="203"/>
      <c r="L22" s="203"/>
      <c r="M22" s="204"/>
      <c r="N22" s="559" t="s">
        <v>705</v>
      </c>
      <c r="O22" s="559" t="s">
        <v>706</v>
      </c>
      <c r="P22" s="554">
        <v>45993</v>
      </c>
      <c r="Q22" s="533"/>
      <c r="R22" s="533"/>
      <c r="S22" s="533"/>
      <c r="T22" s="533"/>
      <c r="U22" s="554">
        <f>P22+1</f>
        <v>45994</v>
      </c>
      <c r="V22" s="533"/>
      <c r="W22" s="533"/>
      <c r="X22" s="533"/>
      <c r="Y22" s="533"/>
      <c r="Z22" s="554">
        <f>U22+1</f>
        <v>45995</v>
      </c>
      <c r="AA22" s="533"/>
      <c r="AB22" s="533"/>
      <c r="AC22" s="533"/>
      <c r="AD22" s="533"/>
      <c r="AE22" s="554">
        <f>Z22+1</f>
        <v>45996</v>
      </c>
      <c r="AF22" s="533"/>
      <c r="AG22" s="533"/>
      <c r="AH22" s="533"/>
      <c r="AI22" s="533"/>
      <c r="AJ22" s="554">
        <f>AE22+1</f>
        <v>45997</v>
      </c>
      <c r="AK22" s="533"/>
      <c r="AL22" s="533"/>
      <c r="AM22" s="533"/>
      <c r="AN22" s="533"/>
      <c r="AO22" s="554">
        <f>AJ22+1</f>
        <v>45998</v>
      </c>
      <c r="AP22" s="533"/>
      <c r="AQ22" s="533"/>
      <c r="AR22" s="533"/>
      <c r="AS22" s="533"/>
      <c r="AT22" s="554">
        <f>AO22+1</f>
        <v>45999</v>
      </c>
      <c r="AU22" s="533"/>
      <c r="AV22" s="533"/>
      <c r="AW22" s="533"/>
      <c r="AX22" s="533"/>
    </row>
    <row r="23" spans="2:54" ht="15.5">
      <c r="B23" s="558"/>
      <c r="C23" s="558"/>
      <c r="D23" s="558"/>
      <c r="E23" s="558"/>
      <c r="F23" s="558"/>
      <c r="G23" s="558"/>
      <c r="H23" s="558"/>
      <c r="I23" s="205"/>
      <c r="J23" s="205"/>
      <c r="K23" s="205"/>
      <c r="L23" s="205"/>
      <c r="M23" s="206"/>
      <c r="N23" s="560"/>
      <c r="O23" s="560"/>
      <c r="P23" s="554" t="s">
        <v>707</v>
      </c>
      <c r="Q23" s="533"/>
      <c r="R23" s="533"/>
      <c r="S23" s="533"/>
      <c r="T23" s="533"/>
      <c r="U23" s="554" t="s">
        <v>708</v>
      </c>
      <c r="V23" s="533"/>
      <c r="W23" s="533"/>
      <c r="X23" s="533"/>
      <c r="Y23" s="533"/>
      <c r="Z23" s="554" t="s">
        <v>709</v>
      </c>
      <c r="AA23" s="533"/>
      <c r="AB23" s="533"/>
      <c r="AC23" s="533"/>
      <c r="AD23" s="533"/>
      <c r="AE23" s="554" t="s">
        <v>710</v>
      </c>
      <c r="AF23" s="533"/>
      <c r="AG23" s="533"/>
      <c r="AH23" s="533"/>
      <c r="AI23" s="533"/>
      <c r="AJ23" s="554" t="s">
        <v>711</v>
      </c>
      <c r="AK23" s="533"/>
      <c r="AL23" s="533"/>
      <c r="AM23" s="533"/>
      <c r="AN23" s="533"/>
      <c r="AO23" s="554" t="s">
        <v>712</v>
      </c>
      <c r="AP23" s="533"/>
      <c r="AQ23" s="533"/>
      <c r="AR23" s="533"/>
      <c r="AS23" s="533"/>
      <c r="AT23" s="554" t="s">
        <v>713</v>
      </c>
      <c r="AU23" s="533"/>
      <c r="AV23" s="533"/>
      <c r="AW23" s="533"/>
      <c r="AX23" s="533"/>
    </row>
    <row r="24" spans="2:54">
      <c r="B24" s="544" t="s">
        <v>649</v>
      </c>
      <c r="C24" s="544" t="s">
        <v>650</v>
      </c>
      <c r="D24" s="544"/>
      <c r="E24" s="544" t="s">
        <v>651</v>
      </c>
      <c r="F24" s="544"/>
      <c r="G24" s="544"/>
      <c r="H24" s="561" t="s">
        <v>652</v>
      </c>
      <c r="I24" s="583" t="s">
        <v>653</v>
      </c>
      <c r="J24" s="583"/>
      <c r="K24" s="583"/>
      <c r="L24" s="584" t="s">
        <v>652</v>
      </c>
      <c r="M24" s="567" t="s">
        <v>654</v>
      </c>
      <c r="N24" s="544"/>
      <c r="O24" s="544" t="s">
        <v>655</v>
      </c>
      <c r="P24" s="548" t="s">
        <v>656</v>
      </c>
      <c r="Q24" s="549"/>
      <c r="R24" s="549"/>
      <c r="S24" s="550"/>
      <c r="T24" s="544" t="s">
        <v>652</v>
      </c>
      <c r="U24" s="548" t="s">
        <v>656</v>
      </c>
      <c r="V24" s="549"/>
      <c r="W24" s="549"/>
      <c r="X24" s="550"/>
      <c r="Y24" s="544" t="s">
        <v>652</v>
      </c>
      <c r="Z24" s="548" t="s">
        <v>656</v>
      </c>
      <c r="AA24" s="549"/>
      <c r="AB24" s="549"/>
      <c r="AC24" s="550"/>
      <c r="AD24" s="544" t="s">
        <v>652</v>
      </c>
      <c r="AE24" s="548" t="s">
        <v>656</v>
      </c>
      <c r="AF24" s="549"/>
      <c r="AG24" s="549"/>
      <c r="AH24" s="550"/>
      <c r="AI24" s="544" t="s">
        <v>652</v>
      </c>
      <c r="AJ24" s="548" t="s">
        <v>656</v>
      </c>
      <c r="AK24" s="549"/>
      <c r="AL24" s="549"/>
      <c r="AM24" s="550"/>
      <c r="AN24" s="544" t="s">
        <v>652</v>
      </c>
      <c r="AO24" s="548" t="s">
        <v>656</v>
      </c>
      <c r="AP24" s="549"/>
      <c r="AQ24" s="549"/>
      <c r="AR24" s="550"/>
      <c r="AS24" s="544" t="s">
        <v>652</v>
      </c>
      <c r="AT24" s="548" t="s">
        <v>656</v>
      </c>
      <c r="AU24" s="549"/>
      <c r="AV24" s="549"/>
      <c r="AW24" s="550"/>
      <c r="AX24" s="544" t="s">
        <v>652</v>
      </c>
    </row>
    <row r="25" spans="2:54">
      <c r="B25" s="544"/>
      <c r="C25" s="544"/>
      <c r="D25" s="544"/>
      <c r="E25" s="544" t="s">
        <v>657</v>
      </c>
      <c r="F25" s="544"/>
      <c r="G25" s="544"/>
      <c r="H25" s="562"/>
      <c r="I25" s="583" t="s">
        <v>657</v>
      </c>
      <c r="J25" s="583"/>
      <c r="K25" s="583"/>
      <c r="L25" s="585"/>
      <c r="M25" s="568"/>
      <c r="N25" s="544"/>
      <c r="O25" s="544"/>
      <c r="P25" s="548" t="s">
        <v>658</v>
      </c>
      <c r="Q25" s="549"/>
      <c r="R25" s="549"/>
      <c r="S25" s="550"/>
      <c r="T25" s="544"/>
      <c r="U25" s="548" t="s">
        <v>658</v>
      </c>
      <c r="V25" s="549"/>
      <c r="W25" s="549"/>
      <c r="X25" s="550"/>
      <c r="Y25" s="544"/>
      <c r="Z25" s="548" t="s">
        <v>658</v>
      </c>
      <c r="AA25" s="549"/>
      <c r="AB25" s="549"/>
      <c r="AC25" s="550"/>
      <c r="AD25" s="544"/>
      <c r="AE25" s="548" t="s">
        <v>658</v>
      </c>
      <c r="AF25" s="549"/>
      <c r="AG25" s="549"/>
      <c r="AH25" s="550"/>
      <c r="AI25" s="544"/>
      <c r="AJ25" s="548" t="s">
        <v>658</v>
      </c>
      <c r="AK25" s="549"/>
      <c r="AL25" s="549"/>
      <c r="AM25" s="550"/>
      <c r="AN25" s="544"/>
      <c r="AO25" s="548" t="s">
        <v>658</v>
      </c>
      <c r="AP25" s="549"/>
      <c r="AQ25" s="549"/>
      <c r="AR25" s="550"/>
      <c r="AS25" s="544"/>
      <c r="AT25" s="548" t="s">
        <v>658</v>
      </c>
      <c r="AU25" s="549"/>
      <c r="AV25" s="549"/>
      <c r="AW25" s="550"/>
      <c r="AX25" s="544"/>
    </row>
    <row r="26" spans="2:54">
      <c r="B26" s="544"/>
      <c r="C26" s="544"/>
      <c r="D26" s="544"/>
      <c r="E26" s="403" t="s">
        <v>659</v>
      </c>
      <c r="F26" s="403" t="s">
        <v>660</v>
      </c>
      <c r="G26" s="403" t="s">
        <v>661</v>
      </c>
      <c r="H26" s="563"/>
      <c r="I26" s="402" t="s">
        <v>659</v>
      </c>
      <c r="J26" s="402" t="s">
        <v>660</v>
      </c>
      <c r="K26" s="402" t="s">
        <v>661</v>
      </c>
      <c r="L26" s="586"/>
      <c r="M26" s="569"/>
      <c r="N26" s="544"/>
      <c r="O26" s="544"/>
      <c r="P26" s="403" t="s">
        <v>659</v>
      </c>
      <c r="Q26" s="403" t="s">
        <v>660</v>
      </c>
      <c r="R26" s="403" t="s">
        <v>661</v>
      </c>
      <c r="S26" s="403" t="s">
        <v>654</v>
      </c>
      <c r="T26" s="544"/>
      <c r="U26" s="403" t="s">
        <v>659</v>
      </c>
      <c r="V26" s="403" t="s">
        <v>660</v>
      </c>
      <c r="W26" s="403" t="s">
        <v>661</v>
      </c>
      <c r="X26" s="403" t="s">
        <v>654</v>
      </c>
      <c r="Y26" s="544"/>
      <c r="Z26" s="403" t="s">
        <v>659</v>
      </c>
      <c r="AA26" s="403" t="s">
        <v>660</v>
      </c>
      <c r="AB26" s="403" t="s">
        <v>661</v>
      </c>
      <c r="AC26" s="403" t="s">
        <v>654</v>
      </c>
      <c r="AD26" s="544"/>
      <c r="AE26" s="403" t="s">
        <v>659</v>
      </c>
      <c r="AF26" s="403" t="s">
        <v>660</v>
      </c>
      <c r="AG26" s="403" t="s">
        <v>661</v>
      </c>
      <c r="AH26" s="403" t="s">
        <v>654</v>
      </c>
      <c r="AI26" s="544"/>
      <c r="AJ26" s="403" t="s">
        <v>659</v>
      </c>
      <c r="AK26" s="403" t="s">
        <v>660</v>
      </c>
      <c r="AL26" s="403" t="s">
        <v>661</v>
      </c>
      <c r="AM26" s="403" t="s">
        <v>654</v>
      </c>
      <c r="AN26" s="544"/>
      <c r="AO26" s="403" t="s">
        <v>659</v>
      </c>
      <c r="AP26" s="403" t="s">
        <v>660</v>
      </c>
      <c r="AQ26" s="403" t="s">
        <v>661</v>
      </c>
      <c r="AR26" s="403" t="s">
        <v>654</v>
      </c>
      <c r="AS26" s="544"/>
      <c r="AT26" s="403" t="s">
        <v>659</v>
      </c>
      <c r="AU26" s="403" t="s">
        <v>660</v>
      </c>
      <c r="AV26" s="403" t="s">
        <v>661</v>
      </c>
      <c r="AW26" s="403" t="s">
        <v>654</v>
      </c>
      <c r="AX26" s="544"/>
    </row>
    <row r="27" spans="2:54">
      <c r="B27" s="544" t="s">
        <v>794</v>
      </c>
      <c r="C27" s="404">
        <v>1</v>
      </c>
      <c r="D27" s="226" t="s">
        <v>399</v>
      </c>
      <c r="E27" s="182">
        <v>6</v>
      </c>
      <c r="F27" s="404">
        <v>1500</v>
      </c>
      <c r="G27" s="405">
        <v>250</v>
      </c>
      <c r="H27" s="597">
        <f>AVERAGE(G27:G41)</f>
        <v>140.15</v>
      </c>
      <c r="I27" s="408">
        <f t="shared" ref="I27:K34" si="15">AVERAGE(P27,U27,Z27,AE27,AJ27,AO27,AT27)</f>
        <v>6</v>
      </c>
      <c r="J27" s="408">
        <f t="shared" si="15"/>
        <v>1292.4051821272174</v>
      </c>
      <c r="K27" s="406">
        <f t="shared" si="15"/>
        <v>215.40086368786956</v>
      </c>
      <c r="L27" s="587">
        <f>IFERROR(AVERAGE(K27:K41),"-")</f>
        <v>120.98842012566415</v>
      </c>
      <c r="M27" s="407">
        <f>RANK(K27, K$27:$K$41)</f>
        <v>2</v>
      </c>
      <c r="N27" s="544"/>
      <c r="O27" s="544"/>
      <c r="P27" s="182">
        <v>6</v>
      </c>
      <c r="Q27" s="182">
        <v>1267.5862068965516</v>
      </c>
      <c r="R27" s="405">
        <v>211.26436781609195</v>
      </c>
      <c r="S27" s="404">
        <f t="shared" ref="S27:S41" si="16">RANK(R27, R$27:R$41)</f>
        <v>3</v>
      </c>
      <c r="T27" s="537">
        <f>AVERAGE(R27:R41)</f>
        <v>120.78743027399619</v>
      </c>
      <c r="U27" s="182">
        <v>6</v>
      </c>
      <c r="V27" s="182">
        <v>1322.926829268293</v>
      </c>
      <c r="W27" s="405">
        <v>220.48780487804882</v>
      </c>
      <c r="X27" s="404">
        <f t="shared" ref="X27:X41" si="17">RANK(W27, W$27:W$41)</f>
        <v>1</v>
      </c>
      <c r="Y27" s="537">
        <f t="shared" ref="Y27" si="18">AVERAGE(W27:W41)</f>
        <v>122.70057808191829</v>
      </c>
      <c r="Z27" s="182">
        <v>6</v>
      </c>
      <c r="AA27" s="182">
        <v>1314.8780487804879</v>
      </c>
      <c r="AB27" s="405">
        <v>219.14634146341464</v>
      </c>
      <c r="AC27" s="404">
        <f t="shared" ref="AC27:AC41" si="19">RANK(AB27, AB$27:AB$41)</f>
        <v>1</v>
      </c>
      <c r="AD27" s="537">
        <f t="shared" ref="AD27" si="20">AVERAGE(AB27:AB41)</f>
        <v>121.95007784656255</v>
      </c>
      <c r="AE27" s="182">
        <v>6</v>
      </c>
      <c r="AF27" s="182">
        <v>1308.9230769230765</v>
      </c>
      <c r="AG27" s="405">
        <v>218.15384615384608</v>
      </c>
      <c r="AH27" s="404">
        <f t="shared" ref="AH27:AH41" si="21">RANK(AG27, AG$27:AG$41)</f>
        <v>1</v>
      </c>
      <c r="AI27" s="537">
        <f t="shared" ref="AI27" si="22">AVERAGE(AG27:AG41)</f>
        <v>119.3447360806808</v>
      </c>
      <c r="AJ27" s="182">
        <v>6</v>
      </c>
      <c r="AK27" s="182">
        <v>1257.5675675675673</v>
      </c>
      <c r="AL27" s="405">
        <v>209.59459459459455</v>
      </c>
      <c r="AM27" s="404">
        <f t="shared" ref="AM27:AM41" si="23">RANK(AL27, AL$27:AL$41)</f>
        <v>3</v>
      </c>
      <c r="AN27" s="537">
        <f t="shared" ref="AN27" si="24">AVERAGE(AL27:AL41)</f>
        <v>120.99252067479449</v>
      </c>
      <c r="AO27" s="182">
        <v>6</v>
      </c>
      <c r="AP27" s="182">
        <v>1309.5</v>
      </c>
      <c r="AQ27" s="405">
        <v>218.25</v>
      </c>
      <c r="AR27" s="404">
        <f t="shared" ref="AR27:AR41" si="25">RANK(AQ27, AQ$27:AQ$41)</f>
        <v>2</v>
      </c>
      <c r="AS27" s="537">
        <f t="shared" ref="AS27" si="26">AVERAGE(AQ27:AQ41)</f>
        <v>121.45124729231534</v>
      </c>
      <c r="AT27" s="182">
        <v>6</v>
      </c>
      <c r="AU27" s="182">
        <v>1265.4545454545455</v>
      </c>
      <c r="AV27" s="405">
        <v>210.90909090909091</v>
      </c>
      <c r="AW27" s="404">
        <f t="shared" ref="AW27:AW41" si="27">RANK(AV27, AV$27:AV$41)</f>
        <v>3</v>
      </c>
      <c r="AX27" s="534">
        <f t="shared" ref="AX27" si="28">AVERAGE(AV27:AV41)</f>
        <v>119.69235062938155</v>
      </c>
    </row>
    <row r="28" spans="2:54">
      <c r="B28" s="533"/>
      <c r="C28" s="404">
        <v>2</v>
      </c>
      <c r="D28" s="226" t="s">
        <v>400</v>
      </c>
      <c r="E28" s="182">
        <v>6</v>
      </c>
      <c r="F28" s="404">
        <v>1500</v>
      </c>
      <c r="G28" s="405">
        <v>250</v>
      </c>
      <c r="H28" s="598"/>
      <c r="I28" s="408">
        <f t="shared" si="15"/>
        <v>6</v>
      </c>
      <c r="J28" s="408">
        <f t="shared" si="15"/>
        <v>1287.3880519882075</v>
      </c>
      <c r="K28" s="406">
        <f t="shared" si="15"/>
        <v>214.56467533136791</v>
      </c>
      <c r="L28" s="588"/>
      <c r="M28" s="407">
        <f>RANK(K28, K$27:$K$41)</f>
        <v>3</v>
      </c>
      <c r="N28" s="544"/>
      <c r="O28" s="544"/>
      <c r="P28" s="404">
        <v>6</v>
      </c>
      <c r="Q28" s="182">
        <v>1316.9343065693431</v>
      </c>
      <c r="R28" s="405">
        <v>219.48905109489053</v>
      </c>
      <c r="S28" s="404">
        <f t="shared" si="16"/>
        <v>1</v>
      </c>
      <c r="T28" s="538"/>
      <c r="U28" s="404">
        <v>6</v>
      </c>
      <c r="V28" s="182">
        <v>1289.166666666667</v>
      </c>
      <c r="W28" s="405">
        <v>214.86111111111117</v>
      </c>
      <c r="X28" s="404">
        <f t="shared" si="17"/>
        <v>3</v>
      </c>
      <c r="Y28" s="538"/>
      <c r="Z28" s="404">
        <v>6</v>
      </c>
      <c r="AA28" s="182">
        <v>1291.3235294117649</v>
      </c>
      <c r="AB28" s="405">
        <v>215.22058823529414</v>
      </c>
      <c r="AC28" s="404">
        <f t="shared" si="19"/>
        <v>3</v>
      </c>
      <c r="AD28" s="538"/>
      <c r="AE28" s="404">
        <v>6</v>
      </c>
      <c r="AF28" s="182">
        <v>1261.9512195121947</v>
      </c>
      <c r="AG28" s="405">
        <v>210.32520325203245</v>
      </c>
      <c r="AH28" s="404">
        <f t="shared" si="21"/>
        <v>3</v>
      </c>
      <c r="AI28" s="538"/>
      <c r="AJ28" s="404">
        <v>6</v>
      </c>
      <c r="AK28" s="182">
        <v>1320.4878048780492</v>
      </c>
      <c r="AL28" s="405">
        <v>220.0813008130082</v>
      </c>
      <c r="AM28" s="404">
        <f t="shared" si="23"/>
        <v>1</v>
      </c>
      <c r="AN28" s="538"/>
      <c r="AO28" s="404">
        <v>6</v>
      </c>
      <c r="AP28" s="182">
        <v>1262.916666666667</v>
      </c>
      <c r="AQ28" s="405">
        <v>210.48611111111117</v>
      </c>
      <c r="AR28" s="404">
        <f t="shared" si="25"/>
        <v>3</v>
      </c>
      <c r="AS28" s="538"/>
      <c r="AT28" s="404">
        <v>6</v>
      </c>
      <c r="AU28" s="182">
        <v>1268.9361702127662</v>
      </c>
      <c r="AV28" s="405">
        <v>211.4893617021277</v>
      </c>
      <c r="AW28" s="404">
        <f t="shared" si="27"/>
        <v>2</v>
      </c>
      <c r="AX28" s="534"/>
    </row>
    <row r="29" spans="2:54">
      <c r="B29" s="533"/>
      <c r="C29" s="404">
        <v>3</v>
      </c>
      <c r="D29" s="226" t="s">
        <v>349</v>
      </c>
      <c r="E29" s="182">
        <v>19</v>
      </c>
      <c r="F29" s="404">
        <v>1500</v>
      </c>
      <c r="G29" s="405">
        <v>78.900000000000006</v>
      </c>
      <c r="H29" s="598"/>
      <c r="I29" s="408">
        <f t="shared" si="15"/>
        <v>18.571428571428573</v>
      </c>
      <c r="J29" s="408">
        <f t="shared" si="15"/>
        <v>1276.8991435739044</v>
      </c>
      <c r="K29" s="406">
        <f t="shared" si="15"/>
        <v>68.814932595690905</v>
      </c>
      <c r="L29" s="588"/>
      <c r="M29" s="407">
        <f>RANK(K29, K$27:$K$41)</f>
        <v>6</v>
      </c>
      <c r="N29" s="544"/>
      <c r="O29" s="544"/>
      <c r="P29" s="404">
        <v>18</v>
      </c>
      <c r="Q29" s="182">
        <v>1300.9459459459456</v>
      </c>
      <c r="R29" s="405">
        <v>72.274774774774755</v>
      </c>
      <c r="S29" s="404">
        <f t="shared" si="16"/>
        <v>5</v>
      </c>
      <c r="T29" s="538"/>
      <c r="U29" s="404">
        <v>19</v>
      </c>
      <c r="V29" s="182">
        <v>1275.6164383561641</v>
      </c>
      <c r="W29" s="405">
        <v>67.137707281903374</v>
      </c>
      <c r="X29" s="404">
        <f t="shared" si="17"/>
        <v>6</v>
      </c>
      <c r="Y29" s="538"/>
      <c r="Z29" s="404">
        <v>18</v>
      </c>
      <c r="AA29" s="182">
        <v>1291.304347826087</v>
      </c>
      <c r="AB29" s="405">
        <v>71.739130434782609</v>
      </c>
      <c r="AC29" s="404">
        <f t="shared" si="19"/>
        <v>5</v>
      </c>
      <c r="AD29" s="538"/>
      <c r="AE29" s="404">
        <v>18</v>
      </c>
      <c r="AF29" s="182">
        <v>1261.4062499999998</v>
      </c>
      <c r="AG29" s="405">
        <v>70.078124999999986</v>
      </c>
      <c r="AH29" s="404">
        <f t="shared" si="21"/>
        <v>4</v>
      </c>
      <c r="AI29" s="538"/>
      <c r="AJ29" s="404">
        <v>19</v>
      </c>
      <c r="AK29" s="182">
        <v>1270.5343511450383</v>
      </c>
      <c r="AL29" s="405">
        <v>66.870229007633597</v>
      </c>
      <c r="AM29" s="404">
        <f t="shared" si="23"/>
        <v>5</v>
      </c>
      <c r="AN29" s="538"/>
      <c r="AO29" s="404">
        <v>19</v>
      </c>
      <c r="AP29" s="182">
        <v>1264.6153846153845</v>
      </c>
      <c r="AQ29" s="405">
        <v>66.558704453441294</v>
      </c>
      <c r="AR29" s="404">
        <f t="shared" si="25"/>
        <v>6</v>
      </c>
      <c r="AS29" s="538"/>
      <c r="AT29" s="404">
        <v>19</v>
      </c>
      <c r="AU29" s="182">
        <v>1273.8712871287123</v>
      </c>
      <c r="AV29" s="405">
        <v>67.04585721730065</v>
      </c>
      <c r="AW29" s="404">
        <f t="shared" si="27"/>
        <v>6</v>
      </c>
      <c r="AX29" s="534"/>
    </row>
    <row r="30" spans="2:54">
      <c r="B30" s="533"/>
      <c r="C30" s="404">
        <v>4</v>
      </c>
      <c r="D30" s="226" t="s">
        <v>401</v>
      </c>
      <c r="E30" s="182">
        <v>17</v>
      </c>
      <c r="F30" s="404">
        <v>1440</v>
      </c>
      <c r="G30" s="405">
        <v>84.7</v>
      </c>
      <c r="H30" s="598"/>
      <c r="I30" s="408">
        <f t="shared" si="15"/>
        <v>17</v>
      </c>
      <c r="J30" s="408">
        <f t="shared" si="15"/>
        <v>1259.7402460984379</v>
      </c>
      <c r="K30" s="406">
        <f t="shared" si="15"/>
        <v>74.102367417555158</v>
      </c>
      <c r="L30" s="588"/>
      <c r="M30" s="407">
        <f>RANK(K30, K$27:$K$41)</f>
        <v>4</v>
      </c>
      <c r="N30" s="544"/>
      <c r="O30" s="544"/>
      <c r="P30" s="404">
        <v>17</v>
      </c>
      <c r="Q30" s="182">
        <v>1237.4999999999982</v>
      </c>
      <c r="R30" s="405">
        <v>72.794117647058712</v>
      </c>
      <c r="S30" s="404">
        <f t="shared" si="16"/>
        <v>4</v>
      </c>
      <c r="T30" s="538"/>
      <c r="U30" s="404">
        <v>17</v>
      </c>
      <c r="V30" s="182">
        <v>1318.2352941176455</v>
      </c>
      <c r="W30" s="405">
        <v>77.543252595155622</v>
      </c>
      <c r="X30" s="404">
        <f t="shared" si="17"/>
        <v>4</v>
      </c>
      <c r="Y30" s="538"/>
      <c r="Z30" s="404">
        <v>17</v>
      </c>
      <c r="AA30" s="182">
        <v>1289.9999999999982</v>
      </c>
      <c r="AB30" s="405">
        <v>75.882352941176364</v>
      </c>
      <c r="AC30" s="404">
        <f t="shared" si="19"/>
        <v>4</v>
      </c>
      <c r="AD30" s="538"/>
      <c r="AE30" s="404">
        <v>17</v>
      </c>
      <c r="AF30" s="182">
        <v>1066.8749999999984</v>
      </c>
      <c r="AG30" s="405">
        <v>62.757352941176379</v>
      </c>
      <c r="AH30" s="404">
        <f t="shared" si="21"/>
        <v>6</v>
      </c>
      <c r="AI30" s="538"/>
      <c r="AJ30" s="404">
        <v>17</v>
      </c>
      <c r="AK30" s="182">
        <v>1313.5714285714296</v>
      </c>
      <c r="AL30" s="405">
        <v>77.268907563025266</v>
      </c>
      <c r="AM30" s="404">
        <f t="shared" si="23"/>
        <v>4</v>
      </c>
      <c r="AN30" s="538"/>
      <c r="AO30" s="404">
        <v>17</v>
      </c>
      <c r="AP30" s="182">
        <v>1301.9999999999977</v>
      </c>
      <c r="AQ30" s="405">
        <v>76.58823529411751</v>
      </c>
      <c r="AR30" s="404">
        <f t="shared" si="25"/>
        <v>4</v>
      </c>
      <c r="AS30" s="538"/>
      <c r="AT30" s="404">
        <v>17</v>
      </c>
      <c r="AU30" s="182">
        <v>1289.9999999999982</v>
      </c>
      <c r="AV30" s="405">
        <v>75.882352941176364</v>
      </c>
      <c r="AW30" s="404">
        <f t="shared" si="27"/>
        <v>4</v>
      </c>
      <c r="AX30" s="534"/>
    </row>
    <row r="31" spans="2:54">
      <c r="B31" s="533"/>
      <c r="C31" s="404">
        <v>5</v>
      </c>
      <c r="D31" s="226" t="s">
        <v>448</v>
      </c>
      <c r="E31" s="182">
        <v>6</v>
      </c>
      <c r="F31" s="404">
        <v>1500</v>
      </c>
      <c r="G31" s="405">
        <v>250</v>
      </c>
      <c r="H31" s="598"/>
      <c r="I31" s="408">
        <f t="shared" si="15"/>
        <v>6</v>
      </c>
      <c r="J31" s="408">
        <f t="shared" si="15"/>
        <v>1298.2626441450645</v>
      </c>
      <c r="K31" s="406">
        <f t="shared" si="15"/>
        <v>216.37710735751074</v>
      </c>
      <c r="L31" s="588"/>
      <c r="M31" s="407">
        <f>RANK(K31, K$27:$K$41)</f>
        <v>1</v>
      </c>
      <c r="N31" s="544"/>
      <c r="O31" s="544"/>
      <c r="P31" s="404">
        <v>6</v>
      </c>
      <c r="Q31" s="182">
        <v>1272.7272727272732</v>
      </c>
      <c r="R31" s="405">
        <v>212.12121212121221</v>
      </c>
      <c r="S31" s="404">
        <f t="shared" si="16"/>
        <v>2</v>
      </c>
      <c r="T31" s="538"/>
      <c r="U31" s="404">
        <v>6</v>
      </c>
      <c r="V31" s="182">
        <v>1318.153846153846</v>
      </c>
      <c r="W31" s="405">
        <v>219.69230769230765</v>
      </c>
      <c r="X31" s="404">
        <f t="shared" si="17"/>
        <v>2</v>
      </c>
      <c r="Y31" s="538"/>
      <c r="Z31" s="404">
        <v>6</v>
      </c>
      <c r="AA31" s="182">
        <v>1295.6249999999998</v>
      </c>
      <c r="AB31" s="405">
        <v>215.93749999999997</v>
      </c>
      <c r="AC31" s="404">
        <f t="shared" si="19"/>
        <v>2</v>
      </c>
      <c r="AD31" s="538"/>
      <c r="AE31" s="404">
        <v>6</v>
      </c>
      <c r="AF31" s="182">
        <v>1292.4770642201838</v>
      </c>
      <c r="AG31" s="405">
        <v>215.41284403669729</v>
      </c>
      <c r="AH31" s="404">
        <f t="shared" si="21"/>
        <v>2</v>
      </c>
      <c r="AI31" s="538"/>
      <c r="AJ31" s="404">
        <v>6</v>
      </c>
      <c r="AK31" s="182">
        <v>1312.9729729729729</v>
      </c>
      <c r="AL31" s="405">
        <v>218.82882882882882</v>
      </c>
      <c r="AM31" s="404">
        <f t="shared" si="23"/>
        <v>2</v>
      </c>
      <c r="AN31" s="538"/>
      <c r="AO31" s="404">
        <v>6</v>
      </c>
      <c r="AP31" s="182">
        <v>1310.7352941176468</v>
      </c>
      <c r="AQ31" s="405">
        <v>218.45588235294113</v>
      </c>
      <c r="AR31" s="404">
        <f t="shared" si="25"/>
        <v>1</v>
      </c>
      <c r="AS31" s="538"/>
      <c r="AT31" s="404">
        <v>6</v>
      </c>
      <c r="AU31" s="182">
        <v>1285.1470588235288</v>
      </c>
      <c r="AV31" s="405">
        <v>214.19117647058815</v>
      </c>
      <c r="AW31" s="404">
        <f t="shared" si="27"/>
        <v>1</v>
      </c>
      <c r="AX31" s="534"/>
    </row>
    <row r="32" spans="2:54">
      <c r="B32" s="533"/>
      <c r="C32" s="404">
        <v>6</v>
      </c>
      <c r="D32" s="226" t="s">
        <v>484</v>
      </c>
      <c r="E32" s="182">
        <v>19</v>
      </c>
      <c r="F32" s="404">
        <v>1440</v>
      </c>
      <c r="G32" s="405">
        <v>75.8</v>
      </c>
      <c r="H32" s="598"/>
      <c r="I32" s="408">
        <f t="shared" si="15"/>
        <v>18.142857142857142</v>
      </c>
      <c r="J32" s="408">
        <f t="shared" si="15"/>
        <v>1276.8266806367355</v>
      </c>
      <c r="K32" s="406">
        <f t="shared" si="15"/>
        <v>70.409836476476954</v>
      </c>
      <c r="L32" s="588"/>
      <c r="M32" s="407">
        <f>RANK(K32, K$27:$K$41)</f>
        <v>5</v>
      </c>
      <c r="N32" s="544"/>
      <c r="O32" s="544"/>
      <c r="P32" s="404">
        <v>18</v>
      </c>
      <c r="Q32" s="182">
        <v>1280.2247191011236</v>
      </c>
      <c r="R32" s="405">
        <v>71.123595505617971</v>
      </c>
      <c r="S32" s="404">
        <f t="shared" si="16"/>
        <v>6</v>
      </c>
      <c r="T32" s="538"/>
      <c r="U32" s="404">
        <v>18</v>
      </c>
      <c r="V32" s="182">
        <v>1304.1379310344826</v>
      </c>
      <c r="W32" s="405">
        <v>72.452107279693479</v>
      </c>
      <c r="X32" s="404">
        <f t="shared" si="17"/>
        <v>5</v>
      </c>
      <c r="Y32" s="538"/>
      <c r="Z32" s="404">
        <v>18</v>
      </c>
      <c r="AA32" s="182">
        <v>1259.3023255813951</v>
      </c>
      <c r="AB32" s="405">
        <v>69.9612403100775</v>
      </c>
      <c r="AC32" s="404">
        <f t="shared" si="19"/>
        <v>6</v>
      </c>
      <c r="AD32" s="538"/>
      <c r="AE32" s="404">
        <v>18</v>
      </c>
      <c r="AF32" s="182">
        <v>1248.695652173913</v>
      </c>
      <c r="AG32" s="405">
        <v>69.371980676328505</v>
      </c>
      <c r="AH32" s="404">
        <f t="shared" si="21"/>
        <v>5</v>
      </c>
      <c r="AI32" s="538"/>
      <c r="AJ32" s="404">
        <v>19</v>
      </c>
      <c r="AK32" s="182">
        <v>1256.8000000000006</v>
      </c>
      <c r="AL32" s="405">
        <v>66.147368421052661</v>
      </c>
      <c r="AM32" s="404">
        <f t="shared" si="23"/>
        <v>6</v>
      </c>
      <c r="AN32" s="538"/>
      <c r="AO32" s="404">
        <v>18</v>
      </c>
      <c r="AP32" s="182">
        <v>1315.4430379746841</v>
      </c>
      <c r="AQ32" s="405">
        <v>73.080168776371337</v>
      </c>
      <c r="AR32" s="404">
        <f t="shared" si="25"/>
        <v>5</v>
      </c>
      <c r="AS32" s="538"/>
      <c r="AT32" s="404">
        <v>18</v>
      </c>
      <c r="AU32" s="182">
        <v>1273.1830985915497</v>
      </c>
      <c r="AV32" s="405">
        <v>70.732394366197198</v>
      </c>
      <c r="AW32" s="404">
        <f t="shared" si="27"/>
        <v>5</v>
      </c>
      <c r="AX32" s="534"/>
    </row>
    <row r="33" spans="2:50">
      <c r="B33" s="533"/>
      <c r="C33" s="404">
        <v>7</v>
      </c>
      <c r="D33" s="226" t="s">
        <v>501</v>
      </c>
      <c r="E33" s="182">
        <v>21</v>
      </c>
      <c r="F33" s="404">
        <v>1385</v>
      </c>
      <c r="G33" s="405">
        <v>65.900000000000006</v>
      </c>
      <c r="H33" s="598"/>
      <c r="I33" s="408">
        <f t="shared" si="15"/>
        <v>20</v>
      </c>
      <c r="J33" s="408">
        <f t="shared" si="15"/>
        <v>1077.1949256415096</v>
      </c>
      <c r="K33" s="406">
        <f t="shared" si="15"/>
        <v>53.859746282075484</v>
      </c>
      <c r="L33" s="588"/>
      <c r="M33" s="407">
        <f>RANK(K33, K$27:$K$41)</f>
        <v>8</v>
      </c>
      <c r="N33" s="544"/>
      <c r="O33" s="544"/>
      <c r="P33" s="404">
        <v>20</v>
      </c>
      <c r="Q33" s="182">
        <v>1069.0909090909099</v>
      </c>
      <c r="R33" s="405">
        <v>53.454545454545496</v>
      </c>
      <c r="S33" s="404">
        <f t="shared" si="16"/>
        <v>8</v>
      </c>
      <c r="T33" s="538"/>
      <c r="U33" s="404">
        <v>20</v>
      </c>
      <c r="V33" s="182">
        <v>1092.4528301886799</v>
      </c>
      <c r="W33" s="405">
        <v>54.62264150943399</v>
      </c>
      <c r="X33" s="404">
        <f t="shared" si="17"/>
        <v>8</v>
      </c>
      <c r="Y33" s="538"/>
      <c r="Z33" s="404">
        <v>20</v>
      </c>
      <c r="AA33" s="182">
        <v>1060.8000000000002</v>
      </c>
      <c r="AB33" s="405">
        <v>53.040000000000006</v>
      </c>
      <c r="AC33" s="404">
        <f t="shared" si="19"/>
        <v>8</v>
      </c>
      <c r="AD33" s="538"/>
      <c r="AE33" s="404">
        <v>20</v>
      </c>
      <c r="AF33" s="182">
        <v>1080</v>
      </c>
      <c r="AG33" s="405">
        <v>54</v>
      </c>
      <c r="AH33" s="404">
        <f t="shared" si="21"/>
        <v>8</v>
      </c>
      <c r="AI33" s="538"/>
      <c r="AJ33" s="404">
        <v>20</v>
      </c>
      <c r="AK33" s="182">
        <v>1102.9787234042553</v>
      </c>
      <c r="AL33" s="405">
        <v>55.148936170212764</v>
      </c>
      <c r="AM33" s="404">
        <f t="shared" si="23"/>
        <v>7</v>
      </c>
      <c r="AN33" s="538"/>
      <c r="AO33" s="404">
        <v>20</v>
      </c>
      <c r="AP33" s="182">
        <v>1076.4705882352946</v>
      </c>
      <c r="AQ33" s="405">
        <v>53.823529411764731</v>
      </c>
      <c r="AR33" s="404">
        <f t="shared" si="25"/>
        <v>8</v>
      </c>
      <c r="AS33" s="538"/>
      <c r="AT33" s="404">
        <v>20</v>
      </c>
      <c r="AU33" s="182">
        <v>1058.5714285714278</v>
      </c>
      <c r="AV33" s="405">
        <v>52.928571428571388</v>
      </c>
      <c r="AW33" s="404">
        <f t="shared" si="27"/>
        <v>8</v>
      </c>
      <c r="AX33" s="534"/>
    </row>
    <row r="34" spans="2:50">
      <c r="B34" s="533"/>
      <c r="C34" s="404">
        <v>8</v>
      </c>
      <c r="D34" s="226" t="s">
        <v>583</v>
      </c>
      <c r="E34" s="182">
        <v>21</v>
      </c>
      <c r="F34" s="404">
        <v>1385</v>
      </c>
      <c r="G34" s="405">
        <v>65.900000000000006</v>
      </c>
      <c r="H34" s="598"/>
      <c r="I34" s="408">
        <f t="shared" si="15"/>
        <v>20</v>
      </c>
      <c r="J34" s="408">
        <f t="shared" si="15"/>
        <v>1087.5566371353332</v>
      </c>
      <c r="K34" s="406">
        <f t="shared" si="15"/>
        <v>54.377831856766662</v>
      </c>
      <c r="L34" s="588"/>
      <c r="M34" s="407">
        <f>RANK(K34, K$27:$K$41)</f>
        <v>7</v>
      </c>
      <c r="N34" s="544"/>
      <c r="O34" s="544"/>
      <c r="P34" s="404">
        <v>20</v>
      </c>
      <c r="Q34" s="182">
        <v>1075.5555555555561</v>
      </c>
      <c r="R34" s="405">
        <v>53.777777777777807</v>
      </c>
      <c r="S34" s="404">
        <f t="shared" si="16"/>
        <v>7</v>
      </c>
      <c r="T34" s="538"/>
      <c r="U34" s="404">
        <v>20</v>
      </c>
      <c r="V34" s="182">
        <v>1096.1538461538469</v>
      </c>
      <c r="W34" s="405">
        <v>54.807692307692342</v>
      </c>
      <c r="X34" s="404">
        <f t="shared" si="17"/>
        <v>7</v>
      </c>
      <c r="Y34" s="538"/>
      <c r="Z34" s="404">
        <v>20</v>
      </c>
      <c r="AA34" s="182">
        <v>1093.4693877551024</v>
      </c>
      <c r="AB34" s="405">
        <v>54.673469387755119</v>
      </c>
      <c r="AC34" s="404">
        <f t="shared" si="19"/>
        <v>7</v>
      </c>
      <c r="AD34" s="538"/>
      <c r="AE34" s="404">
        <v>20</v>
      </c>
      <c r="AF34" s="182">
        <v>1093.1707317073167</v>
      </c>
      <c r="AG34" s="405">
        <v>54.658536585365837</v>
      </c>
      <c r="AH34" s="404">
        <f t="shared" si="21"/>
        <v>7</v>
      </c>
      <c r="AI34" s="538"/>
      <c r="AJ34" s="404">
        <v>20</v>
      </c>
      <c r="AK34" s="182">
        <v>1080</v>
      </c>
      <c r="AL34" s="405">
        <v>54</v>
      </c>
      <c r="AM34" s="404">
        <f t="shared" si="23"/>
        <v>8</v>
      </c>
      <c r="AN34" s="538"/>
      <c r="AO34" s="404">
        <v>20</v>
      </c>
      <c r="AP34" s="182">
        <v>1087.3469387755104</v>
      </c>
      <c r="AQ34" s="405">
        <v>54.367346938775519</v>
      </c>
      <c r="AR34" s="404">
        <f t="shared" si="25"/>
        <v>7</v>
      </c>
      <c r="AS34" s="538"/>
      <c r="AT34" s="404">
        <v>20</v>
      </c>
      <c r="AU34" s="182">
        <v>1087.2000000000003</v>
      </c>
      <c r="AV34" s="405">
        <v>54.360000000000014</v>
      </c>
      <c r="AW34" s="404">
        <f t="shared" si="27"/>
        <v>7</v>
      </c>
      <c r="AX34" s="534"/>
    </row>
    <row r="35" spans="2:50">
      <c r="B35" s="533"/>
      <c r="C35" s="404">
        <v>9</v>
      </c>
      <c r="D35" s="226"/>
      <c r="E35" s="182"/>
      <c r="F35" s="404"/>
      <c r="G35" s="405"/>
      <c r="H35" s="598"/>
      <c r="I35" s="408"/>
      <c r="J35" s="408"/>
      <c r="K35" s="406"/>
      <c r="L35" s="588"/>
      <c r="M35" s="407" t="e">
        <f>RANK(K35, K$27:$K$41)</f>
        <v>#N/A</v>
      </c>
      <c r="N35" s="544"/>
      <c r="O35" s="544"/>
      <c r="P35" s="404"/>
      <c r="Q35" s="182"/>
      <c r="R35" s="405"/>
      <c r="S35" s="404" t="e">
        <f t="shared" si="16"/>
        <v>#N/A</v>
      </c>
      <c r="T35" s="538"/>
      <c r="U35" s="404"/>
      <c r="V35" s="182"/>
      <c r="W35" s="405"/>
      <c r="X35" s="404" t="e">
        <f t="shared" si="17"/>
        <v>#N/A</v>
      </c>
      <c r="Y35" s="538"/>
      <c r="Z35" s="404"/>
      <c r="AA35" s="182"/>
      <c r="AB35" s="405"/>
      <c r="AC35" s="404" t="e">
        <f t="shared" si="19"/>
        <v>#N/A</v>
      </c>
      <c r="AD35" s="538"/>
      <c r="AE35" s="404"/>
      <c r="AF35" s="182"/>
      <c r="AG35" s="405"/>
      <c r="AH35" s="404" t="e">
        <f t="shared" si="21"/>
        <v>#N/A</v>
      </c>
      <c r="AI35" s="538"/>
      <c r="AJ35" s="404"/>
      <c r="AK35" s="182"/>
      <c r="AL35" s="405"/>
      <c r="AM35" s="404" t="e">
        <f t="shared" si="23"/>
        <v>#N/A</v>
      </c>
      <c r="AN35" s="538"/>
      <c r="AO35" s="404"/>
      <c r="AP35" s="182"/>
      <c r="AQ35" s="405"/>
      <c r="AR35" s="404" t="e">
        <f t="shared" si="25"/>
        <v>#N/A</v>
      </c>
      <c r="AS35" s="538"/>
      <c r="AT35" s="404"/>
      <c r="AU35" s="182"/>
      <c r="AV35" s="405"/>
      <c r="AW35" s="404" t="e">
        <f t="shared" si="27"/>
        <v>#N/A</v>
      </c>
      <c r="AX35" s="534"/>
    </row>
    <row r="36" spans="2:50">
      <c r="B36" s="533"/>
      <c r="C36" s="404">
        <v>10</v>
      </c>
      <c r="D36" s="226"/>
      <c r="E36" s="182"/>
      <c r="F36" s="404"/>
      <c r="G36" s="405"/>
      <c r="H36" s="598"/>
      <c r="I36" s="408"/>
      <c r="J36" s="408"/>
      <c r="K36" s="406"/>
      <c r="L36" s="588"/>
      <c r="M36" s="407" t="e">
        <f>RANK(K36, K$27:$K$41)</f>
        <v>#N/A</v>
      </c>
      <c r="N36" s="544"/>
      <c r="O36" s="544"/>
      <c r="P36" s="404"/>
      <c r="Q36" s="182"/>
      <c r="R36" s="405"/>
      <c r="S36" s="404" t="e">
        <f t="shared" si="16"/>
        <v>#N/A</v>
      </c>
      <c r="T36" s="538"/>
      <c r="U36" s="404"/>
      <c r="V36" s="182"/>
      <c r="W36" s="405"/>
      <c r="X36" s="404" t="e">
        <f t="shared" si="17"/>
        <v>#N/A</v>
      </c>
      <c r="Y36" s="538"/>
      <c r="Z36" s="404"/>
      <c r="AA36" s="182"/>
      <c r="AB36" s="405"/>
      <c r="AC36" s="404" t="e">
        <f t="shared" si="19"/>
        <v>#N/A</v>
      </c>
      <c r="AD36" s="538"/>
      <c r="AE36" s="404"/>
      <c r="AF36" s="182"/>
      <c r="AG36" s="405"/>
      <c r="AH36" s="404" t="e">
        <f t="shared" si="21"/>
        <v>#N/A</v>
      </c>
      <c r="AI36" s="538"/>
      <c r="AJ36" s="404"/>
      <c r="AK36" s="182"/>
      <c r="AL36" s="405"/>
      <c r="AM36" s="404" t="e">
        <f t="shared" si="23"/>
        <v>#N/A</v>
      </c>
      <c r="AN36" s="538"/>
      <c r="AO36" s="404"/>
      <c r="AP36" s="182"/>
      <c r="AQ36" s="405"/>
      <c r="AR36" s="404" t="e">
        <f t="shared" si="25"/>
        <v>#N/A</v>
      </c>
      <c r="AS36" s="538"/>
      <c r="AT36" s="404"/>
      <c r="AU36" s="182"/>
      <c r="AV36" s="405"/>
      <c r="AW36" s="404" t="e">
        <f t="shared" si="27"/>
        <v>#N/A</v>
      </c>
      <c r="AX36" s="534"/>
    </row>
    <row r="37" spans="2:50">
      <c r="B37" s="533"/>
      <c r="C37" s="404">
        <v>11</v>
      </c>
      <c r="D37" s="226"/>
      <c r="E37" s="182"/>
      <c r="F37" s="404"/>
      <c r="G37" s="405"/>
      <c r="H37" s="598"/>
      <c r="I37" s="408"/>
      <c r="J37" s="408"/>
      <c r="K37" s="406"/>
      <c r="L37" s="588"/>
      <c r="M37" s="407" t="e">
        <f>RANK(K37, K$27:$K$41)</f>
        <v>#N/A</v>
      </c>
      <c r="N37" s="544"/>
      <c r="O37" s="544"/>
      <c r="P37" s="404"/>
      <c r="Q37" s="182"/>
      <c r="R37" s="405"/>
      <c r="S37" s="404" t="e">
        <f t="shared" si="16"/>
        <v>#N/A</v>
      </c>
      <c r="T37" s="538"/>
      <c r="U37" s="404"/>
      <c r="V37" s="182"/>
      <c r="W37" s="405"/>
      <c r="X37" s="404" t="e">
        <f t="shared" si="17"/>
        <v>#N/A</v>
      </c>
      <c r="Y37" s="538"/>
      <c r="Z37" s="404"/>
      <c r="AA37" s="182"/>
      <c r="AB37" s="405"/>
      <c r="AC37" s="404" t="e">
        <f t="shared" si="19"/>
        <v>#N/A</v>
      </c>
      <c r="AD37" s="538"/>
      <c r="AE37" s="404"/>
      <c r="AF37" s="182"/>
      <c r="AG37" s="405"/>
      <c r="AH37" s="404" t="e">
        <f t="shared" si="21"/>
        <v>#N/A</v>
      </c>
      <c r="AI37" s="538"/>
      <c r="AJ37" s="404"/>
      <c r="AK37" s="182"/>
      <c r="AL37" s="405"/>
      <c r="AM37" s="404" t="e">
        <f t="shared" si="23"/>
        <v>#N/A</v>
      </c>
      <c r="AN37" s="538"/>
      <c r="AO37" s="404"/>
      <c r="AP37" s="182"/>
      <c r="AQ37" s="405"/>
      <c r="AR37" s="404" t="e">
        <f t="shared" si="25"/>
        <v>#N/A</v>
      </c>
      <c r="AS37" s="538"/>
      <c r="AT37" s="404"/>
      <c r="AU37" s="182"/>
      <c r="AV37" s="405"/>
      <c r="AW37" s="404" t="e">
        <f t="shared" si="27"/>
        <v>#N/A</v>
      </c>
      <c r="AX37" s="534"/>
    </row>
    <row r="38" spans="2:50">
      <c r="B38" s="533"/>
      <c r="C38" s="404">
        <v>12</v>
      </c>
      <c r="D38" s="226"/>
      <c r="E38" s="182"/>
      <c r="F38" s="404"/>
      <c r="G38" s="405"/>
      <c r="H38" s="598"/>
      <c r="I38" s="408"/>
      <c r="J38" s="408"/>
      <c r="K38" s="406"/>
      <c r="L38" s="588"/>
      <c r="M38" s="407" t="e">
        <f>RANK(K38, K$27:$K$41)</f>
        <v>#N/A</v>
      </c>
      <c r="N38" s="544"/>
      <c r="O38" s="544"/>
      <c r="P38" s="404"/>
      <c r="Q38" s="182"/>
      <c r="R38" s="405"/>
      <c r="S38" s="404" t="e">
        <f t="shared" si="16"/>
        <v>#N/A</v>
      </c>
      <c r="T38" s="538"/>
      <c r="U38" s="404"/>
      <c r="V38" s="182"/>
      <c r="W38" s="405"/>
      <c r="X38" s="404" t="e">
        <f t="shared" si="17"/>
        <v>#N/A</v>
      </c>
      <c r="Y38" s="538"/>
      <c r="Z38" s="404"/>
      <c r="AA38" s="182"/>
      <c r="AB38" s="405"/>
      <c r="AC38" s="404" t="e">
        <f t="shared" si="19"/>
        <v>#N/A</v>
      </c>
      <c r="AD38" s="538"/>
      <c r="AE38" s="404"/>
      <c r="AF38" s="182"/>
      <c r="AG38" s="405"/>
      <c r="AH38" s="404" t="e">
        <f t="shared" si="21"/>
        <v>#N/A</v>
      </c>
      <c r="AI38" s="538"/>
      <c r="AJ38" s="404"/>
      <c r="AK38" s="182"/>
      <c r="AL38" s="405"/>
      <c r="AM38" s="404" t="e">
        <f t="shared" si="23"/>
        <v>#N/A</v>
      </c>
      <c r="AN38" s="538"/>
      <c r="AO38" s="404"/>
      <c r="AP38" s="182"/>
      <c r="AQ38" s="405"/>
      <c r="AR38" s="404" t="e">
        <f t="shared" si="25"/>
        <v>#N/A</v>
      </c>
      <c r="AS38" s="538"/>
      <c r="AT38" s="404"/>
      <c r="AU38" s="182"/>
      <c r="AV38" s="405"/>
      <c r="AW38" s="404" t="e">
        <f t="shared" si="27"/>
        <v>#N/A</v>
      </c>
      <c r="AX38" s="534"/>
    </row>
    <row r="39" spans="2:50">
      <c r="B39" s="533"/>
      <c r="C39" s="404">
        <v>13</v>
      </c>
      <c r="D39" s="226"/>
      <c r="E39" s="182"/>
      <c r="F39" s="404"/>
      <c r="G39" s="405"/>
      <c r="H39" s="598"/>
      <c r="I39" s="408"/>
      <c r="J39" s="408"/>
      <c r="K39" s="406"/>
      <c r="L39" s="588"/>
      <c r="M39" s="407" t="e">
        <f>RANK(K39, K$27:$K$41)</f>
        <v>#N/A</v>
      </c>
      <c r="N39" s="544"/>
      <c r="O39" s="544"/>
      <c r="P39" s="404"/>
      <c r="Q39" s="182"/>
      <c r="R39" s="405"/>
      <c r="S39" s="404" t="e">
        <f t="shared" si="16"/>
        <v>#N/A</v>
      </c>
      <c r="T39" s="538"/>
      <c r="U39" s="404"/>
      <c r="V39" s="182"/>
      <c r="W39" s="405"/>
      <c r="X39" s="404" t="e">
        <f t="shared" si="17"/>
        <v>#N/A</v>
      </c>
      <c r="Y39" s="538"/>
      <c r="Z39" s="404"/>
      <c r="AA39" s="182"/>
      <c r="AB39" s="405"/>
      <c r="AC39" s="404" t="e">
        <f t="shared" si="19"/>
        <v>#N/A</v>
      </c>
      <c r="AD39" s="538"/>
      <c r="AE39" s="404"/>
      <c r="AF39" s="182"/>
      <c r="AG39" s="405"/>
      <c r="AH39" s="404" t="e">
        <f t="shared" si="21"/>
        <v>#N/A</v>
      </c>
      <c r="AI39" s="538"/>
      <c r="AJ39" s="404"/>
      <c r="AK39" s="182"/>
      <c r="AL39" s="405"/>
      <c r="AM39" s="404" t="e">
        <f t="shared" si="23"/>
        <v>#N/A</v>
      </c>
      <c r="AN39" s="538"/>
      <c r="AO39" s="404"/>
      <c r="AP39" s="182"/>
      <c r="AQ39" s="405"/>
      <c r="AR39" s="404" t="e">
        <f t="shared" si="25"/>
        <v>#N/A</v>
      </c>
      <c r="AS39" s="538"/>
      <c r="AT39" s="404"/>
      <c r="AU39" s="182"/>
      <c r="AV39" s="405"/>
      <c r="AW39" s="404" t="e">
        <f t="shared" si="27"/>
        <v>#N/A</v>
      </c>
      <c r="AX39" s="534"/>
    </row>
    <row r="40" spans="2:50">
      <c r="B40" s="533"/>
      <c r="C40" s="404">
        <v>14</v>
      </c>
      <c r="D40" s="226"/>
      <c r="E40" s="182"/>
      <c r="F40" s="404"/>
      <c r="G40" s="405"/>
      <c r="H40" s="598"/>
      <c r="I40" s="408"/>
      <c r="J40" s="408"/>
      <c r="K40" s="406"/>
      <c r="L40" s="588"/>
      <c r="M40" s="407" t="e">
        <f>RANK(K40, K$27:$K$41)</f>
        <v>#N/A</v>
      </c>
      <c r="N40" s="544"/>
      <c r="O40" s="544"/>
      <c r="P40" s="404"/>
      <c r="Q40" s="182"/>
      <c r="R40" s="405"/>
      <c r="S40" s="404" t="e">
        <f t="shared" si="16"/>
        <v>#N/A</v>
      </c>
      <c r="T40" s="538"/>
      <c r="U40" s="404"/>
      <c r="V40" s="182"/>
      <c r="W40" s="405"/>
      <c r="X40" s="404" t="e">
        <f t="shared" si="17"/>
        <v>#N/A</v>
      </c>
      <c r="Y40" s="538"/>
      <c r="Z40" s="404"/>
      <c r="AA40" s="182"/>
      <c r="AB40" s="405"/>
      <c r="AC40" s="404" t="e">
        <f t="shared" si="19"/>
        <v>#N/A</v>
      </c>
      <c r="AD40" s="538"/>
      <c r="AE40" s="404"/>
      <c r="AF40" s="182"/>
      <c r="AG40" s="405"/>
      <c r="AH40" s="404" t="e">
        <f t="shared" si="21"/>
        <v>#N/A</v>
      </c>
      <c r="AI40" s="538"/>
      <c r="AJ40" s="404"/>
      <c r="AK40" s="182"/>
      <c r="AL40" s="405"/>
      <c r="AM40" s="404" t="e">
        <f t="shared" si="23"/>
        <v>#N/A</v>
      </c>
      <c r="AN40" s="538"/>
      <c r="AO40" s="404"/>
      <c r="AP40" s="182"/>
      <c r="AQ40" s="405"/>
      <c r="AR40" s="404" t="e">
        <f t="shared" si="25"/>
        <v>#N/A</v>
      </c>
      <c r="AS40" s="538"/>
      <c r="AT40" s="404"/>
      <c r="AU40" s="182"/>
      <c r="AV40" s="405"/>
      <c r="AW40" s="404" t="e">
        <f t="shared" si="27"/>
        <v>#N/A</v>
      </c>
      <c r="AX40" s="534"/>
    </row>
    <row r="41" spans="2:50">
      <c r="B41" s="533"/>
      <c r="C41" s="404">
        <v>15</v>
      </c>
      <c r="D41" s="226"/>
      <c r="E41" s="182"/>
      <c r="F41" s="404"/>
      <c r="G41" s="405"/>
      <c r="H41" s="599"/>
      <c r="I41" s="408"/>
      <c r="J41" s="408"/>
      <c r="K41" s="406"/>
      <c r="L41" s="589"/>
      <c r="M41" s="408" t="e">
        <f>RANK(K41, K$27:$K$41)</f>
        <v>#N/A</v>
      </c>
      <c r="N41" s="544"/>
      <c r="O41" s="544"/>
      <c r="P41" s="404"/>
      <c r="Q41" s="182"/>
      <c r="R41" s="405"/>
      <c r="S41" s="404" t="e">
        <f t="shared" si="16"/>
        <v>#N/A</v>
      </c>
      <c r="T41" s="539"/>
      <c r="U41" s="404"/>
      <c r="V41" s="182"/>
      <c r="W41" s="405"/>
      <c r="X41" s="404" t="e">
        <f t="shared" si="17"/>
        <v>#N/A</v>
      </c>
      <c r="Y41" s="539"/>
      <c r="Z41" s="404"/>
      <c r="AA41" s="182"/>
      <c r="AB41" s="405"/>
      <c r="AC41" s="404" t="e">
        <f t="shared" si="19"/>
        <v>#N/A</v>
      </c>
      <c r="AD41" s="539"/>
      <c r="AE41" s="404"/>
      <c r="AF41" s="182"/>
      <c r="AG41" s="405"/>
      <c r="AH41" s="404" t="e">
        <f t="shared" si="21"/>
        <v>#N/A</v>
      </c>
      <c r="AI41" s="539"/>
      <c r="AJ41" s="404"/>
      <c r="AK41" s="182"/>
      <c r="AL41" s="405"/>
      <c r="AM41" s="404" t="e">
        <f t="shared" si="23"/>
        <v>#N/A</v>
      </c>
      <c r="AN41" s="539"/>
      <c r="AO41" s="404"/>
      <c r="AP41" s="182"/>
      <c r="AQ41" s="405"/>
      <c r="AR41" s="404" t="e">
        <f t="shared" si="25"/>
        <v>#N/A</v>
      </c>
      <c r="AS41" s="539"/>
      <c r="AT41" s="404"/>
      <c r="AU41" s="182"/>
      <c r="AV41" s="405"/>
      <c r="AW41" s="404" t="e">
        <f t="shared" si="27"/>
        <v>#N/A</v>
      </c>
      <c r="AX41" s="534"/>
    </row>
    <row r="42" spans="2:50" ht="15.5">
      <c r="B42" s="575" t="s">
        <v>704</v>
      </c>
      <c r="C42" s="576"/>
      <c r="D42" s="576"/>
      <c r="E42" s="576"/>
      <c r="F42" s="576"/>
      <c r="G42" s="576"/>
      <c r="H42" s="576"/>
      <c r="I42" s="208"/>
      <c r="J42" s="203"/>
      <c r="K42" s="208"/>
      <c r="L42" s="208"/>
      <c r="M42" s="204"/>
      <c r="N42" s="559" t="s">
        <v>705</v>
      </c>
      <c r="O42" s="559" t="s">
        <v>706</v>
      </c>
      <c r="P42" s="554">
        <f>P22+7</f>
        <v>46000</v>
      </c>
      <c r="Q42" s="533"/>
      <c r="R42" s="533"/>
      <c r="S42" s="533"/>
      <c r="T42" s="533"/>
      <c r="U42" s="551">
        <f>P42+1</f>
        <v>46001</v>
      </c>
      <c r="V42" s="552"/>
      <c r="W42" s="552"/>
      <c r="X42" s="552"/>
      <c r="Y42" s="553"/>
      <c r="Z42" s="551">
        <f>U42+1</f>
        <v>46002</v>
      </c>
      <c r="AA42" s="552"/>
      <c r="AB42" s="552"/>
      <c r="AC42" s="552"/>
      <c r="AD42" s="553"/>
      <c r="AE42" s="551">
        <f>Z42+1</f>
        <v>46003</v>
      </c>
      <c r="AF42" s="552"/>
      <c r="AG42" s="552"/>
      <c r="AH42" s="552"/>
      <c r="AI42" s="553"/>
      <c r="AJ42" s="551">
        <f>AE42+1</f>
        <v>46004</v>
      </c>
      <c r="AK42" s="552"/>
      <c r="AL42" s="552"/>
      <c r="AM42" s="552"/>
      <c r="AN42" s="553"/>
      <c r="AO42" s="551">
        <f>AJ42+1</f>
        <v>46005</v>
      </c>
      <c r="AP42" s="552"/>
      <c r="AQ42" s="552"/>
      <c r="AR42" s="552"/>
      <c r="AS42" s="553"/>
      <c r="AT42" s="551">
        <f>AO42+1</f>
        <v>46006</v>
      </c>
      <c r="AU42" s="552"/>
      <c r="AV42" s="552"/>
      <c r="AW42" s="552"/>
      <c r="AX42" s="553"/>
    </row>
    <row r="43" spans="2:50" ht="15.5">
      <c r="B43" s="558"/>
      <c r="C43" s="558"/>
      <c r="D43" s="558"/>
      <c r="E43" s="558"/>
      <c r="F43" s="558"/>
      <c r="G43" s="558"/>
      <c r="H43" s="558"/>
      <c r="I43" s="205"/>
      <c r="J43" s="205"/>
      <c r="K43" s="205"/>
      <c r="L43" s="205"/>
      <c r="M43" s="206"/>
      <c r="N43" s="560"/>
      <c r="O43" s="560"/>
      <c r="P43" s="554" t="s">
        <v>707</v>
      </c>
      <c r="Q43" s="533"/>
      <c r="R43" s="533"/>
      <c r="S43" s="533"/>
      <c r="T43" s="533"/>
      <c r="U43" s="554" t="s">
        <v>708</v>
      </c>
      <c r="V43" s="533"/>
      <c r="W43" s="533"/>
      <c r="X43" s="533"/>
      <c r="Y43" s="533"/>
      <c r="Z43" s="554" t="s">
        <v>709</v>
      </c>
      <c r="AA43" s="533"/>
      <c r="AB43" s="533"/>
      <c r="AC43" s="533"/>
      <c r="AD43" s="533"/>
      <c r="AE43" s="554" t="s">
        <v>710</v>
      </c>
      <c r="AF43" s="533"/>
      <c r="AG43" s="533"/>
      <c r="AH43" s="533"/>
      <c r="AI43" s="533"/>
      <c r="AJ43" s="554" t="s">
        <v>711</v>
      </c>
      <c r="AK43" s="533"/>
      <c r="AL43" s="533"/>
      <c r="AM43" s="533"/>
      <c r="AN43" s="533"/>
      <c r="AO43" s="554" t="s">
        <v>712</v>
      </c>
      <c r="AP43" s="533"/>
      <c r="AQ43" s="533"/>
      <c r="AR43" s="533"/>
      <c r="AS43" s="533"/>
      <c r="AT43" s="554" t="s">
        <v>713</v>
      </c>
      <c r="AU43" s="533"/>
      <c r="AV43" s="533"/>
      <c r="AW43" s="533"/>
      <c r="AX43" s="533"/>
    </row>
    <row r="44" spans="2:50">
      <c r="B44" s="544" t="s">
        <v>649</v>
      </c>
      <c r="C44" s="544" t="s">
        <v>650</v>
      </c>
      <c r="D44" s="544"/>
      <c r="E44" s="544" t="s">
        <v>651</v>
      </c>
      <c r="F44" s="544"/>
      <c r="G44" s="544"/>
      <c r="H44" s="561" t="s">
        <v>652</v>
      </c>
      <c r="I44" s="583" t="s">
        <v>653</v>
      </c>
      <c r="J44" s="583"/>
      <c r="K44" s="583"/>
      <c r="L44" s="584" t="s">
        <v>652</v>
      </c>
      <c r="M44" s="567" t="s">
        <v>654</v>
      </c>
      <c r="N44" s="544"/>
      <c r="O44" s="544" t="s">
        <v>655</v>
      </c>
      <c r="P44" s="548" t="s">
        <v>656</v>
      </c>
      <c r="Q44" s="549"/>
      <c r="R44" s="549"/>
      <c r="S44" s="550"/>
      <c r="T44" s="544" t="s">
        <v>652</v>
      </c>
      <c r="U44" s="548" t="s">
        <v>656</v>
      </c>
      <c r="V44" s="549"/>
      <c r="W44" s="549"/>
      <c r="X44" s="550"/>
      <c r="Y44" s="544" t="s">
        <v>652</v>
      </c>
      <c r="Z44" s="548" t="s">
        <v>656</v>
      </c>
      <c r="AA44" s="549"/>
      <c r="AB44" s="549"/>
      <c r="AC44" s="550"/>
      <c r="AD44" s="544" t="s">
        <v>652</v>
      </c>
      <c r="AE44" s="548" t="s">
        <v>656</v>
      </c>
      <c r="AF44" s="549"/>
      <c r="AG44" s="549"/>
      <c r="AH44" s="550"/>
      <c r="AI44" s="544" t="s">
        <v>652</v>
      </c>
      <c r="AJ44" s="548" t="s">
        <v>656</v>
      </c>
      <c r="AK44" s="549"/>
      <c r="AL44" s="549"/>
      <c r="AM44" s="550"/>
      <c r="AN44" s="544" t="s">
        <v>652</v>
      </c>
      <c r="AO44" s="548" t="s">
        <v>656</v>
      </c>
      <c r="AP44" s="549"/>
      <c r="AQ44" s="549"/>
      <c r="AR44" s="550"/>
      <c r="AS44" s="544" t="s">
        <v>652</v>
      </c>
      <c r="AT44" s="548" t="s">
        <v>656</v>
      </c>
      <c r="AU44" s="549"/>
      <c r="AV44" s="549"/>
      <c r="AW44" s="550"/>
      <c r="AX44" s="544" t="s">
        <v>652</v>
      </c>
    </row>
    <row r="45" spans="2:50">
      <c r="B45" s="544"/>
      <c r="C45" s="544"/>
      <c r="D45" s="544"/>
      <c r="E45" s="544" t="s">
        <v>657</v>
      </c>
      <c r="F45" s="544"/>
      <c r="G45" s="544"/>
      <c r="H45" s="562"/>
      <c r="I45" s="583" t="s">
        <v>657</v>
      </c>
      <c r="J45" s="583"/>
      <c r="K45" s="583"/>
      <c r="L45" s="585"/>
      <c r="M45" s="568"/>
      <c r="N45" s="544"/>
      <c r="O45" s="544"/>
      <c r="P45" s="548" t="s">
        <v>658</v>
      </c>
      <c r="Q45" s="549"/>
      <c r="R45" s="549"/>
      <c r="S45" s="550"/>
      <c r="T45" s="544"/>
      <c r="U45" s="548" t="s">
        <v>658</v>
      </c>
      <c r="V45" s="549"/>
      <c r="W45" s="549"/>
      <c r="X45" s="550"/>
      <c r="Y45" s="544"/>
      <c r="Z45" s="548" t="s">
        <v>658</v>
      </c>
      <c r="AA45" s="549"/>
      <c r="AB45" s="549"/>
      <c r="AC45" s="550"/>
      <c r="AD45" s="544"/>
      <c r="AE45" s="548" t="s">
        <v>658</v>
      </c>
      <c r="AF45" s="549"/>
      <c r="AG45" s="549"/>
      <c r="AH45" s="550"/>
      <c r="AI45" s="544"/>
      <c r="AJ45" s="548" t="s">
        <v>658</v>
      </c>
      <c r="AK45" s="549"/>
      <c r="AL45" s="549"/>
      <c r="AM45" s="550"/>
      <c r="AN45" s="544"/>
      <c r="AO45" s="548" t="s">
        <v>658</v>
      </c>
      <c r="AP45" s="549"/>
      <c r="AQ45" s="549"/>
      <c r="AR45" s="550"/>
      <c r="AS45" s="544"/>
      <c r="AT45" s="548" t="s">
        <v>658</v>
      </c>
      <c r="AU45" s="549"/>
      <c r="AV45" s="549"/>
      <c r="AW45" s="550"/>
      <c r="AX45" s="544"/>
    </row>
    <row r="46" spans="2:50">
      <c r="B46" s="544"/>
      <c r="C46" s="544"/>
      <c r="D46" s="544"/>
      <c r="E46" s="403" t="s">
        <v>659</v>
      </c>
      <c r="F46" s="403" t="s">
        <v>660</v>
      </c>
      <c r="G46" s="403" t="s">
        <v>661</v>
      </c>
      <c r="H46" s="563"/>
      <c r="I46" s="402" t="s">
        <v>659</v>
      </c>
      <c r="J46" s="402" t="s">
        <v>660</v>
      </c>
      <c r="K46" s="402" t="s">
        <v>661</v>
      </c>
      <c r="L46" s="586"/>
      <c r="M46" s="569"/>
      <c r="N46" s="544"/>
      <c r="O46" s="544"/>
      <c r="P46" s="403" t="s">
        <v>659</v>
      </c>
      <c r="Q46" s="403" t="s">
        <v>660</v>
      </c>
      <c r="R46" s="403" t="s">
        <v>661</v>
      </c>
      <c r="S46" s="403" t="s">
        <v>654</v>
      </c>
      <c r="T46" s="544"/>
      <c r="U46" s="403" t="s">
        <v>659</v>
      </c>
      <c r="V46" s="403" t="s">
        <v>660</v>
      </c>
      <c r="W46" s="403" t="s">
        <v>661</v>
      </c>
      <c r="X46" s="403" t="s">
        <v>654</v>
      </c>
      <c r="Y46" s="544"/>
      <c r="Z46" s="403" t="s">
        <v>659</v>
      </c>
      <c r="AA46" s="403" t="s">
        <v>660</v>
      </c>
      <c r="AB46" s="403" t="s">
        <v>661</v>
      </c>
      <c r="AC46" s="403" t="s">
        <v>654</v>
      </c>
      <c r="AD46" s="544"/>
      <c r="AE46" s="403" t="s">
        <v>659</v>
      </c>
      <c r="AF46" s="403" t="s">
        <v>660</v>
      </c>
      <c r="AG46" s="403" t="s">
        <v>661</v>
      </c>
      <c r="AH46" s="403" t="s">
        <v>654</v>
      </c>
      <c r="AI46" s="544"/>
      <c r="AJ46" s="403" t="s">
        <v>659</v>
      </c>
      <c r="AK46" s="403" t="s">
        <v>660</v>
      </c>
      <c r="AL46" s="403" t="s">
        <v>661</v>
      </c>
      <c r="AM46" s="403" t="s">
        <v>654</v>
      </c>
      <c r="AN46" s="544"/>
      <c r="AO46" s="403" t="s">
        <v>659</v>
      </c>
      <c r="AP46" s="403" t="s">
        <v>660</v>
      </c>
      <c r="AQ46" s="403" t="s">
        <v>661</v>
      </c>
      <c r="AR46" s="403" t="s">
        <v>654</v>
      </c>
      <c r="AS46" s="544"/>
      <c r="AT46" s="403" t="s">
        <v>659</v>
      </c>
      <c r="AU46" s="403" t="s">
        <v>660</v>
      </c>
      <c r="AV46" s="403" t="s">
        <v>661</v>
      </c>
      <c r="AW46" s="403" t="s">
        <v>654</v>
      </c>
      <c r="AX46" s="544"/>
    </row>
    <row r="47" spans="2:50">
      <c r="B47" s="544" t="s">
        <v>794</v>
      </c>
      <c r="C47" s="404">
        <v>1</v>
      </c>
      <c r="D47" s="226" t="s">
        <v>399</v>
      </c>
      <c r="E47" s="182">
        <v>6</v>
      </c>
      <c r="F47" s="404">
        <v>1500</v>
      </c>
      <c r="G47" s="405">
        <v>250</v>
      </c>
      <c r="H47" s="597">
        <f>AVERAGE(G47:G61)</f>
        <v>140.15</v>
      </c>
      <c r="I47" s="408">
        <f t="shared" ref="I47:K54" si="29">AVERAGE(P47,U47,Z47,AE47,AJ47,AO47,AT47)</f>
        <v>7</v>
      </c>
      <c r="J47" s="408">
        <f t="shared" si="29"/>
        <v>1329.1826415773969</v>
      </c>
      <c r="K47" s="406">
        <f t="shared" si="29"/>
        <v>189.88323451105671</v>
      </c>
      <c r="L47" s="587">
        <f>IFERROR(AVERAGE(K47:K61),"-")</f>
        <v>116.69781917373838</v>
      </c>
      <c r="M47" s="407">
        <f>RANK(K47, K$47:$K$61)</f>
        <v>3</v>
      </c>
      <c r="N47" s="544"/>
      <c r="O47" s="544"/>
      <c r="P47" s="182">
        <v>7</v>
      </c>
      <c r="Q47" s="182">
        <v>1346.3414634146343</v>
      </c>
      <c r="R47" s="405">
        <v>192.3344947735192</v>
      </c>
      <c r="S47" s="404">
        <f>RANK(R47, R$47:R$61)</f>
        <v>3</v>
      </c>
      <c r="T47" s="537">
        <f>AVERAGE(R47:R61)</f>
        <v>117.03634142753073</v>
      </c>
      <c r="U47" s="182">
        <v>7</v>
      </c>
      <c r="V47" s="182">
        <v>1352.0930232558137</v>
      </c>
      <c r="W47" s="405">
        <v>193.15614617940196</v>
      </c>
      <c r="X47" s="404">
        <f t="shared" ref="X47:X61" si="30">RANK(W47, W$47:W$61)</f>
        <v>3</v>
      </c>
      <c r="Y47" s="537">
        <f t="shared" ref="Y47" si="31">AVERAGE(W47:W61)</f>
        <v>117.03175169178702</v>
      </c>
      <c r="Z47" s="182">
        <v>7</v>
      </c>
      <c r="AA47" s="182">
        <v>1356.4556962025317</v>
      </c>
      <c r="AB47" s="405">
        <v>193.77938517179024</v>
      </c>
      <c r="AC47" s="404">
        <f t="shared" ref="AC47:AC61" si="32">RANK(AB47, AB$47:AB$61)</f>
        <v>3</v>
      </c>
      <c r="AD47" s="537">
        <f t="shared" ref="AD47" si="33">AVERAGE(AB47:AB61)</f>
        <v>118.19428682605741</v>
      </c>
      <c r="AE47" s="182">
        <v>7</v>
      </c>
      <c r="AF47" s="182">
        <v>1313.3333333333337</v>
      </c>
      <c r="AG47" s="405">
        <v>187.61904761904768</v>
      </c>
      <c r="AH47" s="404">
        <f t="shared" ref="AH47:AH61" si="34">RANK(AG47, AG$47:AG$61)</f>
        <v>3</v>
      </c>
      <c r="AI47" s="537">
        <f t="shared" ref="AI47" si="35">AVERAGE(AG47:AG61)</f>
        <v>115.12048325119957</v>
      </c>
      <c r="AJ47" s="182">
        <v>7</v>
      </c>
      <c r="AK47" s="182">
        <v>1332.8571428571431</v>
      </c>
      <c r="AL47" s="405">
        <v>190.40816326530617</v>
      </c>
      <c r="AM47" s="404">
        <f t="shared" ref="AM47:AM61" si="36">RANK(AL47, AL$47:AL$61)</f>
        <v>3</v>
      </c>
      <c r="AN47" s="537">
        <f t="shared" ref="AN47" si="37">AVERAGE(AL47:AL61)</f>
        <v>117.6429190967696</v>
      </c>
      <c r="AO47" s="182">
        <v>7</v>
      </c>
      <c r="AP47" s="182">
        <v>1302.2222222222224</v>
      </c>
      <c r="AQ47" s="405">
        <v>186.03174603174605</v>
      </c>
      <c r="AR47" s="404">
        <f t="shared" ref="AR47:AR61" si="38">RANK(AQ47, AQ$47:AQ$61)</f>
        <v>3</v>
      </c>
      <c r="AS47" s="537">
        <f t="shared" ref="AS47" si="39">AVERAGE(AQ47:AQ61)</f>
        <v>115.4865469705318</v>
      </c>
      <c r="AT47" s="182">
        <v>7</v>
      </c>
      <c r="AU47" s="182">
        <v>1300.9756097560978</v>
      </c>
      <c r="AV47" s="405">
        <v>185.85365853658541</v>
      </c>
      <c r="AW47" s="404">
        <f t="shared" ref="AW47:AW61" si="40">RANK(AV47, AV$47:AV$61)</f>
        <v>3</v>
      </c>
      <c r="AX47" s="534">
        <f t="shared" ref="AX47" si="41">AVERAGE(AV47:AV61)</f>
        <v>116.37240495229246</v>
      </c>
    </row>
    <row r="48" spans="2:50">
      <c r="B48" s="533"/>
      <c r="C48" s="404">
        <v>2</v>
      </c>
      <c r="D48" s="226" t="s">
        <v>400</v>
      </c>
      <c r="E48" s="182">
        <v>6</v>
      </c>
      <c r="F48" s="404">
        <v>1500</v>
      </c>
      <c r="G48" s="405">
        <v>250</v>
      </c>
      <c r="H48" s="598"/>
      <c r="I48" s="408">
        <f t="shared" si="29"/>
        <v>7</v>
      </c>
      <c r="J48" s="408">
        <f t="shared" si="29"/>
        <v>1477.1806310161078</v>
      </c>
      <c r="K48" s="406">
        <f t="shared" si="29"/>
        <v>211.02580443087251</v>
      </c>
      <c r="L48" s="588"/>
      <c r="M48" s="407">
        <f>RANK(K48, K$47:$K$61)</f>
        <v>1</v>
      </c>
      <c r="N48" s="544"/>
      <c r="O48" s="544"/>
      <c r="P48" s="404">
        <v>7</v>
      </c>
      <c r="Q48" s="182">
        <v>1500.0000000000005</v>
      </c>
      <c r="R48" s="405">
        <v>214.28571428571436</v>
      </c>
      <c r="S48" s="404">
        <f t="shared" ref="S48:S61" si="42">RANK(R48, R$47:R$61)</f>
        <v>1</v>
      </c>
      <c r="T48" s="538"/>
      <c r="U48" s="404">
        <v>7</v>
      </c>
      <c r="V48" s="182">
        <v>1457.593984962406</v>
      </c>
      <c r="W48" s="405">
        <v>208.22771213748658</v>
      </c>
      <c r="X48" s="404">
        <f t="shared" si="30"/>
        <v>2</v>
      </c>
      <c r="Y48" s="538"/>
      <c r="Z48" s="404">
        <v>7</v>
      </c>
      <c r="AA48" s="182">
        <v>1470.0000000000005</v>
      </c>
      <c r="AB48" s="405">
        <v>210.00000000000006</v>
      </c>
      <c r="AC48" s="404">
        <f t="shared" si="32"/>
        <v>2</v>
      </c>
      <c r="AD48" s="538"/>
      <c r="AE48" s="404">
        <v>7</v>
      </c>
      <c r="AF48" s="182">
        <v>1464.117647058823</v>
      </c>
      <c r="AG48" s="405">
        <v>209.15966386554615</v>
      </c>
      <c r="AH48" s="404">
        <f t="shared" si="34"/>
        <v>2</v>
      </c>
      <c r="AI48" s="538"/>
      <c r="AJ48" s="404">
        <v>7</v>
      </c>
      <c r="AK48" s="182">
        <v>1487.8846153846162</v>
      </c>
      <c r="AL48" s="405">
        <v>212.55494505494516</v>
      </c>
      <c r="AM48" s="404">
        <f t="shared" si="36"/>
        <v>1</v>
      </c>
      <c r="AN48" s="538"/>
      <c r="AO48" s="404">
        <v>7</v>
      </c>
      <c r="AP48" s="182">
        <v>1505.5462184873954</v>
      </c>
      <c r="AQ48" s="405">
        <v>215.07803121248506</v>
      </c>
      <c r="AR48" s="404">
        <f t="shared" si="38"/>
        <v>1</v>
      </c>
      <c r="AS48" s="538"/>
      <c r="AT48" s="404">
        <v>7</v>
      </c>
      <c r="AU48" s="182">
        <v>1455.1219512195128</v>
      </c>
      <c r="AV48" s="405">
        <v>207.87456445993038</v>
      </c>
      <c r="AW48" s="404">
        <f t="shared" si="40"/>
        <v>2</v>
      </c>
      <c r="AX48" s="534"/>
    </row>
    <row r="49" spans="2:50">
      <c r="B49" s="533"/>
      <c r="C49" s="404">
        <v>3</v>
      </c>
      <c r="D49" s="226" t="s">
        <v>349</v>
      </c>
      <c r="E49" s="182">
        <v>19</v>
      </c>
      <c r="F49" s="404">
        <v>1500</v>
      </c>
      <c r="G49" s="405">
        <v>78.900000000000006</v>
      </c>
      <c r="H49" s="598"/>
      <c r="I49" s="408">
        <f t="shared" si="29"/>
        <v>18</v>
      </c>
      <c r="J49" s="408">
        <f t="shared" si="29"/>
        <v>1327.2742319436106</v>
      </c>
      <c r="K49" s="406">
        <f t="shared" si="29"/>
        <v>73.737457330200598</v>
      </c>
      <c r="L49" s="588"/>
      <c r="M49" s="407">
        <f>RANK(K49, K$47:$K$61)</f>
        <v>4</v>
      </c>
      <c r="N49" s="544"/>
      <c r="O49" s="544"/>
      <c r="P49" s="404">
        <v>18</v>
      </c>
      <c r="Q49" s="182">
        <v>1311.1764705882351</v>
      </c>
      <c r="R49" s="405">
        <v>72.843137254901947</v>
      </c>
      <c r="S49" s="404">
        <f t="shared" si="42"/>
        <v>4</v>
      </c>
      <c r="T49" s="538"/>
      <c r="U49" s="404">
        <v>18</v>
      </c>
      <c r="V49" s="182">
        <v>1304.1176470588234</v>
      </c>
      <c r="W49" s="405">
        <v>72.45098039215685</v>
      </c>
      <c r="X49" s="404">
        <f t="shared" si="30"/>
        <v>5</v>
      </c>
      <c r="Y49" s="538"/>
      <c r="Z49" s="404">
        <v>18</v>
      </c>
      <c r="AA49" s="182">
        <v>1340.1600000000005</v>
      </c>
      <c r="AB49" s="405">
        <v>74.453333333333362</v>
      </c>
      <c r="AC49" s="404">
        <f t="shared" si="32"/>
        <v>4</v>
      </c>
      <c r="AD49" s="538"/>
      <c r="AE49" s="404">
        <v>18</v>
      </c>
      <c r="AF49" s="182">
        <v>1321.5999999999995</v>
      </c>
      <c r="AG49" s="405">
        <v>73.422222222222189</v>
      </c>
      <c r="AH49" s="404">
        <f t="shared" si="34"/>
        <v>4</v>
      </c>
      <c r="AI49" s="538"/>
      <c r="AJ49" s="404">
        <v>18</v>
      </c>
      <c r="AK49" s="182">
        <v>1354.5420560747659</v>
      </c>
      <c r="AL49" s="405">
        <v>75.252336448598101</v>
      </c>
      <c r="AM49" s="404">
        <f t="shared" si="36"/>
        <v>4</v>
      </c>
      <c r="AN49" s="538"/>
      <c r="AO49" s="404">
        <v>18</v>
      </c>
      <c r="AP49" s="182">
        <v>1329.747692307692</v>
      </c>
      <c r="AQ49" s="405">
        <v>73.87487179487178</v>
      </c>
      <c r="AR49" s="404">
        <f t="shared" si="38"/>
        <v>4</v>
      </c>
      <c r="AS49" s="538"/>
      <c r="AT49" s="404">
        <v>18</v>
      </c>
      <c r="AU49" s="182">
        <v>1329.5757575757568</v>
      </c>
      <c r="AV49" s="405">
        <v>73.865319865319819</v>
      </c>
      <c r="AW49" s="404">
        <f t="shared" si="40"/>
        <v>5</v>
      </c>
      <c r="AX49" s="534"/>
    </row>
    <row r="50" spans="2:50">
      <c r="B50" s="533"/>
      <c r="C50" s="404">
        <v>4</v>
      </c>
      <c r="D50" s="226" t="s">
        <v>401</v>
      </c>
      <c r="E50" s="182">
        <v>17</v>
      </c>
      <c r="F50" s="404">
        <v>1440</v>
      </c>
      <c r="G50" s="405">
        <v>84.7</v>
      </c>
      <c r="H50" s="598"/>
      <c r="I50" s="408">
        <f t="shared" si="29"/>
        <v>17.142857142857142</v>
      </c>
      <c r="J50" s="408">
        <f t="shared" si="29"/>
        <v>1208.3003246753253</v>
      </c>
      <c r="K50" s="406">
        <f t="shared" si="29"/>
        <v>70.485628342246045</v>
      </c>
      <c r="L50" s="588"/>
      <c r="M50" s="407">
        <f>RANK(K50, K$47:$K$61)</f>
        <v>5</v>
      </c>
      <c r="N50" s="544"/>
      <c r="O50" s="544"/>
      <c r="P50" s="404">
        <v>18</v>
      </c>
      <c r="Q50" s="182">
        <v>1265.6249999999982</v>
      </c>
      <c r="R50" s="405">
        <v>70.312499999999901</v>
      </c>
      <c r="S50" s="404">
        <f t="shared" si="42"/>
        <v>5</v>
      </c>
      <c r="T50" s="538"/>
      <c r="U50" s="404">
        <v>17</v>
      </c>
      <c r="V50" s="182">
        <v>1261.8181818181831</v>
      </c>
      <c r="W50" s="405">
        <v>74.224598930481363</v>
      </c>
      <c r="X50" s="404">
        <f t="shared" si="30"/>
        <v>4</v>
      </c>
      <c r="Y50" s="538"/>
      <c r="Z50" s="404">
        <v>17</v>
      </c>
      <c r="AA50" s="182">
        <v>1258.1250000000016</v>
      </c>
      <c r="AB50" s="405">
        <v>74.007352941176563</v>
      </c>
      <c r="AC50" s="404">
        <f t="shared" si="32"/>
        <v>5</v>
      </c>
      <c r="AD50" s="538"/>
      <c r="AE50" s="404">
        <v>17</v>
      </c>
      <c r="AF50" s="182">
        <v>1066.0000000000009</v>
      </c>
      <c r="AG50" s="405">
        <v>62.705882352941231</v>
      </c>
      <c r="AH50" s="404">
        <f t="shared" si="34"/>
        <v>6</v>
      </c>
      <c r="AI50" s="538"/>
      <c r="AJ50" s="404">
        <v>17</v>
      </c>
      <c r="AK50" s="182">
        <v>1250.0000000000011</v>
      </c>
      <c r="AL50" s="405">
        <v>73.529411764705955</v>
      </c>
      <c r="AM50" s="404">
        <f t="shared" si="36"/>
        <v>5</v>
      </c>
      <c r="AN50" s="538"/>
      <c r="AO50" s="404">
        <v>17</v>
      </c>
      <c r="AP50" s="182">
        <v>1085.6250000000014</v>
      </c>
      <c r="AQ50" s="405">
        <v>63.860294117647136</v>
      </c>
      <c r="AR50" s="404">
        <f t="shared" si="38"/>
        <v>6</v>
      </c>
      <c r="AS50" s="538"/>
      <c r="AT50" s="404">
        <v>17</v>
      </c>
      <c r="AU50" s="182">
        <v>1270.9090909090924</v>
      </c>
      <c r="AV50" s="405">
        <v>74.759358288770144</v>
      </c>
      <c r="AW50" s="404">
        <f t="shared" si="40"/>
        <v>4</v>
      </c>
      <c r="AX50" s="534"/>
    </row>
    <row r="51" spans="2:50">
      <c r="B51" s="533"/>
      <c r="C51" s="404">
        <v>5</v>
      </c>
      <c r="D51" s="226" t="s">
        <v>448</v>
      </c>
      <c r="E51" s="182">
        <v>6</v>
      </c>
      <c r="F51" s="404">
        <v>1500</v>
      </c>
      <c r="G51" s="405">
        <v>250</v>
      </c>
      <c r="H51" s="598"/>
      <c r="I51" s="408">
        <f t="shared" si="29"/>
        <v>7</v>
      </c>
      <c r="J51" s="408">
        <f t="shared" si="29"/>
        <v>1473.4288686892828</v>
      </c>
      <c r="K51" s="406">
        <f t="shared" si="29"/>
        <v>210.48983838418332</v>
      </c>
      <c r="L51" s="588"/>
      <c r="M51" s="407">
        <f>RANK(K51, K$47:$K$61)</f>
        <v>2</v>
      </c>
      <c r="N51" s="544"/>
      <c r="O51" s="544"/>
      <c r="P51" s="404">
        <v>7</v>
      </c>
      <c r="Q51" s="182">
        <v>1472.231404958678</v>
      </c>
      <c r="R51" s="405">
        <v>210.31877213695401</v>
      </c>
      <c r="S51" s="404">
        <f t="shared" si="42"/>
        <v>2</v>
      </c>
      <c r="T51" s="538"/>
      <c r="U51" s="404">
        <v>7</v>
      </c>
      <c r="V51" s="182">
        <v>1460.8264462809918</v>
      </c>
      <c r="W51" s="405">
        <v>208.68949232585598</v>
      </c>
      <c r="X51" s="404">
        <f t="shared" si="30"/>
        <v>1</v>
      </c>
      <c r="Y51" s="538"/>
      <c r="Z51" s="404">
        <v>7</v>
      </c>
      <c r="AA51" s="182">
        <v>1502.2018348623851</v>
      </c>
      <c r="AB51" s="405">
        <v>214.60026212319787</v>
      </c>
      <c r="AC51" s="404">
        <f t="shared" si="32"/>
        <v>1</v>
      </c>
      <c r="AD51" s="538"/>
      <c r="AE51" s="404">
        <v>7</v>
      </c>
      <c r="AF51" s="182">
        <v>1485.161290322581</v>
      </c>
      <c r="AG51" s="405">
        <v>212.16589861751157</v>
      </c>
      <c r="AH51" s="404">
        <f t="shared" si="34"/>
        <v>1</v>
      </c>
      <c r="AI51" s="538"/>
      <c r="AJ51" s="404">
        <v>7</v>
      </c>
      <c r="AK51" s="182">
        <v>1486.7368421052627</v>
      </c>
      <c r="AL51" s="405">
        <v>212.39097744360896</v>
      </c>
      <c r="AM51" s="404">
        <f t="shared" si="36"/>
        <v>2</v>
      </c>
      <c r="AN51" s="538"/>
      <c r="AO51" s="404">
        <v>7</v>
      </c>
      <c r="AP51" s="182">
        <v>1449.3442622950824</v>
      </c>
      <c r="AQ51" s="405">
        <v>207.04918032786892</v>
      </c>
      <c r="AR51" s="404">
        <f t="shared" si="38"/>
        <v>2</v>
      </c>
      <c r="AS51" s="538"/>
      <c r="AT51" s="404">
        <v>7</v>
      </c>
      <c r="AU51" s="182">
        <v>1457.5000000000002</v>
      </c>
      <c r="AV51" s="405">
        <v>208.21428571428575</v>
      </c>
      <c r="AW51" s="404">
        <f t="shared" si="40"/>
        <v>1</v>
      </c>
      <c r="AX51" s="534"/>
    </row>
    <row r="52" spans="2:50">
      <c r="B52" s="533"/>
      <c r="C52" s="404">
        <v>6</v>
      </c>
      <c r="D52" s="226" t="s">
        <v>484</v>
      </c>
      <c r="E52" s="182">
        <v>19</v>
      </c>
      <c r="F52" s="404">
        <v>1440</v>
      </c>
      <c r="G52" s="405">
        <v>75.8</v>
      </c>
      <c r="H52" s="598"/>
      <c r="I52" s="408">
        <f t="shared" si="29"/>
        <v>18</v>
      </c>
      <c r="J52" s="408">
        <f t="shared" si="29"/>
        <v>1257.3002711574143</v>
      </c>
      <c r="K52" s="406">
        <f t="shared" si="29"/>
        <v>69.850015064300791</v>
      </c>
      <c r="L52" s="588"/>
      <c r="M52" s="407">
        <f>RANK(K52, K$47:$K$61)</f>
        <v>6</v>
      </c>
      <c r="N52" s="544"/>
      <c r="O52" s="544"/>
      <c r="P52" s="404">
        <v>18</v>
      </c>
      <c r="Q52" s="182">
        <v>1246.9230769230776</v>
      </c>
      <c r="R52" s="405">
        <v>69.273504273504315</v>
      </c>
      <c r="S52" s="404">
        <f t="shared" si="42"/>
        <v>6</v>
      </c>
      <c r="T52" s="538"/>
      <c r="U52" s="404">
        <v>18</v>
      </c>
      <c r="V52" s="182">
        <v>1269.2307692307697</v>
      </c>
      <c r="W52" s="405">
        <v>70.512820512820539</v>
      </c>
      <c r="X52" s="404">
        <f t="shared" si="30"/>
        <v>6</v>
      </c>
      <c r="Y52" s="538"/>
      <c r="Z52" s="404">
        <v>18</v>
      </c>
      <c r="AA52" s="182">
        <v>1245.9740259740265</v>
      </c>
      <c r="AB52" s="405">
        <v>69.220779220779249</v>
      </c>
      <c r="AC52" s="404">
        <f t="shared" si="32"/>
        <v>6</v>
      </c>
      <c r="AD52" s="538"/>
      <c r="AE52" s="404">
        <v>18</v>
      </c>
      <c r="AF52" s="182">
        <v>1248.9999999999993</v>
      </c>
      <c r="AG52" s="405">
        <v>69.388888888888857</v>
      </c>
      <c r="AH52" s="404">
        <f t="shared" si="34"/>
        <v>5</v>
      </c>
      <c r="AI52" s="538"/>
      <c r="AJ52" s="404">
        <v>18</v>
      </c>
      <c r="AK52" s="182">
        <v>1260</v>
      </c>
      <c r="AL52" s="405">
        <v>70</v>
      </c>
      <c r="AM52" s="404">
        <f t="shared" si="36"/>
        <v>6</v>
      </c>
      <c r="AN52" s="538"/>
      <c r="AO52" s="404">
        <v>18</v>
      </c>
      <c r="AP52" s="182">
        <v>1249.714285714286</v>
      </c>
      <c r="AQ52" s="405">
        <v>69.428571428571445</v>
      </c>
      <c r="AR52" s="404">
        <f t="shared" si="38"/>
        <v>5</v>
      </c>
      <c r="AS52" s="538"/>
      <c r="AT52" s="404">
        <v>18</v>
      </c>
      <c r="AU52" s="182">
        <v>1280.2597402597407</v>
      </c>
      <c r="AV52" s="405">
        <v>71.125541125541147</v>
      </c>
      <c r="AW52" s="404">
        <f t="shared" si="40"/>
        <v>6</v>
      </c>
      <c r="AX52" s="534"/>
    </row>
    <row r="53" spans="2:50">
      <c r="B53" s="533"/>
      <c r="C53" s="404">
        <v>7</v>
      </c>
      <c r="D53" s="226" t="s">
        <v>501</v>
      </c>
      <c r="E53" s="182">
        <v>21</v>
      </c>
      <c r="F53" s="404">
        <v>1385</v>
      </c>
      <c r="G53" s="405">
        <v>65.900000000000006</v>
      </c>
      <c r="H53" s="598"/>
      <c r="I53" s="408">
        <f t="shared" si="29"/>
        <v>20</v>
      </c>
      <c r="J53" s="408">
        <f t="shared" si="29"/>
        <v>1077.7224514087736</v>
      </c>
      <c r="K53" s="406">
        <f t="shared" si="29"/>
        <v>53.886122570438673</v>
      </c>
      <c r="L53" s="588"/>
      <c r="M53" s="407">
        <f>RANK(K53, K$47:$K$61)</f>
        <v>8</v>
      </c>
      <c r="N53" s="544"/>
      <c r="O53" s="544"/>
      <c r="P53" s="404">
        <v>20</v>
      </c>
      <c r="Q53" s="182">
        <v>1072.8000000000004</v>
      </c>
      <c r="R53" s="405">
        <v>53.640000000000022</v>
      </c>
      <c r="S53" s="404">
        <f t="shared" si="42"/>
        <v>7</v>
      </c>
      <c r="T53" s="538"/>
      <c r="U53" s="404">
        <v>20</v>
      </c>
      <c r="V53" s="182">
        <v>1088.936170212766</v>
      </c>
      <c r="W53" s="405">
        <v>54.446808510638299</v>
      </c>
      <c r="X53" s="404">
        <f t="shared" si="30"/>
        <v>8</v>
      </c>
      <c r="Y53" s="538"/>
      <c r="Z53" s="404">
        <v>20</v>
      </c>
      <c r="AA53" s="182">
        <v>1096.3636363636365</v>
      </c>
      <c r="AB53" s="405">
        <v>54.818181818181827</v>
      </c>
      <c r="AC53" s="404">
        <f t="shared" si="32"/>
        <v>7</v>
      </c>
      <c r="AD53" s="538"/>
      <c r="AE53" s="404">
        <v>20</v>
      </c>
      <c r="AF53" s="182">
        <v>1067.6923076923072</v>
      </c>
      <c r="AG53" s="405">
        <v>53.384615384615358</v>
      </c>
      <c r="AH53" s="404">
        <f t="shared" si="34"/>
        <v>7</v>
      </c>
      <c r="AI53" s="538"/>
      <c r="AJ53" s="404">
        <v>20</v>
      </c>
      <c r="AK53" s="182">
        <v>1058.5714285714282</v>
      </c>
      <c r="AL53" s="405">
        <v>52.928571428571409</v>
      </c>
      <c r="AM53" s="404">
        <f t="shared" si="36"/>
        <v>8</v>
      </c>
      <c r="AN53" s="538"/>
      <c r="AO53" s="404">
        <v>20</v>
      </c>
      <c r="AP53" s="182">
        <v>1074.8936170212767</v>
      </c>
      <c r="AQ53" s="405">
        <v>53.744680851063833</v>
      </c>
      <c r="AR53" s="404">
        <f t="shared" si="38"/>
        <v>8</v>
      </c>
      <c r="AS53" s="538"/>
      <c r="AT53" s="404">
        <v>20</v>
      </c>
      <c r="AU53" s="182">
        <v>1084.8000000000004</v>
      </c>
      <c r="AV53" s="405">
        <v>54.240000000000023</v>
      </c>
      <c r="AW53" s="404">
        <f t="shared" si="40"/>
        <v>8</v>
      </c>
      <c r="AX53" s="534"/>
    </row>
    <row r="54" spans="2:50">
      <c r="B54" s="533"/>
      <c r="C54" s="404">
        <v>8</v>
      </c>
      <c r="D54" s="226" t="s">
        <v>583</v>
      </c>
      <c r="E54" s="182">
        <v>21</v>
      </c>
      <c r="F54" s="404">
        <v>1385</v>
      </c>
      <c r="G54" s="405">
        <v>65.900000000000006</v>
      </c>
      <c r="H54" s="598"/>
      <c r="I54" s="408">
        <f t="shared" si="29"/>
        <v>20</v>
      </c>
      <c r="J54" s="408">
        <f t="shared" si="29"/>
        <v>1084.4890551321664</v>
      </c>
      <c r="K54" s="406">
        <f t="shared" si="29"/>
        <v>54.224452756608329</v>
      </c>
      <c r="L54" s="588"/>
      <c r="M54" s="407">
        <f>RANK(K54, K$47:$K$61)</f>
        <v>7</v>
      </c>
      <c r="N54" s="544"/>
      <c r="O54" s="544"/>
      <c r="P54" s="404">
        <v>20</v>
      </c>
      <c r="Q54" s="182">
        <v>1065.6521739130435</v>
      </c>
      <c r="R54" s="405">
        <v>53.282608695652172</v>
      </c>
      <c r="S54" s="404">
        <f t="shared" si="42"/>
        <v>8</v>
      </c>
      <c r="T54" s="538"/>
      <c r="U54" s="404">
        <v>20</v>
      </c>
      <c r="V54" s="182">
        <v>1090.909090909091</v>
      </c>
      <c r="W54" s="405">
        <v>54.545454545454547</v>
      </c>
      <c r="X54" s="404">
        <f t="shared" si="30"/>
        <v>7</v>
      </c>
      <c r="Y54" s="538"/>
      <c r="Z54" s="404">
        <v>20</v>
      </c>
      <c r="AA54" s="182">
        <v>1093.4999999999995</v>
      </c>
      <c r="AB54" s="405">
        <v>54.674999999999976</v>
      </c>
      <c r="AC54" s="404">
        <f t="shared" si="32"/>
        <v>8</v>
      </c>
      <c r="AD54" s="538"/>
      <c r="AE54" s="404">
        <v>20</v>
      </c>
      <c r="AF54" s="182">
        <v>1062.3529411764719</v>
      </c>
      <c r="AG54" s="405">
        <v>53.117647058823593</v>
      </c>
      <c r="AH54" s="404">
        <f t="shared" si="34"/>
        <v>8</v>
      </c>
      <c r="AI54" s="538"/>
      <c r="AJ54" s="404">
        <v>20</v>
      </c>
      <c r="AK54" s="182">
        <v>1081.5789473684204</v>
      </c>
      <c r="AL54" s="405">
        <v>54.078947368421019</v>
      </c>
      <c r="AM54" s="404">
        <f t="shared" si="36"/>
        <v>7</v>
      </c>
      <c r="AN54" s="538"/>
      <c r="AO54" s="404">
        <v>20</v>
      </c>
      <c r="AP54" s="182">
        <v>1096.4999999999998</v>
      </c>
      <c r="AQ54" s="405">
        <v>54.824999999999989</v>
      </c>
      <c r="AR54" s="404">
        <f t="shared" si="38"/>
        <v>7</v>
      </c>
      <c r="AS54" s="538"/>
      <c r="AT54" s="404">
        <v>20</v>
      </c>
      <c r="AU54" s="182">
        <v>1100.9302325581393</v>
      </c>
      <c r="AV54" s="405">
        <v>55.046511627906966</v>
      </c>
      <c r="AW54" s="404">
        <f t="shared" si="40"/>
        <v>7</v>
      </c>
      <c r="AX54" s="534"/>
    </row>
    <row r="55" spans="2:50">
      <c r="B55" s="533"/>
      <c r="C55" s="404">
        <v>9</v>
      </c>
      <c r="D55" s="226"/>
      <c r="E55" s="182"/>
      <c r="F55" s="404"/>
      <c r="G55" s="405"/>
      <c r="H55" s="598"/>
      <c r="I55" s="408"/>
      <c r="J55" s="408"/>
      <c r="K55" s="406"/>
      <c r="L55" s="588"/>
      <c r="M55" s="407" t="e">
        <f>RANK(K55, K$47:$K$61)</f>
        <v>#N/A</v>
      </c>
      <c r="N55" s="544"/>
      <c r="O55" s="544"/>
      <c r="P55" s="404"/>
      <c r="Q55" s="182"/>
      <c r="R55" s="405"/>
      <c r="S55" s="404" t="e">
        <f t="shared" si="42"/>
        <v>#N/A</v>
      </c>
      <c r="T55" s="538"/>
      <c r="U55" s="404"/>
      <c r="V55" s="182"/>
      <c r="W55" s="405"/>
      <c r="X55" s="404" t="e">
        <f t="shared" si="30"/>
        <v>#N/A</v>
      </c>
      <c r="Y55" s="538"/>
      <c r="Z55" s="404"/>
      <c r="AA55" s="182"/>
      <c r="AB55" s="405"/>
      <c r="AC55" s="404" t="e">
        <f t="shared" si="32"/>
        <v>#N/A</v>
      </c>
      <c r="AD55" s="538"/>
      <c r="AE55" s="404"/>
      <c r="AF55" s="182"/>
      <c r="AG55" s="405"/>
      <c r="AH55" s="404" t="e">
        <f t="shared" si="34"/>
        <v>#N/A</v>
      </c>
      <c r="AI55" s="538"/>
      <c r="AJ55" s="404"/>
      <c r="AK55" s="182"/>
      <c r="AL55" s="405"/>
      <c r="AM55" s="404" t="e">
        <f t="shared" si="36"/>
        <v>#N/A</v>
      </c>
      <c r="AN55" s="538"/>
      <c r="AO55" s="404"/>
      <c r="AP55" s="182"/>
      <c r="AQ55" s="405"/>
      <c r="AR55" s="404" t="e">
        <f t="shared" si="38"/>
        <v>#N/A</v>
      </c>
      <c r="AS55" s="538"/>
      <c r="AT55" s="404"/>
      <c r="AU55" s="182"/>
      <c r="AV55" s="405"/>
      <c r="AW55" s="404" t="e">
        <f t="shared" si="40"/>
        <v>#N/A</v>
      </c>
      <c r="AX55" s="534"/>
    </row>
    <row r="56" spans="2:50">
      <c r="B56" s="533"/>
      <c r="C56" s="404">
        <v>10</v>
      </c>
      <c r="D56" s="226"/>
      <c r="E56" s="182"/>
      <c r="F56" s="404"/>
      <c r="G56" s="405"/>
      <c r="H56" s="598"/>
      <c r="I56" s="408"/>
      <c r="J56" s="408"/>
      <c r="K56" s="406"/>
      <c r="L56" s="588"/>
      <c r="M56" s="407" t="e">
        <f>RANK(K56, K$47:$K$61)</f>
        <v>#N/A</v>
      </c>
      <c r="N56" s="544"/>
      <c r="O56" s="544"/>
      <c r="P56" s="404"/>
      <c r="Q56" s="182"/>
      <c r="R56" s="405"/>
      <c r="S56" s="404" t="e">
        <f t="shared" si="42"/>
        <v>#N/A</v>
      </c>
      <c r="T56" s="538"/>
      <c r="U56" s="404"/>
      <c r="V56" s="182"/>
      <c r="W56" s="405"/>
      <c r="X56" s="404" t="e">
        <f t="shared" si="30"/>
        <v>#N/A</v>
      </c>
      <c r="Y56" s="538"/>
      <c r="Z56" s="404"/>
      <c r="AA56" s="182"/>
      <c r="AB56" s="405"/>
      <c r="AC56" s="404" t="e">
        <f t="shared" si="32"/>
        <v>#N/A</v>
      </c>
      <c r="AD56" s="538"/>
      <c r="AE56" s="404"/>
      <c r="AF56" s="182"/>
      <c r="AG56" s="405"/>
      <c r="AH56" s="404" t="e">
        <f t="shared" si="34"/>
        <v>#N/A</v>
      </c>
      <c r="AI56" s="538"/>
      <c r="AJ56" s="404"/>
      <c r="AK56" s="182"/>
      <c r="AL56" s="405"/>
      <c r="AM56" s="404" t="e">
        <f t="shared" si="36"/>
        <v>#N/A</v>
      </c>
      <c r="AN56" s="538"/>
      <c r="AO56" s="404"/>
      <c r="AP56" s="182"/>
      <c r="AQ56" s="405"/>
      <c r="AR56" s="404" t="e">
        <f t="shared" si="38"/>
        <v>#N/A</v>
      </c>
      <c r="AS56" s="538"/>
      <c r="AT56" s="404"/>
      <c r="AU56" s="182"/>
      <c r="AV56" s="405"/>
      <c r="AW56" s="404" t="e">
        <f t="shared" si="40"/>
        <v>#N/A</v>
      </c>
      <c r="AX56" s="534"/>
    </row>
    <row r="57" spans="2:50">
      <c r="B57" s="533"/>
      <c r="C57" s="404">
        <v>11</v>
      </c>
      <c r="D57" s="226"/>
      <c r="E57" s="182"/>
      <c r="F57" s="404"/>
      <c r="G57" s="405"/>
      <c r="H57" s="598"/>
      <c r="I57" s="408"/>
      <c r="J57" s="408"/>
      <c r="K57" s="406"/>
      <c r="L57" s="588"/>
      <c r="M57" s="407" t="e">
        <f>RANK(K57, K$47:$K$61)</f>
        <v>#N/A</v>
      </c>
      <c r="N57" s="544"/>
      <c r="O57" s="544"/>
      <c r="P57" s="404"/>
      <c r="Q57" s="182"/>
      <c r="R57" s="405"/>
      <c r="S57" s="404" t="e">
        <f t="shared" si="42"/>
        <v>#N/A</v>
      </c>
      <c r="T57" s="538"/>
      <c r="U57" s="404"/>
      <c r="V57" s="182"/>
      <c r="W57" s="405"/>
      <c r="X57" s="404" t="e">
        <f t="shared" si="30"/>
        <v>#N/A</v>
      </c>
      <c r="Y57" s="538"/>
      <c r="Z57" s="404"/>
      <c r="AA57" s="182"/>
      <c r="AB57" s="405"/>
      <c r="AC57" s="404" t="e">
        <f t="shared" si="32"/>
        <v>#N/A</v>
      </c>
      <c r="AD57" s="538"/>
      <c r="AE57" s="404"/>
      <c r="AF57" s="182"/>
      <c r="AG57" s="405"/>
      <c r="AH57" s="404" t="e">
        <f t="shared" si="34"/>
        <v>#N/A</v>
      </c>
      <c r="AI57" s="538"/>
      <c r="AJ57" s="404"/>
      <c r="AK57" s="182"/>
      <c r="AL57" s="405"/>
      <c r="AM57" s="404" t="e">
        <f t="shared" si="36"/>
        <v>#N/A</v>
      </c>
      <c r="AN57" s="538"/>
      <c r="AO57" s="404"/>
      <c r="AP57" s="182"/>
      <c r="AQ57" s="405"/>
      <c r="AR57" s="404" t="e">
        <f t="shared" si="38"/>
        <v>#N/A</v>
      </c>
      <c r="AS57" s="538"/>
      <c r="AT57" s="404"/>
      <c r="AU57" s="182"/>
      <c r="AV57" s="405"/>
      <c r="AW57" s="404" t="e">
        <f t="shared" si="40"/>
        <v>#N/A</v>
      </c>
      <c r="AX57" s="534"/>
    </row>
    <row r="58" spans="2:50">
      <c r="B58" s="533"/>
      <c r="C58" s="404">
        <v>12</v>
      </c>
      <c r="D58" s="226"/>
      <c r="E58" s="182"/>
      <c r="F58" s="404"/>
      <c r="G58" s="405"/>
      <c r="H58" s="598"/>
      <c r="I58" s="408"/>
      <c r="J58" s="408"/>
      <c r="K58" s="406"/>
      <c r="L58" s="588"/>
      <c r="M58" s="407" t="e">
        <f>RANK(K58, K$47:$K$61)</f>
        <v>#N/A</v>
      </c>
      <c r="N58" s="544"/>
      <c r="O58" s="544"/>
      <c r="P58" s="404"/>
      <c r="Q58" s="182"/>
      <c r="R58" s="405"/>
      <c r="S58" s="404" t="e">
        <f t="shared" si="42"/>
        <v>#N/A</v>
      </c>
      <c r="T58" s="538"/>
      <c r="U58" s="404"/>
      <c r="V58" s="182"/>
      <c r="W58" s="405"/>
      <c r="X58" s="404" t="e">
        <f t="shared" si="30"/>
        <v>#N/A</v>
      </c>
      <c r="Y58" s="538"/>
      <c r="Z58" s="404"/>
      <c r="AA58" s="182"/>
      <c r="AB58" s="405"/>
      <c r="AC58" s="404" t="e">
        <f t="shared" si="32"/>
        <v>#N/A</v>
      </c>
      <c r="AD58" s="538"/>
      <c r="AE58" s="404"/>
      <c r="AF58" s="182"/>
      <c r="AG58" s="405"/>
      <c r="AH58" s="404" t="e">
        <f t="shared" si="34"/>
        <v>#N/A</v>
      </c>
      <c r="AI58" s="538"/>
      <c r="AJ58" s="404"/>
      <c r="AK58" s="182"/>
      <c r="AL58" s="405"/>
      <c r="AM58" s="404" t="e">
        <f t="shared" si="36"/>
        <v>#N/A</v>
      </c>
      <c r="AN58" s="538"/>
      <c r="AO58" s="404"/>
      <c r="AP58" s="182"/>
      <c r="AQ58" s="405"/>
      <c r="AR58" s="404" t="e">
        <f t="shared" si="38"/>
        <v>#N/A</v>
      </c>
      <c r="AS58" s="538"/>
      <c r="AT58" s="404"/>
      <c r="AU58" s="182"/>
      <c r="AV58" s="405"/>
      <c r="AW58" s="404" t="e">
        <f t="shared" si="40"/>
        <v>#N/A</v>
      </c>
      <c r="AX58" s="534"/>
    </row>
    <row r="59" spans="2:50">
      <c r="B59" s="533"/>
      <c r="C59" s="404">
        <v>13</v>
      </c>
      <c r="D59" s="226"/>
      <c r="E59" s="182"/>
      <c r="F59" s="404"/>
      <c r="G59" s="405"/>
      <c r="H59" s="598"/>
      <c r="I59" s="408"/>
      <c r="J59" s="408"/>
      <c r="K59" s="406"/>
      <c r="L59" s="588"/>
      <c r="M59" s="407" t="e">
        <f>RANK(K59, K$47:$K$61)</f>
        <v>#N/A</v>
      </c>
      <c r="N59" s="544"/>
      <c r="O59" s="544"/>
      <c r="P59" s="404"/>
      <c r="Q59" s="182"/>
      <c r="R59" s="405"/>
      <c r="S59" s="404" t="e">
        <f t="shared" si="42"/>
        <v>#N/A</v>
      </c>
      <c r="T59" s="538"/>
      <c r="U59" s="404"/>
      <c r="V59" s="182"/>
      <c r="W59" s="405"/>
      <c r="X59" s="404" t="e">
        <f t="shared" si="30"/>
        <v>#N/A</v>
      </c>
      <c r="Y59" s="538"/>
      <c r="Z59" s="404"/>
      <c r="AA59" s="182"/>
      <c r="AB59" s="405"/>
      <c r="AC59" s="404" t="e">
        <f t="shared" si="32"/>
        <v>#N/A</v>
      </c>
      <c r="AD59" s="538"/>
      <c r="AE59" s="404"/>
      <c r="AF59" s="182"/>
      <c r="AG59" s="405"/>
      <c r="AH59" s="404" t="e">
        <f t="shared" si="34"/>
        <v>#N/A</v>
      </c>
      <c r="AI59" s="538"/>
      <c r="AJ59" s="404"/>
      <c r="AK59" s="182"/>
      <c r="AL59" s="405"/>
      <c r="AM59" s="404" t="e">
        <f t="shared" si="36"/>
        <v>#N/A</v>
      </c>
      <c r="AN59" s="538"/>
      <c r="AO59" s="404"/>
      <c r="AP59" s="182"/>
      <c r="AQ59" s="405"/>
      <c r="AR59" s="404" t="e">
        <f t="shared" si="38"/>
        <v>#N/A</v>
      </c>
      <c r="AS59" s="538"/>
      <c r="AT59" s="404"/>
      <c r="AU59" s="182"/>
      <c r="AV59" s="405"/>
      <c r="AW59" s="404" t="e">
        <f t="shared" si="40"/>
        <v>#N/A</v>
      </c>
      <c r="AX59" s="534"/>
    </row>
    <row r="60" spans="2:50">
      <c r="B60" s="533"/>
      <c r="C60" s="404">
        <v>14</v>
      </c>
      <c r="D60" s="226"/>
      <c r="E60" s="182"/>
      <c r="F60" s="404"/>
      <c r="G60" s="405"/>
      <c r="H60" s="598"/>
      <c r="I60" s="408"/>
      <c r="J60" s="408"/>
      <c r="K60" s="406"/>
      <c r="L60" s="588"/>
      <c r="M60" s="407" t="e">
        <f>RANK(K60, K$47:$K$61)</f>
        <v>#N/A</v>
      </c>
      <c r="N60" s="544"/>
      <c r="O60" s="544"/>
      <c r="P60" s="404"/>
      <c r="Q60" s="182"/>
      <c r="R60" s="405"/>
      <c r="S60" s="404" t="e">
        <f t="shared" si="42"/>
        <v>#N/A</v>
      </c>
      <c r="T60" s="538"/>
      <c r="U60" s="404"/>
      <c r="V60" s="182"/>
      <c r="W60" s="405"/>
      <c r="X60" s="404" t="e">
        <f t="shared" si="30"/>
        <v>#N/A</v>
      </c>
      <c r="Y60" s="538"/>
      <c r="Z60" s="404"/>
      <c r="AA60" s="182"/>
      <c r="AB60" s="405"/>
      <c r="AC60" s="404" t="e">
        <f t="shared" si="32"/>
        <v>#N/A</v>
      </c>
      <c r="AD60" s="538"/>
      <c r="AE60" s="404"/>
      <c r="AF60" s="182"/>
      <c r="AG60" s="405"/>
      <c r="AH60" s="404" t="e">
        <f t="shared" si="34"/>
        <v>#N/A</v>
      </c>
      <c r="AI60" s="538"/>
      <c r="AJ60" s="404"/>
      <c r="AK60" s="182"/>
      <c r="AL60" s="405"/>
      <c r="AM60" s="404" t="e">
        <f t="shared" si="36"/>
        <v>#N/A</v>
      </c>
      <c r="AN60" s="538"/>
      <c r="AO60" s="404"/>
      <c r="AP60" s="182"/>
      <c r="AQ60" s="405"/>
      <c r="AR60" s="404" t="e">
        <f t="shared" si="38"/>
        <v>#N/A</v>
      </c>
      <c r="AS60" s="538"/>
      <c r="AT60" s="404"/>
      <c r="AU60" s="182"/>
      <c r="AV60" s="405"/>
      <c r="AW60" s="404" t="e">
        <f t="shared" si="40"/>
        <v>#N/A</v>
      </c>
      <c r="AX60" s="534"/>
    </row>
    <row r="61" spans="2:50">
      <c r="B61" s="533"/>
      <c r="C61" s="404">
        <v>15</v>
      </c>
      <c r="D61" s="226"/>
      <c r="E61" s="182"/>
      <c r="F61" s="404"/>
      <c r="G61" s="405"/>
      <c r="H61" s="599"/>
      <c r="I61" s="408"/>
      <c r="J61" s="408"/>
      <c r="K61" s="406"/>
      <c r="L61" s="589"/>
      <c r="M61" s="407" t="e">
        <f>RANK(K61, K$47:$K$61)</f>
        <v>#N/A</v>
      </c>
      <c r="N61" s="544"/>
      <c r="O61" s="544"/>
      <c r="P61" s="404"/>
      <c r="Q61" s="182"/>
      <c r="R61" s="405"/>
      <c r="S61" s="404" t="e">
        <f t="shared" si="42"/>
        <v>#N/A</v>
      </c>
      <c r="T61" s="539"/>
      <c r="U61" s="404"/>
      <c r="V61" s="182"/>
      <c r="W61" s="405"/>
      <c r="X61" s="404" t="e">
        <f t="shared" si="30"/>
        <v>#N/A</v>
      </c>
      <c r="Y61" s="539"/>
      <c r="Z61" s="404"/>
      <c r="AA61" s="182"/>
      <c r="AB61" s="405"/>
      <c r="AC61" s="404" t="e">
        <f t="shared" si="32"/>
        <v>#N/A</v>
      </c>
      <c r="AD61" s="539"/>
      <c r="AE61" s="404"/>
      <c r="AF61" s="182"/>
      <c r="AG61" s="405"/>
      <c r="AH61" s="404" t="e">
        <f t="shared" si="34"/>
        <v>#N/A</v>
      </c>
      <c r="AI61" s="539"/>
      <c r="AJ61" s="404"/>
      <c r="AK61" s="182"/>
      <c r="AL61" s="405"/>
      <c r="AM61" s="404" t="e">
        <f t="shared" si="36"/>
        <v>#N/A</v>
      </c>
      <c r="AN61" s="539"/>
      <c r="AO61" s="404"/>
      <c r="AP61" s="182"/>
      <c r="AQ61" s="405"/>
      <c r="AR61" s="404" t="e">
        <f t="shared" si="38"/>
        <v>#N/A</v>
      </c>
      <c r="AS61" s="539"/>
      <c r="AT61" s="404"/>
      <c r="AU61" s="182"/>
      <c r="AV61" s="405"/>
      <c r="AW61" s="404" t="e">
        <f t="shared" si="40"/>
        <v>#N/A</v>
      </c>
      <c r="AX61" s="534"/>
    </row>
    <row r="62" spans="2:50" ht="15.5">
      <c r="B62" s="555" t="s">
        <v>704</v>
      </c>
      <c r="C62" s="556"/>
      <c r="D62" s="556"/>
      <c r="E62" s="556"/>
      <c r="F62" s="556"/>
      <c r="G62" s="556"/>
      <c r="H62" s="557"/>
      <c r="I62" s="208"/>
      <c r="J62" s="208"/>
      <c r="K62" s="208"/>
      <c r="L62" s="208"/>
      <c r="M62" s="207"/>
      <c r="N62" s="559" t="s">
        <v>705</v>
      </c>
      <c r="O62" s="559" t="s">
        <v>706</v>
      </c>
      <c r="P62" s="554">
        <f>P42+7</f>
        <v>46007</v>
      </c>
      <c r="Q62" s="533"/>
      <c r="R62" s="533"/>
      <c r="S62" s="533"/>
      <c r="T62" s="533"/>
      <c r="U62" s="551">
        <f>P62+1</f>
        <v>46008</v>
      </c>
      <c r="V62" s="552"/>
      <c r="W62" s="552"/>
      <c r="X62" s="552"/>
      <c r="Y62" s="553"/>
      <c r="Z62" s="551">
        <f>U62+1</f>
        <v>46009</v>
      </c>
      <c r="AA62" s="552"/>
      <c r="AB62" s="552"/>
      <c r="AC62" s="552"/>
      <c r="AD62" s="553"/>
      <c r="AE62" s="551">
        <f>Z62+1</f>
        <v>46010</v>
      </c>
      <c r="AF62" s="552"/>
      <c r="AG62" s="552"/>
      <c r="AH62" s="552"/>
      <c r="AI62" s="553"/>
      <c r="AJ62" s="551">
        <f>AE62+1</f>
        <v>46011</v>
      </c>
      <c r="AK62" s="552"/>
      <c r="AL62" s="552"/>
      <c r="AM62" s="552"/>
      <c r="AN62" s="553"/>
      <c r="AO62" s="551">
        <f>AJ62+1</f>
        <v>46012</v>
      </c>
      <c r="AP62" s="552"/>
      <c r="AQ62" s="552"/>
      <c r="AR62" s="552"/>
      <c r="AS62" s="553"/>
      <c r="AT62" s="551">
        <f>AO62+1</f>
        <v>46013</v>
      </c>
      <c r="AU62" s="552"/>
      <c r="AV62" s="552"/>
      <c r="AW62" s="552"/>
      <c r="AX62" s="553"/>
    </row>
    <row r="63" spans="2:50" ht="15.5">
      <c r="B63" s="558"/>
      <c r="C63" s="558"/>
      <c r="D63" s="558"/>
      <c r="E63" s="558"/>
      <c r="F63" s="558"/>
      <c r="G63" s="558"/>
      <c r="H63" s="558"/>
      <c r="I63" s="205"/>
      <c r="J63" s="205"/>
      <c r="K63" s="205"/>
      <c r="L63" s="205"/>
      <c r="M63" s="206"/>
      <c r="N63" s="560"/>
      <c r="O63" s="560"/>
      <c r="P63" s="554" t="s">
        <v>707</v>
      </c>
      <c r="Q63" s="533"/>
      <c r="R63" s="533"/>
      <c r="S63" s="533"/>
      <c r="T63" s="533"/>
      <c r="U63" s="554" t="s">
        <v>708</v>
      </c>
      <c r="V63" s="533"/>
      <c r="W63" s="533"/>
      <c r="X63" s="533"/>
      <c r="Y63" s="533"/>
      <c r="Z63" s="554" t="s">
        <v>709</v>
      </c>
      <c r="AA63" s="533"/>
      <c r="AB63" s="533"/>
      <c r="AC63" s="533"/>
      <c r="AD63" s="533"/>
      <c r="AE63" s="554" t="s">
        <v>710</v>
      </c>
      <c r="AF63" s="533"/>
      <c r="AG63" s="533"/>
      <c r="AH63" s="533"/>
      <c r="AI63" s="533"/>
      <c r="AJ63" s="554" t="s">
        <v>711</v>
      </c>
      <c r="AK63" s="533"/>
      <c r="AL63" s="533"/>
      <c r="AM63" s="533"/>
      <c r="AN63" s="533"/>
      <c r="AO63" s="554" t="s">
        <v>712</v>
      </c>
      <c r="AP63" s="533"/>
      <c r="AQ63" s="533"/>
      <c r="AR63" s="533"/>
      <c r="AS63" s="533"/>
      <c r="AT63" s="554" t="s">
        <v>713</v>
      </c>
      <c r="AU63" s="533"/>
      <c r="AV63" s="533"/>
      <c r="AW63" s="533"/>
      <c r="AX63" s="533"/>
    </row>
    <row r="64" spans="2:50">
      <c r="B64" s="544" t="s">
        <v>649</v>
      </c>
      <c r="C64" s="544" t="s">
        <v>650</v>
      </c>
      <c r="D64" s="544"/>
      <c r="E64" s="544" t="s">
        <v>651</v>
      </c>
      <c r="F64" s="544"/>
      <c r="G64" s="544"/>
      <c r="H64" s="561" t="s">
        <v>652</v>
      </c>
      <c r="I64" s="583" t="s">
        <v>653</v>
      </c>
      <c r="J64" s="583"/>
      <c r="K64" s="583"/>
      <c r="L64" s="584" t="s">
        <v>652</v>
      </c>
      <c r="M64" s="567" t="s">
        <v>654</v>
      </c>
      <c r="N64" s="544"/>
      <c r="O64" s="544" t="s">
        <v>655</v>
      </c>
      <c r="P64" s="548" t="s">
        <v>656</v>
      </c>
      <c r="Q64" s="549"/>
      <c r="R64" s="549"/>
      <c r="S64" s="550"/>
      <c r="T64" s="544" t="s">
        <v>652</v>
      </c>
      <c r="U64" s="548" t="s">
        <v>656</v>
      </c>
      <c r="V64" s="549"/>
      <c r="W64" s="549"/>
      <c r="X64" s="550"/>
      <c r="Y64" s="544" t="s">
        <v>652</v>
      </c>
      <c r="Z64" s="548" t="s">
        <v>656</v>
      </c>
      <c r="AA64" s="549"/>
      <c r="AB64" s="549"/>
      <c r="AC64" s="550"/>
      <c r="AD64" s="544" t="s">
        <v>652</v>
      </c>
      <c r="AE64" s="548" t="s">
        <v>656</v>
      </c>
      <c r="AF64" s="549"/>
      <c r="AG64" s="549"/>
      <c r="AH64" s="550"/>
      <c r="AI64" s="544" t="s">
        <v>652</v>
      </c>
      <c r="AJ64" s="548" t="s">
        <v>656</v>
      </c>
      <c r="AK64" s="549"/>
      <c r="AL64" s="549"/>
      <c r="AM64" s="550"/>
      <c r="AN64" s="544" t="s">
        <v>652</v>
      </c>
      <c r="AO64" s="548" t="s">
        <v>656</v>
      </c>
      <c r="AP64" s="549"/>
      <c r="AQ64" s="549"/>
      <c r="AR64" s="550"/>
      <c r="AS64" s="544" t="s">
        <v>652</v>
      </c>
      <c r="AT64" s="548" t="s">
        <v>656</v>
      </c>
      <c r="AU64" s="549"/>
      <c r="AV64" s="549"/>
      <c r="AW64" s="550"/>
      <c r="AX64" s="544" t="s">
        <v>652</v>
      </c>
    </row>
    <row r="65" spans="2:50">
      <c r="B65" s="544"/>
      <c r="C65" s="544"/>
      <c r="D65" s="544"/>
      <c r="E65" s="544" t="s">
        <v>657</v>
      </c>
      <c r="F65" s="544"/>
      <c r="G65" s="544"/>
      <c r="H65" s="562"/>
      <c r="I65" s="583" t="s">
        <v>657</v>
      </c>
      <c r="J65" s="583"/>
      <c r="K65" s="583"/>
      <c r="L65" s="585"/>
      <c r="M65" s="568"/>
      <c r="N65" s="544"/>
      <c r="O65" s="544"/>
      <c r="P65" s="548" t="s">
        <v>658</v>
      </c>
      <c r="Q65" s="549"/>
      <c r="R65" s="549"/>
      <c r="S65" s="550"/>
      <c r="T65" s="544"/>
      <c r="U65" s="548" t="s">
        <v>658</v>
      </c>
      <c r="V65" s="549"/>
      <c r="W65" s="549"/>
      <c r="X65" s="550"/>
      <c r="Y65" s="544"/>
      <c r="Z65" s="548" t="s">
        <v>658</v>
      </c>
      <c r="AA65" s="549"/>
      <c r="AB65" s="549"/>
      <c r="AC65" s="550"/>
      <c r="AD65" s="544"/>
      <c r="AE65" s="548" t="s">
        <v>658</v>
      </c>
      <c r="AF65" s="549"/>
      <c r="AG65" s="549"/>
      <c r="AH65" s="550"/>
      <c r="AI65" s="544"/>
      <c r="AJ65" s="548" t="s">
        <v>658</v>
      </c>
      <c r="AK65" s="549"/>
      <c r="AL65" s="549"/>
      <c r="AM65" s="550"/>
      <c r="AN65" s="544"/>
      <c r="AO65" s="548" t="s">
        <v>658</v>
      </c>
      <c r="AP65" s="549"/>
      <c r="AQ65" s="549"/>
      <c r="AR65" s="550"/>
      <c r="AS65" s="544"/>
      <c r="AT65" s="548" t="s">
        <v>658</v>
      </c>
      <c r="AU65" s="549"/>
      <c r="AV65" s="549"/>
      <c r="AW65" s="550"/>
      <c r="AX65" s="544"/>
    </row>
    <row r="66" spans="2:50">
      <c r="B66" s="544"/>
      <c r="C66" s="544"/>
      <c r="D66" s="544"/>
      <c r="E66" s="403" t="s">
        <v>659</v>
      </c>
      <c r="F66" s="403" t="s">
        <v>660</v>
      </c>
      <c r="G66" s="403" t="s">
        <v>661</v>
      </c>
      <c r="H66" s="563"/>
      <c r="I66" s="402" t="s">
        <v>659</v>
      </c>
      <c r="J66" s="402" t="s">
        <v>660</v>
      </c>
      <c r="K66" s="402" t="s">
        <v>661</v>
      </c>
      <c r="L66" s="586"/>
      <c r="M66" s="569"/>
      <c r="N66" s="544"/>
      <c r="O66" s="544"/>
      <c r="P66" s="403" t="s">
        <v>659</v>
      </c>
      <c r="Q66" s="403" t="s">
        <v>660</v>
      </c>
      <c r="R66" s="403" t="s">
        <v>661</v>
      </c>
      <c r="S66" s="403" t="s">
        <v>654</v>
      </c>
      <c r="T66" s="544"/>
      <c r="U66" s="403" t="s">
        <v>659</v>
      </c>
      <c r="V66" s="403" t="s">
        <v>660</v>
      </c>
      <c r="W66" s="403" t="s">
        <v>661</v>
      </c>
      <c r="X66" s="403" t="s">
        <v>654</v>
      </c>
      <c r="Y66" s="544"/>
      <c r="Z66" s="403" t="s">
        <v>659</v>
      </c>
      <c r="AA66" s="403" t="s">
        <v>660</v>
      </c>
      <c r="AB66" s="403" t="s">
        <v>661</v>
      </c>
      <c r="AC66" s="403" t="s">
        <v>654</v>
      </c>
      <c r="AD66" s="544"/>
      <c r="AE66" s="403" t="s">
        <v>659</v>
      </c>
      <c r="AF66" s="403" t="s">
        <v>660</v>
      </c>
      <c r="AG66" s="403" t="s">
        <v>661</v>
      </c>
      <c r="AH66" s="403" t="s">
        <v>654</v>
      </c>
      <c r="AI66" s="544"/>
      <c r="AJ66" s="403" t="s">
        <v>659</v>
      </c>
      <c r="AK66" s="403" t="s">
        <v>660</v>
      </c>
      <c r="AL66" s="403" t="s">
        <v>661</v>
      </c>
      <c r="AM66" s="403" t="s">
        <v>654</v>
      </c>
      <c r="AN66" s="544"/>
      <c r="AO66" s="403" t="s">
        <v>659</v>
      </c>
      <c r="AP66" s="403" t="s">
        <v>660</v>
      </c>
      <c r="AQ66" s="403" t="s">
        <v>661</v>
      </c>
      <c r="AR66" s="403" t="s">
        <v>654</v>
      </c>
      <c r="AS66" s="544"/>
      <c r="AT66" s="403" t="s">
        <v>659</v>
      </c>
      <c r="AU66" s="403" t="s">
        <v>660</v>
      </c>
      <c r="AV66" s="403" t="s">
        <v>661</v>
      </c>
      <c r="AW66" s="403" t="s">
        <v>654</v>
      </c>
      <c r="AX66" s="544"/>
    </row>
    <row r="67" spans="2:50">
      <c r="B67" s="544" t="s">
        <v>794</v>
      </c>
      <c r="C67" s="404">
        <v>1</v>
      </c>
      <c r="D67" s="226" t="s">
        <v>399</v>
      </c>
      <c r="E67" s="182">
        <v>6</v>
      </c>
      <c r="F67" s="404">
        <v>1500</v>
      </c>
      <c r="G67" s="405">
        <v>250</v>
      </c>
      <c r="H67" s="597">
        <f>AVERAGE(G67:G81)</f>
        <v>140.15</v>
      </c>
      <c r="I67" s="408">
        <f t="shared" ref="I67:K74" si="43">AVERAGE(P67,U67,Z67,AE67,AJ67,AO67,AT67)</f>
        <v>6</v>
      </c>
      <c r="J67" s="408">
        <f t="shared" si="43"/>
        <v>1324.8259345359172</v>
      </c>
      <c r="K67" s="406">
        <f t="shared" si="43"/>
        <v>220.80432242265286</v>
      </c>
      <c r="L67" s="587">
        <f>IFERROR(AVERAGE(K67:K81),"-")</f>
        <v>130.12183366855552</v>
      </c>
      <c r="M67" s="407">
        <f>RANK(K67, K$67:$K$81)</f>
        <v>3</v>
      </c>
      <c r="N67" s="544"/>
      <c r="O67" s="544"/>
      <c r="P67" s="182">
        <v>6</v>
      </c>
      <c r="Q67" s="182">
        <v>1347.9999999999998</v>
      </c>
      <c r="R67" s="405">
        <v>224.66666666666663</v>
      </c>
      <c r="S67" s="404">
        <f>RANK(R67, R$67:R$81)</f>
        <v>3</v>
      </c>
      <c r="T67" s="537">
        <f>AVERAGE(R67:R81)</f>
        <v>131.24569308568667</v>
      </c>
      <c r="U67" s="182">
        <v>6</v>
      </c>
      <c r="V67" s="182">
        <v>1317.8313253012052</v>
      </c>
      <c r="W67" s="405">
        <v>219.63855421686753</v>
      </c>
      <c r="X67" s="404">
        <f t="shared" ref="X67:X81" si="44">RANK(W67, W$67:W$81)</f>
        <v>3</v>
      </c>
      <c r="Y67" s="537">
        <f t="shared" ref="Y67" si="45">AVERAGE(W67:W81)</f>
        <v>129.7432973430297</v>
      </c>
      <c r="Z67" s="182">
        <v>6</v>
      </c>
      <c r="AA67" s="182">
        <v>1299.75</v>
      </c>
      <c r="AB67" s="405">
        <v>216.625</v>
      </c>
      <c r="AC67" s="404">
        <f t="shared" ref="AC67:AC81" si="46">RANK(AB67, AB$67:AB$81)</f>
        <v>3</v>
      </c>
      <c r="AD67" s="537">
        <f t="shared" ref="AD67" si="47">AVERAGE(AB67:AB81)</f>
        <v>130.11484277664366</v>
      </c>
      <c r="AE67" s="182">
        <v>6</v>
      </c>
      <c r="AF67" s="182">
        <v>1348.5714285714291</v>
      </c>
      <c r="AG67" s="405">
        <v>224.76190476190484</v>
      </c>
      <c r="AH67" s="404">
        <f t="shared" ref="AH67:AH81" si="48">RANK(AG67, AG$67:AG$81)</f>
        <v>3</v>
      </c>
      <c r="AI67" s="537">
        <f t="shared" ref="AI67" si="49">AVERAGE(AG67:AG81)</f>
        <v>128.48776125975107</v>
      </c>
      <c r="AJ67" s="182">
        <v>6</v>
      </c>
      <c r="AK67" s="182">
        <v>1333.3333333333328</v>
      </c>
      <c r="AL67" s="405">
        <v>222.22222222222214</v>
      </c>
      <c r="AM67" s="404">
        <f t="shared" ref="AM67:AM81" si="50">RANK(AL67, AL$67:AL$81)</f>
        <v>3</v>
      </c>
      <c r="AN67" s="537">
        <f t="shared" ref="AN67" si="51">AVERAGE(AL67:AL81)</f>
        <v>130.92128087844324</v>
      </c>
      <c r="AO67" s="182">
        <v>6</v>
      </c>
      <c r="AP67" s="182">
        <v>1314.5454545454545</v>
      </c>
      <c r="AQ67" s="405">
        <v>219.09090909090909</v>
      </c>
      <c r="AR67" s="404">
        <f t="shared" ref="AR67:AR81" si="52">RANK(AQ67, AQ$67:AQ$81)</f>
        <v>3</v>
      </c>
      <c r="AS67" s="537">
        <f t="shared" ref="AS67" si="53">AVERAGE(AQ67:AQ81)</f>
        <v>129.35761706018408</v>
      </c>
      <c r="AT67" s="182">
        <v>6</v>
      </c>
      <c r="AU67" s="182">
        <v>1311.75</v>
      </c>
      <c r="AV67" s="405">
        <v>218.625</v>
      </c>
      <c r="AW67" s="404">
        <f t="shared" ref="AW67:AW81" si="54">RANK(AV67, AV$67:AV$81)</f>
        <v>3</v>
      </c>
      <c r="AX67" s="534">
        <f t="shared" ref="AX67" si="55">AVERAGE(AV67:AV81)</f>
        <v>130.9823432761502</v>
      </c>
    </row>
    <row r="68" spans="2:50">
      <c r="B68" s="533"/>
      <c r="C68" s="404">
        <v>2</v>
      </c>
      <c r="D68" s="226" t="s">
        <v>400</v>
      </c>
      <c r="E68" s="182">
        <v>6</v>
      </c>
      <c r="F68" s="404">
        <v>1500</v>
      </c>
      <c r="G68" s="405">
        <v>250</v>
      </c>
      <c r="H68" s="598"/>
      <c r="I68" s="408">
        <f t="shared" si="43"/>
        <v>6</v>
      </c>
      <c r="J68" s="408">
        <f t="shared" si="43"/>
        <v>1485.4617013146617</v>
      </c>
      <c r="K68" s="406">
        <f t="shared" si="43"/>
        <v>247.5769502191103</v>
      </c>
      <c r="L68" s="588"/>
      <c r="M68" s="407">
        <f>RANK(K68, K$67:$K$81)</f>
        <v>1</v>
      </c>
      <c r="N68" s="544"/>
      <c r="O68" s="544"/>
      <c r="P68" s="404">
        <v>6</v>
      </c>
      <c r="Q68" s="182">
        <v>1489.7435897435901</v>
      </c>
      <c r="R68" s="405">
        <v>248.29059829059835</v>
      </c>
      <c r="S68" s="404">
        <f t="shared" ref="S68:S81" si="56">RANK(R68, R$67:R$81)</f>
        <v>1</v>
      </c>
      <c r="T68" s="538"/>
      <c r="U68" s="404">
        <v>6</v>
      </c>
      <c r="V68" s="182">
        <v>1479.0000000000005</v>
      </c>
      <c r="W68" s="405">
        <v>246.50000000000009</v>
      </c>
      <c r="X68" s="404">
        <f t="shared" si="44"/>
        <v>1</v>
      </c>
      <c r="Y68" s="538"/>
      <c r="Z68" s="404">
        <v>6</v>
      </c>
      <c r="AA68" s="182">
        <v>1502.5862068965519</v>
      </c>
      <c r="AB68" s="405">
        <v>250.43103448275863</v>
      </c>
      <c r="AC68" s="404">
        <f t="shared" si="46"/>
        <v>1</v>
      </c>
      <c r="AD68" s="538"/>
      <c r="AE68" s="404">
        <v>6</v>
      </c>
      <c r="AF68" s="182">
        <v>1444.4444444444443</v>
      </c>
      <c r="AG68" s="405">
        <v>240.74074074074073</v>
      </c>
      <c r="AH68" s="404">
        <f t="shared" si="48"/>
        <v>2</v>
      </c>
      <c r="AI68" s="538"/>
      <c r="AJ68" s="404">
        <v>6</v>
      </c>
      <c r="AK68" s="182">
        <v>1498.8679245283015</v>
      </c>
      <c r="AL68" s="405">
        <v>249.81132075471692</v>
      </c>
      <c r="AM68" s="404">
        <f t="shared" si="50"/>
        <v>1</v>
      </c>
      <c r="AN68" s="538"/>
      <c r="AO68" s="404">
        <v>6</v>
      </c>
      <c r="AP68" s="182">
        <v>1480.5128205128208</v>
      </c>
      <c r="AQ68" s="405">
        <v>246.75213675213681</v>
      </c>
      <c r="AR68" s="404">
        <f t="shared" si="52"/>
        <v>2</v>
      </c>
      <c r="AS68" s="538"/>
      <c r="AT68" s="404">
        <v>6</v>
      </c>
      <c r="AU68" s="182">
        <v>1503.0769230769233</v>
      </c>
      <c r="AV68" s="405">
        <v>250.51282051282055</v>
      </c>
      <c r="AW68" s="404">
        <f t="shared" si="54"/>
        <v>1</v>
      </c>
      <c r="AX68" s="534"/>
    </row>
    <row r="69" spans="2:50">
      <c r="B69" s="533"/>
      <c r="C69" s="404">
        <v>3</v>
      </c>
      <c r="D69" s="226" t="s">
        <v>349</v>
      </c>
      <c r="E69" s="182">
        <v>19</v>
      </c>
      <c r="F69" s="404">
        <v>1500</v>
      </c>
      <c r="G69" s="405">
        <v>78.900000000000006</v>
      </c>
      <c r="H69" s="598"/>
      <c r="I69" s="408">
        <f t="shared" si="43"/>
        <v>18.714285714285715</v>
      </c>
      <c r="J69" s="408">
        <f t="shared" si="43"/>
        <v>1302.122347542457</v>
      </c>
      <c r="K69" s="406">
        <f t="shared" si="43"/>
        <v>69.585121069201421</v>
      </c>
      <c r="L69" s="588"/>
      <c r="M69" s="407">
        <f>RANK(K69, K$67:$K$81)</f>
        <v>6</v>
      </c>
      <c r="N69" s="544"/>
      <c r="O69" s="544"/>
      <c r="P69" s="404">
        <v>18</v>
      </c>
      <c r="Q69" s="182">
        <v>1251.304347826087</v>
      </c>
      <c r="R69" s="405">
        <v>69.516908212560395</v>
      </c>
      <c r="S69" s="404">
        <f t="shared" si="56"/>
        <v>6</v>
      </c>
      <c r="T69" s="538"/>
      <c r="U69" s="404">
        <v>18</v>
      </c>
      <c r="V69" s="182">
        <v>1268.0597014925372</v>
      </c>
      <c r="W69" s="405">
        <v>70.447761194029852</v>
      </c>
      <c r="X69" s="404">
        <f t="shared" si="44"/>
        <v>5</v>
      </c>
      <c r="Y69" s="538"/>
      <c r="Z69" s="404">
        <v>19</v>
      </c>
      <c r="AA69" s="182">
        <v>1298.7692307692278</v>
      </c>
      <c r="AB69" s="405">
        <v>68.356275303643571</v>
      </c>
      <c r="AC69" s="404">
        <f t="shared" si="46"/>
        <v>6</v>
      </c>
      <c r="AD69" s="538"/>
      <c r="AE69" s="404">
        <v>19</v>
      </c>
      <c r="AF69" s="182">
        <v>1406.9999999999957</v>
      </c>
      <c r="AG69" s="405">
        <v>74.052631578947143</v>
      </c>
      <c r="AH69" s="404">
        <f t="shared" si="48"/>
        <v>4</v>
      </c>
      <c r="AI69" s="538"/>
      <c r="AJ69" s="404">
        <v>19</v>
      </c>
      <c r="AK69" s="182">
        <v>1293.5999999999963</v>
      </c>
      <c r="AL69" s="405">
        <v>68.084210526315587</v>
      </c>
      <c r="AM69" s="404">
        <f t="shared" si="50"/>
        <v>6</v>
      </c>
      <c r="AN69" s="538"/>
      <c r="AO69" s="404">
        <v>19</v>
      </c>
      <c r="AP69" s="182">
        <v>1288.5517241379287</v>
      </c>
      <c r="AQ69" s="405">
        <v>67.818511796733091</v>
      </c>
      <c r="AR69" s="404">
        <f t="shared" si="52"/>
        <v>5</v>
      </c>
      <c r="AS69" s="538"/>
      <c r="AT69" s="404">
        <v>19</v>
      </c>
      <c r="AU69" s="182">
        <v>1307.5714285714259</v>
      </c>
      <c r="AV69" s="405">
        <v>68.819548872180306</v>
      </c>
      <c r="AW69" s="404">
        <f t="shared" si="54"/>
        <v>6</v>
      </c>
      <c r="AX69" s="534"/>
    </row>
    <row r="70" spans="2:50">
      <c r="B70" s="533"/>
      <c r="C70" s="404">
        <v>4</v>
      </c>
      <c r="D70" s="226" t="s">
        <v>401</v>
      </c>
      <c r="E70" s="182">
        <v>17</v>
      </c>
      <c r="F70" s="404">
        <v>1440</v>
      </c>
      <c r="G70" s="405">
        <v>84.7</v>
      </c>
      <c r="H70" s="598"/>
      <c r="I70" s="408">
        <f t="shared" si="43"/>
        <v>17</v>
      </c>
      <c r="J70" s="408">
        <f t="shared" si="43"/>
        <v>1209.7009375496568</v>
      </c>
      <c r="K70" s="406">
        <f t="shared" si="43"/>
        <v>71.158878679391563</v>
      </c>
      <c r="L70" s="588"/>
      <c r="M70" s="407">
        <f>RANK(K70, K$67:$K$81)</f>
        <v>4</v>
      </c>
      <c r="N70" s="544"/>
      <c r="O70" s="544"/>
      <c r="P70" s="404">
        <v>17</v>
      </c>
      <c r="Q70" s="182">
        <v>1251.9999999999977</v>
      </c>
      <c r="R70" s="405">
        <v>73.647058823529278</v>
      </c>
      <c r="S70" s="404">
        <f t="shared" si="56"/>
        <v>4</v>
      </c>
      <c r="T70" s="538"/>
      <c r="U70" s="404">
        <v>17</v>
      </c>
      <c r="V70" s="182">
        <v>1244.5161290322562</v>
      </c>
      <c r="W70" s="405">
        <v>73.206831119544489</v>
      </c>
      <c r="X70" s="404">
        <f t="shared" si="44"/>
        <v>4</v>
      </c>
      <c r="Y70" s="538"/>
      <c r="Z70" s="404">
        <v>17</v>
      </c>
      <c r="AA70" s="182">
        <v>1257.9999999999977</v>
      </c>
      <c r="AB70" s="405">
        <v>73.999999999999872</v>
      </c>
      <c r="AC70" s="404">
        <f t="shared" si="46"/>
        <v>4</v>
      </c>
      <c r="AD70" s="538"/>
      <c r="AE70" s="404">
        <v>17</v>
      </c>
      <c r="AF70" s="182">
        <v>1096.5517241379289</v>
      </c>
      <c r="AG70" s="405">
        <v>64.503042596348763</v>
      </c>
      <c r="AH70" s="404">
        <f t="shared" si="48"/>
        <v>6</v>
      </c>
      <c r="AI70" s="538"/>
      <c r="AJ70" s="404">
        <v>17</v>
      </c>
      <c r="AK70" s="182">
        <v>1242.0000000000011</v>
      </c>
      <c r="AL70" s="405">
        <v>73.058823529411825</v>
      </c>
      <c r="AM70" s="404">
        <f t="shared" si="50"/>
        <v>4</v>
      </c>
      <c r="AN70" s="538"/>
      <c r="AO70" s="404">
        <v>17</v>
      </c>
      <c r="AP70" s="182">
        <v>1097.4193548387079</v>
      </c>
      <c r="AQ70" s="405">
        <v>64.554079696394581</v>
      </c>
      <c r="AR70" s="404">
        <f t="shared" si="52"/>
        <v>6</v>
      </c>
      <c r="AS70" s="538"/>
      <c r="AT70" s="404">
        <v>17</v>
      </c>
      <c r="AU70" s="182">
        <v>1277.4193548387077</v>
      </c>
      <c r="AV70" s="405">
        <v>75.142314990512219</v>
      </c>
      <c r="AW70" s="404">
        <f t="shared" si="54"/>
        <v>4</v>
      </c>
      <c r="AX70" s="534"/>
    </row>
    <row r="71" spans="2:50">
      <c r="B71" s="533"/>
      <c r="C71" s="404">
        <v>5</v>
      </c>
      <c r="D71" s="226" t="s">
        <v>448</v>
      </c>
      <c r="E71" s="182">
        <v>6</v>
      </c>
      <c r="F71" s="404">
        <v>1500</v>
      </c>
      <c r="G71" s="405">
        <v>250</v>
      </c>
      <c r="H71" s="598"/>
      <c r="I71" s="408">
        <f t="shared" si="43"/>
        <v>6</v>
      </c>
      <c r="J71" s="408">
        <f t="shared" si="43"/>
        <v>1478.2198406432271</v>
      </c>
      <c r="K71" s="406">
        <f t="shared" si="43"/>
        <v>246.36997344053788</v>
      </c>
      <c r="L71" s="588"/>
      <c r="M71" s="407">
        <f>RANK(K71, K$67:$K$81)</f>
        <v>2</v>
      </c>
      <c r="N71" s="544"/>
      <c r="O71" s="544"/>
      <c r="P71" s="404">
        <v>6</v>
      </c>
      <c r="Q71" s="182">
        <v>1469.9999999999993</v>
      </c>
      <c r="R71" s="405">
        <v>244.99999999999989</v>
      </c>
      <c r="S71" s="404">
        <f t="shared" si="56"/>
        <v>2</v>
      </c>
      <c r="T71" s="538"/>
      <c r="U71" s="404">
        <v>6</v>
      </c>
      <c r="V71" s="182">
        <v>1454.9999999999993</v>
      </c>
      <c r="W71" s="405">
        <v>242.49999999999989</v>
      </c>
      <c r="X71" s="404">
        <f t="shared" si="44"/>
        <v>2</v>
      </c>
      <c r="Y71" s="538"/>
      <c r="Z71" s="404">
        <v>6</v>
      </c>
      <c r="AA71" s="182">
        <v>1484.1818181818176</v>
      </c>
      <c r="AB71" s="405">
        <v>247.36363636363626</v>
      </c>
      <c r="AC71" s="404">
        <f t="shared" si="46"/>
        <v>2</v>
      </c>
      <c r="AD71" s="538"/>
      <c r="AE71" s="404">
        <v>6</v>
      </c>
      <c r="AF71" s="182">
        <v>1474.838709677419</v>
      </c>
      <c r="AG71" s="405">
        <v>245.80645161290317</v>
      </c>
      <c r="AH71" s="404">
        <f t="shared" si="48"/>
        <v>1</v>
      </c>
      <c r="AI71" s="538"/>
      <c r="AJ71" s="404">
        <v>6</v>
      </c>
      <c r="AK71" s="182">
        <v>1486.8749999999998</v>
      </c>
      <c r="AL71" s="405">
        <v>247.81249999999997</v>
      </c>
      <c r="AM71" s="404">
        <f t="shared" si="50"/>
        <v>2</v>
      </c>
      <c r="AN71" s="538"/>
      <c r="AO71" s="404">
        <v>6</v>
      </c>
      <c r="AP71" s="182">
        <v>1498.4615384615381</v>
      </c>
      <c r="AQ71" s="405">
        <v>249.74358974358969</v>
      </c>
      <c r="AR71" s="404">
        <f t="shared" si="52"/>
        <v>1</v>
      </c>
      <c r="AS71" s="538"/>
      <c r="AT71" s="404">
        <v>6</v>
      </c>
      <c r="AU71" s="182">
        <v>1478.1818181818176</v>
      </c>
      <c r="AV71" s="405">
        <v>246.36363636363626</v>
      </c>
      <c r="AW71" s="404">
        <f t="shared" si="54"/>
        <v>2</v>
      </c>
      <c r="AX71" s="534"/>
    </row>
    <row r="72" spans="2:50">
      <c r="B72" s="533"/>
      <c r="C72" s="404">
        <v>6</v>
      </c>
      <c r="D72" s="226" t="s">
        <v>484</v>
      </c>
      <c r="E72" s="182">
        <v>19</v>
      </c>
      <c r="F72" s="404">
        <v>1440</v>
      </c>
      <c r="G72" s="405">
        <v>75.8</v>
      </c>
      <c r="H72" s="598"/>
      <c r="I72" s="408">
        <f t="shared" si="43"/>
        <v>18</v>
      </c>
      <c r="J72" s="408">
        <f t="shared" si="43"/>
        <v>1271.2582870940255</v>
      </c>
      <c r="K72" s="406">
        <f t="shared" si="43"/>
        <v>70.625460394112523</v>
      </c>
      <c r="L72" s="588"/>
      <c r="M72" s="407">
        <f>RANK(K72, K$67:$K$81)</f>
        <v>5</v>
      </c>
      <c r="N72" s="544"/>
      <c r="O72" s="544"/>
      <c r="P72" s="404">
        <v>18</v>
      </c>
      <c r="Q72" s="182">
        <v>1295.6521739130435</v>
      </c>
      <c r="R72" s="405">
        <v>71.980676328502412</v>
      </c>
      <c r="S72" s="404">
        <f t="shared" si="56"/>
        <v>5</v>
      </c>
      <c r="T72" s="538"/>
      <c r="U72" s="404">
        <v>18</v>
      </c>
      <c r="V72" s="182">
        <v>1256.6197183098595</v>
      </c>
      <c r="W72" s="405">
        <v>69.812206572769981</v>
      </c>
      <c r="X72" s="404">
        <f t="shared" si="44"/>
        <v>6</v>
      </c>
      <c r="Y72" s="538"/>
      <c r="Z72" s="404">
        <v>18</v>
      </c>
      <c r="AA72" s="182">
        <v>1255.0684931506851</v>
      </c>
      <c r="AB72" s="405">
        <v>69.726027397260282</v>
      </c>
      <c r="AC72" s="404">
        <f t="shared" si="46"/>
        <v>5</v>
      </c>
      <c r="AD72" s="538"/>
      <c r="AE72" s="404">
        <v>18</v>
      </c>
      <c r="AF72" s="182">
        <v>1258.9473684210518</v>
      </c>
      <c r="AG72" s="405">
        <v>69.941520467836213</v>
      </c>
      <c r="AH72" s="404">
        <f t="shared" si="48"/>
        <v>5</v>
      </c>
      <c r="AI72" s="538"/>
      <c r="AJ72" s="404">
        <v>18</v>
      </c>
      <c r="AK72" s="182">
        <v>1265.7142857142856</v>
      </c>
      <c r="AL72" s="405">
        <v>70.317460317460302</v>
      </c>
      <c r="AM72" s="404">
        <f t="shared" si="50"/>
        <v>5</v>
      </c>
      <c r="AN72" s="538"/>
      <c r="AO72" s="404">
        <v>18</v>
      </c>
      <c r="AP72" s="182">
        <v>1287.9999999999995</v>
      </c>
      <c r="AQ72" s="405">
        <v>71.555555555555529</v>
      </c>
      <c r="AR72" s="404">
        <f t="shared" si="52"/>
        <v>4</v>
      </c>
      <c r="AS72" s="538"/>
      <c r="AT72" s="404">
        <v>18</v>
      </c>
      <c r="AU72" s="182">
        <v>1278.8059701492537</v>
      </c>
      <c r="AV72" s="405">
        <v>71.044776119402982</v>
      </c>
      <c r="AW72" s="404">
        <f t="shared" si="54"/>
        <v>5</v>
      </c>
      <c r="AX72" s="534"/>
    </row>
    <row r="73" spans="2:50">
      <c r="B73" s="533"/>
      <c r="C73" s="404">
        <v>7</v>
      </c>
      <c r="D73" s="226" t="s">
        <v>501</v>
      </c>
      <c r="E73" s="182">
        <v>21</v>
      </c>
      <c r="F73" s="404">
        <v>1385</v>
      </c>
      <c r="G73" s="405">
        <v>65.900000000000006</v>
      </c>
      <c r="H73" s="598"/>
      <c r="I73" s="408">
        <f t="shared" si="43"/>
        <v>20</v>
      </c>
      <c r="J73" s="408">
        <f t="shared" si="43"/>
        <v>1154.8285328442644</v>
      </c>
      <c r="K73" s="406">
        <f t="shared" si="43"/>
        <v>57.74142664221322</v>
      </c>
      <c r="L73" s="588"/>
      <c r="M73" s="407">
        <f>RANK(K73, K$67:$K$81)</f>
        <v>7</v>
      </c>
      <c r="N73" s="544"/>
      <c r="O73" s="544"/>
      <c r="P73" s="404">
        <v>20</v>
      </c>
      <c r="Q73" s="182">
        <v>1167.2727272727273</v>
      </c>
      <c r="R73" s="405">
        <v>58.36363636363636</v>
      </c>
      <c r="S73" s="404">
        <f t="shared" si="56"/>
        <v>8</v>
      </c>
      <c r="T73" s="538"/>
      <c r="U73" s="404">
        <v>20</v>
      </c>
      <c r="V73" s="182">
        <v>1150.6666666666665</v>
      </c>
      <c r="W73" s="405">
        <v>57.533333333333324</v>
      </c>
      <c r="X73" s="404">
        <f t="shared" si="44"/>
        <v>8</v>
      </c>
      <c r="Y73" s="538"/>
      <c r="Z73" s="404">
        <v>20</v>
      </c>
      <c r="AA73" s="182">
        <v>1124.6511627906975</v>
      </c>
      <c r="AB73" s="405">
        <v>56.232558139534873</v>
      </c>
      <c r="AC73" s="404">
        <f t="shared" si="46"/>
        <v>8</v>
      </c>
      <c r="AD73" s="538"/>
      <c r="AE73" s="404">
        <v>20</v>
      </c>
      <c r="AF73" s="182">
        <v>1147.0588235294103</v>
      </c>
      <c r="AG73" s="405">
        <v>57.352941176470516</v>
      </c>
      <c r="AH73" s="404">
        <f t="shared" si="48"/>
        <v>7</v>
      </c>
      <c r="AI73" s="538"/>
      <c r="AJ73" s="404">
        <v>20</v>
      </c>
      <c r="AK73" s="182">
        <v>1144.4999999999995</v>
      </c>
      <c r="AL73" s="405">
        <v>57.22499999999998</v>
      </c>
      <c r="AM73" s="404">
        <f t="shared" si="50"/>
        <v>8</v>
      </c>
      <c r="AN73" s="538"/>
      <c r="AO73" s="404">
        <v>20</v>
      </c>
      <c r="AP73" s="182">
        <v>1176.9230769230765</v>
      </c>
      <c r="AQ73" s="405">
        <v>58.846153846153825</v>
      </c>
      <c r="AR73" s="404">
        <f t="shared" si="52"/>
        <v>7</v>
      </c>
      <c r="AS73" s="538"/>
      <c r="AT73" s="404">
        <v>20</v>
      </c>
      <c r="AU73" s="182">
        <v>1172.7272727272727</v>
      </c>
      <c r="AV73" s="405">
        <v>58.63636363636364</v>
      </c>
      <c r="AW73" s="404">
        <f t="shared" si="54"/>
        <v>8</v>
      </c>
      <c r="AX73" s="534"/>
    </row>
    <row r="74" spans="2:50">
      <c r="B74" s="533"/>
      <c r="C74" s="404">
        <v>8</v>
      </c>
      <c r="D74" s="226" t="s">
        <v>583</v>
      </c>
      <c r="E74" s="182">
        <v>21</v>
      </c>
      <c r="F74" s="404">
        <v>1385</v>
      </c>
      <c r="G74" s="405">
        <v>65.900000000000006</v>
      </c>
      <c r="H74" s="598"/>
      <c r="I74" s="408">
        <f t="shared" si="43"/>
        <v>20</v>
      </c>
      <c r="J74" s="408">
        <f t="shared" si="43"/>
        <v>1142.2507296244855</v>
      </c>
      <c r="K74" s="406">
        <f t="shared" si="43"/>
        <v>57.112536481224289</v>
      </c>
      <c r="L74" s="588"/>
      <c r="M74" s="407">
        <f>RANK(K74, K$67:$K$81)</f>
        <v>8</v>
      </c>
      <c r="N74" s="544"/>
      <c r="O74" s="544"/>
      <c r="P74" s="404">
        <v>20</v>
      </c>
      <c r="Q74" s="182">
        <v>1169.9999999999995</v>
      </c>
      <c r="R74" s="405">
        <v>58.499999999999979</v>
      </c>
      <c r="S74" s="404">
        <f t="shared" si="56"/>
        <v>7</v>
      </c>
      <c r="T74" s="538"/>
      <c r="U74" s="404">
        <v>20</v>
      </c>
      <c r="V74" s="182">
        <v>1166.1538461538455</v>
      </c>
      <c r="W74" s="405">
        <v>58.307692307692278</v>
      </c>
      <c r="X74" s="404">
        <f t="shared" si="44"/>
        <v>7</v>
      </c>
      <c r="Y74" s="538"/>
      <c r="Z74" s="404">
        <v>20</v>
      </c>
      <c r="AA74" s="182">
        <v>1163.6842105263149</v>
      </c>
      <c r="AB74" s="405">
        <v>58.184210526315745</v>
      </c>
      <c r="AC74" s="404">
        <f t="shared" si="46"/>
        <v>7</v>
      </c>
      <c r="AD74" s="538"/>
      <c r="AE74" s="404">
        <v>20</v>
      </c>
      <c r="AF74" s="182">
        <v>1014.8571428571418</v>
      </c>
      <c r="AG74" s="405">
        <v>50.74285714285709</v>
      </c>
      <c r="AH74" s="404">
        <f t="shared" si="48"/>
        <v>8</v>
      </c>
      <c r="AI74" s="538"/>
      <c r="AJ74" s="404">
        <v>20</v>
      </c>
      <c r="AK74" s="182">
        <v>1176.7741935483853</v>
      </c>
      <c r="AL74" s="405">
        <v>58.83870967741926</v>
      </c>
      <c r="AM74" s="404">
        <f t="shared" si="50"/>
        <v>7</v>
      </c>
      <c r="AN74" s="538"/>
      <c r="AO74" s="404">
        <v>20</v>
      </c>
      <c r="AP74" s="182">
        <v>1129.9999999999991</v>
      </c>
      <c r="AQ74" s="405">
        <v>56.499999999999957</v>
      </c>
      <c r="AR74" s="404">
        <f t="shared" si="52"/>
        <v>8</v>
      </c>
      <c r="AS74" s="538"/>
      <c r="AT74" s="404">
        <v>20</v>
      </c>
      <c r="AU74" s="182">
        <v>1174.2857142857131</v>
      </c>
      <c r="AV74" s="405">
        <v>58.714285714285651</v>
      </c>
      <c r="AW74" s="404">
        <f t="shared" si="54"/>
        <v>7</v>
      </c>
      <c r="AX74" s="534"/>
    </row>
    <row r="75" spans="2:50">
      <c r="B75" s="533"/>
      <c r="C75" s="404">
        <v>9</v>
      </c>
      <c r="D75" s="226"/>
      <c r="E75" s="182"/>
      <c r="F75" s="404"/>
      <c r="G75" s="405"/>
      <c r="H75" s="598"/>
      <c r="I75" s="408"/>
      <c r="J75" s="408"/>
      <c r="K75" s="406"/>
      <c r="L75" s="588"/>
      <c r="M75" s="407" t="e">
        <f>RANK(K75, K$67:$K$81)</f>
        <v>#N/A</v>
      </c>
      <c r="N75" s="544"/>
      <c r="O75" s="544"/>
      <c r="P75" s="404"/>
      <c r="Q75" s="182"/>
      <c r="R75" s="405"/>
      <c r="S75" s="404" t="e">
        <f t="shared" si="56"/>
        <v>#N/A</v>
      </c>
      <c r="T75" s="538"/>
      <c r="U75" s="404"/>
      <c r="V75" s="182"/>
      <c r="W75" s="405"/>
      <c r="X75" s="404" t="e">
        <f t="shared" si="44"/>
        <v>#N/A</v>
      </c>
      <c r="Y75" s="538"/>
      <c r="Z75" s="404"/>
      <c r="AA75" s="182"/>
      <c r="AB75" s="405"/>
      <c r="AC75" s="404" t="e">
        <f t="shared" si="46"/>
        <v>#N/A</v>
      </c>
      <c r="AD75" s="538"/>
      <c r="AE75" s="404"/>
      <c r="AF75" s="182"/>
      <c r="AG75" s="405"/>
      <c r="AH75" s="404" t="e">
        <f t="shared" si="48"/>
        <v>#N/A</v>
      </c>
      <c r="AI75" s="538"/>
      <c r="AJ75" s="404"/>
      <c r="AK75" s="182"/>
      <c r="AL75" s="405"/>
      <c r="AM75" s="404" t="e">
        <f t="shared" si="50"/>
        <v>#N/A</v>
      </c>
      <c r="AN75" s="538"/>
      <c r="AO75" s="404"/>
      <c r="AP75" s="182"/>
      <c r="AQ75" s="405"/>
      <c r="AR75" s="404" t="e">
        <f t="shared" si="52"/>
        <v>#N/A</v>
      </c>
      <c r="AS75" s="538"/>
      <c r="AT75" s="404"/>
      <c r="AU75" s="182"/>
      <c r="AV75" s="405"/>
      <c r="AW75" s="404" t="e">
        <f t="shared" si="54"/>
        <v>#N/A</v>
      </c>
      <c r="AX75" s="534"/>
    </row>
    <row r="76" spans="2:50">
      <c r="B76" s="533"/>
      <c r="C76" s="404">
        <v>10</v>
      </c>
      <c r="D76" s="226"/>
      <c r="E76" s="182"/>
      <c r="F76" s="404"/>
      <c r="G76" s="405"/>
      <c r="H76" s="598"/>
      <c r="I76" s="408"/>
      <c r="J76" s="408"/>
      <c r="K76" s="406"/>
      <c r="L76" s="588"/>
      <c r="M76" s="407" t="e">
        <f>RANK(K76, K$67:$K$81)</f>
        <v>#N/A</v>
      </c>
      <c r="N76" s="544"/>
      <c r="O76" s="544"/>
      <c r="P76" s="404"/>
      <c r="Q76" s="182"/>
      <c r="R76" s="405"/>
      <c r="S76" s="404" t="e">
        <f t="shared" si="56"/>
        <v>#N/A</v>
      </c>
      <c r="T76" s="538"/>
      <c r="U76" s="404"/>
      <c r="V76" s="182"/>
      <c r="W76" s="405"/>
      <c r="X76" s="404" t="e">
        <f t="shared" si="44"/>
        <v>#N/A</v>
      </c>
      <c r="Y76" s="538"/>
      <c r="Z76" s="404"/>
      <c r="AA76" s="182"/>
      <c r="AB76" s="405"/>
      <c r="AC76" s="404" t="e">
        <f t="shared" si="46"/>
        <v>#N/A</v>
      </c>
      <c r="AD76" s="538"/>
      <c r="AE76" s="404"/>
      <c r="AF76" s="182"/>
      <c r="AG76" s="405"/>
      <c r="AH76" s="404" t="e">
        <f t="shared" si="48"/>
        <v>#N/A</v>
      </c>
      <c r="AI76" s="538"/>
      <c r="AJ76" s="404"/>
      <c r="AK76" s="182"/>
      <c r="AL76" s="405"/>
      <c r="AM76" s="404" t="e">
        <f t="shared" si="50"/>
        <v>#N/A</v>
      </c>
      <c r="AN76" s="538"/>
      <c r="AO76" s="404"/>
      <c r="AP76" s="182"/>
      <c r="AQ76" s="405"/>
      <c r="AR76" s="404" t="e">
        <f t="shared" si="52"/>
        <v>#N/A</v>
      </c>
      <c r="AS76" s="538"/>
      <c r="AT76" s="404"/>
      <c r="AU76" s="182"/>
      <c r="AV76" s="405"/>
      <c r="AW76" s="404" t="e">
        <f t="shared" si="54"/>
        <v>#N/A</v>
      </c>
      <c r="AX76" s="534"/>
    </row>
    <row r="77" spans="2:50">
      <c r="B77" s="533"/>
      <c r="C77" s="404">
        <v>11</v>
      </c>
      <c r="D77" s="226"/>
      <c r="E77" s="182"/>
      <c r="F77" s="404"/>
      <c r="G77" s="405"/>
      <c r="H77" s="598"/>
      <c r="I77" s="408"/>
      <c r="J77" s="408"/>
      <c r="K77" s="406"/>
      <c r="L77" s="588"/>
      <c r="M77" s="407" t="e">
        <f>RANK(K77, K$67:$K$81)</f>
        <v>#N/A</v>
      </c>
      <c r="N77" s="544"/>
      <c r="O77" s="544"/>
      <c r="P77" s="404"/>
      <c r="Q77" s="182"/>
      <c r="R77" s="405"/>
      <c r="S77" s="404" t="e">
        <f t="shared" si="56"/>
        <v>#N/A</v>
      </c>
      <c r="T77" s="538"/>
      <c r="U77" s="404"/>
      <c r="V77" s="182"/>
      <c r="W77" s="405"/>
      <c r="X77" s="404" t="e">
        <f t="shared" si="44"/>
        <v>#N/A</v>
      </c>
      <c r="Y77" s="538"/>
      <c r="Z77" s="404"/>
      <c r="AA77" s="182"/>
      <c r="AB77" s="405"/>
      <c r="AC77" s="404" t="e">
        <f t="shared" si="46"/>
        <v>#N/A</v>
      </c>
      <c r="AD77" s="538"/>
      <c r="AE77" s="404"/>
      <c r="AF77" s="182"/>
      <c r="AG77" s="405"/>
      <c r="AH77" s="404" t="e">
        <f t="shared" si="48"/>
        <v>#N/A</v>
      </c>
      <c r="AI77" s="538"/>
      <c r="AJ77" s="404"/>
      <c r="AK77" s="182"/>
      <c r="AL77" s="405"/>
      <c r="AM77" s="404" t="e">
        <f t="shared" si="50"/>
        <v>#N/A</v>
      </c>
      <c r="AN77" s="538"/>
      <c r="AO77" s="404"/>
      <c r="AP77" s="182"/>
      <c r="AQ77" s="405"/>
      <c r="AR77" s="404" t="e">
        <f t="shared" si="52"/>
        <v>#N/A</v>
      </c>
      <c r="AS77" s="538"/>
      <c r="AT77" s="404"/>
      <c r="AU77" s="182"/>
      <c r="AV77" s="405"/>
      <c r="AW77" s="404" t="e">
        <f t="shared" si="54"/>
        <v>#N/A</v>
      </c>
      <c r="AX77" s="534"/>
    </row>
    <row r="78" spans="2:50">
      <c r="B78" s="533"/>
      <c r="C78" s="404">
        <v>12</v>
      </c>
      <c r="D78" s="226"/>
      <c r="E78" s="182"/>
      <c r="F78" s="404"/>
      <c r="G78" s="405"/>
      <c r="H78" s="598"/>
      <c r="I78" s="408"/>
      <c r="J78" s="408"/>
      <c r="K78" s="406"/>
      <c r="L78" s="588"/>
      <c r="M78" s="407" t="e">
        <f>RANK(K78, K$67:$K$81)</f>
        <v>#N/A</v>
      </c>
      <c r="N78" s="544"/>
      <c r="O78" s="544"/>
      <c r="P78" s="404"/>
      <c r="Q78" s="182"/>
      <c r="R78" s="405"/>
      <c r="S78" s="404" t="e">
        <f t="shared" si="56"/>
        <v>#N/A</v>
      </c>
      <c r="T78" s="538"/>
      <c r="U78" s="404"/>
      <c r="V78" s="182"/>
      <c r="W78" s="405"/>
      <c r="X78" s="404" t="e">
        <f t="shared" si="44"/>
        <v>#N/A</v>
      </c>
      <c r="Y78" s="538"/>
      <c r="Z78" s="404"/>
      <c r="AA78" s="182"/>
      <c r="AB78" s="405"/>
      <c r="AC78" s="404" t="e">
        <f t="shared" si="46"/>
        <v>#N/A</v>
      </c>
      <c r="AD78" s="538"/>
      <c r="AE78" s="404"/>
      <c r="AF78" s="182"/>
      <c r="AG78" s="405"/>
      <c r="AH78" s="404" t="e">
        <f t="shared" si="48"/>
        <v>#N/A</v>
      </c>
      <c r="AI78" s="538"/>
      <c r="AJ78" s="404"/>
      <c r="AK78" s="182"/>
      <c r="AL78" s="405"/>
      <c r="AM78" s="404" t="e">
        <f t="shared" si="50"/>
        <v>#N/A</v>
      </c>
      <c r="AN78" s="538"/>
      <c r="AO78" s="404"/>
      <c r="AP78" s="182"/>
      <c r="AQ78" s="405"/>
      <c r="AR78" s="404" t="e">
        <f t="shared" si="52"/>
        <v>#N/A</v>
      </c>
      <c r="AS78" s="538"/>
      <c r="AT78" s="404"/>
      <c r="AU78" s="182"/>
      <c r="AV78" s="405"/>
      <c r="AW78" s="404" t="e">
        <f t="shared" si="54"/>
        <v>#N/A</v>
      </c>
      <c r="AX78" s="534"/>
    </row>
    <row r="79" spans="2:50">
      <c r="B79" s="533"/>
      <c r="C79" s="404">
        <v>13</v>
      </c>
      <c r="D79" s="226"/>
      <c r="E79" s="182"/>
      <c r="F79" s="404"/>
      <c r="G79" s="405"/>
      <c r="H79" s="598"/>
      <c r="I79" s="408"/>
      <c r="J79" s="408"/>
      <c r="K79" s="406"/>
      <c r="L79" s="588"/>
      <c r="M79" s="407" t="e">
        <f>RANK(K79, K$67:$K$81)</f>
        <v>#N/A</v>
      </c>
      <c r="N79" s="544"/>
      <c r="O79" s="544"/>
      <c r="P79" s="404"/>
      <c r="Q79" s="182"/>
      <c r="R79" s="405"/>
      <c r="S79" s="404" t="e">
        <f t="shared" si="56"/>
        <v>#N/A</v>
      </c>
      <c r="T79" s="538"/>
      <c r="U79" s="404"/>
      <c r="V79" s="182"/>
      <c r="W79" s="405"/>
      <c r="X79" s="404" t="e">
        <f t="shared" si="44"/>
        <v>#N/A</v>
      </c>
      <c r="Y79" s="538"/>
      <c r="Z79" s="404"/>
      <c r="AA79" s="182"/>
      <c r="AB79" s="405"/>
      <c r="AC79" s="404" t="e">
        <f t="shared" si="46"/>
        <v>#N/A</v>
      </c>
      <c r="AD79" s="538"/>
      <c r="AE79" s="404"/>
      <c r="AF79" s="182"/>
      <c r="AG79" s="405"/>
      <c r="AH79" s="404" t="e">
        <f t="shared" si="48"/>
        <v>#N/A</v>
      </c>
      <c r="AI79" s="538"/>
      <c r="AJ79" s="404"/>
      <c r="AK79" s="182"/>
      <c r="AL79" s="405"/>
      <c r="AM79" s="404" t="e">
        <f t="shared" si="50"/>
        <v>#N/A</v>
      </c>
      <c r="AN79" s="538"/>
      <c r="AO79" s="404"/>
      <c r="AP79" s="182"/>
      <c r="AQ79" s="405"/>
      <c r="AR79" s="404" t="e">
        <f t="shared" si="52"/>
        <v>#N/A</v>
      </c>
      <c r="AS79" s="538"/>
      <c r="AT79" s="404"/>
      <c r="AU79" s="182"/>
      <c r="AV79" s="405"/>
      <c r="AW79" s="404" t="e">
        <f t="shared" si="54"/>
        <v>#N/A</v>
      </c>
      <c r="AX79" s="534"/>
    </row>
    <row r="80" spans="2:50">
      <c r="B80" s="533"/>
      <c r="C80" s="404">
        <v>14</v>
      </c>
      <c r="D80" s="226"/>
      <c r="E80" s="182"/>
      <c r="F80" s="404"/>
      <c r="G80" s="405"/>
      <c r="H80" s="598"/>
      <c r="I80" s="408"/>
      <c r="J80" s="408"/>
      <c r="K80" s="406"/>
      <c r="L80" s="588"/>
      <c r="M80" s="407" t="e">
        <f>RANK(K80, K$67:$K$81)</f>
        <v>#N/A</v>
      </c>
      <c r="N80" s="544"/>
      <c r="O80" s="544"/>
      <c r="P80" s="404"/>
      <c r="Q80" s="182"/>
      <c r="R80" s="405"/>
      <c r="S80" s="404" t="e">
        <f t="shared" si="56"/>
        <v>#N/A</v>
      </c>
      <c r="T80" s="538"/>
      <c r="U80" s="404"/>
      <c r="V80" s="182"/>
      <c r="W80" s="405"/>
      <c r="X80" s="404" t="e">
        <f t="shared" si="44"/>
        <v>#N/A</v>
      </c>
      <c r="Y80" s="538"/>
      <c r="Z80" s="404"/>
      <c r="AA80" s="182"/>
      <c r="AB80" s="405"/>
      <c r="AC80" s="404" t="e">
        <f t="shared" si="46"/>
        <v>#N/A</v>
      </c>
      <c r="AD80" s="538"/>
      <c r="AE80" s="404"/>
      <c r="AF80" s="182"/>
      <c r="AG80" s="405"/>
      <c r="AH80" s="404" t="e">
        <f t="shared" si="48"/>
        <v>#N/A</v>
      </c>
      <c r="AI80" s="538"/>
      <c r="AJ80" s="404"/>
      <c r="AK80" s="182"/>
      <c r="AL80" s="405"/>
      <c r="AM80" s="404" t="e">
        <f t="shared" si="50"/>
        <v>#N/A</v>
      </c>
      <c r="AN80" s="538"/>
      <c r="AO80" s="404"/>
      <c r="AP80" s="182"/>
      <c r="AQ80" s="405"/>
      <c r="AR80" s="404" t="e">
        <f t="shared" si="52"/>
        <v>#N/A</v>
      </c>
      <c r="AS80" s="538"/>
      <c r="AT80" s="404"/>
      <c r="AU80" s="182"/>
      <c r="AV80" s="405"/>
      <c r="AW80" s="404" t="e">
        <f t="shared" si="54"/>
        <v>#N/A</v>
      </c>
      <c r="AX80" s="534"/>
    </row>
    <row r="81" spans="2:50">
      <c r="B81" s="533"/>
      <c r="C81" s="404">
        <v>15</v>
      </c>
      <c r="D81" s="226"/>
      <c r="E81" s="182"/>
      <c r="F81" s="404"/>
      <c r="G81" s="405"/>
      <c r="H81" s="599"/>
      <c r="I81" s="408"/>
      <c r="J81" s="408"/>
      <c r="K81" s="406"/>
      <c r="L81" s="589"/>
      <c r="M81" s="407" t="e">
        <f>RANK(K81, K$67:$K$81)</f>
        <v>#N/A</v>
      </c>
      <c r="N81" s="544"/>
      <c r="O81" s="544"/>
      <c r="P81" s="404"/>
      <c r="Q81" s="182"/>
      <c r="R81" s="405"/>
      <c r="S81" s="404" t="e">
        <f t="shared" si="56"/>
        <v>#N/A</v>
      </c>
      <c r="T81" s="539"/>
      <c r="U81" s="404"/>
      <c r="V81" s="182"/>
      <c r="W81" s="405"/>
      <c r="X81" s="404" t="e">
        <f t="shared" si="44"/>
        <v>#N/A</v>
      </c>
      <c r="Y81" s="539"/>
      <c r="Z81" s="404"/>
      <c r="AA81" s="182"/>
      <c r="AB81" s="405"/>
      <c r="AC81" s="404" t="e">
        <f t="shared" si="46"/>
        <v>#N/A</v>
      </c>
      <c r="AD81" s="539"/>
      <c r="AE81" s="404"/>
      <c r="AF81" s="182"/>
      <c r="AG81" s="405"/>
      <c r="AH81" s="404" t="e">
        <f t="shared" si="48"/>
        <v>#N/A</v>
      </c>
      <c r="AI81" s="539"/>
      <c r="AJ81" s="404"/>
      <c r="AK81" s="182"/>
      <c r="AL81" s="405"/>
      <c r="AM81" s="404" t="e">
        <f t="shared" si="50"/>
        <v>#N/A</v>
      </c>
      <c r="AN81" s="539"/>
      <c r="AO81" s="404"/>
      <c r="AP81" s="182"/>
      <c r="AQ81" s="405"/>
      <c r="AR81" s="404" t="e">
        <f t="shared" si="52"/>
        <v>#N/A</v>
      </c>
      <c r="AS81" s="539"/>
      <c r="AT81" s="404"/>
      <c r="AU81" s="182"/>
      <c r="AV81" s="405"/>
      <c r="AW81" s="404" t="e">
        <f t="shared" si="54"/>
        <v>#N/A</v>
      </c>
      <c r="AX81" s="534"/>
    </row>
    <row r="82" spans="2:50" ht="15.5">
      <c r="B82" s="555" t="s">
        <v>704</v>
      </c>
      <c r="C82" s="556"/>
      <c r="D82" s="556"/>
      <c r="E82" s="556"/>
      <c r="F82" s="556"/>
      <c r="G82" s="556"/>
      <c r="H82" s="557"/>
      <c r="I82" s="208"/>
      <c r="J82" s="208"/>
      <c r="K82" s="208"/>
      <c r="L82" s="208"/>
      <c r="M82" s="207"/>
      <c r="N82" s="559" t="s">
        <v>705</v>
      </c>
      <c r="O82" s="559" t="s">
        <v>706</v>
      </c>
      <c r="P82" s="554">
        <f>P62+7</f>
        <v>46014</v>
      </c>
      <c r="Q82" s="533"/>
      <c r="R82" s="533"/>
      <c r="S82" s="533"/>
      <c r="T82" s="533"/>
      <c r="U82" s="551">
        <f>P82+1</f>
        <v>46015</v>
      </c>
      <c r="V82" s="552"/>
      <c r="W82" s="552"/>
      <c r="X82" s="552"/>
      <c r="Y82" s="553"/>
      <c r="Z82" s="551">
        <f>U82+1</f>
        <v>46016</v>
      </c>
      <c r="AA82" s="552"/>
      <c r="AB82" s="552"/>
      <c r="AC82" s="552"/>
      <c r="AD82" s="553"/>
      <c r="AE82" s="551">
        <f>Z82+1</f>
        <v>46017</v>
      </c>
      <c r="AF82" s="552"/>
      <c r="AG82" s="552"/>
      <c r="AH82" s="552"/>
      <c r="AI82" s="553"/>
      <c r="AJ82" s="551">
        <f>AE82+1</f>
        <v>46018</v>
      </c>
      <c r="AK82" s="552"/>
      <c r="AL82" s="552"/>
      <c r="AM82" s="552"/>
      <c r="AN82" s="553"/>
      <c r="AO82" s="551">
        <f>AJ82+1</f>
        <v>46019</v>
      </c>
      <c r="AP82" s="552"/>
      <c r="AQ82" s="552"/>
      <c r="AR82" s="552"/>
      <c r="AS82" s="553"/>
      <c r="AT82" s="551">
        <f>AO82+1</f>
        <v>46020</v>
      </c>
      <c r="AU82" s="552"/>
      <c r="AV82" s="552"/>
      <c r="AW82" s="552"/>
      <c r="AX82" s="553"/>
    </row>
    <row r="83" spans="2:50" ht="15.5">
      <c r="B83" s="558"/>
      <c r="C83" s="558"/>
      <c r="D83" s="558"/>
      <c r="E83" s="558"/>
      <c r="F83" s="558"/>
      <c r="G83" s="558"/>
      <c r="H83" s="558"/>
      <c r="I83" s="205"/>
      <c r="J83" s="205"/>
      <c r="K83" s="205"/>
      <c r="L83" s="205"/>
      <c r="M83" s="206"/>
      <c r="N83" s="560"/>
      <c r="O83" s="560"/>
      <c r="P83" s="554" t="s">
        <v>707</v>
      </c>
      <c r="Q83" s="533"/>
      <c r="R83" s="533"/>
      <c r="S83" s="533"/>
      <c r="T83" s="533"/>
      <c r="U83" s="554" t="s">
        <v>708</v>
      </c>
      <c r="V83" s="533"/>
      <c r="W83" s="533"/>
      <c r="X83" s="533"/>
      <c r="Y83" s="533"/>
      <c r="Z83" s="554" t="s">
        <v>709</v>
      </c>
      <c r="AA83" s="533"/>
      <c r="AB83" s="533"/>
      <c r="AC83" s="533"/>
      <c r="AD83" s="533"/>
      <c r="AE83" s="554" t="s">
        <v>710</v>
      </c>
      <c r="AF83" s="533"/>
      <c r="AG83" s="533"/>
      <c r="AH83" s="533"/>
      <c r="AI83" s="533"/>
      <c r="AJ83" s="554" t="s">
        <v>711</v>
      </c>
      <c r="AK83" s="533"/>
      <c r="AL83" s="533"/>
      <c r="AM83" s="533"/>
      <c r="AN83" s="533"/>
      <c r="AO83" s="554" t="s">
        <v>712</v>
      </c>
      <c r="AP83" s="533"/>
      <c r="AQ83" s="533"/>
      <c r="AR83" s="533"/>
      <c r="AS83" s="533"/>
      <c r="AT83" s="554" t="s">
        <v>713</v>
      </c>
      <c r="AU83" s="533"/>
      <c r="AV83" s="533"/>
      <c r="AW83" s="533"/>
      <c r="AX83" s="533"/>
    </row>
    <row r="84" spans="2:50">
      <c r="B84" s="544" t="s">
        <v>649</v>
      </c>
      <c r="C84" s="544" t="s">
        <v>650</v>
      </c>
      <c r="D84" s="544"/>
      <c r="E84" s="544" t="s">
        <v>651</v>
      </c>
      <c r="F84" s="544"/>
      <c r="G84" s="544"/>
      <c r="H84" s="561" t="s">
        <v>652</v>
      </c>
      <c r="I84" s="583" t="s">
        <v>653</v>
      </c>
      <c r="J84" s="583"/>
      <c r="K84" s="583"/>
      <c r="L84" s="584" t="s">
        <v>652</v>
      </c>
      <c r="M84" s="567" t="s">
        <v>654</v>
      </c>
      <c r="N84" s="544"/>
      <c r="O84" s="544" t="s">
        <v>655</v>
      </c>
      <c r="P84" s="548" t="s">
        <v>656</v>
      </c>
      <c r="Q84" s="549"/>
      <c r="R84" s="549"/>
      <c r="S84" s="550"/>
      <c r="T84" s="544" t="s">
        <v>652</v>
      </c>
      <c r="U84" s="548" t="s">
        <v>656</v>
      </c>
      <c r="V84" s="549"/>
      <c r="W84" s="549"/>
      <c r="X84" s="550"/>
      <c r="Y84" s="544" t="s">
        <v>652</v>
      </c>
      <c r="Z84" s="548" t="s">
        <v>656</v>
      </c>
      <c r="AA84" s="549"/>
      <c r="AB84" s="549"/>
      <c r="AC84" s="550"/>
      <c r="AD84" s="544" t="s">
        <v>652</v>
      </c>
      <c r="AE84" s="548" t="s">
        <v>656</v>
      </c>
      <c r="AF84" s="549"/>
      <c r="AG84" s="549"/>
      <c r="AH84" s="550"/>
      <c r="AI84" s="544" t="s">
        <v>652</v>
      </c>
      <c r="AJ84" s="548" t="s">
        <v>656</v>
      </c>
      <c r="AK84" s="549"/>
      <c r="AL84" s="549"/>
      <c r="AM84" s="550"/>
      <c r="AN84" s="544" t="s">
        <v>652</v>
      </c>
      <c r="AO84" s="548" t="s">
        <v>656</v>
      </c>
      <c r="AP84" s="549"/>
      <c r="AQ84" s="549"/>
      <c r="AR84" s="550"/>
      <c r="AS84" s="544" t="s">
        <v>652</v>
      </c>
      <c r="AT84" s="548" t="s">
        <v>656</v>
      </c>
      <c r="AU84" s="549"/>
      <c r="AV84" s="549"/>
      <c r="AW84" s="550"/>
      <c r="AX84" s="544" t="s">
        <v>652</v>
      </c>
    </row>
    <row r="85" spans="2:50">
      <c r="B85" s="544"/>
      <c r="C85" s="544"/>
      <c r="D85" s="544"/>
      <c r="E85" s="544" t="s">
        <v>657</v>
      </c>
      <c r="F85" s="544"/>
      <c r="G85" s="544"/>
      <c r="H85" s="562"/>
      <c r="I85" s="583" t="s">
        <v>657</v>
      </c>
      <c r="J85" s="583"/>
      <c r="K85" s="583"/>
      <c r="L85" s="585"/>
      <c r="M85" s="568"/>
      <c r="N85" s="544"/>
      <c r="O85" s="544"/>
      <c r="P85" s="548" t="s">
        <v>658</v>
      </c>
      <c r="Q85" s="549"/>
      <c r="R85" s="549"/>
      <c r="S85" s="550"/>
      <c r="T85" s="544"/>
      <c r="U85" s="548" t="s">
        <v>658</v>
      </c>
      <c r="V85" s="549"/>
      <c r="W85" s="549"/>
      <c r="X85" s="550"/>
      <c r="Y85" s="544"/>
      <c r="Z85" s="548" t="s">
        <v>658</v>
      </c>
      <c r="AA85" s="549"/>
      <c r="AB85" s="549"/>
      <c r="AC85" s="550"/>
      <c r="AD85" s="544"/>
      <c r="AE85" s="548" t="s">
        <v>658</v>
      </c>
      <c r="AF85" s="549"/>
      <c r="AG85" s="549"/>
      <c r="AH85" s="550"/>
      <c r="AI85" s="544"/>
      <c r="AJ85" s="548" t="s">
        <v>658</v>
      </c>
      <c r="AK85" s="549"/>
      <c r="AL85" s="549"/>
      <c r="AM85" s="550"/>
      <c r="AN85" s="544"/>
      <c r="AO85" s="548" t="s">
        <v>658</v>
      </c>
      <c r="AP85" s="549"/>
      <c r="AQ85" s="549"/>
      <c r="AR85" s="550"/>
      <c r="AS85" s="544"/>
      <c r="AT85" s="548" t="s">
        <v>658</v>
      </c>
      <c r="AU85" s="549"/>
      <c r="AV85" s="549"/>
      <c r="AW85" s="550"/>
      <c r="AX85" s="544"/>
    </row>
    <row r="86" spans="2:50">
      <c r="B86" s="544"/>
      <c r="C86" s="544"/>
      <c r="D86" s="544"/>
      <c r="E86" s="403" t="s">
        <v>659</v>
      </c>
      <c r="F86" s="403" t="s">
        <v>660</v>
      </c>
      <c r="G86" s="403" t="s">
        <v>661</v>
      </c>
      <c r="H86" s="563"/>
      <c r="I86" s="402" t="s">
        <v>659</v>
      </c>
      <c r="J86" s="402" t="s">
        <v>660</v>
      </c>
      <c r="K86" s="402" t="s">
        <v>661</v>
      </c>
      <c r="L86" s="586"/>
      <c r="M86" s="569"/>
      <c r="N86" s="544"/>
      <c r="O86" s="544"/>
      <c r="P86" s="403" t="s">
        <v>659</v>
      </c>
      <c r="Q86" s="403" t="s">
        <v>660</v>
      </c>
      <c r="R86" s="403" t="s">
        <v>661</v>
      </c>
      <c r="S86" s="403" t="s">
        <v>654</v>
      </c>
      <c r="T86" s="544"/>
      <c r="U86" s="403" t="s">
        <v>659</v>
      </c>
      <c r="V86" s="403" t="s">
        <v>660</v>
      </c>
      <c r="W86" s="403" t="s">
        <v>661</v>
      </c>
      <c r="X86" s="403" t="s">
        <v>654</v>
      </c>
      <c r="Y86" s="544"/>
      <c r="Z86" s="403" t="s">
        <v>659</v>
      </c>
      <c r="AA86" s="403" t="s">
        <v>660</v>
      </c>
      <c r="AB86" s="403" t="s">
        <v>661</v>
      </c>
      <c r="AC86" s="403" t="s">
        <v>654</v>
      </c>
      <c r="AD86" s="544"/>
      <c r="AE86" s="403" t="s">
        <v>659</v>
      </c>
      <c r="AF86" s="403" t="s">
        <v>660</v>
      </c>
      <c r="AG86" s="403" t="s">
        <v>661</v>
      </c>
      <c r="AH86" s="403" t="s">
        <v>654</v>
      </c>
      <c r="AI86" s="544"/>
      <c r="AJ86" s="403" t="s">
        <v>659</v>
      </c>
      <c r="AK86" s="403" t="s">
        <v>660</v>
      </c>
      <c r="AL86" s="403" t="s">
        <v>661</v>
      </c>
      <c r="AM86" s="403" t="s">
        <v>654</v>
      </c>
      <c r="AN86" s="544"/>
      <c r="AO86" s="403" t="s">
        <v>659</v>
      </c>
      <c r="AP86" s="403" t="s">
        <v>660</v>
      </c>
      <c r="AQ86" s="403" t="s">
        <v>661</v>
      </c>
      <c r="AR86" s="403" t="s">
        <v>654</v>
      </c>
      <c r="AS86" s="544"/>
      <c r="AT86" s="403" t="s">
        <v>659</v>
      </c>
      <c r="AU86" s="403" t="s">
        <v>660</v>
      </c>
      <c r="AV86" s="403" t="s">
        <v>661</v>
      </c>
      <c r="AW86" s="403" t="s">
        <v>654</v>
      </c>
      <c r="AX86" s="544"/>
    </row>
    <row r="87" spans="2:50">
      <c r="B87" s="544" t="s">
        <v>794</v>
      </c>
      <c r="C87" s="404">
        <v>1</v>
      </c>
      <c r="D87" s="226" t="s">
        <v>399</v>
      </c>
      <c r="E87" s="182">
        <v>6</v>
      </c>
      <c r="F87" s="404">
        <v>1500</v>
      </c>
      <c r="G87" s="405">
        <v>250</v>
      </c>
      <c r="H87" s="597">
        <f>AVERAGE(G87:G101)</f>
        <v>140.15</v>
      </c>
      <c r="I87" s="408">
        <f>AVERAGE(P87,U87,Z87,AE87,AJ87,AO87,AT87)</f>
        <v>7</v>
      </c>
      <c r="J87" s="408">
        <f>AVERAGE(Q87,V87,AA87,AF87,AK87,AP87,AU87)</f>
        <v>1327.8213560649688</v>
      </c>
      <c r="K87" s="406">
        <f>AVERAGE(R87,W87,AB87,AG87,AL87,AQ87,AV87)</f>
        <v>189.68876515213836</v>
      </c>
      <c r="L87" s="587">
        <f>IFERROR(AVERAGE(K87:K101),"-")</f>
        <v>115.12118281649725</v>
      </c>
      <c r="M87" s="407">
        <f>RANK(K87, K$87:$K$101)</f>
        <v>3</v>
      </c>
      <c r="N87" s="544"/>
      <c r="O87" s="544"/>
      <c r="P87" s="182">
        <v>7</v>
      </c>
      <c r="Q87" s="182">
        <v>1336.5789473684208</v>
      </c>
      <c r="R87" s="405">
        <v>190.93984962406012</v>
      </c>
      <c r="S87" s="404">
        <f>RANK(R87, R$87:R$101)</f>
        <v>3</v>
      </c>
      <c r="T87" s="537">
        <f>AVERAGE(R87:R101)</f>
        <v>116.07876862747533</v>
      </c>
      <c r="U87" s="182">
        <v>7</v>
      </c>
      <c r="V87" s="182">
        <v>1333.8461538461536</v>
      </c>
      <c r="W87" s="405">
        <v>190.54945054945051</v>
      </c>
      <c r="X87" s="404">
        <f t="shared" ref="X87:X101" si="57">RANK(W87, W$87:W$101)</f>
        <v>3</v>
      </c>
      <c r="Y87" s="537">
        <f t="shared" ref="Y87" si="58">AVERAGE(W87:W101)</f>
        <v>115.03827622520156</v>
      </c>
      <c r="Z87" s="182">
        <v>7</v>
      </c>
      <c r="AA87" s="182">
        <v>1304.6153846153848</v>
      </c>
      <c r="AB87" s="405">
        <v>186.37362637362639</v>
      </c>
      <c r="AC87" s="404">
        <f t="shared" ref="AC87:AC101" si="59">RANK(AB87, AB$87:AB$101)</f>
        <v>3</v>
      </c>
      <c r="AD87" s="537">
        <f t="shared" ref="AD87" si="60">AVERAGE(AB87:AB101)</f>
        <v>116.00468118860786</v>
      </c>
      <c r="AE87" s="182">
        <v>7</v>
      </c>
      <c r="AF87" s="182">
        <v>1339.354838709678</v>
      </c>
      <c r="AG87" s="405">
        <v>191.33640552995399</v>
      </c>
      <c r="AH87" s="404">
        <f t="shared" ref="AH87:AH101" si="61">RANK(AG87, AG$87:AG$101)</f>
        <v>3</v>
      </c>
      <c r="AI87" s="537">
        <f t="shared" ref="AI87" si="62">AVERAGE(AG87:AG101)</f>
        <v>114.03703812195322</v>
      </c>
      <c r="AJ87" s="182">
        <v>7</v>
      </c>
      <c r="AK87" s="182">
        <v>1342.7272727272727</v>
      </c>
      <c r="AL87" s="405">
        <v>191.81818181818181</v>
      </c>
      <c r="AM87" s="404">
        <f t="shared" ref="AM87:AM101" si="63">RANK(AL87, AL$87:AL$101)</f>
        <v>3</v>
      </c>
      <c r="AN87" s="537">
        <f t="shared" ref="AN87" si="64">AVERAGE(AL87:AL101)</f>
        <v>114.98085335278154</v>
      </c>
      <c r="AO87" s="182">
        <v>7</v>
      </c>
      <c r="AP87" s="182">
        <v>1325.6756756756754</v>
      </c>
      <c r="AQ87" s="405">
        <v>189.38223938223933</v>
      </c>
      <c r="AR87" s="404">
        <f t="shared" ref="AR87:AR101" si="65">RANK(AQ87, AQ$87:AQ$101)</f>
        <v>3</v>
      </c>
      <c r="AS87" s="537">
        <f t="shared" ref="AS87" si="66">AVERAGE(AQ87:AQ101)</f>
        <v>114.02289411485314</v>
      </c>
      <c r="AT87" s="182">
        <v>7</v>
      </c>
      <c r="AU87" s="182">
        <v>1311.9512195121954</v>
      </c>
      <c r="AV87" s="405">
        <v>187.42160278745649</v>
      </c>
      <c r="AW87" s="404">
        <f t="shared" ref="AW87:AW101" si="67">RANK(AV87, AV$87:AV$101)</f>
        <v>3</v>
      </c>
      <c r="AX87" s="534">
        <f t="shared" ref="AX87" si="68">AVERAGE(AV87:AV101)</f>
        <v>115.68576808460813</v>
      </c>
    </row>
    <row r="88" spans="2:50">
      <c r="B88" s="533"/>
      <c r="C88" s="404">
        <v>2</v>
      </c>
      <c r="D88" s="226" t="s">
        <v>400</v>
      </c>
      <c r="E88" s="182">
        <v>6</v>
      </c>
      <c r="F88" s="404">
        <v>1500</v>
      </c>
      <c r="G88" s="405">
        <v>250</v>
      </c>
      <c r="H88" s="598"/>
      <c r="I88" s="408">
        <f t="shared" ref="I88:K94" si="69">AVERAGE(P88,U88,Z88,AE88,AJ88,AO88,AT88)</f>
        <v>7</v>
      </c>
      <c r="J88" s="408">
        <f t="shared" si="69"/>
        <v>1468.9736352576645</v>
      </c>
      <c r="K88" s="406">
        <f t="shared" si="69"/>
        <v>209.85337646538065</v>
      </c>
      <c r="L88" s="588"/>
      <c r="M88" s="407">
        <f>RANK(K88, K$87:$K$101)</f>
        <v>2</v>
      </c>
      <c r="N88" s="544"/>
      <c r="O88" s="544"/>
      <c r="P88" s="404">
        <v>7</v>
      </c>
      <c r="Q88" s="182">
        <v>1433.6283185840709</v>
      </c>
      <c r="R88" s="405">
        <v>204.80404551201013</v>
      </c>
      <c r="S88" s="404">
        <f t="shared" ref="S88:S101" si="70">RANK(R88, R$87:R$101)</f>
        <v>2</v>
      </c>
      <c r="T88" s="538"/>
      <c r="U88" s="404">
        <v>7</v>
      </c>
      <c r="V88" s="182">
        <v>1470.9090909090903</v>
      </c>
      <c r="W88" s="405">
        <v>210.12987012987006</v>
      </c>
      <c r="X88" s="404">
        <f t="shared" si="57"/>
        <v>1</v>
      </c>
      <c r="Y88" s="538"/>
      <c r="Z88" s="404">
        <v>7</v>
      </c>
      <c r="AA88" s="182">
        <v>1488.521739130435</v>
      </c>
      <c r="AB88" s="405">
        <v>212.64596273291929</v>
      </c>
      <c r="AC88" s="404">
        <f t="shared" si="59"/>
        <v>2</v>
      </c>
      <c r="AD88" s="538"/>
      <c r="AE88" s="404">
        <v>7</v>
      </c>
      <c r="AF88" s="182">
        <v>1463.4000000000005</v>
      </c>
      <c r="AG88" s="405">
        <v>209.05714285714294</v>
      </c>
      <c r="AH88" s="404">
        <f t="shared" si="61"/>
        <v>1</v>
      </c>
      <c r="AI88" s="538"/>
      <c r="AJ88" s="404">
        <v>7</v>
      </c>
      <c r="AK88" s="182">
        <v>1488.1188118811874</v>
      </c>
      <c r="AL88" s="405">
        <v>212.58840169731249</v>
      </c>
      <c r="AM88" s="404">
        <f t="shared" si="63"/>
        <v>1</v>
      </c>
      <c r="AN88" s="538"/>
      <c r="AO88" s="404">
        <v>7</v>
      </c>
      <c r="AP88" s="182">
        <v>1477.5652173913045</v>
      </c>
      <c r="AQ88" s="405">
        <v>211.08074534161491</v>
      </c>
      <c r="AR88" s="404">
        <f t="shared" si="65"/>
        <v>1</v>
      </c>
      <c r="AS88" s="538"/>
      <c r="AT88" s="404">
        <v>7</v>
      </c>
      <c r="AU88" s="182">
        <v>1460.6722689075634</v>
      </c>
      <c r="AV88" s="405">
        <v>208.66746698679478</v>
      </c>
      <c r="AW88" s="404">
        <f t="shared" si="67"/>
        <v>2</v>
      </c>
      <c r="AX88" s="534"/>
    </row>
    <row r="89" spans="2:50">
      <c r="B89" s="533"/>
      <c r="C89" s="404">
        <v>3</v>
      </c>
      <c r="D89" s="226" t="s">
        <v>349</v>
      </c>
      <c r="E89" s="182">
        <v>19</v>
      </c>
      <c r="F89" s="404">
        <v>1500</v>
      </c>
      <c r="G89" s="405">
        <v>78.900000000000006</v>
      </c>
      <c r="H89" s="598"/>
      <c r="I89" s="408">
        <f t="shared" si="69"/>
        <v>18</v>
      </c>
      <c r="J89" s="408">
        <f t="shared" si="69"/>
        <v>1229.1212966663068</v>
      </c>
      <c r="K89" s="406">
        <f t="shared" si="69"/>
        <v>68.28451648146148</v>
      </c>
      <c r="L89" s="588"/>
      <c r="M89" s="407">
        <f>RANK(K89, K$87:$K$101)</f>
        <v>5</v>
      </c>
      <c r="N89" s="544"/>
      <c r="O89" s="544"/>
      <c r="P89" s="404">
        <v>18</v>
      </c>
      <c r="Q89" s="182">
        <v>1233.3200000000002</v>
      </c>
      <c r="R89" s="405">
        <v>68.517777777777781</v>
      </c>
      <c r="S89" s="404">
        <f t="shared" si="70"/>
        <v>6</v>
      </c>
      <c r="T89" s="538"/>
      <c r="U89" s="404">
        <v>18</v>
      </c>
      <c r="V89" s="182">
        <v>1219.2989690721654</v>
      </c>
      <c r="W89" s="405">
        <v>67.738831615120304</v>
      </c>
      <c r="X89" s="404">
        <f t="shared" si="57"/>
        <v>5</v>
      </c>
      <c r="Y89" s="538"/>
      <c r="Z89" s="404">
        <v>18</v>
      </c>
      <c r="AA89" s="182">
        <v>1236.8973913043478</v>
      </c>
      <c r="AB89" s="405">
        <v>68.716521739130428</v>
      </c>
      <c r="AC89" s="404">
        <f t="shared" si="59"/>
        <v>6</v>
      </c>
      <c r="AD89" s="538"/>
      <c r="AE89" s="404">
        <v>18</v>
      </c>
      <c r="AF89" s="182">
        <v>1242.9551020408167</v>
      </c>
      <c r="AG89" s="405">
        <v>69.053061224489809</v>
      </c>
      <c r="AH89" s="404">
        <f t="shared" si="61"/>
        <v>5</v>
      </c>
      <c r="AI89" s="538"/>
      <c r="AJ89" s="404">
        <v>18</v>
      </c>
      <c r="AK89" s="182">
        <v>1245.4878504672895</v>
      </c>
      <c r="AL89" s="405">
        <v>69.193769470404973</v>
      </c>
      <c r="AM89" s="404">
        <f t="shared" si="63"/>
        <v>5</v>
      </c>
      <c r="AN89" s="538"/>
      <c r="AO89" s="404">
        <v>18</v>
      </c>
      <c r="AP89" s="182">
        <v>1199.0173228346455</v>
      </c>
      <c r="AQ89" s="405">
        <v>66.612073490813643</v>
      </c>
      <c r="AR89" s="404">
        <f t="shared" si="65"/>
        <v>5</v>
      </c>
      <c r="AS89" s="538"/>
      <c r="AT89" s="404">
        <v>18</v>
      </c>
      <c r="AU89" s="182">
        <v>1226.8724409448816</v>
      </c>
      <c r="AV89" s="405">
        <v>68.159580052493425</v>
      </c>
      <c r="AW89" s="404">
        <f t="shared" si="67"/>
        <v>6</v>
      </c>
      <c r="AX89" s="534"/>
    </row>
    <row r="90" spans="2:50">
      <c r="B90" s="533"/>
      <c r="C90" s="404">
        <v>4</v>
      </c>
      <c r="D90" s="226" t="s">
        <v>401</v>
      </c>
      <c r="E90" s="182">
        <v>17</v>
      </c>
      <c r="F90" s="404">
        <v>1440</v>
      </c>
      <c r="G90" s="405">
        <v>84.7</v>
      </c>
      <c r="H90" s="598"/>
      <c r="I90" s="408">
        <f t="shared" si="69"/>
        <v>17</v>
      </c>
      <c r="J90" s="408">
        <f t="shared" si="69"/>
        <v>1148.7917290083192</v>
      </c>
      <c r="K90" s="406">
        <f t="shared" si="69"/>
        <v>67.575984059312901</v>
      </c>
      <c r="L90" s="588"/>
      <c r="M90" s="407">
        <f>RANK(K90, K$87:$K$101)</f>
        <v>6</v>
      </c>
      <c r="N90" s="544"/>
      <c r="O90" s="544"/>
      <c r="P90" s="404">
        <v>17</v>
      </c>
      <c r="Q90" s="182">
        <v>1252.2580645161272</v>
      </c>
      <c r="R90" s="405">
        <v>73.662239089183956</v>
      </c>
      <c r="S90" s="404">
        <f t="shared" si="70"/>
        <v>4</v>
      </c>
      <c r="T90" s="538"/>
      <c r="U90" s="404">
        <v>17</v>
      </c>
      <c r="V90" s="182">
        <v>1085.4545454545466</v>
      </c>
      <c r="W90" s="405">
        <v>63.850267379679217</v>
      </c>
      <c r="X90" s="404">
        <f t="shared" si="57"/>
        <v>6</v>
      </c>
      <c r="Y90" s="538"/>
      <c r="Z90" s="404">
        <v>17</v>
      </c>
      <c r="AA90" s="182">
        <v>1256.2500000000016</v>
      </c>
      <c r="AB90" s="405">
        <v>73.897058823529505</v>
      </c>
      <c r="AC90" s="404">
        <f t="shared" si="59"/>
        <v>4</v>
      </c>
      <c r="AD90" s="538"/>
      <c r="AE90" s="404">
        <v>17</v>
      </c>
      <c r="AF90" s="182">
        <v>1060.7142857142865</v>
      </c>
      <c r="AG90" s="405">
        <v>62.394957983193322</v>
      </c>
      <c r="AH90" s="404">
        <f t="shared" si="61"/>
        <v>6</v>
      </c>
      <c r="AI90" s="538"/>
      <c r="AJ90" s="404">
        <v>17</v>
      </c>
      <c r="AK90" s="182">
        <v>1083.7500000000014</v>
      </c>
      <c r="AL90" s="405">
        <v>63.750000000000078</v>
      </c>
      <c r="AM90" s="404">
        <f t="shared" si="63"/>
        <v>6</v>
      </c>
      <c r="AN90" s="538"/>
      <c r="AO90" s="404">
        <v>17</v>
      </c>
      <c r="AP90" s="182">
        <v>1072.2580645161274</v>
      </c>
      <c r="AQ90" s="405">
        <v>63.074003795066318</v>
      </c>
      <c r="AR90" s="404">
        <f t="shared" si="65"/>
        <v>6</v>
      </c>
      <c r="AS90" s="538"/>
      <c r="AT90" s="404">
        <v>17</v>
      </c>
      <c r="AU90" s="182">
        <v>1230.8571428571445</v>
      </c>
      <c r="AV90" s="405">
        <v>72.403361344537913</v>
      </c>
      <c r="AW90" s="404">
        <f t="shared" si="67"/>
        <v>4</v>
      </c>
      <c r="AX90" s="534"/>
    </row>
    <row r="91" spans="2:50">
      <c r="B91" s="533"/>
      <c r="C91" s="404">
        <v>5</v>
      </c>
      <c r="D91" s="226" t="s">
        <v>448</v>
      </c>
      <c r="E91" s="182">
        <v>6</v>
      </c>
      <c r="F91" s="404">
        <v>1500</v>
      </c>
      <c r="G91" s="405">
        <v>250</v>
      </c>
      <c r="H91" s="598"/>
      <c r="I91" s="408">
        <f t="shared" si="69"/>
        <v>7</v>
      </c>
      <c r="J91" s="408">
        <f t="shared" si="69"/>
        <v>1473.4445696850348</v>
      </c>
      <c r="K91" s="406">
        <f t="shared" si="69"/>
        <v>210.49208138357639</v>
      </c>
      <c r="L91" s="588"/>
      <c r="M91" s="407">
        <f>RANK(K91, K$87:$K$101)</f>
        <v>1</v>
      </c>
      <c r="N91" s="544"/>
      <c r="O91" s="544"/>
      <c r="P91" s="404">
        <v>7</v>
      </c>
      <c r="Q91" s="182">
        <v>1477.5000000000002</v>
      </c>
      <c r="R91" s="405">
        <v>211.07142857142861</v>
      </c>
      <c r="S91" s="404">
        <f t="shared" si="70"/>
        <v>1</v>
      </c>
      <c r="T91" s="538"/>
      <c r="U91" s="404">
        <v>7</v>
      </c>
      <c r="V91" s="182">
        <v>1453.0434782608695</v>
      </c>
      <c r="W91" s="405">
        <v>207.57763975155279</v>
      </c>
      <c r="X91" s="404">
        <f t="shared" si="57"/>
        <v>2</v>
      </c>
      <c r="Y91" s="538"/>
      <c r="Z91" s="404">
        <v>7</v>
      </c>
      <c r="AA91" s="182">
        <v>1492.0754716981135</v>
      </c>
      <c r="AB91" s="405">
        <v>213.1536388140162</v>
      </c>
      <c r="AC91" s="404">
        <f t="shared" si="59"/>
        <v>1</v>
      </c>
      <c r="AD91" s="538"/>
      <c r="AE91" s="404">
        <v>7</v>
      </c>
      <c r="AF91" s="182">
        <v>1460.6896551724142</v>
      </c>
      <c r="AG91" s="405">
        <v>208.6699507389163</v>
      </c>
      <c r="AH91" s="404">
        <f t="shared" si="61"/>
        <v>2</v>
      </c>
      <c r="AI91" s="538"/>
      <c r="AJ91" s="404">
        <v>7</v>
      </c>
      <c r="AK91" s="182">
        <v>1485.348837209302</v>
      </c>
      <c r="AL91" s="405">
        <v>212.19269102990029</v>
      </c>
      <c r="AM91" s="404">
        <f t="shared" si="63"/>
        <v>2</v>
      </c>
      <c r="AN91" s="538"/>
      <c r="AO91" s="404">
        <v>7</v>
      </c>
      <c r="AP91" s="182">
        <v>1470.545454545454</v>
      </c>
      <c r="AQ91" s="405">
        <v>210.07792207792201</v>
      </c>
      <c r="AR91" s="404">
        <f t="shared" si="65"/>
        <v>2</v>
      </c>
      <c r="AS91" s="538"/>
      <c r="AT91" s="404">
        <v>7</v>
      </c>
      <c r="AU91" s="182">
        <v>1474.9090909090903</v>
      </c>
      <c r="AV91" s="405">
        <v>210.70129870129861</v>
      </c>
      <c r="AW91" s="404">
        <f t="shared" si="67"/>
        <v>1</v>
      </c>
      <c r="AX91" s="534"/>
    </row>
    <row r="92" spans="2:50">
      <c r="B92" s="533"/>
      <c r="C92" s="404">
        <v>6</v>
      </c>
      <c r="D92" s="226" t="s">
        <v>484</v>
      </c>
      <c r="E92" s="182">
        <v>19</v>
      </c>
      <c r="F92" s="404">
        <v>1440</v>
      </c>
      <c r="G92" s="405">
        <v>75.8</v>
      </c>
      <c r="H92" s="598"/>
      <c r="I92" s="408">
        <f t="shared" si="69"/>
        <v>18</v>
      </c>
      <c r="J92" s="408">
        <f t="shared" si="69"/>
        <v>1274.6112708153526</v>
      </c>
      <c r="K92" s="406">
        <f t="shared" si="69"/>
        <v>70.811737267519604</v>
      </c>
      <c r="L92" s="588"/>
      <c r="M92" s="407">
        <f>RANK(K92, K$87:$K$101)</f>
        <v>4</v>
      </c>
      <c r="N92" s="544"/>
      <c r="O92" s="544"/>
      <c r="P92" s="404">
        <v>18</v>
      </c>
      <c r="Q92" s="182">
        <v>1279.0476190476188</v>
      </c>
      <c r="R92" s="405">
        <v>71.05820105820105</v>
      </c>
      <c r="S92" s="404">
        <f t="shared" si="70"/>
        <v>5</v>
      </c>
      <c r="T92" s="538"/>
      <c r="U92" s="404">
        <v>18</v>
      </c>
      <c r="V92" s="182">
        <v>1285.7142857142867</v>
      </c>
      <c r="W92" s="405">
        <v>71.428571428571487</v>
      </c>
      <c r="X92" s="404">
        <f t="shared" si="57"/>
        <v>4</v>
      </c>
      <c r="Y92" s="538"/>
      <c r="Z92" s="404">
        <v>18</v>
      </c>
      <c r="AA92" s="182">
        <v>1278.4615384615381</v>
      </c>
      <c r="AB92" s="405">
        <v>71.025641025641008</v>
      </c>
      <c r="AC92" s="404">
        <f t="shared" si="59"/>
        <v>5</v>
      </c>
      <c r="AD92" s="538"/>
      <c r="AE92" s="404">
        <v>18</v>
      </c>
      <c r="AF92" s="182">
        <v>1284.4897959183677</v>
      </c>
      <c r="AG92" s="405">
        <v>71.360544217687092</v>
      </c>
      <c r="AH92" s="404">
        <f t="shared" si="61"/>
        <v>4</v>
      </c>
      <c r="AI92" s="538"/>
      <c r="AJ92" s="404">
        <v>18</v>
      </c>
      <c r="AK92" s="182">
        <v>1271.1111111111118</v>
      </c>
      <c r="AL92" s="405">
        <v>70.61728395061732</v>
      </c>
      <c r="AM92" s="404">
        <f t="shared" si="63"/>
        <v>4</v>
      </c>
      <c r="AN92" s="538"/>
      <c r="AO92" s="404">
        <v>18</v>
      </c>
      <c r="AP92" s="182">
        <v>1269.8181818181827</v>
      </c>
      <c r="AQ92" s="405">
        <v>70.545454545454589</v>
      </c>
      <c r="AR92" s="404">
        <f t="shared" si="65"/>
        <v>4</v>
      </c>
      <c r="AS92" s="538"/>
      <c r="AT92" s="404">
        <v>18</v>
      </c>
      <c r="AU92" s="182">
        <v>1253.6363636363637</v>
      </c>
      <c r="AV92" s="405">
        <v>69.646464646464651</v>
      </c>
      <c r="AW92" s="404">
        <f t="shared" si="67"/>
        <v>5</v>
      </c>
      <c r="AX92" s="534"/>
    </row>
    <row r="93" spans="2:50">
      <c r="B93" s="533"/>
      <c r="C93" s="404">
        <v>7</v>
      </c>
      <c r="D93" s="226" t="s">
        <v>501</v>
      </c>
      <c r="E93" s="182">
        <v>21</v>
      </c>
      <c r="F93" s="404">
        <v>1385</v>
      </c>
      <c r="G93" s="405">
        <v>65.900000000000006</v>
      </c>
      <c r="H93" s="598"/>
      <c r="I93" s="408">
        <f t="shared" si="69"/>
        <v>20</v>
      </c>
      <c r="J93" s="408">
        <f t="shared" si="69"/>
        <v>1084.9225788953886</v>
      </c>
      <c r="K93" s="406">
        <f t="shared" si="69"/>
        <v>54.246128944769438</v>
      </c>
      <c r="L93" s="588"/>
      <c r="M93" s="407">
        <f>RANK(K93, K$87:$K$101)</f>
        <v>7</v>
      </c>
      <c r="N93" s="544"/>
      <c r="O93" s="544"/>
      <c r="P93" s="404">
        <v>20</v>
      </c>
      <c r="Q93" s="182">
        <v>1089.767441860467</v>
      </c>
      <c r="R93" s="405">
        <v>54.488372093023351</v>
      </c>
      <c r="S93" s="404">
        <f t="shared" si="70"/>
        <v>7</v>
      </c>
      <c r="T93" s="538"/>
      <c r="U93" s="404">
        <v>20</v>
      </c>
      <c r="V93" s="182">
        <v>1092.6315789473674</v>
      </c>
      <c r="W93" s="405">
        <v>54.631578947368368</v>
      </c>
      <c r="X93" s="404">
        <f t="shared" si="57"/>
        <v>7</v>
      </c>
      <c r="Y93" s="538"/>
      <c r="Z93" s="404">
        <v>20</v>
      </c>
      <c r="AA93" s="182">
        <v>1084.5000000000016</v>
      </c>
      <c r="AB93" s="405">
        <v>54.22500000000008</v>
      </c>
      <c r="AC93" s="404">
        <f t="shared" si="59"/>
        <v>7</v>
      </c>
      <c r="AD93" s="538"/>
      <c r="AE93" s="404">
        <v>20</v>
      </c>
      <c r="AF93" s="182">
        <v>1086.6666666666658</v>
      </c>
      <c r="AG93" s="405">
        <v>54.333333333333293</v>
      </c>
      <c r="AH93" s="404">
        <f t="shared" si="61"/>
        <v>7</v>
      </c>
      <c r="AI93" s="538"/>
      <c r="AJ93" s="404">
        <v>20</v>
      </c>
      <c r="AK93" s="182">
        <v>1074.7826086956543</v>
      </c>
      <c r="AL93" s="405">
        <v>53.739130434782716</v>
      </c>
      <c r="AM93" s="404">
        <f t="shared" si="63"/>
        <v>7</v>
      </c>
      <c r="AN93" s="538"/>
      <c r="AO93" s="404">
        <v>20</v>
      </c>
      <c r="AP93" s="182">
        <v>1090.5000000000018</v>
      </c>
      <c r="AQ93" s="405">
        <v>54.525000000000091</v>
      </c>
      <c r="AR93" s="404">
        <f t="shared" si="65"/>
        <v>7</v>
      </c>
      <c r="AS93" s="538"/>
      <c r="AT93" s="404">
        <v>20</v>
      </c>
      <c r="AU93" s="182">
        <v>1075.6097560975627</v>
      </c>
      <c r="AV93" s="405">
        <v>53.780487804878135</v>
      </c>
      <c r="AW93" s="404">
        <f t="shared" si="67"/>
        <v>8</v>
      </c>
      <c r="AX93" s="534"/>
    </row>
    <row r="94" spans="2:50">
      <c r="B94" s="533"/>
      <c r="C94" s="404">
        <v>8</v>
      </c>
      <c r="D94" s="226" t="s">
        <v>583</v>
      </c>
      <c r="E94" s="182">
        <v>21</v>
      </c>
      <c r="F94" s="404">
        <v>1385</v>
      </c>
      <c r="G94" s="405">
        <v>65.900000000000006</v>
      </c>
      <c r="H94" s="598"/>
      <c r="I94" s="408">
        <f t="shared" si="69"/>
        <v>20</v>
      </c>
      <c r="J94" s="408">
        <f t="shared" si="69"/>
        <v>1000.337455556384</v>
      </c>
      <c r="K94" s="406">
        <f t="shared" si="69"/>
        <v>50.016872777819195</v>
      </c>
      <c r="L94" s="588"/>
      <c r="M94" s="407">
        <f>RANK(K94, K$87:$K$101)</f>
        <v>8</v>
      </c>
      <c r="N94" s="544"/>
      <c r="O94" s="544"/>
      <c r="P94" s="404">
        <v>20</v>
      </c>
      <c r="Q94" s="182">
        <v>1081.7647058823516</v>
      </c>
      <c r="R94" s="405">
        <v>54.088235294117581</v>
      </c>
      <c r="S94" s="404">
        <f t="shared" si="70"/>
        <v>8</v>
      </c>
      <c r="T94" s="538"/>
      <c r="U94" s="404">
        <v>20</v>
      </c>
      <c r="V94" s="182">
        <v>1087.999999999998</v>
      </c>
      <c r="W94" s="405">
        <v>54.399999999999899</v>
      </c>
      <c r="X94" s="404">
        <f t="shared" si="57"/>
        <v>8</v>
      </c>
      <c r="Y94" s="538"/>
      <c r="Z94" s="404">
        <v>20</v>
      </c>
      <c r="AA94" s="182">
        <v>959.99999999999886</v>
      </c>
      <c r="AB94" s="405">
        <v>47.999999999999943</v>
      </c>
      <c r="AC94" s="404">
        <f t="shared" si="59"/>
        <v>8</v>
      </c>
      <c r="AD94" s="538"/>
      <c r="AE94" s="404">
        <v>20</v>
      </c>
      <c r="AF94" s="182">
        <v>921.81818181818062</v>
      </c>
      <c r="AG94" s="405">
        <v>46.09090909090903</v>
      </c>
      <c r="AH94" s="404">
        <f t="shared" si="61"/>
        <v>8</v>
      </c>
      <c r="AI94" s="538"/>
      <c r="AJ94" s="404">
        <v>20</v>
      </c>
      <c r="AK94" s="182">
        <v>918.94736842105192</v>
      </c>
      <c r="AL94" s="405">
        <v>45.947368421052595</v>
      </c>
      <c r="AM94" s="404">
        <f t="shared" si="63"/>
        <v>8</v>
      </c>
      <c r="AN94" s="538"/>
      <c r="AO94" s="404">
        <v>20</v>
      </c>
      <c r="AP94" s="182">
        <v>937.71428571428476</v>
      </c>
      <c r="AQ94" s="405">
        <v>46.885714285714236</v>
      </c>
      <c r="AR94" s="404">
        <f t="shared" si="65"/>
        <v>8</v>
      </c>
      <c r="AS94" s="538"/>
      <c r="AT94" s="404">
        <v>20</v>
      </c>
      <c r="AU94" s="182">
        <v>1094.1176470588223</v>
      </c>
      <c r="AV94" s="405">
        <v>54.705882352941117</v>
      </c>
      <c r="AW94" s="404">
        <f t="shared" si="67"/>
        <v>7</v>
      </c>
      <c r="AX94" s="534"/>
    </row>
    <row r="95" spans="2:50">
      <c r="B95" s="533"/>
      <c r="C95" s="404">
        <v>9</v>
      </c>
      <c r="D95" s="226"/>
      <c r="E95" s="182"/>
      <c r="F95" s="404"/>
      <c r="G95" s="405"/>
      <c r="H95" s="598"/>
      <c r="I95" s="408"/>
      <c r="J95" s="408"/>
      <c r="K95" s="406"/>
      <c r="L95" s="588"/>
      <c r="M95" s="407" t="e">
        <f>RANK(K95, K$87:$K$101)</f>
        <v>#N/A</v>
      </c>
      <c r="N95" s="544"/>
      <c r="O95" s="544"/>
      <c r="P95" s="404"/>
      <c r="Q95" s="182"/>
      <c r="R95" s="405"/>
      <c r="S95" s="404" t="e">
        <f t="shared" si="70"/>
        <v>#N/A</v>
      </c>
      <c r="T95" s="538"/>
      <c r="U95" s="404"/>
      <c r="V95" s="182"/>
      <c r="W95" s="405"/>
      <c r="X95" s="404" t="e">
        <f t="shared" si="57"/>
        <v>#N/A</v>
      </c>
      <c r="Y95" s="538"/>
      <c r="Z95" s="404"/>
      <c r="AA95" s="182"/>
      <c r="AB95" s="405"/>
      <c r="AC95" s="404" t="e">
        <f t="shared" si="59"/>
        <v>#N/A</v>
      </c>
      <c r="AD95" s="538"/>
      <c r="AE95" s="404"/>
      <c r="AF95" s="182"/>
      <c r="AG95" s="405"/>
      <c r="AH95" s="404" t="e">
        <f t="shared" si="61"/>
        <v>#N/A</v>
      </c>
      <c r="AI95" s="538"/>
      <c r="AJ95" s="404"/>
      <c r="AK95" s="182"/>
      <c r="AL95" s="405"/>
      <c r="AM95" s="404" t="e">
        <f t="shared" si="63"/>
        <v>#N/A</v>
      </c>
      <c r="AN95" s="538"/>
      <c r="AO95" s="404"/>
      <c r="AP95" s="182"/>
      <c r="AQ95" s="405"/>
      <c r="AR95" s="404" t="e">
        <f t="shared" si="65"/>
        <v>#N/A</v>
      </c>
      <c r="AS95" s="538"/>
      <c r="AT95" s="404"/>
      <c r="AU95" s="182"/>
      <c r="AV95" s="405"/>
      <c r="AW95" s="404" t="e">
        <f t="shared" si="67"/>
        <v>#N/A</v>
      </c>
      <c r="AX95" s="534"/>
    </row>
    <row r="96" spans="2:50">
      <c r="B96" s="533"/>
      <c r="C96" s="404">
        <v>10</v>
      </c>
      <c r="D96" s="226"/>
      <c r="E96" s="182"/>
      <c r="F96" s="404"/>
      <c r="G96" s="405"/>
      <c r="H96" s="598"/>
      <c r="I96" s="408"/>
      <c r="J96" s="408"/>
      <c r="K96" s="406"/>
      <c r="L96" s="588"/>
      <c r="M96" s="407" t="e">
        <f>RANK(K96, K$87:$K$101)</f>
        <v>#N/A</v>
      </c>
      <c r="N96" s="544"/>
      <c r="O96" s="544"/>
      <c r="P96" s="404"/>
      <c r="Q96" s="182"/>
      <c r="R96" s="405"/>
      <c r="S96" s="404" t="e">
        <f t="shared" si="70"/>
        <v>#N/A</v>
      </c>
      <c r="T96" s="538"/>
      <c r="U96" s="404"/>
      <c r="V96" s="182"/>
      <c r="W96" s="405"/>
      <c r="X96" s="404" t="e">
        <f t="shared" si="57"/>
        <v>#N/A</v>
      </c>
      <c r="Y96" s="538"/>
      <c r="Z96" s="404"/>
      <c r="AA96" s="182"/>
      <c r="AB96" s="405"/>
      <c r="AC96" s="404" t="e">
        <f t="shared" si="59"/>
        <v>#N/A</v>
      </c>
      <c r="AD96" s="538"/>
      <c r="AE96" s="404"/>
      <c r="AF96" s="182"/>
      <c r="AG96" s="405"/>
      <c r="AH96" s="404" t="e">
        <f t="shared" si="61"/>
        <v>#N/A</v>
      </c>
      <c r="AI96" s="538"/>
      <c r="AJ96" s="404"/>
      <c r="AK96" s="182"/>
      <c r="AL96" s="405"/>
      <c r="AM96" s="404" t="e">
        <f t="shared" si="63"/>
        <v>#N/A</v>
      </c>
      <c r="AN96" s="538"/>
      <c r="AO96" s="404"/>
      <c r="AP96" s="182"/>
      <c r="AQ96" s="405"/>
      <c r="AR96" s="404" t="e">
        <f t="shared" si="65"/>
        <v>#N/A</v>
      </c>
      <c r="AS96" s="538"/>
      <c r="AT96" s="404"/>
      <c r="AU96" s="182"/>
      <c r="AV96" s="405"/>
      <c r="AW96" s="404" t="e">
        <f t="shared" si="67"/>
        <v>#N/A</v>
      </c>
      <c r="AX96" s="534"/>
    </row>
    <row r="97" spans="2:50">
      <c r="B97" s="533"/>
      <c r="C97" s="404">
        <v>11</v>
      </c>
      <c r="D97" s="226"/>
      <c r="E97" s="182"/>
      <c r="F97" s="404"/>
      <c r="G97" s="405"/>
      <c r="H97" s="598"/>
      <c r="I97" s="408"/>
      <c r="J97" s="408"/>
      <c r="K97" s="406"/>
      <c r="L97" s="588"/>
      <c r="M97" s="407" t="e">
        <f>RANK(K97, K$87:$K$101)</f>
        <v>#N/A</v>
      </c>
      <c r="N97" s="544"/>
      <c r="O97" s="544"/>
      <c r="P97" s="404"/>
      <c r="Q97" s="182"/>
      <c r="R97" s="405"/>
      <c r="S97" s="404" t="e">
        <f t="shared" si="70"/>
        <v>#N/A</v>
      </c>
      <c r="T97" s="538"/>
      <c r="U97" s="404"/>
      <c r="V97" s="182"/>
      <c r="W97" s="405"/>
      <c r="X97" s="404" t="e">
        <f t="shared" si="57"/>
        <v>#N/A</v>
      </c>
      <c r="Y97" s="538"/>
      <c r="Z97" s="404"/>
      <c r="AA97" s="182"/>
      <c r="AB97" s="405"/>
      <c r="AC97" s="404" t="e">
        <f t="shared" si="59"/>
        <v>#N/A</v>
      </c>
      <c r="AD97" s="538"/>
      <c r="AE97" s="404"/>
      <c r="AF97" s="182"/>
      <c r="AG97" s="405"/>
      <c r="AH97" s="404" t="e">
        <f t="shared" si="61"/>
        <v>#N/A</v>
      </c>
      <c r="AI97" s="538"/>
      <c r="AJ97" s="404"/>
      <c r="AK97" s="182"/>
      <c r="AL97" s="405"/>
      <c r="AM97" s="404" t="e">
        <f t="shared" si="63"/>
        <v>#N/A</v>
      </c>
      <c r="AN97" s="538"/>
      <c r="AO97" s="404"/>
      <c r="AP97" s="182"/>
      <c r="AQ97" s="405"/>
      <c r="AR97" s="404" t="e">
        <f t="shared" si="65"/>
        <v>#N/A</v>
      </c>
      <c r="AS97" s="538"/>
      <c r="AT97" s="404"/>
      <c r="AU97" s="182"/>
      <c r="AV97" s="405"/>
      <c r="AW97" s="404" t="e">
        <f t="shared" si="67"/>
        <v>#N/A</v>
      </c>
      <c r="AX97" s="534"/>
    </row>
    <row r="98" spans="2:50">
      <c r="B98" s="533"/>
      <c r="C98" s="404">
        <v>12</v>
      </c>
      <c r="D98" s="226"/>
      <c r="E98" s="182"/>
      <c r="F98" s="404"/>
      <c r="G98" s="405"/>
      <c r="H98" s="598"/>
      <c r="I98" s="408"/>
      <c r="J98" s="408"/>
      <c r="K98" s="406"/>
      <c r="L98" s="588"/>
      <c r="M98" s="407" t="e">
        <f>RANK(K98, K$87:$K$101)</f>
        <v>#N/A</v>
      </c>
      <c r="N98" s="544"/>
      <c r="O98" s="544"/>
      <c r="P98" s="404"/>
      <c r="Q98" s="182"/>
      <c r="R98" s="405"/>
      <c r="S98" s="404" t="e">
        <f t="shared" si="70"/>
        <v>#N/A</v>
      </c>
      <c r="T98" s="538"/>
      <c r="U98" s="404"/>
      <c r="V98" s="182"/>
      <c r="W98" s="405"/>
      <c r="X98" s="404" t="e">
        <f t="shared" si="57"/>
        <v>#N/A</v>
      </c>
      <c r="Y98" s="538"/>
      <c r="Z98" s="404"/>
      <c r="AA98" s="182"/>
      <c r="AB98" s="405"/>
      <c r="AC98" s="404" t="e">
        <f t="shared" si="59"/>
        <v>#N/A</v>
      </c>
      <c r="AD98" s="538"/>
      <c r="AE98" s="404"/>
      <c r="AF98" s="182"/>
      <c r="AG98" s="405"/>
      <c r="AH98" s="404" t="e">
        <f t="shared" si="61"/>
        <v>#N/A</v>
      </c>
      <c r="AI98" s="538"/>
      <c r="AJ98" s="404"/>
      <c r="AK98" s="182"/>
      <c r="AL98" s="405"/>
      <c r="AM98" s="404" t="e">
        <f t="shared" si="63"/>
        <v>#N/A</v>
      </c>
      <c r="AN98" s="538"/>
      <c r="AO98" s="404"/>
      <c r="AP98" s="182"/>
      <c r="AQ98" s="405"/>
      <c r="AR98" s="404" t="e">
        <f t="shared" si="65"/>
        <v>#N/A</v>
      </c>
      <c r="AS98" s="538"/>
      <c r="AT98" s="404"/>
      <c r="AU98" s="182"/>
      <c r="AV98" s="405"/>
      <c r="AW98" s="404" t="e">
        <f t="shared" si="67"/>
        <v>#N/A</v>
      </c>
      <c r="AX98" s="534"/>
    </row>
    <row r="99" spans="2:50">
      <c r="B99" s="533"/>
      <c r="C99" s="404">
        <v>13</v>
      </c>
      <c r="D99" s="226"/>
      <c r="E99" s="182"/>
      <c r="F99" s="404"/>
      <c r="G99" s="405"/>
      <c r="H99" s="598"/>
      <c r="I99" s="408"/>
      <c r="J99" s="408"/>
      <c r="K99" s="406"/>
      <c r="L99" s="588"/>
      <c r="M99" s="407" t="e">
        <f>RANK(K99, K$87:$K$101)</f>
        <v>#N/A</v>
      </c>
      <c r="N99" s="544"/>
      <c r="O99" s="544"/>
      <c r="P99" s="404"/>
      <c r="Q99" s="182"/>
      <c r="R99" s="405"/>
      <c r="S99" s="404" t="e">
        <f t="shared" si="70"/>
        <v>#N/A</v>
      </c>
      <c r="T99" s="538"/>
      <c r="U99" s="404"/>
      <c r="V99" s="182"/>
      <c r="W99" s="405"/>
      <c r="X99" s="404" t="e">
        <f t="shared" si="57"/>
        <v>#N/A</v>
      </c>
      <c r="Y99" s="538"/>
      <c r="Z99" s="404"/>
      <c r="AA99" s="182"/>
      <c r="AB99" s="405"/>
      <c r="AC99" s="404" t="e">
        <f t="shared" si="59"/>
        <v>#N/A</v>
      </c>
      <c r="AD99" s="538"/>
      <c r="AE99" s="404"/>
      <c r="AF99" s="182"/>
      <c r="AG99" s="405"/>
      <c r="AH99" s="404" t="e">
        <f t="shared" si="61"/>
        <v>#N/A</v>
      </c>
      <c r="AI99" s="538"/>
      <c r="AJ99" s="404"/>
      <c r="AK99" s="182"/>
      <c r="AL99" s="405"/>
      <c r="AM99" s="404" t="e">
        <f t="shared" si="63"/>
        <v>#N/A</v>
      </c>
      <c r="AN99" s="538"/>
      <c r="AO99" s="404"/>
      <c r="AP99" s="182"/>
      <c r="AQ99" s="405"/>
      <c r="AR99" s="404" t="e">
        <f t="shared" si="65"/>
        <v>#N/A</v>
      </c>
      <c r="AS99" s="538"/>
      <c r="AT99" s="404"/>
      <c r="AU99" s="182"/>
      <c r="AV99" s="405"/>
      <c r="AW99" s="404" t="e">
        <f t="shared" si="67"/>
        <v>#N/A</v>
      </c>
      <c r="AX99" s="534"/>
    </row>
    <row r="100" spans="2:50">
      <c r="B100" s="533"/>
      <c r="C100" s="404">
        <v>14</v>
      </c>
      <c r="D100" s="226"/>
      <c r="E100" s="182"/>
      <c r="F100" s="404"/>
      <c r="G100" s="405"/>
      <c r="H100" s="598"/>
      <c r="I100" s="408"/>
      <c r="J100" s="408"/>
      <c r="K100" s="406"/>
      <c r="L100" s="588"/>
      <c r="M100" s="407" t="e">
        <f>RANK(K100, K$87:$K$101)</f>
        <v>#N/A</v>
      </c>
      <c r="N100" s="544"/>
      <c r="O100" s="544"/>
      <c r="P100" s="404"/>
      <c r="Q100" s="182"/>
      <c r="R100" s="405"/>
      <c r="S100" s="404" t="e">
        <f t="shared" si="70"/>
        <v>#N/A</v>
      </c>
      <c r="T100" s="538"/>
      <c r="U100" s="404"/>
      <c r="V100" s="182"/>
      <c r="W100" s="405"/>
      <c r="X100" s="404" t="e">
        <f t="shared" si="57"/>
        <v>#N/A</v>
      </c>
      <c r="Y100" s="538"/>
      <c r="Z100" s="404"/>
      <c r="AA100" s="182"/>
      <c r="AB100" s="405"/>
      <c r="AC100" s="404" t="e">
        <f t="shared" si="59"/>
        <v>#N/A</v>
      </c>
      <c r="AD100" s="538"/>
      <c r="AE100" s="404"/>
      <c r="AF100" s="182"/>
      <c r="AG100" s="405"/>
      <c r="AH100" s="404" t="e">
        <f t="shared" si="61"/>
        <v>#N/A</v>
      </c>
      <c r="AI100" s="538"/>
      <c r="AJ100" s="404"/>
      <c r="AK100" s="182"/>
      <c r="AL100" s="405"/>
      <c r="AM100" s="404" t="e">
        <f t="shared" si="63"/>
        <v>#N/A</v>
      </c>
      <c r="AN100" s="538"/>
      <c r="AO100" s="404"/>
      <c r="AP100" s="182"/>
      <c r="AQ100" s="405"/>
      <c r="AR100" s="404" t="e">
        <f t="shared" si="65"/>
        <v>#N/A</v>
      </c>
      <c r="AS100" s="538"/>
      <c r="AT100" s="404"/>
      <c r="AU100" s="182"/>
      <c r="AV100" s="405"/>
      <c r="AW100" s="404" t="e">
        <f t="shared" si="67"/>
        <v>#N/A</v>
      </c>
      <c r="AX100" s="534"/>
    </row>
    <row r="101" spans="2:50">
      <c r="B101" s="533"/>
      <c r="C101" s="404">
        <v>15</v>
      </c>
      <c r="D101" s="226"/>
      <c r="E101" s="182"/>
      <c r="F101" s="404"/>
      <c r="G101" s="405"/>
      <c r="H101" s="599"/>
      <c r="I101" s="408"/>
      <c r="J101" s="408"/>
      <c r="K101" s="406"/>
      <c r="L101" s="589"/>
      <c r="M101" s="408" t="e">
        <f>RANK(K101, K$87:$K$101)</f>
        <v>#N/A</v>
      </c>
      <c r="N101" s="544"/>
      <c r="O101" s="544"/>
      <c r="P101" s="404"/>
      <c r="Q101" s="182"/>
      <c r="R101" s="405"/>
      <c r="S101" s="404" t="e">
        <f t="shared" si="70"/>
        <v>#N/A</v>
      </c>
      <c r="T101" s="539"/>
      <c r="U101" s="404"/>
      <c r="V101" s="182"/>
      <c r="W101" s="405"/>
      <c r="X101" s="404" t="e">
        <f t="shared" si="57"/>
        <v>#N/A</v>
      </c>
      <c r="Y101" s="539"/>
      <c r="Z101" s="404"/>
      <c r="AA101" s="182"/>
      <c r="AB101" s="405"/>
      <c r="AC101" s="404" t="e">
        <f t="shared" si="59"/>
        <v>#N/A</v>
      </c>
      <c r="AD101" s="539"/>
      <c r="AE101" s="404"/>
      <c r="AF101" s="182"/>
      <c r="AG101" s="405"/>
      <c r="AH101" s="404" t="e">
        <f t="shared" si="61"/>
        <v>#N/A</v>
      </c>
      <c r="AI101" s="539"/>
      <c r="AJ101" s="404"/>
      <c r="AK101" s="182"/>
      <c r="AL101" s="405"/>
      <c r="AM101" s="404" t="e">
        <f t="shared" si="63"/>
        <v>#N/A</v>
      </c>
      <c r="AN101" s="539"/>
      <c r="AO101" s="404"/>
      <c r="AP101" s="182"/>
      <c r="AQ101" s="405"/>
      <c r="AR101" s="404" t="e">
        <f t="shared" si="65"/>
        <v>#N/A</v>
      </c>
      <c r="AS101" s="539"/>
      <c r="AT101" s="404"/>
      <c r="AU101" s="182"/>
      <c r="AV101" s="405"/>
      <c r="AW101" s="404" t="e">
        <f t="shared" si="67"/>
        <v>#N/A</v>
      </c>
      <c r="AX101" s="534"/>
    </row>
    <row r="102" spans="2:50" ht="15.5">
      <c r="B102" s="555" t="s">
        <v>163</v>
      </c>
      <c r="C102" s="556"/>
      <c r="D102" s="556"/>
      <c r="E102" s="556"/>
      <c r="F102" s="556"/>
      <c r="G102" s="556"/>
      <c r="H102" s="557"/>
      <c r="I102" s="208"/>
      <c r="J102" s="208"/>
      <c r="K102" s="208"/>
      <c r="L102" s="208"/>
      <c r="M102" s="207"/>
      <c r="N102" s="559" t="s">
        <v>156</v>
      </c>
      <c r="O102" s="559" t="s">
        <v>105</v>
      </c>
      <c r="P102" s="554">
        <f>P82+7</f>
        <v>46021</v>
      </c>
      <c r="Q102" s="533"/>
      <c r="R102" s="533"/>
      <c r="S102" s="533"/>
      <c r="T102" s="533"/>
      <c r="U102" s="551">
        <f>P102+1</f>
        <v>46022</v>
      </c>
      <c r="V102" s="552"/>
      <c r="W102" s="552"/>
      <c r="X102" s="552"/>
      <c r="Y102" s="553"/>
      <c r="Z102" s="551">
        <f>U102+1</f>
        <v>46023</v>
      </c>
      <c r="AA102" s="552"/>
      <c r="AB102" s="552"/>
      <c r="AC102" s="552"/>
      <c r="AD102" s="553"/>
      <c r="AE102" s="551">
        <f>Z102+1</f>
        <v>46024</v>
      </c>
      <c r="AF102" s="552"/>
      <c r="AG102" s="552"/>
      <c r="AH102" s="552"/>
      <c r="AI102" s="553"/>
      <c r="AJ102" s="551">
        <f>AE102+1</f>
        <v>46025</v>
      </c>
      <c r="AK102" s="552"/>
      <c r="AL102" s="552"/>
      <c r="AM102" s="552"/>
      <c r="AN102" s="553"/>
      <c r="AO102" s="551">
        <f>AJ102+1</f>
        <v>46026</v>
      </c>
      <c r="AP102" s="552"/>
      <c r="AQ102" s="552"/>
      <c r="AR102" s="552"/>
      <c r="AS102" s="553"/>
      <c r="AT102" s="551">
        <f>AO102+1</f>
        <v>46027</v>
      </c>
      <c r="AU102" s="552"/>
      <c r="AV102" s="552"/>
      <c r="AW102" s="552"/>
      <c r="AX102" s="553"/>
    </row>
    <row r="103" spans="2:50" ht="15.5">
      <c r="B103" s="558"/>
      <c r="C103" s="558"/>
      <c r="D103" s="558"/>
      <c r="E103" s="558"/>
      <c r="F103" s="558"/>
      <c r="G103" s="558"/>
      <c r="H103" s="558"/>
      <c r="I103" s="205"/>
      <c r="J103" s="205"/>
      <c r="K103" s="205"/>
      <c r="L103" s="205"/>
      <c r="M103" s="206"/>
      <c r="N103" s="560"/>
      <c r="O103" s="560"/>
      <c r="P103" s="554" t="s">
        <v>158</v>
      </c>
      <c r="Q103" s="533"/>
      <c r="R103" s="533"/>
      <c r="S103" s="533"/>
      <c r="T103" s="533"/>
      <c r="U103" s="554" t="s">
        <v>114</v>
      </c>
      <c r="V103" s="533"/>
      <c r="W103" s="533"/>
      <c r="X103" s="533"/>
      <c r="Y103" s="533"/>
      <c r="Z103" s="554" t="s">
        <v>159</v>
      </c>
      <c r="AA103" s="533"/>
      <c r="AB103" s="533"/>
      <c r="AC103" s="533"/>
      <c r="AD103" s="533"/>
      <c r="AE103" s="554" t="s">
        <v>157</v>
      </c>
      <c r="AF103" s="533"/>
      <c r="AG103" s="533"/>
      <c r="AH103" s="533"/>
      <c r="AI103" s="533"/>
      <c r="AJ103" s="554" t="s">
        <v>160</v>
      </c>
      <c r="AK103" s="533"/>
      <c r="AL103" s="533"/>
      <c r="AM103" s="533"/>
      <c r="AN103" s="533"/>
      <c r="AO103" s="554" t="s">
        <v>115</v>
      </c>
      <c r="AP103" s="533"/>
      <c r="AQ103" s="533"/>
      <c r="AR103" s="533"/>
      <c r="AS103" s="533"/>
      <c r="AT103" s="554" t="s">
        <v>162</v>
      </c>
      <c r="AU103" s="533"/>
      <c r="AV103" s="533"/>
      <c r="AW103" s="533"/>
      <c r="AX103" s="533"/>
    </row>
    <row r="104" spans="2:50">
      <c r="B104" s="544" t="s">
        <v>926</v>
      </c>
      <c r="C104" s="544" t="s">
        <v>927</v>
      </c>
      <c r="D104" s="544"/>
      <c r="E104" s="544" t="s">
        <v>928</v>
      </c>
      <c r="F104" s="544"/>
      <c r="G104" s="544"/>
      <c r="H104" s="561" t="s">
        <v>929</v>
      </c>
      <c r="I104" s="544" t="s">
        <v>930</v>
      </c>
      <c r="J104" s="544"/>
      <c r="K104" s="544"/>
      <c r="L104" s="561" t="s">
        <v>929</v>
      </c>
      <c r="M104" s="559" t="s">
        <v>931</v>
      </c>
      <c r="N104" s="544"/>
      <c r="O104" s="544" t="s">
        <v>892</v>
      </c>
      <c r="P104" s="548" t="s">
        <v>893</v>
      </c>
      <c r="Q104" s="549"/>
      <c r="R104" s="549"/>
      <c r="S104" s="550"/>
      <c r="T104" s="544" t="s">
        <v>889</v>
      </c>
      <c r="U104" s="548" t="s">
        <v>893</v>
      </c>
      <c r="V104" s="549"/>
      <c r="W104" s="549"/>
      <c r="X104" s="550"/>
      <c r="Y104" s="544" t="s">
        <v>889</v>
      </c>
      <c r="Z104" s="548" t="s">
        <v>423</v>
      </c>
      <c r="AA104" s="549"/>
      <c r="AB104" s="549"/>
      <c r="AC104" s="550"/>
      <c r="AD104" s="544" t="s">
        <v>421</v>
      </c>
      <c r="AE104" s="548" t="s">
        <v>423</v>
      </c>
      <c r="AF104" s="549"/>
      <c r="AG104" s="549"/>
      <c r="AH104" s="550"/>
      <c r="AI104" s="544" t="s">
        <v>421</v>
      </c>
      <c r="AJ104" s="548" t="s">
        <v>423</v>
      </c>
      <c r="AK104" s="549"/>
      <c r="AL104" s="549"/>
      <c r="AM104" s="550"/>
      <c r="AN104" s="544" t="s">
        <v>421</v>
      </c>
      <c r="AO104" s="548" t="s">
        <v>423</v>
      </c>
      <c r="AP104" s="549"/>
      <c r="AQ104" s="549"/>
      <c r="AR104" s="550"/>
      <c r="AS104" s="544" t="s">
        <v>421</v>
      </c>
      <c r="AT104" s="548" t="s">
        <v>423</v>
      </c>
      <c r="AU104" s="549"/>
      <c r="AV104" s="549"/>
      <c r="AW104" s="550"/>
      <c r="AX104" s="544" t="s">
        <v>421</v>
      </c>
    </row>
    <row r="105" spans="2:50">
      <c r="B105" s="544"/>
      <c r="C105" s="544"/>
      <c r="D105" s="544"/>
      <c r="E105" s="544" t="s">
        <v>933</v>
      </c>
      <c r="F105" s="544"/>
      <c r="G105" s="544"/>
      <c r="H105" s="562"/>
      <c r="I105" s="544" t="s">
        <v>933</v>
      </c>
      <c r="J105" s="544"/>
      <c r="K105" s="544"/>
      <c r="L105" s="562"/>
      <c r="M105" s="564"/>
      <c r="N105" s="544"/>
      <c r="O105" s="544"/>
      <c r="P105" s="548" t="s">
        <v>895</v>
      </c>
      <c r="Q105" s="549"/>
      <c r="R105" s="549"/>
      <c r="S105" s="550"/>
      <c r="T105" s="544"/>
      <c r="U105" s="548" t="s">
        <v>895</v>
      </c>
      <c r="V105" s="549"/>
      <c r="W105" s="549"/>
      <c r="X105" s="550"/>
      <c r="Y105" s="544"/>
      <c r="Z105" s="548" t="s">
        <v>429</v>
      </c>
      <c r="AA105" s="549"/>
      <c r="AB105" s="549"/>
      <c r="AC105" s="550"/>
      <c r="AD105" s="544"/>
      <c r="AE105" s="548" t="s">
        <v>429</v>
      </c>
      <c r="AF105" s="549"/>
      <c r="AG105" s="549"/>
      <c r="AH105" s="550"/>
      <c r="AI105" s="544"/>
      <c r="AJ105" s="548" t="s">
        <v>429</v>
      </c>
      <c r="AK105" s="549"/>
      <c r="AL105" s="549"/>
      <c r="AM105" s="550"/>
      <c r="AN105" s="544"/>
      <c r="AO105" s="548" t="s">
        <v>429</v>
      </c>
      <c r="AP105" s="549"/>
      <c r="AQ105" s="549"/>
      <c r="AR105" s="550"/>
      <c r="AS105" s="544"/>
      <c r="AT105" s="548" t="s">
        <v>429</v>
      </c>
      <c r="AU105" s="549"/>
      <c r="AV105" s="549"/>
      <c r="AW105" s="550"/>
      <c r="AX105" s="544"/>
    </row>
    <row r="106" spans="2:50">
      <c r="B106" s="544"/>
      <c r="C106" s="544"/>
      <c r="D106" s="544"/>
      <c r="E106" s="426" t="s">
        <v>934</v>
      </c>
      <c r="F106" s="426" t="s">
        <v>935</v>
      </c>
      <c r="G106" s="426" t="s">
        <v>936</v>
      </c>
      <c r="H106" s="563"/>
      <c r="I106" s="426" t="s">
        <v>934</v>
      </c>
      <c r="J106" s="426" t="s">
        <v>935</v>
      </c>
      <c r="K106" s="426" t="s">
        <v>936</v>
      </c>
      <c r="L106" s="563"/>
      <c r="M106" s="560"/>
      <c r="N106" s="544"/>
      <c r="O106" s="544"/>
      <c r="P106" s="426" t="s">
        <v>896</v>
      </c>
      <c r="Q106" s="426" t="s">
        <v>897</v>
      </c>
      <c r="R106" s="426" t="s">
        <v>898</v>
      </c>
      <c r="S106" s="426" t="s">
        <v>891</v>
      </c>
      <c r="T106" s="544"/>
      <c r="U106" s="426" t="s">
        <v>896</v>
      </c>
      <c r="V106" s="426" t="s">
        <v>897</v>
      </c>
      <c r="W106" s="426" t="s">
        <v>898</v>
      </c>
      <c r="X106" s="426" t="s">
        <v>891</v>
      </c>
      <c r="Y106" s="544"/>
      <c r="Z106" s="305" t="s">
        <v>430</v>
      </c>
      <c r="AA106" s="305" t="s">
        <v>431</v>
      </c>
      <c r="AB106" s="305" t="s">
        <v>432</v>
      </c>
      <c r="AC106" s="305" t="s">
        <v>422</v>
      </c>
      <c r="AD106" s="544"/>
      <c r="AE106" s="305" t="s">
        <v>430</v>
      </c>
      <c r="AF106" s="305" t="s">
        <v>431</v>
      </c>
      <c r="AG106" s="305" t="s">
        <v>432</v>
      </c>
      <c r="AH106" s="305" t="s">
        <v>422</v>
      </c>
      <c r="AI106" s="544"/>
      <c r="AJ106" s="305" t="s">
        <v>430</v>
      </c>
      <c r="AK106" s="305" t="s">
        <v>431</v>
      </c>
      <c r="AL106" s="305" t="s">
        <v>432</v>
      </c>
      <c r="AM106" s="305" t="s">
        <v>422</v>
      </c>
      <c r="AN106" s="544"/>
      <c r="AO106" s="305" t="s">
        <v>430</v>
      </c>
      <c r="AP106" s="305" t="s">
        <v>431</v>
      </c>
      <c r="AQ106" s="305" t="s">
        <v>432</v>
      </c>
      <c r="AR106" s="305" t="s">
        <v>422</v>
      </c>
      <c r="AS106" s="544"/>
      <c r="AT106" s="305" t="s">
        <v>430</v>
      </c>
      <c r="AU106" s="305" t="s">
        <v>431</v>
      </c>
      <c r="AV106" s="305" t="s">
        <v>432</v>
      </c>
      <c r="AW106" s="305" t="s">
        <v>422</v>
      </c>
      <c r="AX106" s="544"/>
    </row>
    <row r="107" spans="2:50">
      <c r="B107" s="544" t="s">
        <v>136</v>
      </c>
      <c r="C107" s="463">
        <v>1</v>
      </c>
      <c r="D107" s="467" t="s">
        <v>399</v>
      </c>
      <c r="E107" s="464">
        <v>6</v>
      </c>
      <c r="F107" s="464">
        <v>1500</v>
      </c>
      <c r="G107" s="464">
        <v>250</v>
      </c>
      <c r="H107" s="546">
        <f>AVERAGE(G107:G121)</f>
        <v>140.15</v>
      </c>
      <c r="I107" s="464">
        <f>AVERAGE(P107,U107,Z107,AE107,AJ107,AO107,AT107)</f>
        <v>6.5</v>
      </c>
      <c r="J107" s="464">
        <f>AVERAGE(Q107,V107,AA107,AF107,AK107,AP107,AU107)</f>
        <v>1319.5195832529423</v>
      </c>
      <c r="K107" s="465">
        <f>AVERAGE(R107,W107,AB107,AG107,AL107,AQ107,AV107)</f>
        <v>204.26600700090955</v>
      </c>
      <c r="L107" s="546">
        <f>AVERAGE(K107:K121)</f>
        <v>121.72055236055876</v>
      </c>
      <c r="M107" s="464">
        <f>RANK(K107, K$107:$K$121)</f>
        <v>3</v>
      </c>
      <c r="N107" s="544"/>
      <c r="O107" s="544"/>
      <c r="P107" s="463">
        <v>6</v>
      </c>
      <c r="Q107" s="464">
        <v>1324.1095890410957</v>
      </c>
      <c r="R107" s="464">
        <v>220.68493150684927</v>
      </c>
      <c r="S107" s="463">
        <f>RANK(R107, R$107:R$121)</f>
        <v>3</v>
      </c>
      <c r="T107" s="536">
        <f>AVERAGE(R107:R121)</f>
        <v>128.43092342909142</v>
      </c>
      <c r="U107" s="463">
        <v>7</v>
      </c>
      <c r="V107" s="464">
        <v>1314.929577464789</v>
      </c>
      <c r="W107" s="464">
        <v>187.84708249496984</v>
      </c>
      <c r="X107" s="463">
        <f>RANK(W107, W$107:W$121)</f>
        <v>3</v>
      </c>
      <c r="Y107" s="536">
        <f>AVERAGE(W107:W121)</f>
        <v>115.01018129202609</v>
      </c>
      <c r="Z107" s="182"/>
      <c r="AA107" s="182"/>
      <c r="AB107" s="319"/>
      <c r="AC107" s="315" t="e">
        <f>RANK(AB107, AB$107:AB$121)</f>
        <v>#N/A</v>
      </c>
      <c r="AD107" s="537" t="e">
        <f>AVERAGE(AB107:AB121)</f>
        <v>#DIV/0!</v>
      </c>
      <c r="AE107" s="182"/>
      <c r="AF107" s="182"/>
      <c r="AG107" s="319"/>
      <c r="AH107" s="315" t="e">
        <f>RANK(AG107, AG$107:AG$121)</f>
        <v>#N/A</v>
      </c>
      <c r="AI107" s="537" t="e">
        <f>AVERAGE(AG107:AG121)</f>
        <v>#DIV/0!</v>
      </c>
      <c r="AJ107" s="182"/>
      <c r="AK107" s="182"/>
      <c r="AL107" s="319"/>
      <c r="AM107" s="315" t="e">
        <f>RANK(AL107, AL$107:AL$121)</f>
        <v>#N/A</v>
      </c>
      <c r="AN107" s="537" t="e">
        <f>AVERAGE(AL107:AL121)</f>
        <v>#DIV/0!</v>
      </c>
      <c r="AO107" s="182"/>
      <c r="AP107" s="182"/>
      <c r="AQ107" s="319"/>
      <c r="AR107" s="315" t="e">
        <f>RANK(AQ107, AQ$107:AQ$121)</f>
        <v>#N/A</v>
      </c>
      <c r="AS107" s="537" t="e">
        <f>AVERAGE(AQ107:AQ121)</f>
        <v>#DIV/0!</v>
      </c>
      <c r="AT107" s="182"/>
      <c r="AU107" s="182"/>
      <c r="AV107" s="319"/>
      <c r="AW107" s="315" t="e">
        <f>RANK(AV107, AV$107:AV$121)</f>
        <v>#N/A</v>
      </c>
      <c r="AX107" s="537" t="e">
        <f>AVERAGE(AV107:AV121)</f>
        <v>#DIV/0!</v>
      </c>
    </row>
    <row r="108" spans="2:50">
      <c r="B108" s="565"/>
      <c r="C108" s="463">
        <v>2</v>
      </c>
      <c r="D108" s="467" t="s">
        <v>400</v>
      </c>
      <c r="E108" s="464">
        <v>6</v>
      </c>
      <c r="F108" s="464">
        <v>1500</v>
      </c>
      <c r="G108" s="464">
        <v>250</v>
      </c>
      <c r="H108" s="547"/>
      <c r="I108" s="464">
        <f t="shared" ref="I108:K114" si="71">AVERAGE(P108,U108,Z108,AE108,AJ108,AO108,AT108)</f>
        <v>6.5</v>
      </c>
      <c r="J108" s="464">
        <f t="shared" si="71"/>
        <v>1489.0836120401341</v>
      </c>
      <c r="K108" s="465">
        <f t="shared" si="71"/>
        <v>230.52842809364552</v>
      </c>
      <c r="L108" s="547"/>
      <c r="M108" s="464">
        <f>RANK(K108, K$107:$K$121)</f>
        <v>2</v>
      </c>
      <c r="N108" s="544"/>
      <c r="O108" s="544"/>
      <c r="P108" s="463">
        <v>6</v>
      </c>
      <c r="Q108" s="464">
        <v>1495.3846153846157</v>
      </c>
      <c r="R108" s="464">
        <v>249.23076923076928</v>
      </c>
      <c r="S108" s="463">
        <f t="shared" ref="S108:S121" si="72">RANK(R108, R$107:R$121)</f>
        <v>1</v>
      </c>
      <c r="T108" s="536"/>
      <c r="U108" s="463">
        <v>7</v>
      </c>
      <c r="V108" s="464">
        <v>1482.7826086956522</v>
      </c>
      <c r="W108" s="464">
        <v>211.82608695652175</v>
      </c>
      <c r="X108" s="463">
        <f t="shared" ref="X108:X121" si="73">RANK(W108, W$107:W$121)</f>
        <v>2</v>
      </c>
      <c r="Y108" s="536"/>
      <c r="Z108" s="318"/>
      <c r="AA108" s="182"/>
      <c r="AB108" s="319"/>
      <c r="AC108" s="315" t="e">
        <f t="shared" ref="AC108:AC113" si="74">RANK(AB108, AB$107:AB$121)</f>
        <v>#N/A</v>
      </c>
      <c r="AD108" s="538"/>
      <c r="AE108" s="318"/>
      <c r="AF108" s="182"/>
      <c r="AG108" s="319"/>
      <c r="AH108" s="315" t="e">
        <f t="shared" ref="AH108:AH113" si="75">RANK(AG108, AG$107:AG$121)</f>
        <v>#N/A</v>
      </c>
      <c r="AI108" s="538"/>
      <c r="AJ108" s="318"/>
      <c r="AK108" s="182"/>
      <c r="AL108" s="319"/>
      <c r="AM108" s="315" t="e">
        <f t="shared" ref="AM108:AM113" si="76">RANK(AL108, AL$107:AL$121)</f>
        <v>#N/A</v>
      </c>
      <c r="AN108" s="538"/>
      <c r="AO108" s="318"/>
      <c r="AP108" s="182"/>
      <c r="AQ108" s="319"/>
      <c r="AR108" s="315" t="e">
        <f t="shared" ref="AR108:AR113" si="77">RANK(AQ108, AQ$107:AQ$121)</f>
        <v>#N/A</v>
      </c>
      <c r="AS108" s="538"/>
      <c r="AT108" s="318"/>
      <c r="AU108" s="182"/>
      <c r="AV108" s="319"/>
      <c r="AW108" s="315" t="e">
        <f t="shared" ref="AW108:AW113" si="78">RANK(AV108, AV$107:AV$121)</f>
        <v>#N/A</v>
      </c>
      <c r="AX108" s="538"/>
    </row>
    <row r="109" spans="2:50">
      <c r="B109" s="565"/>
      <c r="C109" s="463">
        <v>3</v>
      </c>
      <c r="D109" s="467" t="s">
        <v>349</v>
      </c>
      <c r="E109" s="464">
        <v>19</v>
      </c>
      <c r="F109" s="464">
        <v>1500</v>
      </c>
      <c r="G109" s="464">
        <v>78.900000000000006</v>
      </c>
      <c r="H109" s="547"/>
      <c r="I109" s="464">
        <f t="shared" si="71"/>
        <v>18</v>
      </c>
      <c r="J109" s="464">
        <f t="shared" si="71"/>
        <v>1210.0281773399015</v>
      </c>
      <c r="K109" s="465">
        <f t="shared" si="71"/>
        <v>67.223787629994519</v>
      </c>
      <c r="L109" s="547"/>
      <c r="M109" s="464">
        <f>RANK(K109, K$107:$K$121)</f>
        <v>6</v>
      </c>
      <c r="N109" s="544"/>
      <c r="O109" s="544"/>
      <c r="P109" s="463">
        <v>18</v>
      </c>
      <c r="Q109" s="464">
        <v>1206.6620689655174</v>
      </c>
      <c r="R109" s="464">
        <v>67.036781609195415</v>
      </c>
      <c r="S109" s="463">
        <f t="shared" si="72"/>
        <v>6</v>
      </c>
      <c r="T109" s="536"/>
      <c r="U109" s="463">
        <v>18</v>
      </c>
      <c r="V109" s="464">
        <v>1213.3942857142854</v>
      </c>
      <c r="W109" s="464">
        <v>67.410793650793636</v>
      </c>
      <c r="X109" s="463">
        <f t="shared" si="73"/>
        <v>5</v>
      </c>
      <c r="Y109" s="536"/>
      <c r="Z109" s="318"/>
      <c r="AA109" s="182"/>
      <c r="AB109" s="319"/>
      <c r="AC109" s="315" t="e">
        <f t="shared" si="74"/>
        <v>#N/A</v>
      </c>
      <c r="AD109" s="538"/>
      <c r="AE109" s="318"/>
      <c r="AF109" s="182"/>
      <c r="AG109" s="319"/>
      <c r="AH109" s="315" t="e">
        <f t="shared" si="75"/>
        <v>#N/A</v>
      </c>
      <c r="AI109" s="538"/>
      <c r="AJ109" s="318"/>
      <c r="AK109" s="182"/>
      <c r="AL109" s="319"/>
      <c r="AM109" s="315" t="e">
        <f t="shared" si="76"/>
        <v>#N/A</v>
      </c>
      <c r="AN109" s="538"/>
      <c r="AO109" s="318"/>
      <c r="AP109" s="182"/>
      <c r="AQ109" s="319"/>
      <c r="AR109" s="315" t="e">
        <f t="shared" si="77"/>
        <v>#N/A</v>
      </c>
      <c r="AS109" s="538"/>
      <c r="AT109" s="318"/>
      <c r="AU109" s="182"/>
      <c r="AV109" s="319"/>
      <c r="AW109" s="315" t="e">
        <f t="shared" si="78"/>
        <v>#N/A</v>
      </c>
      <c r="AX109" s="538"/>
    </row>
    <row r="110" spans="2:50">
      <c r="B110" s="565"/>
      <c r="C110" s="463">
        <v>4</v>
      </c>
      <c r="D110" s="313" t="s">
        <v>938</v>
      </c>
      <c r="E110" s="464">
        <v>17</v>
      </c>
      <c r="F110" s="464">
        <v>1440</v>
      </c>
      <c r="G110" s="464">
        <v>84.7</v>
      </c>
      <c r="H110" s="547"/>
      <c r="I110" s="464">
        <f t="shared" si="71"/>
        <v>17</v>
      </c>
      <c r="J110" s="464">
        <f t="shared" si="71"/>
        <v>1166.7419354838721</v>
      </c>
      <c r="K110" s="465">
        <f t="shared" si="71"/>
        <v>68.631878557874842</v>
      </c>
      <c r="L110" s="547"/>
      <c r="M110" s="464">
        <f>RANK(K110, K$107:$K$121)</f>
        <v>5</v>
      </c>
      <c r="N110" s="544"/>
      <c r="O110" s="544"/>
      <c r="P110" s="463">
        <v>17</v>
      </c>
      <c r="Q110" s="464">
        <v>1238.0000000000014</v>
      </c>
      <c r="R110" s="464">
        <v>72.823529411764781</v>
      </c>
      <c r="S110" s="463">
        <f t="shared" si="72"/>
        <v>4</v>
      </c>
      <c r="T110" s="536"/>
      <c r="U110" s="463">
        <v>17</v>
      </c>
      <c r="V110" s="464">
        <v>1095.4838709677431</v>
      </c>
      <c r="W110" s="464">
        <v>64.440227703984888</v>
      </c>
      <c r="X110" s="463">
        <f t="shared" si="73"/>
        <v>6</v>
      </c>
      <c r="Y110" s="536"/>
      <c r="Z110" s="318"/>
      <c r="AA110" s="182"/>
      <c r="AB110" s="319"/>
      <c r="AC110" s="315" t="e">
        <f t="shared" si="74"/>
        <v>#N/A</v>
      </c>
      <c r="AD110" s="538"/>
      <c r="AE110" s="318"/>
      <c r="AF110" s="182"/>
      <c r="AG110" s="319"/>
      <c r="AH110" s="315" t="e">
        <f t="shared" si="75"/>
        <v>#N/A</v>
      </c>
      <c r="AI110" s="538"/>
      <c r="AJ110" s="318"/>
      <c r="AK110" s="182"/>
      <c r="AL110" s="319"/>
      <c r="AM110" s="315" t="e">
        <f t="shared" si="76"/>
        <v>#N/A</v>
      </c>
      <c r="AN110" s="538"/>
      <c r="AO110" s="318"/>
      <c r="AP110" s="182"/>
      <c r="AQ110" s="319"/>
      <c r="AR110" s="315" t="e">
        <f t="shared" si="77"/>
        <v>#N/A</v>
      </c>
      <c r="AS110" s="538"/>
      <c r="AT110" s="318"/>
      <c r="AU110" s="182"/>
      <c r="AV110" s="319"/>
      <c r="AW110" s="315" t="e">
        <f t="shared" si="78"/>
        <v>#N/A</v>
      </c>
      <c r="AX110" s="538"/>
    </row>
    <row r="111" spans="2:50">
      <c r="B111" s="565"/>
      <c r="C111" s="463">
        <v>5</v>
      </c>
      <c r="D111" s="467" t="s">
        <v>448</v>
      </c>
      <c r="E111" s="464">
        <v>6</v>
      </c>
      <c r="F111" s="464">
        <v>1500</v>
      </c>
      <c r="G111" s="464">
        <v>250</v>
      </c>
      <c r="H111" s="547"/>
      <c r="I111" s="464">
        <f t="shared" si="71"/>
        <v>6.5</v>
      </c>
      <c r="J111" s="464">
        <f t="shared" si="71"/>
        <v>1493.8267923177857</v>
      </c>
      <c r="K111" s="465">
        <f t="shared" si="71"/>
        <v>231.10538334384211</v>
      </c>
      <c r="L111" s="547"/>
      <c r="M111" s="464">
        <f>RANK(K111, K$107:$K$121)</f>
        <v>1</v>
      </c>
      <c r="N111" s="544"/>
      <c r="O111" s="544"/>
      <c r="P111" s="463">
        <v>6</v>
      </c>
      <c r="Q111" s="464">
        <v>1486.9306930693069</v>
      </c>
      <c r="R111" s="464">
        <v>247.82178217821783</v>
      </c>
      <c r="S111" s="463">
        <f t="shared" si="72"/>
        <v>2</v>
      </c>
      <c r="T111" s="536"/>
      <c r="U111" s="463">
        <v>7</v>
      </c>
      <c r="V111" s="464">
        <v>1500.7228915662645</v>
      </c>
      <c r="W111" s="464">
        <v>214.38898450946635</v>
      </c>
      <c r="X111" s="463">
        <f t="shared" si="73"/>
        <v>1</v>
      </c>
      <c r="Y111" s="536"/>
      <c r="Z111" s="318"/>
      <c r="AA111" s="182"/>
      <c r="AB111" s="319"/>
      <c r="AC111" s="315" t="e">
        <f t="shared" si="74"/>
        <v>#N/A</v>
      </c>
      <c r="AD111" s="538"/>
      <c r="AE111" s="318"/>
      <c r="AF111" s="182"/>
      <c r="AG111" s="319"/>
      <c r="AH111" s="315" t="e">
        <f t="shared" si="75"/>
        <v>#N/A</v>
      </c>
      <c r="AI111" s="538"/>
      <c r="AJ111" s="318"/>
      <c r="AK111" s="182"/>
      <c r="AL111" s="319"/>
      <c r="AM111" s="315" t="e">
        <f t="shared" si="76"/>
        <v>#N/A</v>
      </c>
      <c r="AN111" s="538"/>
      <c r="AO111" s="318"/>
      <c r="AP111" s="182"/>
      <c r="AQ111" s="319"/>
      <c r="AR111" s="315" t="e">
        <f t="shared" si="77"/>
        <v>#N/A</v>
      </c>
      <c r="AS111" s="538"/>
      <c r="AT111" s="318"/>
      <c r="AU111" s="182"/>
      <c r="AV111" s="319"/>
      <c r="AW111" s="315" t="e">
        <f t="shared" si="78"/>
        <v>#N/A</v>
      </c>
      <c r="AX111" s="538"/>
    </row>
    <row r="112" spans="2:50">
      <c r="B112" s="565"/>
      <c r="C112" s="463">
        <v>6</v>
      </c>
      <c r="D112" s="467" t="s">
        <v>484</v>
      </c>
      <c r="E112" s="464">
        <v>19</v>
      </c>
      <c r="F112" s="464">
        <v>1440</v>
      </c>
      <c r="G112" s="464">
        <v>75.8</v>
      </c>
      <c r="H112" s="547"/>
      <c r="I112" s="464">
        <f t="shared" si="71"/>
        <v>18</v>
      </c>
      <c r="J112" s="464">
        <f t="shared" si="71"/>
        <v>1282.8673469387754</v>
      </c>
      <c r="K112" s="465">
        <f t="shared" si="71"/>
        <v>71.270408163265301</v>
      </c>
      <c r="L112" s="547"/>
      <c r="M112" s="464">
        <f>RANK(K112, K$107:$K$121)</f>
        <v>4</v>
      </c>
      <c r="N112" s="544"/>
      <c r="O112" s="544"/>
      <c r="P112" s="463">
        <v>18</v>
      </c>
      <c r="Q112" s="464">
        <v>1268.9999999999995</v>
      </c>
      <c r="R112" s="464">
        <v>70.499999999999972</v>
      </c>
      <c r="S112" s="463">
        <f t="shared" si="72"/>
        <v>5</v>
      </c>
      <c r="T112" s="536"/>
      <c r="U112" s="463">
        <v>18</v>
      </c>
      <c r="V112" s="464">
        <v>1296.7346938775513</v>
      </c>
      <c r="W112" s="464">
        <v>72.040816326530631</v>
      </c>
      <c r="X112" s="463">
        <f t="shared" si="73"/>
        <v>4</v>
      </c>
      <c r="Y112" s="536"/>
      <c r="Z112" s="318"/>
      <c r="AA112" s="182"/>
      <c r="AB112" s="319"/>
      <c r="AC112" s="315" t="e">
        <f t="shared" si="74"/>
        <v>#N/A</v>
      </c>
      <c r="AD112" s="538"/>
      <c r="AE112" s="318"/>
      <c r="AF112" s="182"/>
      <c r="AG112" s="319"/>
      <c r="AH112" s="315" t="e">
        <f t="shared" si="75"/>
        <v>#N/A</v>
      </c>
      <c r="AI112" s="538"/>
      <c r="AJ112" s="318"/>
      <c r="AK112" s="182"/>
      <c r="AL112" s="319"/>
      <c r="AM112" s="315" t="e">
        <f t="shared" si="76"/>
        <v>#N/A</v>
      </c>
      <c r="AN112" s="538"/>
      <c r="AO112" s="318"/>
      <c r="AP112" s="182"/>
      <c r="AQ112" s="319"/>
      <c r="AR112" s="315" t="e">
        <f t="shared" si="77"/>
        <v>#N/A</v>
      </c>
      <c r="AS112" s="538"/>
      <c r="AT112" s="318"/>
      <c r="AU112" s="182"/>
      <c r="AV112" s="319"/>
      <c r="AW112" s="315" t="e">
        <f t="shared" si="78"/>
        <v>#N/A</v>
      </c>
      <c r="AX112" s="538"/>
    </row>
    <row r="113" spans="2:50">
      <c r="B113" s="565"/>
      <c r="C113" s="463">
        <v>7</v>
      </c>
      <c r="D113" s="313" t="s">
        <v>939</v>
      </c>
      <c r="E113" s="464">
        <v>21</v>
      </c>
      <c r="F113" s="464">
        <v>1385</v>
      </c>
      <c r="G113" s="464">
        <v>65.900000000000006</v>
      </c>
      <c r="H113" s="547"/>
      <c r="I113" s="464">
        <f t="shared" si="71"/>
        <v>20</v>
      </c>
      <c r="J113" s="464">
        <f t="shared" si="71"/>
        <v>1074.8780487804884</v>
      </c>
      <c r="K113" s="465">
        <f t="shared" si="71"/>
        <v>53.743902439024424</v>
      </c>
      <c r="L113" s="547"/>
      <c r="M113" s="464">
        <f>RANK(K113, K$107:$K$121)</f>
        <v>7</v>
      </c>
      <c r="N113" s="544"/>
      <c r="O113" s="544"/>
      <c r="P113" s="463">
        <v>20</v>
      </c>
      <c r="Q113" s="464">
        <v>1053.6585365853675</v>
      </c>
      <c r="R113" s="464">
        <v>52.682926829268375</v>
      </c>
      <c r="S113" s="463">
        <f t="shared" si="72"/>
        <v>7</v>
      </c>
      <c r="T113" s="536"/>
      <c r="U113" s="463">
        <v>20</v>
      </c>
      <c r="V113" s="464">
        <v>1096.0975609756094</v>
      </c>
      <c r="W113" s="464">
        <v>54.804878048780473</v>
      </c>
      <c r="X113" s="463">
        <f t="shared" si="73"/>
        <v>7</v>
      </c>
      <c r="Y113" s="536"/>
      <c r="Z113" s="318"/>
      <c r="AA113" s="182"/>
      <c r="AB113" s="319"/>
      <c r="AC113" s="315" t="e">
        <f t="shared" si="74"/>
        <v>#N/A</v>
      </c>
      <c r="AD113" s="538"/>
      <c r="AE113" s="318"/>
      <c r="AF113" s="182"/>
      <c r="AG113" s="319"/>
      <c r="AH113" s="315" t="e">
        <f t="shared" si="75"/>
        <v>#N/A</v>
      </c>
      <c r="AI113" s="538"/>
      <c r="AJ113" s="318"/>
      <c r="AK113" s="182"/>
      <c r="AL113" s="319"/>
      <c r="AM113" s="315" t="e">
        <f t="shared" si="76"/>
        <v>#N/A</v>
      </c>
      <c r="AN113" s="538"/>
      <c r="AO113" s="318"/>
      <c r="AP113" s="182"/>
      <c r="AQ113" s="319"/>
      <c r="AR113" s="315" t="e">
        <f t="shared" si="77"/>
        <v>#N/A</v>
      </c>
      <c r="AS113" s="538"/>
      <c r="AT113" s="318"/>
      <c r="AU113" s="182"/>
      <c r="AV113" s="319"/>
      <c r="AW113" s="315" t="e">
        <f t="shared" si="78"/>
        <v>#N/A</v>
      </c>
      <c r="AX113" s="538"/>
    </row>
    <row r="114" spans="2:50">
      <c r="B114" s="565"/>
      <c r="C114" s="463">
        <v>8</v>
      </c>
      <c r="D114" s="313" t="s">
        <v>940</v>
      </c>
      <c r="E114" s="464">
        <v>21</v>
      </c>
      <c r="F114" s="464">
        <v>1385</v>
      </c>
      <c r="G114" s="464">
        <v>65.900000000000006</v>
      </c>
      <c r="H114" s="547"/>
      <c r="I114" s="464">
        <f t="shared" si="71"/>
        <v>20</v>
      </c>
      <c r="J114" s="464">
        <f t="shared" si="71"/>
        <v>939.89247311827842</v>
      </c>
      <c r="K114" s="465">
        <f t="shared" si="71"/>
        <v>46.994623655913919</v>
      </c>
      <c r="L114" s="547"/>
      <c r="M114" s="464">
        <f>RANK(K114, K$107:$K$121)</f>
        <v>8</v>
      </c>
      <c r="N114" s="544"/>
      <c r="O114" s="544"/>
      <c r="P114" s="463">
        <v>20</v>
      </c>
      <c r="Q114" s="464">
        <v>933.33333333333258</v>
      </c>
      <c r="R114" s="464">
        <v>46.666666666666629</v>
      </c>
      <c r="S114" s="463">
        <f t="shared" si="72"/>
        <v>8</v>
      </c>
      <c r="T114" s="536"/>
      <c r="U114" s="463">
        <v>20</v>
      </c>
      <c r="V114" s="464">
        <v>946.45161290322426</v>
      </c>
      <c r="W114" s="464">
        <v>47.32258064516121</v>
      </c>
      <c r="X114" s="463">
        <f t="shared" si="73"/>
        <v>8</v>
      </c>
      <c r="Y114" s="536"/>
      <c r="Z114" s="318"/>
      <c r="AA114" s="182"/>
      <c r="AB114" s="319"/>
      <c r="AC114" s="314" t="e">
        <f t="shared" ref="AC114:AC121" si="79">RANK(AB114, AB$107:AB$121)</f>
        <v>#N/A</v>
      </c>
      <c r="AD114" s="538"/>
      <c r="AE114" s="318"/>
      <c r="AF114" s="182"/>
      <c r="AG114" s="319"/>
      <c r="AH114" s="314" t="e">
        <f t="shared" ref="AH114:AH121" si="80">RANK(AG114, AG$107:AG$121)</f>
        <v>#N/A</v>
      </c>
      <c r="AI114" s="538"/>
      <c r="AJ114" s="318"/>
      <c r="AK114" s="182"/>
      <c r="AL114" s="319"/>
      <c r="AM114" s="314" t="e">
        <f t="shared" ref="AM114:AM121" si="81">RANK(AL114, AL$107:AL$121)</f>
        <v>#N/A</v>
      </c>
      <c r="AN114" s="538"/>
      <c r="AO114" s="318"/>
      <c r="AP114" s="182"/>
      <c r="AQ114" s="319"/>
      <c r="AR114" s="314" t="e">
        <f t="shared" ref="AR114:AR121" si="82">RANK(AQ114, AQ$107:AQ$121)</f>
        <v>#N/A</v>
      </c>
      <c r="AS114" s="538"/>
      <c r="AT114" s="318"/>
      <c r="AU114" s="182"/>
      <c r="AV114" s="319"/>
      <c r="AW114" s="314" t="e">
        <f t="shared" ref="AW114:AW121" si="83">RANK(AV114, AV$107:AV$121)</f>
        <v>#N/A</v>
      </c>
      <c r="AX114" s="538"/>
    </row>
    <row r="115" spans="2:50">
      <c r="B115" s="565"/>
      <c r="C115" s="463">
        <v>9</v>
      </c>
      <c r="D115" s="467"/>
      <c r="E115" s="464" t="s">
        <v>578</v>
      </c>
      <c r="F115" s="464" t="s">
        <v>578</v>
      </c>
      <c r="G115" s="464" t="s">
        <v>578</v>
      </c>
      <c r="H115" s="547"/>
      <c r="I115" s="464"/>
      <c r="J115" s="464"/>
      <c r="K115" s="465"/>
      <c r="L115" s="547"/>
      <c r="M115" s="464" t="e">
        <f>RANK(K115, K$107:$K$121)</f>
        <v>#N/A</v>
      </c>
      <c r="N115" s="544"/>
      <c r="O115" s="544"/>
      <c r="P115" s="463" t="s">
        <v>578</v>
      </c>
      <c r="Q115" s="464" t="s">
        <v>578</v>
      </c>
      <c r="R115" s="464" t="s">
        <v>578</v>
      </c>
      <c r="S115" s="463" t="e">
        <f t="shared" si="72"/>
        <v>#VALUE!</v>
      </c>
      <c r="T115" s="536"/>
      <c r="U115" s="463" t="s">
        <v>578</v>
      </c>
      <c r="V115" s="464" t="s">
        <v>578</v>
      </c>
      <c r="W115" s="464" t="s">
        <v>578</v>
      </c>
      <c r="X115" s="463" t="e">
        <f t="shared" si="73"/>
        <v>#VALUE!</v>
      </c>
      <c r="Y115" s="536"/>
      <c r="Z115" s="318"/>
      <c r="AA115" s="182"/>
      <c r="AB115" s="319"/>
      <c r="AC115" s="314" t="e">
        <f t="shared" si="79"/>
        <v>#N/A</v>
      </c>
      <c r="AD115" s="538"/>
      <c r="AE115" s="318"/>
      <c r="AF115" s="182"/>
      <c r="AG115" s="319"/>
      <c r="AH115" s="314" t="e">
        <f t="shared" si="80"/>
        <v>#N/A</v>
      </c>
      <c r="AI115" s="538"/>
      <c r="AJ115" s="318"/>
      <c r="AK115" s="182"/>
      <c r="AL115" s="319"/>
      <c r="AM115" s="314" t="e">
        <f t="shared" si="81"/>
        <v>#N/A</v>
      </c>
      <c r="AN115" s="538"/>
      <c r="AO115" s="318"/>
      <c r="AP115" s="182"/>
      <c r="AQ115" s="319"/>
      <c r="AR115" s="314" t="e">
        <f t="shared" si="82"/>
        <v>#N/A</v>
      </c>
      <c r="AS115" s="538"/>
      <c r="AT115" s="318"/>
      <c r="AU115" s="182"/>
      <c r="AV115" s="319"/>
      <c r="AW115" s="314" t="e">
        <f t="shared" si="83"/>
        <v>#N/A</v>
      </c>
      <c r="AX115" s="538"/>
    </row>
    <row r="116" spans="2:50">
      <c r="B116" s="565"/>
      <c r="C116" s="463">
        <v>10</v>
      </c>
      <c r="D116" s="467"/>
      <c r="E116" s="464" t="s">
        <v>578</v>
      </c>
      <c r="F116" s="464" t="s">
        <v>578</v>
      </c>
      <c r="G116" s="464" t="s">
        <v>578</v>
      </c>
      <c r="H116" s="547"/>
      <c r="I116" s="464"/>
      <c r="J116" s="464"/>
      <c r="K116" s="465"/>
      <c r="L116" s="547"/>
      <c r="M116" s="464" t="e">
        <f>RANK(K116, K$107:$K$121)</f>
        <v>#N/A</v>
      </c>
      <c r="N116" s="544"/>
      <c r="O116" s="544"/>
      <c r="P116" s="463" t="s">
        <v>578</v>
      </c>
      <c r="Q116" s="464" t="s">
        <v>578</v>
      </c>
      <c r="R116" s="464" t="s">
        <v>578</v>
      </c>
      <c r="S116" s="463" t="e">
        <f t="shared" si="72"/>
        <v>#VALUE!</v>
      </c>
      <c r="T116" s="536"/>
      <c r="U116" s="463" t="s">
        <v>578</v>
      </c>
      <c r="V116" s="464" t="s">
        <v>578</v>
      </c>
      <c r="W116" s="464" t="s">
        <v>578</v>
      </c>
      <c r="X116" s="463" t="e">
        <f t="shared" si="73"/>
        <v>#VALUE!</v>
      </c>
      <c r="Y116" s="536"/>
      <c r="Z116" s="318"/>
      <c r="AA116" s="182"/>
      <c r="AB116" s="319"/>
      <c r="AC116" s="314" t="e">
        <f t="shared" si="79"/>
        <v>#N/A</v>
      </c>
      <c r="AD116" s="538"/>
      <c r="AE116" s="318"/>
      <c r="AF116" s="182"/>
      <c r="AG116" s="319"/>
      <c r="AH116" s="314" t="e">
        <f t="shared" si="80"/>
        <v>#N/A</v>
      </c>
      <c r="AI116" s="538"/>
      <c r="AJ116" s="318"/>
      <c r="AK116" s="182"/>
      <c r="AL116" s="319"/>
      <c r="AM116" s="314" t="e">
        <f t="shared" si="81"/>
        <v>#N/A</v>
      </c>
      <c r="AN116" s="538"/>
      <c r="AO116" s="318"/>
      <c r="AP116" s="182"/>
      <c r="AQ116" s="319"/>
      <c r="AR116" s="314" t="e">
        <f t="shared" si="82"/>
        <v>#N/A</v>
      </c>
      <c r="AS116" s="538"/>
      <c r="AT116" s="318"/>
      <c r="AU116" s="182"/>
      <c r="AV116" s="319"/>
      <c r="AW116" s="314" t="e">
        <f t="shared" si="83"/>
        <v>#N/A</v>
      </c>
      <c r="AX116" s="538"/>
    </row>
    <row r="117" spans="2:50">
      <c r="B117" s="565"/>
      <c r="C117" s="463">
        <v>11</v>
      </c>
      <c r="D117" s="467"/>
      <c r="E117" s="464" t="s">
        <v>578</v>
      </c>
      <c r="F117" s="464" t="s">
        <v>578</v>
      </c>
      <c r="G117" s="464" t="s">
        <v>578</v>
      </c>
      <c r="H117" s="547"/>
      <c r="I117" s="463"/>
      <c r="J117" s="463"/>
      <c r="K117" s="463"/>
      <c r="L117" s="547"/>
      <c r="M117" s="464" t="e">
        <f>RANK(K117, K$107:$K$121)</f>
        <v>#N/A</v>
      </c>
      <c r="N117" s="544"/>
      <c r="O117" s="544"/>
      <c r="P117" s="463" t="s">
        <v>578</v>
      </c>
      <c r="Q117" s="464" t="s">
        <v>578</v>
      </c>
      <c r="R117" s="464" t="s">
        <v>578</v>
      </c>
      <c r="S117" s="463" t="e">
        <f t="shared" si="72"/>
        <v>#VALUE!</v>
      </c>
      <c r="T117" s="536"/>
      <c r="U117" s="463" t="s">
        <v>578</v>
      </c>
      <c r="V117" s="464" t="s">
        <v>578</v>
      </c>
      <c r="W117" s="464" t="s">
        <v>578</v>
      </c>
      <c r="X117" s="463" t="e">
        <f t="shared" si="73"/>
        <v>#VALUE!</v>
      </c>
      <c r="Y117" s="536"/>
      <c r="Z117" s="318"/>
      <c r="AA117" s="182"/>
      <c r="AB117" s="319"/>
      <c r="AC117" s="314" t="e">
        <f t="shared" si="79"/>
        <v>#N/A</v>
      </c>
      <c r="AD117" s="538"/>
      <c r="AE117" s="318"/>
      <c r="AF117" s="182"/>
      <c r="AG117" s="319"/>
      <c r="AH117" s="314" t="e">
        <f t="shared" si="80"/>
        <v>#N/A</v>
      </c>
      <c r="AI117" s="538"/>
      <c r="AJ117" s="318"/>
      <c r="AK117" s="182"/>
      <c r="AL117" s="319"/>
      <c r="AM117" s="314" t="e">
        <f t="shared" si="81"/>
        <v>#N/A</v>
      </c>
      <c r="AN117" s="538"/>
      <c r="AO117" s="318"/>
      <c r="AP117" s="182"/>
      <c r="AQ117" s="319"/>
      <c r="AR117" s="314" t="e">
        <f t="shared" si="82"/>
        <v>#N/A</v>
      </c>
      <c r="AS117" s="538"/>
      <c r="AT117" s="318"/>
      <c r="AU117" s="182"/>
      <c r="AV117" s="319"/>
      <c r="AW117" s="314" t="e">
        <f t="shared" si="83"/>
        <v>#N/A</v>
      </c>
      <c r="AX117" s="538"/>
    </row>
    <row r="118" spans="2:50">
      <c r="B118" s="565"/>
      <c r="C118" s="463">
        <v>12</v>
      </c>
      <c r="D118" s="467"/>
      <c r="E118" s="464" t="s">
        <v>578</v>
      </c>
      <c r="F118" s="464" t="s">
        <v>578</v>
      </c>
      <c r="G118" s="464" t="s">
        <v>578</v>
      </c>
      <c r="H118" s="547"/>
      <c r="I118" s="463"/>
      <c r="J118" s="463"/>
      <c r="K118" s="463"/>
      <c r="L118" s="547"/>
      <c r="M118" s="464" t="e">
        <f>RANK(K118, K$107:$K$121)</f>
        <v>#N/A</v>
      </c>
      <c r="N118" s="544"/>
      <c r="O118" s="544"/>
      <c r="P118" s="463" t="s">
        <v>578</v>
      </c>
      <c r="Q118" s="464" t="s">
        <v>578</v>
      </c>
      <c r="R118" s="464" t="s">
        <v>578</v>
      </c>
      <c r="S118" s="463" t="e">
        <f t="shared" si="72"/>
        <v>#VALUE!</v>
      </c>
      <c r="T118" s="536"/>
      <c r="U118" s="463" t="s">
        <v>578</v>
      </c>
      <c r="V118" s="464" t="s">
        <v>578</v>
      </c>
      <c r="W118" s="464" t="s">
        <v>578</v>
      </c>
      <c r="X118" s="463" t="e">
        <f t="shared" si="73"/>
        <v>#VALUE!</v>
      </c>
      <c r="Y118" s="536"/>
      <c r="Z118" s="318"/>
      <c r="AA118" s="182"/>
      <c r="AB118" s="319"/>
      <c r="AC118" s="314" t="e">
        <f t="shared" si="79"/>
        <v>#N/A</v>
      </c>
      <c r="AD118" s="538"/>
      <c r="AE118" s="318"/>
      <c r="AF118" s="182"/>
      <c r="AG118" s="319"/>
      <c r="AH118" s="314" t="e">
        <f t="shared" si="80"/>
        <v>#N/A</v>
      </c>
      <c r="AI118" s="538"/>
      <c r="AJ118" s="318"/>
      <c r="AK118" s="182"/>
      <c r="AL118" s="319"/>
      <c r="AM118" s="314" t="e">
        <f t="shared" si="81"/>
        <v>#N/A</v>
      </c>
      <c r="AN118" s="538"/>
      <c r="AO118" s="318"/>
      <c r="AP118" s="182"/>
      <c r="AQ118" s="319"/>
      <c r="AR118" s="314" t="e">
        <f t="shared" si="82"/>
        <v>#N/A</v>
      </c>
      <c r="AS118" s="538"/>
      <c r="AT118" s="318"/>
      <c r="AU118" s="182"/>
      <c r="AV118" s="319"/>
      <c r="AW118" s="314" t="e">
        <f t="shared" si="83"/>
        <v>#N/A</v>
      </c>
      <c r="AX118" s="538"/>
    </row>
    <row r="119" spans="2:50">
      <c r="B119" s="565"/>
      <c r="C119" s="463">
        <v>13</v>
      </c>
      <c r="D119" s="467"/>
      <c r="E119" s="464" t="s">
        <v>578</v>
      </c>
      <c r="F119" s="464" t="s">
        <v>578</v>
      </c>
      <c r="G119" s="464" t="s">
        <v>578</v>
      </c>
      <c r="H119" s="547"/>
      <c r="I119" s="463"/>
      <c r="J119" s="463"/>
      <c r="K119" s="463"/>
      <c r="L119" s="547"/>
      <c r="M119" s="464" t="e">
        <f>RANK(K119, K$107:$K$121)</f>
        <v>#N/A</v>
      </c>
      <c r="N119" s="544"/>
      <c r="O119" s="544"/>
      <c r="P119" s="463" t="s">
        <v>578</v>
      </c>
      <c r="Q119" s="464" t="s">
        <v>578</v>
      </c>
      <c r="R119" s="464" t="s">
        <v>578</v>
      </c>
      <c r="S119" s="463" t="e">
        <f t="shared" si="72"/>
        <v>#VALUE!</v>
      </c>
      <c r="T119" s="536"/>
      <c r="U119" s="463" t="s">
        <v>578</v>
      </c>
      <c r="V119" s="464" t="s">
        <v>578</v>
      </c>
      <c r="W119" s="464" t="s">
        <v>578</v>
      </c>
      <c r="X119" s="463" t="e">
        <f t="shared" si="73"/>
        <v>#VALUE!</v>
      </c>
      <c r="Y119" s="536"/>
      <c r="Z119" s="318"/>
      <c r="AA119" s="182"/>
      <c r="AB119" s="319"/>
      <c r="AC119" s="314" t="e">
        <f t="shared" si="79"/>
        <v>#N/A</v>
      </c>
      <c r="AD119" s="538"/>
      <c r="AE119" s="318"/>
      <c r="AF119" s="182"/>
      <c r="AG119" s="319"/>
      <c r="AH119" s="314" t="e">
        <f t="shared" si="80"/>
        <v>#N/A</v>
      </c>
      <c r="AI119" s="538"/>
      <c r="AJ119" s="318"/>
      <c r="AK119" s="182"/>
      <c r="AL119" s="319"/>
      <c r="AM119" s="314" t="e">
        <f t="shared" si="81"/>
        <v>#N/A</v>
      </c>
      <c r="AN119" s="538"/>
      <c r="AO119" s="318"/>
      <c r="AP119" s="182"/>
      <c r="AQ119" s="319"/>
      <c r="AR119" s="314" t="e">
        <f t="shared" si="82"/>
        <v>#N/A</v>
      </c>
      <c r="AS119" s="538"/>
      <c r="AT119" s="318"/>
      <c r="AU119" s="182"/>
      <c r="AV119" s="319"/>
      <c r="AW119" s="314" t="e">
        <f t="shared" si="83"/>
        <v>#N/A</v>
      </c>
      <c r="AX119" s="538"/>
    </row>
    <row r="120" spans="2:50">
      <c r="B120" s="565"/>
      <c r="C120" s="463">
        <v>14</v>
      </c>
      <c r="D120" s="467"/>
      <c r="E120" s="464" t="s">
        <v>578</v>
      </c>
      <c r="F120" s="464" t="s">
        <v>578</v>
      </c>
      <c r="G120" s="464" t="s">
        <v>578</v>
      </c>
      <c r="H120" s="547"/>
      <c r="I120" s="463"/>
      <c r="J120" s="463"/>
      <c r="K120" s="463"/>
      <c r="L120" s="547"/>
      <c r="M120" s="464" t="e">
        <f>RANK(K120, K$107:$K$121)</f>
        <v>#N/A</v>
      </c>
      <c r="N120" s="544"/>
      <c r="O120" s="544"/>
      <c r="P120" s="463" t="s">
        <v>578</v>
      </c>
      <c r="Q120" s="464" t="s">
        <v>578</v>
      </c>
      <c r="R120" s="464" t="s">
        <v>578</v>
      </c>
      <c r="S120" s="463" t="e">
        <f t="shared" si="72"/>
        <v>#VALUE!</v>
      </c>
      <c r="T120" s="536"/>
      <c r="U120" s="463" t="s">
        <v>578</v>
      </c>
      <c r="V120" s="464" t="s">
        <v>578</v>
      </c>
      <c r="W120" s="464" t="s">
        <v>578</v>
      </c>
      <c r="X120" s="463" t="e">
        <f t="shared" si="73"/>
        <v>#VALUE!</v>
      </c>
      <c r="Y120" s="536"/>
      <c r="Z120" s="318"/>
      <c r="AA120" s="182"/>
      <c r="AB120" s="319"/>
      <c r="AC120" s="314" t="e">
        <f t="shared" si="79"/>
        <v>#N/A</v>
      </c>
      <c r="AD120" s="538"/>
      <c r="AE120" s="318"/>
      <c r="AF120" s="182"/>
      <c r="AG120" s="319"/>
      <c r="AH120" s="314" t="e">
        <f t="shared" si="80"/>
        <v>#N/A</v>
      </c>
      <c r="AI120" s="538"/>
      <c r="AJ120" s="318"/>
      <c r="AK120" s="182"/>
      <c r="AL120" s="319"/>
      <c r="AM120" s="314" t="e">
        <f t="shared" si="81"/>
        <v>#N/A</v>
      </c>
      <c r="AN120" s="538"/>
      <c r="AO120" s="318"/>
      <c r="AP120" s="182"/>
      <c r="AQ120" s="319"/>
      <c r="AR120" s="314" t="e">
        <f t="shared" si="82"/>
        <v>#N/A</v>
      </c>
      <c r="AS120" s="538"/>
      <c r="AT120" s="318"/>
      <c r="AU120" s="182"/>
      <c r="AV120" s="319"/>
      <c r="AW120" s="314" t="e">
        <f t="shared" si="83"/>
        <v>#N/A</v>
      </c>
      <c r="AX120" s="538"/>
    </row>
    <row r="121" spans="2:50">
      <c r="B121" s="565"/>
      <c r="C121" s="463">
        <v>15</v>
      </c>
      <c r="D121" s="467"/>
      <c r="E121" s="464" t="s">
        <v>578</v>
      </c>
      <c r="F121" s="464" t="s">
        <v>578</v>
      </c>
      <c r="G121" s="464" t="s">
        <v>578</v>
      </c>
      <c r="H121" s="606"/>
      <c r="I121" s="463"/>
      <c r="J121" s="463"/>
      <c r="K121" s="463"/>
      <c r="L121" s="606"/>
      <c r="M121" s="464" t="e">
        <f>RANK(K121, K$107:$K$121)</f>
        <v>#N/A</v>
      </c>
      <c r="N121" s="544"/>
      <c r="O121" s="544"/>
      <c r="P121" s="463" t="s">
        <v>578</v>
      </c>
      <c r="Q121" s="464" t="s">
        <v>578</v>
      </c>
      <c r="R121" s="464" t="s">
        <v>578</v>
      </c>
      <c r="S121" s="463" t="e">
        <f t="shared" si="72"/>
        <v>#VALUE!</v>
      </c>
      <c r="T121" s="536"/>
      <c r="U121" s="463" t="s">
        <v>578</v>
      </c>
      <c r="V121" s="464" t="s">
        <v>578</v>
      </c>
      <c r="W121" s="464" t="s">
        <v>578</v>
      </c>
      <c r="X121" s="463" t="e">
        <f t="shared" si="73"/>
        <v>#VALUE!</v>
      </c>
      <c r="Y121" s="536"/>
      <c r="Z121" s="318"/>
      <c r="AA121" s="182"/>
      <c r="AB121" s="319"/>
      <c r="AC121" s="314" t="e">
        <f t="shared" si="79"/>
        <v>#N/A</v>
      </c>
      <c r="AD121" s="539"/>
      <c r="AE121" s="318"/>
      <c r="AF121" s="182"/>
      <c r="AG121" s="319"/>
      <c r="AH121" s="314" t="e">
        <f t="shared" si="80"/>
        <v>#N/A</v>
      </c>
      <c r="AI121" s="539"/>
      <c r="AJ121" s="318"/>
      <c r="AK121" s="182"/>
      <c r="AL121" s="319"/>
      <c r="AM121" s="314" t="e">
        <f t="shared" si="81"/>
        <v>#N/A</v>
      </c>
      <c r="AN121" s="539"/>
      <c r="AO121" s="318"/>
      <c r="AP121" s="182"/>
      <c r="AQ121" s="319"/>
      <c r="AR121" s="314" t="e">
        <f t="shared" si="82"/>
        <v>#N/A</v>
      </c>
      <c r="AS121" s="539"/>
      <c r="AT121" s="318"/>
      <c r="AU121" s="182"/>
      <c r="AV121" s="319"/>
      <c r="AW121" s="314" t="e">
        <f t="shared" si="83"/>
        <v>#N/A</v>
      </c>
      <c r="AX121" s="539"/>
    </row>
    <row r="123" spans="2:50" ht="15.5">
      <c r="B123" s="540" t="s">
        <v>485</v>
      </c>
      <c r="C123" s="541"/>
      <c r="D123" s="541"/>
      <c r="E123" s="541"/>
      <c r="F123" s="541"/>
      <c r="G123" s="541"/>
      <c r="H123" s="542"/>
      <c r="I123" s="308"/>
      <c r="J123" s="308"/>
      <c r="K123" s="308"/>
      <c r="L123" s="308"/>
      <c r="M123" s="309"/>
    </row>
    <row r="124" spans="2:50" ht="15.5">
      <c r="B124" s="543"/>
      <c r="C124" s="543"/>
      <c r="D124" s="543"/>
      <c r="E124" s="543"/>
      <c r="F124" s="543"/>
      <c r="G124" s="543"/>
      <c r="H124" s="543"/>
      <c r="I124" s="310"/>
      <c r="J124" s="310"/>
      <c r="K124" s="310"/>
      <c r="L124" s="310"/>
      <c r="M124" s="311"/>
    </row>
    <row r="125" spans="2:50">
      <c r="B125" s="544" t="s">
        <v>486</v>
      </c>
      <c r="C125" s="544" t="s">
        <v>487</v>
      </c>
      <c r="D125" s="544"/>
      <c r="E125" s="544" t="s">
        <v>488</v>
      </c>
      <c r="F125" s="544"/>
      <c r="G125" s="544"/>
      <c r="H125" s="561" t="s">
        <v>489</v>
      </c>
      <c r="I125" s="545" t="s">
        <v>490</v>
      </c>
      <c r="J125" s="545"/>
      <c r="K125" s="545"/>
      <c r="L125" s="600" t="s">
        <v>489</v>
      </c>
      <c r="M125" s="603" t="s">
        <v>491</v>
      </c>
    </row>
    <row r="126" spans="2:50">
      <c r="B126" s="544"/>
      <c r="C126" s="544"/>
      <c r="D126" s="544"/>
      <c r="E126" s="544" t="s">
        <v>492</v>
      </c>
      <c r="F126" s="544"/>
      <c r="G126" s="544"/>
      <c r="H126" s="562"/>
      <c r="I126" s="545" t="s">
        <v>492</v>
      </c>
      <c r="J126" s="545"/>
      <c r="K126" s="545"/>
      <c r="L126" s="601"/>
      <c r="M126" s="604"/>
    </row>
    <row r="127" spans="2:50">
      <c r="B127" s="544"/>
      <c r="C127" s="544"/>
      <c r="D127" s="544"/>
      <c r="E127" s="305" t="s">
        <v>493</v>
      </c>
      <c r="F127" s="305" t="s">
        <v>494</v>
      </c>
      <c r="G127" s="305" t="s">
        <v>495</v>
      </c>
      <c r="H127" s="563"/>
      <c r="I127" s="312" t="s">
        <v>493</v>
      </c>
      <c r="J127" s="312" t="s">
        <v>494</v>
      </c>
      <c r="K127" s="312" t="s">
        <v>495</v>
      </c>
      <c r="L127" s="602"/>
      <c r="M127" s="605"/>
    </row>
    <row r="128" spans="2:50">
      <c r="B128" s="544" t="s">
        <v>500</v>
      </c>
      <c r="C128" s="304">
        <v>1</v>
      </c>
      <c r="D128" s="226" t="s">
        <v>399</v>
      </c>
      <c r="E128" s="182">
        <v>7</v>
      </c>
      <c r="F128" s="304">
        <v>1500</v>
      </c>
      <c r="G128" s="307">
        <v>214.28571428571428</v>
      </c>
      <c r="H128" s="597">
        <f>AVERAGE(G128:G142)</f>
        <v>123.60609243697479</v>
      </c>
      <c r="I128" s="199">
        <f t="shared" ref="I128:J135" si="84">AVERAGEIF($D$7:$D$121,$D128,I$7:I$121)</f>
        <v>6.583333333333333</v>
      </c>
      <c r="J128" s="199">
        <f t="shared" si="84"/>
        <v>1318.0395760298554</v>
      </c>
      <c r="K128" s="468">
        <f t="shared" ref="K128:K135" si="85">AVERAGEIF($D$7:$D$121,$D128,K$7:K$121)</f>
        <v>201.30440733435898</v>
      </c>
      <c r="L128" s="587">
        <f>AVERAGE(K128:K142)</f>
        <v>119.11370110269714</v>
      </c>
      <c r="M128" s="199">
        <f>RANK(K128, K$128:$K$142)</f>
        <v>3</v>
      </c>
    </row>
    <row r="129" spans="2:13">
      <c r="B129" s="533"/>
      <c r="C129" s="304">
        <v>2</v>
      </c>
      <c r="D129" s="226" t="s">
        <v>400</v>
      </c>
      <c r="E129" s="182">
        <v>7</v>
      </c>
      <c r="F129" s="304">
        <v>1500</v>
      </c>
      <c r="G129" s="307">
        <v>214.28571428571428</v>
      </c>
      <c r="H129" s="598"/>
      <c r="I129" s="199">
        <f t="shared" si="84"/>
        <v>6.583333333333333</v>
      </c>
      <c r="J129" s="199">
        <f t="shared" si="84"/>
        <v>1419.3479386027959</v>
      </c>
      <c r="K129" s="468">
        <f t="shared" si="85"/>
        <v>216.73439623291998</v>
      </c>
      <c r="L129" s="588"/>
      <c r="M129" s="199">
        <f>RANK(K129, K$128:$K$142)</f>
        <v>1</v>
      </c>
    </row>
    <row r="130" spans="2:13">
      <c r="B130" s="533"/>
      <c r="C130" s="304">
        <v>3</v>
      </c>
      <c r="D130" s="226" t="s">
        <v>349</v>
      </c>
      <c r="E130" s="182">
        <v>20</v>
      </c>
      <c r="F130" s="304">
        <v>1500</v>
      </c>
      <c r="G130" s="307">
        <v>75</v>
      </c>
      <c r="H130" s="598"/>
      <c r="I130" s="199">
        <f t="shared" si="84"/>
        <v>18.214285714285712</v>
      </c>
      <c r="J130" s="199">
        <f t="shared" si="84"/>
        <v>1269.491492744113</v>
      </c>
      <c r="K130" s="468">
        <f t="shared" si="85"/>
        <v>69.714152141818303</v>
      </c>
      <c r="L130" s="588"/>
      <c r="M130" s="199">
        <f>RANK(K130, K$128:$K$142)</f>
        <v>6</v>
      </c>
    </row>
    <row r="131" spans="2:13">
      <c r="B131" s="533"/>
      <c r="C131" s="304">
        <v>4</v>
      </c>
      <c r="D131" s="313" t="s">
        <v>994</v>
      </c>
      <c r="E131" s="182">
        <v>17</v>
      </c>
      <c r="F131" s="304">
        <v>1440</v>
      </c>
      <c r="G131" s="307">
        <v>84.705882352941174</v>
      </c>
      <c r="H131" s="598"/>
      <c r="I131" s="199">
        <f t="shared" si="84"/>
        <v>17.19047619047619</v>
      </c>
      <c r="J131" s="199">
        <f t="shared" si="84"/>
        <v>1211.6291954692683</v>
      </c>
      <c r="K131" s="468">
        <f t="shared" si="85"/>
        <v>70.478567287174528</v>
      </c>
      <c r="L131" s="588"/>
      <c r="M131" s="199">
        <f>RANK(K131, K$128:$K$142)</f>
        <v>5</v>
      </c>
    </row>
    <row r="132" spans="2:13">
      <c r="B132" s="533"/>
      <c r="C132" s="304">
        <v>5</v>
      </c>
      <c r="D132" s="226" t="s">
        <v>448</v>
      </c>
      <c r="E132" s="182">
        <v>7</v>
      </c>
      <c r="F132" s="304">
        <v>1500</v>
      </c>
      <c r="G132" s="307">
        <v>214.28571428571428</v>
      </c>
      <c r="H132" s="598"/>
      <c r="I132" s="199">
        <f t="shared" si="84"/>
        <v>6.583333333333333</v>
      </c>
      <c r="J132" s="199">
        <f t="shared" si="84"/>
        <v>1419.088951476313</v>
      </c>
      <c r="K132" s="468">
        <f t="shared" si="85"/>
        <v>216.69504001773896</v>
      </c>
      <c r="L132" s="588"/>
      <c r="M132" s="199">
        <f>RANK(K132, K$128:$K$142)</f>
        <v>2</v>
      </c>
    </row>
    <row r="133" spans="2:13">
      <c r="B133" s="533"/>
      <c r="C133" s="304">
        <v>6</v>
      </c>
      <c r="D133" s="313" t="s">
        <v>995</v>
      </c>
      <c r="E133" s="182">
        <v>20</v>
      </c>
      <c r="F133" s="304">
        <v>1440</v>
      </c>
      <c r="G133" s="307">
        <v>72</v>
      </c>
      <c r="H133" s="598"/>
      <c r="I133" s="199">
        <f t="shared" si="84"/>
        <v>18.023809523809522</v>
      </c>
      <c r="J133" s="199">
        <f t="shared" si="84"/>
        <v>1278.3720462824892</v>
      </c>
      <c r="K133" s="468">
        <f t="shared" si="85"/>
        <v>70.933172718840595</v>
      </c>
      <c r="L133" s="588"/>
      <c r="M133" s="199">
        <f>RANK(K133, K$128:$K$142)</f>
        <v>4</v>
      </c>
    </row>
    <row r="134" spans="2:13">
      <c r="B134" s="533"/>
      <c r="C134" s="304">
        <v>7</v>
      </c>
      <c r="D134" s="313" t="s">
        <v>992</v>
      </c>
      <c r="E134" s="182">
        <v>21</v>
      </c>
      <c r="F134" s="304">
        <v>1200</v>
      </c>
      <c r="G134" s="307">
        <v>57.142857142857146</v>
      </c>
      <c r="H134" s="598"/>
      <c r="I134" s="401">
        <f t="shared" si="84"/>
        <v>20</v>
      </c>
      <c r="J134" s="401">
        <f t="shared" si="84"/>
        <v>1092.9244229284041</v>
      </c>
      <c r="K134" s="468">
        <f t="shared" si="85"/>
        <v>54.646221146420203</v>
      </c>
      <c r="L134" s="588"/>
      <c r="M134" s="199">
        <f>RANK(K134, K$128:$K$142)</f>
        <v>7</v>
      </c>
    </row>
    <row r="135" spans="2:13">
      <c r="B135" s="533"/>
      <c r="C135" s="304">
        <v>8</v>
      </c>
      <c r="D135" s="313" t="s">
        <v>993</v>
      </c>
      <c r="E135" s="182">
        <v>21</v>
      </c>
      <c r="F135" s="304">
        <v>1200</v>
      </c>
      <c r="G135" s="307">
        <v>57.142857142857146</v>
      </c>
      <c r="H135" s="598"/>
      <c r="I135" s="401">
        <f t="shared" si="84"/>
        <v>20.166666666666668</v>
      </c>
      <c r="J135" s="401">
        <f t="shared" si="84"/>
        <v>1056.6889712003604</v>
      </c>
      <c r="K135" s="468">
        <f t="shared" si="85"/>
        <v>52.403651942305515</v>
      </c>
      <c r="L135" s="588"/>
      <c r="M135" s="199">
        <f>RANK(K135, K$128:$K$142)</f>
        <v>8</v>
      </c>
    </row>
    <row r="136" spans="2:13">
      <c r="B136" s="533"/>
      <c r="C136" s="304">
        <v>9</v>
      </c>
      <c r="D136" s="226"/>
      <c r="E136" s="304"/>
      <c r="F136" s="304"/>
      <c r="G136" s="304"/>
      <c r="H136" s="598"/>
      <c r="I136" s="199"/>
      <c r="J136" s="199"/>
      <c r="K136" s="468"/>
      <c r="L136" s="588"/>
      <c r="M136" s="199" t="e">
        <f>RANK(K136, K$128:$K$142)</f>
        <v>#N/A</v>
      </c>
    </row>
    <row r="137" spans="2:13">
      <c r="B137" s="533"/>
      <c r="C137" s="304">
        <v>10</v>
      </c>
      <c r="D137" s="226"/>
      <c r="E137" s="304"/>
      <c r="F137" s="304"/>
      <c r="G137" s="304"/>
      <c r="H137" s="598"/>
      <c r="I137" s="199"/>
      <c r="J137" s="199"/>
      <c r="K137" s="468"/>
      <c r="L137" s="588"/>
      <c r="M137" s="199" t="e">
        <f>RANK(K137, K$128:$K$142)</f>
        <v>#N/A</v>
      </c>
    </row>
    <row r="138" spans="2:13">
      <c r="B138" s="533"/>
      <c r="C138" s="304">
        <v>11</v>
      </c>
      <c r="D138" s="226"/>
      <c r="E138" s="304"/>
      <c r="F138" s="304"/>
      <c r="G138" s="304"/>
      <c r="H138" s="598"/>
      <c r="I138" s="199"/>
      <c r="J138" s="199"/>
      <c r="K138" s="468"/>
      <c r="L138" s="588"/>
      <c r="M138" s="199" t="e">
        <f>RANK(K138, K$128:$K$142)</f>
        <v>#N/A</v>
      </c>
    </row>
    <row r="139" spans="2:13">
      <c r="B139" s="533"/>
      <c r="C139" s="304">
        <v>12</v>
      </c>
      <c r="D139" s="226"/>
      <c r="E139" s="304"/>
      <c r="F139" s="304"/>
      <c r="G139" s="304"/>
      <c r="H139" s="598"/>
      <c r="I139" s="199"/>
      <c r="J139" s="199"/>
      <c r="K139" s="468"/>
      <c r="L139" s="588"/>
      <c r="M139" s="199" t="e">
        <f>RANK(K139, K$128:$K$142)</f>
        <v>#N/A</v>
      </c>
    </row>
    <row r="140" spans="2:13">
      <c r="B140" s="533"/>
      <c r="C140" s="304">
        <v>13</v>
      </c>
      <c r="D140" s="226"/>
      <c r="E140" s="304"/>
      <c r="F140" s="304"/>
      <c r="G140" s="304"/>
      <c r="H140" s="598"/>
      <c r="I140" s="199"/>
      <c r="J140" s="199"/>
      <c r="K140" s="468"/>
      <c r="L140" s="588"/>
      <c r="M140" s="199" t="e">
        <f>RANK(K140, K$128:$K$142)</f>
        <v>#N/A</v>
      </c>
    </row>
    <row r="141" spans="2:13">
      <c r="B141" s="533"/>
      <c r="C141" s="304">
        <v>14</v>
      </c>
      <c r="D141" s="226"/>
      <c r="E141" s="304"/>
      <c r="F141" s="304"/>
      <c r="G141" s="304"/>
      <c r="H141" s="598"/>
      <c r="I141" s="199"/>
      <c r="J141" s="199"/>
      <c r="K141" s="468"/>
      <c r="L141" s="588"/>
      <c r="M141" s="199" t="e">
        <f>RANK(K141, K$128:$K$142)</f>
        <v>#N/A</v>
      </c>
    </row>
    <row r="142" spans="2:13">
      <c r="B142" s="533"/>
      <c r="C142" s="304">
        <v>15</v>
      </c>
      <c r="D142" s="226"/>
      <c r="E142" s="304"/>
      <c r="F142" s="304"/>
      <c r="G142" s="304"/>
      <c r="H142" s="599"/>
      <c r="I142" s="199"/>
      <c r="J142" s="199"/>
      <c r="K142" s="468"/>
      <c r="L142" s="589"/>
      <c r="M142" s="199" t="e">
        <f>RANK(K142, K$128:$K$142)</f>
        <v>#N/A</v>
      </c>
    </row>
  </sheetData>
  <mergeCells count="367">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T22:AX22"/>
    <mergeCell ref="P23:T23"/>
    <mergeCell ref="U23:Y23"/>
    <mergeCell ref="Z23:AD23"/>
    <mergeCell ref="AE23:AI23"/>
    <mergeCell ref="AJ23:AN23"/>
    <mergeCell ref="AO23:AS23"/>
    <mergeCell ref="AT23:AX23"/>
    <mergeCell ref="AX7:AX21"/>
    <mergeCell ref="B22:H23"/>
    <mergeCell ref="N22:N23"/>
    <mergeCell ref="O22:O23"/>
    <mergeCell ref="P22:T22"/>
    <mergeCell ref="U22:Y22"/>
    <mergeCell ref="Z22:AD22"/>
    <mergeCell ref="AE22:AI22"/>
    <mergeCell ref="AJ22:AN22"/>
    <mergeCell ref="AO22:AS22"/>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102:H103"/>
    <mergeCell ref="N102:N103"/>
    <mergeCell ref="O102:O103"/>
    <mergeCell ref="P102:T102"/>
    <mergeCell ref="U102:Y102"/>
    <mergeCell ref="Z102:AD102"/>
    <mergeCell ref="AE102:AI102"/>
    <mergeCell ref="AJ102:AN102"/>
    <mergeCell ref="AO102:AS102"/>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s>
  <phoneticPr fontId="11" type="noConversion"/>
  <pageMargins left="0.7" right="0.7" top="0.75" bottom="0.75" header="0.3" footer="0.3"/>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M35"/>
  <sheetViews>
    <sheetView zoomScaleNormal="100" zoomScaleSheetLayoutView="100" workbookViewId="0">
      <selection activeCell="I32" sqref="I32"/>
    </sheetView>
  </sheetViews>
  <sheetFormatPr defaultColWidth="12.54296875" defaultRowHeight="15.75" customHeight="1"/>
  <cols>
    <col min="1" max="1" width="6.453125" style="120" customWidth="1"/>
    <col min="2" max="10" width="11.54296875" style="120" customWidth="1"/>
    <col min="11" max="12" width="12.81640625" style="120" customWidth="1"/>
    <col min="13" max="13" width="12.54296875" style="121"/>
    <col min="14" max="16384" width="12.54296875" style="120"/>
  </cols>
  <sheetData>
    <row r="1" spans="1:13" ht="15.75" customHeight="1">
      <c r="A1" s="504" t="s">
        <v>204</v>
      </c>
      <c r="B1" s="504"/>
      <c r="C1" s="504"/>
      <c r="D1" s="504"/>
      <c r="E1" s="504"/>
      <c r="F1" s="504"/>
      <c r="G1" s="504"/>
      <c r="H1" s="504"/>
      <c r="I1" s="504"/>
      <c r="J1" s="504"/>
      <c r="K1" s="504"/>
      <c r="L1" s="504"/>
      <c r="M1" s="120"/>
    </row>
    <row r="2" spans="1:13" s="121" customFormat="1" ht="15.75" customHeight="1">
      <c r="A2" s="504"/>
      <c r="B2" s="504"/>
      <c r="C2" s="504"/>
      <c r="D2" s="504"/>
      <c r="E2" s="504"/>
      <c r="F2" s="504"/>
      <c r="G2" s="504"/>
      <c r="H2" s="504"/>
      <c r="I2" s="504"/>
      <c r="J2" s="504"/>
      <c r="K2" s="504"/>
      <c r="L2" s="504"/>
    </row>
    <row r="3" spans="1:13" ht="15.75" customHeight="1">
      <c r="A3" s="635" t="s">
        <v>205</v>
      </c>
      <c r="B3" s="636"/>
      <c r="C3" s="636"/>
      <c r="D3" s="636"/>
      <c r="E3" s="636"/>
      <c r="F3" s="636"/>
      <c r="G3" s="636"/>
      <c r="H3" s="636"/>
      <c r="I3" s="636"/>
      <c r="J3" s="636"/>
      <c r="K3" s="636"/>
      <c r="L3" s="636"/>
      <c r="M3" s="152"/>
    </row>
    <row r="4" spans="1:13" s="121" customFormat="1" ht="15.75" customHeight="1">
      <c r="A4" s="636"/>
      <c r="B4" s="636"/>
      <c r="C4" s="636"/>
      <c r="D4" s="636"/>
      <c r="E4" s="636"/>
      <c r="F4" s="636"/>
      <c r="G4" s="636"/>
      <c r="H4" s="636"/>
      <c r="I4" s="636"/>
      <c r="J4" s="636"/>
      <c r="K4" s="636"/>
      <c r="L4" s="636"/>
      <c r="M4" s="131"/>
    </row>
    <row r="5" spans="1:13" s="154" customFormat="1" ht="16.399999999999999" customHeight="1">
      <c r="A5" s="631" t="s">
        <v>154</v>
      </c>
      <c r="B5" s="166">
        <v>1</v>
      </c>
      <c r="C5" s="166">
        <v>2</v>
      </c>
      <c r="D5" s="156">
        <v>3</v>
      </c>
      <c r="E5" s="156">
        <v>4</v>
      </c>
      <c r="F5" s="156">
        <v>5</v>
      </c>
      <c r="G5" s="156">
        <v>6</v>
      </c>
      <c r="H5" s="156">
        <v>7</v>
      </c>
      <c r="I5" s="156">
        <v>8</v>
      </c>
      <c r="J5" s="156">
        <v>9</v>
      </c>
      <c r="K5" s="153"/>
      <c r="L5" s="153"/>
      <c r="M5" s="153"/>
    </row>
    <row r="6" spans="1:13" ht="16.399999999999999" customHeight="1">
      <c r="A6" s="631"/>
      <c r="B6" s="167" t="s">
        <v>206</v>
      </c>
      <c r="C6" s="167" t="s">
        <v>151</v>
      </c>
      <c r="D6" s="157" t="s">
        <v>207</v>
      </c>
      <c r="E6" s="157" t="s">
        <v>153</v>
      </c>
      <c r="F6" s="158" t="s">
        <v>133</v>
      </c>
      <c r="G6" s="159" t="s">
        <v>131</v>
      </c>
      <c r="H6" s="160" t="s">
        <v>208</v>
      </c>
      <c r="I6" s="159" t="s">
        <v>209</v>
      </c>
      <c r="J6" s="159" t="s">
        <v>137</v>
      </c>
      <c r="K6" s="155"/>
      <c r="L6" s="155"/>
      <c r="M6" s="131"/>
    </row>
    <row r="7" spans="1:13" s="154" customFormat="1" ht="15.75" customHeight="1">
      <c r="A7" s="632" t="s">
        <v>941</v>
      </c>
      <c r="B7" s="633"/>
      <c r="C7" s="430" t="s">
        <v>942</v>
      </c>
      <c r="D7" s="632" t="s">
        <v>12</v>
      </c>
      <c r="E7" s="634"/>
      <c r="F7" s="633"/>
      <c r="G7" s="430" t="s">
        <v>943</v>
      </c>
      <c r="H7" s="430" t="s">
        <v>944</v>
      </c>
      <c r="I7" s="430" t="s">
        <v>945</v>
      </c>
      <c r="J7" s="222" t="s">
        <v>946</v>
      </c>
      <c r="K7" s="632" t="s">
        <v>947</v>
      </c>
      <c r="L7" s="633"/>
      <c r="M7" s="153"/>
    </row>
    <row r="8" spans="1:13" ht="15.75" customHeight="1">
      <c r="A8" s="619">
        <v>1</v>
      </c>
      <c r="B8" s="622" t="s">
        <v>150</v>
      </c>
      <c r="C8" s="431">
        <v>1</v>
      </c>
      <c r="D8" s="409" t="s">
        <v>362</v>
      </c>
      <c r="E8" s="410"/>
      <c r="F8" s="411"/>
      <c r="G8" s="412">
        <v>3</v>
      </c>
      <c r="H8" s="413">
        <v>3096.9516638129894</v>
      </c>
      <c r="I8" s="413">
        <v>1032.3172212709965</v>
      </c>
      <c r="J8" s="414" t="s">
        <v>948</v>
      </c>
      <c r="K8" s="625"/>
      <c r="L8" s="626"/>
      <c r="M8" s="131"/>
    </row>
    <row r="9" spans="1:13" ht="15.75" customHeight="1">
      <c r="A9" s="620"/>
      <c r="B9" s="623"/>
      <c r="C9" s="431">
        <v>2</v>
      </c>
      <c r="D9" s="409" t="s">
        <v>359</v>
      </c>
      <c r="E9" s="410"/>
      <c r="F9" s="411"/>
      <c r="G9" s="413">
        <v>3</v>
      </c>
      <c r="H9" s="413">
        <v>3196.2924833166398</v>
      </c>
      <c r="I9" s="413">
        <v>977.48144674981506</v>
      </c>
      <c r="J9" s="415" t="s">
        <v>949</v>
      </c>
      <c r="K9" s="625"/>
      <c r="L9" s="626"/>
      <c r="M9" s="131"/>
    </row>
    <row r="10" spans="1:13" ht="15.75" customHeight="1">
      <c r="A10" s="620"/>
      <c r="B10" s="623"/>
      <c r="C10" s="431">
        <v>3</v>
      </c>
      <c r="D10" s="409" t="s">
        <v>365</v>
      </c>
      <c r="E10" s="410"/>
      <c r="F10" s="411"/>
      <c r="G10" s="412">
        <v>3</v>
      </c>
      <c r="H10" s="413">
        <v>2850.8496506940805</v>
      </c>
      <c r="I10" s="413">
        <v>950.28321689802669</v>
      </c>
      <c r="J10" s="415" t="s">
        <v>949</v>
      </c>
      <c r="K10" s="625"/>
      <c r="L10" s="626"/>
      <c r="M10" s="131"/>
    </row>
    <row r="11" spans="1:13" ht="15.75" customHeight="1">
      <c r="A11" s="620"/>
      <c r="B11" s="623"/>
      <c r="C11" s="431">
        <v>4</v>
      </c>
      <c r="D11" s="409" t="s">
        <v>366</v>
      </c>
      <c r="E11" s="410"/>
      <c r="F11" s="411"/>
      <c r="G11" s="412">
        <v>3</v>
      </c>
      <c r="H11" s="413">
        <v>2847.4949644419089</v>
      </c>
      <c r="I11" s="413">
        <v>949.16498814730301</v>
      </c>
      <c r="J11" s="416" t="s">
        <v>950</v>
      </c>
      <c r="K11" s="627" t="s">
        <v>951</v>
      </c>
      <c r="L11" s="628"/>
      <c r="M11" s="131"/>
    </row>
    <row r="12" spans="1:13" ht="15.75" customHeight="1">
      <c r="A12" s="620"/>
      <c r="B12" s="623"/>
      <c r="C12" s="431">
        <v>5</v>
      </c>
      <c r="D12" s="409" t="s">
        <v>360</v>
      </c>
      <c r="E12" s="410"/>
      <c r="F12" s="411"/>
      <c r="G12" s="413">
        <v>3</v>
      </c>
      <c r="H12" s="413">
        <v>2842.6469618150309</v>
      </c>
      <c r="I12" s="413">
        <v>947.54898727167676</v>
      </c>
      <c r="J12" s="416" t="s">
        <v>950</v>
      </c>
      <c r="K12" s="629"/>
      <c r="L12" s="630"/>
      <c r="M12" s="131"/>
    </row>
    <row r="13" spans="1:13" ht="15.75" customHeight="1">
      <c r="A13" s="620"/>
      <c r="B13" s="623"/>
      <c r="C13" s="165" t="s">
        <v>952</v>
      </c>
      <c r="D13" s="409" t="s">
        <v>577</v>
      </c>
      <c r="E13" s="410"/>
      <c r="F13" s="411"/>
      <c r="G13" s="412">
        <v>11</v>
      </c>
      <c r="H13" s="413">
        <v>1496.2555408473229</v>
      </c>
      <c r="I13" s="413">
        <v>143.377502193797</v>
      </c>
      <c r="J13" s="414" t="s">
        <v>948</v>
      </c>
      <c r="K13" s="625"/>
      <c r="L13" s="626"/>
      <c r="M13" s="131"/>
    </row>
    <row r="14" spans="1:13" ht="15.75" customHeight="1">
      <c r="A14" s="620"/>
      <c r="B14" s="623"/>
      <c r="C14" s="165" t="s">
        <v>953</v>
      </c>
      <c r="D14" s="409" t="s">
        <v>662</v>
      </c>
      <c r="E14" s="410"/>
      <c r="F14" s="411"/>
      <c r="G14" s="412">
        <v>4</v>
      </c>
      <c r="H14" s="413">
        <v>2235.0097402597366</v>
      </c>
      <c r="I14" s="413">
        <v>558.75243506493416</v>
      </c>
      <c r="J14" s="414" t="s">
        <v>948</v>
      </c>
      <c r="K14" s="625"/>
      <c r="L14" s="626"/>
      <c r="M14" s="131"/>
    </row>
    <row r="15" spans="1:13" ht="15.75" customHeight="1">
      <c r="A15" s="620"/>
      <c r="B15" s="623"/>
      <c r="C15" s="165" t="s">
        <v>954</v>
      </c>
      <c r="D15" s="409" t="s">
        <v>369</v>
      </c>
      <c r="E15" s="410"/>
      <c r="F15" s="411"/>
      <c r="G15" s="412">
        <v>4</v>
      </c>
      <c r="H15" s="413">
        <v>2697.4644712430327</v>
      </c>
      <c r="I15" s="413">
        <v>674.36611781075817</v>
      </c>
      <c r="J15" s="416" t="s">
        <v>950</v>
      </c>
      <c r="K15" s="625" t="s">
        <v>955</v>
      </c>
      <c r="L15" s="626"/>
      <c r="M15" s="131"/>
    </row>
    <row r="16" spans="1:13" ht="15.75" customHeight="1">
      <c r="A16" s="620"/>
      <c r="B16" s="623"/>
      <c r="C16" s="165" t="s">
        <v>956</v>
      </c>
      <c r="D16" s="409" t="s">
        <v>364</v>
      </c>
      <c r="E16" s="410"/>
      <c r="F16" s="411"/>
      <c r="G16" s="412">
        <v>4</v>
      </c>
      <c r="H16" s="413">
        <v>2761.862135413608</v>
      </c>
      <c r="I16" s="413">
        <v>690.46553385340201</v>
      </c>
      <c r="J16" s="415" t="s">
        <v>949</v>
      </c>
      <c r="K16" s="625"/>
      <c r="L16" s="626"/>
      <c r="M16" s="152"/>
    </row>
    <row r="17" spans="1:13" ht="15.75" customHeight="1">
      <c r="A17" s="621"/>
      <c r="B17" s="624"/>
      <c r="C17" s="165" t="s">
        <v>957</v>
      </c>
      <c r="D17" s="409" t="s">
        <v>367</v>
      </c>
      <c r="E17" s="410"/>
      <c r="F17" s="411"/>
      <c r="G17" s="412">
        <v>4</v>
      </c>
      <c r="H17" s="413">
        <v>2809.3272170320274</v>
      </c>
      <c r="I17" s="413">
        <v>702.33180425800685</v>
      </c>
      <c r="J17" s="416" t="s">
        <v>950</v>
      </c>
      <c r="K17" s="625" t="s">
        <v>955</v>
      </c>
      <c r="L17" s="626"/>
      <c r="M17" s="152"/>
    </row>
    <row r="18" spans="1:13" s="162" customFormat="1" ht="15.75" customHeight="1">
      <c r="A18" s="637" t="s">
        <v>941</v>
      </c>
      <c r="B18" s="638"/>
      <c r="C18" s="428" t="s">
        <v>942</v>
      </c>
      <c r="D18" s="639" t="s">
        <v>12</v>
      </c>
      <c r="E18" s="640"/>
      <c r="F18" s="641"/>
      <c r="G18" s="429" t="s">
        <v>943</v>
      </c>
      <c r="H18" s="429" t="s">
        <v>944</v>
      </c>
      <c r="I18" s="429" t="s">
        <v>945</v>
      </c>
      <c r="J18" s="417" t="s">
        <v>946</v>
      </c>
      <c r="K18" s="639" t="s">
        <v>947</v>
      </c>
      <c r="L18" s="641"/>
      <c r="M18" s="155"/>
    </row>
    <row r="19" spans="1:13" ht="15.75" customHeight="1">
      <c r="A19" s="619">
        <v>2</v>
      </c>
      <c r="B19" s="622" t="s">
        <v>151</v>
      </c>
      <c r="C19" s="431">
        <v>1</v>
      </c>
      <c r="D19" s="409" t="s">
        <v>505</v>
      </c>
      <c r="E19" s="410"/>
      <c r="F19" s="411"/>
      <c r="G19" s="412">
        <v>5</v>
      </c>
      <c r="H19" s="413">
        <v>1517.669205327549</v>
      </c>
      <c r="I19" s="413">
        <v>303.53384106550976</v>
      </c>
      <c r="J19" s="414" t="s">
        <v>948</v>
      </c>
      <c r="K19" s="644"/>
      <c r="L19" s="645"/>
      <c r="M19" s="152"/>
    </row>
    <row r="20" spans="1:13" ht="15.75" customHeight="1">
      <c r="A20" s="620"/>
      <c r="B20" s="623"/>
      <c r="C20" s="431">
        <v>2</v>
      </c>
      <c r="D20" s="409" t="s">
        <v>571</v>
      </c>
      <c r="E20" s="410"/>
      <c r="F20" s="411"/>
      <c r="G20" s="412">
        <v>6</v>
      </c>
      <c r="H20" s="413">
        <v>1521.6983951855757</v>
      </c>
      <c r="I20" s="413">
        <v>257.14097357035581</v>
      </c>
      <c r="J20" s="414" t="s">
        <v>948</v>
      </c>
      <c r="K20" s="648"/>
      <c r="L20" s="649"/>
      <c r="M20" s="152"/>
    </row>
    <row r="21" spans="1:13" ht="15.75" customHeight="1">
      <c r="A21" s="620"/>
      <c r="B21" s="623"/>
      <c r="C21" s="431">
        <v>3</v>
      </c>
      <c r="D21" s="409" t="s">
        <v>373</v>
      </c>
      <c r="E21" s="410"/>
      <c r="F21" s="411"/>
      <c r="G21" s="413">
        <v>12</v>
      </c>
      <c r="H21" s="413">
        <v>1774.3138579308788</v>
      </c>
      <c r="I21" s="413">
        <v>146.59985678698948</v>
      </c>
      <c r="J21" s="414" t="s">
        <v>948</v>
      </c>
      <c r="K21" s="648"/>
      <c r="L21" s="649"/>
      <c r="M21" s="152"/>
    </row>
    <row r="22" spans="1:13" ht="15.75" customHeight="1">
      <c r="A22" s="620"/>
      <c r="B22" s="623"/>
      <c r="C22" s="431">
        <v>4</v>
      </c>
      <c r="D22" s="409" t="s">
        <v>372</v>
      </c>
      <c r="E22" s="410"/>
      <c r="F22" s="411"/>
      <c r="G22" s="413">
        <v>12</v>
      </c>
      <c r="H22" s="413">
        <v>1766.8404006046865</v>
      </c>
      <c r="I22" s="413">
        <v>145.98332485415821</v>
      </c>
      <c r="J22" s="414" t="s">
        <v>948</v>
      </c>
      <c r="K22" s="650"/>
      <c r="L22" s="651"/>
      <c r="M22" s="152"/>
    </row>
    <row r="23" spans="1:13" ht="15.75" customHeight="1">
      <c r="A23" s="620"/>
      <c r="B23" s="623"/>
      <c r="C23" s="431">
        <v>5</v>
      </c>
      <c r="D23" s="418" t="s">
        <v>958</v>
      </c>
      <c r="E23" s="410"/>
      <c r="F23" s="411"/>
      <c r="G23" s="413">
        <v>10</v>
      </c>
      <c r="H23" s="413">
        <v>1364.0809523809521</v>
      </c>
      <c r="I23" s="413">
        <v>136.40809523809523</v>
      </c>
      <c r="J23" s="414" t="s">
        <v>948</v>
      </c>
      <c r="K23" s="650"/>
      <c r="L23" s="651"/>
      <c r="M23" s="152"/>
    </row>
    <row r="24" spans="1:13" ht="15.75" customHeight="1">
      <c r="A24" s="620"/>
      <c r="B24" s="623"/>
      <c r="C24" s="165" t="s">
        <v>952</v>
      </c>
      <c r="D24" s="418" t="s">
        <v>959</v>
      </c>
      <c r="E24" s="410"/>
      <c r="F24" s="411"/>
      <c r="G24" s="413">
        <v>15</v>
      </c>
      <c r="H24" s="413">
        <v>1196.2842691622104</v>
      </c>
      <c r="I24" s="413">
        <v>79.752284610814016</v>
      </c>
      <c r="J24" s="416" t="s">
        <v>950</v>
      </c>
      <c r="K24" s="646" t="s">
        <v>960</v>
      </c>
      <c r="L24" s="647"/>
      <c r="M24" s="152"/>
    </row>
    <row r="25" spans="1:13" ht="15.75" customHeight="1">
      <c r="A25" s="620"/>
      <c r="B25" s="623"/>
      <c r="C25" s="165" t="s">
        <v>953</v>
      </c>
      <c r="D25" s="418" t="s">
        <v>961</v>
      </c>
      <c r="E25" s="410"/>
      <c r="F25" s="411"/>
      <c r="G25" s="413">
        <v>11</v>
      </c>
      <c r="H25" s="413">
        <v>1154.1053571428581</v>
      </c>
      <c r="I25" s="413">
        <v>102.80521062271066</v>
      </c>
      <c r="J25" s="414" t="s">
        <v>948</v>
      </c>
      <c r="K25" s="646"/>
      <c r="L25" s="647"/>
      <c r="M25" s="152"/>
    </row>
    <row r="26" spans="1:13" ht="15.75" customHeight="1">
      <c r="A26" s="620"/>
      <c r="B26" s="623"/>
      <c r="C26" s="165" t="s">
        <v>954</v>
      </c>
      <c r="D26" s="409"/>
      <c r="E26" s="410"/>
      <c r="F26" s="411"/>
      <c r="G26" s="413"/>
      <c r="H26" s="413"/>
      <c r="I26" s="413"/>
      <c r="J26" s="414" t="s">
        <v>948</v>
      </c>
      <c r="K26" s="646"/>
      <c r="L26" s="647"/>
      <c r="M26" s="152"/>
    </row>
    <row r="27" spans="1:13" ht="15.75" customHeight="1">
      <c r="A27" s="620"/>
      <c r="B27" s="623"/>
      <c r="C27" s="165" t="s">
        <v>956</v>
      </c>
      <c r="D27" s="409"/>
      <c r="E27" s="410"/>
      <c r="F27" s="411"/>
      <c r="G27" s="412"/>
      <c r="H27" s="413"/>
      <c r="I27" s="413"/>
      <c r="J27" s="432"/>
      <c r="K27" s="642"/>
      <c r="L27" s="643"/>
      <c r="M27" s="152"/>
    </row>
    <row r="28" spans="1:13" ht="15.75" customHeight="1">
      <c r="A28" s="621"/>
      <c r="B28" s="624"/>
      <c r="C28" s="165" t="s">
        <v>957</v>
      </c>
      <c r="D28" s="409"/>
      <c r="E28" s="410"/>
      <c r="F28" s="411"/>
      <c r="G28" s="412"/>
      <c r="H28" s="413"/>
      <c r="I28" s="413"/>
      <c r="J28" s="432"/>
      <c r="K28" s="642"/>
      <c r="L28" s="643"/>
      <c r="M28" s="152"/>
    </row>
    <row r="29" spans="1:13" ht="15.75" customHeight="1">
      <c r="A29" s="152"/>
      <c r="B29" s="152"/>
      <c r="C29" s="152"/>
      <c r="D29" s="152"/>
      <c r="E29" s="152"/>
      <c r="F29" s="152"/>
      <c r="G29" s="152"/>
      <c r="H29" s="152"/>
      <c r="I29" s="152"/>
      <c r="J29" s="152"/>
      <c r="K29" s="152"/>
      <c r="L29" s="152"/>
      <c r="M29" s="131"/>
    </row>
    <row r="30" spans="1:13" ht="15.75" customHeight="1">
      <c r="A30" s="152"/>
      <c r="B30" s="152"/>
      <c r="C30" s="152"/>
      <c r="D30" s="152"/>
      <c r="E30" s="152"/>
      <c r="F30" s="152"/>
      <c r="G30" s="152"/>
      <c r="H30" s="152"/>
      <c r="I30" s="152"/>
      <c r="J30" s="152"/>
      <c r="K30" s="152"/>
      <c r="L30" s="152"/>
      <c r="M30" s="131"/>
    </row>
    <row r="31" spans="1:13" ht="15.75" customHeight="1">
      <c r="A31" s="152"/>
      <c r="B31" s="152"/>
      <c r="C31" s="152"/>
      <c r="D31" s="152"/>
      <c r="E31" s="152"/>
      <c r="F31" s="152"/>
      <c r="G31" s="152"/>
      <c r="H31" s="152"/>
      <c r="I31" s="152"/>
      <c r="J31" s="152"/>
      <c r="K31" s="152"/>
      <c r="L31" s="152"/>
      <c r="M31" s="131"/>
    </row>
    <row r="32" spans="1:13"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32">
    <mergeCell ref="A18:B18"/>
    <mergeCell ref="D18:F18"/>
    <mergeCell ref="K18:L18"/>
    <mergeCell ref="A19:A28"/>
    <mergeCell ref="K28:L28"/>
    <mergeCell ref="B19:B28"/>
    <mergeCell ref="K27:L27"/>
    <mergeCell ref="K19:L19"/>
    <mergeCell ref="K26:L26"/>
    <mergeCell ref="K20:L20"/>
    <mergeCell ref="K21:L21"/>
    <mergeCell ref="K22:L22"/>
    <mergeCell ref="K23:L23"/>
    <mergeCell ref="K24:L24"/>
    <mergeCell ref="K25:L25"/>
    <mergeCell ref="A1:L2"/>
    <mergeCell ref="A5:A6"/>
    <mergeCell ref="A7:B7"/>
    <mergeCell ref="D7:F7"/>
    <mergeCell ref="K7:L7"/>
    <mergeCell ref="A3:L4"/>
    <mergeCell ref="A8:A17"/>
    <mergeCell ref="B8:B17"/>
    <mergeCell ref="K16:L16"/>
    <mergeCell ref="K17:L17"/>
    <mergeCell ref="K8:L8"/>
    <mergeCell ref="K9:L9"/>
    <mergeCell ref="K10:L10"/>
    <mergeCell ref="K15:L15"/>
    <mergeCell ref="K13:L13"/>
    <mergeCell ref="K14:L14"/>
    <mergeCell ref="K11:L12"/>
  </mergeCells>
  <phoneticPr fontId="11"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M35"/>
  <sheetViews>
    <sheetView zoomScaleNormal="100" zoomScaleSheetLayoutView="100" workbookViewId="0">
      <selection activeCell="A7" sqref="A7:L28"/>
    </sheetView>
  </sheetViews>
  <sheetFormatPr defaultColWidth="12.54296875" defaultRowHeight="15.75" customHeight="1"/>
  <cols>
    <col min="1" max="1" width="6.453125" style="120" customWidth="1"/>
    <col min="2" max="10" width="11.54296875" style="120" customWidth="1"/>
    <col min="11" max="12" width="12.81640625" style="120" customWidth="1"/>
    <col min="13" max="13" width="12.54296875" style="121"/>
    <col min="14" max="16384" width="12.54296875" style="120"/>
  </cols>
  <sheetData>
    <row r="1" spans="1:13" ht="15.75" customHeight="1">
      <c r="A1" s="504" t="s">
        <v>204</v>
      </c>
      <c r="B1" s="504"/>
      <c r="C1" s="504"/>
      <c r="D1" s="504"/>
      <c r="E1" s="504"/>
      <c r="F1" s="504"/>
      <c r="G1" s="504"/>
      <c r="H1" s="504"/>
      <c r="I1" s="504"/>
      <c r="J1" s="504"/>
      <c r="K1" s="504"/>
      <c r="L1" s="504"/>
      <c r="M1" s="120"/>
    </row>
    <row r="2" spans="1:13" s="121" customFormat="1" ht="15.75" customHeight="1">
      <c r="A2" s="504"/>
      <c r="B2" s="504"/>
      <c r="C2" s="504"/>
      <c r="D2" s="504"/>
      <c r="E2" s="504"/>
      <c r="F2" s="504"/>
      <c r="G2" s="504"/>
      <c r="H2" s="504"/>
      <c r="I2" s="504"/>
      <c r="J2" s="504"/>
      <c r="K2" s="504"/>
      <c r="L2" s="504"/>
    </row>
    <row r="3" spans="1:13" ht="15.75" customHeight="1">
      <c r="A3" s="635" t="s">
        <v>205</v>
      </c>
      <c r="B3" s="636"/>
      <c r="C3" s="636"/>
      <c r="D3" s="636"/>
      <c r="E3" s="636"/>
      <c r="F3" s="636"/>
      <c r="G3" s="636"/>
      <c r="H3" s="636"/>
      <c r="I3" s="636"/>
      <c r="J3" s="636"/>
      <c r="K3" s="636"/>
      <c r="L3" s="636"/>
      <c r="M3" s="152"/>
    </row>
    <row r="4" spans="1:13" s="121" customFormat="1" ht="15.75" customHeight="1">
      <c r="A4" s="636"/>
      <c r="B4" s="636"/>
      <c r="C4" s="636"/>
      <c r="D4" s="636"/>
      <c r="E4" s="636"/>
      <c r="F4" s="636"/>
      <c r="G4" s="636"/>
      <c r="H4" s="636"/>
      <c r="I4" s="636"/>
      <c r="J4" s="636"/>
      <c r="K4" s="636"/>
      <c r="L4" s="636"/>
      <c r="M4" s="131"/>
    </row>
    <row r="5" spans="1:13" s="154" customFormat="1" ht="16.399999999999999" customHeight="1">
      <c r="A5" s="631" t="s">
        <v>154</v>
      </c>
      <c r="B5" s="156">
        <v>1</v>
      </c>
      <c r="C5" s="156">
        <v>2</v>
      </c>
      <c r="D5" s="166">
        <v>3</v>
      </c>
      <c r="E5" s="166">
        <v>4</v>
      </c>
      <c r="F5" s="156">
        <v>5</v>
      </c>
      <c r="G5" s="156">
        <v>6</v>
      </c>
      <c r="H5" s="156">
        <v>7</v>
      </c>
      <c r="I5" s="156">
        <v>8</v>
      </c>
      <c r="J5" s="156">
        <v>9</v>
      </c>
      <c r="K5" s="153"/>
      <c r="L5" s="153"/>
      <c r="M5" s="153"/>
    </row>
    <row r="6" spans="1:13" ht="16.399999999999999" customHeight="1">
      <c r="A6" s="631"/>
      <c r="B6" s="157" t="s">
        <v>206</v>
      </c>
      <c r="C6" s="157" t="s">
        <v>151</v>
      </c>
      <c r="D6" s="167" t="s">
        <v>207</v>
      </c>
      <c r="E6" s="167" t="s">
        <v>153</v>
      </c>
      <c r="F6" s="158" t="s">
        <v>133</v>
      </c>
      <c r="G6" s="159" t="s">
        <v>131</v>
      </c>
      <c r="H6" s="160" t="s">
        <v>208</v>
      </c>
      <c r="I6" s="159" t="s">
        <v>209</v>
      </c>
      <c r="J6" s="159" t="s">
        <v>137</v>
      </c>
      <c r="K6" s="155"/>
      <c r="L6" s="155"/>
      <c r="M6" s="131"/>
    </row>
    <row r="7" spans="1:13" s="154" customFormat="1" ht="15.75" customHeight="1">
      <c r="A7" s="662" t="s">
        <v>941</v>
      </c>
      <c r="B7" s="662"/>
      <c r="C7" s="430" t="s">
        <v>942</v>
      </c>
      <c r="D7" s="662" t="s">
        <v>12</v>
      </c>
      <c r="E7" s="663"/>
      <c r="F7" s="663"/>
      <c r="G7" s="430" t="s">
        <v>943</v>
      </c>
      <c r="H7" s="430" t="s">
        <v>944</v>
      </c>
      <c r="I7" s="430" t="s">
        <v>962</v>
      </c>
      <c r="J7" s="222" t="s">
        <v>963</v>
      </c>
      <c r="K7" s="662" t="s">
        <v>947</v>
      </c>
      <c r="L7" s="663"/>
      <c r="M7" s="153"/>
    </row>
    <row r="8" spans="1:13" ht="15.75" customHeight="1">
      <c r="A8" s="631">
        <v>3</v>
      </c>
      <c r="B8" s="662" t="s">
        <v>152</v>
      </c>
      <c r="C8" s="431">
        <v>1</v>
      </c>
      <c r="D8" s="409" t="s">
        <v>465</v>
      </c>
      <c r="E8" s="410"/>
      <c r="F8" s="411"/>
      <c r="G8" s="413">
        <v>4.2857142857142856</v>
      </c>
      <c r="H8" s="413">
        <v>2107.5740044238446</v>
      </c>
      <c r="I8" s="413">
        <v>496.3028310639491</v>
      </c>
      <c r="J8" s="419" t="s">
        <v>412</v>
      </c>
      <c r="K8" s="660"/>
      <c r="L8" s="661"/>
      <c r="M8" s="131"/>
    </row>
    <row r="9" spans="1:13" ht="15.75" customHeight="1">
      <c r="A9" s="631"/>
      <c r="B9" s="662"/>
      <c r="C9" s="431">
        <v>2</v>
      </c>
      <c r="D9" s="409" t="s">
        <v>403</v>
      </c>
      <c r="E9" s="410"/>
      <c r="F9" s="411"/>
      <c r="G9" s="413">
        <v>4.2857142857142856</v>
      </c>
      <c r="H9" s="413">
        <v>2088.6726190287741</v>
      </c>
      <c r="I9" s="413">
        <v>491.39883936707332</v>
      </c>
      <c r="J9" s="419" t="s">
        <v>412</v>
      </c>
      <c r="K9" s="660"/>
      <c r="L9" s="661"/>
      <c r="M9" s="131"/>
    </row>
    <row r="10" spans="1:13" ht="15.75" customHeight="1">
      <c r="A10" s="631"/>
      <c r="B10" s="662"/>
      <c r="C10" s="431">
        <v>3</v>
      </c>
      <c r="D10" s="409" t="s">
        <v>641</v>
      </c>
      <c r="E10" s="410"/>
      <c r="F10" s="411"/>
      <c r="G10" s="413">
        <v>4.5142857142857142</v>
      </c>
      <c r="H10" s="413">
        <v>2043.0018447263101</v>
      </c>
      <c r="I10" s="413">
        <v>458.68413889999658</v>
      </c>
      <c r="J10" s="419" t="s">
        <v>412</v>
      </c>
      <c r="K10" s="665"/>
      <c r="L10" s="666"/>
      <c r="M10" s="131"/>
    </row>
    <row r="11" spans="1:13" ht="15.75" customHeight="1">
      <c r="A11" s="631"/>
      <c r="B11" s="662"/>
      <c r="C11" s="431">
        <v>4</v>
      </c>
      <c r="D11" s="409" t="s">
        <v>619</v>
      </c>
      <c r="E11" s="410"/>
      <c r="F11" s="411"/>
      <c r="G11" s="413">
        <v>6.2</v>
      </c>
      <c r="H11" s="413">
        <v>1875.5376416504428</v>
      </c>
      <c r="I11" s="413">
        <v>304.30606593913245</v>
      </c>
      <c r="J11" s="419" t="s">
        <v>412</v>
      </c>
      <c r="K11" s="665"/>
      <c r="L11" s="666"/>
      <c r="M11" s="131"/>
    </row>
    <row r="12" spans="1:13" ht="15.75" customHeight="1">
      <c r="A12" s="631"/>
      <c r="B12" s="662"/>
      <c r="C12" s="431">
        <v>5</v>
      </c>
      <c r="D12" s="418" t="s">
        <v>964</v>
      </c>
      <c r="E12" s="410"/>
      <c r="F12" s="411"/>
      <c r="G12" s="413">
        <v>10.142857142857142</v>
      </c>
      <c r="H12" s="413">
        <v>2177.5144443359995</v>
      </c>
      <c r="I12" s="413">
        <v>218.1800623309442</v>
      </c>
      <c r="J12" s="419" t="s">
        <v>412</v>
      </c>
      <c r="K12" s="660" t="s">
        <v>965</v>
      </c>
      <c r="L12" s="661"/>
      <c r="M12" s="131"/>
    </row>
    <row r="13" spans="1:13" ht="15.75" customHeight="1">
      <c r="A13" s="631"/>
      <c r="B13" s="662"/>
      <c r="C13" s="165" t="s">
        <v>952</v>
      </c>
      <c r="D13" s="409" t="s">
        <v>402</v>
      </c>
      <c r="E13" s="410"/>
      <c r="F13" s="411"/>
      <c r="G13" s="413">
        <v>13.77551020408163</v>
      </c>
      <c r="H13" s="413">
        <v>1251.9003309257027</v>
      </c>
      <c r="I13" s="413">
        <v>92.106046770706044</v>
      </c>
      <c r="J13" s="419" t="s">
        <v>412</v>
      </c>
      <c r="K13" s="664"/>
      <c r="L13" s="661"/>
      <c r="M13" s="131"/>
    </row>
    <row r="14" spans="1:13" ht="15.75" customHeight="1">
      <c r="A14" s="631"/>
      <c r="B14" s="662"/>
      <c r="C14" s="165" t="s">
        <v>953</v>
      </c>
      <c r="D14" s="409" t="s">
        <v>404</v>
      </c>
      <c r="E14" s="410"/>
      <c r="F14" s="411"/>
      <c r="G14" s="413">
        <v>13</v>
      </c>
      <c r="H14" s="413">
        <v>2077.4406915011909</v>
      </c>
      <c r="I14" s="413">
        <v>161.18913227043421</v>
      </c>
      <c r="J14" s="416" t="s">
        <v>950</v>
      </c>
      <c r="K14" s="660" t="s">
        <v>955</v>
      </c>
      <c r="L14" s="661"/>
      <c r="M14" s="131"/>
    </row>
    <row r="15" spans="1:13" ht="15.75" customHeight="1">
      <c r="A15" s="631"/>
      <c r="B15" s="662"/>
      <c r="C15" s="165" t="s">
        <v>954</v>
      </c>
      <c r="D15" s="418" t="s">
        <v>966</v>
      </c>
      <c r="E15" s="410"/>
      <c r="F15" s="411"/>
      <c r="G15" s="413">
        <v>12.166666666666666</v>
      </c>
      <c r="H15" s="413">
        <v>2086.8266212936937</v>
      </c>
      <c r="I15" s="413">
        <v>171.77847262174313</v>
      </c>
      <c r="J15" s="415" t="s">
        <v>949</v>
      </c>
      <c r="K15" s="660"/>
      <c r="L15" s="661"/>
      <c r="M15" s="131"/>
    </row>
    <row r="16" spans="1:13" ht="15.75" customHeight="1">
      <c r="A16" s="631"/>
      <c r="B16" s="662"/>
      <c r="C16" s="165" t="s">
        <v>956</v>
      </c>
      <c r="D16" s="409" t="s">
        <v>405</v>
      </c>
      <c r="E16" s="410"/>
      <c r="F16" s="411"/>
      <c r="G16" s="413">
        <v>12</v>
      </c>
      <c r="H16" s="413">
        <v>2085.1662816758212</v>
      </c>
      <c r="I16" s="413">
        <v>175.58652802035533</v>
      </c>
      <c r="J16" s="419" t="s">
        <v>412</v>
      </c>
      <c r="K16" s="660"/>
      <c r="L16" s="661"/>
      <c r="M16" s="152"/>
    </row>
    <row r="17" spans="1:13" ht="15.75" customHeight="1">
      <c r="A17" s="631"/>
      <c r="B17" s="662"/>
      <c r="C17" s="165" t="s">
        <v>957</v>
      </c>
      <c r="D17" s="409" t="s">
        <v>406</v>
      </c>
      <c r="E17" s="410"/>
      <c r="F17" s="411"/>
      <c r="G17" s="413">
        <v>11</v>
      </c>
      <c r="H17" s="413">
        <v>2184.8017438417955</v>
      </c>
      <c r="I17" s="413">
        <v>198.61834034925414</v>
      </c>
      <c r="J17" s="419" t="s">
        <v>412</v>
      </c>
      <c r="K17" s="660"/>
      <c r="L17" s="661"/>
      <c r="M17" s="152"/>
    </row>
    <row r="18" spans="1:13" s="162" customFormat="1" ht="15.75" customHeight="1">
      <c r="A18" s="667" t="s">
        <v>941</v>
      </c>
      <c r="B18" s="667"/>
      <c r="C18" s="428" t="s">
        <v>942</v>
      </c>
      <c r="D18" s="668" t="s">
        <v>12</v>
      </c>
      <c r="E18" s="669"/>
      <c r="F18" s="669"/>
      <c r="G18" s="429" t="s">
        <v>943</v>
      </c>
      <c r="H18" s="429" t="s">
        <v>944</v>
      </c>
      <c r="I18" s="429" t="s">
        <v>945</v>
      </c>
      <c r="J18" s="417" t="s">
        <v>946</v>
      </c>
      <c r="K18" s="668" t="s">
        <v>947</v>
      </c>
      <c r="L18" s="669"/>
      <c r="M18" s="155"/>
    </row>
    <row r="19" spans="1:13" ht="15.75" customHeight="1">
      <c r="A19" s="631">
        <v>4</v>
      </c>
      <c r="B19" s="662" t="s">
        <v>153</v>
      </c>
      <c r="C19" s="431">
        <v>1</v>
      </c>
      <c r="D19" s="671"/>
      <c r="E19" s="661"/>
      <c r="F19" s="661"/>
      <c r="G19" s="420"/>
      <c r="H19" s="420"/>
      <c r="I19" s="420"/>
      <c r="J19" s="419"/>
      <c r="K19" s="672"/>
      <c r="L19" s="673"/>
      <c r="M19" s="152"/>
    </row>
    <row r="20" spans="1:13" ht="15.75" customHeight="1">
      <c r="A20" s="631"/>
      <c r="B20" s="662"/>
      <c r="C20" s="431">
        <v>2</v>
      </c>
      <c r="D20" s="671"/>
      <c r="E20" s="661"/>
      <c r="F20" s="661"/>
      <c r="G20" s="420"/>
      <c r="H20" s="420"/>
      <c r="I20" s="420"/>
      <c r="J20" s="419"/>
      <c r="K20" s="670"/>
      <c r="L20" s="661"/>
      <c r="M20" s="152"/>
    </row>
    <row r="21" spans="1:13" ht="15.75" customHeight="1">
      <c r="A21" s="631"/>
      <c r="B21" s="662"/>
      <c r="C21" s="431">
        <v>3</v>
      </c>
      <c r="D21" s="652"/>
      <c r="E21" s="653"/>
      <c r="F21" s="653"/>
      <c r="G21" s="243"/>
      <c r="H21" s="243"/>
      <c r="I21" s="243"/>
      <c r="J21" s="242"/>
      <c r="K21" s="654"/>
      <c r="L21" s="655"/>
      <c r="M21" s="152"/>
    </row>
    <row r="22" spans="1:13" ht="15.75" customHeight="1">
      <c r="A22" s="631"/>
      <c r="B22" s="662"/>
      <c r="C22" s="431">
        <v>4</v>
      </c>
      <c r="D22" s="652"/>
      <c r="E22" s="653"/>
      <c r="F22" s="653"/>
      <c r="G22" s="433"/>
      <c r="H22" s="433"/>
      <c r="I22" s="433"/>
      <c r="J22" s="433"/>
      <c r="K22" s="652"/>
      <c r="L22" s="653"/>
      <c r="M22" s="152"/>
    </row>
    <row r="23" spans="1:13" ht="15.75" customHeight="1">
      <c r="A23" s="631"/>
      <c r="B23" s="662"/>
      <c r="C23" s="431">
        <v>5</v>
      </c>
      <c r="D23" s="652"/>
      <c r="E23" s="653"/>
      <c r="F23" s="653"/>
      <c r="G23" s="433"/>
      <c r="H23" s="433"/>
      <c r="I23" s="433"/>
      <c r="J23" s="433"/>
      <c r="K23" s="652"/>
      <c r="L23" s="653"/>
      <c r="M23" s="152"/>
    </row>
    <row r="24" spans="1:13" ht="15.75" customHeight="1">
      <c r="A24" s="631"/>
      <c r="B24" s="662"/>
      <c r="C24" s="165" t="s">
        <v>952</v>
      </c>
      <c r="D24" s="656"/>
      <c r="E24" s="657"/>
      <c r="F24" s="658"/>
      <c r="G24" s="243"/>
      <c r="H24" s="243"/>
      <c r="I24" s="243"/>
      <c r="J24" s="242"/>
      <c r="K24" s="659"/>
      <c r="L24" s="653"/>
      <c r="M24" s="152"/>
    </row>
    <row r="25" spans="1:13" ht="15.75" customHeight="1">
      <c r="A25" s="631"/>
      <c r="B25" s="662"/>
      <c r="C25" s="165" t="s">
        <v>953</v>
      </c>
      <c r="D25" s="652"/>
      <c r="E25" s="653"/>
      <c r="F25" s="653"/>
      <c r="G25" s="433"/>
      <c r="H25" s="433"/>
      <c r="I25" s="433"/>
      <c r="J25" s="433"/>
      <c r="K25" s="652"/>
      <c r="L25" s="653"/>
      <c r="M25" s="152"/>
    </row>
    <row r="26" spans="1:13" ht="15.75" customHeight="1">
      <c r="A26" s="631"/>
      <c r="B26" s="662"/>
      <c r="C26" s="165" t="s">
        <v>954</v>
      </c>
      <c r="D26" s="652"/>
      <c r="E26" s="653"/>
      <c r="F26" s="653"/>
      <c r="G26" s="433"/>
      <c r="H26" s="433"/>
      <c r="I26" s="433"/>
      <c r="J26" s="433"/>
      <c r="K26" s="652"/>
      <c r="L26" s="653"/>
      <c r="M26" s="152"/>
    </row>
    <row r="27" spans="1:13" ht="15.75" customHeight="1">
      <c r="A27" s="631"/>
      <c r="B27" s="662"/>
      <c r="C27" s="165" t="s">
        <v>956</v>
      </c>
      <c r="D27" s="652"/>
      <c r="E27" s="653"/>
      <c r="F27" s="653"/>
      <c r="G27" s="433"/>
      <c r="H27" s="433"/>
      <c r="I27" s="433"/>
      <c r="J27" s="433"/>
      <c r="K27" s="652"/>
      <c r="L27" s="653"/>
      <c r="M27" s="152"/>
    </row>
    <row r="28" spans="1:13" ht="15.75" customHeight="1">
      <c r="A28" s="631"/>
      <c r="B28" s="662"/>
      <c r="C28" s="165" t="s">
        <v>957</v>
      </c>
      <c r="D28" s="652"/>
      <c r="E28" s="653"/>
      <c r="F28" s="653"/>
      <c r="G28" s="433"/>
      <c r="H28" s="433"/>
      <c r="I28" s="433"/>
      <c r="J28" s="433"/>
      <c r="K28" s="652"/>
      <c r="L28" s="653"/>
      <c r="M28" s="152"/>
    </row>
    <row r="29" spans="1:13" ht="15.75" customHeight="1">
      <c r="A29" s="152"/>
      <c r="B29" s="152"/>
      <c r="C29" s="152"/>
      <c r="D29" s="152"/>
      <c r="E29" s="152"/>
      <c r="F29" s="152"/>
      <c r="G29" s="152"/>
      <c r="H29" s="152"/>
      <c r="I29" s="152"/>
      <c r="J29" s="152"/>
      <c r="K29" s="152"/>
      <c r="L29" s="152"/>
      <c r="M29" s="131"/>
    </row>
    <row r="30" spans="1:13" ht="15.75" customHeight="1">
      <c r="A30" s="152"/>
      <c r="B30" s="152"/>
      <c r="C30" s="152"/>
      <c r="D30" s="152"/>
      <c r="E30" s="152"/>
      <c r="F30" s="152"/>
      <c r="G30" s="152"/>
      <c r="H30" s="152"/>
      <c r="I30" s="152"/>
      <c r="J30" s="152"/>
      <c r="K30" s="152"/>
      <c r="L30" s="152"/>
      <c r="M30" s="131"/>
    </row>
    <row r="31" spans="1:13" ht="15.75" customHeight="1">
      <c r="A31" s="152"/>
      <c r="B31" s="152"/>
      <c r="C31" s="152"/>
      <c r="D31" s="152"/>
      <c r="E31" s="152"/>
      <c r="F31" s="152"/>
      <c r="G31" s="152"/>
      <c r="H31" s="152"/>
      <c r="I31" s="152"/>
      <c r="J31" s="152"/>
      <c r="K31" s="152"/>
      <c r="L31" s="152"/>
      <c r="M31" s="131"/>
    </row>
    <row r="32" spans="1:13"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43">
    <mergeCell ref="A18:B18"/>
    <mergeCell ref="D18:F18"/>
    <mergeCell ref="K18:L18"/>
    <mergeCell ref="K22:L22"/>
    <mergeCell ref="D23:F23"/>
    <mergeCell ref="K23:L23"/>
    <mergeCell ref="K20:L20"/>
    <mergeCell ref="D19:F19"/>
    <mergeCell ref="D20:F20"/>
    <mergeCell ref="D21:F21"/>
    <mergeCell ref="K19:L19"/>
    <mergeCell ref="D7:F7"/>
    <mergeCell ref="K7:L7"/>
    <mergeCell ref="A8:A17"/>
    <mergeCell ref="B8:B17"/>
    <mergeCell ref="K13:L13"/>
    <mergeCell ref="K11:L11"/>
    <mergeCell ref="K8:L8"/>
    <mergeCell ref="K9:L9"/>
    <mergeCell ref="K10:L10"/>
    <mergeCell ref="A1:L2"/>
    <mergeCell ref="K24:L24"/>
    <mergeCell ref="K17:L17"/>
    <mergeCell ref="K15:L15"/>
    <mergeCell ref="K14:L14"/>
    <mergeCell ref="K12:L12"/>
    <mergeCell ref="K16:L16"/>
    <mergeCell ref="A3:L4"/>
    <mergeCell ref="A19:A28"/>
    <mergeCell ref="A5:A6"/>
    <mergeCell ref="A7:B7"/>
    <mergeCell ref="D25:F25"/>
    <mergeCell ref="K25:L25"/>
    <mergeCell ref="D26:F26"/>
    <mergeCell ref="K26:L26"/>
    <mergeCell ref="B19:B28"/>
    <mergeCell ref="D27:F27"/>
    <mergeCell ref="K27:L27"/>
    <mergeCell ref="D28:F28"/>
    <mergeCell ref="K28:L28"/>
    <mergeCell ref="K21:L21"/>
    <mergeCell ref="D22:F22"/>
    <mergeCell ref="D24:F24"/>
  </mergeCells>
  <phoneticPr fontId="11"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R35"/>
  <sheetViews>
    <sheetView zoomScaleNormal="100" zoomScaleSheetLayoutView="100" workbookViewId="0">
      <selection activeCell="J37" sqref="J37"/>
    </sheetView>
  </sheetViews>
  <sheetFormatPr defaultColWidth="12.54296875" defaultRowHeight="15.75" customHeight="1"/>
  <cols>
    <col min="1" max="1" width="6.453125" style="120" customWidth="1"/>
    <col min="2" max="10" width="11.54296875" style="120" customWidth="1"/>
    <col min="11" max="12" width="12.81640625" style="120" customWidth="1"/>
    <col min="13" max="13" width="12.54296875" style="121"/>
    <col min="14" max="16384" width="12.54296875" style="120"/>
  </cols>
  <sheetData>
    <row r="1" spans="1:18" ht="15.75" customHeight="1">
      <c r="A1" s="504" t="s">
        <v>204</v>
      </c>
      <c r="B1" s="504"/>
      <c r="C1" s="504"/>
      <c r="D1" s="504"/>
      <c r="E1" s="504"/>
      <c r="F1" s="504"/>
      <c r="G1" s="504"/>
      <c r="H1" s="504"/>
      <c r="I1" s="504"/>
      <c r="J1" s="504"/>
      <c r="K1" s="504"/>
      <c r="L1" s="504"/>
      <c r="M1" s="120"/>
    </row>
    <row r="2" spans="1:18" s="121" customFormat="1" ht="15.75" customHeight="1">
      <c r="A2" s="504"/>
      <c r="B2" s="504"/>
      <c r="C2" s="504"/>
      <c r="D2" s="504"/>
      <c r="E2" s="504"/>
      <c r="F2" s="504"/>
      <c r="G2" s="504"/>
      <c r="H2" s="504"/>
      <c r="I2" s="504"/>
      <c r="J2" s="504"/>
      <c r="K2" s="504"/>
      <c r="L2" s="504"/>
    </row>
    <row r="3" spans="1:18" ht="15.75" customHeight="1">
      <c r="A3" s="635" t="s">
        <v>205</v>
      </c>
      <c r="B3" s="636"/>
      <c r="C3" s="636"/>
      <c r="D3" s="636"/>
      <c r="E3" s="636"/>
      <c r="F3" s="636"/>
      <c r="G3" s="636"/>
      <c r="H3" s="636"/>
      <c r="I3" s="636"/>
      <c r="J3" s="636"/>
      <c r="K3" s="636"/>
      <c r="L3" s="636"/>
      <c r="M3" s="152"/>
    </row>
    <row r="4" spans="1:18" s="121" customFormat="1" ht="15.75" customHeight="1">
      <c r="A4" s="636"/>
      <c r="B4" s="636"/>
      <c r="C4" s="636"/>
      <c r="D4" s="636"/>
      <c r="E4" s="636"/>
      <c r="F4" s="636"/>
      <c r="G4" s="636"/>
      <c r="H4" s="636"/>
      <c r="I4" s="636"/>
      <c r="J4" s="636"/>
      <c r="K4" s="636"/>
      <c r="L4" s="636"/>
      <c r="M4" s="131"/>
    </row>
    <row r="5" spans="1:18" s="154" customFormat="1" ht="16.399999999999999" customHeight="1">
      <c r="A5" s="631" t="s">
        <v>154</v>
      </c>
      <c r="B5" s="156">
        <v>1</v>
      </c>
      <c r="C5" s="156">
        <v>2</v>
      </c>
      <c r="D5" s="156">
        <v>3</v>
      </c>
      <c r="E5" s="156">
        <v>4</v>
      </c>
      <c r="F5" s="166">
        <v>5</v>
      </c>
      <c r="G5" s="166">
        <v>6</v>
      </c>
      <c r="H5" s="156">
        <v>7</v>
      </c>
      <c r="I5" s="156">
        <v>8</v>
      </c>
      <c r="J5" s="156">
        <v>9</v>
      </c>
      <c r="K5" s="153"/>
      <c r="L5" s="153"/>
      <c r="M5" s="153"/>
    </row>
    <row r="6" spans="1:18" ht="16.399999999999999" customHeight="1">
      <c r="A6" s="631"/>
      <c r="B6" s="157" t="s">
        <v>206</v>
      </c>
      <c r="C6" s="157" t="s">
        <v>151</v>
      </c>
      <c r="D6" s="157" t="s">
        <v>207</v>
      </c>
      <c r="E6" s="157" t="s">
        <v>153</v>
      </c>
      <c r="F6" s="168" t="s">
        <v>133</v>
      </c>
      <c r="G6" s="169" t="s">
        <v>131</v>
      </c>
      <c r="H6" s="160" t="s">
        <v>208</v>
      </c>
      <c r="I6" s="159" t="s">
        <v>209</v>
      </c>
      <c r="J6" s="159" t="s">
        <v>137</v>
      </c>
      <c r="K6" s="155"/>
      <c r="L6" s="155"/>
      <c r="M6" s="131"/>
    </row>
    <row r="7" spans="1:18" s="154" customFormat="1" ht="15.75" customHeight="1">
      <c r="A7" s="662" t="s">
        <v>186</v>
      </c>
      <c r="B7" s="662"/>
      <c r="C7" s="430" t="s">
        <v>47</v>
      </c>
      <c r="D7" s="662" t="s">
        <v>12</v>
      </c>
      <c r="E7" s="663"/>
      <c r="F7" s="663"/>
      <c r="G7" s="430" t="s">
        <v>46</v>
      </c>
      <c r="H7" s="430" t="s">
        <v>438</v>
      </c>
      <c r="I7" s="430" t="s">
        <v>439</v>
      </c>
      <c r="J7" s="222" t="s">
        <v>440</v>
      </c>
      <c r="K7" s="662" t="s">
        <v>51</v>
      </c>
      <c r="L7" s="663"/>
      <c r="M7" s="153"/>
    </row>
    <row r="8" spans="1:18" ht="15.75" customHeight="1">
      <c r="A8" s="631">
        <v>5</v>
      </c>
      <c r="B8" s="662" t="s">
        <v>133</v>
      </c>
      <c r="C8" s="431">
        <v>1</v>
      </c>
      <c r="D8" s="409" t="s">
        <v>374</v>
      </c>
      <c r="E8" s="410"/>
      <c r="F8" s="411"/>
      <c r="G8" s="420">
        <v>6</v>
      </c>
      <c r="H8" s="420">
        <v>1451.7457984440068</v>
      </c>
      <c r="I8" s="420">
        <v>241.95763307400111</v>
      </c>
      <c r="J8" s="419" t="s">
        <v>412</v>
      </c>
      <c r="K8" s="675" t="s">
        <v>646</v>
      </c>
      <c r="L8" s="676"/>
      <c r="M8" s="131"/>
      <c r="P8" s="253"/>
      <c r="Q8" s="253"/>
      <c r="R8" s="253"/>
    </row>
    <row r="9" spans="1:18" ht="15.75" customHeight="1">
      <c r="A9" s="631"/>
      <c r="B9" s="662"/>
      <c r="C9" s="431">
        <v>2</v>
      </c>
      <c r="D9" s="409" t="s">
        <v>398</v>
      </c>
      <c r="E9" s="410"/>
      <c r="F9" s="411"/>
      <c r="G9" s="420">
        <v>6.6428571428571432</v>
      </c>
      <c r="H9" s="420">
        <v>1471.4237402837844</v>
      </c>
      <c r="I9" s="420">
        <v>222.82767243019154</v>
      </c>
      <c r="J9" s="419" t="s">
        <v>412</v>
      </c>
      <c r="K9" s="677"/>
      <c r="L9" s="678"/>
      <c r="M9" s="131"/>
      <c r="P9" s="253"/>
      <c r="Q9" s="253"/>
      <c r="R9" s="253"/>
    </row>
    <row r="10" spans="1:18" ht="15.75" customHeight="1">
      <c r="A10" s="631"/>
      <c r="B10" s="662"/>
      <c r="C10" s="431">
        <v>3</v>
      </c>
      <c r="D10" s="409" t="s">
        <v>382</v>
      </c>
      <c r="E10" s="410"/>
      <c r="F10" s="411"/>
      <c r="G10" s="420">
        <v>15.261904761904761</v>
      </c>
      <c r="H10" s="420">
        <v>1370.8273915334939</v>
      </c>
      <c r="I10" s="420">
        <v>89.913688113612821</v>
      </c>
      <c r="J10" s="419" t="s">
        <v>412</v>
      </c>
      <c r="K10" s="674"/>
      <c r="L10" s="674"/>
      <c r="M10" s="131"/>
      <c r="P10" s="253"/>
      <c r="Q10" s="253"/>
      <c r="R10" s="253"/>
    </row>
    <row r="11" spans="1:18" ht="15.75" customHeight="1">
      <c r="A11" s="631"/>
      <c r="B11" s="662"/>
      <c r="C11" s="431">
        <v>4</v>
      </c>
      <c r="D11" s="409" t="s">
        <v>353</v>
      </c>
      <c r="E11" s="410"/>
      <c r="F11" s="411"/>
      <c r="G11" s="420">
        <v>16.023809523809522</v>
      </c>
      <c r="H11" s="420">
        <v>1315.4618226856367</v>
      </c>
      <c r="I11" s="420">
        <v>82.10242548533644</v>
      </c>
      <c r="J11" s="415" t="s">
        <v>643</v>
      </c>
      <c r="K11" s="671"/>
      <c r="L11" s="661"/>
      <c r="M11" s="131"/>
      <c r="P11" s="253"/>
      <c r="Q11" s="253"/>
      <c r="R11" s="253"/>
    </row>
    <row r="12" spans="1:18" ht="15.75" customHeight="1">
      <c r="A12" s="631"/>
      <c r="B12" s="662"/>
      <c r="C12" s="431">
        <v>5</v>
      </c>
      <c r="D12" s="418" t="s">
        <v>921</v>
      </c>
      <c r="E12" s="410"/>
      <c r="F12" s="411"/>
      <c r="G12" s="420">
        <v>16.085714285714285</v>
      </c>
      <c r="H12" s="420">
        <v>1292.5190998787753</v>
      </c>
      <c r="I12" s="420">
        <v>81.280892500740478</v>
      </c>
      <c r="J12" s="416" t="s">
        <v>644</v>
      </c>
      <c r="K12" s="671" t="s">
        <v>967</v>
      </c>
      <c r="L12" s="661"/>
      <c r="M12" s="131"/>
      <c r="P12" s="253"/>
      <c r="Q12" s="253"/>
      <c r="R12" s="253"/>
    </row>
    <row r="13" spans="1:18" ht="15.75" customHeight="1">
      <c r="A13" s="631"/>
      <c r="B13" s="662"/>
      <c r="C13" s="165" t="s">
        <v>443</v>
      </c>
      <c r="D13" s="409" t="s">
        <v>621</v>
      </c>
      <c r="E13" s="410"/>
      <c r="F13" s="411"/>
      <c r="G13" s="420">
        <v>19.942857142857143</v>
      </c>
      <c r="H13" s="420">
        <v>1093.3141899857451</v>
      </c>
      <c r="I13" s="420">
        <v>54.831022623114315</v>
      </c>
      <c r="J13" s="419" t="s">
        <v>412</v>
      </c>
      <c r="K13" s="671"/>
      <c r="L13" s="661"/>
      <c r="M13" s="131"/>
      <c r="P13" s="253"/>
      <c r="Q13" s="253"/>
      <c r="R13" s="253"/>
    </row>
    <row r="14" spans="1:18" ht="15.75" customHeight="1">
      <c r="A14" s="631"/>
      <c r="B14" s="662"/>
      <c r="C14" s="165" t="s">
        <v>444</v>
      </c>
      <c r="D14" s="409" t="s">
        <v>716</v>
      </c>
      <c r="E14" s="410"/>
      <c r="F14" s="411"/>
      <c r="G14" s="420">
        <v>18.666666666666668</v>
      </c>
      <c r="H14" s="420">
        <v>1098.8668889669532</v>
      </c>
      <c r="I14" s="420">
        <v>58.914212295844287</v>
      </c>
      <c r="J14" s="419" t="s">
        <v>412</v>
      </c>
      <c r="K14" s="671"/>
      <c r="L14" s="661"/>
      <c r="M14" s="131"/>
      <c r="P14" s="253"/>
      <c r="Q14" s="253"/>
      <c r="R14" s="253"/>
    </row>
    <row r="15" spans="1:18" ht="15.75" customHeight="1">
      <c r="A15" s="631"/>
      <c r="B15" s="662"/>
      <c r="C15" s="165" t="s">
        <v>445</v>
      </c>
      <c r="D15" s="409" t="s">
        <v>355</v>
      </c>
      <c r="E15" s="410"/>
      <c r="F15" s="411"/>
      <c r="G15" s="420">
        <v>20.095238095238095</v>
      </c>
      <c r="H15" s="420">
        <v>1297.3989058025093</v>
      </c>
      <c r="I15" s="420">
        <v>64.606203162893948</v>
      </c>
      <c r="J15" s="419" t="s">
        <v>412</v>
      </c>
      <c r="K15" s="660"/>
      <c r="L15" s="661"/>
      <c r="M15" s="131"/>
      <c r="P15" s="253"/>
      <c r="Q15" s="253"/>
      <c r="R15" s="253"/>
    </row>
    <row r="16" spans="1:18" ht="15.75" customHeight="1">
      <c r="A16" s="631"/>
      <c r="B16" s="662"/>
      <c r="C16" s="165" t="s">
        <v>446</v>
      </c>
      <c r="D16" s="409" t="s">
        <v>377</v>
      </c>
      <c r="E16" s="410"/>
      <c r="F16" s="411"/>
      <c r="G16" s="420">
        <v>17.857142857142858</v>
      </c>
      <c r="H16" s="420">
        <v>1184.2599111723664</v>
      </c>
      <c r="I16" s="420">
        <v>66.342466875707416</v>
      </c>
      <c r="J16" s="416" t="s">
        <v>644</v>
      </c>
      <c r="K16" s="660" t="s">
        <v>968</v>
      </c>
      <c r="L16" s="661"/>
      <c r="M16" s="152"/>
      <c r="P16" s="253"/>
      <c r="Q16" s="253"/>
      <c r="R16" s="253"/>
    </row>
    <row r="17" spans="1:18" ht="15.75" customHeight="1">
      <c r="A17" s="631"/>
      <c r="B17" s="662"/>
      <c r="C17" s="165" t="s">
        <v>447</v>
      </c>
      <c r="D17" s="409" t="s">
        <v>513</v>
      </c>
      <c r="E17" s="410"/>
      <c r="F17" s="411"/>
      <c r="G17" s="420">
        <v>17.404761904761902</v>
      </c>
      <c r="H17" s="420">
        <v>1198.5577809077288</v>
      </c>
      <c r="I17" s="420">
        <v>68.915469427870789</v>
      </c>
      <c r="J17" s="415" t="s">
        <v>643</v>
      </c>
      <c r="K17" s="679"/>
      <c r="L17" s="680"/>
      <c r="M17" s="152"/>
      <c r="P17" s="253"/>
      <c r="Q17" s="253"/>
      <c r="R17" s="253"/>
    </row>
    <row r="18" spans="1:18" s="162" customFormat="1" ht="15.75" customHeight="1">
      <c r="A18" s="667" t="s">
        <v>186</v>
      </c>
      <c r="B18" s="667"/>
      <c r="C18" s="428" t="s">
        <v>47</v>
      </c>
      <c r="D18" s="668" t="s">
        <v>12</v>
      </c>
      <c r="E18" s="669"/>
      <c r="F18" s="669"/>
      <c r="G18" s="429" t="s">
        <v>46</v>
      </c>
      <c r="H18" s="429" t="s">
        <v>438</v>
      </c>
      <c r="I18" s="429" t="s">
        <v>439</v>
      </c>
      <c r="J18" s="417" t="s">
        <v>645</v>
      </c>
      <c r="K18" s="668" t="s">
        <v>51</v>
      </c>
      <c r="L18" s="669"/>
      <c r="M18" s="155"/>
    </row>
    <row r="19" spans="1:18" ht="15.75" customHeight="1">
      <c r="A19" s="631">
        <v>6</v>
      </c>
      <c r="B19" s="662" t="s">
        <v>131</v>
      </c>
      <c r="C19" s="431">
        <v>1</v>
      </c>
      <c r="D19" s="409" t="s">
        <v>389</v>
      </c>
      <c r="E19" s="410"/>
      <c r="F19" s="411"/>
      <c r="G19" s="420">
        <v>17</v>
      </c>
      <c r="H19" s="420">
        <v>1403.667145178955</v>
      </c>
      <c r="I19" s="420">
        <v>82.568655598762078</v>
      </c>
      <c r="J19" s="419" t="s">
        <v>412</v>
      </c>
      <c r="K19" s="670"/>
      <c r="L19" s="661"/>
      <c r="M19" s="152"/>
      <c r="P19" s="253"/>
      <c r="Q19" s="253"/>
      <c r="R19" s="253"/>
    </row>
    <row r="20" spans="1:18" ht="15.75" customHeight="1">
      <c r="A20" s="631"/>
      <c r="B20" s="662"/>
      <c r="C20" s="431">
        <v>2</v>
      </c>
      <c r="D20" s="409" t="s">
        <v>581</v>
      </c>
      <c r="E20" s="410"/>
      <c r="F20" s="411"/>
      <c r="G20" s="420">
        <v>17.580952380952382</v>
      </c>
      <c r="H20" s="420">
        <v>1315.8379195135865</v>
      </c>
      <c r="I20" s="420">
        <v>75.533308205113343</v>
      </c>
      <c r="J20" s="419" t="s">
        <v>412</v>
      </c>
      <c r="K20" s="670"/>
      <c r="L20" s="661"/>
      <c r="M20" s="152"/>
      <c r="P20" s="253"/>
      <c r="Q20" s="253"/>
      <c r="R20" s="253"/>
    </row>
    <row r="21" spans="1:18" ht="15.75" customHeight="1">
      <c r="A21" s="631"/>
      <c r="B21" s="662"/>
      <c r="C21" s="431">
        <v>3</v>
      </c>
      <c r="D21" s="409" t="s">
        <v>388</v>
      </c>
      <c r="E21" s="410"/>
      <c r="F21" s="411"/>
      <c r="G21" s="420">
        <v>17.661904761904761</v>
      </c>
      <c r="H21" s="420">
        <v>1314.9128215164167</v>
      </c>
      <c r="I21" s="420">
        <v>74.473082656182385</v>
      </c>
      <c r="J21" s="419" t="s">
        <v>412</v>
      </c>
      <c r="K21" s="670"/>
      <c r="L21" s="661"/>
      <c r="M21" s="152"/>
      <c r="P21" s="253"/>
      <c r="Q21" s="253"/>
      <c r="R21" s="253"/>
    </row>
    <row r="22" spans="1:18" ht="15.75" customHeight="1">
      <c r="A22" s="631"/>
      <c r="B22" s="662"/>
      <c r="C22" s="431">
        <v>4</v>
      </c>
      <c r="D22" s="409" t="s">
        <v>504</v>
      </c>
      <c r="E22" s="410"/>
      <c r="F22" s="411"/>
      <c r="G22" s="420">
        <v>15.866666666666665</v>
      </c>
      <c r="H22" s="420">
        <v>1158.9496918336506</v>
      </c>
      <c r="I22" s="420">
        <v>73.507651066477479</v>
      </c>
      <c r="J22" s="415" t="s">
        <v>643</v>
      </c>
      <c r="K22" s="670"/>
      <c r="L22" s="661"/>
      <c r="M22" s="152"/>
      <c r="P22" s="253"/>
      <c r="Q22" s="253"/>
      <c r="R22" s="253"/>
    </row>
    <row r="23" spans="1:18" ht="15.75" customHeight="1">
      <c r="A23" s="631"/>
      <c r="B23" s="662"/>
      <c r="C23" s="431">
        <v>5</v>
      </c>
      <c r="D23" s="409" t="s">
        <v>386</v>
      </c>
      <c r="E23" s="410"/>
      <c r="F23" s="411"/>
      <c r="G23" s="420">
        <v>18</v>
      </c>
      <c r="H23" s="420">
        <v>1278.4299508952897</v>
      </c>
      <c r="I23" s="420">
        <v>71.023886160849443</v>
      </c>
      <c r="J23" s="419" t="s">
        <v>412</v>
      </c>
      <c r="K23" s="670"/>
      <c r="L23" s="661"/>
      <c r="M23" s="152"/>
      <c r="P23" s="253"/>
      <c r="Q23" s="253"/>
      <c r="R23" s="253"/>
    </row>
    <row r="24" spans="1:18" ht="15.75" customHeight="1">
      <c r="A24" s="631"/>
      <c r="B24" s="662"/>
      <c r="C24" s="165" t="s">
        <v>443</v>
      </c>
      <c r="D24" s="409" t="s">
        <v>507</v>
      </c>
      <c r="E24" s="410"/>
      <c r="F24" s="411"/>
      <c r="G24" s="420">
        <v>20.142857142857146</v>
      </c>
      <c r="H24" s="420">
        <v>1222.5982215862955</v>
      </c>
      <c r="I24" s="420">
        <v>60.652606651242579</v>
      </c>
      <c r="J24" s="419" t="s">
        <v>412</v>
      </c>
      <c r="K24" s="670"/>
      <c r="L24" s="661"/>
      <c r="M24" s="152"/>
      <c r="P24" s="253"/>
      <c r="Q24" s="253"/>
      <c r="R24" s="253"/>
    </row>
    <row r="25" spans="1:18" ht="15.75" customHeight="1">
      <c r="A25" s="631"/>
      <c r="B25" s="662"/>
      <c r="C25" s="165" t="s">
        <v>444</v>
      </c>
      <c r="D25" s="409" t="s">
        <v>391</v>
      </c>
      <c r="E25" s="410"/>
      <c r="F25" s="411"/>
      <c r="G25" s="420">
        <v>19.961904761904762</v>
      </c>
      <c r="H25" s="420">
        <v>1261.6583511230369</v>
      </c>
      <c r="I25" s="420">
        <v>63.201922726083055</v>
      </c>
      <c r="J25" s="419" t="s">
        <v>412</v>
      </c>
      <c r="K25" s="670"/>
      <c r="L25" s="661"/>
      <c r="M25" s="152"/>
      <c r="P25" s="253"/>
      <c r="Q25" s="253"/>
      <c r="R25" s="253"/>
    </row>
    <row r="26" spans="1:18" ht="15.75" customHeight="1">
      <c r="A26" s="631"/>
      <c r="B26" s="662"/>
      <c r="C26" s="165" t="s">
        <v>445</v>
      </c>
      <c r="D26" s="409" t="s">
        <v>392</v>
      </c>
      <c r="E26" s="410"/>
      <c r="F26" s="411"/>
      <c r="G26" s="420">
        <v>19.728571428571428</v>
      </c>
      <c r="H26" s="420">
        <v>1266.3469193257483</v>
      </c>
      <c r="I26" s="420">
        <v>64.194757548069106</v>
      </c>
      <c r="J26" s="419" t="s">
        <v>412</v>
      </c>
      <c r="K26" s="670"/>
      <c r="L26" s="661"/>
      <c r="M26" s="152"/>
      <c r="P26" s="253"/>
      <c r="Q26" s="253"/>
      <c r="R26" s="253"/>
    </row>
    <row r="27" spans="1:18" ht="15.75" customHeight="1">
      <c r="A27" s="631"/>
      <c r="B27" s="662"/>
      <c r="C27" s="165" t="s">
        <v>446</v>
      </c>
      <c r="D27" s="409" t="s">
        <v>390</v>
      </c>
      <c r="E27" s="410"/>
      <c r="F27" s="411"/>
      <c r="G27" s="420">
        <v>19</v>
      </c>
      <c r="H27" s="420">
        <v>1257.2026339949814</v>
      </c>
      <c r="I27" s="420">
        <v>66.168559683946413</v>
      </c>
      <c r="J27" s="419" t="s">
        <v>412</v>
      </c>
      <c r="K27" s="670"/>
      <c r="L27" s="661"/>
      <c r="M27" s="152"/>
      <c r="P27" s="253"/>
      <c r="Q27" s="253"/>
      <c r="R27" s="253"/>
    </row>
    <row r="28" spans="1:18" ht="15.75" customHeight="1">
      <c r="A28" s="631"/>
      <c r="B28" s="662"/>
      <c r="C28" s="165" t="s">
        <v>447</v>
      </c>
      <c r="D28" s="409" t="s">
        <v>625</v>
      </c>
      <c r="E28" s="410"/>
      <c r="F28" s="411"/>
      <c r="G28" s="420">
        <v>18.19047619047619</v>
      </c>
      <c r="H28" s="420">
        <v>1217.8371676922095</v>
      </c>
      <c r="I28" s="420">
        <v>66.994751596173415</v>
      </c>
      <c r="J28" s="419" t="s">
        <v>412</v>
      </c>
      <c r="K28" s="670"/>
      <c r="L28" s="661"/>
      <c r="M28" s="152"/>
      <c r="P28" s="253"/>
      <c r="Q28" s="253"/>
      <c r="R28" s="253"/>
    </row>
    <row r="29" spans="1:18" ht="15.75" customHeight="1">
      <c r="A29" s="152"/>
      <c r="B29" s="152"/>
      <c r="C29" s="152"/>
      <c r="D29" s="152"/>
      <c r="E29" s="152"/>
      <c r="F29" s="152"/>
      <c r="G29" s="152"/>
      <c r="H29" s="152"/>
      <c r="I29" s="152"/>
      <c r="J29" s="152"/>
      <c r="K29" s="152"/>
      <c r="L29" s="152"/>
      <c r="M29" s="131"/>
    </row>
    <row r="30" spans="1:18" ht="15.75" customHeight="1">
      <c r="A30" s="152"/>
      <c r="B30" s="152"/>
      <c r="C30" s="152"/>
      <c r="D30" s="152"/>
      <c r="E30" s="152"/>
      <c r="F30" s="152"/>
      <c r="G30" s="152"/>
      <c r="H30" s="152"/>
      <c r="I30" s="152"/>
      <c r="J30" s="152"/>
      <c r="K30" s="152"/>
      <c r="L30" s="152"/>
      <c r="M30" s="131"/>
    </row>
    <row r="31" spans="1:18" ht="15.75" customHeight="1">
      <c r="A31" s="152"/>
      <c r="B31" s="152"/>
      <c r="C31" s="152"/>
      <c r="D31" s="152"/>
      <c r="E31" s="152"/>
      <c r="F31" s="152"/>
      <c r="G31" s="152"/>
      <c r="H31" s="152"/>
      <c r="I31" s="152"/>
      <c r="J31" s="152"/>
      <c r="K31" s="152"/>
      <c r="L31" s="152"/>
      <c r="M31" s="131"/>
    </row>
    <row r="32" spans="1:18"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32">
    <mergeCell ref="A1:L2"/>
    <mergeCell ref="A3:L4"/>
    <mergeCell ref="A5:A6"/>
    <mergeCell ref="A7:B7"/>
    <mergeCell ref="D7:F7"/>
    <mergeCell ref="K7:L7"/>
    <mergeCell ref="A19:A28"/>
    <mergeCell ref="B19:B28"/>
    <mergeCell ref="K23:L23"/>
    <mergeCell ref="K22:L22"/>
    <mergeCell ref="K19:L19"/>
    <mergeCell ref="K24:L24"/>
    <mergeCell ref="K20:L20"/>
    <mergeCell ref="K28:L28"/>
    <mergeCell ref="K25:L25"/>
    <mergeCell ref="K26:L26"/>
    <mergeCell ref="K27:L27"/>
    <mergeCell ref="K21:L21"/>
    <mergeCell ref="A8:A17"/>
    <mergeCell ref="B8:B17"/>
    <mergeCell ref="A18:B18"/>
    <mergeCell ref="D18:F18"/>
    <mergeCell ref="K15:L15"/>
    <mergeCell ref="K10:L10"/>
    <mergeCell ref="K8:L9"/>
    <mergeCell ref="K16:L16"/>
    <mergeCell ref="K17:L17"/>
    <mergeCell ref="K18:L18"/>
    <mergeCell ref="K13:L13"/>
    <mergeCell ref="K14:L14"/>
    <mergeCell ref="K11:L11"/>
    <mergeCell ref="K12:L12"/>
  </mergeCells>
  <phoneticPr fontId="11"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M35"/>
  <sheetViews>
    <sheetView zoomScaleNormal="100" zoomScaleSheetLayoutView="100" workbookViewId="0">
      <selection activeCell="A7" sqref="A7:L28"/>
    </sheetView>
  </sheetViews>
  <sheetFormatPr defaultColWidth="12.54296875" defaultRowHeight="15.75" customHeight="1"/>
  <cols>
    <col min="1" max="1" width="6.453125" style="120" customWidth="1"/>
    <col min="2" max="10" width="11.54296875" style="120" customWidth="1"/>
    <col min="11" max="12" width="12.81640625" style="120" customWidth="1"/>
    <col min="13" max="13" width="12.54296875" style="121"/>
    <col min="14" max="16384" width="12.54296875" style="120"/>
  </cols>
  <sheetData>
    <row r="1" spans="1:13" ht="15.75" customHeight="1">
      <c r="A1" s="504" t="s">
        <v>204</v>
      </c>
      <c r="B1" s="504"/>
      <c r="C1" s="504"/>
      <c r="D1" s="504"/>
      <c r="E1" s="504"/>
      <c r="F1" s="504"/>
      <c r="G1" s="504"/>
      <c r="H1" s="504"/>
      <c r="I1" s="504"/>
      <c r="J1" s="504"/>
      <c r="K1" s="504"/>
      <c r="L1" s="504"/>
      <c r="M1" s="120"/>
    </row>
    <row r="2" spans="1:13" s="121" customFormat="1" ht="15.75" customHeight="1">
      <c r="A2" s="504"/>
      <c r="B2" s="504"/>
      <c r="C2" s="504"/>
      <c r="D2" s="504"/>
      <c r="E2" s="504"/>
      <c r="F2" s="504"/>
      <c r="G2" s="504"/>
      <c r="H2" s="504"/>
      <c r="I2" s="504"/>
      <c r="J2" s="504"/>
      <c r="K2" s="504"/>
      <c r="L2" s="504"/>
    </row>
    <row r="3" spans="1:13" ht="15.75" customHeight="1">
      <c r="A3" s="635" t="s">
        <v>205</v>
      </c>
      <c r="B3" s="635"/>
      <c r="C3" s="635"/>
      <c r="D3" s="635"/>
      <c r="E3" s="635"/>
      <c r="F3" s="635"/>
      <c r="G3" s="635"/>
      <c r="H3" s="635"/>
      <c r="I3" s="635"/>
      <c r="J3" s="635"/>
      <c r="K3" s="635"/>
      <c r="L3" s="635"/>
      <c r="M3" s="152"/>
    </row>
    <row r="4" spans="1:13" s="121" customFormat="1" ht="15.75" customHeight="1">
      <c r="A4" s="635"/>
      <c r="B4" s="635"/>
      <c r="C4" s="635"/>
      <c r="D4" s="635"/>
      <c r="E4" s="635"/>
      <c r="F4" s="635"/>
      <c r="G4" s="635"/>
      <c r="H4" s="635"/>
      <c r="I4" s="635"/>
      <c r="J4" s="635"/>
      <c r="K4" s="635"/>
      <c r="L4" s="635"/>
      <c r="M4" s="131"/>
    </row>
    <row r="5" spans="1:13" s="154" customFormat="1" ht="16.399999999999999" customHeight="1">
      <c r="A5" s="619" t="s">
        <v>154</v>
      </c>
      <c r="B5" s="156">
        <v>1</v>
      </c>
      <c r="C5" s="156">
        <v>2</v>
      </c>
      <c r="D5" s="156">
        <v>3</v>
      </c>
      <c r="E5" s="156">
        <v>4</v>
      </c>
      <c r="F5" s="156">
        <v>5</v>
      </c>
      <c r="G5" s="156">
        <v>6</v>
      </c>
      <c r="H5" s="166">
        <v>7</v>
      </c>
      <c r="I5" s="166">
        <v>8</v>
      </c>
      <c r="J5" s="156">
        <v>9</v>
      </c>
      <c r="K5" s="153"/>
      <c r="L5" s="153"/>
      <c r="M5" s="153"/>
    </row>
    <row r="6" spans="1:13" ht="16.399999999999999" customHeight="1">
      <c r="A6" s="621"/>
      <c r="B6" s="157" t="s">
        <v>206</v>
      </c>
      <c r="C6" s="157" t="s">
        <v>151</v>
      </c>
      <c r="D6" s="157" t="s">
        <v>207</v>
      </c>
      <c r="E6" s="157" t="s">
        <v>153</v>
      </c>
      <c r="F6" s="158" t="s">
        <v>133</v>
      </c>
      <c r="G6" s="159" t="s">
        <v>131</v>
      </c>
      <c r="H6" s="167" t="s">
        <v>208</v>
      </c>
      <c r="I6" s="169" t="s">
        <v>209</v>
      </c>
      <c r="J6" s="159" t="s">
        <v>137</v>
      </c>
      <c r="K6" s="155"/>
      <c r="L6" s="155"/>
      <c r="M6" s="131"/>
    </row>
    <row r="7" spans="1:13" s="154" customFormat="1" ht="15.75" customHeight="1">
      <c r="A7" s="632" t="s">
        <v>941</v>
      </c>
      <c r="B7" s="633"/>
      <c r="C7" s="430" t="s">
        <v>942</v>
      </c>
      <c r="D7" s="632" t="s">
        <v>12</v>
      </c>
      <c r="E7" s="634"/>
      <c r="F7" s="633"/>
      <c r="G7" s="430" t="s">
        <v>943</v>
      </c>
      <c r="H7" s="430" t="s">
        <v>944</v>
      </c>
      <c r="I7" s="430" t="s">
        <v>945</v>
      </c>
      <c r="J7" s="222" t="s">
        <v>963</v>
      </c>
      <c r="K7" s="632" t="s">
        <v>947</v>
      </c>
      <c r="L7" s="633"/>
      <c r="M7" s="153"/>
    </row>
    <row r="8" spans="1:13" ht="15.75" customHeight="1">
      <c r="A8" s="619">
        <v>7</v>
      </c>
      <c r="B8" s="622" t="s">
        <v>135</v>
      </c>
      <c r="C8" s="431">
        <v>1</v>
      </c>
      <c r="D8" s="409" t="s">
        <v>573</v>
      </c>
      <c r="E8" s="410"/>
      <c r="F8" s="411"/>
      <c r="G8" s="413">
        <v>13.214285714285715</v>
      </c>
      <c r="H8" s="413">
        <v>1312.9430515893</v>
      </c>
      <c r="I8" s="413">
        <v>99.760984882928256</v>
      </c>
      <c r="J8" s="419" t="s">
        <v>412</v>
      </c>
      <c r="K8" s="681"/>
      <c r="L8" s="682"/>
      <c r="M8" s="131"/>
    </row>
    <row r="9" spans="1:13" ht="15.75" customHeight="1">
      <c r="A9" s="620"/>
      <c r="B9" s="623"/>
      <c r="C9" s="431">
        <v>2</v>
      </c>
      <c r="D9" s="409" t="s">
        <v>347</v>
      </c>
      <c r="E9" s="410"/>
      <c r="F9" s="411"/>
      <c r="G9" s="413">
        <v>17.19047619047619</v>
      </c>
      <c r="H9" s="413">
        <v>1424.8398195447753</v>
      </c>
      <c r="I9" s="413">
        <v>82.984469801575528</v>
      </c>
      <c r="J9" s="415" t="s">
        <v>949</v>
      </c>
      <c r="K9" s="681"/>
      <c r="L9" s="682"/>
      <c r="M9" s="131"/>
    </row>
    <row r="10" spans="1:13" ht="15.75" customHeight="1">
      <c r="A10" s="620"/>
      <c r="B10" s="623"/>
      <c r="C10" s="431">
        <v>3</v>
      </c>
      <c r="D10" s="418" t="s">
        <v>969</v>
      </c>
      <c r="E10" s="410"/>
      <c r="F10" s="411"/>
      <c r="G10" s="413">
        <v>17.696428571428573</v>
      </c>
      <c r="H10" s="413">
        <v>1321.4071388131058</v>
      </c>
      <c r="I10" s="413">
        <v>74.726027324808157</v>
      </c>
      <c r="J10" s="419" t="s">
        <v>412</v>
      </c>
      <c r="K10" s="681" t="s">
        <v>970</v>
      </c>
      <c r="L10" s="682"/>
      <c r="M10" s="131"/>
    </row>
    <row r="11" spans="1:13" ht="15.75" customHeight="1">
      <c r="A11" s="620"/>
      <c r="B11" s="623"/>
      <c r="C11" s="431">
        <v>4</v>
      </c>
      <c r="D11" s="409" t="s">
        <v>617</v>
      </c>
      <c r="E11" s="410"/>
      <c r="F11" s="411"/>
      <c r="G11" s="413">
        <v>17.214285714285715</v>
      </c>
      <c r="H11" s="413">
        <v>1263.9765264073876</v>
      </c>
      <c r="I11" s="413">
        <v>73.573902212269743</v>
      </c>
      <c r="J11" s="416" t="s">
        <v>950</v>
      </c>
      <c r="K11" s="681" t="s">
        <v>955</v>
      </c>
      <c r="L11" s="682"/>
      <c r="M11" s="131"/>
    </row>
    <row r="12" spans="1:13" ht="15.75" customHeight="1">
      <c r="A12" s="620"/>
      <c r="B12" s="623"/>
      <c r="C12" s="431">
        <v>5</v>
      </c>
      <c r="D12" s="409" t="s">
        <v>633</v>
      </c>
      <c r="E12" s="410"/>
      <c r="F12" s="411"/>
      <c r="G12" s="413">
        <v>18</v>
      </c>
      <c r="H12" s="413">
        <v>1318.6997668298297</v>
      </c>
      <c r="I12" s="413">
        <v>73.261098157212757</v>
      </c>
      <c r="J12" s="415" t="s">
        <v>949</v>
      </c>
      <c r="K12" s="679"/>
      <c r="L12" s="689"/>
      <c r="M12" s="131"/>
    </row>
    <row r="13" spans="1:13" ht="15.75" customHeight="1">
      <c r="A13" s="620"/>
      <c r="B13" s="623"/>
      <c r="C13" s="165" t="s">
        <v>952</v>
      </c>
      <c r="D13" s="409" t="s">
        <v>642</v>
      </c>
      <c r="E13" s="410"/>
      <c r="F13" s="411"/>
      <c r="G13" s="413">
        <v>19.80952380952381</v>
      </c>
      <c r="H13" s="413">
        <v>1044.3060317906693</v>
      </c>
      <c r="I13" s="413">
        <v>52.747904742437377</v>
      </c>
      <c r="J13" s="416" t="s">
        <v>950</v>
      </c>
      <c r="K13" s="683" t="s">
        <v>971</v>
      </c>
      <c r="L13" s="684"/>
      <c r="M13" s="131"/>
    </row>
    <row r="14" spans="1:13" ht="15.75" customHeight="1">
      <c r="A14" s="620"/>
      <c r="B14" s="623"/>
      <c r="C14" s="165" t="s">
        <v>953</v>
      </c>
      <c r="D14" s="409" t="s">
        <v>622</v>
      </c>
      <c r="E14" s="410"/>
      <c r="F14" s="411"/>
      <c r="G14" s="413">
        <v>19.88095238095238</v>
      </c>
      <c r="H14" s="413">
        <v>1085.0644041993396</v>
      </c>
      <c r="I14" s="413">
        <v>54.608515640448168</v>
      </c>
      <c r="J14" s="415" t="s">
        <v>949</v>
      </c>
      <c r="K14" s="685"/>
      <c r="L14" s="686"/>
      <c r="M14" s="131"/>
    </row>
    <row r="15" spans="1:13" ht="15.75" customHeight="1">
      <c r="A15" s="620"/>
      <c r="B15" s="623"/>
      <c r="C15" s="165" t="s">
        <v>954</v>
      </c>
      <c r="D15" s="409" t="s">
        <v>742</v>
      </c>
      <c r="E15" s="410"/>
      <c r="F15" s="411"/>
      <c r="G15" s="413">
        <v>19.771428571428572</v>
      </c>
      <c r="H15" s="413">
        <v>1099.3078709871395</v>
      </c>
      <c r="I15" s="413">
        <v>55.616538268523108</v>
      </c>
      <c r="J15" s="419" t="s">
        <v>412</v>
      </c>
      <c r="K15" s="679" t="s">
        <v>972</v>
      </c>
      <c r="L15" s="689"/>
      <c r="M15" s="131"/>
    </row>
    <row r="16" spans="1:13" ht="15.75" customHeight="1">
      <c r="A16" s="620"/>
      <c r="B16" s="623"/>
      <c r="C16" s="165" t="s">
        <v>956</v>
      </c>
      <c r="D16" s="409" t="s">
        <v>637</v>
      </c>
      <c r="E16" s="410"/>
      <c r="F16" s="411"/>
      <c r="G16" s="413">
        <v>18.285714285714285</v>
      </c>
      <c r="H16" s="413">
        <v>1213.536320287913</v>
      </c>
      <c r="I16" s="413">
        <v>66.319387087065351</v>
      </c>
      <c r="J16" s="416" t="s">
        <v>950</v>
      </c>
      <c r="K16" s="679" t="s">
        <v>973</v>
      </c>
      <c r="L16" s="689"/>
      <c r="M16" s="152"/>
    </row>
    <row r="17" spans="1:13" ht="15.75" customHeight="1">
      <c r="A17" s="621"/>
      <c r="B17" s="624"/>
      <c r="C17" s="165" t="s">
        <v>957</v>
      </c>
      <c r="D17" s="409"/>
      <c r="E17" s="410"/>
      <c r="F17" s="411"/>
      <c r="G17" s="413"/>
      <c r="H17" s="413"/>
      <c r="I17" s="413"/>
      <c r="J17" s="419" t="s">
        <v>412</v>
      </c>
      <c r="K17" s="646"/>
      <c r="L17" s="643"/>
      <c r="M17" s="152"/>
    </row>
    <row r="18" spans="1:13" s="162" customFormat="1" ht="15.75" customHeight="1">
      <c r="A18" s="637" t="s">
        <v>941</v>
      </c>
      <c r="B18" s="638"/>
      <c r="C18" s="428" t="s">
        <v>942</v>
      </c>
      <c r="D18" s="639" t="s">
        <v>12</v>
      </c>
      <c r="E18" s="640"/>
      <c r="F18" s="641"/>
      <c r="G18" s="429" t="s">
        <v>943</v>
      </c>
      <c r="H18" s="429" t="s">
        <v>944</v>
      </c>
      <c r="I18" s="429" t="s">
        <v>945</v>
      </c>
      <c r="J18" s="417" t="s">
        <v>946</v>
      </c>
      <c r="K18" s="639" t="s">
        <v>947</v>
      </c>
      <c r="L18" s="641"/>
      <c r="M18" s="155"/>
    </row>
    <row r="19" spans="1:13" ht="15.75" customHeight="1">
      <c r="A19" s="619">
        <v>8</v>
      </c>
      <c r="B19" s="622" t="s">
        <v>136</v>
      </c>
      <c r="C19" s="431">
        <v>1</v>
      </c>
      <c r="D19" s="409" t="s">
        <v>396</v>
      </c>
      <c r="E19" s="410"/>
      <c r="F19" s="411"/>
      <c r="G19" s="413">
        <v>19.107142857142858</v>
      </c>
      <c r="H19" s="413">
        <v>2489.4898997358064</v>
      </c>
      <c r="I19" s="413">
        <v>130.33366473459344</v>
      </c>
      <c r="J19" s="419"/>
      <c r="K19" s="690" t="s">
        <v>974</v>
      </c>
      <c r="L19" s="691"/>
      <c r="M19" s="152"/>
    </row>
    <row r="20" spans="1:13" ht="15.75" customHeight="1">
      <c r="A20" s="620"/>
      <c r="B20" s="623"/>
      <c r="C20" s="431">
        <v>2</v>
      </c>
      <c r="D20" s="409" t="s">
        <v>395</v>
      </c>
      <c r="E20" s="410"/>
      <c r="F20" s="411"/>
      <c r="G20" s="413">
        <v>18.976190476190478</v>
      </c>
      <c r="H20" s="413">
        <v>2455.8133107240506</v>
      </c>
      <c r="I20" s="413">
        <v>129.42294810246074</v>
      </c>
      <c r="J20" s="415" t="s">
        <v>949</v>
      </c>
      <c r="K20" s="692"/>
      <c r="L20" s="693"/>
      <c r="M20" s="152"/>
    </row>
    <row r="21" spans="1:13" ht="15.75" customHeight="1">
      <c r="A21" s="620"/>
      <c r="B21" s="623"/>
      <c r="C21" s="431">
        <v>3</v>
      </c>
      <c r="D21" s="409" t="s">
        <v>397</v>
      </c>
      <c r="E21" s="410"/>
      <c r="F21" s="411"/>
      <c r="G21" s="413">
        <v>19.428571428571427</v>
      </c>
      <c r="H21" s="413">
        <v>2483.0491102129167</v>
      </c>
      <c r="I21" s="413">
        <v>127.88983651682281</v>
      </c>
      <c r="J21" s="416" t="s">
        <v>950</v>
      </c>
      <c r="K21" s="692"/>
      <c r="L21" s="693"/>
      <c r="M21" s="152"/>
    </row>
    <row r="22" spans="1:13" ht="15.75" customHeight="1">
      <c r="A22" s="620"/>
      <c r="B22" s="623"/>
      <c r="C22" s="431">
        <v>4</v>
      </c>
      <c r="D22" s="409" t="s">
        <v>394</v>
      </c>
      <c r="E22" s="410"/>
      <c r="F22" s="411"/>
      <c r="G22" s="413">
        <v>19.642857142857142</v>
      </c>
      <c r="H22" s="413">
        <v>2184.5093818994278</v>
      </c>
      <c r="I22" s="413">
        <v>111.39251599159003</v>
      </c>
      <c r="J22" s="415" t="s">
        <v>949</v>
      </c>
      <c r="K22" s="692"/>
      <c r="L22" s="693"/>
      <c r="M22" s="152"/>
    </row>
    <row r="23" spans="1:13" ht="15.75" customHeight="1">
      <c r="A23" s="620"/>
      <c r="B23" s="623"/>
      <c r="C23" s="431">
        <v>5</v>
      </c>
      <c r="D23" s="409" t="s">
        <v>582</v>
      </c>
      <c r="E23" s="410"/>
      <c r="F23" s="411"/>
      <c r="G23" s="413">
        <v>20.047619047619047</v>
      </c>
      <c r="H23" s="413">
        <v>2078.8509936841519</v>
      </c>
      <c r="I23" s="413">
        <v>103.69808063559107</v>
      </c>
      <c r="J23" s="416" t="s">
        <v>950</v>
      </c>
      <c r="K23" s="694"/>
      <c r="L23" s="695"/>
      <c r="M23" s="152"/>
    </row>
    <row r="24" spans="1:13" ht="15.75" customHeight="1">
      <c r="A24" s="620"/>
      <c r="B24" s="623"/>
      <c r="C24" s="165" t="s">
        <v>952</v>
      </c>
      <c r="D24" s="409"/>
      <c r="E24" s="410"/>
      <c r="F24" s="411"/>
      <c r="G24" s="240"/>
      <c r="H24" s="240"/>
      <c r="I24" s="240"/>
      <c r="J24" s="242"/>
      <c r="K24" s="656"/>
      <c r="L24" s="658"/>
      <c r="M24" s="152"/>
    </row>
    <row r="25" spans="1:13" ht="15.75" customHeight="1">
      <c r="A25" s="620"/>
      <c r="B25" s="623"/>
      <c r="C25" s="165" t="s">
        <v>953</v>
      </c>
      <c r="D25" s="409"/>
      <c r="E25" s="410"/>
      <c r="F25" s="411"/>
      <c r="G25" s="240"/>
      <c r="H25" s="240"/>
      <c r="I25" s="240"/>
      <c r="J25" s="242"/>
      <c r="K25" s="687"/>
      <c r="L25" s="688"/>
      <c r="M25" s="152"/>
    </row>
    <row r="26" spans="1:13" ht="15.75" customHeight="1">
      <c r="A26" s="620"/>
      <c r="B26" s="623"/>
      <c r="C26" s="165" t="s">
        <v>954</v>
      </c>
      <c r="D26" s="409"/>
      <c r="E26" s="410"/>
      <c r="F26" s="411"/>
      <c r="G26" s="240"/>
      <c r="H26" s="240"/>
      <c r="I26" s="240"/>
      <c r="J26" s="242"/>
      <c r="K26" s="687"/>
      <c r="L26" s="688"/>
      <c r="M26" s="152"/>
    </row>
    <row r="27" spans="1:13" ht="15.75" customHeight="1">
      <c r="A27" s="620"/>
      <c r="B27" s="623"/>
      <c r="C27" s="165" t="s">
        <v>956</v>
      </c>
      <c r="D27" s="409"/>
      <c r="E27" s="410"/>
      <c r="F27" s="411"/>
      <c r="G27" s="433"/>
      <c r="H27" s="433"/>
      <c r="I27" s="433"/>
      <c r="J27" s="433"/>
      <c r="K27" s="687"/>
      <c r="L27" s="688"/>
      <c r="M27" s="152"/>
    </row>
    <row r="28" spans="1:13" ht="15.75" customHeight="1">
      <c r="A28" s="621"/>
      <c r="B28" s="624"/>
      <c r="C28" s="165" t="s">
        <v>957</v>
      </c>
      <c r="D28" s="409"/>
      <c r="E28" s="410"/>
      <c r="F28" s="411"/>
      <c r="G28" s="433"/>
      <c r="H28" s="433"/>
      <c r="I28" s="433"/>
      <c r="J28" s="433"/>
      <c r="K28" s="687"/>
      <c r="L28" s="688"/>
      <c r="M28" s="152"/>
    </row>
    <row r="29" spans="1:13" ht="15.75" customHeight="1">
      <c r="A29" s="152"/>
      <c r="B29" s="152"/>
      <c r="C29" s="152"/>
      <c r="D29" s="152"/>
      <c r="E29" s="152"/>
      <c r="F29" s="152"/>
      <c r="G29" s="152"/>
      <c r="H29" s="152"/>
      <c r="I29" s="152"/>
      <c r="J29" s="152"/>
      <c r="K29" s="152"/>
      <c r="L29" s="152"/>
      <c r="M29" s="131"/>
    </row>
    <row r="30" spans="1:13" ht="15.75" customHeight="1">
      <c r="A30" s="152"/>
      <c r="B30" s="152"/>
      <c r="C30" s="152"/>
      <c r="D30" s="152"/>
      <c r="E30" s="152"/>
      <c r="F30" s="152"/>
      <c r="G30" s="152"/>
      <c r="H30" s="152"/>
      <c r="I30" s="152"/>
      <c r="J30" s="152"/>
      <c r="K30" s="152"/>
      <c r="L30" s="152"/>
      <c r="M30" s="131"/>
    </row>
    <row r="31" spans="1:13" ht="15.75" customHeight="1">
      <c r="A31" s="152"/>
      <c r="B31" s="152"/>
      <c r="C31" s="152"/>
      <c r="D31" s="152"/>
      <c r="E31" s="152"/>
      <c r="F31" s="152"/>
      <c r="G31" s="152"/>
      <c r="H31" s="152"/>
      <c r="I31" s="152"/>
      <c r="J31" s="152"/>
      <c r="K31" s="152"/>
      <c r="L31" s="152"/>
      <c r="M31" s="131"/>
    </row>
    <row r="32" spans="1:13"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28">
    <mergeCell ref="A1:L2"/>
    <mergeCell ref="K8:L8"/>
    <mergeCell ref="K9:L9"/>
    <mergeCell ref="K16:L16"/>
    <mergeCell ref="A3:L4"/>
    <mergeCell ref="K12:L12"/>
    <mergeCell ref="A5:A6"/>
    <mergeCell ref="A7:B7"/>
    <mergeCell ref="D7:F7"/>
    <mergeCell ref="K7:L7"/>
    <mergeCell ref="A8:A17"/>
    <mergeCell ref="B8:B17"/>
    <mergeCell ref="K10:L10"/>
    <mergeCell ref="K17:L17"/>
    <mergeCell ref="K11:L11"/>
    <mergeCell ref="K13:L14"/>
    <mergeCell ref="K27:L27"/>
    <mergeCell ref="K26:L26"/>
    <mergeCell ref="A18:B18"/>
    <mergeCell ref="D18:F18"/>
    <mergeCell ref="K18:L18"/>
    <mergeCell ref="A19:A28"/>
    <mergeCell ref="B19:B28"/>
    <mergeCell ref="K28:L28"/>
    <mergeCell ref="K24:L24"/>
    <mergeCell ref="K25:L25"/>
    <mergeCell ref="K15:L15"/>
    <mergeCell ref="K19:L23"/>
  </mergeCells>
  <phoneticPr fontId="11"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M35"/>
  <sheetViews>
    <sheetView zoomScaleNormal="100" zoomScaleSheetLayoutView="100" workbookViewId="0">
      <selection activeCell="O18" sqref="O18"/>
    </sheetView>
  </sheetViews>
  <sheetFormatPr defaultColWidth="12.54296875" defaultRowHeight="15.75" customHeight="1"/>
  <cols>
    <col min="1" max="1" width="6.453125" style="120" customWidth="1"/>
    <col min="2" max="10" width="11.54296875" style="120" customWidth="1"/>
    <col min="11" max="12" width="12.81640625" style="120" customWidth="1"/>
    <col min="13" max="13" width="12.54296875" style="121"/>
    <col min="14" max="16384" width="12.54296875" style="120"/>
  </cols>
  <sheetData>
    <row r="1" spans="1:13" ht="15.75" customHeight="1">
      <c r="A1" s="504" t="s">
        <v>204</v>
      </c>
      <c r="B1" s="504"/>
      <c r="C1" s="504"/>
      <c r="D1" s="504"/>
      <c r="E1" s="504"/>
      <c r="F1" s="504"/>
      <c r="G1" s="504"/>
      <c r="H1" s="504"/>
      <c r="I1" s="504"/>
      <c r="J1" s="504"/>
      <c r="K1" s="504"/>
      <c r="L1" s="504"/>
      <c r="M1" s="120"/>
    </row>
    <row r="2" spans="1:13" s="121" customFormat="1" ht="15.75" customHeight="1">
      <c r="A2" s="504"/>
      <c r="B2" s="504"/>
      <c r="C2" s="504"/>
      <c r="D2" s="504"/>
      <c r="E2" s="504"/>
      <c r="F2" s="504"/>
      <c r="G2" s="504"/>
      <c r="H2" s="504"/>
      <c r="I2" s="504"/>
      <c r="J2" s="504"/>
      <c r="K2" s="504"/>
      <c r="L2" s="504"/>
    </row>
    <row r="3" spans="1:13" ht="15.75" customHeight="1">
      <c r="A3" s="635" t="s">
        <v>205</v>
      </c>
      <c r="B3" s="635"/>
      <c r="C3" s="635"/>
      <c r="D3" s="635"/>
      <c r="E3" s="635"/>
      <c r="F3" s="635"/>
      <c r="G3" s="635"/>
      <c r="H3" s="635"/>
      <c r="I3" s="635"/>
      <c r="J3" s="635"/>
      <c r="K3" s="635"/>
      <c r="L3" s="635"/>
      <c r="M3" s="152"/>
    </row>
    <row r="4" spans="1:13" s="121" customFormat="1" ht="15.75" customHeight="1">
      <c r="A4" s="635"/>
      <c r="B4" s="635"/>
      <c r="C4" s="635"/>
      <c r="D4" s="635"/>
      <c r="E4" s="635"/>
      <c r="F4" s="635"/>
      <c r="G4" s="635"/>
      <c r="H4" s="635"/>
      <c r="I4" s="635"/>
      <c r="J4" s="635"/>
      <c r="K4" s="635"/>
      <c r="L4" s="635"/>
      <c r="M4" s="131"/>
    </row>
    <row r="5" spans="1:13" s="154" customFormat="1" ht="16.399999999999999" customHeight="1">
      <c r="A5" s="619" t="s">
        <v>154</v>
      </c>
      <c r="B5" s="156">
        <v>1</v>
      </c>
      <c r="C5" s="156">
        <v>2</v>
      </c>
      <c r="D5" s="156">
        <v>3</v>
      </c>
      <c r="E5" s="156">
        <v>4</v>
      </c>
      <c r="F5" s="156">
        <v>5</v>
      </c>
      <c r="G5" s="156">
        <v>6</v>
      </c>
      <c r="H5" s="156">
        <v>7</v>
      </c>
      <c r="I5" s="156">
        <v>8</v>
      </c>
      <c r="J5" s="166">
        <v>9</v>
      </c>
      <c r="K5" s="153"/>
      <c r="L5" s="153"/>
      <c r="M5" s="153"/>
    </row>
    <row r="6" spans="1:13" ht="16.399999999999999" customHeight="1">
      <c r="A6" s="621"/>
      <c r="B6" s="157" t="s">
        <v>206</v>
      </c>
      <c r="C6" s="157" t="s">
        <v>151</v>
      </c>
      <c r="D6" s="157" t="s">
        <v>207</v>
      </c>
      <c r="E6" s="157" t="s">
        <v>153</v>
      </c>
      <c r="F6" s="158" t="s">
        <v>133</v>
      </c>
      <c r="G6" s="159" t="s">
        <v>131</v>
      </c>
      <c r="H6" s="160" t="s">
        <v>208</v>
      </c>
      <c r="I6" s="159" t="s">
        <v>209</v>
      </c>
      <c r="J6" s="169" t="s">
        <v>137</v>
      </c>
      <c r="K6" s="155"/>
      <c r="L6" s="155"/>
      <c r="M6" s="131"/>
    </row>
    <row r="7" spans="1:13" s="154" customFormat="1" ht="15.75" customHeight="1">
      <c r="A7" s="632" t="s">
        <v>941</v>
      </c>
      <c r="B7" s="633"/>
      <c r="C7" s="430" t="s">
        <v>942</v>
      </c>
      <c r="D7" s="632" t="s">
        <v>12</v>
      </c>
      <c r="E7" s="634"/>
      <c r="F7" s="633"/>
      <c r="G7" s="430" t="s">
        <v>943</v>
      </c>
      <c r="H7" s="430" t="s">
        <v>944</v>
      </c>
      <c r="I7" s="430" t="s">
        <v>945</v>
      </c>
      <c r="J7" s="222" t="s">
        <v>963</v>
      </c>
      <c r="K7" s="632" t="s">
        <v>947</v>
      </c>
      <c r="L7" s="633"/>
      <c r="M7" s="153"/>
    </row>
    <row r="8" spans="1:13" ht="15.75" customHeight="1">
      <c r="A8" s="619">
        <v>9</v>
      </c>
      <c r="B8" s="622" t="s">
        <v>137</v>
      </c>
      <c r="C8" s="431">
        <v>1</v>
      </c>
      <c r="D8" s="409" t="s">
        <v>448</v>
      </c>
      <c r="E8" s="410"/>
      <c r="F8" s="411"/>
      <c r="G8" s="240">
        <v>6.583333333333333</v>
      </c>
      <c r="H8" s="240">
        <v>1419.088951476313</v>
      </c>
      <c r="I8" s="240">
        <v>216.69504001773896</v>
      </c>
      <c r="J8" s="241" t="s">
        <v>948</v>
      </c>
      <c r="K8" s="698" t="s">
        <v>975</v>
      </c>
      <c r="L8" s="699"/>
      <c r="M8" s="131"/>
    </row>
    <row r="9" spans="1:13" ht="15.75" customHeight="1">
      <c r="A9" s="620"/>
      <c r="B9" s="623"/>
      <c r="C9" s="431">
        <v>2</v>
      </c>
      <c r="D9" s="409" t="s">
        <v>400</v>
      </c>
      <c r="E9" s="410"/>
      <c r="F9" s="411"/>
      <c r="G9" s="240">
        <v>6.583333333333333</v>
      </c>
      <c r="H9" s="240">
        <v>1419.3479386027959</v>
      </c>
      <c r="I9" s="240">
        <v>216.73439623291998</v>
      </c>
      <c r="J9" s="241" t="s">
        <v>948</v>
      </c>
      <c r="K9" s="700"/>
      <c r="L9" s="701"/>
      <c r="M9" s="131"/>
    </row>
    <row r="10" spans="1:13" ht="15.75" customHeight="1">
      <c r="A10" s="620"/>
      <c r="B10" s="623"/>
      <c r="C10" s="431">
        <v>3</v>
      </c>
      <c r="D10" s="409" t="s">
        <v>399</v>
      </c>
      <c r="E10" s="410"/>
      <c r="F10" s="411"/>
      <c r="G10" s="240">
        <v>6.583333333333333</v>
      </c>
      <c r="H10" s="240">
        <v>1318.0395760298554</v>
      </c>
      <c r="I10" s="240">
        <v>201.30440733435898</v>
      </c>
      <c r="J10" s="241" t="s">
        <v>948</v>
      </c>
      <c r="K10" s="702"/>
      <c r="L10" s="703"/>
      <c r="M10" s="131"/>
    </row>
    <row r="11" spans="1:13" ht="15.75" customHeight="1">
      <c r="A11" s="620"/>
      <c r="B11" s="623"/>
      <c r="C11" s="431">
        <v>4</v>
      </c>
      <c r="D11" s="409" t="s">
        <v>484</v>
      </c>
      <c r="E11" s="410"/>
      <c r="F11" s="411"/>
      <c r="G11" s="240">
        <v>18.023809523809522</v>
      </c>
      <c r="H11" s="240">
        <v>1278.3720462824892</v>
      </c>
      <c r="I11" s="240">
        <v>70.933172718840595</v>
      </c>
      <c r="J11" s="241" t="s">
        <v>948</v>
      </c>
      <c r="K11" s="687"/>
      <c r="L11" s="688"/>
      <c r="M11" s="131"/>
    </row>
    <row r="12" spans="1:13" ht="15.75" customHeight="1">
      <c r="A12" s="620"/>
      <c r="B12" s="623"/>
      <c r="C12" s="431">
        <v>5</v>
      </c>
      <c r="D12" s="409"/>
      <c r="E12" s="410"/>
      <c r="F12" s="411"/>
      <c r="G12" s="433"/>
      <c r="H12" s="433"/>
      <c r="I12" s="433"/>
      <c r="J12" s="433"/>
      <c r="K12" s="687"/>
      <c r="L12" s="688"/>
      <c r="M12" s="131"/>
    </row>
    <row r="13" spans="1:13" ht="15.75" customHeight="1">
      <c r="A13" s="620"/>
      <c r="B13" s="623"/>
      <c r="C13" s="165" t="s">
        <v>952</v>
      </c>
      <c r="D13" s="409" t="s">
        <v>583</v>
      </c>
      <c r="E13" s="410"/>
      <c r="F13" s="411"/>
      <c r="G13" s="240">
        <v>20.166666666666668</v>
      </c>
      <c r="H13" s="240">
        <v>1056.6889712003604</v>
      </c>
      <c r="I13" s="240">
        <v>52.403651942305515</v>
      </c>
      <c r="J13" s="241" t="s">
        <v>948</v>
      </c>
      <c r="K13" s="705"/>
      <c r="L13" s="706"/>
      <c r="M13" s="131"/>
    </row>
    <row r="14" spans="1:13" ht="15.75" customHeight="1">
      <c r="A14" s="620"/>
      <c r="B14" s="623"/>
      <c r="C14" s="165" t="s">
        <v>953</v>
      </c>
      <c r="D14" s="409" t="s">
        <v>501</v>
      </c>
      <c r="E14" s="410"/>
      <c r="F14" s="411"/>
      <c r="G14" s="240">
        <v>20</v>
      </c>
      <c r="H14" s="240">
        <v>1092.9244229284041</v>
      </c>
      <c r="I14" s="240">
        <v>54.646221146420203</v>
      </c>
      <c r="J14" s="241" t="s">
        <v>948</v>
      </c>
      <c r="K14" s="707"/>
      <c r="L14" s="706"/>
      <c r="M14" s="131"/>
    </row>
    <row r="15" spans="1:13" ht="15.75" customHeight="1">
      <c r="A15" s="620"/>
      <c r="B15" s="623"/>
      <c r="C15" s="165" t="s">
        <v>954</v>
      </c>
      <c r="D15" s="409" t="s">
        <v>349</v>
      </c>
      <c r="E15" s="410"/>
      <c r="F15" s="411"/>
      <c r="G15" s="240">
        <v>18.214285714285712</v>
      </c>
      <c r="H15" s="240">
        <v>1269.491492744113</v>
      </c>
      <c r="I15" s="240">
        <v>69.714152141818303</v>
      </c>
      <c r="J15" s="241" t="s">
        <v>948</v>
      </c>
      <c r="K15" s="705"/>
      <c r="L15" s="706"/>
      <c r="M15" s="131"/>
    </row>
    <row r="16" spans="1:13" ht="15.75" customHeight="1">
      <c r="A16" s="620"/>
      <c r="B16" s="623"/>
      <c r="C16" s="165" t="s">
        <v>956</v>
      </c>
      <c r="D16" s="409" t="s">
        <v>401</v>
      </c>
      <c r="E16" s="410"/>
      <c r="F16" s="411"/>
      <c r="G16" s="240">
        <v>17.19047619047619</v>
      </c>
      <c r="H16" s="240">
        <v>1211.6291954692683</v>
      </c>
      <c r="I16" s="240">
        <v>70.478567287174528</v>
      </c>
      <c r="J16" s="241" t="s">
        <v>948</v>
      </c>
      <c r="K16" s="704"/>
      <c r="L16" s="658"/>
      <c r="M16" s="152"/>
    </row>
    <row r="17" spans="1:13" ht="15.75" customHeight="1">
      <c r="A17" s="621"/>
      <c r="B17" s="624"/>
      <c r="C17" s="165" t="s">
        <v>957</v>
      </c>
      <c r="D17" s="409"/>
      <c r="E17" s="410"/>
      <c r="F17" s="411"/>
      <c r="G17" s="433"/>
      <c r="H17" s="433"/>
      <c r="I17" s="433"/>
      <c r="J17" s="433"/>
      <c r="K17" s="687"/>
      <c r="L17" s="688"/>
      <c r="M17" s="152"/>
    </row>
    <row r="18" spans="1:13" s="162" customFormat="1" ht="15.75" customHeight="1">
      <c r="A18" s="637" t="s">
        <v>187</v>
      </c>
      <c r="B18" s="638"/>
      <c r="C18" s="268" t="s">
        <v>442</v>
      </c>
      <c r="D18" s="637" t="s">
        <v>12</v>
      </c>
      <c r="E18" s="697"/>
      <c r="F18" s="638"/>
      <c r="G18" s="268" t="s">
        <v>437</v>
      </c>
      <c r="H18" s="268" t="s">
        <v>438</v>
      </c>
      <c r="I18" s="268" t="s">
        <v>439</v>
      </c>
      <c r="J18" s="222" t="s">
        <v>440</v>
      </c>
      <c r="K18" s="637" t="s">
        <v>441</v>
      </c>
      <c r="L18" s="638"/>
      <c r="M18" s="155"/>
    </row>
    <row r="19" spans="1:13" ht="15.75" customHeight="1">
      <c r="A19" s="619"/>
      <c r="B19" s="622"/>
      <c r="C19" s="267">
        <v>1</v>
      </c>
      <c r="D19" s="656"/>
      <c r="E19" s="657"/>
      <c r="F19" s="658"/>
      <c r="G19" s="266"/>
      <c r="H19" s="266"/>
      <c r="I19" s="266"/>
      <c r="J19" s="266"/>
      <c r="K19" s="656"/>
      <c r="L19" s="658"/>
      <c r="M19" s="152"/>
    </row>
    <row r="20" spans="1:13" ht="15.75" customHeight="1">
      <c r="A20" s="620"/>
      <c r="B20" s="623"/>
      <c r="C20" s="267">
        <v>2</v>
      </c>
      <c r="D20" s="687"/>
      <c r="E20" s="696"/>
      <c r="F20" s="688"/>
      <c r="G20" s="266"/>
      <c r="H20" s="266"/>
      <c r="I20" s="266"/>
      <c r="J20" s="266"/>
      <c r="K20" s="687"/>
      <c r="L20" s="688"/>
      <c r="M20" s="152"/>
    </row>
    <row r="21" spans="1:13" ht="15.75" customHeight="1">
      <c r="A21" s="620"/>
      <c r="B21" s="623"/>
      <c r="C21" s="267">
        <v>3</v>
      </c>
      <c r="D21" s="687"/>
      <c r="E21" s="696"/>
      <c r="F21" s="688"/>
      <c r="G21" s="266"/>
      <c r="H21" s="266"/>
      <c r="I21" s="266"/>
      <c r="J21" s="266"/>
      <c r="K21" s="687"/>
      <c r="L21" s="688"/>
      <c r="M21" s="152"/>
    </row>
    <row r="22" spans="1:13" ht="15.75" customHeight="1">
      <c r="A22" s="620"/>
      <c r="B22" s="623"/>
      <c r="C22" s="267">
        <v>4</v>
      </c>
      <c r="D22" s="687"/>
      <c r="E22" s="696"/>
      <c r="F22" s="688"/>
      <c r="G22" s="266"/>
      <c r="H22" s="266"/>
      <c r="I22" s="266"/>
      <c r="J22" s="266"/>
      <c r="K22" s="687"/>
      <c r="L22" s="688"/>
      <c r="M22" s="152"/>
    </row>
    <row r="23" spans="1:13" ht="15.75" customHeight="1">
      <c r="A23" s="620"/>
      <c r="B23" s="623"/>
      <c r="C23" s="267">
        <v>5</v>
      </c>
      <c r="D23" s="687"/>
      <c r="E23" s="696"/>
      <c r="F23" s="688"/>
      <c r="G23" s="266"/>
      <c r="H23" s="266"/>
      <c r="I23" s="266"/>
      <c r="J23" s="266"/>
      <c r="K23" s="687"/>
      <c r="L23" s="688"/>
      <c r="M23" s="152"/>
    </row>
    <row r="24" spans="1:13" ht="15.75" customHeight="1">
      <c r="A24" s="620"/>
      <c r="B24" s="623"/>
      <c r="C24" s="165" t="s">
        <v>443</v>
      </c>
      <c r="D24" s="656"/>
      <c r="E24" s="657"/>
      <c r="F24" s="658"/>
      <c r="G24" s="266"/>
      <c r="H24" s="266"/>
      <c r="I24" s="266"/>
      <c r="J24" s="266"/>
      <c r="K24" s="656"/>
      <c r="L24" s="658"/>
      <c r="M24" s="152"/>
    </row>
    <row r="25" spans="1:13" ht="15.75" customHeight="1">
      <c r="A25" s="620"/>
      <c r="B25" s="623"/>
      <c r="C25" s="165" t="s">
        <v>444</v>
      </c>
      <c r="D25" s="687"/>
      <c r="E25" s="696"/>
      <c r="F25" s="688"/>
      <c r="G25" s="266"/>
      <c r="H25" s="266"/>
      <c r="I25" s="266"/>
      <c r="J25" s="266"/>
      <c r="K25" s="687"/>
      <c r="L25" s="688"/>
      <c r="M25" s="152"/>
    </row>
    <row r="26" spans="1:13" ht="15.75" customHeight="1">
      <c r="A26" s="620"/>
      <c r="B26" s="623"/>
      <c r="C26" s="165" t="s">
        <v>445</v>
      </c>
      <c r="D26" s="687"/>
      <c r="E26" s="696"/>
      <c r="F26" s="688"/>
      <c r="G26" s="266"/>
      <c r="H26" s="266"/>
      <c r="I26" s="266"/>
      <c r="J26" s="266"/>
      <c r="K26" s="687"/>
      <c r="L26" s="688"/>
      <c r="M26" s="152"/>
    </row>
    <row r="27" spans="1:13" ht="15.75" customHeight="1">
      <c r="A27" s="620"/>
      <c r="B27" s="623"/>
      <c r="C27" s="165" t="s">
        <v>446</v>
      </c>
      <c r="D27" s="687"/>
      <c r="E27" s="696"/>
      <c r="F27" s="688"/>
      <c r="G27" s="266"/>
      <c r="H27" s="266"/>
      <c r="I27" s="266"/>
      <c r="J27" s="266"/>
      <c r="K27" s="687"/>
      <c r="L27" s="688"/>
      <c r="M27" s="152"/>
    </row>
    <row r="28" spans="1:13" ht="15.75" customHeight="1">
      <c r="A28" s="621"/>
      <c r="B28" s="624"/>
      <c r="C28" s="165" t="s">
        <v>447</v>
      </c>
      <c r="D28" s="687"/>
      <c r="E28" s="696"/>
      <c r="F28" s="688"/>
      <c r="G28" s="266"/>
      <c r="H28" s="266"/>
      <c r="I28" s="266"/>
      <c r="J28" s="266"/>
      <c r="K28" s="687"/>
      <c r="L28" s="688"/>
      <c r="M28" s="152"/>
    </row>
    <row r="29" spans="1:13" ht="15.75" customHeight="1">
      <c r="A29" s="152"/>
      <c r="B29" s="152"/>
      <c r="C29" s="152"/>
      <c r="D29" s="152"/>
      <c r="E29" s="152"/>
      <c r="F29" s="152"/>
      <c r="G29" s="152"/>
      <c r="H29" s="152"/>
      <c r="I29" s="152"/>
      <c r="J29" s="152"/>
      <c r="K29" s="152"/>
      <c r="L29" s="152"/>
      <c r="M29" s="131"/>
    </row>
    <row r="30" spans="1:13" ht="15.75" customHeight="1">
      <c r="A30" s="152"/>
      <c r="B30" s="152"/>
      <c r="C30" s="152"/>
      <c r="D30" s="152"/>
      <c r="E30" s="152"/>
      <c r="F30" s="152"/>
      <c r="G30" s="152"/>
      <c r="H30" s="152"/>
      <c r="I30" s="152"/>
      <c r="J30" s="152"/>
      <c r="K30" s="152"/>
      <c r="L30" s="152"/>
      <c r="M30" s="131"/>
    </row>
    <row r="31" spans="1:13" ht="15.75" customHeight="1">
      <c r="A31" s="152"/>
      <c r="B31" s="152"/>
      <c r="C31" s="152"/>
      <c r="D31" s="152"/>
      <c r="E31" s="152"/>
      <c r="F31" s="152"/>
      <c r="G31" s="152"/>
      <c r="H31" s="152"/>
      <c r="I31" s="152"/>
      <c r="J31" s="152"/>
      <c r="K31" s="152"/>
      <c r="L31" s="152"/>
      <c r="M31" s="131"/>
    </row>
    <row r="32" spans="1:13"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41">
    <mergeCell ref="K8:L10"/>
    <mergeCell ref="A8:A17"/>
    <mergeCell ref="B8:B17"/>
    <mergeCell ref="K11:L11"/>
    <mergeCell ref="K12:L12"/>
    <mergeCell ref="K16:L16"/>
    <mergeCell ref="K17:L17"/>
    <mergeCell ref="K13:L13"/>
    <mergeCell ref="K14:L14"/>
    <mergeCell ref="K15:L15"/>
    <mergeCell ref="A3:L4"/>
    <mergeCell ref="A5:A6"/>
    <mergeCell ref="A7:B7"/>
    <mergeCell ref="D7:F7"/>
    <mergeCell ref="K7:L7"/>
    <mergeCell ref="A1:L2"/>
    <mergeCell ref="K24:L24"/>
    <mergeCell ref="D25:F25"/>
    <mergeCell ref="K25:L25"/>
    <mergeCell ref="D26:F26"/>
    <mergeCell ref="K26:L26"/>
    <mergeCell ref="A18:B18"/>
    <mergeCell ref="D18:F18"/>
    <mergeCell ref="K18:L18"/>
    <mergeCell ref="A19:A28"/>
    <mergeCell ref="B19:B28"/>
    <mergeCell ref="D19:F19"/>
    <mergeCell ref="K19:L19"/>
    <mergeCell ref="D20:F20"/>
    <mergeCell ref="K20:L20"/>
    <mergeCell ref="D21:F21"/>
    <mergeCell ref="D28:F28"/>
    <mergeCell ref="K28:L28"/>
    <mergeCell ref="K21:L21"/>
    <mergeCell ref="D22:F22"/>
    <mergeCell ref="K22:L22"/>
    <mergeCell ref="D23:F23"/>
    <mergeCell ref="K23:L23"/>
    <mergeCell ref="D24:F24"/>
    <mergeCell ref="D27:F27"/>
    <mergeCell ref="K27:L27"/>
  </mergeCells>
  <phoneticPr fontId="11"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N15"/>
  <sheetViews>
    <sheetView zoomScale="115" zoomScaleNormal="115" zoomScaleSheetLayoutView="115" workbookViewId="0">
      <selection activeCell="N13" sqref="N13"/>
    </sheetView>
  </sheetViews>
  <sheetFormatPr defaultColWidth="12.54296875" defaultRowHeight="15.75" customHeight="1"/>
  <cols>
    <col min="1" max="1" width="7.54296875" style="183" customWidth="1"/>
    <col min="2" max="2" width="14.81640625" style="183" customWidth="1"/>
    <col min="3" max="3" width="12.81640625" style="183" customWidth="1"/>
    <col min="4" max="4" width="2.54296875" style="183" customWidth="1"/>
    <col min="5" max="5" width="7.54296875" style="183" customWidth="1"/>
    <col min="6" max="6" width="12.81640625" style="183" customWidth="1"/>
    <col min="7" max="7" width="9.453125" style="183" customWidth="1"/>
    <col min="8" max="8" width="12.81640625" style="183" customWidth="1"/>
    <col min="9" max="9" width="9.453125" style="183" customWidth="1"/>
    <col min="10" max="10" width="12.81640625" style="183" customWidth="1"/>
    <col min="11" max="11" width="9.453125" style="183" customWidth="1"/>
    <col min="12" max="12" width="12.81640625" style="183" customWidth="1"/>
    <col min="13" max="13" width="9.453125" style="183" customWidth="1"/>
    <col min="14" max="16384" width="12.54296875" style="183"/>
  </cols>
  <sheetData>
    <row r="1" spans="1:14" ht="15.75" customHeight="1">
      <c r="A1" s="708" t="s">
        <v>234</v>
      </c>
      <c r="B1" s="708"/>
      <c r="C1" s="708"/>
      <c r="D1" s="708"/>
      <c r="E1" s="708"/>
      <c r="F1" s="708"/>
      <c r="G1" s="708"/>
      <c r="H1" s="708"/>
      <c r="I1" s="708"/>
      <c r="J1" s="708"/>
      <c r="K1" s="708"/>
      <c r="L1" s="708"/>
      <c r="M1" s="708"/>
    </row>
    <row r="2" spans="1:14" s="184" customFormat="1" ht="15.75" customHeight="1">
      <c r="A2" s="708"/>
      <c r="B2" s="708"/>
      <c r="C2" s="708"/>
      <c r="D2" s="708"/>
      <c r="E2" s="708"/>
      <c r="F2" s="708"/>
      <c r="G2" s="708"/>
      <c r="H2" s="708"/>
      <c r="I2" s="708"/>
      <c r="J2" s="708"/>
      <c r="K2" s="708"/>
      <c r="L2" s="708"/>
      <c r="M2" s="708"/>
    </row>
    <row r="3" spans="1:14" ht="15.75" customHeight="1">
      <c r="A3" s="709" t="s">
        <v>235</v>
      </c>
      <c r="B3" s="709"/>
      <c r="C3" s="709"/>
      <c r="D3" s="709"/>
      <c r="E3" s="709"/>
      <c r="F3" s="709"/>
      <c r="G3" s="709"/>
      <c r="H3" s="709"/>
      <c r="I3" s="709"/>
      <c r="J3" s="709"/>
      <c r="K3" s="709"/>
      <c r="L3" s="709"/>
      <c r="M3" s="709"/>
      <c r="N3" s="185"/>
    </row>
    <row r="4" spans="1:14" s="184" customFormat="1" ht="15.75" customHeight="1">
      <c r="A4" s="709"/>
      <c r="B4" s="709"/>
      <c r="C4" s="709"/>
      <c r="D4" s="709"/>
      <c r="E4" s="709"/>
      <c r="F4" s="709"/>
      <c r="G4" s="709"/>
      <c r="H4" s="709"/>
      <c r="I4" s="709"/>
      <c r="J4" s="709"/>
      <c r="K4" s="709"/>
      <c r="L4" s="709"/>
      <c r="M4" s="709"/>
      <c r="N4" s="186"/>
    </row>
    <row r="5" spans="1:14" ht="15.75" customHeight="1">
      <c r="A5" s="187" t="s">
        <v>236</v>
      </c>
      <c r="B5" s="188">
        <v>212376150</v>
      </c>
    </row>
    <row r="6" spans="1:14" ht="15.75" customHeight="1">
      <c r="A6" s="710" t="s">
        <v>237</v>
      </c>
      <c r="B6" s="711" t="s">
        <v>10</v>
      </c>
      <c r="C6" s="711"/>
      <c r="D6" s="712"/>
      <c r="E6" s="710" t="s">
        <v>237</v>
      </c>
      <c r="F6" s="714">
        <v>1</v>
      </c>
      <c r="G6" s="714"/>
      <c r="H6" s="714">
        <v>2</v>
      </c>
      <c r="I6" s="714"/>
      <c r="J6" s="714">
        <v>3</v>
      </c>
      <c r="K6" s="714"/>
      <c r="L6" s="714">
        <v>4</v>
      </c>
      <c r="M6" s="714"/>
    </row>
    <row r="7" spans="1:14" ht="31.4" customHeight="1">
      <c r="A7" s="710"/>
      <c r="B7" s="711"/>
      <c r="C7" s="711"/>
      <c r="D7" s="713"/>
      <c r="E7" s="710"/>
      <c r="F7" s="715" t="s">
        <v>248</v>
      </c>
      <c r="G7" s="715"/>
      <c r="H7" s="715" t="s">
        <v>238</v>
      </c>
      <c r="I7" s="715"/>
      <c r="J7" s="715" t="s">
        <v>239</v>
      </c>
      <c r="K7" s="715"/>
      <c r="L7" s="715" t="s">
        <v>240</v>
      </c>
      <c r="M7" s="715"/>
    </row>
    <row r="8" spans="1:14" ht="15.75" customHeight="1">
      <c r="A8" s="710"/>
      <c r="B8" s="216" t="s">
        <v>11</v>
      </c>
      <c r="C8" s="216" t="s">
        <v>241</v>
      </c>
      <c r="D8" s="713"/>
      <c r="E8" s="710"/>
      <c r="F8" s="216" t="s">
        <v>11</v>
      </c>
      <c r="G8" s="216" t="s">
        <v>241</v>
      </c>
      <c r="H8" s="216" t="s">
        <v>11</v>
      </c>
      <c r="I8" s="216" t="s">
        <v>241</v>
      </c>
      <c r="J8" s="216" t="s">
        <v>11</v>
      </c>
      <c r="K8" s="216" t="s">
        <v>241</v>
      </c>
      <c r="L8" s="216" t="s">
        <v>11</v>
      </c>
      <c r="M8" s="216" t="s">
        <v>241</v>
      </c>
    </row>
    <row r="9" spans="1:14" s="194" customFormat="1" ht="19.399999999999999" customHeight="1">
      <c r="A9" s="189" t="s">
        <v>242</v>
      </c>
      <c r="B9" s="190">
        <v>47927.00699999994</v>
      </c>
      <c r="C9" s="191">
        <f>B9/$B$5</f>
        <v>2.256703824793883E-4</v>
      </c>
      <c r="D9" s="713"/>
      <c r="E9" s="189" t="s">
        <v>242</v>
      </c>
      <c r="F9" s="192">
        <v>1423.9050000000002</v>
      </c>
      <c r="G9" s="193">
        <f>IFERROR(F9/$B$9,"")</f>
        <v>2.9709866923256903E-2</v>
      </c>
      <c r="H9" s="192">
        <v>5535.9419999999991</v>
      </c>
      <c r="I9" s="193">
        <f>IFERROR(H9/$B$9,"")</f>
        <v>0.11550777623146812</v>
      </c>
      <c r="J9" s="192">
        <v>6691.5360000000019</v>
      </c>
      <c r="K9" s="193">
        <f>IFERROR(J9/$B$9,"")</f>
        <v>0.13961931735065389</v>
      </c>
      <c r="L9" s="192">
        <v>17258.763000000006</v>
      </c>
      <c r="M9" s="193">
        <f>IFERROR(L9/$B$9,"")</f>
        <v>0.36010516993059943</v>
      </c>
    </row>
    <row r="10" spans="1:14" s="194" customFormat="1" ht="19.399999999999999" customHeight="1">
      <c r="A10" s="195" t="s">
        <v>243</v>
      </c>
      <c r="B10" s="196">
        <v>69974.579191980054</v>
      </c>
      <c r="C10" s="191">
        <f>B10/$B$5</f>
        <v>3.2948416849999424E-4</v>
      </c>
      <c r="D10" s="713"/>
      <c r="E10" s="195" t="s">
        <v>243</v>
      </c>
      <c r="F10" s="192">
        <v>1179.8078200000007</v>
      </c>
      <c r="G10" s="193">
        <f>IFERROR(F10/$B$10,"")</f>
        <v>1.6860520400746062E-2</v>
      </c>
      <c r="H10" s="192">
        <v>3563.9139100000007</v>
      </c>
      <c r="I10" s="193">
        <f>IFERROR(H10/$B$10,"")</f>
        <v>5.0931551874319365E-2</v>
      </c>
      <c r="J10" s="192">
        <v>3130.998689999999</v>
      </c>
      <c r="K10" s="193">
        <f>IFERROR(J10/$B$10,"")</f>
        <v>4.4744801986016804E-2</v>
      </c>
      <c r="L10" s="192">
        <v>14381.948886699534</v>
      </c>
      <c r="M10" s="193">
        <f>IFERROR(L10/$B$10,"")</f>
        <v>0.20553105217312806</v>
      </c>
    </row>
    <row r="11" spans="1:14" ht="15.75" customHeight="1">
      <c r="D11" s="713"/>
      <c r="E11" s="710" t="s">
        <v>237</v>
      </c>
      <c r="F11" s="714">
        <v>5</v>
      </c>
      <c r="G11" s="714"/>
      <c r="H11" s="714">
        <v>6</v>
      </c>
      <c r="I11" s="714"/>
      <c r="J11" s="714">
        <v>7</v>
      </c>
      <c r="K11" s="714"/>
      <c r="L11" s="674">
        <v>8</v>
      </c>
      <c r="M11" s="674"/>
    </row>
    <row r="12" spans="1:14" ht="31.4" customHeight="1">
      <c r="D12" s="713"/>
      <c r="E12" s="710"/>
      <c r="F12" s="715" t="s">
        <v>244</v>
      </c>
      <c r="G12" s="715"/>
      <c r="H12" s="715" t="s">
        <v>245</v>
      </c>
      <c r="I12" s="715"/>
      <c r="J12" s="715" t="s">
        <v>246</v>
      </c>
      <c r="K12" s="715"/>
      <c r="L12" s="716" t="s">
        <v>247</v>
      </c>
      <c r="M12" s="716"/>
    </row>
    <row r="13" spans="1:14" ht="15.75" customHeight="1">
      <c r="D13" s="713"/>
      <c r="E13" s="710"/>
      <c r="F13" s="216" t="s">
        <v>11</v>
      </c>
      <c r="G13" s="216" t="s">
        <v>241</v>
      </c>
      <c r="H13" s="216" t="s">
        <v>11</v>
      </c>
      <c r="I13" s="216" t="s">
        <v>241</v>
      </c>
      <c r="J13" s="216" t="s">
        <v>11</v>
      </c>
      <c r="K13" s="216" t="s">
        <v>241</v>
      </c>
      <c r="L13" s="216" t="s">
        <v>11</v>
      </c>
      <c r="M13" s="216" t="s">
        <v>241</v>
      </c>
    </row>
    <row r="14" spans="1:14" s="194" customFormat="1" ht="19.399999999999999" customHeight="1">
      <c r="D14" s="713"/>
      <c r="E14" s="189" t="s">
        <v>242</v>
      </c>
      <c r="F14" s="192">
        <v>12460.915000000001</v>
      </c>
      <c r="G14" s="193">
        <f>IFERROR(F14/$B$9,"")</f>
        <v>0.25999777119401629</v>
      </c>
      <c r="H14" s="192">
        <v>1494.27</v>
      </c>
      <c r="I14" s="193">
        <f>IFERROR(H14/$B$9,"")</f>
        <v>3.1178037051218365E-2</v>
      </c>
      <c r="J14" s="192">
        <v>3061.675999999999</v>
      </c>
      <c r="K14" s="193">
        <f>IFERROR(J14/$B$9,"")</f>
        <v>6.3882061318788444E-2</v>
      </c>
      <c r="L14" s="192">
        <v>0</v>
      </c>
      <c r="M14" s="193">
        <f>IFERROR(L14/$B$9,"")</f>
        <v>0</v>
      </c>
    </row>
    <row r="15" spans="1:14" s="194" customFormat="1" ht="19.399999999999999" customHeight="1">
      <c r="D15" s="713"/>
      <c r="E15" s="195" t="s">
        <v>243</v>
      </c>
      <c r="F15" s="192">
        <v>30846.731825280494</v>
      </c>
      <c r="G15" s="193">
        <f>IFERROR(F15/$B$10,"")</f>
        <v>0.44082768601795191</v>
      </c>
      <c r="H15" s="192">
        <v>12704.309300000044</v>
      </c>
      <c r="I15" s="193">
        <f>IFERROR(H15/$B$10,"")</f>
        <v>0.18155606574131589</v>
      </c>
      <c r="J15" s="192">
        <v>3994.7131600000112</v>
      </c>
      <c r="K15" s="193">
        <f>IFERROR(J15/$B$10,"")</f>
        <v>5.7088062638293857E-2</v>
      </c>
      <c r="L15" s="192">
        <v>0</v>
      </c>
      <c r="M15" s="193">
        <f>IFERROR(L15/$B$10,"")</f>
        <v>0</v>
      </c>
    </row>
  </sheetData>
  <mergeCells count="23">
    <mergeCell ref="H12:I12"/>
    <mergeCell ref="J12:K12"/>
    <mergeCell ref="L12:M12"/>
    <mergeCell ref="F7:G7"/>
    <mergeCell ref="H7:I7"/>
    <mergeCell ref="J7:K7"/>
    <mergeCell ref="L7:M7"/>
    <mergeCell ref="A1:M2"/>
    <mergeCell ref="A3:M4"/>
    <mergeCell ref="A6:A8"/>
    <mergeCell ref="B6:C7"/>
    <mergeCell ref="D6:D15"/>
    <mergeCell ref="E6:E8"/>
    <mergeCell ref="F6:G6"/>
    <mergeCell ref="H6:I6"/>
    <mergeCell ref="J6:K6"/>
    <mergeCell ref="L6:M6"/>
    <mergeCell ref="E11:E13"/>
    <mergeCell ref="F11:G11"/>
    <mergeCell ref="H11:I11"/>
    <mergeCell ref="J11:K11"/>
    <mergeCell ref="L11:M11"/>
    <mergeCell ref="F12:G12"/>
  </mergeCells>
  <phoneticPr fontId="11"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outlinePr summaryBelow="0" summaryRight="0"/>
  </sheetPr>
  <dimension ref="A1:M15"/>
  <sheetViews>
    <sheetView zoomScale="110" zoomScaleNormal="110" zoomScaleSheetLayoutView="115" workbookViewId="0">
      <selection activeCell="M25" sqref="M25"/>
    </sheetView>
  </sheetViews>
  <sheetFormatPr defaultColWidth="12.54296875" defaultRowHeight="15.75" customHeight="1"/>
  <cols>
    <col min="1" max="1" width="7.54296875" style="183" customWidth="1"/>
    <col min="2" max="2" width="14.81640625" style="183" customWidth="1"/>
    <col min="3" max="3" width="12.81640625" style="183" customWidth="1"/>
    <col min="4" max="4" width="2.54296875" style="183" customWidth="1"/>
    <col min="5" max="5" width="7.54296875" style="183" customWidth="1"/>
    <col min="6" max="6" width="12.81640625" style="183" customWidth="1"/>
    <col min="7" max="7" width="9.453125" style="183" customWidth="1"/>
    <col min="8" max="8" width="12.81640625" style="183" customWidth="1"/>
    <col min="9" max="9" width="9.453125" style="183" customWidth="1"/>
    <col min="10" max="10" width="12.81640625" style="183" customWidth="1"/>
    <col min="11" max="11" width="9.453125" style="183" customWidth="1"/>
    <col min="12" max="12" width="12.81640625" style="183" customWidth="1"/>
    <col min="13" max="13" width="9.453125" style="183" customWidth="1"/>
    <col min="14" max="16384" width="12.54296875" style="183"/>
  </cols>
  <sheetData>
    <row r="1" spans="1:13" ht="15.75" customHeight="1">
      <c r="A1" s="708" t="s">
        <v>234</v>
      </c>
      <c r="B1" s="708"/>
      <c r="C1" s="708"/>
      <c r="D1" s="708"/>
      <c r="E1" s="708"/>
      <c r="F1" s="708"/>
      <c r="G1" s="708"/>
      <c r="H1" s="708"/>
      <c r="I1" s="708"/>
      <c r="J1" s="708"/>
      <c r="K1" s="708"/>
      <c r="L1" s="708"/>
      <c r="M1" s="708"/>
    </row>
    <row r="2" spans="1:13" s="184" customFormat="1" ht="15.75" customHeight="1">
      <c r="A2" s="708"/>
      <c r="B2" s="708"/>
      <c r="C2" s="708"/>
      <c r="D2" s="708"/>
      <c r="E2" s="708"/>
      <c r="F2" s="708"/>
      <c r="G2" s="708"/>
      <c r="H2" s="708"/>
      <c r="I2" s="708"/>
      <c r="J2" s="708"/>
      <c r="K2" s="708"/>
      <c r="L2" s="708"/>
      <c r="M2" s="708"/>
    </row>
    <row r="3" spans="1:13" ht="15.75" customHeight="1">
      <c r="A3" s="709" t="s">
        <v>809</v>
      </c>
      <c r="B3" s="709"/>
      <c r="C3" s="709"/>
      <c r="D3" s="709"/>
      <c r="E3" s="709"/>
      <c r="F3" s="709"/>
      <c r="G3" s="709"/>
      <c r="H3" s="709"/>
      <c r="I3" s="709"/>
      <c r="J3" s="709"/>
      <c r="K3" s="709"/>
      <c r="L3" s="709"/>
      <c r="M3" s="709"/>
    </row>
    <row r="4" spans="1:13" ht="15.75" customHeight="1" thickBot="1">
      <c r="A4" s="709"/>
      <c r="B4" s="709"/>
      <c r="C4" s="709"/>
      <c r="D4" s="709"/>
      <c r="E4" s="709"/>
      <c r="F4" s="709"/>
      <c r="G4" s="709"/>
      <c r="H4" s="709"/>
      <c r="I4" s="709"/>
      <c r="J4" s="709"/>
      <c r="K4" s="709"/>
      <c r="L4" s="709"/>
      <c r="M4" s="709"/>
    </row>
    <row r="5" spans="1:13" ht="15.75" customHeight="1">
      <c r="A5" s="434" t="s">
        <v>795</v>
      </c>
      <c r="B5" s="435">
        <v>219744072</v>
      </c>
      <c r="C5" s="436"/>
      <c r="E5" s="717" t="s">
        <v>796</v>
      </c>
      <c r="F5" s="717"/>
      <c r="G5" s="717"/>
      <c r="H5" s="717"/>
      <c r="I5" s="717"/>
      <c r="J5" s="717"/>
      <c r="K5" s="717"/>
      <c r="L5" s="717"/>
      <c r="M5" s="718"/>
    </row>
    <row r="6" spans="1:13" ht="15.75" customHeight="1">
      <c r="A6" s="729" t="s">
        <v>797</v>
      </c>
      <c r="B6" s="711" t="s">
        <v>10</v>
      </c>
      <c r="C6" s="711"/>
      <c r="D6" s="713"/>
      <c r="E6" s="710" t="s">
        <v>797</v>
      </c>
      <c r="F6" s="714">
        <v>1</v>
      </c>
      <c r="G6" s="714"/>
      <c r="H6" s="714">
        <v>2</v>
      </c>
      <c r="I6" s="714"/>
      <c r="J6" s="714">
        <v>3</v>
      </c>
      <c r="K6" s="714"/>
      <c r="L6" s="714">
        <v>4</v>
      </c>
      <c r="M6" s="720"/>
    </row>
    <row r="7" spans="1:13" ht="15.75" customHeight="1">
      <c r="A7" s="729"/>
      <c r="B7" s="711"/>
      <c r="C7" s="711"/>
      <c r="D7" s="713"/>
      <c r="E7" s="710"/>
      <c r="F7" s="715" t="s">
        <v>798</v>
      </c>
      <c r="G7" s="715"/>
      <c r="H7" s="715" t="s">
        <v>799</v>
      </c>
      <c r="I7" s="715"/>
      <c r="J7" s="715" t="s">
        <v>800</v>
      </c>
      <c r="K7" s="715"/>
      <c r="L7" s="715" t="s">
        <v>801</v>
      </c>
      <c r="M7" s="719"/>
    </row>
    <row r="8" spans="1:13" ht="15.75" customHeight="1">
      <c r="A8" s="729"/>
      <c r="B8" s="422" t="s">
        <v>11</v>
      </c>
      <c r="C8" s="422" t="s">
        <v>802</v>
      </c>
      <c r="D8" s="713"/>
      <c r="E8" s="710"/>
      <c r="F8" s="422" t="s">
        <v>11</v>
      </c>
      <c r="G8" s="422" t="s">
        <v>802</v>
      </c>
      <c r="H8" s="422" t="s">
        <v>11</v>
      </c>
      <c r="I8" s="422" t="s">
        <v>802</v>
      </c>
      <c r="J8" s="422" t="s">
        <v>11</v>
      </c>
      <c r="K8" s="422" t="s">
        <v>802</v>
      </c>
      <c r="L8" s="422" t="s">
        <v>11</v>
      </c>
      <c r="M8" s="437" t="s">
        <v>802</v>
      </c>
    </row>
    <row r="9" spans="1:13" ht="15.75" customHeight="1">
      <c r="A9" s="438" t="s">
        <v>803</v>
      </c>
      <c r="B9" s="439">
        <v>524092.16099999996</v>
      </c>
      <c r="C9" s="191">
        <f>B9/$B$5</f>
        <v>2.3850116011320658E-3</v>
      </c>
      <c r="D9" s="713"/>
      <c r="E9" s="189" t="s">
        <v>803</v>
      </c>
      <c r="F9" s="440">
        <v>0</v>
      </c>
      <c r="G9" s="193">
        <f>F9/$B9</f>
        <v>0</v>
      </c>
      <c r="H9" s="440">
        <v>10033.404</v>
      </c>
      <c r="I9" s="193">
        <f>H9/$B9</f>
        <v>1.9144350453278391E-2</v>
      </c>
      <c r="J9" s="440">
        <v>5759.925000000002</v>
      </c>
      <c r="K9" s="193">
        <f>J9/$B9</f>
        <v>1.0990290312699415E-2</v>
      </c>
      <c r="L9" s="440">
        <v>35877.650000000009</v>
      </c>
      <c r="M9" s="441">
        <f>L9/$B9</f>
        <v>6.8456757551082728E-2</v>
      </c>
    </row>
    <row r="10" spans="1:13" ht="15.75" customHeight="1">
      <c r="A10" s="442" t="s">
        <v>804</v>
      </c>
      <c r="B10" s="443">
        <v>442617.21959155705</v>
      </c>
      <c r="C10" s="191">
        <f>B10/$B$5</f>
        <v>2.0142396359686876E-3</v>
      </c>
      <c r="D10" s="713"/>
      <c r="E10" s="195" t="s">
        <v>804</v>
      </c>
      <c r="F10" s="440">
        <v>0</v>
      </c>
      <c r="G10" s="193">
        <f>F10/$B10</f>
        <v>0</v>
      </c>
      <c r="H10" s="440">
        <v>7878.8466000000681</v>
      </c>
      <c r="I10" s="193">
        <f>H10/$B10</f>
        <v>1.780058762121951E-2</v>
      </c>
      <c r="J10" s="440">
        <v>5278.5849999999655</v>
      </c>
      <c r="K10" s="193">
        <f>J10/$B10</f>
        <v>1.192584645683463E-2</v>
      </c>
      <c r="L10" s="440">
        <v>49819.609080000162</v>
      </c>
      <c r="M10" s="441">
        <f>L10/$B10</f>
        <v>0.11255687053019135</v>
      </c>
    </row>
    <row r="11" spans="1:13" ht="15.75" customHeight="1">
      <c r="A11" s="444"/>
      <c r="B11" s="185"/>
      <c r="C11" s="185"/>
      <c r="D11" s="713"/>
      <c r="E11" s="710" t="s">
        <v>797</v>
      </c>
      <c r="F11" s="721">
        <v>5</v>
      </c>
      <c r="G11" s="722"/>
      <c r="H11" s="721">
        <v>6</v>
      </c>
      <c r="I11" s="722"/>
      <c r="J11" s="721">
        <v>7</v>
      </c>
      <c r="K11" s="722"/>
      <c r="L11" s="723">
        <v>8</v>
      </c>
      <c r="M11" s="724"/>
    </row>
    <row r="12" spans="1:13" ht="15.75" customHeight="1">
      <c r="A12" s="444"/>
      <c r="B12" s="185"/>
      <c r="C12" s="185"/>
      <c r="D12" s="713"/>
      <c r="E12" s="710"/>
      <c r="F12" s="725" t="s">
        <v>805</v>
      </c>
      <c r="G12" s="726"/>
      <c r="H12" s="725" t="s">
        <v>806</v>
      </c>
      <c r="I12" s="726"/>
      <c r="J12" s="725" t="s">
        <v>807</v>
      </c>
      <c r="K12" s="726"/>
      <c r="L12" s="727" t="s">
        <v>808</v>
      </c>
      <c r="M12" s="728"/>
    </row>
    <row r="13" spans="1:13" ht="15.75" customHeight="1">
      <c r="A13" s="444"/>
      <c r="B13" s="185"/>
      <c r="C13" s="185"/>
      <c r="D13" s="713"/>
      <c r="E13" s="710"/>
      <c r="F13" s="422" t="s">
        <v>11</v>
      </c>
      <c r="G13" s="422" t="s">
        <v>802</v>
      </c>
      <c r="H13" s="422" t="s">
        <v>11</v>
      </c>
      <c r="I13" s="422" t="s">
        <v>802</v>
      </c>
      <c r="J13" s="422" t="s">
        <v>11</v>
      </c>
      <c r="K13" s="422" t="s">
        <v>802</v>
      </c>
      <c r="L13" s="422" t="s">
        <v>11</v>
      </c>
      <c r="M13" s="437" t="s">
        <v>802</v>
      </c>
    </row>
    <row r="14" spans="1:13" ht="15.75" customHeight="1">
      <c r="A14" s="445"/>
      <c r="B14" s="446"/>
      <c r="C14" s="446"/>
      <c r="D14" s="713"/>
      <c r="E14" s="189" t="s">
        <v>803</v>
      </c>
      <c r="F14" s="440">
        <v>9249.4130000000005</v>
      </c>
      <c r="G14" s="193">
        <f>F14/$B9</f>
        <v>1.7648447521809052E-2</v>
      </c>
      <c r="H14" s="440">
        <v>4142.6000000000004</v>
      </c>
      <c r="I14" s="193">
        <f>H14/$B9</f>
        <v>7.9043349782138804E-3</v>
      </c>
      <c r="J14" s="440">
        <v>0</v>
      </c>
      <c r="K14" s="193">
        <f>J14/$B9</f>
        <v>0</v>
      </c>
      <c r="L14" s="440">
        <v>0</v>
      </c>
      <c r="M14" s="441">
        <f>L14/$B9</f>
        <v>0</v>
      </c>
    </row>
    <row r="15" spans="1:13" ht="15.75" customHeight="1" thickBot="1">
      <c r="A15" s="447"/>
      <c r="B15" s="448"/>
      <c r="C15" s="448"/>
      <c r="D15" s="730"/>
      <c r="E15" s="449" t="s">
        <v>804</v>
      </c>
      <c r="F15" s="450">
        <v>40117.543920000404</v>
      </c>
      <c r="G15" s="451">
        <f>F15/$B10</f>
        <v>9.0637106159178554E-2</v>
      </c>
      <c r="H15" s="450">
        <v>20971.052640000256</v>
      </c>
      <c r="I15" s="451">
        <f>H15/$B10</f>
        <v>4.7379658340794203E-2</v>
      </c>
      <c r="J15" s="450">
        <v>0</v>
      </c>
      <c r="K15" s="451">
        <f>J15/$B10</f>
        <v>0</v>
      </c>
      <c r="L15" s="450">
        <v>0</v>
      </c>
      <c r="M15" s="452">
        <f>L15/$B10</f>
        <v>0</v>
      </c>
    </row>
  </sheetData>
  <mergeCells count="24">
    <mergeCell ref="E11:E13"/>
    <mergeCell ref="F11:G11"/>
    <mergeCell ref="H11:I11"/>
    <mergeCell ref="A1:M2"/>
    <mergeCell ref="J11:K11"/>
    <mergeCell ref="L11:M11"/>
    <mergeCell ref="F12:G12"/>
    <mergeCell ref="H12:I12"/>
    <mergeCell ref="J12:K12"/>
    <mergeCell ref="L12:M12"/>
    <mergeCell ref="A3:M4"/>
    <mergeCell ref="A6:A8"/>
    <mergeCell ref="B6:C7"/>
    <mergeCell ref="D6:D15"/>
    <mergeCell ref="E6:E8"/>
    <mergeCell ref="F6:G6"/>
    <mergeCell ref="E5:M5"/>
    <mergeCell ref="F7:G7"/>
    <mergeCell ref="H7:I7"/>
    <mergeCell ref="J7:K7"/>
    <mergeCell ref="L7:M7"/>
    <mergeCell ref="H6:I6"/>
    <mergeCell ref="J6:K6"/>
    <mergeCell ref="L6:M6"/>
  </mergeCells>
  <phoneticPr fontId="11"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outlinePr summaryBelow="0" summaryRight="0"/>
  </sheetPr>
  <dimension ref="A1:Q31"/>
  <sheetViews>
    <sheetView view="pageBreakPreview" zoomScale="115" zoomScaleNormal="60" zoomScaleSheetLayoutView="115" workbookViewId="0">
      <selection activeCell="I23" sqref="I23"/>
    </sheetView>
  </sheetViews>
  <sheetFormatPr defaultColWidth="12.54296875" defaultRowHeight="15.75" customHeight="1"/>
  <cols>
    <col min="1" max="1" width="5.453125" style="120" customWidth="1"/>
    <col min="2" max="2" width="11.453125" style="175" customWidth="1"/>
    <col min="3" max="3" width="4" style="161" customWidth="1"/>
    <col min="4" max="17" width="9.54296875" style="120" customWidth="1"/>
    <col min="18" max="16384" width="12.54296875" style="120"/>
  </cols>
  <sheetData>
    <row r="1" spans="1:17" ht="15.75" customHeight="1">
      <c r="A1" s="504" t="s">
        <v>204</v>
      </c>
      <c r="B1" s="504"/>
      <c r="C1" s="504"/>
      <c r="D1" s="504"/>
      <c r="E1" s="504"/>
      <c r="F1" s="504"/>
      <c r="G1" s="504"/>
      <c r="H1" s="504"/>
      <c r="I1" s="504"/>
      <c r="J1" s="504"/>
      <c r="K1" s="504"/>
      <c r="L1" s="504"/>
      <c r="M1" s="504"/>
      <c r="N1" s="504"/>
      <c r="O1" s="504"/>
      <c r="P1" s="504"/>
      <c r="Q1" s="504"/>
    </row>
    <row r="2" spans="1:17" s="121" customFormat="1" ht="15.75" customHeight="1">
      <c r="A2" s="504"/>
      <c r="B2" s="504"/>
      <c r="C2" s="504"/>
      <c r="D2" s="504"/>
      <c r="E2" s="504"/>
      <c r="F2" s="504"/>
      <c r="G2" s="504"/>
      <c r="H2" s="504"/>
      <c r="I2" s="504"/>
      <c r="J2" s="504"/>
      <c r="K2" s="504"/>
      <c r="L2" s="504"/>
      <c r="M2" s="504"/>
      <c r="N2" s="504"/>
      <c r="O2" s="504"/>
      <c r="P2" s="504"/>
      <c r="Q2" s="504"/>
    </row>
    <row r="3" spans="1:17" ht="15.75" customHeight="1">
      <c r="A3" s="635" t="s">
        <v>210</v>
      </c>
      <c r="B3" s="636"/>
      <c r="C3" s="636"/>
      <c r="D3" s="636"/>
      <c r="E3" s="636"/>
      <c r="F3" s="636"/>
      <c r="G3" s="636"/>
      <c r="H3" s="636"/>
      <c r="I3" s="636"/>
      <c r="J3" s="636"/>
      <c r="K3" s="636"/>
      <c r="L3" s="636"/>
      <c r="M3" s="636"/>
      <c r="N3" s="152"/>
    </row>
    <row r="4" spans="1:17" s="121" customFormat="1" ht="15.75" customHeight="1">
      <c r="A4" s="636"/>
      <c r="B4" s="636"/>
      <c r="C4" s="636"/>
      <c r="D4" s="636"/>
      <c r="E4" s="636"/>
      <c r="F4" s="636"/>
      <c r="G4" s="636"/>
      <c r="H4" s="636"/>
      <c r="I4" s="636"/>
      <c r="J4" s="636"/>
      <c r="K4" s="636"/>
      <c r="L4" s="636"/>
      <c r="M4" s="636"/>
      <c r="N4" s="131"/>
    </row>
    <row r="5" spans="1:17" ht="15.75" customHeight="1">
      <c r="A5" s="521" t="s">
        <v>190</v>
      </c>
      <c r="B5" s="737">
        <v>1</v>
      </c>
      <c r="C5" s="737"/>
      <c r="D5" s="737">
        <v>2</v>
      </c>
      <c r="E5" s="737"/>
      <c r="F5" s="737">
        <v>3</v>
      </c>
      <c r="G5" s="737"/>
      <c r="H5" s="735">
        <v>4</v>
      </c>
      <c r="I5" s="735"/>
      <c r="J5" s="735">
        <v>5</v>
      </c>
      <c r="K5" s="735"/>
      <c r="L5" s="735">
        <v>6</v>
      </c>
      <c r="M5" s="735"/>
      <c r="N5" s="735">
        <v>7</v>
      </c>
      <c r="O5" s="735"/>
      <c r="P5" s="735">
        <v>8</v>
      </c>
      <c r="Q5" s="735"/>
    </row>
    <row r="6" spans="1:17" ht="15.75" customHeight="1">
      <c r="A6" s="521"/>
      <c r="B6" s="738" t="s">
        <v>319</v>
      </c>
      <c r="C6" s="738"/>
      <c r="D6" s="738" t="s">
        <v>211</v>
      </c>
      <c r="E6" s="738"/>
      <c r="F6" s="738" t="s">
        <v>164</v>
      </c>
      <c r="G6" s="738"/>
      <c r="H6" s="521" t="s">
        <v>506</v>
      </c>
      <c r="I6" s="521"/>
      <c r="J6" s="521" t="s">
        <v>188</v>
      </c>
      <c r="K6" s="521"/>
      <c r="L6" s="521" t="s">
        <v>165</v>
      </c>
      <c r="M6" s="521"/>
      <c r="N6" s="521" t="s">
        <v>189</v>
      </c>
      <c r="O6" s="521"/>
      <c r="P6" s="736" t="s">
        <v>214</v>
      </c>
      <c r="Q6" s="521"/>
    </row>
    <row r="8" spans="1:17" s="154" customFormat="1" ht="15.75" customHeight="1">
      <c r="A8" s="749" t="s">
        <v>810</v>
      </c>
      <c r="B8" s="750"/>
      <c r="C8" s="425" t="s">
        <v>811</v>
      </c>
      <c r="D8" s="754" t="s">
        <v>12</v>
      </c>
      <c r="E8" s="755"/>
      <c r="F8" s="756"/>
      <c r="G8" s="423" t="s">
        <v>812</v>
      </c>
      <c r="H8" s="424"/>
      <c r="I8" s="425"/>
      <c r="J8" s="170" t="s">
        <v>813</v>
      </c>
      <c r="K8" s="170" t="s">
        <v>814</v>
      </c>
      <c r="L8" s="170" t="s">
        <v>815</v>
      </c>
      <c r="M8" s="170" t="s">
        <v>11</v>
      </c>
      <c r="N8" s="330" t="s">
        <v>816</v>
      </c>
      <c r="O8" s="747" t="s">
        <v>817</v>
      </c>
      <c r="P8" s="748"/>
    </row>
    <row r="9" spans="1:17" ht="15.75" customHeight="1">
      <c r="A9" s="619">
        <v>1</v>
      </c>
      <c r="B9" s="751" t="s">
        <v>818</v>
      </c>
      <c r="C9" s="171">
        <v>1</v>
      </c>
      <c r="D9" s="482">
        <v>0</v>
      </c>
      <c r="E9" s="745"/>
      <c r="F9" s="746"/>
      <c r="G9" s="482">
        <v>0</v>
      </c>
      <c r="H9" s="745"/>
      <c r="I9" s="746"/>
      <c r="J9" s="4">
        <v>0</v>
      </c>
      <c r="K9" s="14">
        <v>0</v>
      </c>
      <c r="L9" s="4">
        <v>0</v>
      </c>
      <c r="M9" s="16">
        <v>0</v>
      </c>
      <c r="N9" s="172"/>
      <c r="O9" s="731"/>
      <c r="P9" s="732"/>
    </row>
    <row r="10" spans="1:17" ht="15.75" customHeight="1">
      <c r="A10" s="620"/>
      <c r="B10" s="752"/>
      <c r="C10" s="171">
        <v>2</v>
      </c>
      <c r="D10" s="482">
        <v>0</v>
      </c>
      <c r="E10" s="745"/>
      <c r="F10" s="746"/>
      <c r="G10" s="482">
        <v>0</v>
      </c>
      <c r="H10" s="745"/>
      <c r="I10" s="746"/>
      <c r="J10" s="4">
        <v>0</v>
      </c>
      <c r="K10" s="14">
        <v>0</v>
      </c>
      <c r="L10" s="4">
        <v>0</v>
      </c>
      <c r="M10" s="16">
        <v>0</v>
      </c>
      <c r="N10" s="172"/>
      <c r="O10" s="731"/>
      <c r="P10" s="732"/>
    </row>
    <row r="11" spans="1:17" ht="15.75" customHeight="1">
      <c r="A11" s="620"/>
      <c r="B11" s="752"/>
      <c r="C11" s="171">
        <v>3</v>
      </c>
      <c r="D11" s="482">
        <v>0</v>
      </c>
      <c r="E11" s="745"/>
      <c r="F11" s="746"/>
      <c r="G11" s="482">
        <v>0</v>
      </c>
      <c r="H11" s="745"/>
      <c r="I11" s="746"/>
      <c r="J11" s="4">
        <v>0</v>
      </c>
      <c r="K11" s="14">
        <v>0</v>
      </c>
      <c r="L11" s="4">
        <v>0</v>
      </c>
      <c r="M11" s="16">
        <v>0</v>
      </c>
      <c r="N11" s="172"/>
      <c r="O11" s="731"/>
      <c r="P11" s="732"/>
    </row>
    <row r="12" spans="1:17" ht="15.75" customHeight="1">
      <c r="A12" s="620"/>
      <c r="B12" s="752"/>
      <c r="C12" s="171">
        <v>4</v>
      </c>
      <c r="D12" s="482">
        <v>0</v>
      </c>
      <c r="E12" s="745"/>
      <c r="F12" s="746"/>
      <c r="G12" s="482">
        <v>0</v>
      </c>
      <c r="H12" s="745"/>
      <c r="I12" s="746"/>
      <c r="J12" s="4">
        <v>0</v>
      </c>
      <c r="K12" s="14">
        <v>0</v>
      </c>
      <c r="L12" s="4">
        <v>0</v>
      </c>
      <c r="M12" s="16">
        <v>0</v>
      </c>
      <c r="N12" s="172"/>
      <c r="O12" s="731"/>
      <c r="P12" s="732"/>
    </row>
    <row r="13" spans="1:17" ht="15.75" customHeight="1" thickBot="1">
      <c r="A13" s="620"/>
      <c r="B13" s="752"/>
      <c r="C13" s="173">
        <v>5</v>
      </c>
      <c r="D13" s="742">
        <v>0</v>
      </c>
      <c r="E13" s="743"/>
      <c r="F13" s="744"/>
      <c r="G13" s="742">
        <v>0</v>
      </c>
      <c r="H13" s="743"/>
      <c r="I13" s="744"/>
      <c r="J13" s="4">
        <v>0</v>
      </c>
      <c r="K13" s="14">
        <v>0</v>
      </c>
      <c r="L13" s="4">
        <v>0</v>
      </c>
      <c r="M13" s="16">
        <v>0</v>
      </c>
      <c r="N13" s="174"/>
      <c r="O13" s="733"/>
      <c r="P13" s="734"/>
    </row>
    <row r="14" spans="1:17" ht="15.75" customHeight="1" thickTop="1" thickBot="1">
      <c r="A14" s="621"/>
      <c r="B14" s="753"/>
      <c r="C14" s="757"/>
      <c r="D14" s="758"/>
      <c r="E14" s="758"/>
      <c r="F14" s="758"/>
      <c r="G14" s="758"/>
      <c r="H14" s="758"/>
      <c r="I14" s="759"/>
      <c r="J14" s="328" t="s">
        <v>819</v>
      </c>
      <c r="K14" s="246">
        <v>0</v>
      </c>
      <c r="L14" s="328" t="s">
        <v>820</v>
      </c>
      <c r="M14" s="248">
        <v>0</v>
      </c>
      <c r="N14" s="739"/>
      <c r="O14" s="740"/>
      <c r="P14" s="741"/>
    </row>
    <row r="15" spans="1:17" ht="15.75" customHeight="1" thickTop="1"/>
    <row r="16" spans="1:17" ht="15.75" customHeight="1">
      <c r="A16" s="749" t="s">
        <v>810</v>
      </c>
      <c r="B16" s="750"/>
      <c r="C16" s="425" t="s">
        <v>811</v>
      </c>
      <c r="D16" s="754" t="s">
        <v>12</v>
      </c>
      <c r="E16" s="755"/>
      <c r="F16" s="756"/>
      <c r="G16" s="423" t="s">
        <v>812</v>
      </c>
      <c r="H16" s="424"/>
      <c r="I16" s="425"/>
      <c r="J16" s="170" t="s">
        <v>813</v>
      </c>
      <c r="K16" s="170" t="s">
        <v>814</v>
      </c>
      <c r="L16" s="170" t="s">
        <v>815</v>
      </c>
      <c r="M16" s="170" t="s">
        <v>11</v>
      </c>
      <c r="N16" s="330" t="s">
        <v>816</v>
      </c>
      <c r="O16" s="747" t="s">
        <v>817</v>
      </c>
      <c r="P16" s="748"/>
    </row>
    <row r="17" spans="1:16" ht="15.75" customHeight="1">
      <c r="A17" s="619">
        <v>2</v>
      </c>
      <c r="B17" s="751" t="s">
        <v>821</v>
      </c>
      <c r="C17" s="171">
        <v>1</v>
      </c>
      <c r="D17" s="482" t="s">
        <v>580</v>
      </c>
      <c r="E17" s="745"/>
      <c r="F17" s="746"/>
      <c r="G17" s="482" t="s">
        <v>585</v>
      </c>
      <c r="H17" s="745"/>
      <c r="I17" s="746"/>
      <c r="J17" s="331">
        <v>103.97</v>
      </c>
      <c r="K17" s="14">
        <v>1.346961413517154E-2</v>
      </c>
      <c r="L17" s="4">
        <v>1.7</v>
      </c>
      <c r="M17" s="300">
        <v>176.749</v>
      </c>
      <c r="N17" s="172"/>
      <c r="O17" s="731" t="s">
        <v>510</v>
      </c>
      <c r="P17" s="732"/>
    </row>
    <row r="18" spans="1:16" ht="15.75" customHeight="1">
      <c r="A18" s="620"/>
      <c r="B18" s="752"/>
      <c r="C18" s="171">
        <v>2</v>
      </c>
      <c r="D18" s="482" t="s">
        <v>343</v>
      </c>
      <c r="E18" s="745"/>
      <c r="F18" s="746"/>
      <c r="G18" s="482" t="s">
        <v>628</v>
      </c>
      <c r="H18" s="745"/>
      <c r="I18" s="746"/>
      <c r="J18" s="331">
        <v>846.44</v>
      </c>
      <c r="K18" s="14">
        <v>3.6852773171181137E-2</v>
      </c>
      <c r="L18" s="4">
        <v>0.2</v>
      </c>
      <c r="M18" s="300">
        <v>169.28800000000001</v>
      </c>
      <c r="N18" s="172"/>
      <c r="O18" s="731" t="s">
        <v>510</v>
      </c>
      <c r="P18" s="732"/>
    </row>
    <row r="19" spans="1:16" ht="15.75" customHeight="1">
      <c r="A19" s="620"/>
      <c r="B19" s="752"/>
      <c r="C19" s="171">
        <v>3</v>
      </c>
      <c r="D19" s="482" t="s">
        <v>822</v>
      </c>
      <c r="E19" s="745"/>
      <c r="F19" s="746"/>
      <c r="G19" s="482" t="s">
        <v>823</v>
      </c>
      <c r="H19" s="745"/>
      <c r="I19" s="746"/>
      <c r="J19" s="331">
        <v>137.53</v>
      </c>
      <c r="K19" s="14">
        <v>4.3582479843103074E-2</v>
      </c>
      <c r="L19" s="4">
        <v>1.2</v>
      </c>
      <c r="M19" s="300">
        <v>165.036</v>
      </c>
      <c r="N19" s="172"/>
      <c r="O19" s="731" t="s">
        <v>510</v>
      </c>
      <c r="P19" s="732"/>
    </row>
    <row r="20" spans="1:16" ht="15.75" customHeight="1">
      <c r="A20" s="620"/>
      <c r="B20" s="752"/>
      <c r="C20" s="171">
        <v>4</v>
      </c>
      <c r="D20" s="482" t="s">
        <v>513</v>
      </c>
      <c r="E20" s="745"/>
      <c r="F20" s="746"/>
      <c r="G20" s="482" t="s">
        <v>824</v>
      </c>
      <c r="H20" s="745"/>
      <c r="I20" s="746"/>
      <c r="J20" s="331">
        <v>316.52999999999997</v>
      </c>
      <c r="K20" s="14">
        <v>8.8370448921880521E-2</v>
      </c>
      <c r="L20" s="4">
        <v>0.5</v>
      </c>
      <c r="M20" s="300">
        <v>158.26499999999999</v>
      </c>
      <c r="N20" s="172"/>
      <c r="O20" s="731" t="s">
        <v>510</v>
      </c>
      <c r="P20" s="732"/>
    </row>
    <row r="21" spans="1:16" ht="15.75" customHeight="1" thickBot="1">
      <c r="A21" s="620"/>
      <c r="B21" s="752"/>
      <c r="C21" s="173">
        <v>5</v>
      </c>
      <c r="D21" s="482" t="s">
        <v>401</v>
      </c>
      <c r="E21" s="745"/>
      <c r="F21" s="746"/>
      <c r="G21" s="482" t="s">
        <v>825</v>
      </c>
      <c r="H21" s="745"/>
      <c r="I21" s="746"/>
      <c r="J21" s="331">
        <v>394.38</v>
      </c>
      <c r="K21" s="14">
        <v>6.7114093959731544E-2</v>
      </c>
      <c r="L21" s="4">
        <v>0.4</v>
      </c>
      <c r="M21" s="300">
        <v>157.75200000000001</v>
      </c>
      <c r="N21" s="174"/>
      <c r="O21" s="733" t="s">
        <v>510</v>
      </c>
      <c r="P21" s="734"/>
    </row>
    <row r="22" spans="1:16" ht="15.75" customHeight="1" thickTop="1" thickBot="1">
      <c r="A22" s="621"/>
      <c r="B22" s="753"/>
      <c r="C22" s="760"/>
      <c r="D22" s="761"/>
      <c r="E22" s="761"/>
      <c r="F22" s="761"/>
      <c r="G22" s="761"/>
      <c r="H22" s="761"/>
      <c r="I22" s="762"/>
      <c r="J22" s="328" t="s">
        <v>819</v>
      </c>
      <c r="K22" s="246">
        <v>1.5781384679020222E-3</v>
      </c>
      <c r="L22" s="328" t="s">
        <v>820</v>
      </c>
      <c r="M22" s="248">
        <v>827.08999999999992</v>
      </c>
      <c r="N22" s="739"/>
      <c r="O22" s="740"/>
      <c r="P22" s="741"/>
    </row>
    <row r="23" spans="1:16" ht="15.75" customHeight="1" thickTop="1"/>
    <row r="24" spans="1:16" ht="15.75" customHeight="1">
      <c r="A24" s="749" t="s">
        <v>810</v>
      </c>
      <c r="B24" s="750"/>
      <c r="C24" s="425" t="s">
        <v>811</v>
      </c>
      <c r="D24" s="754" t="s">
        <v>12</v>
      </c>
      <c r="E24" s="755"/>
      <c r="F24" s="756"/>
      <c r="G24" s="423" t="s">
        <v>812</v>
      </c>
      <c r="H24" s="424"/>
      <c r="I24" s="425"/>
      <c r="J24" s="170" t="s">
        <v>813</v>
      </c>
      <c r="K24" s="170" t="s">
        <v>814</v>
      </c>
      <c r="L24" s="170" t="s">
        <v>815</v>
      </c>
      <c r="M24" s="170" t="s">
        <v>11</v>
      </c>
      <c r="N24" s="330" t="s">
        <v>816</v>
      </c>
      <c r="O24" s="747" t="s">
        <v>817</v>
      </c>
      <c r="P24" s="748"/>
    </row>
    <row r="25" spans="1:16" ht="15.75" customHeight="1">
      <c r="A25" s="619">
        <v>3</v>
      </c>
      <c r="B25" s="751" t="s">
        <v>826</v>
      </c>
      <c r="C25" s="171">
        <v>1</v>
      </c>
      <c r="D25" s="482" t="s">
        <v>827</v>
      </c>
      <c r="E25" s="745"/>
      <c r="F25" s="746"/>
      <c r="G25" s="482" t="s">
        <v>828</v>
      </c>
      <c r="H25" s="745"/>
      <c r="I25" s="746"/>
      <c r="J25" s="331">
        <v>362.63</v>
      </c>
      <c r="K25" s="14">
        <v>1.0647359454855196E-2</v>
      </c>
      <c r="L25" s="4">
        <v>0.5</v>
      </c>
      <c r="M25" s="300">
        <v>181.315</v>
      </c>
      <c r="N25" s="172"/>
      <c r="O25" s="731" t="s">
        <v>829</v>
      </c>
      <c r="P25" s="732"/>
    </row>
    <row r="26" spans="1:16" ht="15.75" customHeight="1">
      <c r="A26" s="620"/>
      <c r="B26" s="752"/>
      <c r="C26" s="171">
        <v>2</v>
      </c>
      <c r="D26" s="482" t="s">
        <v>633</v>
      </c>
      <c r="E26" s="745"/>
      <c r="F26" s="746"/>
      <c r="G26" s="482" t="s">
        <v>634</v>
      </c>
      <c r="H26" s="745"/>
      <c r="I26" s="746"/>
      <c r="J26" s="331">
        <v>13.45</v>
      </c>
      <c r="K26" s="14">
        <v>8.4058336485520937E-3</v>
      </c>
      <c r="L26" s="4">
        <v>1.2</v>
      </c>
      <c r="M26" s="300">
        <v>181.29600000000002</v>
      </c>
      <c r="N26" s="172"/>
      <c r="O26" s="731" t="s">
        <v>829</v>
      </c>
      <c r="P26" s="732"/>
    </row>
    <row r="27" spans="1:16" ht="15.75" customHeight="1">
      <c r="A27" s="620"/>
      <c r="B27" s="752"/>
      <c r="C27" s="171">
        <v>3</v>
      </c>
      <c r="D27" s="482" t="s">
        <v>580</v>
      </c>
      <c r="E27" s="745"/>
      <c r="F27" s="746"/>
      <c r="G27" s="482" t="s">
        <v>585</v>
      </c>
      <c r="H27" s="745"/>
      <c r="I27" s="746"/>
      <c r="J27" s="331">
        <v>103.97</v>
      </c>
      <c r="K27" s="14">
        <v>1.2931690247984176E-2</v>
      </c>
      <c r="L27" s="4">
        <v>1.7</v>
      </c>
      <c r="M27" s="300">
        <v>176.749</v>
      </c>
      <c r="N27" s="172"/>
      <c r="O27" s="731" t="s">
        <v>829</v>
      </c>
      <c r="P27" s="732"/>
    </row>
    <row r="28" spans="1:16" ht="15.75" customHeight="1">
      <c r="A28" s="620"/>
      <c r="B28" s="752"/>
      <c r="C28" s="171">
        <v>4</v>
      </c>
      <c r="D28" s="482" t="s">
        <v>743</v>
      </c>
      <c r="E28" s="745"/>
      <c r="F28" s="746"/>
      <c r="G28" s="482" t="s">
        <v>830</v>
      </c>
      <c r="H28" s="745"/>
      <c r="I28" s="746"/>
      <c r="J28" s="331">
        <v>77.8</v>
      </c>
      <c r="K28" s="14">
        <v>1.5230394328754985E-2</v>
      </c>
      <c r="L28" s="4">
        <v>2.2000000000000002</v>
      </c>
      <c r="M28" s="300">
        <v>171.16</v>
      </c>
      <c r="N28" s="172"/>
      <c r="O28" s="731" t="s">
        <v>829</v>
      </c>
      <c r="P28" s="732"/>
    </row>
    <row r="29" spans="1:16" ht="15.75" customHeight="1" thickBot="1">
      <c r="A29" s="620"/>
      <c r="B29" s="752"/>
      <c r="C29" s="173">
        <v>5</v>
      </c>
      <c r="D29" s="742" t="s">
        <v>625</v>
      </c>
      <c r="E29" s="743"/>
      <c r="F29" s="744"/>
      <c r="G29" s="742" t="s">
        <v>831</v>
      </c>
      <c r="H29" s="743"/>
      <c r="I29" s="744"/>
      <c r="J29" s="331">
        <v>140.43</v>
      </c>
      <c r="K29" s="14">
        <v>2.93807996474304E-2</v>
      </c>
      <c r="L29" s="4">
        <v>1.2</v>
      </c>
      <c r="M29" s="300">
        <v>168.51599999999999</v>
      </c>
      <c r="N29" s="174"/>
      <c r="O29" s="733" t="s">
        <v>829</v>
      </c>
      <c r="P29" s="734"/>
    </row>
    <row r="30" spans="1:16" ht="15.75" customHeight="1" thickTop="1" thickBot="1">
      <c r="A30" s="621"/>
      <c r="B30" s="753"/>
      <c r="C30" s="757"/>
      <c r="D30" s="758"/>
      <c r="E30" s="758"/>
      <c r="F30" s="758"/>
      <c r="G30" s="758"/>
      <c r="H30" s="758"/>
      <c r="I30" s="759"/>
      <c r="J30" s="328" t="s">
        <v>819</v>
      </c>
      <c r="K30" s="246">
        <v>1.6772546231615931E-3</v>
      </c>
      <c r="L30" s="328" t="s">
        <v>820</v>
      </c>
      <c r="M30" s="248">
        <v>879.03599999999994</v>
      </c>
      <c r="N30" s="739"/>
      <c r="O30" s="740"/>
      <c r="P30" s="741"/>
    </row>
    <row r="31" spans="1:16" ht="15.75" customHeight="1" thickTop="1"/>
  </sheetData>
  <mergeCells count="85">
    <mergeCell ref="C30:I30"/>
    <mergeCell ref="N30:P30"/>
    <mergeCell ref="A25:A30"/>
    <mergeCell ref="B25:B30"/>
    <mergeCell ref="D25:F25"/>
    <mergeCell ref="G25:I25"/>
    <mergeCell ref="D26:F26"/>
    <mergeCell ref="G26:I26"/>
    <mergeCell ref="D27:F27"/>
    <mergeCell ref="G27:I27"/>
    <mergeCell ref="D28:F28"/>
    <mergeCell ref="G28:I28"/>
    <mergeCell ref="D21:F21"/>
    <mergeCell ref="G21:I21"/>
    <mergeCell ref="C22:I22"/>
    <mergeCell ref="N22:P22"/>
    <mergeCell ref="D29:F29"/>
    <mergeCell ref="G29:I29"/>
    <mergeCell ref="O25:P25"/>
    <mergeCell ref="O26:P26"/>
    <mergeCell ref="O27:P27"/>
    <mergeCell ref="O28:P28"/>
    <mergeCell ref="O29:P29"/>
    <mergeCell ref="A16:B16"/>
    <mergeCell ref="D16:F16"/>
    <mergeCell ref="A24:B24"/>
    <mergeCell ref="D24:F24"/>
    <mergeCell ref="O24:P24"/>
    <mergeCell ref="O16:P16"/>
    <mergeCell ref="A17:A22"/>
    <mergeCell ref="B17:B22"/>
    <mergeCell ref="D17:F17"/>
    <mergeCell ref="G17:I17"/>
    <mergeCell ref="D18:F18"/>
    <mergeCell ref="G18:I18"/>
    <mergeCell ref="D19:F19"/>
    <mergeCell ref="G19:I19"/>
    <mergeCell ref="D20:F20"/>
    <mergeCell ref="G20:I20"/>
    <mergeCell ref="A8:B8"/>
    <mergeCell ref="A9:A14"/>
    <mergeCell ref="B9:B14"/>
    <mergeCell ref="D8:F8"/>
    <mergeCell ref="C14:I14"/>
    <mergeCell ref="D9:F9"/>
    <mergeCell ref="D10:F10"/>
    <mergeCell ref="D11:F11"/>
    <mergeCell ref="G10:I10"/>
    <mergeCell ref="G11:I11"/>
    <mergeCell ref="G12:I12"/>
    <mergeCell ref="G13:I13"/>
    <mergeCell ref="N6:O6"/>
    <mergeCell ref="H5:I5"/>
    <mergeCell ref="H6:I6"/>
    <mergeCell ref="N14:P14"/>
    <mergeCell ref="D13:F13"/>
    <mergeCell ref="D12:F12"/>
    <mergeCell ref="O8:P8"/>
    <mergeCell ref="G9:I9"/>
    <mergeCell ref="O9:P9"/>
    <mergeCell ref="O10:P10"/>
    <mergeCell ref="O11:P11"/>
    <mergeCell ref="O12:P12"/>
    <mergeCell ref="O13:P13"/>
    <mergeCell ref="A1:Q2"/>
    <mergeCell ref="A3:M4"/>
    <mergeCell ref="P5:Q5"/>
    <mergeCell ref="P6:Q6"/>
    <mergeCell ref="A5:A6"/>
    <mergeCell ref="B5:C5"/>
    <mergeCell ref="D5:E5"/>
    <mergeCell ref="F5:G5"/>
    <mergeCell ref="F6:G6"/>
    <mergeCell ref="D6:E6"/>
    <mergeCell ref="B6:C6"/>
    <mergeCell ref="J5:K5"/>
    <mergeCell ref="L5:M5"/>
    <mergeCell ref="N5:O5"/>
    <mergeCell ref="J6:K6"/>
    <mergeCell ref="L6:M6"/>
    <mergeCell ref="O17:P17"/>
    <mergeCell ref="O18:P18"/>
    <mergeCell ref="O19:P19"/>
    <mergeCell ref="O20:P20"/>
    <mergeCell ref="O21:P21"/>
  </mergeCells>
  <phoneticPr fontId="11" type="noConversion"/>
  <printOptions horizontalCentered="1" gridLines="1"/>
  <pageMargins left="0.39370078740157483" right="0.39370078740157483" top="0.39370078740157483" bottom="0.39370078740157483" header="0" footer="0"/>
  <pageSetup paperSize="9" scale="90" fitToWidth="0" fitToHeight="0" pageOrder="overThenDown" orientation="landscape" cellComments="atEnd"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outlinePr summaryBelow="0" summaryRight="0"/>
  </sheetPr>
  <dimension ref="A1:Q39"/>
  <sheetViews>
    <sheetView view="pageBreakPreview" zoomScaleNormal="60" zoomScaleSheetLayoutView="100" workbookViewId="0">
      <selection activeCell="A8" sqref="A8:P38"/>
    </sheetView>
  </sheetViews>
  <sheetFormatPr defaultColWidth="12.54296875" defaultRowHeight="15.75" customHeight="1"/>
  <cols>
    <col min="1" max="1" width="5.453125" style="76" customWidth="1"/>
    <col min="2" max="2" width="11.453125" style="111" customWidth="1"/>
    <col min="3" max="3" width="4" style="109" customWidth="1"/>
    <col min="4" max="17" width="9.54296875" style="76" customWidth="1"/>
    <col min="18" max="16384" width="12.54296875" style="76"/>
  </cols>
  <sheetData>
    <row r="1" spans="1:17" s="120" customFormat="1" ht="15.75" customHeight="1">
      <c r="A1" s="504" t="s">
        <v>204</v>
      </c>
      <c r="B1" s="504"/>
      <c r="C1" s="504"/>
      <c r="D1" s="504"/>
      <c r="E1" s="504"/>
      <c r="F1" s="504"/>
      <c r="G1" s="504"/>
      <c r="H1" s="504"/>
      <c r="I1" s="504"/>
      <c r="J1" s="504"/>
      <c r="K1" s="504"/>
      <c r="L1" s="504"/>
      <c r="M1" s="504"/>
      <c r="N1" s="504"/>
      <c r="O1" s="504"/>
      <c r="P1" s="504"/>
      <c r="Q1" s="504"/>
    </row>
    <row r="2" spans="1:17" s="121" customFormat="1" ht="15.75" customHeight="1">
      <c r="A2" s="504"/>
      <c r="B2" s="504"/>
      <c r="C2" s="504"/>
      <c r="D2" s="504"/>
      <c r="E2" s="504"/>
      <c r="F2" s="504"/>
      <c r="G2" s="504"/>
      <c r="H2" s="504"/>
      <c r="I2" s="504"/>
      <c r="J2" s="504"/>
      <c r="K2" s="504"/>
      <c r="L2" s="504"/>
      <c r="M2" s="504"/>
      <c r="N2" s="504"/>
      <c r="O2" s="504"/>
      <c r="P2" s="504"/>
      <c r="Q2" s="504"/>
    </row>
    <row r="3" spans="1:17" s="120" customFormat="1" ht="15.75" customHeight="1">
      <c r="A3" s="635" t="s">
        <v>210</v>
      </c>
      <c r="B3" s="636"/>
      <c r="C3" s="636"/>
      <c r="D3" s="636"/>
      <c r="E3" s="636"/>
      <c r="F3" s="636"/>
      <c r="G3" s="636"/>
      <c r="H3" s="636"/>
      <c r="I3" s="636"/>
      <c r="J3" s="636"/>
      <c r="K3" s="636"/>
      <c r="L3" s="636"/>
      <c r="M3" s="636"/>
      <c r="N3" s="152"/>
    </row>
    <row r="4" spans="1:17" s="121" customFormat="1" ht="15.75" customHeight="1">
      <c r="A4" s="636"/>
      <c r="B4" s="636"/>
      <c r="C4" s="636"/>
      <c r="D4" s="636"/>
      <c r="E4" s="636"/>
      <c r="F4" s="636"/>
      <c r="G4" s="636"/>
      <c r="H4" s="636"/>
      <c r="I4" s="636"/>
      <c r="J4" s="636"/>
      <c r="K4" s="636"/>
      <c r="L4" s="636"/>
      <c r="M4" s="636"/>
      <c r="N4" s="131"/>
    </row>
    <row r="5" spans="1:17" s="120" customFormat="1" ht="15.75" customHeight="1">
      <c r="A5" s="521" t="s">
        <v>190</v>
      </c>
      <c r="B5" s="735">
        <v>1</v>
      </c>
      <c r="C5" s="735"/>
      <c r="D5" s="735">
        <v>2</v>
      </c>
      <c r="E5" s="735"/>
      <c r="F5" s="735">
        <v>3</v>
      </c>
      <c r="G5" s="735"/>
      <c r="H5" s="737">
        <v>4</v>
      </c>
      <c r="I5" s="737"/>
      <c r="J5" s="737">
        <v>5</v>
      </c>
      <c r="K5" s="737"/>
      <c r="L5" s="737">
        <v>6</v>
      </c>
      <c r="M5" s="737"/>
      <c r="N5" s="737">
        <v>7</v>
      </c>
      <c r="O5" s="737"/>
      <c r="P5" s="735">
        <v>8</v>
      </c>
      <c r="Q5" s="735"/>
    </row>
    <row r="6" spans="1:17" s="120" customFormat="1" ht="15.75" customHeight="1">
      <c r="A6" s="521"/>
      <c r="B6" s="521" t="s">
        <v>320</v>
      </c>
      <c r="C6" s="521"/>
      <c r="D6" s="521" t="s">
        <v>211</v>
      </c>
      <c r="E6" s="521"/>
      <c r="F6" s="521" t="s">
        <v>164</v>
      </c>
      <c r="G6" s="521"/>
      <c r="H6" s="738" t="s">
        <v>506</v>
      </c>
      <c r="I6" s="738"/>
      <c r="J6" s="738" t="s">
        <v>188</v>
      </c>
      <c r="K6" s="738"/>
      <c r="L6" s="738" t="s">
        <v>165</v>
      </c>
      <c r="M6" s="738"/>
      <c r="N6" s="738" t="s">
        <v>189</v>
      </c>
      <c r="O6" s="738"/>
      <c r="P6" s="736" t="s">
        <v>214</v>
      </c>
      <c r="Q6" s="521"/>
    </row>
    <row r="7" spans="1:17" s="120" customFormat="1" ht="15.75" customHeight="1">
      <c r="B7" s="175"/>
      <c r="C7" s="161"/>
    </row>
    <row r="8" spans="1:17" s="110" customFormat="1" ht="15.75" customHeight="1">
      <c r="A8" s="764" t="s">
        <v>810</v>
      </c>
      <c r="B8" s="765"/>
      <c r="C8" s="117" t="s">
        <v>811</v>
      </c>
      <c r="D8" s="766" t="s">
        <v>12</v>
      </c>
      <c r="E8" s="767"/>
      <c r="F8" s="768"/>
      <c r="G8" s="115" t="s">
        <v>812</v>
      </c>
      <c r="H8" s="116"/>
      <c r="I8" s="117"/>
      <c r="J8" s="114" t="s">
        <v>813</v>
      </c>
      <c r="K8" s="114" t="s">
        <v>814</v>
      </c>
      <c r="L8" s="114" t="s">
        <v>815</v>
      </c>
      <c r="M8" s="118" t="s">
        <v>11</v>
      </c>
      <c r="N8" s="330" t="s">
        <v>816</v>
      </c>
      <c r="O8" s="769" t="s">
        <v>817</v>
      </c>
      <c r="P8" s="770"/>
    </row>
    <row r="9" spans="1:17" ht="15.75" customHeight="1">
      <c r="A9" s="765">
        <v>4</v>
      </c>
      <c r="B9" s="771" t="s">
        <v>506</v>
      </c>
      <c r="C9" s="112">
        <v>1</v>
      </c>
      <c r="D9" s="482" t="s">
        <v>822</v>
      </c>
      <c r="E9" s="745"/>
      <c r="F9" s="746"/>
      <c r="G9" s="482" t="s">
        <v>832</v>
      </c>
      <c r="H9" s="745"/>
      <c r="I9" s="746"/>
      <c r="J9" s="331">
        <v>166.02</v>
      </c>
      <c r="K9" s="14">
        <v>1.3316868840948161E-2</v>
      </c>
      <c r="L9" s="4">
        <v>1.1000000000000001</v>
      </c>
      <c r="M9" s="300">
        <v>182.62200000000001</v>
      </c>
      <c r="N9" s="4"/>
      <c r="O9" s="731" t="s">
        <v>468</v>
      </c>
      <c r="P9" s="763"/>
      <c r="Q9" s="265"/>
    </row>
    <row r="10" spans="1:17" ht="15.75" customHeight="1">
      <c r="A10" s="765"/>
      <c r="B10" s="771"/>
      <c r="C10" s="112">
        <v>2</v>
      </c>
      <c r="D10" s="482" t="s">
        <v>633</v>
      </c>
      <c r="E10" s="745"/>
      <c r="F10" s="746"/>
      <c r="G10" s="482" t="s">
        <v>634</v>
      </c>
      <c r="H10" s="745"/>
      <c r="I10" s="746"/>
      <c r="J10" s="331">
        <v>151.08000000000001</v>
      </c>
      <c r="K10" s="14">
        <v>1.0969422734128617E-2</v>
      </c>
      <c r="L10" s="4">
        <v>1.2</v>
      </c>
      <c r="M10" s="300">
        <v>181.29600000000002</v>
      </c>
      <c r="N10" s="4"/>
      <c r="O10" s="731" t="s">
        <v>468</v>
      </c>
      <c r="P10" s="763"/>
      <c r="Q10" s="265"/>
    </row>
    <row r="11" spans="1:17" ht="15.75" customHeight="1">
      <c r="A11" s="765"/>
      <c r="B11" s="771"/>
      <c r="C11" s="112">
        <v>3</v>
      </c>
      <c r="D11" s="482" t="s">
        <v>633</v>
      </c>
      <c r="E11" s="745"/>
      <c r="F11" s="746"/>
      <c r="G11" s="482" t="s">
        <v>636</v>
      </c>
      <c r="H11" s="745"/>
      <c r="I11" s="746"/>
      <c r="J11" s="331">
        <v>105.09</v>
      </c>
      <c r="K11" s="14">
        <v>9.8619329388560158E-3</v>
      </c>
      <c r="L11" s="4">
        <v>1.7</v>
      </c>
      <c r="M11" s="300">
        <v>178.65299999999999</v>
      </c>
      <c r="N11" s="4"/>
      <c r="O11" s="731" t="s">
        <v>468</v>
      </c>
      <c r="P11" s="763"/>
      <c r="Q11" s="265"/>
    </row>
    <row r="12" spans="1:17" ht="15.75" customHeight="1">
      <c r="A12" s="765"/>
      <c r="B12" s="771"/>
      <c r="C12" s="112">
        <v>4</v>
      </c>
      <c r="D12" s="482" t="s">
        <v>349</v>
      </c>
      <c r="E12" s="745"/>
      <c r="F12" s="746"/>
      <c r="G12" s="482" t="s">
        <v>417</v>
      </c>
      <c r="H12" s="745"/>
      <c r="I12" s="746"/>
      <c r="J12" s="331">
        <v>127.48</v>
      </c>
      <c r="K12" s="14">
        <v>1.0036130068245682E-2</v>
      </c>
      <c r="L12" s="4">
        <v>1.4</v>
      </c>
      <c r="M12" s="300">
        <v>178.47200000000001</v>
      </c>
      <c r="N12" s="4"/>
      <c r="O12" s="731" t="s">
        <v>468</v>
      </c>
      <c r="P12" s="763"/>
      <c r="Q12" s="265"/>
    </row>
    <row r="13" spans="1:17" ht="15.75" customHeight="1" thickBot="1">
      <c r="A13" s="765"/>
      <c r="B13" s="771"/>
      <c r="C13" s="113">
        <v>5</v>
      </c>
      <c r="D13" s="482" t="s">
        <v>352</v>
      </c>
      <c r="E13" s="745"/>
      <c r="F13" s="746"/>
      <c r="G13" s="482" t="s">
        <v>608</v>
      </c>
      <c r="H13" s="745"/>
      <c r="I13" s="746"/>
      <c r="J13" s="331">
        <v>111.17</v>
      </c>
      <c r="K13" s="14">
        <v>5.6542896621915324E-3</v>
      </c>
      <c r="L13" s="4">
        <v>1.6</v>
      </c>
      <c r="M13" s="300">
        <v>177.87200000000001</v>
      </c>
      <c r="N13" s="27"/>
      <c r="O13" s="731" t="s">
        <v>468</v>
      </c>
      <c r="P13" s="763"/>
      <c r="Q13" s="265"/>
    </row>
    <row r="14" spans="1:17" ht="15.75" customHeight="1" thickTop="1" thickBot="1">
      <c r="A14" s="765"/>
      <c r="B14" s="771"/>
      <c r="C14" s="773"/>
      <c r="D14" s="773"/>
      <c r="E14" s="773"/>
      <c r="F14" s="773"/>
      <c r="G14" s="773"/>
      <c r="H14" s="773"/>
      <c r="I14" s="773"/>
      <c r="J14" s="247" t="s">
        <v>819</v>
      </c>
      <c r="K14" s="246">
        <v>1.7151849748807825E-3</v>
      </c>
      <c r="L14" s="247" t="s">
        <v>820</v>
      </c>
      <c r="M14" s="248">
        <v>898.91499999999996</v>
      </c>
      <c r="N14" s="772"/>
      <c r="O14" s="772"/>
      <c r="P14" s="772"/>
      <c r="Q14" s="265"/>
    </row>
    <row r="15" spans="1:17" ht="15.75" customHeight="1" thickTop="1">
      <c r="A15" s="421"/>
      <c r="D15" s="421"/>
      <c r="E15" s="421"/>
      <c r="F15" s="421"/>
      <c r="G15" s="421"/>
      <c r="H15" s="421"/>
      <c r="I15" s="421"/>
      <c r="J15" s="421"/>
      <c r="K15" s="421"/>
      <c r="L15" s="421"/>
      <c r="M15" s="421"/>
      <c r="N15" s="421"/>
      <c r="O15" s="421"/>
      <c r="P15" s="421"/>
      <c r="Q15" s="265"/>
    </row>
    <row r="16" spans="1:17" ht="15.75" customHeight="1">
      <c r="A16" s="764" t="s">
        <v>810</v>
      </c>
      <c r="B16" s="765"/>
      <c r="C16" s="117" t="s">
        <v>811</v>
      </c>
      <c r="D16" s="766" t="s">
        <v>12</v>
      </c>
      <c r="E16" s="767"/>
      <c r="F16" s="768"/>
      <c r="G16" s="115" t="s">
        <v>812</v>
      </c>
      <c r="H16" s="116"/>
      <c r="I16" s="117"/>
      <c r="J16" s="114" t="s">
        <v>813</v>
      </c>
      <c r="K16" s="114" t="s">
        <v>814</v>
      </c>
      <c r="L16" s="114" t="s">
        <v>815</v>
      </c>
      <c r="M16" s="118" t="s">
        <v>11</v>
      </c>
      <c r="N16" s="330" t="s">
        <v>816</v>
      </c>
      <c r="O16" s="769" t="s">
        <v>817</v>
      </c>
      <c r="P16" s="770"/>
      <c r="Q16" s="265"/>
    </row>
    <row r="17" spans="1:17" ht="15.75" customHeight="1">
      <c r="A17" s="765">
        <v>5</v>
      </c>
      <c r="B17" s="774" t="s">
        <v>212</v>
      </c>
      <c r="C17" s="112">
        <v>1</v>
      </c>
      <c r="D17" s="482" t="s">
        <v>583</v>
      </c>
      <c r="E17" s="745"/>
      <c r="F17" s="746"/>
      <c r="G17" s="482" t="s">
        <v>624</v>
      </c>
      <c r="H17" s="745"/>
      <c r="I17" s="746"/>
      <c r="J17" s="331">
        <v>448.48</v>
      </c>
      <c r="K17" s="14">
        <v>2.3391812865497075E-2</v>
      </c>
      <c r="L17" s="4">
        <v>0.4</v>
      </c>
      <c r="M17" s="300">
        <v>179.39200000000002</v>
      </c>
      <c r="N17" s="4"/>
      <c r="O17" s="731" t="s">
        <v>502</v>
      </c>
      <c r="P17" s="763"/>
      <c r="Q17" s="265"/>
    </row>
    <row r="18" spans="1:17" ht="15.75" customHeight="1">
      <c r="A18" s="765"/>
      <c r="B18" s="771"/>
      <c r="C18" s="112">
        <v>2</v>
      </c>
      <c r="D18" s="482" t="s">
        <v>717</v>
      </c>
      <c r="E18" s="745"/>
      <c r="F18" s="746"/>
      <c r="G18" s="482" t="s">
        <v>833</v>
      </c>
      <c r="H18" s="745"/>
      <c r="I18" s="746"/>
      <c r="J18" s="331">
        <v>290.67</v>
      </c>
      <c r="K18" s="14">
        <v>6.2106657833719782E-3</v>
      </c>
      <c r="L18" s="4">
        <v>0.60000000000000009</v>
      </c>
      <c r="M18" s="300">
        <v>174.40200000000004</v>
      </c>
      <c r="N18" s="4"/>
      <c r="O18" s="731" t="s">
        <v>503</v>
      </c>
      <c r="P18" s="763"/>
      <c r="Q18" s="265"/>
    </row>
    <row r="19" spans="1:17" ht="15.75" customHeight="1">
      <c r="A19" s="765"/>
      <c r="B19" s="771"/>
      <c r="C19" s="112">
        <v>3</v>
      </c>
      <c r="D19" s="482" t="s">
        <v>375</v>
      </c>
      <c r="E19" s="745"/>
      <c r="F19" s="746"/>
      <c r="G19" s="482" t="s">
        <v>568</v>
      </c>
      <c r="H19" s="745"/>
      <c r="I19" s="746"/>
      <c r="J19" s="331">
        <v>432.07</v>
      </c>
      <c r="K19" s="14">
        <v>8.3022000830220016E-3</v>
      </c>
      <c r="L19" s="4">
        <v>0.4</v>
      </c>
      <c r="M19" s="300">
        <v>172.828</v>
      </c>
      <c r="N19" s="4"/>
      <c r="O19" s="731" t="s">
        <v>502</v>
      </c>
      <c r="P19" s="763"/>
      <c r="Q19" s="265"/>
    </row>
    <row r="20" spans="1:17" ht="15.75" customHeight="1">
      <c r="A20" s="765"/>
      <c r="B20" s="771"/>
      <c r="C20" s="112">
        <v>4</v>
      </c>
      <c r="D20" s="482" t="s">
        <v>580</v>
      </c>
      <c r="E20" s="745"/>
      <c r="F20" s="746"/>
      <c r="G20" s="482" t="s">
        <v>631</v>
      </c>
      <c r="H20" s="745"/>
      <c r="I20" s="746"/>
      <c r="J20" s="331">
        <v>278.12</v>
      </c>
      <c r="K20" s="14">
        <v>1.7076502732240439E-2</v>
      </c>
      <c r="L20" s="4">
        <v>0.60000000000000009</v>
      </c>
      <c r="M20" s="300">
        <v>166.87200000000001</v>
      </c>
      <c r="N20" s="4"/>
      <c r="O20" s="731" t="s">
        <v>502</v>
      </c>
      <c r="P20" s="763"/>
      <c r="Q20" s="265"/>
    </row>
    <row r="21" spans="1:17" ht="15.75" customHeight="1" thickBot="1">
      <c r="A21" s="765"/>
      <c r="B21" s="771"/>
      <c r="C21" s="113">
        <v>5</v>
      </c>
      <c r="D21" s="482" t="s">
        <v>504</v>
      </c>
      <c r="E21" s="745"/>
      <c r="F21" s="746"/>
      <c r="G21" s="482" t="s">
        <v>834</v>
      </c>
      <c r="H21" s="745"/>
      <c r="I21" s="746"/>
      <c r="J21" s="331">
        <v>237.97</v>
      </c>
      <c r="K21" s="14">
        <v>2.2422961112178872E-2</v>
      </c>
      <c r="L21" s="4">
        <v>0.70000000000000007</v>
      </c>
      <c r="M21" s="300">
        <v>166.57900000000001</v>
      </c>
      <c r="N21" s="4"/>
      <c r="O21" s="731" t="s">
        <v>503</v>
      </c>
      <c r="P21" s="763"/>
      <c r="Q21" s="265"/>
    </row>
    <row r="22" spans="1:17" ht="15.75" customHeight="1" thickTop="1" thickBot="1">
      <c r="A22" s="765"/>
      <c r="B22" s="771"/>
      <c r="C22" s="778"/>
      <c r="D22" s="778"/>
      <c r="E22" s="778"/>
      <c r="F22" s="778"/>
      <c r="G22" s="778"/>
      <c r="H22" s="778"/>
      <c r="I22" s="779"/>
      <c r="J22" s="119" t="s">
        <v>819</v>
      </c>
      <c r="K22" s="246">
        <v>1.6410720556455721E-3</v>
      </c>
      <c r="L22" s="119" t="s">
        <v>820</v>
      </c>
      <c r="M22" s="248">
        <v>860.07300000000009</v>
      </c>
      <c r="N22" s="775"/>
      <c r="O22" s="776"/>
      <c r="P22" s="777"/>
      <c r="Q22" s="265"/>
    </row>
    <row r="23" spans="1:17" ht="15.75" customHeight="1" thickTop="1">
      <c r="A23" s="421"/>
      <c r="D23" s="421"/>
      <c r="E23" s="421"/>
      <c r="F23" s="421"/>
      <c r="G23" s="421"/>
      <c r="H23" s="421"/>
      <c r="I23" s="421"/>
      <c r="J23" s="421"/>
      <c r="K23" s="421"/>
      <c r="L23" s="421"/>
      <c r="M23" s="421"/>
      <c r="N23" s="421"/>
      <c r="O23" s="421"/>
      <c r="P23" s="421"/>
      <c r="Q23" s="265"/>
    </row>
    <row r="24" spans="1:17" ht="15.75" customHeight="1">
      <c r="A24" s="764" t="s">
        <v>810</v>
      </c>
      <c r="B24" s="765"/>
      <c r="C24" s="117" t="s">
        <v>811</v>
      </c>
      <c r="D24" s="766" t="s">
        <v>12</v>
      </c>
      <c r="E24" s="767"/>
      <c r="F24" s="768"/>
      <c r="G24" s="115" t="s">
        <v>812</v>
      </c>
      <c r="H24" s="116"/>
      <c r="I24" s="117"/>
      <c r="J24" s="114" t="s">
        <v>813</v>
      </c>
      <c r="K24" s="114" t="s">
        <v>814</v>
      </c>
      <c r="L24" s="114" t="s">
        <v>815</v>
      </c>
      <c r="M24" s="118" t="s">
        <v>11</v>
      </c>
      <c r="N24" s="330" t="s">
        <v>816</v>
      </c>
      <c r="O24" s="769" t="s">
        <v>817</v>
      </c>
      <c r="P24" s="770"/>
      <c r="Q24" s="265"/>
    </row>
    <row r="25" spans="1:17" ht="15.75" customHeight="1">
      <c r="A25" s="765">
        <v>6</v>
      </c>
      <c r="B25" s="774" t="s">
        <v>213</v>
      </c>
      <c r="C25" s="112">
        <v>1</v>
      </c>
      <c r="D25" s="482" t="s">
        <v>573</v>
      </c>
      <c r="E25" s="745"/>
      <c r="F25" s="746"/>
      <c r="G25" s="482" t="s">
        <v>449</v>
      </c>
      <c r="H25" s="745"/>
      <c r="I25" s="746"/>
      <c r="J25" s="331">
        <v>13.45</v>
      </c>
      <c r="K25" s="14">
        <v>9.6501809408926411E-3</v>
      </c>
      <c r="L25" s="4">
        <v>16</v>
      </c>
      <c r="M25" s="300">
        <v>215.2</v>
      </c>
      <c r="N25" s="4"/>
      <c r="O25" s="731" t="s">
        <v>514</v>
      </c>
      <c r="P25" s="763"/>
      <c r="Q25" s="265"/>
    </row>
    <row r="26" spans="1:17" ht="15.75" customHeight="1">
      <c r="A26" s="765"/>
      <c r="B26" s="771"/>
      <c r="C26" s="112">
        <v>2</v>
      </c>
      <c r="D26" s="482" t="s">
        <v>381</v>
      </c>
      <c r="E26" s="745"/>
      <c r="F26" s="746"/>
      <c r="G26" s="482" t="s">
        <v>415</v>
      </c>
      <c r="H26" s="745"/>
      <c r="I26" s="746"/>
      <c r="J26" s="331">
        <v>930.36</v>
      </c>
      <c r="K26" s="14">
        <v>1.8648018648018648E-2</v>
      </c>
      <c r="L26" s="4">
        <v>0.2</v>
      </c>
      <c r="M26" s="300">
        <v>186.072</v>
      </c>
      <c r="N26" s="4"/>
      <c r="O26" s="731" t="s">
        <v>835</v>
      </c>
      <c r="P26" s="763"/>
      <c r="Q26" s="265"/>
    </row>
    <row r="27" spans="1:17" ht="15.75" customHeight="1">
      <c r="A27" s="765"/>
      <c r="B27" s="771"/>
      <c r="C27" s="112">
        <v>3</v>
      </c>
      <c r="D27" s="482" t="s">
        <v>355</v>
      </c>
      <c r="E27" s="745"/>
      <c r="F27" s="746"/>
      <c r="G27" s="482" t="s">
        <v>354</v>
      </c>
      <c r="H27" s="745"/>
      <c r="I27" s="746"/>
      <c r="J27" s="331">
        <v>510.06</v>
      </c>
      <c r="K27" s="14">
        <v>7.6647930505876335E-3</v>
      </c>
      <c r="L27" s="4">
        <v>0.3</v>
      </c>
      <c r="M27" s="300">
        <v>153.018</v>
      </c>
      <c r="N27" s="4"/>
      <c r="O27" s="731" t="s">
        <v>836</v>
      </c>
      <c r="P27" s="763"/>
      <c r="Q27" s="265"/>
    </row>
    <row r="28" spans="1:17" ht="15.75" customHeight="1">
      <c r="A28" s="765"/>
      <c r="B28" s="771"/>
      <c r="C28" s="112">
        <v>4</v>
      </c>
      <c r="D28" s="482" t="s">
        <v>349</v>
      </c>
      <c r="E28" s="745"/>
      <c r="F28" s="746"/>
      <c r="G28" s="482" t="s">
        <v>348</v>
      </c>
      <c r="H28" s="745"/>
      <c r="I28" s="746"/>
      <c r="J28" s="331">
        <v>758.19</v>
      </c>
      <c r="K28" s="14">
        <v>1.0156408693885842E-2</v>
      </c>
      <c r="L28" s="4">
        <v>0.2</v>
      </c>
      <c r="M28" s="300">
        <v>151.63800000000001</v>
      </c>
      <c r="N28" s="4"/>
      <c r="O28" s="731" t="s">
        <v>835</v>
      </c>
      <c r="P28" s="763"/>
      <c r="Q28" s="265"/>
    </row>
    <row r="29" spans="1:17" ht="15.75" customHeight="1" thickBot="1">
      <c r="A29" s="765"/>
      <c r="B29" s="771"/>
      <c r="C29" s="113">
        <v>5</v>
      </c>
      <c r="D29" s="482" t="s">
        <v>419</v>
      </c>
      <c r="E29" s="745"/>
      <c r="F29" s="746"/>
      <c r="G29" s="482" t="s">
        <v>420</v>
      </c>
      <c r="H29" s="745"/>
      <c r="I29" s="746"/>
      <c r="J29" s="331">
        <v>444.88</v>
      </c>
      <c r="K29" s="14">
        <v>1.5475085112968121E-2</v>
      </c>
      <c r="L29" s="4">
        <v>0.3</v>
      </c>
      <c r="M29" s="300">
        <v>133.464</v>
      </c>
      <c r="N29" s="4"/>
      <c r="O29" s="731" t="s">
        <v>836</v>
      </c>
      <c r="P29" s="763"/>
      <c r="Q29" s="265"/>
    </row>
    <row r="30" spans="1:17" ht="15.75" customHeight="1" thickTop="1" thickBot="1">
      <c r="A30" s="765"/>
      <c r="B30" s="771"/>
      <c r="C30" s="778"/>
      <c r="D30" s="778"/>
      <c r="E30" s="778"/>
      <c r="F30" s="778"/>
      <c r="G30" s="778"/>
      <c r="H30" s="778"/>
      <c r="I30" s="779"/>
      <c r="J30" s="119" t="s">
        <v>819</v>
      </c>
      <c r="K30" s="246">
        <v>1.6016114387179322E-3</v>
      </c>
      <c r="L30" s="119" t="s">
        <v>820</v>
      </c>
      <c r="M30" s="248">
        <v>839.39200000000005</v>
      </c>
      <c r="N30" s="775"/>
      <c r="O30" s="776"/>
      <c r="P30" s="777"/>
      <c r="Q30" s="265"/>
    </row>
    <row r="31" spans="1:17" ht="15.75" customHeight="1" thickTop="1">
      <c r="A31" s="421"/>
      <c r="D31" s="421"/>
      <c r="E31" s="421"/>
      <c r="F31" s="421"/>
      <c r="G31" s="421"/>
      <c r="H31" s="421"/>
      <c r="I31" s="421"/>
      <c r="J31" s="421"/>
      <c r="K31" s="421"/>
      <c r="L31" s="421"/>
      <c r="M31" s="421"/>
      <c r="N31" s="421"/>
      <c r="O31" s="421"/>
      <c r="P31" s="421"/>
      <c r="Q31" s="265"/>
    </row>
    <row r="32" spans="1:17" ht="15.75" customHeight="1">
      <c r="A32" s="764" t="s">
        <v>810</v>
      </c>
      <c r="B32" s="765"/>
      <c r="C32" s="117" t="s">
        <v>811</v>
      </c>
      <c r="D32" s="766" t="s">
        <v>12</v>
      </c>
      <c r="E32" s="767"/>
      <c r="F32" s="768"/>
      <c r="G32" s="115" t="s">
        <v>812</v>
      </c>
      <c r="H32" s="116"/>
      <c r="I32" s="117"/>
      <c r="J32" s="114" t="s">
        <v>813</v>
      </c>
      <c r="K32" s="114" t="s">
        <v>814</v>
      </c>
      <c r="L32" s="114" t="s">
        <v>815</v>
      </c>
      <c r="M32" s="118" t="s">
        <v>11</v>
      </c>
      <c r="N32" s="118" t="s">
        <v>13</v>
      </c>
      <c r="O32" s="769" t="s">
        <v>817</v>
      </c>
      <c r="P32" s="770"/>
      <c r="Q32" s="265"/>
    </row>
    <row r="33" spans="1:17" ht="15.75" customHeight="1">
      <c r="A33" s="765">
        <v>7</v>
      </c>
      <c r="B33" s="774" t="s">
        <v>837</v>
      </c>
      <c r="C33" s="112">
        <v>1</v>
      </c>
      <c r="D33" s="482" t="s">
        <v>343</v>
      </c>
      <c r="E33" s="745"/>
      <c r="F33" s="746"/>
      <c r="G33" s="482" t="s">
        <v>628</v>
      </c>
      <c r="H33" s="745"/>
      <c r="I33" s="746"/>
      <c r="J33" s="4">
        <v>846.44</v>
      </c>
      <c r="K33" s="14">
        <v>3.494060097833683E-2</v>
      </c>
      <c r="L33" s="4">
        <v>0.2</v>
      </c>
      <c r="M33" s="300">
        <v>169.28800000000001</v>
      </c>
      <c r="N33" s="4"/>
      <c r="O33" s="731" t="s">
        <v>838</v>
      </c>
      <c r="P33" s="763"/>
      <c r="Q33" s="265"/>
    </row>
    <row r="34" spans="1:17" ht="15.75" customHeight="1">
      <c r="A34" s="765"/>
      <c r="B34" s="771"/>
      <c r="C34" s="112">
        <v>2</v>
      </c>
      <c r="D34" s="482">
        <v>0</v>
      </c>
      <c r="E34" s="745"/>
      <c r="F34" s="746"/>
      <c r="G34" s="482">
        <v>0</v>
      </c>
      <c r="H34" s="745"/>
      <c r="I34" s="746"/>
      <c r="J34" s="4">
        <v>0</v>
      </c>
      <c r="K34" s="14">
        <v>0</v>
      </c>
      <c r="L34" s="4">
        <v>0</v>
      </c>
      <c r="M34" s="300">
        <v>0</v>
      </c>
      <c r="N34" s="4"/>
      <c r="O34" s="731"/>
      <c r="P34" s="763"/>
      <c r="Q34" s="265"/>
    </row>
    <row r="35" spans="1:17" ht="15.75" customHeight="1">
      <c r="A35" s="765"/>
      <c r="B35" s="771"/>
      <c r="C35" s="112">
        <v>3</v>
      </c>
      <c r="D35" s="482">
        <v>0</v>
      </c>
      <c r="E35" s="745"/>
      <c r="F35" s="746"/>
      <c r="G35" s="482">
        <v>0</v>
      </c>
      <c r="H35" s="745"/>
      <c r="I35" s="746"/>
      <c r="J35" s="4">
        <v>0</v>
      </c>
      <c r="K35" s="14">
        <v>0</v>
      </c>
      <c r="L35" s="4">
        <v>0</v>
      </c>
      <c r="M35" s="300">
        <v>0</v>
      </c>
      <c r="N35" s="4"/>
      <c r="O35" s="731"/>
      <c r="P35" s="763"/>
      <c r="Q35" s="265"/>
    </row>
    <row r="36" spans="1:17" ht="15.75" customHeight="1">
      <c r="A36" s="765"/>
      <c r="B36" s="771"/>
      <c r="C36" s="112">
        <v>4</v>
      </c>
      <c r="D36" s="482">
        <v>0</v>
      </c>
      <c r="E36" s="745"/>
      <c r="F36" s="746"/>
      <c r="G36" s="482">
        <v>0</v>
      </c>
      <c r="H36" s="745"/>
      <c r="I36" s="746"/>
      <c r="J36" s="4">
        <v>0</v>
      </c>
      <c r="K36" s="14">
        <v>0</v>
      </c>
      <c r="L36" s="4">
        <v>0</v>
      </c>
      <c r="M36" s="300">
        <v>0</v>
      </c>
      <c r="N36" s="4"/>
      <c r="O36" s="731"/>
      <c r="P36" s="763"/>
      <c r="Q36" s="265"/>
    </row>
    <row r="37" spans="1:17" ht="15.75" customHeight="1" thickBot="1">
      <c r="A37" s="765"/>
      <c r="B37" s="771"/>
      <c r="C37" s="113">
        <v>5</v>
      </c>
      <c r="D37" s="482">
        <v>0</v>
      </c>
      <c r="E37" s="745"/>
      <c r="F37" s="746"/>
      <c r="G37" s="482">
        <v>0</v>
      </c>
      <c r="H37" s="745"/>
      <c r="I37" s="746"/>
      <c r="J37" s="4">
        <v>0</v>
      </c>
      <c r="K37" s="14">
        <v>0</v>
      </c>
      <c r="L37" s="4">
        <v>0</v>
      </c>
      <c r="M37" s="300">
        <v>0</v>
      </c>
      <c r="N37" s="4"/>
      <c r="O37" s="731"/>
      <c r="P37" s="763"/>
      <c r="Q37" s="265"/>
    </row>
    <row r="38" spans="1:17" ht="15.75" customHeight="1" thickTop="1" thickBot="1">
      <c r="A38" s="765"/>
      <c r="B38" s="771"/>
      <c r="C38" s="778"/>
      <c r="D38" s="778"/>
      <c r="E38" s="778"/>
      <c r="F38" s="778"/>
      <c r="G38" s="778"/>
      <c r="H38" s="778"/>
      <c r="I38" s="779"/>
      <c r="J38" s="119" t="s">
        <v>819</v>
      </c>
      <c r="K38" s="246">
        <v>3.2301189103265375E-4</v>
      </c>
      <c r="L38" s="119" t="s">
        <v>820</v>
      </c>
      <c r="M38" s="248">
        <v>169.28800000000001</v>
      </c>
      <c r="N38" s="775"/>
      <c r="O38" s="776"/>
      <c r="P38" s="777"/>
      <c r="Q38" s="265"/>
    </row>
    <row r="39" spans="1:17" ht="15.75" customHeight="1" thickTop="1"/>
  </sheetData>
  <mergeCells count="107">
    <mergeCell ref="A24:B24"/>
    <mergeCell ref="D24:F24"/>
    <mergeCell ref="O24:P24"/>
    <mergeCell ref="G28:I28"/>
    <mergeCell ref="A33:A38"/>
    <mergeCell ref="B33:B38"/>
    <mergeCell ref="D33:F33"/>
    <mergeCell ref="G33:I33"/>
    <mergeCell ref="D34:F34"/>
    <mergeCell ref="C30:I30"/>
    <mergeCell ref="D29:F29"/>
    <mergeCell ref="G29:I29"/>
    <mergeCell ref="A25:A30"/>
    <mergeCell ref="B25:B30"/>
    <mergeCell ref="D25:F25"/>
    <mergeCell ref="G25:I25"/>
    <mergeCell ref="D26:F26"/>
    <mergeCell ref="G26:I26"/>
    <mergeCell ref="D27:F27"/>
    <mergeCell ref="N30:P30"/>
    <mergeCell ref="A32:B32"/>
    <mergeCell ref="D32:F32"/>
    <mergeCell ref="O32:P32"/>
    <mergeCell ref="C38:I38"/>
    <mergeCell ref="N38:P38"/>
    <mergeCell ref="G34:I34"/>
    <mergeCell ref="D35:F35"/>
    <mergeCell ref="G27:I27"/>
    <mergeCell ref="D28:F28"/>
    <mergeCell ref="O36:P36"/>
    <mergeCell ref="O37:P37"/>
    <mergeCell ref="G35:I35"/>
    <mergeCell ref="D36:F36"/>
    <mergeCell ref="G36:I36"/>
    <mergeCell ref="D37:F37"/>
    <mergeCell ref="G37:I37"/>
    <mergeCell ref="O33:P33"/>
    <mergeCell ref="O34:P34"/>
    <mergeCell ref="O35:P35"/>
    <mergeCell ref="A16:B16"/>
    <mergeCell ref="D16:F16"/>
    <mergeCell ref="O16:P16"/>
    <mergeCell ref="A17:A22"/>
    <mergeCell ref="B17:B22"/>
    <mergeCell ref="D17:F17"/>
    <mergeCell ref="G17:I17"/>
    <mergeCell ref="D18:F18"/>
    <mergeCell ref="G18:I18"/>
    <mergeCell ref="D21:F21"/>
    <mergeCell ref="G21:I21"/>
    <mergeCell ref="N22:P22"/>
    <mergeCell ref="O19:P19"/>
    <mergeCell ref="O20:P20"/>
    <mergeCell ref="O21:P21"/>
    <mergeCell ref="D19:F19"/>
    <mergeCell ref="G19:I19"/>
    <mergeCell ref="D20:F20"/>
    <mergeCell ref="G20:I20"/>
    <mergeCell ref="C22:I22"/>
    <mergeCell ref="A8:B8"/>
    <mergeCell ref="D8:F8"/>
    <mergeCell ref="O8:P8"/>
    <mergeCell ref="A9:A14"/>
    <mergeCell ref="B9:B14"/>
    <mergeCell ref="D9:F9"/>
    <mergeCell ref="G9:I9"/>
    <mergeCell ref="D10:F10"/>
    <mergeCell ref="G10:I10"/>
    <mergeCell ref="D11:F11"/>
    <mergeCell ref="G11:I11"/>
    <mergeCell ref="D12:F12"/>
    <mergeCell ref="G12:I12"/>
    <mergeCell ref="D13:F13"/>
    <mergeCell ref="G13:I13"/>
    <mergeCell ref="N14:P14"/>
    <mergeCell ref="O9:P9"/>
    <mergeCell ref="O10:P10"/>
    <mergeCell ref="C14:I14"/>
    <mergeCell ref="A1:Q2"/>
    <mergeCell ref="P5:Q5"/>
    <mergeCell ref="P6:Q6"/>
    <mergeCell ref="N5:O5"/>
    <mergeCell ref="B6:C6"/>
    <mergeCell ref="D6:E6"/>
    <mergeCell ref="F6:G6"/>
    <mergeCell ref="H6:I6"/>
    <mergeCell ref="J6:K6"/>
    <mergeCell ref="L6:M6"/>
    <mergeCell ref="N6:O6"/>
    <mergeCell ref="A3:M4"/>
    <mergeCell ref="A5:A6"/>
    <mergeCell ref="B5:C5"/>
    <mergeCell ref="D5:E5"/>
    <mergeCell ref="F5:G5"/>
    <mergeCell ref="H5:I5"/>
    <mergeCell ref="J5:K5"/>
    <mergeCell ref="L5:M5"/>
    <mergeCell ref="O25:P25"/>
    <mergeCell ref="O26:P26"/>
    <mergeCell ref="O27:P27"/>
    <mergeCell ref="O28:P28"/>
    <mergeCell ref="O29:P29"/>
    <mergeCell ref="O11:P11"/>
    <mergeCell ref="O12:P12"/>
    <mergeCell ref="O13:P13"/>
    <mergeCell ref="O17:P17"/>
    <mergeCell ref="O18:P18"/>
  </mergeCells>
  <phoneticPr fontId="11" type="noConversion"/>
  <printOptions horizontalCentered="1" gridLines="1"/>
  <pageMargins left="0.39370078740157483" right="0.39370078740157483" top="0.39370078740157483" bottom="0.39370078740157483" header="0" footer="0"/>
  <pageSetup paperSize="9" scale="90" fitToWidth="0" fitToHeight="0" pageOrder="overThenDown" orientation="landscape" cellComments="atEnd"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outlinePr summaryBelow="0" summaryRight="0"/>
  </sheetPr>
  <dimension ref="A1:W31"/>
  <sheetViews>
    <sheetView view="pageBreakPreview" zoomScale="115" zoomScaleNormal="60" zoomScaleSheetLayoutView="115" workbookViewId="0">
      <selection activeCell="A8" sqref="A8:P30"/>
    </sheetView>
  </sheetViews>
  <sheetFormatPr defaultColWidth="12.54296875" defaultRowHeight="15.75" customHeight="1"/>
  <cols>
    <col min="1" max="1" width="5.453125" style="183" customWidth="1"/>
    <col min="2" max="2" width="11.453125" style="333" customWidth="1"/>
    <col min="3" max="3" width="4" style="334" customWidth="1"/>
    <col min="4" max="17" width="9.54296875" style="183" customWidth="1"/>
    <col min="18" max="16384" width="12.54296875" style="183"/>
  </cols>
  <sheetData>
    <row r="1" spans="1:23" ht="15.75" customHeight="1">
      <c r="A1" s="708" t="s">
        <v>516</v>
      </c>
      <c r="B1" s="708"/>
      <c r="C1" s="708"/>
      <c r="D1" s="708"/>
      <c r="E1" s="708"/>
      <c r="F1" s="708"/>
      <c r="G1" s="708"/>
      <c r="H1" s="708"/>
      <c r="I1" s="708"/>
      <c r="J1" s="708"/>
      <c r="K1" s="708"/>
      <c r="L1" s="708"/>
      <c r="M1" s="708"/>
      <c r="N1" s="708"/>
      <c r="O1" s="708"/>
      <c r="P1" s="708"/>
      <c r="Q1" s="708"/>
    </row>
    <row r="2" spans="1:23" s="184" customFormat="1" ht="15.75" customHeight="1">
      <c r="A2" s="708"/>
      <c r="B2" s="708"/>
      <c r="C2" s="708"/>
      <c r="D2" s="708"/>
      <c r="E2" s="708"/>
      <c r="F2" s="708"/>
      <c r="G2" s="708"/>
      <c r="H2" s="708"/>
      <c r="I2" s="708"/>
      <c r="J2" s="708"/>
      <c r="K2" s="708"/>
      <c r="L2" s="708"/>
      <c r="M2" s="708"/>
      <c r="N2" s="708"/>
      <c r="O2" s="708"/>
      <c r="P2" s="708"/>
      <c r="Q2" s="708"/>
      <c r="R2" s="183"/>
      <c r="S2" s="183"/>
      <c r="T2" s="183"/>
      <c r="U2" s="183"/>
      <c r="V2" s="183"/>
      <c r="W2" s="183"/>
    </row>
    <row r="3" spans="1:23" ht="15.75" customHeight="1">
      <c r="A3" s="709" t="s">
        <v>517</v>
      </c>
      <c r="B3" s="709"/>
      <c r="C3" s="709"/>
      <c r="D3" s="709"/>
      <c r="E3" s="709"/>
      <c r="F3" s="709"/>
      <c r="G3" s="709"/>
      <c r="H3" s="709"/>
      <c r="I3" s="709"/>
      <c r="J3" s="709"/>
      <c r="K3" s="709"/>
      <c r="L3" s="709"/>
      <c r="M3" s="709"/>
      <c r="N3" s="185"/>
    </row>
    <row r="4" spans="1:23" s="184" customFormat="1" ht="15.75" customHeight="1">
      <c r="A4" s="709"/>
      <c r="B4" s="709"/>
      <c r="C4" s="709"/>
      <c r="D4" s="709"/>
      <c r="E4" s="709"/>
      <c r="F4" s="709"/>
      <c r="G4" s="709"/>
      <c r="H4" s="709"/>
      <c r="I4" s="709"/>
      <c r="J4" s="709"/>
      <c r="K4" s="709"/>
      <c r="L4" s="709"/>
      <c r="M4" s="709"/>
      <c r="N4" s="186"/>
      <c r="R4" s="183"/>
      <c r="S4" s="183"/>
      <c r="T4" s="183"/>
      <c r="U4" s="183"/>
      <c r="V4" s="183"/>
      <c r="W4" s="183"/>
    </row>
    <row r="5" spans="1:23" ht="15.75" customHeight="1">
      <c r="A5" s="711" t="s">
        <v>508</v>
      </c>
      <c r="B5" s="780">
        <v>1</v>
      </c>
      <c r="C5" s="780"/>
      <c r="D5" s="780">
        <v>2</v>
      </c>
      <c r="E5" s="780"/>
      <c r="F5" s="780">
        <v>3</v>
      </c>
      <c r="G5" s="780"/>
      <c r="H5" s="714">
        <v>4</v>
      </c>
      <c r="I5" s="714"/>
      <c r="J5" s="714">
        <v>5</v>
      </c>
      <c r="K5" s="714"/>
      <c r="L5" s="714">
        <v>6</v>
      </c>
      <c r="M5" s="714"/>
      <c r="N5" s="714">
        <v>7</v>
      </c>
      <c r="O5" s="714"/>
      <c r="P5" s="714">
        <v>8</v>
      </c>
      <c r="Q5" s="714"/>
    </row>
    <row r="6" spans="1:23" ht="15.75" customHeight="1">
      <c r="A6" s="711"/>
      <c r="B6" s="781" t="s">
        <v>518</v>
      </c>
      <c r="C6" s="781"/>
      <c r="D6" s="781" t="s">
        <v>519</v>
      </c>
      <c r="E6" s="781"/>
      <c r="F6" s="781" t="s">
        <v>520</v>
      </c>
      <c r="G6" s="781"/>
      <c r="H6" s="782" t="s">
        <v>521</v>
      </c>
      <c r="I6" s="711"/>
      <c r="J6" s="711" t="s">
        <v>522</v>
      </c>
      <c r="K6" s="711"/>
      <c r="L6" s="711" t="s">
        <v>523</v>
      </c>
      <c r="M6" s="711"/>
      <c r="N6" s="711" t="s">
        <v>524</v>
      </c>
      <c r="O6" s="711"/>
      <c r="P6" s="782" t="s">
        <v>525</v>
      </c>
      <c r="Q6" s="711"/>
    </row>
    <row r="8" spans="1:23" s="332" customFormat="1" ht="15.75" customHeight="1">
      <c r="A8" s="749" t="s">
        <v>810</v>
      </c>
      <c r="B8" s="750"/>
      <c r="C8" s="425" t="s">
        <v>811</v>
      </c>
      <c r="D8" s="754" t="s">
        <v>12</v>
      </c>
      <c r="E8" s="755"/>
      <c r="F8" s="756"/>
      <c r="G8" s="423" t="s">
        <v>812</v>
      </c>
      <c r="H8" s="424"/>
      <c r="I8" s="425"/>
      <c r="J8" s="170" t="s">
        <v>813</v>
      </c>
      <c r="K8" s="330" t="s">
        <v>839</v>
      </c>
      <c r="L8" s="170" t="s">
        <v>815</v>
      </c>
      <c r="M8" s="170" t="s">
        <v>11</v>
      </c>
      <c r="N8" s="330" t="s">
        <v>816</v>
      </c>
      <c r="O8" s="747" t="s">
        <v>817</v>
      </c>
      <c r="P8" s="748"/>
      <c r="R8" s="183"/>
      <c r="S8" s="183"/>
      <c r="T8" s="183"/>
      <c r="U8" s="183"/>
      <c r="V8" s="183"/>
      <c r="W8" s="183"/>
    </row>
    <row r="9" spans="1:23" ht="15.75" customHeight="1">
      <c r="A9" s="619">
        <v>1</v>
      </c>
      <c r="B9" s="751" t="s">
        <v>818</v>
      </c>
      <c r="C9" s="171">
        <v>1</v>
      </c>
      <c r="D9" s="482">
        <v>0</v>
      </c>
      <c r="E9" s="745"/>
      <c r="F9" s="746"/>
      <c r="G9" s="482">
        <v>0</v>
      </c>
      <c r="H9" s="745"/>
      <c r="I9" s="746"/>
      <c r="J9" s="4">
        <v>0</v>
      </c>
      <c r="K9" s="14">
        <v>0</v>
      </c>
      <c r="L9" s="331">
        <v>0</v>
      </c>
      <c r="M9" s="16">
        <v>0</v>
      </c>
      <c r="N9" s="172"/>
      <c r="O9" s="731"/>
      <c r="P9" s="732"/>
    </row>
    <row r="10" spans="1:23" ht="15.75" customHeight="1">
      <c r="A10" s="620"/>
      <c r="B10" s="752"/>
      <c r="C10" s="171">
        <v>2</v>
      </c>
      <c r="D10" s="482">
        <v>0</v>
      </c>
      <c r="E10" s="745"/>
      <c r="F10" s="746"/>
      <c r="G10" s="482">
        <v>0</v>
      </c>
      <c r="H10" s="745"/>
      <c r="I10" s="746"/>
      <c r="J10" s="4">
        <v>0</v>
      </c>
      <c r="K10" s="14">
        <v>0</v>
      </c>
      <c r="L10" s="331">
        <v>0</v>
      </c>
      <c r="M10" s="16">
        <v>0</v>
      </c>
      <c r="N10" s="172"/>
      <c r="O10" s="731"/>
      <c r="P10" s="732"/>
    </row>
    <row r="11" spans="1:23" ht="15.75" customHeight="1">
      <c r="A11" s="620"/>
      <c r="B11" s="752"/>
      <c r="C11" s="171">
        <v>3</v>
      </c>
      <c r="D11" s="482">
        <v>0</v>
      </c>
      <c r="E11" s="745"/>
      <c r="F11" s="746"/>
      <c r="G11" s="482">
        <v>0</v>
      </c>
      <c r="H11" s="745"/>
      <c r="I11" s="746"/>
      <c r="J11" s="4">
        <v>0</v>
      </c>
      <c r="K11" s="14">
        <v>0</v>
      </c>
      <c r="L11" s="331">
        <v>0</v>
      </c>
      <c r="M11" s="16">
        <v>0</v>
      </c>
      <c r="N11" s="172"/>
      <c r="O11" s="731"/>
      <c r="P11" s="732"/>
    </row>
    <row r="12" spans="1:23" ht="15.75" customHeight="1">
      <c r="A12" s="620"/>
      <c r="B12" s="752"/>
      <c r="C12" s="171">
        <v>4</v>
      </c>
      <c r="D12" s="482">
        <v>0</v>
      </c>
      <c r="E12" s="745"/>
      <c r="F12" s="746"/>
      <c r="G12" s="482">
        <v>0</v>
      </c>
      <c r="H12" s="745"/>
      <c r="I12" s="746"/>
      <c r="J12" s="4">
        <v>0</v>
      </c>
      <c r="K12" s="14">
        <v>0</v>
      </c>
      <c r="L12" s="331">
        <v>0</v>
      </c>
      <c r="M12" s="16">
        <v>0</v>
      </c>
      <c r="N12" s="172"/>
      <c r="O12" s="731"/>
      <c r="P12" s="732"/>
    </row>
    <row r="13" spans="1:23" ht="15.75" customHeight="1" thickBot="1">
      <c r="A13" s="620"/>
      <c r="B13" s="752"/>
      <c r="C13" s="173">
        <v>5</v>
      </c>
      <c r="D13" s="742">
        <v>0</v>
      </c>
      <c r="E13" s="743"/>
      <c r="F13" s="744"/>
      <c r="G13" s="742">
        <v>0</v>
      </c>
      <c r="H13" s="743"/>
      <c r="I13" s="744"/>
      <c r="J13" s="4">
        <v>0</v>
      </c>
      <c r="K13" s="14">
        <v>0</v>
      </c>
      <c r="L13" s="331">
        <v>0</v>
      </c>
      <c r="M13" s="16">
        <v>0</v>
      </c>
      <c r="N13" s="174"/>
      <c r="O13" s="733"/>
      <c r="P13" s="734"/>
    </row>
    <row r="14" spans="1:23" ht="15.75" customHeight="1" thickTop="1" thickBot="1">
      <c r="A14" s="621"/>
      <c r="B14" s="753"/>
      <c r="C14" s="757"/>
      <c r="D14" s="758"/>
      <c r="E14" s="758"/>
      <c r="F14" s="758"/>
      <c r="G14" s="758"/>
      <c r="H14" s="758"/>
      <c r="I14" s="759"/>
      <c r="J14" s="328" t="s">
        <v>819</v>
      </c>
      <c r="K14" s="246">
        <v>0</v>
      </c>
      <c r="L14" s="328" t="s">
        <v>820</v>
      </c>
      <c r="M14" s="248">
        <v>0</v>
      </c>
      <c r="N14" s="739"/>
      <c r="O14" s="740"/>
      <c r="P14" s="741"/>
    </row>
    <row r="15" spans="1:23" ht="15.75" customHeight="1" thickTop="1">
      <c r="A15" s="120"/>
      <c r="B15" s="175"/>
      <c r="C15" s="161"/>
      <c r="D15" s="120"/>
      <c r="E15" s="120"/>
      <c r="F15" s="120"/>
      <c r="G15" s="120"/>
      <c r="H15" s="120"/>
      <c r="I15" s="120"/>
      <c r="J15" s="120"/>
      <c r="K15" s="120"/>
      <c r="L15" s="120"/>
      <c r="M15" s="120"/>
      <c r="N15" s="120"/>
      <c r="O15" s="120"/>
      <c r="P15" s="120"/>
    </row>
    <row r="16" spans="1:23" ht="15.75" customHeight="1">
      <c r="A16" s="749" t="s">
        <v>810</v>
      </c>
      <c r="B16" s="750"/>
      <c r="C16" s="425" t="s">
        <v>811</v>
      </c>
      <c r="D16" s="754" t="s">
        <v>12</v>
      </c>
      <c r="E16" s="755"/>
      <c r="F16" s="756"/>
      <c r="G16" s="423" t="s">
        <v>812</v>
      </c>
      <c r="H16" s="424"/>
      <c r="I16" s="425"/>
      <c r="J16" s="170" t="s">
        <v>813</v>
      </c>
      <c r="K16" s="330" t="s">
        <v>839</v>
      </c>
      <c r="L16" s="170" t="s">
        <v>815</v>
      </c>
      <c r="M16" s="170" t="s">
        <v>11</v>
      </c>
      <c r="N16" s="330" t="s">
        <v>816</v>
      </c>
      <c r="O16" s="747" t="s">
        <v>817</v>
      </c>
      <c r="P16" s="748"/>
    </row>
    <row r="17" spans="1:16" ht="15.75" customHeight="1">
      <c r="A17" s="619">
        <v>2</v>
      </c>
      <c r="B17" s="751" t="s">
        <v>840</v>
      </c>
      <c r="C17" s="171">
        <v>1</v>
      </c>
      <c r="D17" s="482" t="s">
        <v>580</v>
      </c>
      <c r="E17" s="745"/>
      <c r="F17" s="746"/>
      <c r="G17" s="482" t="s">
        <v>585</v>
      </c>
      <c r="H17" s="745"/>
      <c r="I17" s="746"/>
      <c r="J17" s="331">
        <v>103.97</v>
      </c>
      <c r="K17" s="14">
        <v>2.6868848097898499E-2</v>
      </c>
      <c r="L17" s="331">
        <v>2.5250000000000115</v>
      </c>
      <c r="M17" s="300">
        <v>262.52425000000119</v>
      </c>
      <c r="N17" s="172"/>
      <c r="O17" s="731" t="s">
        <v>510</v>
      </c>
      <c r="P17" s="732"/>
    </row>
    <row r="18" spans="1:16" ht="15.75" customHeight="1">
      <c r="A18" s="620"/>
      <c r="B18" s="752"/>
      <c r="C18" s="171">
        <v>2</v>
      </c>
      <c r="D18" s="482" t="s">
        <v>717</v>
      </c>
      <c r="E18" s="745"/>
      <c r="F18" s="746"/>
      <c r="G18" s="482" t="s">
        <v>841</v>
      </c>
      <c r="H18" s="745"/>
      <c r="I18" s="746"/>
      <c r="J18" s="331">
        <v>730.4</v>
      </c>
      <c r="K18" s="14">
        <v>0.22478386167146977</v>
      </c>
      <c r="L18" s="331">
        <v>0.312</v>
      </c>
      <c r="M18" s="300">
        <v>227.88479999999996</v>
      </c>
      <c r="N18" s="172"/>
      <c r="O18" s="731" t="s">
        <v>510</v>
      </c>
      <c r="P18" s="732"/>
    </row>
    <row r="19" spans="1:16" ht="15.75" customHeight="1">
      <c r="A19" s="620"/>
      <c r="B19" s="752"/>
      <c r="C19" s="171">
        <v>3</v>
      </c>
      <c r="D19" s="482" t="s">
        <v>621</v>
      </c>
      <c r="E19" s="745"/>
      <c r="F19" s="746"/>
      <c r="G19" s="482" t="s">
        <v>626</v>
      </c>
      <c r="H19" s="745"/>
      <c r="I19" s="746"/>
      <c r="J19" s="331">
        <v>462.04</v>
      </c>
      <c r="K19" s="14">
        <v>2.0218883324058613E-2</v>
      </c>
      <c r="L19" s="331">
        <v>0.43599999999999994</v>
      </c>
      <c r="M19" s="300">
        <v>201.44943999999998</v>
      </c>
      <c r="N19" s="172"/>
      <c r="O19" s="731" t="s">
        <v>510</v>
      </c>
      <c r="P19" s="732"/>
    </row>
    <row r="20" spans="1:16" ht="15.75" customHeight="1">
      <c r="A20" s="620"/>
      <c r="B20" s="752"/>
      <c r="C20" s="171">
        <v>4</v>
      </c>
      <c r="D20" s="482" t="s">
        <v>743</v>
      </c>
      <c r="E20" s="745"/>
      <c r="F20" s="746"/>
      <c r="G20" s="482" t="s">
        <v>830</v>
      </c>
      <c r="H20" s="745"/>
      <c r="I20" s="746"/>
      <c r="J20" s="331">
        <v>77.8</v>
      </c>
      <c r="K20" s="14">
        <v>2.2550544323483662E-2</v>
      </c>
      <c r="L20" s="331">
        <v>2.319999999999999</v>
      </c>
      <c r="M20" s="300">
        <v>180.49599999999992</v>
      </c>
      <c r="N20" s="172"/>
      <c r="O20" s="731" t="s">
        <v>510</v>
      </c>
      <c r="P20" s="732"/>
    </row>
    <row r="21" spans="1:16" ht="15.75" customHeight="1" thickBot="1">
      <c r="A21" s="620"/>
      <c r="B21" s="752"/>
      <c r="C21" s="173">
        <v>5</v>
      </c>
      <c r="D21" s="482" t="s">
        <v>385</v>
      </c>
      <c r="E21" s="745"/>
      <c r="F21" s="746"/>
      <c r="G21" s="482" t="s">
        <v>623</v>
      </c>
      <c r="H21" s="745"/>
      <c r="I21" s="746"/>
      <c r="J21" s="331">
        <v>631.87</v>
      </c>
      <c r="K21" s="14">
        <v>8.2821188176763275E-2</v>
      </c>
      <c r="L21" s="331">
        <v>0.28300000000000008</v>
      </c>
      <c r="M21" s="300">
        <v>178.81921000000006</v>
      </c>
      <c r="N21" s="174"/>
      <c r="O21" s="733" t="s">
        <v>510</v>
      </c>
      <c r="P21" s="734"/>
    </row>
    <row r="22" spans="1:16" ht="15.75" customHeight="1" thickTop="1" thickBot="1">
      <c r="A22" s="621"/>
      <c r="B22" s="753"/>
      <c r="C22" s="760"/>
      <c r="D22" s="761"/>
      <c r="E22" s="761"/>
      <c r="F22" s="761"/>
      <c r="G22" s="761"/>
      <c r="H22" s="761"/>
      <c r="I22" s="762"/>
      <c r="J22" s="328" t="s">
        <v>819</v>
      </c>
      <c r="K22" s="246">
        <v>2.3749046658645911E-3</v>
      </c>
      <c r="L22" s="328" t="s">
        <v>820</v>
      </c>
      <c r="M22" s="248">
        <v>1051.1737000000012</v>
      </c>
      <c r="N22" s="739"/>
      <c r="O22" s="740"/>
      <c r="P22" s="741"/>
    </row>
    <row r="23" spans="1:16" ht="15.75" customHeight="1" thickTop="1">
      <c r="A23" s="120"/>
      <c r="B23" s="175"/>
      <c r="C23" s="161"/>
      <c r="D23" s="120"/>
      <c r="E23" s="120"/>
      <c r="F23" s="120"/>
      <c r="G23" s="120"/>
      <c r="H23" s="120"/>
      <c r="I23" s="120"/>
      <c r="J23" s="120"/>
      <c r="K23" s="120"/>
      <c r="L23" s="120"/>
      <c r="M23" s="120"/>
      <c r="N23" s="120"/>
      <c r="O23" s="120"/>
      <c r="P23" s="120"/>
    </row>
    <row r="24" spans="1:16" ht="15.75" customHeight="1">
      <c r="A24" s="749" t="s">
        <v>810</v>
      </c>
      <c r="B24" s="750"/>
      <c r="C24" s="425" t="s">
        <v>811</v>
      </c>
      <c r="D24" s="754" t="s">
        <v>12</v>
      </c>
      <c r="E24" s="755"/>
      <c r="F24" s="756"/>
      <c r="G24" s="423" t="s">
        <v>812</v>
      </c>
      <c r="H24" s="424"/>
      <c r="I24" s="425"/>
      <c r="J24" s="170" t="s">
        <v>813</v>
      </c>
      <c r="K24" s="330" t="s">
        <v>839</v>
      </c>
      <c r="L24" s="170" t="s">
        <v>815</v>
      </c>
      <c r="M24" s="170" t="s">
        <v>11</v>
      </c>
      <c r="N24" s="330" t="s">
        <v>816</v>
      </c>
      <c r="O24" s="747" t="s">
        <v>817</v>
      </c>
      <c r="P24" s="748"/>
    </row>
    <row r="25" spans="1:16" ht="15.75" customHeight="1">
      <c r="A25" s="619">
        <v>3</v>
      </c>
      <c r="B25" s="751" t="s">
        <v>826</v>
      </c>
      <c r="C25" s="171">
        <v>1</v>
      </c>
      <c r="D25" s="482" t="s">
        <v>580</v>
      </c>
      <c r="E25" s="745"/>
      <c r="F25" s="746"/>
      <c r="G25" s="482" t="s">
        <v>585</v>
      </c>
      <c r="H25" s="745"/>
      <c r="I25" s="746"/>
      <c r="J25" s="331">
        <v>103.97</v>
      </c>
      <c r="K25" s="14">
        <v>2.3226616446955409E-2</v>
      </c>
      <c r="L25" s="331">
        <v>2.5899999999999976</v>
      </c>
      <c r="M25" s="300">
        <v>269.28229999999974</v>
      </c>
      <c r="N25" s="172"/>
      <c r="O25" s="731" t="s">
        <v>829</v>
      </c>
      <c r="P25" s="732"/>
    </row>
    <row r="26" spans="1:16" ht="15.75" customHeight="1">
      <c r="A26" s="620"/>
      <c r="B26" s="752"/>
      <c r="C26" s="171">
        <v>2</v>
      </c>
      <c r="D26" s="482" t="s">
        <v>583</v>
      </c>
      <c r="E26" s="745"/>
      <c r="F26" s="746"/>
      <c r="G26" s="482" t="s">
        <v>624</v>
      </c>
      <c r="H26" s="745"/>
      <c r="I26" s="746"/>
      <c r="J26" s="331">
        <v>448.48</v>
      </c>
      <c r="K26" s="14">
        <v>1.5806111696522625E-2</v>
      </c>
      <c r="L26" s="331">
        <v>0.37499999999999928</v>
      </c>
      <c r="M26" s="300">
        <v>168.17999999999967</v>
      </c>
      <c r="N26" s="172"/>
      <c r="O26" s="731" t="s">
        <v>829</v>
      </c>
      <c r="P26" s="732"/>
    </row>
    <row r="27" spans="1:16" ht="15.75" customHeight="1">
      <c r="A27" s="620"/>
      <c r="B27" s="752"/>
      <c r="C27" s="171">
        <v>3</v>
      </c>
      <c r="D27" s="482" t="s">
        <v>633</v>
      </c>
      <c r="E27" s="745"/>
      <c r="F27" s="746"/>
      <c r="G27" s="482" t="s">
        <v>634</v>
      </c>
      <c r="H27" s="745"/>
      <c r="I27" s="746"/>
      <c r="J27" s="331">
        <v>151.08000000000001</v>
      </c>
      <c r="K27" s="14">
        <v>1.0430892860677195E-2</v>
      </c>
      <c r="L27" s="331">
        <v>1.0539999999999878</v>
      </c>
      <c r="M27" s="300">
        <v>159.2383199999982</v>
      </c>
      <c r="N27" s="172"/>
      <c r="O27" s="731" t="s">
        <v>829</v>
      </c>
      <c r="P27" s="732"/>
    </row>
    <row r="28" spans="1:16" ht="15.75" customHeight="1">
      <c r="A28" s="620"/>
      <c r="B28" s="752"/>
      <c r="C28" s="171">
        <v>4</v>
      </c>
      <c r="D28" s="482" t="s">
        <v>606</v>
      </c>
      <c r="E28" s="745"/>
      <c r="F28" s="746"/>
      <c r="G28" s="482" t="s">
        <v>635</v>
      </c>
      <c r="H28" s="745"/>
      <c r="I28" s="746"/>
      <c r="J28" s="331">
        <v>71.38</v>
      </c>
      <c r="K28" s="14">
        <v>7.3186959414503943E-3</v>
      </c>
      <c r="L28" s="331">
        <v>2.1999999999999886</v>
      </c>
      <c r="M28" s="300">
        <v>157.03599999999918</v>
      </c>
      <c r="N28" s="172"/>
      <c r="O28" s="731" t="s">
        <v>829</v>
      </c>
      <c r="P28" s="732"/>
    </row>
    <row r="29" spans="1:16" ht="15.75" customHeight="1" thickBot="1">
      <c r="A29" s="620"/>
      <c r="B29" s="752"/>
      <c r="C29" s="173">
        <v>5</v>
      </c>
      <c r="D29" s="742" t="s">
        <v>630</v>
      </c>
      <c r="E29" s="743"/>
      <c r="F29" s="744"/>
      <c r="G29" s="742" t="s">
        <v>842</v>
      </c>
      <c r="H29" s="743"/>
      <c r="I29" s="744"/>
      <c r="J29" s="331">
        <v>59.58</v>
      </c>
      <c r="K29" s="14">
        <v>1.074298835492872E-2</v>
      </c>
      <c r="L29" s="331">
        <v>2.6200000000000161</v>
      </c>
      <c r="M29" s="300">
        <v>156.09960000000098</v>
      </c>
      <c r="N29" s="174"/>
      <c r="O29" s="733" t="s">
        <v>829</v>
      </c>
      <c r="P29" s="734"/>
    </row>
    <row r="30" spans="1:16" ht="15.75" customHeight="1" thickTop="1" thickBot="1">
      <c r="A30" s="621"/>
      <c r="B30" s="753"/>
      <c r="C30" s="757"/>
      <c r="D30" s="758"/>
      <c r="E30" s="758"/>
      <c r="F30" s="758"/>
      <c r="G30" s="758"/>
      <c r="H30" s="758"/>
      <c r="I30" s="759"/>
      <c r="J30" s="328" t="s">
        <v>819</v>
      </c>
      <c r="K30" s="246">
        <v>2.0555825208056428E-3</v>
      </c>
      <c r="L30" s="328" t="s">
        <v>820</v>
      </c>
      <c r="M30" s="248">
        <v>909.83621999999764</v>
      </c>
      <c r="N30" s="739"/>
      <c r="O30" s="740"/>
      <c r="P30" s="741"/>
    </row>
    <row r="31" spans="1:16" ht="15.75" customHeight="1" thickTop="1"/>
  </sheetData>
  <mergeCells count="85">
    <mergeCell ref="C22:I22"/>
    <mergeCell ref="N22:P22"/>
    <mergeCell ref="D28:F28"/>
    <mergeCell ref="G28:I28"/>
    <mergeCell ref="O28:P28"/>
    <mergeCell ref="A24:B24"/>
    <mergeCell ref="D24:F24"/>
    <mergeCell ref="O24:P24"/>
    <mergeCell ref="A16:B16"/>
    <mergeCell ref="D16:F16"/>
    <mergeCell ref="O16:P16"/>
    <mergeCell ref="A17:A22"/>
    <mergeCell ref="B17:B22"/>
    <mergeCell ref="D17:F17"/>
    <mergeCell ref="G17:I17"/>
    <mergeCell ref="O17:P17"/>
    <mergeCell ref="D18:F18"/>
    <mergeCell ref="G18:I18"/>
    <mergeCell ref="O18:P18"/>
    <mergeCell ref="O19:P19"/>
    <mergeCell ref="D20:F20"/>
    <mergeCell ref="A25:A30"/>
    <mergeCell ref="B25:B30"/>
    <mergeCell ref="D25:F25"/>
    <mergeCell ref="G25:I25"/>
    <mergeCell ref="O25:P25"/>
    <mergeCell ref="D26:F26"/>
    <mergeCell ref="G26:I26"/>
    <mergeCell ref="O26:P26"/>
    <mergeCell ref="D27:F27"/>
    <mergeCell ref="G27:I27"/>
    <mergeCell ref="O27:P27"/>
    <mergeCell ref="C30:I30"/>
    <mergeCell ref="N30:P30"/>
    <mergeCell ref="D29:F29"/>
    <mergeCell ref="G29:I29"/>
    <mergeCell ref="O29:P29"/>
    <mergeCell ref="D12:F12"/>
    <mergeCell ref="G12:I12"/>
    <mergeCell ref="O12:P12"/>
    <mergeCell ref="G21:I21"/>
    <mergeCell ref="O21:P21"/>
    <mergeCell ref="D19:F19"/>
    <mergeCell ref="G19:I19"/>
    <mergeCell ref="G20:I20"/>
    <mergeCell ref="O20:P20"/>
    <mergeCell ref="D21:F21"/>
    <mergeCell ref="A9:A14"/>
    <mergeCell ref="B9:B14"/>
    <mergeCell ref="D9:F9"/>
    <mergeCell ref="G9:I9"/>
    <mergeCell ref="O9:P9"/>
    <mergeCell ref="D10:F10"/>
    <mergeCell ref="G10:I10"/>
    <mergeCell ref="D13:F13"/>
    <mergeCell ref="G13:I13"/>
    <mergeCell ref="O13:P13"/>
    <mergeCell ref="C14:I14"/>
    <mergeCell ref="N14:P14"/>
    <mergeCell ref="O10:P10"/>
    <mergeCell ref="D11:F11"/>
    <mergeCell ref="G11:I11"/>
    <mergeCell ref="O11:P11"/>
    <mergeCell ref="L6:M6"/>
    <mergeCell ref="N6:O6"/>
    <mergeCell ref="P6:Q6"/>
    <mergeCell ref="A8:B8"/>
    <mergeCell ref="D8:F8"/>
    <mergeCell ref="O8:P8"/>
    <mergeCell ref="A1:Q2"/>
    <mergeCell ref="A3:M4"/>
    <mergeCell ref="A5:A6"/>
    <mergeCell ref="B5:C5"/>
    <mergeCell ref="D5:E5"/>
    <mergeCell ref="F5:G5"/>
    <mergeCell ref="H5:I5"/>
    <mergeCell ref="J5:K5"/>
    <mergeCell ref="L5:M5"/>
    <mergeCell ref="N5:O5"/>
    <mergeCell ref="P5:Q5"/>
    <mergeCell ref="B6:C6"/>
    <mergeCell ref="D6:E6"/>
    <mergeCell ref="F6:G6"/>
    <mergeCell ref="H6:I6"/>
    <mergeCell ref="J6:K6"/>
  </mergeCells>
  <phoneticPr fontId="11" type="noConversion"/>
  <printOptions horizontalCentered="1" gridLines="1"/>
  <pageMargins left="0.39370078740157483" right="0.39370078740157483" top="0.39370078740157483" bottom="0.39370078740157483" header="0" footer="0"/>
  <pageSetup paperSize="9" scale="90" fitToWidth="0" fitToHeight="0" pageOrder="overThenDown" orientation="landscape" cellComments="atEnd"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outlinePr summaryBelow="0" summaryRight="0"/>
  </sheetPr>
  <dimension ref="A1:W39"/>
  <sheetViews>
    <sheetView view="pageBreakPreview" topLeftCell="A4" zoomScaleNormal="60" zoomScaleSheetLayoutView="100" workbookViewId="0">
      <selection activeCell="A8" sqref="A8:P38"/>
    </sheetView>
  </sheetViews>
  <sheetFormatPr defaultColWidth="12.54296875" defaultRowHeight="15.75" customHeight="1"/>
  <cols>
    <col min="1" max="1" width="5.453125" style="336" customWidth="1"/>
    <col min="2" max="2" width="11.453125" style="337" customWidth="1"/>
    <col min="3" max="3" width="4" style="338" customWidth="1"/>
    <col min="4" max="17" width="9.54296875" style="336" customWidth="1"/>
    <col min="18" max="16384" width="12.54296875" style="336"/>
  </cols>
  <sheetData>
    <row r="1" spans="1:23" s="183" customFormat="1" ht="15.75" customHeight="1">
      <c r="A1" s="708" t="s">
        <v>516</v>
      </c>
      <c r="B1" s="708"/>
      <c r="C1" s="708"/>
      <c r="D1" s="708"/>
      <c r="E1" s="708"/>
      <c r="F1" s="708"/>
      <c r="G1" s="708"/>
      <c r="H1" s="708"/>
      <c r="I1" s="708"/>
      <c r="J1" s="708"/>
      <c r="K1" s="708"/>
      <c r="L1" s="708"/>
      <c r="M1" s="708"/>
      <c r="N1" s="708"/>
      <c r="O1" s="708"/>
      <c r="P1" s="708"/>
      <c r="Q1" s="708"/>
    </row>
    <row r="2" spans="1:23" s="184" customFormat="1" ht="15.75" customHeight="1">
      <c r="A2" s="708"/>
      <c r="B2" s="708"/>
      <c r="C2" s="708"/>
      <c r="D2" s="708"/>
      <c r="E2" s="708"/>
      <c r="F2" s="708"/>
      <c r="G2" s="708"/>
      <c r="H2" s="708"/>
      <c r="I2" s="708"/>
      <c r="J2" s="708"/>
      <c r="K2" s="708"/>
      <c r="L2" s="708"/>
      <c r="M2" s="708"/>
      <c r="N2" s="708"/>
      <c r="O2" s="708"/>
      <c r="P2" s="708"/>
      <c r="Q2" s="708"/>
    </row>
    <row r="3" spans="1:23" s="183" customFormat="1" ht="15.75" customHeight="1">
      <c r="A3" s="709" t="s">
        <v>517</v>
      </c>
      <c r="B3" s="709"/>
      <c r="C3" s="709"/>
      <c r="D3" s="709"/>
      <c r="E3" s="709"/>
      <c r="F3" s="709"/>
      <c r="G3" s="709"/>
      <c r="H3" s="709"/>
      <c r="I3" s="709"/>
      <c r="J3" s="709"/>
      <c r="K3" s="709"/>
      <c r="L3" s="709"/>
      <c r="M3" s="709"/>
      <c r="N3" s="185"/>
    </row>
    <row r="4" spans="1:23" s="184" customFormat="1" ht="15.75" customHeight="1">
      <c r="A4" s="709"/>
      <c r="B4" s="709"/>
      <c r="C4" s="709"/>
      <c r="D4" s="709"/>
      <c r="E4" s="709"/>
      <c r="F4" s="709"/>
      <c r="G4" s="709"/>
      <c r="H4" s="709"/>
      <c r="I4" s="709"/>
      <c r="J4" s="709"/>
      <c r="K4" s="709"/>
      <c r="L4" s="709"/>
      <c r="M4" s="709"/>
      <c r="N4" s="186"/>
    </row>
    <row r="5" spans="1:23" s="183" customFormat="1" ht="15.75" customHeight="1">
      <c r="A5" s="711" t="s">
        <v>508</v>
      </c>
      <c r="B5" s="714">
        <v>1</v>
      </c>
      <c r="C5" s="714"/>
      <c r="D5" s="714">
        <v>2</v>
      </c>
      <c r="E5" s="714"/>
      <c r="F5" s="714">
        <v>3</v>
      </c>
      <c r="G5" s="714"/>
      <c r="H5" s="780">
        <v>4</v>
      </c>
      <c r="I5" s="780"/>
      <c r="J5" s="780">
        <v>5</v>
      </c>
      <c r="K5" s="780"/>
      <c r="L5" s="780">
        <v>6</v>
      </c>
      <c r="M5" s="780"/>
      <c r="N5" s="780">
        <v>7</v>
      </c>
      <c r="O5" s="780"/>
      <c r="P5" s="714">
        <v>8</v>
      </c>
      <c r="Q5" s="714"/>
    </row>
    <row r="6" spans="1:23" s="183" customFormat="1" ht="15.75" customHeight="1">
      <c r="A6" s="711"/>
      <c r="B6" s="711" t="s">
        <v>518</v>
      </c>
      <c r="C6" s="711"/>
      <c r="D6" s="711" t="s">
        <v>519</v>
      </c>
      <c r="E6" s="711"/>
      <c r="F6" s="711" t="s">
        <v>520</v>
      </c>
      <c r="G6" s="711"/>
      <c r="H6" s="783" t="s">
        <v>521</v>
      </c>
      <c r="I6" s="781"/>
      <c r="J6" s="781" t="s">
        <v>522</v>
      </c>
      <c r="K6" s="781"/>
      <c r="L6" s="781" t="s">
        <v>523</v>
      </c>
      <c r="M6" s="781"/>
      <c r="N6" s="781" t="s">
        <v>524</v>
      </c>
      <c r="O6" s="781"/>
      <c r="P6" s="782" t="s">
        <v>525</v>
      </c>
      <c r="Q6" s="711"/>
    </row>
    <row r="7" spans="1:23" s="183" customFormat="1" ht="15.75" customHeight="1">
      <c r="B7" s="333"/>
      <c r="C7" s="334"/>
    </row>
    <row r="8" spans="1:23" s="335" customFormat="1" ht="15.75" customHeight="1">
      <c r="A8" s="764" t="s">
        <v>810</v>
      </c>
      <c r="B8" s="765"/>
      <c r="C8" s="117" t="s">
        <v>811</v>
      </c>
      <c r="D8" s="766" t="s">
        <v>12</v>
      </c>
      <c r="E8" s="767"/>
      <c r="F8" s="768"/>
      <c r="G8" s="115" t="s">
        <v>812</v>
      </c>
      <c r="H8" s="116"/>
      <c r="I8" s="117"/>
      <c r="J8" s="114" t="s">
        <v>813</v>
      </c>
      <c r="K8" s="114" t="s">
        <v>839</v>
      </c>
      <c r="L8" s="114" t="s">
        <v>815</v>
      </c>
      <c r="M8" s="118" t="s">
        <v>11</v>
      </c>
      <c r="N8" s="330" t="s">
        <v>816</v>
      </c>
      <c r="O8" s="769" t="s">
        <v>817</v>
      </c>
      <c r="P8" s="770"/>
      <c r="R8" s="183"/>
      <c r="S8" s="183"/>
      <c r="T8" s="183"/>
      <c r="U8" s="183"/>
      <c r="V8" s="183"/>
      <c r="W8" s="183"/>
    </row>
    <row r="9" spans="1:23" ht="15.75" customHeight="1">
      <c r="A9" s="765">
        <v>4</v>
      </c>
      <c r="B9" s="771" t="s">
        <v>506</v>
      </c>
      <c r="C9" s="112">
        <v>1</v>
      </c>
      <c r="D9" s="482" t="s">
        <v>822</v>
      </c>
      <c r="E9" s="745"/>
      <c r="F9" s="746"/>
      <c r="G9" s="482" t="s">
        <v>843</v>
      </c>
      <c r="H9" s="745"/>
      <c r="I9" s="746"/>
      <c r="J9" s="331">
        <v>391.15</v>
      </c>
      <c r="K9" s="14">
        <v>2.6694268903900507E-3</v>
      </c>
      <c r="L9" s="331">
        <v>0.97999999999999543</v>
      </c>
      <c r="M9" s="300">
        <v>383.32699999999818</v>
      </c>
      <c r="N9" s="4"/>
      <c r="O9" s="731" t="s">
        <v>468</v>
      </c>
      <c r="P9" s="763"/>
      <c r="R9" s="183"/>
      <c r="S9" s="183"/>
      <c r="T9" s="183"/>
      <c r="U9" s="183"/>
      <c r="V9" s="183"/>
      <c r="W9" s="183"/>
    </row>
    <row r="10" spans="1:23" ht="15.75" customHeight="1">
      <c r="A10" s="765"/>
      <c r="B10" s="771"/>
      <c r="C10" s="112">
        <v>2</v>
      </c>
      <c r="D10" s="482" t="s">
        <v>717</v>
      </c>
      <c r="E10" s="745"/>
      <c r="F10" s="746"/>
      <c r="G10" s="482" t="s">
        <v>841</v>
      </c>
      <c r="H10" s="745"/>
      <c r="I10" s="746"/>
      <c r="J10" s="331">
        <v>730.4</v>
      </c>
      <c r="K10" s="14">
        <v>0.12620072871811855</v>
      </c>
      <c r="L10" s="331">
        <v>0.38099999999999995</v>
      </c>
      <c r="M10" s="300">
        <v>278.28239999999994</v>
      </c>
      <c r="N10" s="4"/>
      <c r="O10" s="731" t="s">
        <v>468</v>
      </c>
      <c r="P10" s="763"/>
      <c r="R10" s="183"/>
      <c r="S10" s="183"/>
      <c r="T10" s="183"/>
      <c r="U10" s="183"/>
      <c r="V10" s="183"/>
      <c r="W10" s="183"/>
    </row>
    <row r="11" spans="1:23" ht="15.75" customHeight="1">
      <c r="A11" s="765"/>
      <c r="B11" s="771"/>
      <c r="C11" s="112">
        <v>3</v>
      </c>
      <c r="D11" s="482" t="s">
        <v>607</v>
      </c>
      <c r="E11" s="745"/>
      <c r="F11" s="746"/>
      <c r="G11" s="482" t="s">
        <v>618</v>
      </c>
      <c r="H11" s="745"/>
      <c r="I11" s="746"/>
      <c r="J11" s="331">
        <v>72.13</v>
      </c>
      <c r="K11" s="14">
        <v>1.3698630136986356E-2</v>
      </c>
      <c r="L11" s="331">
        <v>2.9000000000000115</v>
      </c>
      <c r="M11" s="300">
        <v>209.17700000000079</v>
      </c>
      <c r="N11" s="4"/>
      <c r="O11" s="731" t="s">
        <v>468</v>
      </c>
      <c r="P11" s="763"/>
      <c r="R11" s="183"/>
      <c r="S11" s="183"/>
      <c r="T11" s="183"/>
      <c r="U11" s="183"/>
      <c r="V11" s="183"/>
      <c r="W11" s="183"/>
    </row>
    <row r="12" spans="1:23" ht="15.75" customHeight="1">
      <c r="A12" s="765"/>
      <c r="B12" s="771"/>
      <c r="C12" s="112">
        <v>4</v>
      </c>
      <c r="D12" s="482" t="s">
        <v>742</v>
      </c>
      <c r="E12" s="745"/>
      <c r="F12" s="746"/>
      <c r="G12" s="482" t="s">
        <v>844</v>
      </c>
      <c r="H12" s="745"/>
      <c r="I12" s="746"/>
      <c r="J12" s="331">
        <v>74.56</v>
      </c>
      <c r="K12" s="14">
        <v>2.1394064872325726E-2</v>
      </c>
      <c r="L12" s="331">
        <v>2.7899999999999978</v>
      </c>
      <c r="M12" s="300">
        <v>208.02239999999983</v>
      </c>
      <c r="N12" s="4"/>
      <c r="O12" s="731" t="s">
        <v>468</v>
      </c>
      <c r="P12" s="763"/>
      <c r="R12" s="183"/>
      <c r="S12" s="183"/>
      <c r="T12" s="183"/>
      <c r="U12" s="183"/>
      <c r="V12" s="183"/>
      <c r="W12" s="183"/>
    </row>
    <row r="13" spans="1:23" ht="15.75" customHeight="1" thickBot="1">
      <c r="A13" s="765"/>
      <c r="B13" s="771"/>
      <c r="C13" s="113">
        <v>5</v>
      </c>
      <c r="D13" s="482" t="s">
        <v>633</v>
      </c>
      <c r="E13" s="745"/>
      <c r="F13" s="746"/>
      <c r="G13" s="482" t="s">
        <v>639</v>
      </c>
      <c r="H13" s="745"/>
      <c r="I13" s="746"/>
      <c r="J13" s="331">
        <v>790</v>
      </c>
      <c r="K13" s="14">
        <v>2.8392577688352287E-2</v>
      </c>
      <c r="L13" s="331">
        <v>0.25399999999999956</v>
      </c>
      <c r="M13" s="300">
        <v>200.65999999999966</v>
      </c>
      <c r="N13" s="4"/>
      <c r="O13" s="731" t="s">
        <v>468</v>
      </c>
      <c r="P13" s="763"/>
      <c r="R13" s="183"/>
      <c r="S13" s="183"/>
      <c r="T13" s="183"/>
      <c r="U13" s="183"/>
      <c r="V13" s="183"/>
      <c r="W13" s="183"/>
    </row>
    <row r="14" spans="1:23" ht="15.75" customHeight="1" thickTop="1" thickBot="1">
      <c r="A14" s="765"/>
      <c r="B14" s="771"/>
      <c r="C14" s="773"/>
      <c r="D14" s="773"/>
      <c r="E14" s="773"/>
      <c r="F14" s="773"/>
      <c r="G14" s="773"/>
      <c r="H14" s="773"/>
      <c r="I14" s="773"/>
      <c r="J14" s="247" t="s">
        <v>819</v>
      </c>
      <c r="K14" s="246">
        <v>2.8906891629310763E-3</v>
      </c>
      <c r="L14" s="247" t="s">
        <v>820</v>
      </c>
      <c r="M14" s="248">
        <v>1279.4687999999985</v>
      </c>
      <c r="N14" s="772"/>
      <c r="O14" s="772"/>
      <c r="P14" s="772"/>
      <c r="R14" s="183"/>
      <c r="S14" s="183"/>
      <c r="T14" s="183"/>
      <c r="U14" s="183"/>
      <c r="V14" s="183"/>
      <c r="W14" s="183"/>
    </row>
    <row r="15" spans="1:23" ht="15.75" customHeight="1" thickTop="1">
      <c r="A15" s="421"/>
      <c r="B15" s="111"/>
      <c r="C15" s="109"/>
      <c r="D15" s="421"/>
      <c r="E15" s="421"/>
      <c r="F15" s="421"/>
      <c r="G15" s="421"/>
      <c r="H15" s="421"/>
      <c r="I15" s="421"/>
      <c r="J15" s="421"/>
      <c r="K15" s="421"/>
      <c r="L15" s="421"/>
      <c r="M15" s="421"/>
      <c r="N15" s="421"/>
      <c r="O15" s="421"/>
      <c r="P15" s="421"/>
      <c r="R15" s="183"/>
      <c r="S15" s="183"/>
      <c r="T15" s="183"/>
      <c r="U15" s="183"/>
      <c r="V15" s="183"/>
      <c r="W15" s="183"/>
    </row>
    <row r="16" spans="1:23" ht="15.75" customHeight="1">
      <c r="A16" s="764" t="s">
        <v>810</v>
      </c>
      <c r="B16" s="765"/>
      <c r="C16" s="117" t="s">
        <v>811</v>
      </c>
      <c r="D16" s="766" t="s">
        <v>12</v>
      </c>
      <c r="E16" s="767"/>
      <c r="F16" s="768"/>
      <c r="G16" s="115" t="s">
        <v>812</v>
      </c>
      <c r="H16" s="116"/>
      <c r="I16" s="117"/>
      <c r="J16" s="114" t="s">
        <v>813</v>
      </c>
      <c r="K16" s="114" t="s">
        <v>839</v>
      </c>
      <c r="L16" s="114" t="s">
        <v>815</v>
      </c>
      <c r="M16" s="118" t="s">
        <v>11</v>
      </c>
      <c r="N16" s="330" t="s">
        <v>816</v>
      </c>
      <c r="O16" s="769" t="s">
        <v>817</v>
      </c>
      <c r="P16" s="770"/>
      <c r="R16" s="183"/>
      <c r="S16" s="183"/>
      <c r="T16" s="183"/>
      <c r="U16" s="183"/>
      <c r="V16" s="183"/>
      <c r="W16" s="183"/>
    </row>
    <row r="17" spans="1:23" ht="15.75" customHeight="1">
      <c r="A17" s="765">
        <v>5</v>
      </c>
      <c r="B17" s="774" t="s">
        <v>212</v>
      </c>
      <c r="C17" s="112">
        <v>1</v>
      </c>
      <c r="D17" s="482" t="s">
        <v>822</v>
      </c>
      <c r="E17" s="745"/>
      <c r="F17" s="746"/>
      <c r="G17" s="482" t="s">
        <v>843</v>
      </c>
      <c r="H17" s="745"/>
      <c r="I17" s="746"/>
      <c r="J17" s="331">
        <v>391.15</v>
      </c>
      <c r="K17" s="14">
        <v>4.7812228339611873E-3</v>
      </c>
      <c r="L17" s="331">
        <v>0.66000000000000225</v>
      </c>
      <c r="M17" s="300">
        <v>258.1590000000009</v>
      </c>
      <c r="N17" s="4"/>
      <c r="O17" s="731" t="s">
        <v>845</v>
      </c>
      <c r="P17" s="763"/>
      <c r="R17" s="183"/>
      <c r="S17" s="183"/>
      <c r="T17" s="183"/>
      <c r="U17" s="183"/>
      <c r="V17" s="183"/>
      <c r="W17" s="183"/>
    </row>
    <row r="18" spans="1:23" ht="15.75" customHeight="1">
      <c r="A18" s="765"/>
      <c r="B18" s="771"/>
      <c r="C18" s="112">
        <v>2</v>
      </c>
      <c r="D18" s="482" t="s">
        <v>352</v>
      </c>
      <c r="E18" s="745"/>
      <c r="F18" s="746"/>
      <c r="G18" s="482" t="s">
        <v>638</v>
      </c>
      <c r="H18" s="745"/>
      <c r="I18" s="746"/>
      <c r="J18" s="331">
        <v>276.66000000000003</v>
      </c>
      <c r="K18" s="14">
        <v>7.4318744838976995E-3</v>
      </c>
      <c r="L18" s="331">
        <v>0.90000000000001135</v>
      </c>
      <c r="M18" s="300">
        <v>248.99400000000318</v>
      </c>
      <c r="N18" s="4"/>
      <c r="O18" s="731" t="s">
        <v>526</v>
      </c>
      <c r="P18" s="763"/>
      <c r="R18" s="183"/>
      <c r="S18" s="183"/>
      <c r="T18" s="183"/>
      <c r="U18" s="183"/>
      <c r="V18" s="183"/>
      <c r="W18" s="183"/>
    </row>
    <row r="19" spans="1:23" ht="15.75" customHeight="1">
      <c r="A19" s="765"/>
      <c r="B19" s="771"/>
      <c r="C19" s="112">
        <v>3</v>
      </c>
      <c r="D19" s="482" t="s">
        <v>355</v>
      </c>
      <c r="E19" s="745"/>
      <c r="F19" s="746"/>
      <c r="G19" s="482" t="s">
        <v>354</v>
      </c>
      <c r="H19" s="745"/>
      <c r="I19" s="746"/>
      <c r="J19" s="331">
        <v>510.06</v>
      </c>
      <c r="K19" s="14">
        <v>1.2562269872211432E-2</v>
      </c>
      <c r="L19" s="331">
        <v>0.46400000000000147</v>
      </c>
      <c r="M19" s="300">
        <v>236.66784000000075</v>
      </c>
      <c r="N19" s="4"/>
      <c r="O19" s="731" t="s">
        <v>845</v>
      </c>
      <c r="P19" s="763"/>
      <c r="R19" s="183"/>
      <c r="S19" s="183"/>
      <c r="T19" s="183"/>
      <c r="U19" s="183"/>
      <c r="V19" s="183"/>
      <c r="W19" s="183"/>
    </row>
    <row r="20" spans="1:23" ht="15.75" customHeight="1">
      <c r="A20" s="765"/>
      <c r="B20" s="771"/>
      <c r="C20" s="112">
        <v>4</v>
      </c>
      <c r="D20" s="482" t="s">
        <v>375</v>
      </c>
      <c r="E20" s="745"/>
      <c r="F20" s="746"/>
      <c r="G20" s="482" t="s">
        <v>568</v>
      </c>
      <c r="H20" s="745"/>
      <c r="I20" s="746"/>
      <c r="J20" s="331">
        <v>432.07</v>
      </c>
      <c r="K20" s="14">
        <v>1.1211729193617943E-2</v>
      </c>
      <c r="L20" s="331">
        <v>0.52000000000000024</v>
      </c>
      <c r="M20" s="300">
        <v>224.67640000000011</v>
      </c>
      <c r="N20" s="4"/>
      <c r="O20" s="731" t="s">
        <v>845</v>
      </c>
      <c r="P20" s="763"/>
      <c r="R20" s="183"/>
      <c r="S20" s="183"/>
      <c r="T20" s="183"/>
      <c r="U20" s="183"/>
      <c r="V20" s="183"/>
      <c r="W20" s="183"/>
    </row>
    <row r="21" spans="1:23" ht="15.75" customHeight="1" thickBot="1">
      <c r="A21" s="765"/>
      <c r="B21" s="771"/>
      <c r="C21" s="113">
        <v>5</v>
      </c>
      <c r="D21" s="482" t="s">
        <v>716</v>
      </c>
      <c r="E21" s="745"/>
      <c r="F21" s="746"/>
      <c r="G21" s="482" t="s">
        <v>846</v>
      </c>
      <c r="H21" s="745"/>
      <c r="I21" s="746"/>
      <c r="J21" s="331">
        <v>260.60000000000002</v>
      </c>
      <c r="K21" s="14">
        <v>6.1873895109015751E-3</v>
      </c>
      <c r="L21" s="331">
        <v>0.83999999999999775</v>
      </c>
      <c r="M21" s="300">
        <v>218.90399999999943</v>
      </c>
      <c r="N21" s="4"/>
      <c r="O21" s="731" t="s">
        <v>526</v>
      </c>
      <c r="P21" s="763"/>
      <c r="R21" s="183"/>
      <c r="S21" s="183"/>
      <c r="T21" s="183"/>
      <c r="U21" s="183"/>
      <c r="V21" s="183"/>
      <c r="W21" s="183"/>
    </row>
    <row r="22" spans="1:23" ht="15.75" customHeight="1" thickTop="1" thickBot="1">
      <c r="A22" s="765"/>
      <c r="B22" s="771"/>
      <c r="C22" s="778"/>
      <c r="D22" s="778"/>
      <c r="E22" s="778"/>
      <c r="F22" s="778"/>
      <c r="G22" s="778"/>
      <c r="H22" s="778"/>
      <c r="I22" s="779"/>
      <c r="J22" s="119" t="s">
        <v>819</v>
      </c>
      <c r="K22" s="246">
        <v>2.6826819821780244E-3</v>
      </c>
      <c r="L22" s="119" t="s">
        <v>820</v>
      </c>
      <c r="M22" s="248">
        <v>1187.4012400000042</v>
      </c>
      <c r="N22" s="775"/>
      <c r="O22" s="776"/>
      <c r="P22" s="777"/>
      <c r="R22" s="183"/>
      <c r="S22" s="183"/>
      <c r="T22" s="183"/>
      <c r="U22" s="183"/>
      <c r="V22" s="183"/>
      <c r="W22" s="183"/>
    </row>
    <row r="23" spans="1:23" ht="15.75" customHeight="1" thickTop="1">
      <c r="A23" s="421"/>
      <c r="B23" s="111"/>
      <c r="C23" s="109"/>
      <c r="D23" s="421"/>
      <c r="E23" s="421"/>
      <c r="F23" s="421"/>
      <c r="G23" s="421"/>
      <c r="H23" s="421"/>
      <c r="I23" s="421"/>
      <c r="J23" s="421"/>
      <c r="K23" s="421"/>
      <c r="L23" s="421"/>
      <c r="M23" s="421"/>
      <c r="N23" s="421"/>
      <c r="O23" s="421"/>
      <c r="P23" s="421"/>
      <c r="R23" s="183"/>
      <c r="S23" s="183"/>
      <c r="T23" s="183"/>
      <c r="U23" s="183"/>
      <c r="V23" s="183"/>
      <c r="W23" s="183"/>
    </row>
    <row r="24" spans="1:23" ht="15.75" customHeight="1">
      <c r="A24" s="764" t="s">
        <v>810</v>
      </c>
      <c r="B24" s="765"/>
      <c r="C24" s="117" t="s">
        <v>811</v>
      </c>
      <c r="D24" s="766" t="s">
        <v>12</v>
      </c>
      <c r="E24" s="767"/>
      <c r="F24" s="768"/>
      <c r="G24" s="115" t="s">
        <v>812</v>
      </c>
      <c r="H24" s="116"/>
      <c r="I24" s="117"/>
      <c r="J24" s="114" t="s">
        <v>813</v>
      </c>
      <c r="K24" s="114" t="s">
        <v>839</v>
      </c>
      <c r="L24" s="114" t="s">
        <v>815</v>
      </c>
      <c r="M24" s="118" t="s">
        <v>11</v>
      </c>
      <c r="N24" s="330" t="s">
        <v>816</v>
      </c>
      <c r="O24" s="769" t="s">
        <v>817</v>
      </c>
      <c r="P24" s="770"/>
      <c r="R24" s="183"/>
      <c r="S24" s="183"/>
      <c r="T24" s="183"/>
      <c r="U24" s="183"/>
      <c r="V24" s="183"/>
      <c r="W24" s="183"/>
    </row>
    <row r="25" spans="1:23" ht="15.75" customHeight="1">
      <c r="A25" s="765">
        <v>6</v>
      </c>
      <c r="B25" s="774" t="s">
        <v>213</v>
      </c>
      <c r="C25" s="112">
        <v>1</v>
      </c>
      <c r="D25" s="482" t="s">
        <v>381</v>
      </c>
      <c r="E25" s="745"/>
      <c r="F25" s="746"/>
      <c r="G25" s="482" t="s">
        <v>415</v>
      </c>
      <c r="H25" s="745"/>
      <c r="I25" s="746"/>
      <c r="J25" s="331">
        <v>930.36</v>
      </c>
      <c r="K25" s="14">
        <v>3.5547147266753037E-2</v>
      </c>
      <c r="L25" s="331">
        <v>0.35700000000000076</v>
      </c>
      <c r="M25" s="300">
        <v>332.13852000000071</v>
      </c>
      <c r="N25" s="4"/>
      <c r="O25" s="731" t="s">
        <v>847</v>
      </c>
      <c r="P25" s="732"/>
      <c r="R25" s="183"/>
      <c r="S25" s="183"/>
      <c r="T25" s="183"/>
      <c r="U25" s="183"/>
      <c r="V25" s="183"/>
      <c r="W25" s="183"/>
    </row>
    <row r="26" spans="1:23" ht="15.75" customHeight="1">
      <c r="A26" s="765"/>
      <c r="B26" s="771"/>
      <c r="C26" s="112">
        <v>2</v>
      </c>
      <c r="D26" s="482" t="s">
        <v>349</v>
      </c>
      <c r="E26" s="745"/>
      <c r="F26" s="746"/>
      <c r="G26" s="482" t="s">
        <v>348</v>
      </c>
      <c r="H26" s="745"/>
      <c r="I26" s="746"/>
      <c r="J26" s="331">
        <v>758.19</v>
      </c>
      <c r="K26" s="14">
        <v>1.8697614442295306E-2</v>
      </c>
      <c r="L26" s="331">
        <v>0.2900000000000002</v>
      </c>
      <c r="M26" s="300">
        <v>219.87510000000017</v>
      </c>
      <c r="N26" s="4"/>
      <c r="O26" s="731" t="s">
        <v>835</v>
      </c>
      <c r="P26" s="763"/>
      <c r="R26" s="183"/>
      <c r="S26" s="183"/>
      <c r="T26" s="183"/>
      <c r="U26" s="183"/>
      <c r="V26" s="183"/>
      <c r="W26" s="183"/>
    </row>
    <row r="27" spans="1:23" ht="15.75" customHeight="1">
      <c r="A27" s="765"/>
      <c r="B27" s="771"/>
      <c r="C27" s="112">
        <v>3</v>
      </c>
      <c r="D27" s="482" t="s">
        <v>355</v>
      </c>
      <c r="E27" s="745"/>
      <c r="F27" s="746"/>
      <c r="G27" s="482" t="s">
        <v>354</v>
      </c>
      <c r="H27" s="745"/>
      <c r="I27" s="746"/>
      <c r="J27" s="331">
        <v>510.06</v>
      </c>
      <c r="K27" s="14">
        <v>1.1726206708480923E-2</v>
      </c>
      <c r="L27" s="331">
        <v>0.42999999999999544</v>
      </c>
      <c r="M27" s="300">
        <v>219.32579999999768</v>
      </c>
      <c r="N27" s="4"/>
      <c r="O27" s="731" t="s">
        <v>848</v>
      </c>
      <c r="P27" s="763"/>
      <c r="R27" s="183"/>
      <c r="S27" s="183"/>
      <c r="T27" s="183"/>
      <c r="U27" s="183"/>
      <c r="V27" s="183"/>
      <c r="W27" s="183"/>
    </row>
    <row r="28" spans="1:23" ht="15.75" customHeight="1">
      <c r="A28" s="765"/>
      <c r="B28" s="771"/>
      <c r="C28" s="112">
        <v>4</v>
      </c>
      <c r="D28" s="482" t="s">
        <v>419</v>
      </c>
      <c r="E28" s="745"/>
      <c r="F28" s="746"/>
      <c r="G28" s="482" t="s">
        <v>420</v>
      </c>
      <c r="H28" s="745"/>
      <c r="I28" s="746"/>
      <c r="J28" s="331">
        <v>444.88</v>
      </c>
      <c r="K28" s="14">
        <v>1.768435101768439E-2</v>
      </c>
      <c r="L28" s="331">
        <v>0.31800000000000067</v>
      </c>
      <c r="M28" s="300">
        <v>141.4718400000003</v>
      </c>
      <c r="N28" s="4"/>
      <c r="O28" s="731" t="s">
        <v>848</v>
      </c>
      <c r="P28" s="763"/>
      <c r="R28" s="183"/>
      <c r="S28" s="183"/>
      <c r="T28" s="183"/>
      <c r="U28" s="183"/>
      <c r="V28" s="183"/>
      <c r="W28" s="183"/>
    </row>
    <row r="29" spans="1:23" ht="15.75" customHeight="1" thickBot="1">
      <c r="A29" s="765"/>
      <c r="B29" s="771"/>
      <c r="C29" s="113">
        <v>5</v>
      </c>
      <c r="D29" s="482">
        <v>0</v>
      </c>
      <c r="E29" s="745"/>
      <c r="F29" s="746"/>
      <c r="G29" s="482">
        <v>0</v>
      </c>
      <c r="H29" s="745"/>
      <c r="I29" s="746"/>
      <c r="J29" s="331">
        <v>0</v>
      </c>
      <c r="K29" s="14">
        <v>0</v>
      </c>
      <c r="L29" s="331">
        <v>0</v>
      </c>
      <c r="M29" s="300">
        <v>0</v>
      </c>
      <c r="N29" s="4"/>
      <c r="O29" s="731"/>
      <c r="P29" s="763"/>
      <c r="R29" s="183"/>
      <c r="S29" s="183"/>
      <c r="T29" s="183"/>
      <c r="U29" s="183"/>
      <c r="V29" s="183"/>
      <c r="W29" s="183"/>
    </row>
    <row r="30" spans="1:23" ht="15.75" customHeight="1" thickTop="1" thickBot="1">
      <c r="A30" s="765"/>
      <c r="B30" s="771"/>
      <c r="C30" s="778"/>
      <c r="D30" s="778"/>
      <c r="E30" s="778"/>
      <c r="F30" s="778"/>
      <c r="G30" s="778"/>
      <c r="H30" s="778"/>
      <c r="I30" s="779"/>
      <c r="J30" s="119" t="s">
        <v>819</v>
      </c>
      <c r="K30" s="246">
        <v>2.0623039945041732E-3</v>
      </c>
      <c r="L30" s="119" t="s">
        <v>820</v>
      </c>
      <c r="M30" s="248">
        <v>912.81125999999881</v>
      </c>
      <c r="N30" s="775"/>
      <c r="O30" s="776"/>
      <c r="P30" s="777"/>
      <c r="R30" s="183"/>
      <c r="S30" s="183"/>
      <c r="T30" s="183"/>
      <c r="U30" s="183"/>
      <c r="V30" s="183"/>
      <c r="W30" s="183"/>
    </row>
    <row r="31" spans="1:23" ht="15.75" customHeight="1" thickTop="1">
      <c r="A31" s="421"/>
      <c r="B31" s="111"/>
      <c r="C31" s="109"/>
      <c r="D31" s="421"/>
      <c r="E31" s="421"/>
      <c r="F31" s="421"/>
      <c r="G31" s="421"/>
      <c r="H31" s="421"/>
      <c r="I31" s="421"/>
      <c r="J31" s="421"/>
      <c r="K31" s="421"/>
      <c r="L31" s="421"/>
      <c r="M31" s="421"/>
      <c r="N31" s="421"/>
      <c r="O31" s="421"/>
      <c r="P31" s="421"/>
      <c r="R31" s="183"/>
      <c r="S31" s="183"/>
      <c r="T31" s="183"/>
      <c r="U31" s="183"/>
      <c r="V31" s="183"/>
      <c r="W31" s="183"/>
    </row>
    <row r="32" spans="1:23" ht="15.75" customHeight="1">
      <c r="A32" s="764" t="s">
        <v>810</v>
      </c>
      <c r="B32" s="765"/>
      <c r="C32" s="117" t="s">
        <v>811</v>
      </c>
      <c r="D32" s="766" t="s">
        <v>12</v>
      </c>
      <c r="E32" s="767"/>
      <c r="F32" s="768"/>
      <c r="G32" s="115" t="s">
        <v>812</v>
      </c>
      <c r="H32" s="116"/>
      <c r="I32" s="117"/>
      <c r="J32" s="114" t="s">
        <v>813</v>
      </c>
      <c r="K32" s="114" t="s">
        <v>839</v>
      </c>
      <c r="L32" s="114" t="s">
        <v>815</v>
      </c>
      <c r="M32" s="118" t="s">
        <v>11</v>
      </c>
      <c r="N32" s="118" t="s">
        <v>13</v>
      </c>
      <c r="O32" s="769" t="s">
        <v>817</v>
      </c>
      <c r="P32" s="770"/>
      <c r="R32" s="183"/>
      <c r="S32" s="183"/>
      <c r="T32" s="183"/>
      <c r="U32" s="183"/>
      <c r="V32" s="183"/>
      <c r="W32" s="183"/>
    </row>
    <row r="33" spans="1:23" ht="15.75" customHeight="1">
      <c r="A33" s="765">
        <v>7</v>
      </c>
      <c r="B33" s="774" t="s">
        <v>837</v>
      </c>
      <c r="C33" s="112">
        <v>1</v>
      </c>
      <c r="D33" s="482" t="s">
        <v>346</v>
      </c>
      <c r="E33" s="745"/>
      <c r="F33" s="746"/>
      <c r="G33" s="482" t="s">
        <v>584</v>
      </c>
      <c r="H33" s="745"/>
      <c r="I33" s="746"/>
      <c r="J33" s="331">
        <v>1760</v>
      </c>
      <c r="K33" s="14">
        <v>4.8951048951049111E-2</v>
      </c>
      <c r="L33" s="331">
        <v>9.8000000000000309E-2</v>
      </c>
      <c r="M33" s="300">
        <v>172.48000000000053</v>
      </c>
      <c r="N33" s="4"/>
      <c r="O33" s="731" t="s">
        <v>838</v>
      </c>
      <c r="P33" s="763"/>
      <c r="R33" s="183"/>
      <c r="S33" s="183"/>
      <c r="T33" s="183"/>
      <c r="U33" s="183"/>
      <c r="V33" s="183"/>
      <c r="W33" s="183"/>
    </row>
    <row r="34" spans="1:23" ht="15.75" customHeight="1">
      <c r="A34" s="765"/>
      <c r="B34" s="771"/>
      <c r="C34" s="112">
        <v>2</v>
      </c>
      <c r="D34" s="482" t="s">
        <v>385</v>
      </c>
      <c r="E34" s="745"/>
      <c r="F34" s="746"/>
      <c r="G34" s="482" t="s">
        <v>623</v>
      </c>
      <c r="H34" s="745"/>
      <c r="I34" s="746"/>
      <c r="J34" s="331">
        <v>631.87</v>
      </c>
      <c r="K34" s="14">
        <v>7.3397156948070849E-2</v>
      </c>
      <c r="L34" s="331">
        <v>0.25300000000000022</v>
      </c>
      <c r="M34" s="300">
        <v>159.86311000000012</v>
      </c>
      <c r="N34" s="4"/>
      <c r="O34" s="731" t="s">
        <v>838</v>
      </c>
      <c r="P34" s="763"/>
      <c r="R34" s="183"/>
      <c r="S34" s="183"/>
      <c r="T34" s="183"/>
      <c r="U34" s="183"/>
      <c r="V34" s="183"/>
      <c r="W34" s="183"/>
    </row>
    <row r="35" spans="1:23" ht="15.75" customHeight="1">
      <c r="A35" s="765"/>
      <c r="B35" s="771"/>
      <c r="C35" s="112">
        <v>3</v>
      </c>
      <c r="D35" s="482" t="s">
        <v>613</v>
      </c>
      <c r="E35" s="745"/>
      <c r="F35" s="746"/>
      <c r="G35" s="482" t="s">
        <v>614</v>
      </c>
      <c r="H35" s="745"/>
      <c r="I35" s="746"/>
      <c r="J35" s="331">
        <v>1760</v>
      </c>
      <c r="K35" s="14">
        <v>2.5056947608200479E-2</v>
      </c>
      <c r="L35" s="331">
        <v>8.8000000000000078E-2</v>
      </c>
      <c r="M35" s="300">
        <v>154.88000000000014</v>
      </c>
      <c r="N35" s="4"/>
      <c r="O35" s="731" t="s">
        <v>838</v>
      </c>
      <c r="P35" s="763"/>
      <c r="R35" s="183"/>
      <c r="S35" s="183"/>
      <c r="T35" s="183"/>
      <c r="U35" s="183"/>
      <c r="V35" s="183"/>
      <c r="W35" s="183"/>
    </row>
    <row r="36" spans="1:23" ht="15.75" customHeight="1">
      <c r="A36" s="765"/>
      <c r="B36" s="771"/>
      <c r="C36" s="112">
        <v>4</v>
      </c>
      <c r="D36" s="482" t="s">
        <v>469</v>
      </c>
      <c r="E36" s="745"/>
      <c r="F36" s="746"/>
      <c r="G36" s="482" t="s">
        <v>569</v>
      </c>
      <c r="H36" s="745"/>
      <c r="I36" s="746"/>
      <c r="J36" s="331">
        <v>919.94</v>
      </c>
      <c r="K36" s="14">
        <v>4.6676096181046685E-2</v>
      </c>
      <c r="L36" s="331">
        <v>0.16500000000000004</v>
      </c>
      <c r="M36" s="300">
        <v>151.79010000000005</v>
      </c>
      <c r="N36" s="4"/>
      <c r="O36" s="731" t="s">
        <v>838</v>
      </c>
      <c r="P36" s="763"/>
      <c r="R36" s="183"/>
      <c r="S36" s="183"/>
      <c r="T36" s="183"/>
      <c r="U36" s="183"/>
      <c r="V36" s="183"/>
      <c r="W36" s="183"/>
    </row>
    <row r="37" spans="1:23" ht="15.75" customHeight="1" thickBot="1">
      <c r="A37" s="765"/>
      <c r="B37" s="771"/>
      <c r="C37" s="113">
        <v>5</v>
      </c>
      <c r="D37" s="482" t="s">
        <v>343</v>
      </c>
      <c r="E37" s="745"/>
      <c r="F37" s="746"/>
      <c r="G37" s="482" t="s">
        <v>628</v>
      </c>
      <c r="H37" s="745"/>
      <c r="I37" s="746"/>
      <c r="J37" s="331">
        <v>846.44</v>
      </c>
      <c r="K37" s="14">
        <v>2.4890190336749565E-2</v>
      </c>
      <c r="L37" s="331">
        <v>0.15299999999999958</v>
      </c>
      <c r="M37" s="300">
        <v>129.50531999999964</v>
      </c>
      <c r="N37" s="4"/>
      <c r="O37" s="731" t="s">
        <v>838</v>
      </c>
      <c r="P37" s="763"/>
      <c r="R37" s="183"/>
      <c r="S37" s="183"/>
      <c r="T37" s="183"/>
      <c r="U37" s="183"/>
      <c r="V37" s="183"/>
      <c r="W37" s="183"/>
    </row>
    <row r="38" spans="1:23" ht="15.75" customHeight="1" thickTop="1" thickBot="1">
      <c r="A38" s="765"/>
      <c r="B38" s="771"/>
      <c r="C38" s="778"/>
      <c r="D38" s="778"/>
      <c r="E38" s="778"/>
      <c r="F38" s="778"/>
      <c r="G38" s="778"/>
      <c r="H38" s="778"/>
      <c r="I38" s="779"/>
      <c r="J38" s="119" t="s">
        <v>819</v>
      </c>
      <c r="K38" s="246">
        <v>1.7363050870663867E-3</v>
      </c>
      <c r="L38" s="119" t="s">
        <v>820</v>
      </c>
      <c r="M38" s="248">
        <v>768.51853000000051</v>
      </c>
      <c r="N38" s="775"/>
      <c r="O38" s="776"/>
      <c r="P38" s="777"/>
      <c r="R38" s="183"/>
      <c r="S38" s="183"/>
      <c r="T38" s="183"/>
      <c r="U38" s="183"/>
      <c r="V38" s="183"/>
      <c r="W38" s="183"/>
    </row>
    <row r="39" spans="1:23" ht="15.75" customHeight="1" thickTop="1"/>
  </sheetData>
  <mergeCells count="107">
    <mergeCell ref="A32:B32"/>
    <mergeCell ref="D32:F32"/>
    <mergeCell ref="O32:P32"/>
    <mergeCell ref="A33:A38"/>
    <mergeCell ref="B33:B38"/>
    <mergeCell ref="D33:F33"/>
    <mergeCell ref="G33:I33"/>
    <mergeCell ref="O33:P33"/>
    <mergeCell ref="C38:I38"/>
    <mergeCell ref="N38:P38"/>
    <mergeCell ref="D36:F36"/>
    <mergeCell ref="G36:I36"/>
    <mergeCell ref="O36:P36"/>
    <mergeCell ref="D37:F37"/>
    <mergeCell ref="G37:I37"/>
    <mergeCell ref="O37:P37"/>
    <mergeCell ref="D34:F34"/>
    <mergeCell ref="G34:I34"/>
    <mergeCell ref="O34:P34"/>
    <mergeCell ref="D35:F35"/>
    <mergeCell ref="G35:I35"/>
    <mergeCell ref="O35:P35"/>
    <mergeCell ref="A24:B24"/>
    <mergeCell ref="D24:F24"/>
    <mergeCell ref="O24:P24"/>
    <mergeCell ref="A25:A30"/>
    <mergeCell ref="B25:B30"/>
    <mergeCell ref="D25:F25"/>
    <mergeCell ref="G25:I25"/>
    <mergeCell ref="O25:P25"/>
    <mergeCell ref="D28:F28"/>
    <mergeCell ref="G28:I28"/>
    <mergeCell ref="O28:P28"/>
    <mergeCell ref="D29:F29"/>
    <mergeCell ref="G29:I29"/>
    <mergeCell ref="O29:P29"/>
    <mergeCell ref="D26:F26"/>
    <mergeCell ref="G26:I26"/>
    <mergeCell ref="O26:P26"/>
    <mergeCell ref="D27:F27"/>
    <mergeCell ref="G27:I27"/>
    <mergeCell ref="O27:P27"/>
    <mergeCell ref="C30:I30"/>
    <mergeCell ref="N30:P30"/>
    <mergeCell ref="O19:P19"/>
    <mergeCell ref="D20:F20"/>
    <mergeCell ref="G20:I20"/>
    <mergeCell ref="O20:P20"/>
    <mergeCell ref="D21:F21"/>
    <mergeCell ref="G21:I21"/>
    <mergeCell ref="O21:P21"/>
    <mergeCell ref="A17:A22"/>
    <mergeCell ref="B17:B22"/>
    <mergeCell ref="D17:F17"/>
    <mergeCell ref="G17:I17"/>
    <mergeCell ref="O17:P17"/>
    <mergeCell ref="D18:F18"/>
    <mergeCell ref="G18:I18"/>
    <mergeCell ref="O18:P18"/>
    <mergeCell ref="D19:F19"/>
    <mergeCell ref="G19:I19"/>
    <mergeCell ref="C22:I22"/>
    <mergeCell ref="N22:P22"/>
    <mergeCell ref="A16:B16"/>
    <mergeCell ref="D16:F16"/>
    <mergeCell ref="O16:P16"/>
    <mergeCell ref="O10:P10"/>
    <mergeCell ref="D11:F11"/>
    <mergeCell ref="G11:I11"/>
    <mergeCell ref="O11:P11"/>
    <mergeCell ref="D12:F12"/>
    <mergeCell ref="G12:I12"/>
    <mergeCell ref="O12:P12"/>
    <mergeCell ref="A8:B8"/>
    <mergeCell ref="D8:F8"/>
    <mergeCell ref="O8:P8"/>
    <mergeCell ref="A9:A14"/>
    <mergeCell ref="B9:B14"/>
    <mergeCell ref="D9:F9"/>
    <mergeCell ref="G9:I9"/>
    <mergeCell ref="O9:P9"/>
    <mergeCell ref="D10:F10"/>
    <mergeCell ref="G10:I10"/>
    <mergeCell ref="D13:F13"/>
    <mergeCell ref="G13:I13"/>
    <mergeCell ref="O13:P13"/>
    <mergeCell ref="C14:I14"/>
    <mergeCell ref="N14:P14"/>
    <mergeCell ref="A1:Q2"/>
    <mergeCell ref="A3:M4"/>
    <mergeCell ref="A5:A6"/>
    <mergeCell ref="B5:C5"/>
    <mergeCell ref="D5:E5"/>
    <mergeCell ref="F5:G5"/>
    <mergeCell ref="H5:I5"/>
    <mergeCell ref="J5:K5"/>
    <mergeCell ref="L5:M5"/>
    <mergeCell ref="N5:O5"/>
    <mergeCell ref="P5:Q5"/>
    <mergeCell ref="B6:C6"/>
    <mergeCell ref="D6:E6"/>
    <mergeCell ref="F6:G6"/>
    <mergeCell ref="H6:I6"/>
    <mergeCell ref="J6:K6"/>
    <mergeCell ref="L6:M6"/>
    <mergeCell ref="N6:O6"/>
    <mergeCell ref="P6:Q6"/>
  </mergeCells>
  <phoneticPr fontId="11" type="noConversion"/>
  <printOptions horizontalCentered="1" gridLines="1"/>
  <pageMargins left="0.39370078740157483" right="0.39370078740157483" top="0.39370078740157483" bottom="0.39370078740157483" header="0" footer="0"/>
  <pageSetup paperSize="9" scale="90" fitToWidth="0" fitToHeight="0" pageOrder="overThenDown" orientation="landscape" cellComments="atEnd"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Q20"/>
  <sheetViews>
    <sheetView view="pageBreakPreview" zoomScale="115" zoomScaleNormal="60" zoomScaleSheetLayoutView="115" workbookViewId="0">
      <selection activeCell="L30" sqref="L30"/>
    </sheetView>
  </sheetViews>
  <sheetFormatPr defaultColWidth="12.54296875" defaultRowHeight="15.75" customHeight="1"/>
  <cols>
    <col min="1" max="1" width="5.453125" style="120" customWidth="1"/>
    <col min="2" max="2" width="7.81640625" style="176" customWidth="1"/>
    <col min="3" max="3" width="4" style="161" customWidth="1"/>
    <col min="4" max="17" width="8.54296875" style="120" customWidth="1"/>
    <col min="18" max="16384" width="12.54296875" style="120"/>
  </cols>
  <sheetData>
    <row r="1" spans="1:17" ht="15.75" customHeight="1">
      <c r="A1" s="504" t="s">
        <v>204</v>
      </c>
      <c r="B1" s="504"/>
      <c r="C1" s="504"/>
      <c r="D1" s="504"/>
      <c r="E1" s="504"/>
      <c r="F1" s="504"/>
      <c r="G1" s="504"/>
      <c r="H1" s="504"/>
      <c r="I1" s="504"/>
      <c r="J1" s="504"/>
      <c r="K1" s="504"/>
      <c r="L1" s="504"/>
      <c r="M1" s="504"/>
      <c r="N1" s="504"/>
      <c r="O1" s="504"/>
      <c r="P1" s="504"/>
      <c r="Q1" s="504"/>
    </row>
    <row r="2" spans="1:17" s="121" customFormat="1" ht="15.75" customHeight="1">
      <c r="A2" s="504"/>
      <c r="B2" s="504"/>
      <c r="C2" s="504"/>
      <c r="D2" s="504"/>
      <c r="E2" s="504"/>
      <c r="F2" s="504"/>
      <c r="G2" s="504"/>
      <c r="H2" s="504"/>
      <c r="I2" s="504"/>
      <c r="J2" s="504"/>
      <c r="K2" s="504"/>
      <c r="L2" s="504"/>
      <c r="M2" s="504"/>
      <c r="N2" s="504"/>
      <c r="O2" s="504"/>
      <c r="P2" s="504"/>
      <c r="Q2" s="504"/>
    </row>
    <row r="3" spans="1:17" ht="15.75" customHeight="1">
      <c r="A3" s="635" t="s">
        <v>215</v>
      </c>
      <c r="B3" s="635"/>
      <c r="C3" s="635"/>
      <c r="D3" s="635"/>
      <c r="E3" s="635"/>
      <c r="F3" s="635"/>
      <c r="G3" s="635"/>
      <c r="H3" s="635"/>
      <c r="I3" s="635"/>
      <c r="J3" s="635"/>
      <c r="K3" s="635"/>
      <c r="L3" s="635"/>
      <c r="M3" s="635"/>
      <c r="N3" s="635"/>
      <c r="O3" s="635"/>
      <c r="P3" s="635"/>
      <c r="Q3" s="635"/>
    </row>
    <row r="4" spans="1:17" s="121" customFormat="1" ht="15.75" customHeight="1">
      <c r="A4" s="785"/>
      <c r="B4" s="785"/>
      <c r="C4" s="785"/>
      <c r="D4" s="785"/>
      <c r="E4" s="785"/>
      <c r="F4" s="785"/>
      <c r="G4" s="785"/>
      <c r="H4" s="785"/>
      <c r="I4" s="785"/>
      <c r="J4" s="785"/>
      <c r="K4" s="785"/>
      <c r="L4" s="785"/>
      <c r="M4" s="785"/>
      <c r="N4" s="785"/>
      <c r="O4" s="785"/>
      <c r="P4" s="785"/>
      <c r="Q4" s="785"/>
    </row>
    <row r="5" spans="1:17" ht="15.75" customHeight="1">
      <c r="A5" s="521" t="s">
        <v>190</v>
      </c>
      <c r="B5" s="735">
        <v>1</v>
      </c>
      <c r="C5" s="735"/>
      <c r="D5" s="735">
        <v>2</v>
      </c>
      <c r="E5" s="735"/>
      <c r="F5" s="735">
        <v>3</v>
      </c>
      <c r="G5" s="735"/>
      <c r="H5" s="735">
        <v>4</v>
      </c>
      <c r="I5" s="735"/>
      <c r="J5" s="735">
        <v>5</v>
      </c>
      <c r="K5" s="735"/>
      <c r="L5" s="735">
        <v>6</v>
      </c>
      <c r="M5" s="735"/>
      <c r="N5" s="735">
        <v>7</v>
      </c>
      <c r="O5" s="735"/>
      <c r="P5" s="737">
        <v>8</v>
      </c>
      <c r="Q5" s="737"/>
    </row>
    <row r="6" spans="1:17" ht="15.75" customHeight="1">
      <c r="A6" s="521"/>
      <c r="B6" s="521" t="s">
        <v>321</v>
      </c>
      <c r="C6" s="521"/>
      <c r="D6" s="521" t="s">
        <v>216</v>
      </c>
      <c r="E6" s="521"/>
      <c r="F6" s="521" t="s">
        <v>164</v>
      </c>
      <c r="G6" s="521"/>
      <c r="H6" s="521" t="s">
        <v>506</v>
      </c>
      <c r="I6" s="521"/>
      <c r="J6" s="521" t="s">
        <v>188</v>
      </c>
      <c r="K6" s="521"/>
      <c r="L6" s="521" t="s">
        <v>165</v>
      </c>
      <c r="M6" s="521"/>
      <c r="N6" s="521" t="s">
        <v>189</v>
      </c>
      <c r="O6" s="521"/>
      <c r="P6" s="738" t="s">
        <v>217</v>
      </c>
      <c r="Q6" s="738"/>
    </row>
    <row r="8" spans="1:17" s="154" customFormat="1" ht="15.75" customHeight="1">
      <c r="A8" s="163" t="s">
        <v>192</v>
      </c>
      <c r="B8" s="180" t="s">
        <v>18</v>
      </c>
      <c r="C8" s="786" t="s">
        <v>12</v>
      </c>
      <c r="D8" s="786"/>
      <c r="E8" s="786"/>
      <c r="F8" s="786" t="s">
        <v>53</v>
      </c>
      <c r="G8" s="786"/>
      <c r="H8" s="786"/>
      <c r="I8" s="180" t="s">
        <v>54</v>
      </c>
      <c r="J8" s="181" t="s">
        <v>19</v>
      </c>
      <c r="K8" s="180" t="s">
        <v>57</v>
      </c>
      <c r="L8" s="180" t="s">
        <v>2</v>
      </c>
      <c r="M8" s="788" t="s">
        <v>50</v>
      </c>
      <c r="N8" s="789"/>
      <c r="O8" s="789"/>
      <c r="P8" s="789"/>
      <c r="Q8" s="789"/>
    </row>
    <row r="9" spans="1:17" ht="15.75" customHeight="1">
      <c r="A9" s="786" t="s">
        <v>191</v>
      </c>
      <c r="B9" s="156">
        <v>1</v>
      </c>
      <c r="C9" s="787"/>
      <c r="D9" s="653"/>
      <c r="E9" s="653"/>
      <c r="F9" s="787"/>
      <c r="G9" s="653"/>
      <c r="H9" s="653"/>
      <c r="I9" s="164"/>
      <c r="J9" s="178"/>
      <c r="K9" s="178"/>
      <c r="L9" s="179">
        <f>K9-J9</f>
        <v>0</v>
      </c>
      <c r="M9" s="787"/>
      <c r="N9" s="787"/>
      <c r="O9" s="787"/>
      <c r="P9" s="787"/>
      <c r="Q9" s="787"/>
    </row>
    <row r="10" spans="1:17" ht="15.75" customHeight="1">
      <c r="A10" s="792"/>
      <c r="B10" s="156">
        <v>2</v>
      </c>
      <c r="C10" s="787"/>
      <c r="D10" s="653"/>
      <c r="E10" s="653"/>
      <c r="F10" s="787"/>
      <c r="G10" s="653"/>
      <c r="H10" s="653"/>
      <c r="I10" s="164"/>
      <c r="J10" s="178"/>
      <c r="K10" s="178"/>
      <c r="L10" s="179">
        <f>K10-J10</f>
        <v>0</v>
      </c>
      <c r="M10" s="787"/>
      <c r="N10" s="787"/>
      <c r="O10" s="787"/>
      <c r="P10" s="787"/>
      <c r="Q10" s="787"/>
    </row>
    <row r="11" spans="1:17" ht="15.75" customHeight="1">
      <c r="A11" s="792"/>
      <c r="B11" s="156">
        <v>3</v>
      </c>
      <c r="C11" s="787"/>
      <c r="D11" s="653"/>
      <c r="E11" s="653"/>
      <c r="F11" s="787"/>
      <c r="G11" s="653"/>
      <c r="H11" s="653"/>
      <c r="I11" s="164"/>
      <c r="J11" s="178"/>
      <c r="K11" s="178"/>
      <c r="L11" s="179">
        <f>K11-J11</f>
        <v>0</v>
      </c>
      <c r="M11" s="787"/>
      <c r="N11" s="787"/>
      <c r="O11" s="787"/>
      <c r="P11" s="787"/>
      <c r="Q11" s="787"/>
    </row>
    <row r="12" spans="1:17" ht="15.75" customHeight="1">
      <c r="A12" s="792"/>
      <c r="B12" s="156">
        <v>4</v>
      </c>
      <c r="C12" s="787"/>
      <c r="D12" s="653"/>
      <c r="E12" s="653"/>
      <c r="F12" s="787"/>
      <c r="G12" s="653"/>
      <c r="H12" s="653"/>
      <c r="I12" s="164"/>
      <c r="J12" s="178"/>
      <c r="K12" s="178"/>
      <c r="L12" s="179">
        <f>K12-J12</f>
        <v>0</v>
      </c>
      <c r="M12" s="787"/>
      <c r="N12" s="787"/>
      <c r="O12" s="787"/>
      <c r="P12" s="787"/>
      <c r="Q12" s="787"/>
    </row>
    <row r="13" spans="1:17" ht="15.75" customHeight="1">
      <c r="A13" s="792"/>
      <c r="B13" s="156">
        <v>5</v>
      </c>
      <c r="C13" s="787"/>
      <c r="D13" s="653"/>
      <c r="E13" s="653"/>
      <c r="F13" s="787"/>
      <c r="G13" s="653"/>
      <c r="H13" s="653"/>
      <c r="I13" s="164"/>
      <c r="J13" s="178"/>
      <c r="K13" s="178"/>
      <c r="L13" s="179">
        <f>K13-J13</f>
        <v>0</v>
      </c>
      <c r="M13" s="787"/>
      <c r="N13" s="787"/>
      <c r="O13" s="787"/>
      <c r="P13" s="787"/>
      <c r="Q13" s="787"/>
    </row>
    <row r="14" spans="1:17" ht="15.75" customHeight="1">
      <c r="A14" s="790"/>
      <c r="B14" s="790"/>
      <c r="C14" s="790"/>
      <c r="D14" s="790"/>
      <c r="E14" s="790"/>
      <c r="F14" s="790"/>
      <c r="G14" s="790"/>
      <c r="H14" s="790"/>
      <c r="I14" s="790"/>
      <c r="J14" s="790"/>
      <c r="K14" s="790"/>
      <c r="L14" s="790"/>
      <c r="M14" s="790"/>
      <c r="N14" s="790"/>
      <c r="O14" s="791"/>
    </row>
    <row r="15" spans="1:17" s="154" customFormat="1" ht="15.75" customHeight="1">
      <c r="A15" s="163" t="s">
        <v>192</v>
      </c>
      <c r="B15" s="163" t="s">
        <v>18</v>
      </c>
      <c r="C15" s="784" t="s">
        <v>12</v>
      </c>
      <c r="D15" s="784"/>
      <c r="E15" s="784"/>
      <c r="F15" s="784" t="s">
        <v>53</v>
      </c>
      <c r="G15" s="784"/>
      <c r="H15" s="784"/>
      <c r="I15" s="163" t="s">
        <v>54</v>
      </c>
      <c r="J15" s="177" t="s">
        <v>19</v>
      </c>
      <c r="K15" s="163" t="s">
        <v>57</v>
      </c>
      <c r="L15" s="163" t="s">
        <v>2</v>
      </c>
      <c r="M15" s="784" t="s">
        <v>50</v>
      </c>
      <c r="N15" s="784"/>
      <c r="O15" s="784"/>
      <c r="P15" s="784"/>
      <c r="Q15" s="784"/>
    </row>
    <row r="16" spans="1:17" ht="15.75" customHeight="1">
      <c r="A16" s="784" t="s">
        <v>193</v>
      </c>
      <c r="B16" s="156">
        <v>1</v>
      </c>
      <c r="C16" s="787"/>
      <c r="D16" s="653"/>
      <c r="E16" s="653"/>
      <c r="F16" s="787"/>
      <c r="G16" s="653"/>
      <c r="H16" s="653"/>
      <c r="I16" s="164"/>
      <c r="J16" s="178"/>
      <c r="K16" s="178"/>
      <c r="L16" s="179">
        <f>K16-J16</f>
        <v>0</v>
      </c>
      <c r="M16" s="787"/>
      <c r="N16" s="787"/>
      <c r="O16" s="787"/>
      <c r="P16" s="787"/>
      <c r="Q16" s="787"/>
    </row>
    <row r="17" spans="1:17" ht="15.75" customHeight="1">
      <c r="A17" s="784"/>
      <c r="B17" s="156">
        <v>2</v>
      </c>
      <c r="C17" s="787"/>
      <c r="D17" s="653"/>
      <c r="E17" s="653"/>
      <c r="F17" s="787"/>
      <c r="G17" s="653"/>
      <c r="H17" s="653"/>
      <c r="I17" s="164"/>
      <c r="J17" s="178"/>
      <c r="K17" s="178"/>
      <c r="L17" s="179">
        <f>K17-J17</f>
        <v>0</v>
      </c>
      <c r="M17" s="787"/>
      <c r="N17" s="787"/>
      <c r="O17" s="787"/>
      <c r="P17" s="787"/>
      <c r="Q17" s="787"/>
    </row>
    <row r="18" spans="1:17" ht="15.75" customHeight="1">
      <c r="A18" s="784"/>
      <c r="B18" s="156">
        <v>3</v>
      </c>
      <c r="C18" s="787"/>
      <c r="D18" s="653"/>
      <c r="E18" s="653"/>
      <c r="F18" s="787"/>
      <c r="G18" s="653"/>
      <c r="H18" s="653"/>
      <c r="I18" s="164"/>
      <c r="J18" s="178"/>
      <c r="K18" s="178"/>
      <c r="L18" s="179">
        <f>K18-J18</f>
        <v>0</v>
      </c>
      <c r="M18" s="787"/>
      <c r="N18" s="787"/>
      <c r="O18" s="787"/>
      <c r="P18" s="787"/>
      <c r="Q18" s="787"/>
    </row>
    <row r="19" spans="1:17" ht="15.75" customHeight="1">
      <c r="A19" s="784"/>
      <c r="B19" s="156">
        <v>4</v>
      </c>
      <c r="C19" s="787"/>
      <c r="D19" s="653"/>
      <c r="E19" s="653"/>
      <c r="F19" s="787"/>
      <c r="G19" s="653"/>
      <c r="H19" s="653"/>
      <c r="I19" s="164"/>
      <c r="J19" s="178"/>
      <c r="K19" s="178"/>
      <c r="L19" s="179">
        <f>K19-J19</f>
        <v>0</v>
      </c>
      <c r="M19" s="787"/>
      <c r="N19" s="787"/>
      <c r="O19" s="787"/>
      <c r="P19" s="787"/>
      <c r="Q19" s="787"/>
    </row>
    <row r="20" spans="1:17" ht="15.75" customHeight="1">
      <c r="A20" s="784"/>
      <c r="B20" s="156">
        <v>5</v>
      </c>
      <c r="C20" s="787"/>
      <c r="D20" s="653"/>
      <c r="E20" s="653"/>
      <c r="F20" s="787"/>
      <c r="G20" s="653"/>
      <c r="H20" s="653"/>
      <c r="I20" s="164"/>
      <c r="J20" s="178"/>
      <c r="K20" s="178"/>
      <c r="L20" s="179">
        <f>K20-J20</f>
        <v>0</v>
      </c>
      <c r="M20" s="787"/>
      <c r="N20" s="787"/>
      <c r="O20" s="787"/>
      <c r="P20" s="787"/>
      <c r="Q20" s="787"/>
    </row>
  </sheetData>
  <mergeCells count="58">
    <mergeCell ref="M20:Q20"/>
    <mergeCell ref="C20:E20"/>
    <mergeCell ref="F20:H20"/>
    <mergeCell ref="C18:E18"/>
    <mergeCell ref="F18:H18"/>
    <mergeCell ref="C19:E19"/>
    <mergeCell ref="F19:H19"/>
    <mergeCell ref="M18:Q18"/>
    <mergeCell ref="M19:Q19"/>
    <mergeCell ref="A16:A20"/>
    <mergeCell ref="M13:Q13"/>
    <mergeCell ref="C16:E16"/>
    <mergeCell ref="F16:H16"/>
    <mergeCell ref="C17:E17"/>
    <mergeCell ref="F17:H17"/>
    <mergeCell ref="C15:E15"/>
    <mergeCell ref="F15:H15"/>
    <mergeCell ref="A14:O14"/>
    <mergeCell ref="A9:A13"/>
    <mergeCell ref="M10:Q10"/>
    <mergeCell ref="M11:Q11"/>
    <mergeCell ref="M12:Q12"/>
    <mergeCell ref="M16:Q16"/>
    <mergeCell ref="M17:Q17"/>
    <mergeCell ref="C10:E10"/>
    <mergeCell ref="C12:E12"/>
    <mergeCell ref="C13:E13"/>
    <mergeCell ref="F10:H10"/>
    <mergeCell ref="F11:H11"/>
    <mergeCell ref="F12:H12"/>
    <mergeCell ref="F13:H13"/>
    <mergeCell ref="A1:Q2"/>
    <mergeCell ref="J6:K6"/>
    <mergeCell ref="L6:M6"/>
    <mergeCell ref="N6:O6"/>
    <mergeCell ref="P6:Q6"/>
    <mergeCell ref="F5:G5"/>
    <mergeCell ref="H5:I5"/>
    <mergeCell ref="B6:C6"/>
    <mergeCell ref="D6:E6"/>
    <mergeCell ref="F6:G6"/>
    <mergeCell ref="H6:I6"/>
    <mergeCell ref="M15:Q15"/>
    <mergeCell ref="J5:K5"/>
    <mergeCell ref="L5:M5"/>
    <mergeCell ref="A3:Q4"/>
    <mergeCell ref="N5:O5"/>
    <mergeCell ref="P5:Q5"/>
    <mergeCell ref="A5:A6"/>
    <mergeCell ref="B5:C5"/>
    <mergeCell ref="D5:E5"/>
    <mergeCell ref="C8:E8"/>
    <mergeCell ref="F8:H8"/>
    <mergeCell ref="C9:E9"/>
    <mergeCell ref="F9:H9"/>
    <mergeCell ref="M8:Q8"/>
    <mergeCell ref="M9:Q9"/>
    <mergeCell ref="C11:E11"/>
  </mergeCells>
  <phoneticPr fontId="11"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B2:AI297"/>
  <sheetViews>
    <sheetView zoomScale="55" zoomScaleNormal="55" workbookViewId="0">
      <pane xSplit="4" ySplit="6" topLeftCell="P13" activePane="bottomRight" state="frozen"/>
      <selection activeCell="M12" sqref="M12:Q12"/>
      <selection pane="topRight" activeCell="M12" sqref="M12:Q12"/>
      <selection pane="bottomLeft" activeCell="M12" sqref="M12:Q12"/>
      <selection pane="bottomRight" activeCell="W21" sqref="W21"/>
    </sheetView>
  </sheetViews>
  <sheetFormatPr defaultColWidth="8.81640625" defaultRowHeight="14"/>
  <cols>
    <col min="1" max="1" width="8.81640625" style="339"/>
    <col min="2" max="2" width="12.453125" style="339" customWidth="1"/>
    <col min="3" max="3" width="8.81640625" style="339"/>
    <col min="4" max="4" width="11.54296875" style="339" customWidth="1"/>
    <col min="5" max="5" width="39.26953125" style="339" bestFit="1" customWidth="1"/>
    <col min="6" max="6" width="11.453125" style="339" bestFit="1" customWidth="1"/>
    <col min="7" max="7" width="14.1796875" style="339" customWidth="1"/>
    <col min="8" max="8" width="14" style="339" customWidth="1"/>
    <col min="9" max="9" width="16.81640625" style="339" customWidth="1"/>
    <col min="10" max="10" width="14" style="339" customWidth="1"/>
    <col min="11" max="11" width="11.54296875" style="339" bestFit="1" customWidth="1"/>
    <col min="12" max="12" width="13.453125" style="339" bestFit="1" customWidth="1"/>
    <col min="13" max="13" width="19.1796875" style="339" bestFit="1" customWidth="1"/>
    <col min="14" max="14" width="15.26953125" style="339" bestFit="1" customWidth="1"/>
    <col min="15" max="15" width="12.54296875" style="339" bestFit="1" customWidth="1"/>
    <col min="16" max="16" width="9.7265625" style="339" bestFit="1" customWidth="1"/>
    <col min="17" max="17" width="12.1796875" style="339" bestFit="1" customWidth="1"/>
    <col min="18" max="18" width="10.7265625" style="339" customWidth="1"/>
    <col min="19" max="19" width="13.453125" style="339" bestFit="1" customWidth="1"/>
    <col min="20" max="20" width="12.453125" style="339" bestFit="1" customWidth="1"/>
    <col min="21" max="21" width="25.26953125" style="339" bestFit="1" customWidth="1"/>
    <col min="22" max="23" width="88.26953125" style="339" customWidth="1"/>
    <col min="24" max="24" width="7.453125" style="339" bestFit="1" customWidth="1"/>
    <col min="25" max="25" width="69.54296875" style="339" bestFit="1" customWidth="1"/>
    <col min="26" max="26" width="11.453125" style="339" bestFit="1" customWidth="1"/>
    <col min="27" max="27" width="21.54296875" style="339" customWidth="1"/>
    <col min="28" max="28" width="19.453125" style="339" bestFit="1" customWidth="1"/>
    <col min="29" max="34" width="14.453125" style="339" customWidth="1"/>
    <col min="35" max="35" width="11.453125" style="339" bestFit="1" customWidth="1"/>
    <col min="36" max="16384" width="8.81640625" style="339"/>
  </cols>
  <sheetData>
    <row r="2" spans="2:35" ht="41.15" customHeight="1">
      <c r="B2" s="793" t="s">
        <v>527</v>
      </c>
      <c r="C2" s="794"/>
      <c r="D2" s="794"/>
      <c r="E2" s="794"/>
      <c r="F2" s="794"/>
      <c r="G2" s="794"/>
      <c r="H2" s="794"/>
      <c r="I2" s="794"/>
      <c r="J2" s="794"/>
      <c r="K2" s="794"/>
      <c r="L2" s="794"/>
      <c r="M2" s="794"/>
      <c r="N2" s="794"/>
      <c r="O2" s="794"/>
      <c r="P2" s="794"/>
      <c r="Q2" s="794"/>
      <c r="R2" s="794"/>
      <c r="S2" s="794"/>
      <c r="T2" s="794"/>
      <c r="U2" s="794"/>
      <c r="V2" s="794"/>
      <c r="W2" s="794"/>
      <c r="X2" s="794"/>
      <c r="Y2" s="794"/>
      <c r="AA2" s="340"/>
      <c r="AB2" s="340"/>
    </row>
    <row r="3" spans="2:35" ht="17.149999999999999" customHeight="1">
      <c r="B3" s="795" t="s">
        <v>528</v>
      </c>
      <c r="C3" s="796"/>
      <c r="D3" s="801" t="s">
        <v>168</v>
      </c>
      <c r="E3" s="801"/>
      <c r="F3" s="801"/>
      <c r="G3" s="801" t="s">
        <v>182</v>
      </c>
      <c r="H3" s="801"/>
      <c r="I3" s="801"/>
      <c r="J3" s="801"/>
      <c r="K3" s="801"/>
      <c r="L3" s="801"/>
      <c r="M3" s="801"/>
      <c r="N3" s="801"/>
      <c r="O3" s="801"/>
      <c r="P3" s="801"/>
      <c r="Q3" s="801"/>
      <c r="R3" s="801"/>
      <c r="S3" s="801"/>
      <c r="T3" s="801" t="s">
        <v>169</v>
      </c>
      <c r="U3" s="802" t="s">
        <v>529</v>
      </c>
      <c r="V3" s="805" t="s">
        <v>530</v>
      </c>
      <c r="W3" s="805" t="s">
        <v>531</v>
      </c>
      <c r="X3" s="808" t="s">
        <v>532</v>
      </c>
      <c r="Y3" s="811" t="s">
        <v>170</v>
      </c>
      <c r="AA3" s="801" t="s">
        <v>533</v>
      </c>
      <c r="AB3" s="801"/>
      <c r="AC3" s="801"/>
      <c r="AD3" s="801"/>
      <c r="AE3" s="801"/>
      <c r="AF3" s="801"/>
      <c r="AG3" s="801"/>
      <c r="AH3" s="801"/>
      <c r="AI3" s="801"/>
    </row>
    <row r="4" spans="2:35" ht="17.149999999999999" customHeight="1">
      <c r="B4" s="797"/>
      <c r="C4" s="798"/>
      <c r="D4" s="819" t="s">
        <v>167</v>
      </c>
      <c r="E4" s="801" t="s">
        <v>171</v>
      </c>
      <c r="F4" s="801"/>
      <c r="G4" s="801" t="s">
        <v>183</v>
      </c>
      <c r="H4" s="801"/>
      <c r="I4" s="801"/>
      <c r="J4" s="801"/>
      <c r="K4" s="801"/>
      <c r="L4" s="801"/>
      <c r="M4" s="801"/>
      <c r="N4" s="801"/>
      <c r="O4" s="801" t="s">
        <v>172</v>
      </c>
      <c r="P4" s="801"/>
      <c r="Q4" s="801"/>
      <c r="R4" s="801"/>
      <c r="S4" s="801"/>
      <c r="T4" s="801"/>
      <c r="U4" s="803"/>
      <c r="V4" s="806"/>
      <c r="W4" s="806"/>
      <c r="X4" s="809"/>
      <c r="Y4" s="811"/>
      <c r="AA4" s="801"/>
      <c r="AB4" s="801"/>
      <c r="AC4" s="801"/>
      <c r="AD4" s="801"/>
      <c r="AE4" s="801"/>
      <c r="AF4" s="801"/>
      <c r="AG4" s="801"/>
      <c r="AH4" s="801"/>
      <c r="AI4" s="801"/>
    </row>
    <row r="5" spans="2:35" ht="17.149999999999999" customHeight="1">
      <c r="B5" s="797"/>
      <c r="C5" s="798"/>
      <c r="D5" s="819"/>
      <c r="E5" s="819" t="s">
        <v>173</v>
      </c>
      <c r="F5" s="811" t="s">
        <v>534</v>
      </c>
      <c r="G5" s="820" t="s">
        <v>184</v>
      </c>
      <c r="H5" s="820"/>
      <c r="I5" s="820"/>
      <c r="J5" s="820"/>
      <c r="K5" s="820"/>
      <c r="L5" s="820"/>
      <c r="M5" s="820"/>
      <c r="N5" s="820"/>
      <c r="O5" s="820" t="s">
        <v>166</v>
      </c>
      <c r="P5" s="820"/>
      <c r="Q5" s="820" t="s">
        <v>174</v>
      </c>
      <c r="R5" s="820"/>
      <c r="S5" s="820"/>
      <c r="T5" s="801"/>
      <c r="U5" s="803"/>
      <c r="V5" s="806"/>
      <c r="W5" s="806"/>
      <c r="X5" s="809"/>
      <c r="Y5" s="811"/>
      <c r="AA5" s="801"/>
      <c r="AB5" s="801"/>
      <c r="AC5" s="801"/>
      <c r="AD5" s="801"/>
      <c r="AE5" s="801"/>
      <c r="AF5" s="801"/>
      <c r="AG5" s="801"/>
      <c r="AH5" s="801"/>
      <c r="AI5" s="801"/>
    </row>
    <row r="6" spans="2:35" ht="38.5" customHeight="1">
      <c r="B6" s="799"/>
      <c r="C6" s="800"/>
      <c r="D6" s="819"/>
      <c r="E6" s="819"/>
      <c r="F6" s="811"/>
      <c r="G6" s="341" t="s">
        <v>175</v>
      </c>
      <c r="H6" s="341" t="s">
        <v>535</v>
      </c>
      <c r="I6" s="341" t="s">
        <v>536</v>
      </c>
      <c r="J6" s="341" t="s">
        <v>176</v>
      </c>
      <c r="K6" s="341" t="s">
        <v>537</v>
      </c>
      <c r="L6" s="341" t="s">
        <v>177</v>
      </c>
      <c r="M6" s="341" t="s">
        <v>185</v>
      </c>
      <c r="N6" s="341" t="s">
        <v>178</v>
      </c>
      <c r="O6" s="342" t="s">
        <v>179</v>
      </c>
      <c r="P6" s="342" t="s">
        <v>180</v>
      </c>
      <c r="Q6" s="342" t="s">
        <v>179</v>
      </c>
      <c r="R6" s="342" t="s">
        <v>180</v>
      </c>
      <c r="S6" s="341" t="s">
        <v>181</v>
      </c>
      <c r="T6" s="801"/>
      <c r="U6" s="804"/>
      <c r="V6" s="807"/>
      <c r="W6" s="807"/>
      <c r="X6" s="810"/>
      <c r="Y6" s="811"/>
      <c r="AA6" s="223" t="s">
        <v>538</v>
      </c>
      <c r="AB6" s="223" t="s">
        <v>539</v>
      </c>
      <c r="AC6" s="329" t="s">
        <v>540</v>
      </c>
      <c r="AD6" s="329" t="s">
        <v>541</v>
      </c>
      <c r="AE6" s="329" t="s">
        <v>542</v>
      </c>
      <c r="AF6" s="329" t="s">
        <v>543</v>
      </c>
      <c r="AG6" s="329" t="s">
        <v>544</v>
      </c>
      <c r="AH6" s="329" t="s">
        <v>545</v>
      </c>
      <c r="AI6" s="329" t="s">
        <v>546</v>
      </c>
    </row>
    <row r="7" spans="2:35" s="354" customFormat="1" ht="27" customHeight="1">
      <c r="B7" s="812">
        <v>12</v>
      </c>
      <c r="C7" s="813"/>
      <c r="D7" s="343">
        <v>1</v>
      </c>
      <c r="E7" s="344" t="s">
        <v>449</v>
      </c>
      <c r="F7" s="455">
        <v>4142.6000000000004</v>
      </c>
      <c r="G7" s="455">
        <v>46294</v>
      </c>
      <c r="H7" s="455">
        <v>46602</v>
      </c>
      <c r="I7" s="346">
        <v>1.0066531299952477</v>
      </c>
      <c r="J7" s="345">
        <v>0</v>
      </c>
      <c r="K7" s="346">
        <v>0</v>
      </c>
      <c r="L7" s="345">
        <v>13.45</v>
      </c>
      <c r="M7" s="346">
        <v>1.0066531299952477</v>
      </c>
      <c r="N7" s="455">
        <v>4142.5999999999995</v>
      </c>
      <c r="O7" s="345">
        <v>308</v>
      </c>
      <c r="P7" s="346">
        <v>6.6531299952477642E-3</v>
      </c>
      <c r="Q7" s="347">
        <v>308</v>
      </c>
      <c r="R7" s="346">
        <v>6.6531299952477642E-3</v>
      </c>
      <c r="S7" s="455">
        <v>4142.5999999999995</v>
      </c>
      <c r="T7" s="348" t="s">
        <v>344</v>
      </c>
      <c r="U7" s="348" t="s">
        <v>213</v>
      </c>
      <c r="V7" s="453" t="s">
        <v>514</v>
      </c>
      <c r="W7" s="454" t="s">
        <v>849</v>
      </c>
      <c r="X7" s="349">
        <v>1</v>
      </c>
      <c r="Y7" s="350" t="s">
        <v>573</v>
      </c>
      <c r="Z7" s="351" t="s">
        <v>547</v>
      </c>
      <c r="AA7" s="352">
        <f>SUM(X7:X26)</f>
        <v>20</v>
      </c>
      <c r="AB7" s="353">
        <f>SUMIF($U$7:$U$26,TRIM(AB6),$X$7:$X$26)</f>
        <v>0</v>
      </c>
      <c r="AC7" s="353">
        <f>SUMIF($U$7:$U$26,TRIM(AC6),$X$7:$X$26)</f>
        <v>3</v>
      </c>
      <c r="AD7" s="353">
        <f t="shared" ref="AD7:AI7" ca="1" si="0">SUMIF($U$7:$U$9710,TRIM(AD6),$X$7:$X$26)</f>
        <v>2</v>
      </c>
      <c r="AE7" s="353">
        <f t="shared" ca="1" si="0"/>
        <v>11</v>
      </c>
      <c r="AF7" s="353">
        <f t="shared" ca="1" si="0"/>
        <v>3</v>
      </c>
      <c r="AG7" s="353">
        <f t="shared" ca="1" si="0"/>
        <v>1</v>
      </c>
      <c r="AH7" s="353">
        <f t="shared" ca="1" si="0"/>
        <v>0</v>
      </c>
      <c r="AI7" s="353">
        <f t="shared" ca="1" si="0"/>
        <v>0</v>
      </c>
    </row>
    <row r="8" spans="2:35" s="354" customFormat="1" ht="27" customHeight="1">
      <c r="B8" s="814"/>
      <c r="C8" s="815"/>
      <c r="D8" s="343">
        <v>2</v>
      </c>
      <c r="E8" s="344" t="s">
        <v>634</v>
      </c>
      <c r="F8" s="455">
        <v>4018.728000000001</v>
      </c>
      <c r="G8" s="455">
        <v>3325.6740000000009</v>
      </c>
      <c r="H8" s="455">
        <v>3374.2000000000007</v>
      </c>
      <c r="I8" s="346">
        <v>1.0145913279533711</v>
      </c>
      <c r="J8" s="345">
        <v>0</v>
      </c>
      <c r="K8" s="346">
        <v>0</v>
      </c>
      <c r="L8" s="345">
        <v>151.08000000000001</v>
      </c>
      <c r="M8" s="346">
        <v>1.0145913279533711</v>
      </c>
      <c r="N8" s="455">
        <v>7331.3080799999761</v>
      </c>
      <c r="O8" s="345">
        <v>26.599999999999998</v>
      </c>
      <c r="P8" s="346">
        <v>7.9983786745183062E-3</v>
      </c>
      <c r="Q8" s="347">
        <v>48.52599999999984</v>
      </c>
      <c r="R8" s="346">
        <v>1.4591327953371204E-2</v>
      </c>
      <c r="S8" s="455">
        <v>7331.3080799999761</v>
      </c>
      <c r="T8" s="348" t="s">
        <v>342</v>
      </c>
      <c r="U8" s="348" t="s">
        <v>506</v>
      </c>
      <c r="V8" s="453" t="s">
        <v>850</v>
      </c>
      <c r="W8" s="454" t="s">
        <v>851</v>
      </c>
      <c r="X8" s="349">
        <v>1</v>
      </c>
      <c r="Y8" s="350" t="s">
        <v>633</v>
      </c>
      <c r="AA8" s="352"/>
      <c r="AB8" s="356">
        <f>SUMIF($U$7:$U$26,TRIM(AB6),$F$7:$F$26)</f>
        <v>0</v>
      </c>
      <c r="AC8" s="356">
        <f>SUMIF($U$7:$U$26,TRIM(AC6),$F$7:$F$26)</f>
        <v>10033.404</v>
      </c>
      <c r="AD8" s="356">
        <f t="shared" ref="AD8:AI8" ca="1" si="1">SUMIF($U$7:$U$176,TRIM(AD6),$F$7:$F$26)</f>
        <v>5759.925000000002</v>
      </c>
      <c r="AE8" s="356">
        <f t="shared" ca="1" si="1"/>
        <v>35877.650000000009</v>
      </c>
      <c r="AF8" s="356">
        <f t="shared" ca="1" si="1"/>
        <v>9249.4130000000005</v>
      </c>
      <c r="AG8" s="356">
        <f t="shared" ca="1" si="1"/>
        <v>4142.6000000000004</v>
      </c>
      <c r="AH8" s="356">
        <f t="shared" ca="1" si="1"/>
        <v>0</v>
      </c>
      <c r="AI8" s="356">
        <f t="shared" ca="1" si="1"/>
        <v>0</v>
      </c>
    </row>
    <row r="9" spans="2:35" s="354" customFormat="1" ht="27" customHeight="1">
      <c r="B9" s="814"/>
      <c r="C9" s="815"/>
      <c r="D9" s="343">
        <v>3</v>
      </c>
      <c r="E9" s="344" t="s">
        <v>585</v>
      </c>
      <c r="F9" s="455">
        <v>3898.875</v>
      </c>
      <c r="G9" s="455">
        <v>3650.2199999999993</v>
      </c>
      <c r="H9" s="455">
        <v>3724.2</v>
      </c>
      <c r="I9" s="346">
        <v>1.0202672715617143</v>
      </c>
      <c r="J9" s="345">
        <v>1.8</v>
      </c>
      <c r="K9" s="346">
        <v>4.9312096257211901E-4</v>
      </c>
      <c r="L9" s="345">
        <v>103.97</v>
      </c>
      <c r="M9" s="346">
        <v>1.0207603925242863</v>
      </c>
      <c r="N9" s="455">
        <v>7691.7006000000492</v>
      </c>
      <c r="O9" s="345">
        <v>37.5</v>
      </c>
      <c r="P9" s="346">
        <v>1.0273353386919147E-2</v>
      </c>
      <c r="Q9" s="347">
        <v>75.780000000000655</v>
      </c>
      <c r="R9" s="346">
        <v>2.0760392524286391E-2</v>
      </c>
      <c r="S9" s="455">
        <v>7878.8466000000681</v>
      </c>
      <c r="T9" s="348" t="s">
        <v>350</v>
      </c>
      <c r="U9" s="348" t="s">
        <v>351</v>
      </c>
      <c r="V9" s="453" t="s">
        <v>852</v>
      </c>
      <c r="W9" s="454" t="s">
        <v>853</v>
      </c>
      <c r="X9" s="349">
        <v>1</v>
      </c>
      <c r="Y9" s="350" t="s">
        <v>580</v>
      </c>
    </row>
    <row r="10" spans="2:35" s="354" customFormat="1" ht="27" customHeight="1">
      <c r="B10" s="814"/>
      <c r="C10" s="815"/>
      <c r="D10" s="343">
        <v>4</v>
      </c>
      <c r="E10" s="344" t="s">
        <v>417</v>
      </c>
      <c r="F10" s="455">
        <v>3760.6600000000003</v>
      </c>
      <c r="G10" s="455">
        <v>4152.1680000000006</v>
      </c>
      <c r="H10" s="455">
        <v>4201.8999999999996</v>
      </c>
      <c r="I10" s="346">
        <v>1.0119773573708961</v>
      </c>
      <c r="J10" s="345">
        <v>0.6</v>
      </c>
      <c r="K10" s="346">
        <v>1.4450282358517282E-4</v>
      </c>
      <c r="L10" s="345">
        <v>127.48</v>
      </c>
      <c r="M10" s="346">
        <v>1.0121218601944815</v>
      </c>
      <c r="N10" s="455">
        <v>6339.8353599998809</v>
      </c>
      <c r="O10" s="345">
        <v>29.5</v>
      </c>
      <c r="P10" s="346">
        <v>7.1047221596043314E-3</v>
      </c>
      <c r="Q10" s="347">
        <v>50.331999999999425</v>
      </c>
      <c r="R10" s="346">
        <v>1.2121860194481393E-2</v>
      </c>
      <c r="S10" s="455">
        <v>6416.3233599999267</v>
      </c>
      <c r="T10" s="348" t="s">
        <v>342</v>
      </c>
      <c r="U10" s="348" t="s">
        <v>506</v>
      </c>
      <c r="V10" s="453" t="s">
        <v>854</v>
      </c>
      <c r="W10" s="454" t="s">
        <v>855</v>
      </c>
      <c r="X10" s="349">
        <v>1</v>
      </c>
      <c r="Y10" s="350" t="s">
        <v>349</v>
      </c>
    </row>
    <row r="11" spans="2:35" s="354" customFormat="1" ht="27" customHeight="1">
      <c r="B11" s="814"/>
      <c r="C11" s="815"/>
      <c r="D11" s="343">
        <v>5</v>
      </c>
      <c r="E11" s="344" t="s">
        <v>608</v>
      </c>
      <c r="F11" s="455">
        <v>3546.3230000000008</v>
      </c>
      <c r="G11" s="455">
        <v>8169.2660000000014</v>
      </c>
      <c r="H11" s="455">
        <v>8228.3000000000011</v>
      </c>
      <c r="I11" s="346">
        <v>1.007226353016293</v>
      </c>
      <c r="J11" s="345">
        <v>0</v>
      </c>
      <c r="K11" s="346">
        <v>0</v>
      </c>
      <c r="L11" s="345">
        <v>111.17</v>
      </c>
      <c r="M11" s="346">
        <v>1.007226353016293</v>
      </c>
      <c r="N11" s="455">
        <v>6562.8097799999614</v>
      </c>
      <c r="O11" s="345">
        <v>31.899999999999995</v>
      </c>
      <c r="P11" s="346">
        <v>3.9048795815927635E-3</v>
      </c>
      <c r="Q11" s="347">
        <v>59.033999999999651</v>
      </c>
      <c r="R11" s="346">
        <v>7.2263530162929744E-3</v>
      </c>
      <c r="S11" s="455">
        <v>6562.8097799999614</v>
      </c>
      <c r="T11" s="348" t="s">
        <v>342</v>
      </c>
      <c r="U11" s="348" t="s">
        <v>506</v>
      </c>
      <c r="V11" s="453" t="s">
        <v>856</v>
      </c>
      <c r="W11" s="454" t="s">
        <v>857</v>
      </c>
      <c r="X11" s="349">
        <v>1</v>
      </c>
      <c r="Y11" s="350" t="s">
        <v>352</v>
      </c>
    </row>
    <row r="12" spans="2:35" s="354" customFormat="1" ht="27" customHeight="1">
      <c r="B12" s="814"/>
      <c r="C12" s="815"/>
      <c r="D12" s="343">
        <v>6</v>
      </c>
      <c r="E12" s="344" t="s">
        <v>636</v>
      </c>
      <c r="F12" s="455">
        <v>3510.0060000000012</v>
      </c>
      <c r="G12" s="455">
        <v>5240.4560000000001</v>
      </c>
      <c r="H12" s="455">
        <v>5300.7</v>
      </c>
      <c r="I12" s="346">
        <v>1.011495946154304</v>
      </c>
      <c r="J12" s="345">
        <v>0</v>
      </c>
      <c r="K12" s="346">
        <v>0</v>
      </c>
      <c r="L12" s="345">
        <v>105.09</v>
      </c>
      <c r="M12" s="346">
        <v>1.011495946154304</v>
      </c>
      <c r="N12" s="455">
        <v>6331.0419599999677</v>
      </c>
      <c r="O12" s="345">
        <v>33.4</v>
      </c>
      <c r="P12" s="346">
        <v>6.3734911618378246E-3</v>
      </c>
      <c r="Q12" s="347">
        <v>60.243999999999687</v>
      </c>
      <c r="R12" s="346">
        <v>1.1495946154304069E-2</v>
      </c>
      <c r="S12" s="455">
        <v>6331.0419599999677</v>
      </c>
      <c r="T12" s="348" t="s">
        <v>342</v>
      </c>
      <c r="U12" s="348" t="s">
        <v>506</v>
      </c>
      <c r="V12" s="453" t="s">
        <v>850</v>
      </c>
      <c r="W12" s="454" t="s">
        <v>851</v>
      </c>
      <c r="X12" s="349">
        <v>1</v>
      </c>
      <c r="Y12" s="350" t="s">
        <v>633</v>
      </c>
    </row>
    <row r="13" spans="2:35" s="354" customFormat="1" ht="27" customHeight="1">
      <c r="B13" s="814"/>
      <c r="C13" s="815"/>
      <c r="D13" s="343">
        <v>7</v>
      </c>
      <c r="E13" s="344" t="s">
        <v>615</v>
      </c>
      <c r="F13" s="455">
        <v>3299.0490000000004</v>
      </c>
      <c r="G13" s="455">
        <v>7887.2699999999986</v>
      </c>
      <c r="H13" s="455">
        <v>7932.5999999999995</v>
      </c>
      <c r="I13" s="346">
        <v>1.0057472357355588</v>
      </c>
      <c r="J13" s="345">
        <v>1</v>
      </c>
      <c r="K13" s="346">
        <v>1.2678658141536934E-4</v>
      </c>
      <c r="L13" s="345">
        <v>136.88999999999999</v>
      </c>
      <c r="M13" s="346">
        <v>1.0058740223169742</v>
      </c>
      <c r="N13" s="455">
        <v>6205.2237000001141</v>
      </c>
      <c r="O13" s="345">
        <v>24.099999999999998</v>
      </c>
      <c r="P13" s="346">
        <v>3.0555566121104011E-3</v>
      </c>
      <c r="Q13" s="347">
        <v>46.330000000000837</v>
      </c>
      <c r="R13" s="346">
        <v>5.8740223169741678E-3</v>
      </c>
      <c r="S13" s="455">
        <v>6342.1137000001136</v>
      </c>
      <c r="T13" s="348" t="s">
        <v>344</v>
      </c>
      <c r="U13" s="348" t="s">
        <v>212</v>
      </c>
      <c r="V13" s="453" t="s">
        <v>858</v>
      </c>
      <c r="W13" s="454" t="s">
        <v>859</v>
      </c>
      <c r="X13" s="349">
        <v>1</v>
      </c>
      <c r="Y13" s="350" t="s">
        <v>352</v>
      </c>
      <c r="AB13" s="354">
        <v>1</v>
      </c>
      <c r="AC13" s="357" t="s">
        <v>509</v>
      </c>
    </row>
    <row r="14" spans="2:35" s="354" customFormat="1" ht="27" customHeight="1">
      <c r="B14" s="814"/>
      <c r="C14" s="815"/>
      <c r="D14" s="343">
        <v>8</v>
      </c>
      <c r="E14" s="344" t="s">
        <v>860</v>
      </c>
      <c r="F14" s="455">
        <v>3273.2490000000003</v>
      </c>
      <c r="G14" s="455">
        <v>1940.5000000000005</v>
      </c>
      <c r="H14" s="455">
        <v>1989.2</v>
      </c>
      <c r="I14" s="346">
        <v>1.0250966245812934</v>
      </c>
      <c r="J14" s="345">
        <v>0</v>
      </c>
      <c r="K14" s="346">
        <v>0</v>
      </c>
      <c r="L14" s="345">
        <v>95.43</v>
      </c>
      <c r="M14" s="346">
        <v>1.0250966245812934</v>
      </c>
      <c r="N14" s="455">
        <v>4647.4409999999616</v>
      </c>
      <c r="O14" s="345">
        <v>34.299999999999997</v>
      </c>
      <c r="P14" s="346">
        <v>1.7675856737954129E-2</v>
      </c>
      <c r="Q14" s="347">
        <v>48.699999999999591</v>
      </c>
      <c r="R14" s="346">
        <v>2.5096624581293265E-2</v>
      </c>
      <c r="S14" s="455">
        <v>4647.4409999999616</v>
      </c>
      <c r="T14" s="348" t="s">
        <v>350</v>
      </c>
      <c r="U14" s="348" t="s">
        <v>351</v>
      </c>
      <c r="V14" s="453" t="s">
        <v>852</v>
      </c>
      <c r="W14" s="454" t="s">
        <v>853</v>
      </c>
      <c r="X14" s="349">
        <v>1</v>
      </c>
      <c r="Y14" s="350" t="s">
        <v>384</v>
      </c>
      <c r="AB14" s="354">
        <v>2</v>
      </c>
      <c r="AC14" s="357" t="s">
        <v>351</v>
      </c>
    </row>
    <row r="15" spans="2:35" s="354" customFormat="1" ht="27" customHeight="1">
      <c r="B15" s="814"/>
      <c r="C15" s="815"/>
      <c r="D15" s="343">
        <v>9</v>
      </c>
      <c r="E15" s="344" t="s">
        <v>618</v>
      </c>
      <c r="F15" s="455">
        <v>3253.0630000000001</v>
      </c>
      <c r="G15" s="455">
        <v>8234.26</v>
      </c>
      <c r="H15" s="455">
        <v>8322.9000000000015</v>
      </c>
      <c r="I15" s="346">
        <v>1.0107647803202717</v>
      </c>
      <c r="J15" s="345">
        <v>0</v>
      </c>
      <c r="K15" s="346">
        <v>0</v>
      </c>
      <c r="L15" s="345">
        <v>72.13</v>
      </c>
      <c r="M15" s="346">
        <v>1.0107647803202717</v>
      </c>
      <c r="N15" s="455">
        <v>6393.6032000000887</v>
      </c>
      <c r="O15" s="345">
        <v>45.1</v>
      </c>
      <c r="P15" s="346">
        <v>5.4771163407519316E-3</v>
      </c>
      <c r="Q15" s="347">
        <v>88.640000000001237</v>
      </c>
      <c r="R15" s="346">
        <v>1.0764780320271795E-2</v>
      </c>
      <c r="S15" s="455">
        <v>6393.6032000000887</v>
      </c>
      <c r="T15" s="348" t="s">
        <v>342</v>
      </c>
      <c r="U15" s="348" t="s">
        <v>506</v>
      </c>
      <c r="V15" s="453" t="s">
        <v>854</v>
      </c>
      <c r="W15" s="454" t="s">
        <v>855</v>
      </c>
      <c r="X15" s="349">
        <v>1</v>
      </c>
      <c r="Y15" s="350" t="s">
        <v>607</v>
      </c>
      <c r="AB15" s="354">
        <v>3</v>
      </c>
      <c r="AC15" s="357" t="s">
        <v>414</v>
      </c>
    </row>
    <row r="16" spans="2:35" s="354" customFormat="1" ht="27" customHeight="1">
      <c r="B16" s="814"/>
      <c r="C16" s="815"/>
      <c r="D16" s="343">
        <v>10</v>
      </c>
      <c r="E16" s="344" t="s">
        <v>631</v>
      </c>
      <c r="F16" s="455">
        <v>3059.3199999999993</v>
      </c>
      <c r="G16" s="455">
        <v>1251.5040000000004</v>
      </c>
      <c r="H16" s="455">
        <v>1268.1999999999998</v>
      </c>
      <c r="I16" s="346">
        <v>1.0133407484115109</v>
      </c>
      <c r="J16" s="345">
        <v>2.5</v>
      </c>
      <c r="K16" s="346">
        <v>1.9975964919009444E-3</v>
      </c>
      <c r="L16" s="345">
        <v>278.12</v>
      </c>
      <c r="M16" s="346">
        <v>1.0153383449034117</v>
      </c>
      <c r="N16" s="455">
        <v>4643.4915199998495</v>
      </c>
      <c r="O16" s="345">
        <v>11</v>
      </c>
      <c r="P16" s="346">
        <v>8.7894245643641549E-3</v>
      </c>
      <c r="Q16" s="347">
        <v>19.195999999999458</v>
      </c>
      <c r="R16" s="346">
        <v>1.5338344903411776E-2</v>
      </c>
      <c r="S16" s="455">
        <v>5338.7915199998497</v>
      </c>
      <c r="T16" s="348" t="s">
        <v>344</v>
      </c>
      <c r="U16" s="348" t="s">
        <v>212</v>
      </c>
      <c r="V16" s="453" t="s">
        <v>858</v>
      </c>
      <c r="W16" s="453" t="s">
        <v>859</v>
      </c>
      <c r="X16" s="349">
        <v>1</v>
      </c>
      <c r="Y16" s="350" t="s">
        <v>580</v>
      </c>
      <c r="AB16" s="354">
        <v>4</v>
      </c>
      <c r="AC16" s="357" t="s">
        <v>548</v>
      </c>
    </row>
    <row r="17" spans="2:29" s="354" customFormat="1" ht="27" customHeight="1">
      <c r="B17" s="814"/>
      <c r="C17" s="815"/>
      <c r="D17" s="343">
        <v>11</v>
      </c>
      <c r="E17" s="344" t="s">
        <v>609</v>
      </c>
      <c r="F17" s="455">
        <v>3049.2839999999992</v>
      </c>
      <c r="G17" s="455">
        <v>6719.09</v>
      </c>
      <c r="H17" s="455">
        <v>6781.3000000000011</v>
      </c>
      <c r="I17" s="346">
        <v>1.0092586942577046</v>
      </c>
      <c r="J17" s="345">
        <v>0</v>
      </c>
      <c r="K17" s="346">
        <v>0</v>
      </c>
      <c r="L17" s="345">
        <v>81.97</v>
      </c>
      <c r="M17" s="346">
        <v>1.0092586942577046</v>
      </c>
      <c r="N17" s="455">
        <v>5099.3537000000779</v>
      </c>
      <c r="O17" s="345">
        <v>37.200000000000003</v>
      </c>
      <c r="P17" s="346">
        <v>5.5364640152163469E-3</v>
      </c>
      <c r="Q17" s="347">
        <v>62.210000000000946</v>
      </c>
      <c r="R17" s="346">
        <v>9.2586942577046801E-3</v>
      </c>
      <c r="S17" s="455">
        <v>5099.3537000000779</v>
      </c>
      <c r="T17" s="348" t="s">
        <v>342</v>
      </c>
      <c r="U17" s="348" t="s">
        <v>506</v>
      </c>
      <c r="V17" s="453" t="s">
        <v>850</v>
      </c>
      <c r="W17" s="453" t="s">
        <v>851</v>
      </c>
      <c r="X17" s="349">
        <v>1</v>
      </c>
      <c r="Y17" s="350" t="s">
        <v>347</v>
      </c>
      <c r="AB17" s="354">
        <v>5</v>
      </c>
      <c r="AC17" s="357" t="s">
        <v>212</v>
      </c>
    </row>
    <row r="18" spans="2:29" s="354" customFormat="1" ht="27" customHeight="1">
      <c r="B18" s="814"/>
      <c r="C18" s="815"/>
      <c r="D18" s="343">
        <v>12</v>
      </c>
      <c r="E18" s="344" t="s">
        <v>616</v>
      </c>
      <c r="F18" s="455">
        <v>2986.7719999999999</v>
      </c>
      <c r="G18" s="455">
        <v>4556.0099999999993</v>
      </c>
      <c r="H18" s="455">
        <v>4626.3999999999996</v>
      </c>
      <c r="I18" s="346">
        <v>1.0154499221906887</v>
      </c>
      <c r="J18" s="345">
        <v>0</v>
      </c>
      <c r="K18" s="346">
        <v>0</v>
      </c>
      <c r="L18" s="345">
        <v>73.930000000000007</v>
      </c>
      <c r="M18" s="346">
        <v>1.0154499221906887</v>
      </c>
      <c r="N18" s="455">
        <v>5203.9327000000249</v>
      </c>
      <c r="O18" s="345">
        <v>40.400000000000006</v>
      </c>
      <c r="P18" s="346">
        <v>8.8674081048988069E-3</v>
      </c>
      <c r="Q18" s="347">
        <v>70.390000000000327</v>
      </c>
      <c r="R18" s="346">
        <v>1.5449922190688857E-2</v>
      </c>
      <c r="S18" s="455">
        <v>5203.9327000000249</v>
      </c>
      <c r="T18" s="348" t="s">
        <v>342</v>
      </c>
      <c r="U18" s="348" t="s">
        <v>506</v>
      </c>
      <c r="V18" s="453" t="s">
        <v>850</v>
      </c>
      <c r="W18" s="454" t="s">
        <v>851</v>
      </c>
      <c r="X18" s="349">
        <v>1</v>
      </c>
      <c r="Y18" s="350" t="s">
        <v>617</v>
      </c>
      <c r="AB18" s="354">
        <v>6</v>
      </c>
      <c r="AC18" s="357" t="s">
        <v>213</v>
      </c>
    </row>
    <row r="19" spans="2:29" s="354" customFormat="1" ht="27" customHeight="1">
      <c r="B19" s="814"/>
      <c r="C19" s="815"/>
      <c r="D19" s="343">
        <v>13</v>
      </c>
      <c r="E19" s="344" t="s">
        <v>611</v>
      </c>
      <c r="F19" s="455">
        <v>2980.7359999999999</v>
      </c>
      <c r="G19" s="455">
        <v>2478.1</v>
      </c>
      <c r="H19" s="455">
        <v>2506.9000000000005</v>
      </c>
      <c r="I19" s="346">
        <v>1.0116218070295793</v>
      </c>
      <c r="J19" s="345">
        <v>0</v>
      </c>
      <c r="K19" s="346">
        <v>0</v>
      </c>
      <c r="L19" s="345">
        <v>169.36</v>
      </c>
      <c r="M19" s="346">
        <v>1.0116218070295793</v>
      </c>
      <c r="N19" s="455">
        <v>4877.5680000001084</v>
      </c>
      <c r="O19" s="345">
        <v>17.599999999999998</v>
      </c>
      <c r="P19" s="346">
        <v>7.1022154069650132E-3</v>
      </c>
      <c r="Q19" s="347">
        <v>28.800000000000637</v>
      </c>
      <c r="R19" s="346">
        <v>1.162180702957937E-2</v>
      </c>
      <c r="S19" s="455">
        <v>4877.5680000001084</v>
      </c>
      <c r="T19" s="348" t="s">
        <v>342</v>
      </c>
      <c r="U19" s="348" t="s">
        <v>506</v>
      </c>
      <c r="V19" s="453" t="s">
        <v>861</v>
      </c>
      <c r="W19" s="453" t="s">
        <v>862</v>
      </c>
      <c r="X19" s="349">
        <v>1</v>
      </c>
      <c r="Y19" s="350" t="s">
        <v>352</v>
      </c>
      <c r="AB19" s="354">
        <v>7</v>
      </c>
      <c r="AC19" s="357" t="s">
        <v>550</v>
      </c>
    </row>
    <row r="20" spans="2:29" s="354" customFormat="1" ht="27" customHeight="1">
      <c r="B20" s="814"/>
      <c r="C20" s="815"/>
      <c r="D20" s="343">
        <v>14</v>
      </c>
      <c r="E20" s="344" t="s">
        <v>632</v>
      </c>
      <c r="F20" s="455">
        <v>2975.5440000000003</v>
      </c>
      <c r="G20" s="455">
        <v>2926.25</v>
      </c>
      <c r="H20" s="455">
        <v>2996.4999999999995</v>
      </c>
      <c r="I20" s="346">
        <v>1.0240068346860314</v>
      </c>
      <c r="J20" s="345">
        <v>0</v>
      </c>
      <c r="K20" s="346">
        <v>0</v>
      </c>
      <c r="L20" s="345">
        <v>75.14</v>
      </c>
      <c r="M20" s="346">
        <v>1.0240068346860314</v>
      </c>
      <c r="N20" s="455">
        <v>5278.5849999999655</v>
      </c>
      <c r="O20" s="345">
        <v>39.6</v>
      </c>
      <c r="P20" s="346">
        <v>1.3532678342588637E-2</v>
      </c>
      <c r="Q20" s="347">
        <v>70.249999999999545</v>
      </c>
      <c r="R20" s="346">
        <v>2.4006834686031455E-2</v>
      </c>
      <c r="S20" s="455">
        <v>5278.5849999999655</v>
      </c>
      <c r="T20" s="348" t="s">
        <v>342</v>
      </c>
      <c r="U20" s="348" t="s">
        <v>506</v>
      </c>
      <c r="V20" s="453" t="s">
        <v>850</v>
      </c>
      <c r="W20" s="454" t="s">
        <v>851</v>
      </c>
      <c r="X20" s="349">
        <v>1</v>
      </c>
      <c r="Y20" s="350" t="s">
        <v>352</v>
      </c>
      <c r="AB20" s="354">
        <v>8</v>
      </c>
      <c r="AC20" s="358" t="s">
        <v>551</v>
      </c>
    </row>
    <row r="21" spans="2:29" s="354" customFormat="1" ht="27" customHeight="1">
      <c r="B21" s="814"/>
      <c r="C21" s="815"/>
      <c r="D21" s="343">
        <v>15</v>
      </c>
      <c r="E21" s="344" t="s">
        <v>863</v>
      </c>
      <c r="F21" s="455">
        <v>2919.920000000001</v>
      </c>
      <c r="G21" s="455">
        <v>6054.36</v>
      </c>
      <c r="H21" s="455">
        <v>6109.1000000000013</v>
      </c>
      <c r="I21" s="346">
        <v>1.0090414180854792</v>
      </c>
      <c r="J21" s="345">
        <v>0</v>
      </c>
      <c r="K21" s="346">
        <v>0</v>
      </c>
      <c r="L21" s="345">
        <v>90.4</v>
      </c>
      <c r="M21" s="346">
        <v>1.0090414180854792</v>
      </c>
      <c r="N21" s="455">
        <v>4948.4960000001447</v>
      </c>
      <c r="O21" s="345">
        <v>32.299999999999997</v>
      </c>
      <c r="P21" s="346">
        <v>5.3349982491956213E-3</v>
      </c>
      <c r="Q21" s="347">
        <v>54.740000000001601</v>
      </c>
      <c r="R21" s="346">
        <v>9.0414180854791592E-3</v>
      </c>
      <c r="S21" s="455">
        <v>4948.4960000001447</v>
      </c>
      <c r="T21" s="348" t="s">
        <v>342</v>
      </c>
      <c r="U21" s="348" t="s">
        <v>506</v>
      </c>
      <c r="V21" s="453" t="s">
        <v>850</v>
      </c>
      <c r="W21" s="454" t="s">
        <v>851</v>
      </c>
      <c r="X21" s="349">
        <v>1</v>
      </c>
      <c r="Y21" s="350" t="s">
        <v>384</v>
      </c>
      <c r="AC21" s="357"/>
    </row>
    <row r="22" spans="2:29" s="354" customFormat="1" ht="27" customHeight="1">
      <c r="B22" s="814"/>
      <c r="C22" s="815"/>
      <c r="D22" s="343">
        <v>16</v>
      </c>
      <c r="E22" s="344" t="s">
        <v>612</v>
      </c>
      <c r="F22" s="455">
        <v>2891.0439999999999</v>
      </c>
      <c r="G22" s="455">
        <v>1806.0000000000005</v>
      </c>
      <c r="H22" s="455">
        <v>1825.0999999999997</v>
      </c>
      <c r="I22" s="346">
        <v>1.0105758582502764</v>
      </c>
      <c r="J22" s="345">
        <v>1.4</v>
      </c>
      <c r="K22" s="346">
        <v>7.7519379844961218E-4</v>
      </c>
      <c r="L22" s="345">
        <v>272.74</v>
      </c>
      <c r="M22" s="346">
        <v>1.0113510520487261</v>
      </c>
      <c r="N22" s="455">
        <v>5209.3339999997897</v>
      </c>
      <c r="O22" s="345">
        <v>10.6</v>
      </c>
      <c r="P22" s="346">
        <v>5.8693244739756352E-3</v>
      </c>
      <c r="Q22" s="347">
        <v>20.499999999999318</v>
      </c>
      <c r="R22" s="346">
        <v>1.1351052048726086E-2</v>
      </c>
      <c r="S22" s="455">
        <v>5591.1699999998145</v>
      </c>
      <c r="T22" s="348" t="s">
        <v>344</v>
      </c>
      <c r="U22" s="348" t="s">
        <v>212</v>
      </c>
      <c r="V22" s="453" t="s">
        <v>858</v>
      </c>
      <c r="W22" s="454" t="s">
        <v>859</v>
      </c>
      <c r="X22" s="349">
        <v>1</v>
      </c>
      <c r="Y22" s="350" t="s">
        <v>345</v>
      </c>
      <c r="AC22" s="357"/>
    </row>
    <row r="23" spans="2:29" s="354" customFormat="1" ht="27" customHeight="1">
      <c r="B23" s="814"/>
      <c r="C23" s="815"/>
      <c r="D23" s="343">
        <v>17</v>
      </c>
      <c r="E23" s="344" t="s">
        <v>864</v>
      </c>
      <c r="F23" s="455">
        <v>2887.6650000000009</v>
      </c>
      <c r="G23" s="455">
        <v>3149.087</v>
      </c>
      <c r="H23" s="455">
        <v>3221.2</v>
      </c>
      <c r="I23" s="346">
        <v>1.02289965313756</v>
      </c>
      <c r="J23" s="345">
        <v>0</v>
      </c>
      <c r="K23" s="346">
        <v>0</v>
      </c>
      <c r="L23" s="345">
        <v>70.95</v>
      </c>
      <c r="M23" s="346">
        <v>1.02289965313756</v>
      </c>
      <c r="N23" s="455">
        <v>5116.4173499999879</v>
      </c>
      <c r="O23" s="345">
        <v>40.700000000000003</v>
      </c>
      <c r="P23" s="346">
        <v>1.2924380939618374E-2</v>
      </c>
      <c r="Q23" s="347">
        <v>72.112999999999829</v>
      </c>
      <c r="R23" s="346">
        <v>2.2899653137560132E-2</v>
      </c>
      <c r="S23" s="455">
        <v>5116.4173499999879</v>
      </c>
      <c r="T23" s="348" t="s">
        <v>350</v>
      </c>
      <c r="U23" s="348" t="s">
        <v>414</v>
      </c>
      <c r="V23" s="453" t="s">
        <v>852</v>
      </c>
      <c r="W23" s="453" t="s">
        <v>853</v>
      </c>
      <c r="X23" s="349">
        <v>1</v>
      </c>
      <c r="Y23" s="350" t="s">
        <v>386</v>
      </c>
      <c r="AB23" s="359">
        <v>1</v>
      </c>
      <c r="AC23" s="357" t="s">
        <v>350</v>
      </c>
    </row>
    <row r="24" spans="2:29" s="354" customFormat="1" ht="27" customHeight="1">
      <c r="B24" s="814"/>
      <c r="C24" s="815"/>
      <c r="D24" s="343">
        <v>18</v>
      </c>
      <c r="E24" s="344" t="s">
        <v>635</v>
      </c>
      <c r="F24" s="455">
        <v>2876.614</v>
      </c>
      <c r="G24" s="455">
        <v>9428.7599999999984</v>
      </c>
      <c r="H24" s="455">
        <v>9508.5</v>
      </c>
      <c r="I24" s="346">
        <v>1.0084571035852012</v>
      </c>
      <c r="J24" s="345">
        <v>0</v>
      </c>
      <c r="K24" s="346">
        <v>0</v>
      </c>
      <c r="L24" s="345">
        <v>71.38</v>
      </c>
      <c r="M24" s="346">
        <v>1.0084571035852012</v>
      </c>
      <c r="N24" s="455">
        <v>5691.8412000001135</v>
      </c>
      <c r="O24" s="345">
        <v>40.29999999999999</v>
      </c>
      <c r="P24" s="346">
        <v>4.2741569411036016E-3</v>
      </c>
      <c r="Q24" s="347">
        <v>79.740000000001601</v>
      </c>
      <c r="R24" s="346">
        <v>8.4571035852011936E-3</v>
      </c>
      <c r="S24" s="455">
        <v>5691.8412000001135</v>
      </c>
      <c r="T24" s="348" t="s">
        <v>342</v>
      </c>
      <c r="U24" s="348" t="s">
        <v>506</v>
      </c>
      <c r="V24" s="453" t="s">
        <v>865</v>
      </c>
      <c r="W24" s="453" t="s">
        <v>866</v>
      </c>
      <c r="X24" s="349">
        <v>1</v>
      </c>
      <c r="Y24" s="350" t="s">
        <v>606</v>
      </c>
      <c r="AB24" s="354">
        <v>2</v>
      </c>
      <c r="AC24" s="357" t="s">
        <v>418</v>
      </c>
    </row>
    <row r="25" spans="2:29" s="354" customFormat="1" ht="27" customHeight="1">
      <c r="B25" s="814"/>
      <c r="C25" s="815"/>
      <c r="D25" s="343">
        <v>19</v>
      </c>
      <c r="E25" s="344" t="s">
        <v>627</v>
      </c>
      <c r="F25" s="455">
        <v>2872.2600000000011</v>
      </c>
      <c r="G25" s="455">
        <v>2889.4399999999996</v>
      </c>
      <c r="H25" s="455">
        <v>2955.0000000000005</v>
      </c>
      <c r="I25" s="346">
        <v>1.0226895176920099</v>
      </c>
      <c r="J25" s="345">
        <v>0</v>
      </c>
      <c r="K25" s="346">
        <v>0</v>
      </c>
      <c r="L25" s="345">
        <v>72.900000000000006</v>
      </c>
      <c r="M25" s="346">
        <v>1.0226895176920099</v>
      </c>
      <c r="N25" s="455">
        <v>4779.3240000000624</v>
      </c>
      <c r="O25" s="345">
        <v>39.400000000000006</v>
      </c>
      <c r="P25" s="346">
        <v>1.3635860235893464E-2</v>
      </c>
      <c r="Q25" s="347">
        <v>65.560000000000855</v>
      </c>
      <c r="R25" s="346">
        <v>2.2689517692009824E-2</v>
      </c>
      <c r="S25" s="455">
        <v>4779.3240000000624</v>
      </c>
      <c r="T25" s="348" t="s">
        <v>350</v>
      </c>
      <c r="U25" s="348" t="s">
        <v>414</v>
      </c>
      <c r="V25" s="453" t="s">
        <v>852</v>
      </c>
      <c r="W25" s="454" t="s">
        <v>853</v>
      </c>
      <c r="X25" s="349">
        <v>1</v>
      </c>
      <c r="Y25" s="350" t="s">
        <v>376</v>
      </c>
      <c r="AB25" s="360">
        <v>3</v>
      </c>
      <c r="AC25" s="357" t="s">
        <v>342</v>
      </c>
    </row>
    <row r="26" spans="2:29" s="354" customFormat="1" ht="27" customHeight="1">
      <c r="B26" s="816"/>
      <c r="C26" s="817"/>
      <c r="D26" s="343">
        <v>20</v>
      </c>
      <c r="E26" s="344" t="s">
        <v>867</v>
      </c>
      <c r="F26" s="455">
        <v>2861.28</v>
      </c>
      <c r="G26" s="455">
        <v>663.80999999999972</v>
      </c>
      <c r="H26" s="455">
        <v>704.20000000000016</v>
      </c>
      <c r="I26" s="346">
        <v>1.0608457239270279</v>
      </c>
      <c r="J26" s="345">
        <v>0</v>
      </c>
      <c r="K26" s="346">
        <v>0</v>
      </c>
      <c r="L26" s="345">
        <v>99.35</v>
      </c>
      <c r="M26" s="346">
        <v>1.0608457239270279</v>
      </c>
      <c r="N26" s="455">
        <v>4012.7465000000434</v>
      </c>
      <c r="O26" s="345">
        <v>28.799999999999997</v>
      </c>
      <c r="P26" s="346">
        <v>4.3385908618429989E-2</v>
      </c>
      <c r="Q26" s="347">
        <v>40.390000000000441</v>
      </c>
      <c r="R26" s="346">
        <v>6.0845723927028E-2</v>
      </c>
      <c r="S26" s="455">
        <v>4012.7465000000434</v>
      </c>
      <c r="T26" s="348" t="s">
        <v>350</v>
      </c>
      <c r="U26" s="348" t="s">
        <v>351</v>
      </c>
      <c r="V26" s="453" t="s">
        <v>868</v>
      </c>
      <c r="W26" s="454" t="s">
        <v>869</v>
      </c>
      <c r="X26" s="349">
        <v>1</v>
      </c>
      <c r="Y26" s="350" t="s">
        <v>583</v>
      </c>
      <c r="AB26" s="360">
        <v>4</v>
      </c>
      <c r="AC26" s="357" t="s">
        <v>344</v>
      </c>
    </row>
    <row r="27" spans="2:29" ht="29.5" customHeight="1">
      <c r="C27" s="818"/>
      <c r="AB27" s="354"/>
      <c r="AC27" s="357"/>
    </row>
    <row r="28" spans="2:29">
      <c r="C28" s="818"/>
    </row>
    <row r="29" spans="2:29">
      <c r="C29" s="818"/>
    </row>
    <row r="30" spans="2:29">
      <c r="C30" s="818"/>
    </row>
    <row r="31" spans="2:29">
      <c r="C31" s="818"/>
    </row>
    <row r="32" spans="2:29">
      <c r="C32" s="818"/>
    </row>
    <row r="33" spans="3:3">
      <c r="C33" s="818"/>
    </row>
    <row r="34" spans="3:3">
      <c r="C34" s="818"/>
    </row>
    <row r="35" spans="3:3">
      <c r="C35" s="818"/>
    </row>
    <row r="36" spans="3:3">
      <c r="C36" s="818"/>
    </row>
    <row r="67" ht="14.15" customHeight="1"/>
    <row r="77" ht="14.15" customHeight="1"/>
    <row r="87" ht="14.15" customHeight="1"/>
    <row r="112" spans="26:26">
      <c r="Z112" s="361" t="s">
        <v>552</v>
      </c>
    </row>
    <row r="113" spans="26:26">
      <c r="Z113" s="354" t="s">
        <v>553</v>
      </c>
    </row>
    <row r="116" spans="26:26" ht="18.75" customHeight="1"/>
    <row r="117" spans="26:26" ht="14.15" customHeight="1"/>
    <row r="127" spans="26:26" ht="14.15" customHeight="1"/>
    <row r="137" ht="14.15" customHeight="1"/>
    <row r="147" ht="14.15" customHeight="1"/>
    <row r="167" ht="14.15" customHeight="1"/>
    <row r="187" ht="14.15" customHeight="1"/>
    <row r="197" ht="14.15" customHeight="1"/>
    <row r="207" ht="14.15" customHeight="1"/>
    <row r="217" ht="14.15" customHeight="1"/>
    <row r="227" ht="14.15" customHeight="1"/>
    <row r="237" ht="14.15" customHeight="1"/>
    <row r="247" ht="14.15" customHeight="1"/>
    <row r="257" ht="14.15" customHeight="1"/>
    <row r="267" ht="14.15" customHeight="1"/>
    <row r="277" ht="14.15" customHeight="1"/>
    <row r="287" ht="14.15" customHeight="1"/>
    <row r="297" ht="14.15" customHeight="1"/>
  </sheetData>
  <mergeCells count="22">
    <mergeCell ref="B7:C26"/>
    <mergeCell ref="C27:C36"/>
    <mergeCell ref="AA3:AI5"/>
    <mergeCell ref="D4:D6"/>
    <mergeCell ref="E4:F4"/>
    <mergeCell ref="G4:N4"/>
    <mergeCell ref="O4:S4"/>
    <mergeCell ref="E5:E6"/>
    <mergeCell ref="F5:F6"/>
    <mergeCell ref="G5:N5"/>
    <mergeCell ref="O5:P5"/>
    <mergeCell ref="Q5:S5"/>
    <mergeCell ref="B2:Y2"/>
    <mergeCell ref="B3:C6"/>
    <mergeCell ref="D3:F3"/>
    <mergeCell ref="G3:S3"/>
    <mergeCell ref="T3:T6"/>
    <mergeCell ref="U3:U6"/>
    <mergeCell ref="V3:V6"/>
    <mergeCell ref="W3:W6"/>
    <mergeCell ref="X3:X6"/>
    <mergeCell ref="Y3:Y6"/>
  </mergeCells>
  <phoneticPr fontId="11" type="noConversion"/>
  <dataValidations count="2">
    <dataValidation type="list" allowBlank="1" showInputMessage="1" showErrorMessage="1" sqref="T1:T1048576">
      <formula1>$AC$23:$AC$27</formula1>
    </dataValidation>
    <dataValidation type="list" allowBlank="1" showInputMessage="1" showErrorMessage="1" sqref="U1:U1048576">
      <formula1>$AC$13:$AC$20</formula1>
    </dataValidation>
  </dataValidations>
  <pageMargins left="0" right="0" top="0" bottom="0" header="0" footer="0"/>
  <pageSetup paperSize="9" scale="20" orientation="landscape" horizontalDpi="300"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B2:AI297"/>
  <sheetViews>
    <sheetView zoomScale="55" zoomScaleNormal="55" workbookViewId="0">
      <pane xSplit="4" ySplit="6" topLeftCell="G7" activePane="bottomRight" state="frozen"/>
      <selection activeCell="M12" sqref="M12:Q12"/>
      <selection pane="topRight" activeCell="M12" sqref="M12:Q12"/>
      <selection pane="bottomLeft" activeCell="M12" sqref="M12:Q12"/>
      <selection pane="bottomRight" activeCell="N14" sqref="N14"/>
    </sheetView>
  </sheetViews>
  <sheetFormatPr defaultColWidth="8.81640625" defaultRowHeight="14"/>
  <cols>
    <col min="1" max="1" width="8.81640625" style="339"/>
    <col min="2" max="2" width="12.453125" style="339" customWidth="1"/>
    <col min="3" max="3" width="8.81640625" style="339"/>
    <col min="4" max="4" width="11.54296875" style="339" customWidth="1"/>
    <col min="5" max="5" width="39.26953125" style="339" bestFit="1" customWidth="1"/>
    <col min="6" max="6" width="13.453125" style="339" bestFit="1" customWidth="1"/>
    <col min="7" max="7" width="14.1796875" style="339" customWidth="1"/>
    <col min="8" max="8" width="14" style="339" customWidth="1"/>
    <col min="9" max="9" width="16.81640625" style="339" customWidth="1"/>
    <col min="10" max="10" width="14" style="339" customWidth="1"/>
    <col min="11" max="11" width="11.7265625" style="339" bestFit="1" customWidth="1"/>
    <col min="12" max="12" width="13.453125" style="339" bestFit="1" customWidth="1"/>
    <col min="13" max="13" width="19.26953125" style="339" bestFit="1" customWidth="1"/>
    <col min="14" max="14" width="15.453125" style="339" bestFit="1" customWidth="1"/>
    <col min="15" max="15" width="12.7265625" style="339" bestFit="1" customWidth="1"/>
    <col min="16" max="16" width="9.81640625" style="339" bestFit="1" customWidth="1"/>
    <col min="17" max="17" width="12.26953125" style="339" bestFit="1" customWidth="1"/>
    <col min="18" max="18" width="10.7265625" style="339" customWidth="1"/>
    <col min="19" max="19" width="10.7265625" style="339" bestFit="1" customWidth="1"/>
    <col min="20" max="20" width="12.453125" style="339" bestFit="1" customWidth="1"/>
    <col min="21" max="21" width="25.26953125" style="339" bestFit="1" customWidth="1"/>
    <col min="22" max="23" width="88.26953125" style="339" customWidth="1"/>
    <col min="24" max="24" width="7.453125" style="339" bestFit="1" customWidth="1"/>
    <col min="25" max="25" width="69.54296875" style="339" bestFit="1" customWidth="1"/>
    <col min="26" max="26" width="11.453125" style="339" bestFit="1" customWidth="1"/>
    <col min="27" max="27" width="21.54296875" style="339" customWidth="1"/>
    <col min="28" max="28" width="19.453125" style="339" bestFit="1" customWidth="1"/>
    <col min="29" max="34" width="14.453125" style="339" customWidth="1"/>
    <col min="35" max="35" width="11.453125" style="339" bestFit="1" customWidth="1"/>
    <col min="36" max="16384" width="8.81640625" style="339"/>
  </cols>
  <sheetData>
    <row r="2" spans="2:35" ht="41.15" customHeight="1">
      <c r="B2" s="793" t="s">
        <v>554</v>
      </c>
      <c r="C2" s="794"/>
      <c r="D2" s="794"/>
      <c r="E2" s="794"/>
      <c r="F2" s="794"/>
      <c r="G2" s="794"/>
      <c r="H2" s="794"/>
      <c r="I2" s="794"/>
      <c r="J2" s="794"/>
      <c r="K2" s="794"/>
      <c r="L2" s="794"/>
      <c r="M2" s="794"/>
      <c r="N2" s="794"/>
      <c r="O2" s="794"/>
      <c r="P2" s="794"/>
      <c r="Q2" s="794"/>
      <c r="R2" s="794"/>
      <c r="S2" s="794"/>
      <c r="T2" s="794"/>
      <c r="U2" s="794"/>
      <c r="V2" s="794"/>
      <c r="W2" s="794"/>
      <c r="X2" s="794"/>
      <c r="Y2" s="794"/>
      <c r="AA2" s="340"/>
      <c r="AB2" s="340"/>
    </row>
    <row r="3" spans="2:35" ht="17.149999999999999" customHeight="1">
      <c r="B3" s="795" t="s">
        <v>528</v>
      </c>
      <c r="C3" s="796"/>
      <c r="D3" s="801" t="s">
        <v>168</v>
      </c>
      <c r="E3" s="801"/>
      <c r="F3" s="801"/>
      <c r="G3" s="801" t="s">
        <v>182</v>
      </c>
      <c r="H3" s="801"/>
      <c r="I3" s="801"/>
      <c r="J3" s="801"/>
      <c r="K3" s="801"/>
      <c r="L3" s="801"/>
      <c r="M3" s="801"/>
      <c r="N3" s="801"/>
      <c r="O3" s="801"/>
      <c r="P3" s="801"/>
      <c r="Q3" s="801"/>
      <c r="R3" s="801"/>
      <c r="S3" s="801"/>
      <c r="T3" s="801" t="s">
        <v>169</v>
      </c>
      <c r="U3" s="802" t="s">
        <v>529</v>
      </c>
      <c r="V3" s="821" t="s">
        <v>555</v>
      </c>
      <c r="W3" s="821" t="s">
        <v>531</v>
      </c>
      <c r="X3" s="808" t="s">
        <v>556</v>
      </c>
      <c r="Y3" s="811" t="s">
        <v>170</v>
      </c>
      <c r="AA3" s="801" t="s">
        <v>557</v>
      </c>
      <c r="AB3" s="801"/>
      <c r="AC3" s="801"/>
      <c r="AD3" s="801"/>
      <c r="AE3" s="801"/>
      <c r="AF3" s="801"/>
      <c r="AG3" s="801"/>
      <c r="AH3" s="801"/>
      <c r="AI3" s="801"/>
    </row>
    <row r="4" spans="2:35" ht="17.149999999999999" customHeight="1">
      <c r="B4" s="797"/>
      <c r="C4" s="798"/>
      <c r="D4" s="819" t="s">
        <v>167</v>
      </c>
      <c r="E4" s="801" t="s">
        <v>171</v>
      </c>
      <c r="F4" s="801"/>
      <c r="G4" s="801" t="s">
        <v>183</v>
      </c>
      <c r="H4" s="801"/>
      <c r="I4" s="801"/>
      <c r="J4" s="801"/>
      <c r="K4" s="801"/>
      <c r="L4" s="801"/>
      <c r="M4" s="801"/>
      <c r="N4" s="801"/>
      <c r="O4" s="801" t="s">
        <v>172</v>
      </c>
      <c r="P4" s="801"/>
      <c r="Q4" s="801"/>
      <c r="R4" s="801"/>
      <c r="S4" s="801"/>
      <c r="T4" s="801"/>
      <c r="U4" s="803"/>
      <c r="V4" s="809"/>
      <c r="W4" s="822"/>
      <c r="X4" s="809"/>
      <c r="Y4" s="811"/>
      <c r="AA4" s="801"/>
      <c r="AB4" s="801"/>
      <c r="AC4" s="801"/>
      <c r="AD4" s="801"/>
      <c r="AE4" s="801"/>
      <c r="AF4" s="801"/>
      <c r="AG4" s="801"/>
      <c r="AH4" s="801"/>
      <c r="AI4" s="801"/>
    </row>
    <row r="5" spans="2:35" ht="17.149999999999999" customHeight="1">
      <c r="B5" s="797"/>
      <c r="C5" s="798"/>
      <c r="D5" s="819"/>
      <c r="E5" s="819" t="s">
        <v>173</v>
      </c>
      <c r="F5" s="811" t="s">
        <v>575</v>
      </c>
      <c r="G5" s="820" t="s">
        <v>184</v>
      </c>
      <c r="H5" s="820"/>
      <c r="I5" s="820"/>
      <c r="J5" s="820"/>
      <c r="K5" s="820"/>
      <c r="L5" s="820"/>
      <c r="M5" s="820"/>
      <c r="N5" s="820"/>
      <c r="O5" s="820" t="s">
        <v>166</v>
      </c>
      <c r="P5" s="820"/>
      <c r="Q5" s="820" t="s">
        <v>174</v>
      </c>
      <c r="R5" s="820"/>
      <c r="S5" s="820"/>
      <c r="T5" s="801"/>
      <c r="U5" s="803"/>
      <c r="V5" s="809"/>
      <c r="W5" s="822"/>
      <c r="X5" s="809"/>
      <c r="Y5" s="811"/>
      <c r="AA5" s="801"/>
      <c r="AB5" s="801"/>
      <c r="AC5" s="801"/>
      <c r="AD5" s="801"/>
      <c r="AE5" s="801"/>
      <c r="AF5" s="801"/>
      <c r="AG5" s="801"/>
      <c r="AH5" s="801"/>
      <c r="AI5" s="801"/>
    </row>
    <row r="6" spans="2:35" ht="38.5" customHeight="1">
      <c r="B6" s="799"/>
      <c r="C6" s="800"/>
      <c r="D6" s="819"/>
      <c r="E6" s="819"/>
      <c r="F6" s="811"/>
      <c r="G6" s="341" t="s">
        <v>175</v>
      </c>
      <c r="H6" s="341" t="s">
        <v>558</v>
      </c>
      <c r="I6" s="341" t="s">
        <v>559</v>
      </c>
      <c r="J6" s="341" t="s">
        <v>176</v>
      </c>
      <c r="K6" s="341" t="s">
        <v>560</v>
      </c>
      <c r="L6" s="341" t="s">
        <v>177</v>
      </c>
      <c r="M6" s="341" t="s">
        <v>185</v>
      </c>
      <c r="N6" s="341" t="s">
        <v>178</v>
      </c>
      <c r="O6" s="342" t="s">
        <v>179</v>
      </c>
      <c r="P6" s="342" t="s">
        <v>180</v>
      </c>
      <c r="Q6" s="342" t="s">
        <v>179</v>
      </c>
      <c r="R6" s="342" t="s">
        <v>180</v>
      </c>
      <c r="S6" s="341" t="s">
        <v>181</v>
      </c>
      <c r="T6" s="801"/>
      <c r="U6" s="804"/>
      <c r="V6" s="810"/>
      <c r="W6" s="823"/>
      <c r="X6" s="810"/>
      <c r="Y6" s="811"/>
      <c r="AA6" s="223" t="s">
        <v>561</v>
      </c>
      <c r="AB6" s="223" t="s">
        <v>509</v>
      </c>
      <c r="AC6" s="329" t="s">
        <v>562</v>
      </c>
      <c r="AD6" s="329" t="s">
        <v>511</v>
      </c>
      <c r="AE6" s="329" t="s">
        <v>563</v>
      </c>
      <c r="AF6" s="329" t="s">
        <v>564</v>
      </c>
      <c r="AG6" s="329" t="s">
        <v>565</v>
      </c>
      <c r="AH6" s="329" t="s">
        <v>515</v>
      </c>
      <c r="AI6" s="329" t="s">
        <v>566</v>
      </c>
    </row>
    <row r="7" spans="2:35" s="354" customFormat="1" ht="27" customHeight="1">
      <c r="B7" s="812">
        <v>11</v>
      </c>
      <c r="C7" s="813"/>
      <c r="D7" s="343">
        <v>1</v>
      </c>
      <c r="E7" s="344" t="s">
        <v>585</v>
      </c>
      <c r="F7" s="455">
        <v>7878.8466000000681</v>
      </c>
      <c r="G7" s="455">
        <v>3650.2199999999993</v>
      </c>
      <c r="H7" s="455">
        <v>3724.2</v>
      </c>
      <c r="I7" s="346">
        <v>1.0202672715617143</v>
      </c>
      <c r="J7" s="345">
        <v>1.8</v>
      </c>
      <c r="K7" s="346">
        <v>4.9312096257211901E-4</v>
      </c>
      <c r="L7" s="345">
        <v>103.97</v>
      </c>
      <c r="M7" s="346">
        <v>1.0207603925242863</v>
      </c>
      <c r="N7" s="455">
        <v>7691.7006000000492</v>
      </c>
      <c r="O7" s="345">
        <v>37.5</v>
      </c>
      <c r="P7" s="346">
        <v>1.0273353386919147E-2</v>
      </c>
      <c r="Q7" s="456">
        <v>3898.875</v>
      </c>
      <c r="R7" s="347">
        <v>75.780000000000655</v>
      </c>
      <c r="S7" s="346">
        <v>2.0760392524286391E-2</v>
      </c>
      <c r="T7" s="348" t="s">
        <v>350</v>
      </c>
      <c r="U7" s="348" t="s">
        <v>351</v>
      </c>
      <c r="V7" s="453" t="s">
        <v>870</v>
      </c>
      <c r="W7" s="453" t="s">
        <v>871</v>
      </c>
      <c r="X7" s="349">
        <v>1</v>
      </c>
      <c r="Y7" s="350" t="s">
        <v>580</v>
      </c>
      <c r="Z7" s="351" t="s">
        <v>547</v>
      </c>
      <c r="AA7" s="352">
        <f>SUM(X7:X26)</f>
        <v>20</v>
      </c>
      <c r="AB7" s="353">
        <f>SUMIF($U$7:$U$26,TRIM(AB6),$X$7:$X$26)</f>
        <v>0</v>
      </c>
      <c r="AC7" s="353">
        <f>SUMIF($U$7:$U$26,TRIM(AC6),$X$7:$X$26)</f>
        <v>1</v>
      </c>
      <c r="AD7" s="353">
        <f t="shared" ref="AD7:AI7" ca="1" si="0">SUMIF($U$7:$U$9710,TRIM(AD6),$X$7:$X$26)</f>
        <v>1</v>
      </c>
      <c r="AE7" s="353">
        <f t="shared" ca="1" si="0"/>
        <v>8</v>
      </c>
      <c r="AF7" s="353">
        <f t="shared" ca="1" si="0"/>
        <v>7</v>
      </c>
      <c r="AG7" s="353">
        <f t="shared" ca="1" si="0"/>
        <v>3</v>
      </c>
      <c r="AH7" s="353">
        <f t="shared" ca="1" si="0"/>
        <v>0</v>
      </c>
      <c r="AI7" s="353">
        <f t="shared" ca="1" si="0"/>
        <v>0</v>
      </c>
    </row>
    <row r="8" spans="2:35" s="354" customFormat="1" ht="27" customHeight="1">
      <c r="B8" s="814"/>
      <c r="C8" s="815"/>
      <c r="D8" s="343">
        <v>2</v>
      </c>
      <c r="E8" s="344" t="s">
        <v>415</v>
      </c>
      <c r="F8" s="455">
        <v>7679.1914400000705</v>
      </c>
      <c r="G8" s="455">
        <v>312.24599999999992</v>
      </c>
      <c r="H8" s="455">
        <v>320.5</v>
      </c>
      <c r="I8" s="346">
        <v>1.0264342857874884</v>
      </c>
      <c r="J8" s="345">
        <v>0</v>
      </c>
      <c r="K8" s="346">
        <v>0</v>
      </c>
      <c r="L8" s="345">
        <v>930.36</v>
      </c>
      <c r="M8" s="346">
        <v>1.0264342857874884</v>
      </c>
      <c r="N8" s="455">
        <v>7679.1914400000705</v>
      </c>
      <c r="O8" s="345">
        <v>2.8000000000000012</v>
      </c>
      <c r="P8" s="346">
        <v>8.9672886121839896E-3</v>
      </c>
      <c r="Q8" s="456">
        <v>2605.0080000000012</v>
      </c>
      <c r="R8" s="347">
        <v>8.2540000000000759</v>
      </c>
      <c r="S8" s="346">
        <v>2.6434285787488319E-2</v>
      </c>
      <c r="T8" s="355" t="s">
        <v>344</v>
      </c>
      <c r="U8" s="348" t="s">
        <v>213</v>
      </c>
      <c r="V8" s="453" t="s">
        <v>872</v>
      </c>
      <c r="W8" s="453" t="s">
        <v>873</v>
      </c>
      <c r="X8" s="349">
        <v>1</v>
      </c>
      <c r="Y8" s="350" t="s">
        <v>381</v>
      </c>
      <c r="AA8" s="352"/>
      <c r="AB8" s="356">
        <f>SUMIF($U$7:$U$26,TRIM(AB6),$F$7:$F$26)</f>
        <v>0</v>
      </c>
      <c r="AC8" s="356">
        <f>SUMIF($U$7:$U$26,TRIM(AC6),$F$7:$F$26)</f>
        <v>7878.8466000000681</v>
      </c>
      <c r="AD8" s="356">
        <f t="shared" ref="AD8:AI8" ca="1" si="1">SUMIF($U$7:$U$176,TRIM(AD6),$F$7:$F$26)</f>
        <v>5278.5849999999655</v>
      </c>
      <c r="AE8" s="356">
        <f t="shared" ca="1" si="1"/>
        <v>49819.609080000162</v>
      </c>
      <c r="AF8" s="356">
        <f t="shared" ca="1" si="1"/>
        <v>40117.543920000404</v>
      </c>
      <c r="AG8" s="356">
        <f t="shared" ca="1" si="1"/>
        <v>20971.052640000256</v>
      </c>
      <c r="AH8" s="356">
        <f t="shared" ca="1" si="1"/>
        <v>0</v>
      </c>
      <c r="AI8" s="356">
        <f t="shared" ca="1" si="1"/>
        <v>0</v>
      </c>
    </row>
    <row r="9" spans="2:35" s="354" customFormat="1" ht="27" customHeight="1">
      <c r="B9" s="814"/>
      <c r="C9" s="815"/>
      <c r="D9" s="343">
        <v>3</v>
      </c>
      <c r="E9" s="344" t="s">
        <v>354</v>
      </c>
      <c r="F9" s="455">
        <v>7653.9603600001592</v>
      </c>
      <c r="G9" s="455">
        <v>1142.3939999999998</v>
      </c>
      <c r="H9" s="455">
        <v>1156.7</v>
      </c>
      <c r="I9" s="346">
        <v>1.0125228248747808</v>
      </c>
      <c r="J9" s="345">
        <v>0.7</v>
      </c>
      <c r="K9" s="346">
        <v>6.1274831625516245E-4</v>
      </c>
      <c r="L9" s="345">
        <v>510.06</v>
      </c>
      <c r="M9" s="346">
        <v>1.0131355731910359</v>
      </c>
      <c r="N9" s="455">
        <v>7296.9183600001361</v>
      </c>
      <c r="O9" s="345">
        <v>5.4</v>
      </c>
      <c r="P9" s="346">
        <v>4.7269155825398253E-3</v>
      </c>
      <c r="Q9" s="456">
        <v>2754.324000000001</v>
      </c>
      <c r="R9" s="347">
        <v>15.006000000000313</v>
      </c>
      <c r="S9" s="346">
        <v>1.3135573191035943E-2</v>
      </c>
      <c r="T9" s="343" t="s">
        <v>344</v>
      </c>
      <c r="U9" s="348" t="s">
        <v>213</v>
      </c>
      <c r="V9" s="453" t="s">
        <v>874</v>
      </c>
      <c r="W9" s="453" t="s">
        <v>875</v>
      </c>
      <c r="X9" s="349">
        <v>1</v>
      </c>
      <c r="Y9" s="350" t="s">
        <v>355</v>
      </c>
    </row>
    <row r="10" spans="2:35" s="354" customFormat="1" ht="27" customHeight="1">
      <c r="B10" s="814"/>
      <c r="C10" s="815"/>
      <c r="D10" s="343">
        <v>4</v>
      </c>
      <c r="E10" s="344" t="s">
        <v>634</v>
      </c>
      <c r="F10" s="455">
        <v>7331.3080799999761</v>
      </c>
      <c r="G10" s="455">
        <v>3325.6740000000009</v>
      </c>
      <c r="H10" s="455">
        <v>3374.2000000000007</v>
      </c>
      <c r="I10" s="346">
        <v>1.0145913279533711</v>
      </c>
      <c r="J10" s="345">
        <v>0</v>
      </c>
      <c r="K10" s="346">
        <v>0</v>
      </c>
      <c r="L10" s="345">
        <v>151.08000000000001</v>
      </c>
      <c r="M10" s="346">
        <v>1.0145913279533711</v>
      </c>
      <c r="N10" s="455">
        <v>7331.3080799999761</v>
      </c>
      <c r="O10" s="345">
        <v>26.599999999999998</v>
      </c>
      <c r="P10" s="346">
        <v>7.9983786745183062E-3</v>
      </c>
      <c r="Q10" s="456">
        <v>4018.728000000001</v>
      </c>
      <c r="R10" s="347">
        <v>48.52599999999984</v>
      </c>
      <c r="S10" s="346">
        <v>1.4591327953371204E-2</v>
      </c>
      <c r="T10" s="348" t="s">
        <v>342</v>
      </c>
      <c r="U10" s="348" t="s">
        <v>506</v>
      </c>
      <c r="V10" s="453" t="s">
        <v>876</v>
      </c>
      <c r="W10" s="453" t="s">
        <v>877</v>
      </c>
      <c r="X10" s="349">
        <v>1</v>
      </c>
      <c r="Y10" s="350" t="s">
        <v>633</v>
      </c>
    </row>
    <row r="11" spans="2:35" s="354" customFormat="1" ht="27" customHeight="1">
      <c r="B11" s="814"/>
      <c r="C11" s="815"/>
      <c r="D11" s="343">
        <v>5</v>
      </c>
      <c r="E11" s="344" t="s">
        <v>608</v>
      </c>
      <c r="F11" s="455">
        <v>6562.8097799999614</v>
      </c>
      <c r="G11" s="455">
        <v>8169.2660000000014</v>
      </c>
      <c r="H11" s="455">
        <v>8228.3000000000011</v>
      </c>
      <c r="I11" s="346">
        <v>1.007226353016293</v>
      </c>
      <c r="J11" s="345">
        <v>0</v>
      </c>
      <c r="K11" s="346">
        <v>0</v>
      </c>
      <c r="L11" s="345">
        <v>111.17</v>
      </c>
      <c r="M11" s="346">
        <v>1.007226353016293</v>
      </c>
      <c r="N11" s="455">
        <v>6562.8097799999614</v>
      </c>
      <c r="O11" s="345">
        <v>31.899999999999995</v>
      </c>
      <c r="P11" s="346">
        <v>3.9048795815927635E-3</v>
      </c>
      <c r="Q11" s="456">
        <v>3546.3230000000008</v>
      </c>
      <c r="R11" s="347">
        <v>59.033999999999651</v>
      </c>
      <c r="S11" s="346">
        <v>7.2263530162929744E-3</v>
      </c>
      <c r="T11" s="348" t="s">
        <v>342</v>
      </c>
      <c r="U11" s="348" t="s">
        <v>506</v>
      </c>
      <c r="V11" s="453" t="s">
        <v>878</v>
      </c>
      <c r="W11" s="453" t="s">
        <v>879</v>
      </c>
      <c r="X11" s="349">
        <v>1</v>
      </c>
      <c r="Y11" s="350" t="s">
        <v>352</v>
      </c>
    </row>
    <row r="12" spans="2:35" s="354" customFormat="1" ht="27" customHeight="1">
      <c r="B12" s="814"/>
      <c r="C12" s="815"/>
      <c r="D12" s="343">
        <v>6</v>
      </c>
      <c r="E12" s="344" t="s">
        <v>417</v>
      </c>
      <c r="F12" s="455">
        <v>6416.3233599999267</v>
      </c>
      <c r="G12" s="455">
        <v>4152.1680000000006</v>
      </c>
      <c r="H12" s="455">
        <v>4201.8999999999996</v>
      </c>
      <c r="I12" s="346">
        <v>1.0119773573708961</v>
      </c>
      <c r="J12" s="345">
        <v>0.6</v>
      </c>
      <c r="K12" s="346">
        <v>1.4450282358517282E-4</v>
      </c>
      <c r="L12" s="345">
        <v>127.48</v>
      </c>
      <c r="M12" s="346">
        <v>1.0121218601944815</v>
      </c>
      <c r="N12" s="455">
        <v>6339.8353599998809</v>
      </c>
      <c r="O12" s="345">
        <v>29.5</v>
      </c>
      <c r="P12" s="346">
        <v>7.1047221596043314E-3</v>
      </c>
      <c r="Q12" s="456">
        <v>3760.6600000000003</v>
      </c>
      <c r="R12" s="347">
        <v>50.331999999999425</v>
      </c>
      <c r="S12" s="346">
        <v>1.2121860194481393E-2</v>
      </c>
      <c r="T12" s="348" t="s">
        <v>342</v>
      </c>
      <c r="U12" s="348" t="s">
        <v>506</v>
      </c>
      <c r="V12" s="453" t="s">
        <v>880</v>
      </c>
      <c r="W12" s="453" t="s">
        <v>881</v>
      </c>
      <c r="X12" s="349">
        <v>1</v>
      </c>
      <c r="Y12" s="350" t="s">
        <v>349</v>
      </c>
    </row>
    <row r="13" spans="2:35" s="354" customFormat="1" ht="27" customHeight="1">
      <c r="B13" s="814"/>
      <c r="C13" s="815"/>
      <c r="D13" s="343">
        <v>7</v>
      </c>
      <c r="E13" s="344" t="s">
        <v>618</v>
      </c>
      <c r="F13" s="455">
        <v>6393.6032000000887</v>
      </c>
      <c r="G13" s="455">
        <v>8234.26</v>
      </c>
      <c r="H13" s="455">
        <v>8322.9000000000015</v>
      </c>
      <c r="I13" s="346">
        <v>1.0107647803202717</v>
      </c>
      <c r="J13" s="345">
        <v>0</v>
      </c>
      <c r="K13" s="346">
        <v>0</v>
      </c>
      <c r="L13" s="345">
        <v>72.13</v>
      </c>
      <c r="M13" s="346">
        <v>1.0107647803202717</v>
      </c>
      <c r="N13" s="455">
        <v>6393.6032000000887</v>
      </c>
      <c r="O13" s="345">
        <v>45.1</v>
      </c>
      <c r="P13" s="346">
        <v>5.4771163407519316E-3</v>
      </c>
      <c r="Q13" s="456">
        <v>3253.0630000000001</v>
      </c>
      <c r="R13" s="347">
        <v>88.640000000001237</v>
      </c>
      <c r="S13" s="346">
        <v>1.0764780320271795E-2</v>
      </c>
      <c r="T13" s="343" t="s">
        <v>342</v>
      </c>
      <c r="U13" s="348" t="s">
        <v>506</v>
      </c>
      <c r="V13" s="453" t="s">
        <v>880</v>
      </c>
      <c r="W13" s="453" t="s">
        <v>881</v>
      </c>
      <c r="X13" s="349">
        <v>1</v>
      </c>
      <c r="Y13" s="350" t="s">
        <v>607</v>
      </c>
      <c r="AB13" s="354">
        <v>1</v>
      </c>
      <c r="AC13" s="357" t="s">
        <v>509</v>
      </c>
    </row>
    <row r="14" spans="2:35" s="354" customFormat="1" ht="27" customHeight="1">
      <c r="B14" s="814"/>
      <c r="C14" s="815"/>
      <c r="D14" s="343">
        <v>8</v>
      </c>
      <c r="E14" s="344" t="s">
        <v>615</v>
      </c>
      <c r="F14" s="455">
        <v>6342.1137000001136</v>
      </c>
      <c r="G14" s="455">
        <v>7887.2699999999986</v>
      </c>
      <c r="H14" s="455">
        <v>7932.5999999999995</v>
      </c>
      <c r="I14" s="346">
        <v>1.0057472357355588</v>
      </c>
      <c r="J14" s="345">
        <v>1</v>
      </c>
      <c r="K14" s="346">
        <v>1.2678658141536934E-4</v>
      </c>
      <c r="L14" s="345">
        <v>136.88999999999999</v>
      </c>
      <c r="M14" s="346">
        <v>1.0058740223169742</v>
      </c>
      <c r="N14" s="455">
        <v>6205.2237000001141</v>
      </c>
      <c r="O14" s="345">
        <v>24.099999999999998</v>
      </c>
      <c r="P14" s="346">
        <v>3.0555566121104011E-3</v>
      </c>
      <c r="Q14" s="456">
        <v>3299.0490000000004</v>
      </c>
      <c r="R14" s="347">
        <v>46.330000000000837</v>
      </c>
      <c r="S14" s="346">
        <v>5.8740223169741678E-3</v>
      </c>
      <c r="T14" s="348" t="s">
        <v>344</v>
      </c>
      <c r="U14" s="348" t="s">
        <v>212</v>
      </c>
      <c r="V14" s="453" t="s">
        <v>882</v>
      </c>
      <c r="W14" s="454" t="s">
        <v>883</v>
      </c>
      <c r="X14" s="349">
        <v>1</v>
      </c>
      <c r="Y14" s="350" t="s">
        <v>352</v>
      </c>
      <c r="AB14" s="354">
        <v>2</v>
      </c>
      <c r="AC14" s="357" t="s">
        <v>351</v>
      </c>
    </row>
    <row r="15" spans="2:35" s="354" customFormat="1" ht="27" customHeight="1">
      <c r="B15" s="814"/>
      <c r="C15" s="815"/>
      <c r="D15" s="343">
        <v>9</v>
      </c>
      <c r="E15" s="344" t="s">
        <v>636</v>
      </c>
      <c r="F15" s="455">
        <v>6331.0419599999677</v>
      </c>
      <c r="G15" s="455">
        <v>5240.4560000000001</v>
      </c>
      <c r="H15" s="455">
        <v>5300.7</v>
      </c>
      <c r="I15" s="346">
        <v>1.011495946154304</v>
      </c>
      <c r="J15" s="345">
        <v>0</v>
      </c>
      <c r="K15" s="346">
        <v>0</v>
      </c>
      <c r="L15" s="345">
        <v>105.09</v>
      </c>
      <c r="M15" s="346">
        <v>1.011495946154304</v>
      </c>
      <c r="N15" s="455">
        <v>6331.0419599999677</v>
      </c>
      <c r="O15" s="345">
        <v>33.4</v>
      </c>
      <c r="P15" s="346">
        <v>6.3734911618378246E-3</v>
      </c>
      <c r="Q15" s="456">
        <v>3510.0060000000012</v>
      </c>
      <c r="R15" s="347">
        <v>60.243999999999687</v>
      </c>
      <c r="S15" s="346">
        <v>1.1495946154304069E-2</v>
      </c>
      <c r="T15" s="348" t="s">
        <v>342</v>
      </c>
      <c r="U15" s="348" t="s">
        <v>506</v>
      </c>
      <c r="V15" s="453" t="s">
        <v>876</v>
      </c>
      <c r="W15" s="453" t="s">
        <v>877</v>
      </c>
      <c r="X15" s="349">
        <v>1</v>
      </c>
      <c r="Y15" s="350" t="s">
        <v>633</v>
      </c>
      <c r="AB15" s="354">
        <v>3</v>
      </c>
      <c r="AC15" s="357" t="s">
        <v>414</v>
      </c>
    </row>
    <row r="16" spans="2:35" s="354" customFormat="1" ht="27" customHeight="1">
      <c r="B16" s="814"/>
      <c r="C16" s="815"/>
      <c r="D16" s="343">
        <v>10</v>
      </c>
      <c r="E16" s="344" t="s">
        <v>416</v>
      </c>
      <c r="F16" s="455">
        <v>6208.2741000001834</v>
      </c>
      <c r="G16" s="455">
        <v>2183.23</v>
      </c>
      <c r="H16" s="455">
        <v>2193.5000000000005</v>
      </c>
      <c r="I16" s="346">
        <v>1.0047040394278204</v>
      </c>
      <c r="J16" s="345">
        <v>4.5</v>
      </c>
      <c r="K16" s="346">
        <v>2.0611662536700209E-3</v>
      </c>
      <c r="L16" s="345">
        <v>420.33</v>
      </c>
      <c r="M16" s="346">
        <v>1.0067652056814904</v>
      </c>
      <c r="N16" s="455">
        <v>4316.7891000001837</v>
      </c>
      <c r="O16" s="345">
        <v>5.9999999999999991</v>
      </c>
      <c r="P16" s="346">
        <v>2.7482216715600276E-3</v>
      </c>
      <c r="Q16" s="456">
        <v>2521.9799999999996</v>
      </c>
      <c r="R16" s="347">
        <v>14.770000000000437</v>
      </c>
      <c r="S16" s="346">
        <v>6.7652056814904689E-3</v>
      </c>
      <c r="T16" s="348" t="s">
        <v>344</v>
      </c>
      <c r="U16" s="348" t="s">
        <v>212</v>
      </c>
      <c r="V16" s="453" t="s">
        <v>882</v>
      </c>
      <c r="W16" s="453" t="s">
        <v>883</v>
      </c>
      <c r="X16" s="349">
        <v>1</v>
      </c>
      <c r="Y16" s="350" t="s">
        <v>391</v>
      </c>
      <c r="AB16" s="354">
        <v>4</v>
      </c>
      <c r="AC16" s="357" t="s">
        <v>548</v>
      </c>
    </row>
    <row r="17" spans="2:29" s="354" customFormat="1" ht="27" customHeight="1">
      <c r="B17" s="814"/>
      <c r="C17" s="815"/>
      <c r="D17" s="343">
        <v>11</v>
      </c>
      <c r="E17" s="344" t="s">
        <v>844</v>
      </c>
      <c r="F17" s="455">
        <v>5888.7488000001031</v>
      </c>
      <c r="G17" s="455">
        <v>9027.7199999999975</v>
      </c>
      <c r="H17" s="455">
        <v>9106.6999999999989</v>
      </c>
      <c r="I17" s="346">
        <v>1.0087486098372569</v>
      </c>
      <c r="J17" s="345">
        <v>0</v>
      </c>
      <c r="K17" s="346">
        <v>0</v>
      </c>
      <c r="L17" s="345">
        <v>74.56</v>
      </c>
      <c r="M17" s="346">
        <v>1.0087486098372569</v>
      </c>
      <c r="N17" s="455">
        <v>5888.7488000001031</v>
      </c>
      <c r="O17" s="345">
        <v>35.800000000000004</v>
      </c>
      <c r="P17" s="346">
        <v>3.9655638411470462E-3</v>
      </c>
      <c r="Q17" s="456">
        <v>2669.248</v>
      </c>
      <c r="R17" s="347">
        <v>78.980000000001382</v>
      </c>
      <c r="S17" s="346">
        <v>8.7486098372569609E-3</v>
      </c>
      <c r="T17" s="348" t="s">
        <v>342</v>
      </c>
      <c r="U17" s="348" t="s">
        <v>506</v>
      </c>
      <c r="V17" s="453" t="s">
        <v>876</v>
      </c>
      <c r="W17" s="453" t="s">
        <v>877</v>
      </c>
      <c r="X17" s="349">
        <v>1</v>
      </c>
      <c r="Y17" s="350" t="s">
        <v>742</v>
      </c>
      <c r="AB17" s="354">
        <v>5</v>
      </c>
      <c r="AC17" s="357" t="s">
        <v>212</v>
      </c>
    </row>
    <row r="18" spans="2:29" s="354" customFormat="1" ht="27" customHeight="1">
      <c r="B18" s="814"/>
      <c r="C18" s="815"/>
      <c r="D18" s="343">
        <v>12</v>
      </c>
      <c r="E18" s="344" t="s">
        <v>624</v>
      </c>
      <c r="F18" s="455">
        <v>5796.6040000000821</v>
      </c>
      <c r="G18" s="455">
        <v>553.17499999999995</v>
      </c>
      <c r="H18" s="455">
        <v>562.90000000000009</v>
      </c>
      <c r="I18" s="346">
        <v>1.0175803317214265</v>
      </c>
      <c r="J18" s="345">
        <v>3.2</v>
      </c>
      <c r="K18" s="346">
        <v>5.7847878157906638E-3</v>
      </c>
      <c r="L18" s="345">
        <v>448.48</v>
      </c>
      <c r="M18" s="346">
        <v>1.0233651195372173</v>
      </c>
      <c r="N18" s="455">
        <v>4361.4680000000617</v>
      </c>
      <c r="O18" s="345">
        <v>5.4999999999999991</v>
      </c>
      <c r="P18" s="346">
        <v>9.9426040583902014E-3</v>
      </c>
      <c r="Q18" s="456">
        <v>2466.6399999999994</v>
      </c>
      <c r="R18" s="347">
        <v>12.925000000000182</v>
      </c>
      <c r="S18" s="346">
        <v>2.3365119537217306E-2</v>
      </c>
      <c r="T18" s="343" t="s">
        <v>344</v>
      </c>
      <c r="U18" s="348" t="s">
        <v>212</v>
      </c>
      <c r="V18" s="453" t="s">
        <v>882</v>
      </c>
      <c r="W18" s="453" t="s">
        <v>883</v>
      </c>
      <c r="X18" s="349">
        <v>1</v>
      </c>
      <c r="Y18" s="350" t="s">
        <v>583</v>
      </c>
      <c r="AB18" s="354">
        <v>6</v>
      </c>
      <c r="AC18" s="357" t="s">
        <v>213</v>
      </c>
    </row>
    <row r="19" spans="2:29" s="354" customFormat="1" ht="27" customHeight="1">
      <c r="B19" s="814"/>
      <c r="C19" s="815"/>
      <c r="D19" s="343">
        <v>13</v>
      </c>
      <c r="E19" s="344" t="s">
        <v>635</v>
      </c>
      <c r="F19" s="455">
        <v>5691.8412000001135</v>
      </c>
      <c r="G19" s="455">
        <v>9428.7599999999984</v>
      </c>
      <c r="H19" s="455">
        <v>9508.5</v>
      </c>
      <c r="I19" s="346">
        <v>1.0084571035852012</v>
      </c>
      <c r="J19" s="345">
        <v>0</v>
      </c>
      <c r="K19" s="346">
        <v>0</v>
      </c>
      <c r="L19" s="345">
        <v>71.38</v>
      </c>
      <c r="M19" s="346">
        <v>1.0084571035852012</v>
      </c>
      <c r="N19" s="455">
        <v>5691.8412000001135</v>
      </c>
      <c r="O19" s="345">
        <v>40.29999999999999</v>
      </c>
      <c r="P19" s="346">
        <v>4.2741569411036016E-3</v>
      </c>
      <c r="Q19" s="456">
        <v>2876.614</v>
      </c>
      <c r="R19" s="347">
        <v>79.740000000001601</v>
      </c>
      <c r="S19" s="346">
        <v>8.4571035852011936E-3</v>
      </c>
      <c r="T19" s="348" t="s">
        <v>342</v>
      </c>
      <c r="U19" s="348" t="s">
        <v>506</v>
      </c>
      <c r="V19" s="453" t="s">
        <v>880</v>
      </c>
      <c r="W19" s="454" t="s">
        <v>881</v>
      </c>
      <c r="X19" s="349">
        <v>1</v>
      </c>
      <c r="Y19" s="350" t="s">
        <v>606</v>
      </c>
      <c r="AB19" s="354">
        <v>7</v>
      </c>
      <c r="AC19" s="357" t="s">
        <v>550</v>
      </c>
    </row>
    <row r="20" spans="2:29" s="354" customFormat="1" ht="27" customHeight="1">
      <c r="B20" s="814"/>
      <c r="C20" s="815"/>
      <c r="D20" s="343">
        <v>14</v>
      </c>
      <c r="E20" s="344" t="s">
        <v>348</v>
      </c>
      <c r="F20" s="455">
        <v>5637.9008400000275</v>
      </c>
      <c r="G20" s="455">
        <v>530.06399999999996</v>
      </c>
      <c r="H20" s="455">
        <v>537.5</v>
      </c>
      <c r="I20" s="346">
        <v>1.0140284946723415</v>
      </c>
      <c r="J20" s="345">
        <v>0</v>
      </c>
      <c r="K20" s="346">
        <v>0</v>
      </c>
      <c r="L20" s="345">
        <v>758.19</v>
      </c>
      <c r="M20" s="346">
        <v>1.0140284946723415</v>
      </c>
      <c r="N20" s="455">
        <v>5637.9008400000275</v>
      </c>
      <c r="O20" s="345">
        <v>3.7000000000000015</v>
      </c>
      <c r="P20" s="346">
        <v>6.9802891726282144E-3</v>
      </c>
      <c r="Q20" s="456">
        <v>2805.3029999999994</v>
      </c>
      <c r="R20" s="347">
        <v>7.4360000000000355</v>
      </c>
      <c r="S20" s="346">
        <v>1.4028494672341522E-2</v>
      </c>
      <c r="T20" s="348" t="s">
        <v>344</v>
      </c>
      <c r="U20" s="348" t="s">
        <v>213</v>
      </c>
      <c r="V20" s="453" t="s">
        <v>872</v>
      </c>
      <c r="W20" s="453" t="s">
        <v>873</v>
      </c>
      <c r="X20" s="349">
        <v>1</v>
      </c>
      <c r="Y20" s="350" t="s">
        <v>349</v>
      </c>
      <c r="AB20" s="354">
        <v>8</v>
      </c>
      <c r="AC20" s="358" t="s">
        <v>551</v>
      </c>
    </row>
    <row r="21" spans="2:29" s="354" customFormat="1" ht="27" customHeight="1">
      <c r="B21" s="814"/>
      <c r="C21" s="815"/>
      <c r="D21" s="343">
        <v>15</v>
      </c>
      <c r="E21" s="344" t="s">
        <v>612</v>
      </c>
      <c r="F21" s="455">
        <v>5591.1699999998145</v>
      </c>
      <c r="G21" s="455">
        <v>1806.0000000000005</v>
      </c>
      <c r="H21" s="455">
        <v>1825.0999999999997</v>
      </c>
      <c r="I21" s="346">
        <v>1.0105758582502764</v>
      </c>
      <c r="J21" s="345">
        <v>1.4</v>
      </c>
      <c r="K21" s="346">
        <v>7.7519379844961218E-4</v>
      </c>
      <c r="L21" s="345">
        <v>272.74</v>
      </c>
      <c r="M21" s="346">
        <v>1.0113510520487261</v>
      </c>
      <c r="N21" s="455">
        <v>5209.3339999997897</v>
      </c>
      <c r="O21" s="345">
        <v>10.6</v>
      </c>
      <c r="P21" s="346">
        <v>5.8693244739756352E-3</v>
      </c>
      <c r="Q21" s="456">
        <v>2891.0439999999999</v>
      </c>
      <c r="R21" s="347">
        <v>20.499999999999318</v>
      </c>
      <c r="S21" s="346">
        <v>1.1351052048726086E-2</v>
      </c>
      <c r="T21" s="343" t="s">
        <v>344</v>
      </c>
      <c r="U21" s="348" t="s">
        <v>212</v>
      </c>
      <c r="V21" s="453" t="s">
        <v>882</v>
      </c>
      <c r="W21" s="453" t="s">
        <v>883</v>
      </c>
      <c r="X21" s="349">
        <v>1</v>
      </c>
      <c r="Y21" s="350" t="s">
        <v>345</v>
      </c>
      <c r="AC21" s="357"/>
    </row>
    <row r="22" spans="2:29" s="354" customFormat="1" ht="27" customHeight="1">
      <c r="B22" s="814"/>
      <c r="C22" s="815"/>
      <c r="D22" s="343">
        <v>16</v>
      </c>
      <c r="E22" s="344" t="s">
        <v>638</v>
      </c>
      <c r="F22" s="455">
        <v>5565.015900000255</v>
      </c>
      <c r="G22" s="455">
        <v>1496.3849999999993</v>
      </c>
      <c r="H22" s="455">
        <v>1516.4000000000003</v>
      </c>
      <c r="I22" s="346">
        <v>1.0133755684533066</v>
      </c>
      <c r="J22" s="345">
        <v>0.1</v>
      </c>
      <c r="K22" s="346">
        <v>6.6827721475422471E-5</v>
      </c>
      <c r="L22" s="345">
        <v>276.66000000000003</v>
      </c>
      <c r="M22" s="346">
        <v>1.0134423961747818</v>
      </c>
      <c r="N22" s="455">
        <v>5537.3499000002794</v>
      </c>
      <c r="O22" s="345">
        <v>7.0000000000000027</v>
      </c>
      <c r="P22" s="346">
        <v>4.6779405032795745E-3</v>
      </c>
      <c r="Q22" s="456">
        <v>1936.6200000000006</v>
      </c>
      <c r="R22" s="347">
        <v>20.115000000000919</v>
      </c>
      <c r="S22" s="346">
        <v>1.3442396174781842E-2</v>
      </c>
      <c r="T22" s="348" t="s">
        <v>344</v>
      </c>
      <c r="U22" s="348" t="s">
        <v>212</v>
      </c>
      <c r="V22" s="453" t="s">
        <v>884</v>
      </c>
      <c r="W22" s="453" t="s">
        <v>885</v>
      </c>
      <c r="X22" s="349">
        <v>1</v>
      </c>
      <c r="Y22" s="350" t="s">
        <v>637</v>
      </c>
      <c r="AC22" s="357"/>
    </row>
    <row r="23" spans="2:29" s="354" customFormat="1" ht="27" customHeight="1">
      <c r="B23" s="814"/>
      <c r="C23" s="815"/>
      <c r="D23" s="343">
        <v>17</v>
      </c>
      <c r="E23" s="344" t="s">
        <v>631</v>
      </c>
      <c r="F23" s="455">
        <v>5338.7915199998497</v>
      </c>
      <c r="G23" s="455">
        <v>1251.5040000000004</v>
      </c>
      <c r="H23" s="455">
        <v>1268.1999999999998</v>
      </c>
      <c r="I23" s="346">
        <v>1.0133407484115109</v>
      </c>
      <c r="J23" s="345">
        <v>2.5</v>
      </c>
      <c r="K23" s="346">
        <v>1.9975964919009444E-3</v>
      </c>
      <c r="L23" s="345">
        <v>278.12</v>
      </c>
      <c r="M23" s="346">
        <v>1.0153383449034117</v>
      </c>
      <c r="N23" s="455">
        <v>4643.4915199998495</v>
      </c>
      <c r="O23" s="345">
        <v>11</v>
      </c>
      <c r="P23" s="346">
        <v>8.7894245643641549E-3</v>
      </c>
      <c r="Q23" s="456">
        <v>3059.3199999999993</v>
      </c>
      <c r="R23" s="347">
        <v>19.195999999999458</v>
      </c>
      <c r="S23" s="346">
        <v>1.5338344903411776E-2</v>
      </c>
      <c r="T23" s="348" t="s">
        <v>344</v>
      </c>
      <c r="U23" s="348" t="s">
        <v>212</v>
      </c>
      <c r="V23" s="453" t="s">
        <v>882</v>
      </c>
      <c r="W23" s="453" t="s">
        <v>883</v>
      </c>
      <c r="X23" s="349">
        <v>1</v>
      </c>
      <c r="Y23" s="350" t="s">
        <v>580</v>
      </c>
      <c r="AB23" s="359">
        <v>1</v>
      </c>
      <c r="AC23" s="357" t="s">
        <v>350</v>
      </c>
    </row>
    <row r="24" spans="2:29" s="354" customFormat="1" ht="27" customHeight="1">
      <c r="B24" s="814"/>
      <c r="C24" s="815"/>
      <c r="D24" s="343">
        <v>18</v>
      </c>
      <c r="E24" s="344" t="s">
        <v>632</v>
      </c>
      <c r="F24" s="455">
        <v>5278.5849999999655</v>
      </c>
      <c r="G24" s="455">
        <v>2926.25</v>
      </c>
      <c r="H24" s="455">
        <v>2996.4999999999995</v>
      </c>
      <c r="I24" s="346">
        <v>1.0240068346860314</v>
      </c>
      <c r="J24" s="345">
        <v>0</v>
      </c>
      <c r="K24" s="346">
        <v>0</v>
      </c>
      <c r="L24" s="345">
        <v>75.14</v>
      </c>
      <c r="M24" s="346">
        <v>1.0240068346860314</v>
      </c>
      <c r="N24" s="455">
        <v>5278.5849999999655</v>
      </c>
      <c r="O24" s="345">
        <v>39.6</v>
      </c>
      <c r="P24" s="346">
        <v>1.3532678342588637E-2</v>
      </c>
      <c r="Q24" s="456">
        <v>2975.5440000000003</v>
      </c>
      <c r="R24" s="347">
        <v>70.249999999999545</v>
      </c>
      <c r="S24" s="346">
        <v>2.4006834686031455E-2</v>
      </c>
      <c r="T24" s="348" t="s">
        <v>350</v>
      </c>
      <c r="U24" s="348" t="s">
        <v>414</v>
      </c>
      <c r="V24" s="453" t="s">
        <v>870</v>
      </c>
      <c r="W24" s="453" t="s">
        <v>871</v>
      </c>
      <c r="X24" s="349">
        <v>1</v>
      </c>
      <c r="Y24" s="350" t="s">
        <v>352</v>
      </c>
      <c r="AB24" s="354">
        <v>2</v>
      </c>
      <c r="AC24" s="357" t="s">
        <v>418</v>
      </c>
    </row>
    <row r="25" spans="2:29" s="354" customFormat="1" ht="27" customHeight="1">
      <c r="B25" s="814"/>
      <c r="C25" s="815"/>
      <c r="D25" s="343">
        <v>19</v>
      </c>
      <c r="E25" s="344" t="s">
        <v>568</v>
      </c>
      <c r="F25" s="455">
        <v>5275.5747000001138</v>
      </c>
      <c r="G25" s="455">
        <v>1433.7899999999997</v>
      </c>
      <c r="H25" s="455">
        <v>1439.6</v>
      </c>
      <c r="I25" s="346">
        <v>1.0040521973231786</v>
      </c>
      <c r="J25" s="345">
        <v>6.3999999999999995</v>
      </c>
      <c r="K25" s="346">
        <v>4.4636941253600598E-3</v>
      </c>
      <c r="L25" s="345">
        <v>432.07</v>
      </c>
      <c r="M25" s="346">
        <v>1.0085158914485386</v>
      </c>
      <c r="N25" s="455">
        <v>2510.3267000000747</v>
      </c>
      <c r="O25" s="345">
        <v>4</v>
      </c>
      <c r="P25" s="346">
        <v>2.7898088283500378E-3</v>
      </c>
      <c r="Q25" s="456">
        <v>1728.28</v>
      </c>
      <c r="R25" s="347">
        <v>12.210000000000264</v>
      </c>
      <c r="S25" s="346">
        <v>8.5158914485386743E-3</v>
      </c>
      <c r="T25" s="348" t="s">
        <v>344</v>
      </c>
      <c r="U25" s="348" t="s">
        <v>212</v>
      </c>
      <c r="V25" s="453" t="s">
        <v>882</v>
      </c>
      <c r="W25" s="454" t="s">
        <v>883</v>
      </c>
      <c r="X25" s="349">
        <v>1</v>
      </c>
      <c r="Y25" s="350" t="s">
        <v>375</v>
      </c>
      <c r="AB25" s="360">
        <v>3</v>
      </c>
      <c r="AC25" s="357" t="s">
        <v>342</v>
      </c>
    </row>
    <row r="26" spans="2:29" s="354" customFormat="1" ht="27" customHeight="1">
      <c r="B26" s="816"/>
      <c r="C26" s="817"/>
      <c r="D26" s="343">
        <v>20</v>
      </c>
      <c r="E26" s="344" t="s">
        <v>616</v>
      </c>
      <c r="F26" s="455">
        <v>5203.9327000000249</v>
      </c>
      <c r="G26" s="455">
        <v>4556.0099999999993</v>
      </c>
      <c r="H26" s="455">
        <v>4626.3999999999996</v>
      </c>
      <c r="I26" s="346">
        <v>1.0154499221906887</v>
      </c>
      <c r="J26" s="345">
        <v>0</v>
      </c>
      <c r="K26" s="346">
        <v>0</v>
      </c>
      <c r="L26" s="345">
        <v>73.930000000000007</v>
      </c>
      <c r="M26" s="346">
        <v>1.0154499221906887</v>
      </c>
      <c r="N26" s="455">
        <v>5203.9327000000249</v>
      </c>
      <c r="O26" s="345">
        <v>40.400000000000006</v>
      </c>
      <c r="P26" s="346">
        <v>8.8674081048988069E-3</v>
      </c>
      <c r="Q26" s="456">
        <v>2986.7719999999999</v>
      </c>
      <c r="R26" s="347">
        <v>70.390000000000327</v>
      </c>
      <c r="S26" s="346">
        <v>1.5449922190688857E-2</v>
      </c>
      <c r="T26" s="348" t="s">
        <v>342</v>
      </c>
      <c r="U26" s="348" t="s">
        <v>506</v>
      </c>
      <c r="V26" s="453" t="s">
        <v>876</v>
      </c>
      <c r="W26" s="453" t="s">
        <v>877</v>
      </c>
      <c r="X26" s="349">
        <v>1</v>
      </c>
      <c r="Y26" s="350" t="s">
        <v>617</v>
      </c>
      <c r="AB26" s="360">
        <v>4</v>
      </c>
      <c r="AC26" s="357" t="s">
        <v>344</v>
      </c>
    </row>
    <row r="27" spans="2:29" ht="29.5" customHeight="1">
      <c r="C27" s="818"/>
      <c r="AB27" s="354"/>
      <c r="AC27" s="357"/>
    </row>
    <row r="28" spans="2:29">
      <c r="C28" s="818"/>
    </row>
    <row r="29" spans="2:29">
      <c r="C29" s="818"/>
    </row>
    <row r="30" spans="2:29">
      <c r="C30" s="818"/>
    </row>
    <row r="31" spans="2:29">
      <c r="C31" s="818"/>
    </row>
    <row r="32" spans="2:29">
      <c r="C32" s="818"/>
    </row>
    <row r="33" spans="3:3">
      <c r="C33" s="818"/>
    </row>
    <row r="34" spans="3:3">
      <c r="C34" s="818"/>
    </row>
    <row r="35" spans="3:3">
      <c r="C35" s="818"/>
    </row>
    <row r="36" spans="3:3">
      <c r="C36" s="818"/>
    </row>
    <row r="67" ht="14.15" customHeight="1"/>
    <row r="77" ht="14.15" customHeight="1"/>
    <row r="87" ht="14.15" customHeight="1"/>
    <row r="112" spans="26:26">
      <c r="Z112" s="361" t="s">
        <v>552</v>
      </c>
    </row>
    <row r="113" spans="26:26">
      <c r="Z113" s="354" t="s">
        <v>553</v>
      </c>
    </row>
    <row r="116" spans="26:26" ht="18.75" customHeight="1"/>
    <row r="117" spans="26:26" ht="14.15" customHeight="1"/>
    <row r="127" spans="26:26" ht="14.15" customHeight="1"/>
    <row r="137" ht="14.15" customHeight="1"/>
    <row r="147" ht="14.15" customHeight="1"/>
    <row r="167" ht="14.15" customHeight="1"/>
    <row r="187" ht="14.15" customHeight="1"/>
    <row r="197" ht="14.15" customHeight="1"/>
    <row r="207" ht="14.15" customHeight="1"/>
    <row r="217" ht="14.15" customHeight="1"/>
    <row r="227" ht="14.15" customHeight="1"/>
    <row r="237" ht="14.15" customHeight="1"/>
    <row r="247" ht="14.15" customHeight="1"/>
    <row r="257" ht="14.15" customHeight="1"/>
    <row r="267" ht="14.15" customHeight="1"/>
    <row r="277" ht="14.15" customHeight="1"/>
    <row r="287" ht="14.15" customHeight="1"/>
    <row r="297" ht="14.15" customHeight="1"/>
  </sheetData>
  <mergeCells count="22">
    <mergeCell ref="B7:C26"/>
    <mergeCell ref="C27:C36"/>
    <mergeCell ref="AA3:AI5"/>
    <mergeCell ref="D4:D6"/>
    <mergeCell ref="E4:F4"/>
    <mergeCell ref="G4:N4"/>
    <mergeCell ref="O4:S4"/>
    <mergeCell ref="E5:E6"/>
    <mergeCell ref="F5:F6"/>
    <mergeCell ref="G5:N5"/>
    <mergeCell ref="O5:P5"/>
    <mergeCell ref="Q5:S5"/>
    <mergeCell ref="B2:Y2"/>
    <mergeCell ref="B3:C6"/>
    <mergeCell ref="D3:F3"/>
    <mergeCell ref="G3:S3"/>
    <mergeCell ref="T3:T6"/>
    <mergeCell ref="U3:U6"/>
    <mergeCell ref="V3:V6"/>
    <mergeCell ref="W3:W6"/>
    <mergeCell ref="X3:X6"/>
    <mergeCell ref="Y3:Y6"/>
  </mergeCells>
  <phoneticPr fontId="11" type="noConversion"/>
  <dataValidations disablePrompts="1" count="2">
    <dataValidation type="list" allowBlank="1" showInputMessage="1" showErrorMessage="1" sqref="U1:U1048576">
      <formula1>$AC$13:$AC$20</formula1>
    </dataValidation>
    <dataValidation type="list" allowBlank="1" showInputMessage="1" showErrorMessage="1" sqref="T1:T1048576">
      <formula1>$AC$23:$AC$27</formula1>
    </dataValidation>
  </dataValidations>
  <pageMargins left="0" right="0" top="0" bottom="0" header="0" footer="0"/>
  <pageSetup paperSize="9" scale="20" orientation="landscape" horizontalDpi="300" verticalDpi="3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O63"/>
  <sheetViews>
    <sheetView zoomScale="75" zoomScaleNormal="75" workbookViewId="0">
      <selection activeCell="O33" sqref="O4:O34"/>
    </sheetView>
  </sheetViews>
  <sheetFormatPr defaultColWidth="8.26953125" defaultRowHeight="15.5"/>
  <cols>
    <col min="1" max="1" width="18.453125" style="362" customWidth="1"/>
    <col min="2" max="2" width="21.1796875" style="362" bestFit="1" customWidth="1"/>
    <col min="3" max="6" width="14.26953125" style="362" customWidth="1"/>
    <col min="7" max="10" width="18.453125" style="362" customWidth="1"/>
    <col min="11" max="11" width="17.1796875" style="362" bestFit="1" customWidth="1"/>
    <col min="12" max="12" width="16" style="362" customWidth="1"/>
    <col min="13" max="13" width="23.26953125" style="362" bestFit="1" customWidth="1"/>
    <col min="14" max="15" width="13.26953125" style="362" bestFit="1" customWidth="1"/>
    <col min="16" max="16" width="8.26953125" style="362"/>
    <col min="17" max="17" width="12.81640625" style="362" bestFit="1" customWidth="1"/>
    <col min="18" max="16384" width="8.26953125" style="362"/>
  </cols>
  <sheetData>
    <row r="1" spans="1:15" ht="27" customHeight="1">
      <c r="A1" s="825" t="s">
        <v>586</v>
      </c>
      <c r="B1" s="825"/>
      <c r="C1" s="825"/>
      <c r="D1" s="825"/>
      <c r="E1" s="825"/>
      <c r="F1" s="825"/>
      <c r="G1" s="825"/>
      <c r="H1" s="825"/>
      <c r="I1" s="825"/>
      <c r="J1" s="825"/>
      <c r="K1" s="825"/>
      <c r="L1" s="825"/>
      <c r="M1" s="825"/>
      <c r="N1" s="825"/>
      <c r="O1" s="825"/>
    </row>
    <row r="2" spans="1:15" ht="16.5" customHeight="1">
      <c r="A2" s="826" t="s">
        <v>587</v>
      </c>
      <c r="B2" s="826" t="s">
        <v>588</v>
      </c>
      <c r="C2" s="826" t="s">
        <v>589</v>
      </c>
      <c r="D2" s="826" t="s">
        <v>590</v>
      </c>
      <c r="E2" s="826" t="s">
        <v>591</v>
      </c>
      <c r="F2" s="826" t="s">
        <v>592</v>
      </c>
      <c r="G2" s="826" t="s">
        <v>593</v>
      </c>
      <c r="H2" s="826"/>
      <c r="I2" s="826" t="s">
        <v>594</v>
      </c>
      <c r="J2" s="826"/>
      <c r="K2" s="826" t="s">
        <v>595</v>
      </c>
      <c r="L2" s="826"/>
      <c r="M2" s="827" t="s">
        <v>596</v>
      </c>
      <c r="N2" s="827"/>
      <c r="O2" s="827"/>
    </row>
    <row r="3" spans="1:15" ht="37.5" customHeight="1">
      <c r="A3" s="826"/>
      <c r="B3" s="826"/>
      <c r="C3" s="826"/>
      <c r="D3" s="826"/>
      <c r="E3" s="826"/>
      <c r="F3" s="826"/>
      <c r="G3" s="393" t="s">
        <v>597</v>
      </c>
      <c r="H3" s="393" t="s">
        <v>598</v>
      </c>
      <c r="I3" s="393" t="s">
        <v>597</v>
      </c>
      <c r="J3" s="393" t="s">
        <v>598</v>
      </c>
      <c r="K3" s="393" t="s">
        <v>599</v>
      </c>
      <c r="L3" s="393" t="s">
        <v>600</v>
      </c>
      <c r="M3" s="393" t="s">
        <v>601</v>
      </c>
      <c r="N3" s="363" t="s">
        <v>602</v>
      </c>
      <c r="O3" s="363" t="s">
        <v>603</v>
      </c>
    </row>
    <row r="4" spans="1:15" ht="18">
      <c r="A4" s="457">
        <v>45992</v>
      </c>
      <c r="B4" s="377">
        <v>7543855</v>
      </c>
      <c r="C4" s="377">
        <v>18406</v>
      </c>
      <c r="D4" s="400">
        <v>2.4398666199178009E-3</v>
      </c>
      <c r="E4" s="378">
        <v>15289.99541800483</v>
      </c>
      <c r="F4" s="367">
        <v>2.0268145951910302E-3</v>
      </c>
      <c r="G4" s="377">
        <v>1561.5250000000001</v>
      </c>
      <c r="H4" s="368">
        <v>8.4837824622405744E-2</v>
      </c>
      <c r="I4" s="369">
        <v>1342.3432099999959</v>
      </c>
      <c r="J4" s="368">
        <v>8.779225717878969E-2</v>
      </c>
      <c r="K4" s="379">
        <v>3256.8990000000017</v>
      </c>
      <c r="L4" s="380">
        <v>0.17694768010431391</v>
      </c>
      <c r="M4" s="458">
        <f>SUM(B4)</f>
        <v>7543855</v>
      </c>
      <c r="N4" s="458">
        <f>SUM(C4)</f>
        <v>18406</v>
      </c>
      <c r="O4" s="458">
        <f>SUM(E4)</f>
        <v>15289.99541800483</v>
      </c>
    </row>
    <row r="5" spans="1:15" ht="18">
      <c r="A5" s="372">
        <f>A4+1</f>
        <v>45993</v>
      </c>
      <c r="B5" s="377">
        <v>7236654</v>
      </c>
      <c r="C5" s="377">
        <v>17660</v>
      </c>
      <c r="D5" s="400">
        <v>2.4403543405557321E-3</v>
      </c>
      <c r="E5" s="378">
        <v>15368.912016474487</v>
      </c>
      <c r="F5" s="367">
        <v>2.1237594082119289E-3</v>
      </c>
      <c r="G5" s="377">
        <v>1468.518</v>
      </c>
      <c r="H5" s="368">
        <v>8.3155039637599099E-2</v>
      </c>
      <c r="I5" s="369">
        <v>1615.4171899999928</v>
      </c>
      <c r="J5" s="368">
        <v>0.10510940450881424</v>
      </c>
      <c r="K5" s="379">
        <v>2777.7230000000004</v>
      </c>
      <c r="L5" s="380">
        <v>0.15728895809739527</v>
      </c>
      <c r="M5" s="824">
        <f t="shared" ref="M5" si="0">SUM(B5:B11)</f>
        <v>47582302</v>
      </c>
      <c r="N5" s="824">
        <f>SUM(C5:C11)</f>
        <v>116707.33200000001</v>
      </c>
      <c r="O5" s="824">
        <f>SUM(E5:E11)</f>
        <v>104435.35944224003</v>
      </c>
    </row>
    <row r="6" spans="1:15" ht="18">
      <c r="A6" s="372">
        <f t="shared" ref="A6:A34" si="1">A5+1</f>
        <v>45994</v>
      </c>
      <c r="B6" s="377">
        <v>6888543</v>
      </c>
      <c r="C6" s="377">
        <v>16806.167000000001</v>
      </c>
      <c r="D6" s="400">
        <v>2.4397273850217675E-3</v>
      </c>
      <c r="E6" s="378">
        <v>15330.114731498068</v>
      </c>
      <c r="F6" s="367">
        <v>2.2254509743929985E-3</v>
      </c>
      <c r="G6" s="377">
        <v>1577.9150000000002</v>
      </c>
      <c r="H6" s="368">
        <v>9.3889046800498893E-2</v>
      </c>
      <c r="I6" s="369">
        <v>1787.2988400000004</v>
      </c>
      <c r="J6" s="368">
        <v>0.11658744055761835</v>
      </c>
      <c r="K6" s="379">
        <v>3085.6879999999996</v>
      </c>
      <c r="L6" s="380">
        <v>0.18360450660760419</v>
      </c>
      <c r="M6" s="824"/>
      <c r="N6" s="824"/>
      <c r="O6" s="824"/>
    </row>
    <row r="7" spans="1:15" ht="18">
      <c r="A7" s="372">
        <f t="shared" si="1"/>
        <v>45995</v>
      </c>
      <c r="B7" s="377">
        <v>6535954</v>
      </c>
      <c r="C7" s="377">
        <v>16156.165000000012</v>
      </c>
      <c r="D7" s="400">
        <v>2.4718908670409876E-3</v>
      </c>
      <c r="E7" s="378">
        <v>15663.999577474271</v>
      </c>
      <c r="F7" s="367">
        <v>2.3965896298343394E-3</v>
      </c>
      <c r="G7" s="377">
        <v>1455.2670000000001</v>
      </c>
      <c r="H7" s="368">
        <v>9.0075027087183068E-2</v>
      </c>
      <c r="I7" s="369">
        <v>1546.5034999999932</v>
      </c>
      <c r="J7" s="368">
        <v>9.8729797096263575E-2</v>
      </c>
      <c r="K7" s="379">
        <v>3345.1859999999983</v>
      </c>
      <c r="L7" s="380">
        <v>0.20705322086027197</v>
      </c>
      <c r="M7" s="824"/>
      <c r="N7" s="824"/>
      <c r="O7" s="824"/>
    </row>
    <row r="8" spans="1:15" ht="18">
      <c r="A8" s="372">
        <f t="shared" si="1"/>
        <v>45996</v>
      </c>
      <c r="B8" s="377">
        <v>6075465</v>
      </c>
      <c r="C8" s="377">
        <v>14940</v>
      </c>
      <c r="D8" s="400">
        <v>2.4590710340689974E-3</v>
      </c>
      <c r="E8" s="378">
        <v>15405.288757771003</v>
      </c>
      <c r="F8" s="367">
        <v>2.5356559140363747E-3</v>
      </c>
      <c r="G8" s="377">
        <v>1451.2930000000001</v>
      </c>
      <c r="H8" s="368">
        <v>9.7141432396251684E-2</v>
      </c>
      <c r="I8" s="369">
        <v>1305.0970199999972</v>
      </c>
      <c r="J8" s="368">
        <v>8.471746557438968E-2</v>
      </c>
      <c r="K8" s="379">
        <v>2873.9709999999991</v>
      </c>
      <c r="L8" s="380">
        <v>0.1923675368139223</v>
      </c>
      <c r="M8" s="824"/>
      <c r="N8" s="824"/>
      <c r="O8" s="824"/>
    </row>
    <row r="9" spans="1:15" ht="18">
      <c r="A9" s="372">
        <f t="shared" si="1"/>
        <v>45997</v>
      </c>
      <c r="B9" s="377">
        <v>6262543</v>
      </c>
      <c r="C9" s="377">
        <v>15475</v>
      </c>
      <c r="D9" s="400">
        <v>2.4710409174036811E-3</v>
      </c>
      <c r="E9" s="378">
        <v>13555.74259173166</v>
      </c>
      <c r="F9" s="367">
        <v>2.1645747728569146E-3</v>
      </c>
      <c r="G9" s="377">
        <v>1317.5630000000001</v>
      </c>
      <c r="H9" s="368">
        <v>8.5141389337641357E-2</v>
      </c>
      <c r="I9" s="369">
        <v>1569.8210000000004</v>
      </c>
      <c r="J9" s="368">
        <v>0.11580486936639786</v>
      </c>
      <c r="K9" s="379">
        <v>2823.7730000000001</v>
      </c>
      <c r="L9" s="380">
        <v>0.18247321486268175</v>
      </c>
      <c r="M9" s="824"/>
      <c r="N9" s="824"/>
      <c r="O9" s="824"/>
    </row>
    <row r="10" spans="1:15" ht="18">
      <c r="A10" s="459">
        <f t="shared" si="1"/>
        <v>45998</v>
      </c>
      <c r="B10" s="377">
        <v>7283314</v>
      </c>
      <c r="C10" s="377">
        <v>17841</v>
      </c>
      <c r="D10" s="400">
        <v>2.4495717196869448E-3</v>
      </c>
      <c r="E10" s="378">
        <v>15085.303306493555</v>
      </c>
      <c r="F10" s="367">
        <v>2.0712141899269418E-3</v>
      </c>
      <c r="G10" s="377">
        <v>1471.3390000000002</v>
      </c>
      <c r="H10" s="368">
        <v>8.2469536460960724E-2</v>
      </c>
      <c r="I10" s="369">
        <v>1593.0897400000028</v>
      </c>
      <c r="J10" s="368">
        <v>0.10560541658544235</v>
      </c>
      <c r="K10" s="379">
        <v>3064.2290000000003</v>
      </c>
      <c r="L10" s="380">
        <v>0.17175208788745028</v>
      </c>
      <c r="M10" s="824"/>
      <c r="N10" s="824"/>
      <c r="O10" s="824"/>
    </row>
    <row r="11" spans="1:15" ht="18">
      <c r="A11" s="372">
        <f t="shared" si="1"/>
        <v>45999</v>
      </c>
      <c r="B11" s="377">
        <v>7299829</v>
      </c>
      <c r="C11" s="377">
        <v>17829</v>
      </c>
      <c r="D11" s="400">
        <v>2.4423859791784163E-3</v>
      </c>
      <c r="E11" s="378">
        <v>14025.998460796985</v>
      </c>
      <c r="F11" s="367">
        <v>1.9214146606443775E-3</v>
      </c>
      <c r="G11" s="377">
        <v>1485.3820000000001</v>
      </c>
      <c r="H11" s="368">
        <v>8.331269280385889E-2</v>
      </c>
      <c r="I11" s="369">
        <v>1618.6063800000065</v>
      </c>
      <c r="J11" s="368">
        <v>0.11540043901502282</v>
      </c>
      <c r="K11" s="379">
        <v>2804.4780000000001</v>
      </c>
      <c r="L11" s="380">
        <v>0.15729867070503115</v>
      </c>
      <c r="M11" s="824"/>
      <c r="N11" s="824"/>
      <c r="O11" s="824"/>
    </row>
    <row r="12" spans="1:15" ht="18">
      <c r="A12" s="372">
        <f t="shared" si="1"/>
        <v>46000</v>
      </c>
      <c r="B12" s="377">
        <v>7768298</v>
      </c>
      <c r="C12" s="377">
        <v>19049</v>
      </c>
      <c r="D12" s="400">
        <v>2.4521458883271473E-3</v>
      </c>
      <c r="E12" s="378">
        <v>14452.306598236863</v>
      </c>
      <c r="F12" s="367">
        <v>1.8604212400498621E-3</v>
      </c>
      <c r="G12" s="377">
        <v>1480.941</v>
      </c>
      <c r="H12" s="368">
        <v>7.7743766076959417E-2</v>
      </c>
      <c r="I12" s="369">
        <v>1570.3910899999987</v>
      </c>
      <c r="J12" s="368">
        <v>0.10866023906464742</v>
      </c>
      <c r="K12" s="379">
        <v>3100.8519999999999</v>
      </c>
      <c r="L12" s="380">
        <v>0.16278292823770277</v>
      </c>
      <c r="M12" s="824">
        <f t="shared" ref="M12" si="2">SUM(B12:B18)</f>
        <v>49743811</v>
      </c>
      <c r="N12" s="824">
        <f>SUM(C12:C18)</f>
        <v>122573</v>
      </c>
      <c r="O12" s="824">
        <f>SUM(E12:E18)</f>
        <v>101215.76197099355</v>
      </c>
    </row>
    <row r="13" spans="1:15" ht="18">
      <c r="A13" s="372">
        <f t="shared" si="1"/>
        <v>46001</v>
      </c>
      <c r="B13" s="377">
        <v>7532086</v>
      </c>
      <c r="C13" s="377">
        <v>18600</v>
      </c>
      <c r="D13" s="400">
        <v>2.4694354259895599E-3</v>
      </c>
      <c r="E13" s="378">
        <v>14551.960468697871</v>
      </c>
      <c r="F13" s="367">
        <v>1.9319960590861377E-3</v>
      </c>
      <c r="G13" s="377">
        <v>1519.569</v>
      </c>
      <c r="H13" s="368">
        <v>8.1697258064516123E-2</v>
      </c>
      <c r="I13" s="369">
        <v>1526.8413800000026</v>
      </c>
      <c r="J13" s="368">
        <v>0.10492341449692148</v>
      </c>
      <c r="K13" s="379">
        <v>2392.8180000000002</v>
      </c>
      <c r="L13" s="380">
        <v>0.12864612903225808</v>
      </c>
      <c r="M13" s="824"/>
      <c r="N13" s="824"/>
      <c r="O13" s="824"/>
    </row>
    <row r="14" spans="1:15" ht="18">
      <c r="A14" s="372">
        <f t="shared" si="1"/>
        <v>46002</v>
      </c>
      <c r="B14" s="377">
        <v>6664969</v>
      </c>
      <c r="C14" s="377">
        <v>16470</v>
      </c>
      <c r="D14" s="400">
        <v>2.4711292730693873E-3</v>
      </c>
      <c r="E14" s="378">
        <v>15071.78440104384</v>
      </c>
      <c r="F14" s="367">
        <v>2.2613435112817238E-3</v>
      </c>
      <c r="G14" s="377">
        <v>1379.3509999999999</v>
      </c>
      <c r="H14" s="368">
        <v>8.3749301760777162E-2</v>
      </c>
      <c r="I14" s="369">
        <v>1740.591629999996</v>
      </c>
      <c r="J14" s="368">
        <v>0.11548676544759003</v>
      </c>
      <c r="K14" s="379">
        <v>2634.9190000000003</v>
      </c>
      <c r="L14" s="380">
        <v>0.15998293867638133</v>
      </c>
      <c r="M14" s="824"/>
      <c r="N14" s="824"/>
      <c r="O14" s="824"/>
    </row>
    <row r="15" spans="1:15" ht="18">
      <c r="A15" s="372">
        <f t="shared" si="1"/>
        <v>46003</v>
      </c>
      <c r="B15" s="377">
        <v>6216944</v>
      </c>
      <c r="C15" s="377">
        <v>15286</v>
      </c>
      <c r="D15" s="400">
        <v>2.4587643060642013E-3</v>
      </c>
      <c r="E15" s="378">
        <v>14205.521514822361</v>
      </c>
      <c r="F15" s="367">
        <v>2.2849685496318388E-3</v>
      </c>
      <c r="G15" s="377">
        <v>1439.0830000000001</v>
      </c>
      <c r="H15" s="368">
        <v>9.4143857124165911E-2</v>
      </c>
      <c r="I15" s="369">
        <v>1511.7476799999993</v>
      </c>
      <c r="J15" s="368">
        <v>0.10641972407859913</v>
      </c>
      <c r="K15" s="379">
        <v>2399.2720000000008</v>
      </c>
      <c r="L15" s="380">
        <v>0.15695878581708758</v>
      </c>
      <c r="M15" s="824"/>
      <c r="N15" s="824"/>
      <c r="O15" s="824"/>
    </row>
    <row r="16" spans="1:15" ht="18">
      <c r="A16" s="372">
        <f t="shared" si="1"/>
        <v>46004</v>
      </c>
      <c r="B16" s="377">
        <v>6402844</v>
      </c>
      <c r="C16" s="377">
        <v>15878</v>
      </c>
      <c r="D16" s="400">
        <v>2.4798355230894269E-3</v>
      </c>
      <c r="E16" s="378">
        <v>13898.014396730701</v>
      </c>
      <c r="F16" s="367">
        <v>2.1706001890301717E-3</v>
      </c>
      <c r="G16" s="377">
        <v>1436.8599999999997</v>
      </c>
      <c r="H16" s="368">
        <v>9.049376495780323E-2</v>
      </c>
      <c r="I16" s="369">
        <v>1355.976350000002</v>
      </c>
      <c r="J16" s="368">
        <v>9.7566192643963226E-2</v>
      </c>
      <c r="K16" s="379">
        <v>2762.2929999999997</v>
      </c>
      <c r="L16" s="380">
        <v>0.17396983247260359</v>
      </c>
      <c r="M16" s="824"/>
      <c r="N16" s="824"/>
      <c r="O16" s="824"/>
    </row>
    <row r="17" spans="1:15" ht="18">
      <c r="A17" s="459">
        <f t="shared" si="1"/>
        <v>46005</v>
      </c>
      <c r="B17" s="377">
        <v>7638376</v>
      </c>
      <c r="C17" s="377">
        <v>18783</v>
      </c>
      <c r="D17" s="400">
        <v>2.4590305583281052E-3</v>
      </c>
      <c r="E17" s="378">
        <v>13955.876678807999</v>
      </c>
      <c r="F17" s="367">
        <v>1.8270738019191513E-3</v>
      </c>
      <c r="G17" s="377">
        <v>1594.37</v>
      </c>
      <c r="H17" s="368">
        <v>8.4883671404993866E-2</v>
      </c>
      <c r="I17" s="369">
        <v>1411.9775799999993</v>
      </c>
      <c r="J17" s="368">
        <v>0.10117440935431075</v>
      </c>
      <c r="K17" s="379">
        <v>2752.4159999999997</v>
      </c>
      <c r="L17" s="380">
        <v>0.1465376137997125</v>
      </c>
      <c r="M17" s="824"/>
      <c r="N17" s="824"/>
      <c r="O17" s="824"/>
    </row>
    <row r="18" spans="1:15" ht="18">
      <c r="A18" s="372">
        <f t="shared" si="1"/>
        <v>46006</v>
      </c>
      <c r="B18" s="377">
        <v>7520294</v>
      </c>
      <c r="C18" s="377">
        <v>18507</v>
      </c>
      <c r="D18" s="400">
        <v>2.4609410217206933E-3</v>
      </c>
      <c r="E18" s="378">
        <v>15080.297912653916</v>
      </c>
      <c r="F18" s="367">
        <v>2.0052803670513302E-3</v>
      </c>
      <c r="G18" s="377">
        <v>1439.3319999999999</v>
      </c>
      <c r="H18" s="368">
        <v>7.7772302372075428E-2</v>
      </c>
      <c r="I18" s="369">
        <v>1392.3948699999994</v>
      </c>
      <c r="J18" s="368">
        <v>9.2332053256828389E-2</v>
      </c>
      <c r="K18" s="379">
        <v>3096.5819999999999</v>
      </c>
      <c r="L18" s="380">
        <v>0.1673195007294537</v>
      </c>
      <c r="M18" s="824"/>
      <c r="N18" s="824"/>
      <c r="O18" s="824"/>
    </row>
    <row r="19" spans="1:15" ht="18">
      <c r="A19" s="372">
        <f t="shared" si="1"/>
        <v>46007</v>
      </c>
      <c r="B19" s="377">
        <v>8052028</v>
      </c>
      <c r="C19" s="377">
        <v>19731</v>
      </c>
      <c r="D19" s="400">
        <v>2.4504385727421715E-3</v>
      </c>
      <c r="E19" s="378">
        <v>14575.797626984506</v>
      </c>
      <c r="F19" s="367">
        <v>1.8102020543128397E-3</v>
      </c>
      <c r="G19" s="377">
        <v>1750.5500000000002</v>
      </c>
      <c r="H19" s="368">
        <v>8.8720794688561158E-2</v>
      </c>
      <c r="I19" s="369">
        <v>1862.6811099999932</v>
      </c>
      <c r="J19" s="368">
        <v>0.12779273955831888</v>
      </c>
      <c r="K19" s="379">
        <v>3257.0950000000003</v>
      </c>
      <c r="L19" s="380">
        <v>0.16507500886929199</v>
      </c>
      <c r="M19" s="824">
        <f>SUM(B19:B25)</f>
        <v>52585700</v>
      </c>
      <c r="N19" s="824">
        <f>SUM(C19:C25)</f>
        <v>129101.829</v>
      </c>
      <c r="O19" s="824">
        <f>SUM(E19:E25)</f>
        <v>100452.3190710835</v>
      </c>
    </row>
    <row r="20" spans="1:15" ht="18">
      <c r="A20" s="372">
        <f t="shared" si="1"/>
        <v>46008</v>
      </c>
      <c r="B20" s="377">
        <v>7612877</v>
      </c>
      <c r="C20" s="377">
        <v>18804</v>
      </c>
      <c r="D20" s="400">
        <v>2.4700254581809214E-3</v>
      </c>
      <c r="E20" s="378">
        <v>15061.432213331907</v>
      </c>
      <c r="F20" s="367">
        <v>1.9784152841733692E-3</v>
      </c>
      <c r="G20" s="377">
        <v>1526.9390000000003</v>
      </c>
      <c r="H20" s="368">
        <v>8.1202882365454171E-2</v>
      </c>
      <c r="I20" s="369">
        <v>1690.8924200000047</v>
      </c>
      <c r="J20" s="368">
        <v>0.11226637653378539</v>
      </c>
      <c r="K20" s="379">
        <v>2782.9720000000002</v>
      </c>
      <c r="L20" s="380">
        <v>0.1479989363965114</v>
      </c>
      <c r="M20" s="824"/>
      <c r="N20" s="824"/>
      <c r="O20" s="824"/>
    </row>
    <row r="21" spans="1:15" ht="18">
      <c r="A21" s="372">
        <f t="shared" si="1"/>
        <v>46009</v>
      </c>
      <c r="B21" s="377">
        <v>7258886</v>
      </c>
      <c r="C21" s="377">
        <v>17726</v>
      </c>
      <c r="D21" s="400">
        <v>2.4419725010146184E-3</v>
      </c>
      <c r="E21" s="378">
        <v>13283.834943958174</v>
      </c>
      <c r="F21" s="367">
        <v>1.8300101343316556E-3</v>
      </c>
      <c r="G21" s="377">
        <v>1607.9430000000002</v>
      </c>
      <c r="H21" s="368">
        <v>9.0710989506938969E-2</v>
      </c>
      <c r="I21" s="369">
        <v>1449.7050100000095</v>
      </c>
      <c r="J21" s="368">
        <v>0.10913301889973966</v>
      </c>
      <c r="K21" s="379">
        <v>2803.4600000000005</v>
      </c>
      <c r="L21" s="380">
        <v>0.15815525217195084</v>
      </c>
      <c r="M21" s="824"/>
      <c r="N21" s="824"/>
      <c r="O21" s="824"/>
    </row>
    <row r="22" spans="1:15" ht="18">
      <c r="A22" s="372">
        <f t="shared" si="1"/>
        <v>46010</v>
      </c>
      <c r="B22" s="377">
        <v>6600497</v>
      </c>
      <c r="C22" s="377">
        <v>16296</v>
      </c>
      <c r="D22" s="400">
        <v>2.4689049930634011E-3</v>
      </c>
      <c r="E22" s="378">
        <v>13791.481474269185</v>
      </c>
      <c r="F22" s="367">
        <v>2.0894610624425988E-3</v>
      </c>
      <c r="G22" s="377">
        <v>1397.8899999999999</v>
      </c>
      <c r="H22" s="368">
        <v>8.578117329405989E-2</v>
      </c>
      <c r="I22" s="369">
        <v>1580.6916899999997</v>
      </c>
      <c r="J22" s="368">
        <v>0.11461362529827572</v>
      </c>
      <c r="K22" s="379">
        <v>3331.2809999999995</v>
      </c>
      <c r="L22" s="380">
        <v>0.20442323269513987</v>
      </c>
      <c r="M22" s="824"/>
      <c r="N22" s="824"/>
      <c r="O22" s="824"/>
    </row>
    <row r="23" spans="1:15" ht="18">
      <c r="A23" s="372">
        <f t="shared" si="1"/>
        <v>46011</v>
      </c>
      <c r="B23" s="377">
        <v>6936693</v>
      </c>
      <c r="C23" s="377">
        <v>17141</v>
      </c>
      <c r="D23" s="400">
        <v>2.471062219417812E-3</v>
      </c>
      <c r="E23" s="378">
        <v>13075.514030830598</v>
      </c>
      <c r="F23" s="367">
        <v>1.8849780480166267E-3</v>
      </c>
      <c r="G23" s="377">
        <v>1477.471</v>
      </c>
      <c r="H23" s="368">
        <v>8.619514614083193E-2</v>
      </c>
      <c r="I23" s="369">
        <v>1455.215119999993</v>
      </c>
      <c r="J23" s="368">
        <v>0.11129314813694963</v>
      </c>
      <c r="K23" s="379">
        <v>3137.5370000000003</v>
      </c>
      <c r="L23" s="380">
        <v>0.18304282130564145</v>
      </c>
      <c r="M23" s="824"/>
      <c r="N23" s="824"/>
      <c r="O23" s="824"/>
    </row>
    <row r="24" spans="1:15" ht="18">
      <c r="A24" s="459">
        <f t="shared" si="1"/>
        <v>46012</v>
      </c>
      <c r="B24" s="377">
        <v>8044891</v>
      </c>
      <c r="C24" s="377">
        <v>19552</v>
      </c>
      <c r="D24" s="400">
        <v>2.4303623256051576E-3</v>
      </c>
      <c r="E24" s="378">
        <v>14631.576467408753</v>
      </c>
      <c r="F24" s="367">
        <v>1.818741418299981E-3</v>
      </c>
      <c r="G24" s="377">
        <v>1655.8249999999998</v>
      </c>
      <c r="H24" s="368">
        <v>8.4688267184942712E-2</v>
      </c>
      <c r="I24" s="369">
        <v>1623.0333899999998</v>
      </c>
      <c r="J24" s="368">
        <v>0.11092676128339563</v>
      </c>
      <c r="K24" s="379">
        <v>2540.5669999999996</v>
      </c>
      <c r="L24" s="380">
        <v>0.12993898322422257</v>
      </c>
      <c r="M24" s="824"/>
      <c r="N24" s="824"/>
      <c r="O24" s="824"/>
    </row>
    <row r="25" spans="1:15" ht="18">
      <c r="A25" s="372">
        <f t="shared" si="1"/>
        <v>46013</v>
      </c>
      <c r="B25" s="377">
        <v>8079828</v>
      </c>
      <c r="C25" s="377">
        <v>19851.828999999991</v>
      </c>
      <c r="D25" s="400">
        <v>2.456961831365716E-3</v>
      </c>
      <c r="E25" s="378">
        <v>16032.682314300371</v>
      </c>
      <c r="F25" s="367">
        <v>1.9842851004130747E-3</v>
      </c>
      <c r="G25" s="377">
        <v>1643.204</v>
      </c>
      <c r="H25" s="368">
        <v>8.277343110299816E-2</v>
      </c>
      <c r="I25" s="369">
        <v>1629.2839500000007</v>
      </c>
      <c r="J25" s="368">
        <v>0.10162266787677561</v>
      </c>
      <c r="K25" s="379">
        <v>3654.3700000000003</v>
      </c>
      <c r="L25" s="380">
        <v>0.18408228279620997</v>
      </c>
      <c r="M25" s="824"/>
      <c r="N25" s="824"/>
      <c r="O25" s="824"/>
    </row>
    <row r="26" spans="1:15" ht="18">
      <c r="A26" s="372">
        <f t="shared" si="1"/>
        <v>46014</v>
      </c>
      <c r="B26" s="377">
        <v>7688414</v>
      </c>
      <c r="C26" s="377">
        <v>18676</v>
      </c>
      <c r="D26" s="400">
        <v>2.4291095666804621E-3</v>
      </c>
      <c r="E26" s="378">
        <v>15008.656301112609</v>
      </c>
      <c r="F26" s="367">
        <v>1.9521134399256607E-3</v>
      </c>
      <c r="G26" s="377">
        <v>1543.3870000000002</v>
      </c>
      <c r="H26" s="368">
        <v>8.2640126365388741E-2</v>
      </c>
      <c r="I26" s="369">
        <v>1914.9326700000054</v>
      </c>
      <c r="J26" s="368">
        <v>0.12758854834046998</v>
      </c>
      <c r="K26" s="379">
        <v>3454.703</v>
      </c>
      <c r="L26" s="380">
        <v>0.18498088455772113</v>
      </c>
      <c r="M26" s="824">
        <f>SUM(B26:B32)</f>
        <v>48784609</v>
      </c>
      <c r="N26" s="824">
        <f>SUM(C26:C32)</f>
        <v>119574</v>
      </c>
      <c r="O26" s="824">
        <f>SUM(E26:E32)</f>
        <v>107362.99873387686</v>
      </c>
    </row>
    <row r="27" spans="1:15" ht="18">
      <c r="A27" s="372">
        <f t="shared" si="1"/>
        <v>46015</v>
      </c>
      <c r="B27" s="377">
        <v>6475923</v>
      </c>
      <c r="C27" s="377">
        <v>15801</v>
      </c>
      <c r="D27" s="400">
        <v>2.4399610680979375E-3</v>
      </c>
      <c r="E27" s="378">
        <v>14971.379030933125</v>
      </c>
      <c r="F27" s="367">
        <v>2.3118525391566769E-3</v>
      </c>
      <c r="G27" s="377">
        <v>1560.8449999999998</v>
      </c>
      <c r="H27" s="368">
        <v>9.8781406240111377E-2</v>
      </c>
      <c r="I27" s="369">
        <v>1777.5889699999982</v>
      </c>
      <c r="J27" s="368">
        <v>0.11873248057692157</v>
      </c>
      <c r="K27" s="379">
        <v>2669.6480000000001</v>
      </c>
      <c r="L27" s="380">
        <v>0.16895436997658378</v>
      </c>
      <c r="M27" s="824"/>
      <c r="N27" s="824"/>
      <c r="O27" s="824"/>
    </row>
    <row r="28" spans="1:15" ht="18">
      <c r="A28" s="372">
        <f t="shared" si="1"/>
        <v>46016</v>
      </c>
      <c r="B28" s="377">
        <v>6755981</v>
      </c>
      <c r="C28" s="377">
        <v>16634</v>
      </c>
      <c r="D28" s="400">
        <v>2.4621146803106759E-3</v>
      </c>
      <c r="E28" s="378">
        <v>15883.372161896039</v>
      </c>
      <c r="F28" s="367">
        <v>2.3510090040063819E-3</v>
      </c>
      <c r="G28" s="377">
        <v>1504.5920000000003</v>
      </c>
      <c r="H28" s="368">
        <v>9.0452807502705318E-2</v>
      </c>
      <c r="I28" s="369">
        <v>1736.4933200000037</v>
      </c>
      <c r="J28" s="368">
        <v>0.10932774868587566</v>
      </c>
      <c r="K28" s="379">
        <v>2268.1950000000002</v>
      </c>
      <c r="L28" s="380">
        <v>0.13635896356859445</v>
      </c>
      <c r="M28" s="824"/>
      <c r="N28" s="824"/>
      <c r="O28" s="824"/>
    </row>
    <row r="29" spans="1:15" ht="18">
      <c r="A29" s="372">
        <f t="shared" si="1"/>
        <v>46017</v>
      </c>
      <c r="B29" s="377">
        <v>6278111</v>
      </c>
      <c r="C29" s="377">
        <v>15504</v>
      </c>
      <c r="D29" s="400">
        <v>2.4695326348960697E-3</v>
      </c>
      <c r="E29" s="378">
        <v>15855.495737902045</v>
      </c>
      <c r="F29" s="367">
        <v>2.5255201346236224E-3</v>
      </c>
      <c r="G29" s="377">
        <v>1387.567</v>
      </c>
      <c r="H29" s="368">
        <v>8.9497355521155827E-2</v>
      </c>
      <c r="I29" s="369">
        <v>1486.1824394915309</v>
      </c>
      <c r="J29" s="368">
        <v>9.3732953170228561E-2</v>
      </c>
      <c r="K29" s="379">
        <v>2803.014999999999</v>
      </c>
      <c r="L29" s="380">
        <v>0.18079302115583068</v>
      </c>
      <c r="M29" s="824"/>
      <c r="N29" s="824"/>
      <c r="O29" s="824"/>
    </row>
    <row r="30" spans="1:15" ht="18">
      <c r="A30" s="372">
        <f t="shared" si="1"/>
        <v>46018</v>
      </c>
      <c r="B30" s="377">
        <v>6552614</v>
      </c>
      <c r="C30" s="377">
        <v>16198</v>
      </c>
      <c r="D30" s="400">
        <v>2.4719905674285103E-3</v>
      </c>
      <c r="E30" s="378">
        <v>15249.637751430702</v>
      </c>
      <c r="F30" s="367">
        <v>2.3272601974465004E-3</v>
      </c>
      <c r="G30" s="377">
        <v>1463.2580000000003</v>
      </c>
      <c r="H30" s="368">
        <v>9.0335720459315982E-2</v>
      </c>
      <c r="I30" s="369">
        <v>1559.3552800000009</v>
      </c>
      <c r="J30" s="368">
        <v>0.10225523421719995</v>
      </c>
      <c r="K30" s="379">
        <v>2987.3310000000001</v>
      </c>
      <c r="L30" s="380">
        <v>0.18442591677984937</v>
      </c>
      <c r="M30" s="824"/>
      <c r="N30" s="824"/>
      <c r="O30" s="824"/>
    </row>
    <row r="31" spans="1:15" ht="18">
      <c r="A31" s="372">
        <f t="shared" si="1"/>
        <v>46019</v>
      </c>
      <c r="B31" s="377">
        <v>7539331</v>
      </c>
      <c r="C31" s="377">
        <v>18461</v>
      </c>
      <c r="D31" s="400">
        <v>2.4486257467671866E-3</v>
      </c>
      <c r="E31" s="378">
        <v>15176.027453179018</v>
      </c>
      <c r="F31" s="367">
        <v>2.0129143359243701E-3</v>
      </c>
      <c r="G31" s="377">
        <v>1566.2760000000001</v>
      </c>
      <c r="H31" s="368">
        <v>8.4842424570716654E-2</v>
      </c>
      <c r="I31" s="369">
        <v>1595.6486400000044</v>
      </c>
      <c r="J31" s="368">
        <v>0.10514270911296709</v>
      </c>
      <c r="K31" s="379">
        <v>3158.6479999999997</v>
      </c>
      <c r="L31" s="380">
        <v>0.17109842370402467</v>
      </c>
      <c r="M31" s="824"/>
      <c r="N31" s="824"/>
      <c r="O31" s="824"/>
    </row>
    <row r="32" spans="1:15" ht="18">
      <c r="A32" s="372">
        <f t="shared" si="1"/>
        <v>46020</v>
      </c>
      <c r="B32" s="377">
        <v>7494235</v>
      </c>
      <c r="C32" s="377">
        <v>18300</v>
      </c>
      <c r="D32" s="400">
        <v>2.4418769894458876E-3</v>
      </c>
      <c r="E32" s="378">
        <v>15218.430297423316</v>
      </c>
      <c r="F32" s="367">
        <v>2.0306849594953075E-3</v>
      </c>
      <c r="G32" s="377">
        <v>1440.354</v>
      </c>
      <c r="H32" s="368">
        <v>7.870786885245902E-2</v>
      </c>
      <c r="I32" s="369">
        <v>1738.5921400000034</v>
      </c>
      <c r="J32" s="368">
        <v>0.11424254052629661</v>
      </c>
      <c r="K32" s="379">
        <v>3308.7199999999993</v>
      </c>
      <c r="L32" s="380">
        <v>0.18080437158469942</v>
      </c>
      <c r="M32" s="824"/>
      <c r="N32" s="824"/>
      <c r="O32" s="824"/>
    </row>
    <row r="33" spans="1:15" ht="18">
      <c r="A33" s="372">
        <f t="shared" si="1"/>
        <v>46021</v>
      </c>
      <c r="B33" s="377">
        <v>7242022</v>
      </c>
      <c r="C33" s="377">
        <v>17730</v>
      </c>
      <c r="D33" s="400">
        <v>2.4482112868477891E-3</v>
      </c>
      <c r="E33" s="378">
        <v>13860.78495535834</v>
      </c>
      <c r="F33" s="367">
        <v>1.9139385319953931E-3</v>
      </c>
      <c r="G33" s="377">
        <v>1551.8680000000002</v>
      </c>
      <c r="H33" s="368">
        <v>8.7527805978567408E-2</v>
      </c>
      <c r="I33" s="369">
        <v>1478.4573799999957</v>
      </c>
      <c r="J33" s="368">
        <v>0.10666476572298668</v>
      </c>
      <c r="K33" s="379">
        <v>2908.5590000000002</v>
      </c>
      <c r="L33" s="380">
        <v>0.16404732092498592</v>
      </c>
      <c r="M33" s="824">
        <f>SUM(B33:B34)</f>
        <v>13503795</v>
      </c>
      <c r="N33" s="824">
        <f>SUM(C33:C34)</f>
        <v>33127</v>
      </c>
      <c r="O33" s="824">
        <f>SUM(E33:E34)</f>
        <v>28917.827096118901</v>
      </c>
    </row>
    <row r="34" spans="1:15" ht="18">
      <c r="A34" s="372">
        <f t="shared" si="1"/>
        <v>46022</v>
      </c>
      <c r="B34" s="377">
        <v>6261773</v>
      </c>
      <c r="C34" s="377">
        <v>15397</v>
      </c>
      <c r="D34" s="400">
        <v>2.4588882413974444E-3</v>
      </c>
      <c r="E34" s="378">
        <v>15057.042140760561</v>
      </c>
      <c r="F34" s="367">
        <v>2.4045972507723548E-3</v>
      </c>
      <c r="G34" s="377">
        <v>1431.1279999999999</v>
      </c>
      <c r="H34" s="368">
        <v>9.2948496460349417E-2</v>
      </c>
      <c r="I34" s="369">
        <v>1663.9846000000025</v>
      </c>
      <c r="J34" s="368">
        <v>0.11051205040433999</v>
      </c>
      <c r="K34" s="379">
        <v>2598.6219999999989</v>
      </c>
      <c r="L34" s="380">
        <v>0.16877456647398836</v>
      </c>
      <c r="M34" s="824"/>
      <c r="N34" s="824"/>
      <c r="O34" s="824"/>
    </row>
    <row r="35" spans="1:15" ht="18">
      <c r="A35" s="372" t="s">
        <v>604</v>
      </c>
      <c r="B35" s="364">
        <f>AVERAGE(B4:B33)</f>
        <v>7116076.6333333338</v>
      </c>
      <c r="C35" s="364">
        <f>AVERAGE(C4:C33)</f>
        <v>17469.738699999998</v>
      </c>
      <c r="D35" s="365">
        <f t="shared" ref="D35:D36" si="3">C35/B35</f>
        <v>2.4549677582402273E-3</v>
      </c>
      <c r="E35" s="366">
        <f>AVERAGE(E4:E33)</f>
        <v>14753.907319718568</v>
      </c>
      <c r="F35" s="373">
        <f t="shared" ref="F35:F36" si="4">E35/B35</f>
        <v>2.0733204657476401E-3</v>
      </c>
      <c r="G35" s="364">
        <f>AVERAGE(G4:G33)</f>
        <v>1505.2092333333335</v>
      </c>
      <c r="H35" s="374">
        <f t="shared" ref="H35:H36" si="5">G35/C35</f>
        <v>8.616094717738014E-2</v>
      </c>
      <c r="I35" s="396">
        <f>AVERAGE(I4:I33)</f>
        <v>1582.2283663163839</v>
      </c>
      <c r="J35" s="374">
        <f t="shared" ref="J35:J36" si="6">I35/E35</f>
        <v>0.10724131120179525</v>
      </c>
      <c r="K35" s="370">
        <f>AVERAGE(K4:K33)</f>
        <v>2941.2400000000002</v>
      </c>
      <c r="L35" s="371">
        <f t="shared" ref="L35:L36" si="7">K35/C35</f>
        <v>0.16836199158491139</v>
      </c>
      <c r="M35" s="460"/>
      <c r="N35" s="461"/>
      <c r="O35" s="461"/>
    </row>
    <row r="36" spans="1:15" ht="18">
      <c r="A36" s="372" t="s">
        <v>605</v>
      </c>
      <c r="B36" s="364">
        <f>SUM(B4:B34)</f>
        <v>219744072</v>
      </c>
      <c r="C36" s="364">
        <f>SUM(C4:C34)</f>
        <v>539489.16099999996</v>
      </c>
      <c r="D36" s="365">
        <f t="shared" si="3"/>
        <v>2.4550794753635035E-3</v>
      </c>
      <c r="E36" s="364">
        <f>SUM(E4:E34)</f>
        <v>457674.26173231762</v>
      </c>
      <c r="F36" s="373">
        <f t="shared" si="4"/>
        <v>2.0827604474914691E-3</v>
      </c>
      <c r="G36" s="364">
        <f>SUM(G4:G34)</f>
        <v>46587.404999999999</v>
      </c>
      <c r="H36" s="374">
        <f t="shared" si="5"/>
        <v>8.6354663574047225E-2</v>
      </c>
      <c r="I36" s="364">
        <f>SUM(I4:I34)</f>
        <v>49130.835589491522</v>
      </c>
      <c r="J36" s="374">
        <f t="shared" si="6"/>
        <v>0.10734891536947938</v>
      </c>
      <c r="K36" s="364">
        <f>SUM(K4:K34)</f>
        <v>90835.822000000015</v>
      </c>
      <c r="L36" s="371">
        <f t="shared" si="7"/>
        <v>0.16837376645644975</v>
      </c>
      <c r="M36" s="397"/>
      <c r="N36" s="462"/>
      <c r="O36" s="462"/>
    </row>
    <row r="37" spans="1:15" ht="18">
      <c r="A37" s="375"/>
      <c r="B37" s="375"/>
      <c r="C37" s="375"/>
      <c r="D37" s="375"/>
      <c r="E37" s="375"/>
      <c r="F37" s="375"/>
      <c r="G37" s="375"/>
      <c r="H37" s="375"/>
      <c r="I37" s="375"/>
      <c r="J37" s="375"/>
      <c r="K37" s="375"/>
      <c r="L37" s="375"/>
      <c r="M37" s="375"/>
    </row>
    <row r="38" spans="1:15" ht="18">
      <c r="A38" s="375"/>
      <c r="B38" s="375"/>
      <c r="C38" s="375"/>
      <c r="D38" s="375"/>
      <c r="E38" s="375"/>
      <c r="F38" s="375"/>
      <c r="G38" s="375"/>
      <c r="H38" s="375"/>
      <c r="I38" s="375"/>
      <c r="J38" s="375"/>
      <c r="K38" s="375"/>
      <c r="L38" s="375"/>
      <c r="M38" s="375"/>
    </row>
    <row r="39" spans="1:15" ht="18">
      <c r="A39" s="375"/>
      <c r="B39" s="375"/>
      <c r="C39" s="375"/>
      <c r="D39" s="375"/>
      <c r="E39" s="375"/>
      <c r="F39" s="375"/>
      <c r="G39" s="375"/>
      <c r="H39" s="375"/>
      <c r="I39" s="375"/>
      <c r="J39" s="375"/>
      <c r="K39" s="375"/>
      <c r="L39" s="375"/>
      <c r="M39" s="375"/>
    </row>
    <row r="40" spans="1:15" ht="18">
      <c r="A40" s="375"/>
      <c r="B40" s="375"/>
      <c r="C40" s="375"/>
      <c r="D40" s="375"/>
      <c r="E40" s="375"/>
      <c r="F40" s="375"/>
      <c r="G40" s="375"/>
      <c r="H40" s="375"/>
      <c r="I40" s="375"/>
      <c r="J40" s="375"/>
      <c r="K40" s="375"/>
      <c r="L40" s="375"/>
      <c r="M40" s="375"/>
    </row>
    <row r="41" spans="1:15" ht="18">
      <c r="A41" s="375"/>
      <c r="B41" s="375"/>
      <c r="C41" s="375"/>
      <c r="D41" s="375"/>
      <c r="E41" s="375"/>
      <c r="F41" s="375"/>
      <c r="G41" s="375"/>
      <c r="H41" s="375"/>
      <c r="I41" s="375"/>
      <c r="J41" s="375"/>
      <c r="K41" s="375"/>
      <c r="L41" s="375"/>
      <c r="M41" s="375"/>
    </row>
    <row r="42" spans="1:15" ht="18">
      <c r="A42" s="375"/>
      <c r="B42" s="375"/>
      <c r="C42" s="375"/>
      <c r="D42" s="375"/>
      <c r="E42" s="375"/>
      <c r="F42" s="375"/>
      <c r="G42" s="375"/>
      <c r="H42" s="375"/>
      <c r="I42" s="375"/>
      <c r="J42" s="375"/>
      <c r="K42" s="375"/>
      <c r="L42" s="375"/>
      <c r="M42" s="375"/>
    </row>
    <row r="43" spans="1:15" ht="18">
      <c r="A43" s="375"/>
      <c r="B43" s="375"/>
      <c r="C43" s="375"/>
      <c r="D43" s="375"/>
      <c r="E43" s="375"/>
      <c r="F43" s="375"/>
      <c r="G43" s="375"/>
      <c r="H43" s="375"/>
      <c r="I43" s="375"/>
      <c r="J43" s="375"/>
      <c r="K43" s="375"/>
      <c r="L43" s="375"/>
      <c r="M43" s="375"/>
    </row>
    <row r="44" spans="1:15" ht="18">
      <c r="A44" s="375"/>
      <c r="B44" s="375"/>
      <c r="C44" s="375"/>
      <c r="D44" s="375"/>
      <c r="E44" s="375"/>
      <c r="F44" s="375"/>
      <c r="G44" s="375"/>
      <c r="H44" s="375"/>
      <c r="I44" s="375"/>
      <c r="J44" s="375"/>
      <c r="K44" s="375"/>
      <c r="L44" s="375"/>
      <c r="M44" s="375"/>
    </row>
    <row r="45" spans="1:15" ht="18">
      <c r="A45" s="375"/>
      <c r="B45" s="375"/>
      <c r="C45" s="375"/>
      <c r="D45" s="375"/>
      <c r="E45" s="375"/>
      <c r="F45" s="375"/>
      <c r="G45" s="375"/>
      <c r="H45" s="375"/>
      <c r="I45" s="375"/>
      <c r="J45" s="375"/>
      <c r="K45" s="375"/>
      <c r="L45" s="375"/>
      <c r="M45" s="375"/>
    </row>
    <row r="46" spans="1:15" ht="18">
      <c r="A46" s="375"/>
      <c r="B46" s="375"/>
      <c r="C46" s="375"/>
      <c r="D46" s="375"/>
      <c r="E46" s="375"/>
      <c r="F46" s="375"/>
      <c r="G46" s="375"/>
      <c r="H46" s="375"/>
      <c r="I46" s="375"/>
      <c r="J46" s="375"/>
      <c r="K46" s="375"/>
      <c r="L46" s="375"/>
      <c r="M46" s="375"/>
    </row>
    <row r="47" spans="1:15" ht="18">
      <c r="A47" s="375"/>
      <c r="B47" s="375"/>
      <c r="C47" s="375"/>
      <c r="D47" s="375"/>
      <c r="E47" s="375"/>
      <c r="F47" s="375"/>
      <c r="G47" s="375"/>
      <c r="H47" s="375"/>
      <c r="I47" s="375"/>
      <c r="J47" s="375"/>
      <c r="K47" s="375"/>
      <c r="L47" s="375"/>
      <c r="M47" s="375"/>
    </row>
    <row r="48" spans="1:15" ht="18">
      <c r="A48" s="375"/>
      <c r="B48" s="375"/>
      <c r="C48" s="375"/>
      <c r="D48" s="375"/>
      <c r="E48" s="375"/>
      <c r="F48" s="375"/>
      <c r="G48" s="375"/>
      <c r="H48" s="375"/>
      <c r="I48" s="375"/>
      <c r="J48" s="375"/>
      <c r="K48" s="375"/>
      <c r="L48" s="375"/>
      <c r="M48" s="375"/>
    </row>
    <row r="49" spans="1:13" ht="18">
      <c r="A49" s="375"/>
      <c r="B49" s="375"/>
      <c r="C49" s="375"/>
      <c r="D49" s="375"/>
      <c r="E49" s="375"/>
      <c r="F49" s="375"/>
      <c r="G49" s="375"/>
      <c r="H49" s="375"/>
      <c r="I49" s="375"/>
      <c r="J49" s="375"/>
      <c r="K49" s="375"/>
      <c r="L49" s="375"/>
      <c r="M49" s="375"/>
    </row>
    <row r="50" spans="1:13" ht="18">
      <c r="A50" s="375"/>
      <c r="B50" s="375"/>
      <c r="C50" s="375"/>
      <c r="D50" s="375"/>
      <c r="E50" s="375"/>
      <c r="F50" s="375"/>
      <c r="G50" s="375"/>
      <c r="H50" s="375"/>
      <c r="I50" s="375"/>
      <c r="J50" s="375"/>
      <c r="K50" s="375"/>
      <c r="L50" s="375"/>
      <c r="M50" s="375"/>
    </row>
    <row r="51" spans="1:13" ht="18">
      <c r="A51" s="375"/>
      <c r="B51" s="375"/>
      <c r="C51" s="375"/>
      <c r="D51" s="375"/>
      <c r="E51" s="375"/>
      <c r="F51" s="375"/>
      <c r="G51" s="375"/>
      <c r="H51" s="375"/>
      <c r="I51" s="375"/>
      <c r="J51" s="375"/>
      <c r="K51" s="375"/>
      <c r="L51" s="375"/>
      <c r="M51" s="375"/>
    </row>
    <row r="52" spans="1:13" ht="18">
      <c r="A52" s="375"/>
      <c r="B52" s="375"/>
      <c r="C52" s="375"/>
      <c r="D52" s="375"/>
      <c r="E52" s="375"/>
      <c r="F52" s="375"/>
      <c r="G52" s="375"/>
      <c r="H52" s="375"/>
      <c r="I52" s="375"/>
      <c r="J52" s="375"/>
      <c r="K52" s="375"/>
      <c r="L52" s="375"/>
      <c r="M52" s="375"/>
    </row>
    <row r="53" spans="1:13" ht="18">
      <c r="A53" s="375"/>
      <c r="B53" s="375"/>
      <c r="C53" s="375"/>
      <c r="D53" s="375"/>
      <c r="E53" s="375"/>
      <c r="F53" s="375"/>
      <c r="G53" s="375"/>
      <c r="H53" s="375"/>
      <c r="I53" s="375"/>
      <c r="J53" s="375"/>
      <c r="K53" s="375"/>
      <c r="L53" s="375"/>
      <c r="M53" s="375"/>
    </row>
    <row r="54" spans="1:13" ht="18">
      <c r="A54" s="375"/>
      <c r="B54" s="375"/>
      <c r="C54" s="375"/>
      <c r="D54" s="375"/>
      <c r="E54" s="375"/>
      <c r="F54" s="375"/>
      <c r="G54" s="375"/>
      <c r="H54" s="375"/>
      <c r="I54" s="375"/>
      <c r="J54" s="375"/>
      <c r="K54" s="375"/>
      <c r="L54" s="375"/>
      <c r="M54" s="375"/>
    </row>
    <row r="55" spans="1:13" ht="18">
      <c r="A55" s="375"/>
      <c r="B55" s="375"/>
      <c r="C55" s="375"/>
      <c r="D55" s="375"/>
      <c r="E55" s="375"/>
      <c r="F55" s="375"/>
      <c r="G55" s="375"/>
      <c r="H55" s="375"/>
      <c r="I55" s="375"/>
      <c r="J55" s="375"/>
      <c r="K55" s="375"/>
      <c r="L55" s="375"/>
      <c r="M55" s="375"/>
    </row>
    <row r="56" spans="1:13" ht="18">
      <c r="A56" s="375"/>
      <c r="B56" s="375"/>
      <c r="C56" s="375"/>
      <c r="D56" s="375"/>
      <c r="E56" s="375"/>
      <c r="F56" s="375"/>
      <c r="G56" s="375"/>
      <c r="H56" s="375"/>
      <c r="I56" s="375"/>
      <c r="J56" s="375"/>
      <c r="K56" s="375"/>
      <c r="L56" s="375"/>
      <c r="M56" s="375"/>
    </row>
    <row r="57" spans="1:13" ht="18">
      <c r="A57" s="375"/>
      <c r="B57" s="375"/>
      <c r="C57" s="375"/>
      <c r="D57" s="375"/>
      <c r="E57" s="375"/>
      <c r="F57" s="375"/>
      <c r="G57" s="375"/>
      <c r="H57" s="375"/>
      <c r="I57" s="375"/>
      <c r="J57" s="375"/>
      <c r="K57" s="375"/>
      <c r="L57" s="375"/>
      <c r="M57" s="375"/>
    </row>
    <row r="58" spans="1:13" ht="18">
      <c r="A58" s="375"/>
      <c r="B58" s="375"/>
      <c r="C58" s="375"/>
      <c r="D58" s="375"/>
      <c r="E58" s="375"/>
      <c r="F58" s="375"/>
      <c r="G58" s="375"/>
      <c r="H58" s="375"/>
      <c r="I58" s="375"/>
      <c r="J58" s="375"/>
      <c r="K58" s="375"/>
      <c r="L58" s="375"/>
      <c r="M58" s="375"/>
    </row>
    <row r="59" spans="1:13" ht="18">
      <c r="A59" s="375"/>
      <c r="B59" s="375"/>
      <c r="C59" s="375"/>
      <c r="D59" s="375"/>
      <c r="E59" s="375"/>
      <c r="F59" s="375"/>
      <c r="G59" s="375"/>
      <c r="H59" s="375"/>
      <c r="I59" s="375"/>
      <c r="J59" s="375"/>
      <c r="K59" s="375"/>
      <c r="L59" s="375"/>
      <c r="M59" s="375"/>
    </row>
    <row r="60" spans="1:13" ht="18">
      <c r="A60" s="375"/>
      <c r="B60" s="375"/>
      <c r="C60" s="375"/>
      <c r="D60" s="375"/>
      <c r="E60" s="375"/>
      <c r="F60" s="375"/>
      <c r="G60" s="375"/>
      <c r="H60" s="375"/>
      <c r="I60" s="375"/>
      <c r="J60" s="375"/>
      <c r="K60" s="375"/>
      <c r="L60" s="375"/>
      <c r="M60" s="375"/>
    </row>
    <row r="61" spans="1:13" ht="18">
      <c r="A61" s="375"/>
      <c r="B61" s="375"/>
      <c r="C61" s="375"/>
      <c r="D61" s="375"/>
      <c r="E61" s="375"/>
      <c r="F61" s="375"/>
      <c r="G61" s="375"/>
      <c r="H61" s="375"/>
      <c r="I61" s="375"/>
      <c r="J61" s="375"/>
      <c r="K61" s="375"/>
      <c r="L61" s="375"/>
      <c r="M61" s="375"/>
    </row>
    <row r="62" spans="1:13" ht="18">
      <c r="A62" s="375"/>
      <c r="B62" s="375"/>
      <c r="C62" s="375"/>
      <c r="D62" s="375"/>
      <c r="E62" s="375"/>
      <c r="F62" s="375"/>
      <c r="G62" s="375"/>
      <c r="H62" s="375"/>
      <c r="I62" s="375"/>
      <c r="J62" s="375"/>
      <c r="K62" s="375"/>
      <c r="L62" s="375"/>
      <c r="M62" s="375"/>
    </row>
    <row r="63" spans="1:13" ht="18">
      <c r="A63" s="375"/>
      <c r="B63" s="375"/>
      <c r="C63" s="375"/>
      <c r="D63" s="375"/>
      <c r="E63" s="375"/>
      <c r="F63" s="375"/>
      <c r="G63" s="375"/>
      <c r="H63" s="375"/>
      <c r="I63" s="375"/>
      <c r="J63" s="375"/>
      <c r="K63" s="375"/>
      <c r="L63" s="375"/>
      <c r="M63" s="375"/>
    </row>
  </sheetData>
  <mergeCells count="26">
    <mergeCell ref="A1:O1"/>
    <mergeCell ref="A2:A3"/>
    <mergeCell ref="B2:B3"/>
    <mergeCell ref="C2:C3"/>
    <mergeCell ref="D2:D3"/>
    <mergeCell ref="E2:E3"/>
    <mergeCell ref="F2:F3"/>
    <mergeCell ref="G2:H2"/>
    <mergeCell ref="I2:J2"/>
    <mergeCell ref="K2:L2"/>
    <mergeCell ref="M2:O2"/>
    <mergeCell ref="N5:N11"/>
    <mergeCell ref="O5:O11"/>
    <mergeCell ref="M12:M18"/>
    <mergeCell ref="N12:N18"/>
    <mergeCell ref="O12:O18"/>
    <mergeCell ref="M5:M11"/>
    <mergeCell ref="M33:M34"/>
    <mergeCell ref="N33:N34"/>
    <mergeCell ref="O33:O34"/>
    <mergeCell ref="M19:M25"/>
    <mergeCell ref="N19:N25"/>
    <mergeCell ref="O19:O25"/>
    <mergeCell ref="M26:M32"/>
    <mergeCell ref="N26:N32"/>
    <mergeCell ref="O26:O32"/>
  </mergeCells>
  <phoneticPr fontId="11" type="noConversion"/>
  <conditionalFormatting sqref="L35:L36">
    <cfRule type="cellIs" dxfId="38" priority="37" operator="greaterThan">
      <formula>0.15</formula>
    </cfRule>
  </conditionalFormatting>
  <conditionalFormatting sqref="D35:D36">
    <cfRule type="cellIs" dxfId="37" priority="38" operator="greaterThan">
      <formula>0.0025</formula>
    </cfRule>
  </conditionalFormatting>
  <conditionalFormatting sqref="J35:J36 H35:H36">
    <cfRule type="cellIs" dxfId="36" priority="39" operator="greaterThan">
      <formula>0.16</formula>
    </cfRule>
  </conditionalFormatting>
  <conditionalFormatting sqref="H28:H33">
    <cfRule type="cellIs" dxfId="35" priority="7" operator="greaterThan">
      <formula>0.16</formula>
    </cfRule>
  </conditionalFormatting>
  <conditionalFormatting sqref="L28:L33">
    <cfRule type="cellIs" dxfId="34" priority="5" operator="greaterThan">
      <formula>0.15</formula>
    </cfRule>
  </conditionalFormatting>
  <conditionalFormatting sqref="H4">
    <cfRule type="cellIs" dxfId="33" priority="35" operator="greaterThan">
      <formula>0.16</formula>
    </cfRule>
  </conditionalFormatting>
  <conditionalFormatting sqref="L4">
    <cfRule type="cellIs" dxfId="32" priority="33" operator="greaterThan">
      <formula>0.15</formula>
    </cfRule>
  </conditionalFormatting>
  <conditionalFormatting sqref="D4">
    <cfRule type="cellIs" dxfId="31" priority="36" operator="greaterThan">
      <formula>0.0025</formula>
    </cfRule>
  </conditionalFormatting>
  <conditionalFormatting sqref="J4">
    <cfRule type="cellIs" dxfId="30" priority="34" operator="greaterThan">
      <formula>0.16</formula>
    </cfRule>
  </conditionalFormatting>
  <conditionalFormatting sqref="H5:H12">
    <cfRule type="cellIs" dxfId="29" priority="31" operator="greaterThan">
      <formula>0.16</formula>
    </cfRule>
  </conditionalFormatting>
  <conditionalFormatting sqref="L5:L12">
    <cfRule type="cellIs" dxfId="28" priority="29" operator="greaterThan">
      <formula>0.15</formula>
    </cfRule>
  </conditionalFormatting>
  <conditionalFormatting sqref="D5:D12">
    <cfRule type="cellIs" dxfId="27" priority="32" operator="greaterThan">
      <formula>0.0025</formula>
    </cfRule>
  </conditionalFormatting>
  <conditionalFormatting sqref="J5:J12">
    <cfRule type="cellIs" dxfId="26" priority="30" operator="greaterThan">
      <formula>0.16</formula>
    </cfRule>
  </conditionalFormatting>
  <conditionalFormatting sqref="H13">
    <cfRule type="cellIs" dxfId="25" priority="27" operator="greaterThan">
      <formula>0.16</formula>
    </cfRule>
  </conditionalFormatting>
  <conditionalFormatting sqref="L13">
    <cfRule type="cellIs" dxfId="24" priority="25" operator="greaterThan">
      <formula>0.15</formula>
    </cfRule>
  </conditionalFormatting>
  <conditionalFormatting sqref="D13">
    <cfRule type="cellIs" dxfId="23" priority="28" operator="greaterThan">
      <formula>0.0025</formula>
    </cfRule>
  </conditionalFormatting>
  <conditionalFormatting sqref="J13">
    <cfRule type="cellIs" dxfId="22" priority="26" operator="greaterThan">
      <formula>0.16</formula>
    </cfRule>
  </conditionalFormatting>
  <conditionalFormatting sqref="H14:H17">
    <cfRule type="cellIs" dxfId="21" priority="23" operator="greaterThan">
      <formula>0.16</formula>
    </cfRule>
  </conditionalFormatting>
  <conditionalFormatting sqref="L14:L17">
    <cfRule type="cellIs" dxfId="20" priority="21" operator="greaterThan">
      <formula>0.15</formula>
    </cfRule>
  </conditionalFormatting>
  <conditionalFormatting sqref="D14:D17">
    <cfRule type="cellIs" dxfId="19" priority="24" operator="greaterThan">
      <formula>0.0025</formula>
    </cfRule>
  </conditionalFormatting>
  <conditionalFormatting sqref="J14:J17">
    <cfRule type="cellIs" dxfId="18" priority="22" operator="greaterThan">
      <formula>0.16</formula>
    </cfRule>
  </conditionalFormatting>
  <conditionalFormatting sqref="H18:H20">
    <cfRule type="cellIs" dxfId="17" priority="19" operator="greaterThan">
      <formula>0.16</formula>
    </cfRule>
  </conditionalFormatting>
  <conditionalFormatting sqref="L18:L20">
    <cfRule type="cellIs" dxfId="16" priority="17" operator="greaterThan">
      <formula>0.15</formula>
    </cfRule>
  </conditionalFormatting>
  <conditionalFormatting sqref="D18:D20">
    <cfRule type="cellIs" dxfId="15" priority="20" operator="greaterThan">
      <formula>0.0025</formula>
    </cfRule>
  </conditionalFormatting>
  <conditionalFormatting sqref="J18:J20">
    <cfRule type="cellIs" dxfId="14" priority="18" operator="greaterThan">
      <formula>0.16</formula>
    </cfRule>
  </conditionalFormatting>
  <conditionalFormatting sqref="H21:H26">
    <cfRule type="cellIs" dxfId="13" priority="15" operator="greaterThan">
      <formula>0.16</formula>
    </cfRule>
  </conditionalFormatting>
  <conditionalFormatting sqref="L21:L26">
    <cfRule type="cellIs" dxfId="12" priority="13" operator="greaterThan">
      <formula>0.15</formula>
    </cfRule>
  </conditionalFormatting>
  <conditionalFormatting sqref="D21:D26">
    <cfRule type="cellIs" dxfId="11" priority="16" operator="greaterThan">
      <formula>0.0025</formula>
    </cfRule>
  </conditionalFormatting>
  <conditionalFormatting sqref="J21:J26">
    <cfRule type="cellIs" dxfId="10" priority="14" operator="greaterThan">
      <formula>0.16</formula>
    </cfRule>
  </conditionalFormatting>
  <conditionalFormatting sqref="H27">
    <cfRule type="cellIs" dxfId="9" priority="11" operator="greaterThan">
      <formula>0.16</formula>
    </cfRule>
  </conditionalFormatting>
  <conditionalFormatting sqref="L27">
    <cfRule type="cellIs" dxfId="8" priority="9" operator="greaterThan">
      <formula>0.15</formula>
    </cfRule>
  </conditionalFormatting>
  <conditionalFormatting sqref="D27">
    <cfRule type="cellIs" dxfId="7" priority="12" operator="greaterThan">
      <formula>0.0025</formula>
    </cfRule>
  </conditionalFormatting>
  <conditionalFormatting sqref="J27">
    <cfRule type="cellIs" dxfId="6" priority="10" operator="greaterThan">
      <formula>0.16</formula>
    </cfRule>
  </conditionalFormatting>
  <conditionalFormatting sqref="D28:D33">
    <cfRule type="cellIs" dxfId="5" priority="8" operator="greaterThan">
      <formula>0.0025</formula>
    </cfRule>
  </conditionalFormatting>
  <conditionalFormatting sqref="J28:J33">
    <cfRule type="cellIs" dxfId="4" priority="6" operator="greaterThan">
      <formula>0.16</formula>
    </cfRule>
  </conditionalFormatting>
  <conditionalFormatting sqref="H34">
    <cfRule type="cellIs" dxfId="3" priority="3" operator="greaterThan">
      <formula>0.16</formula>
    </cfRule>
  </conditionalFormatting>
  <conditionalFormatting sqref="L34">
    <cfRule type="cellIs" dxfId="2" priority="1" operator="greaterThan">
      <formula>0.15</formula>
    </cfRule>
  </conditionalFormatting>
  <conditionalFormatting sqref="D34">
    <cfRule type="cellIs" dxfId="1" priority="4" operator="greaterThan">
      <formula>0.0025</formula>
    </cfRule>
  </conditionalFormatting>
  <conditionalFormatting sqref="J34">
    <cfRule type="cellIs" dxfId="0" priority="2" operator="greaterThan">
      <formula>0.16</formula>
    </cfRule>
  </conditionalFormatting>
  <pageMargins left="0.7" right="0.7" top="0.75" bottom="0.75" header="0.3" footer="0.3"/>
  <pageSetup paperSize="9" orientation="portrait" horizontalDpi="300" verticalDpi="3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3"/>
  <sheetViews>
    <sheetView view="pageBreakPreview" zoomScale="115" zoomScaleNormal="100" zoomScaleSheetLayoutView="115" workbookViewId="0">
      <selection activeCell="Q19" sqref="Q19"/>
    </sheetView>
  </sheetViews>
  <sheetFormatPr defaultColWidth="8.7265625" defaultRowHeight="14"/>
  <cols>
    <col min="1" max="2" width="8.7265625" style="209"/>
    <col min="3" max="3" width="14" style="209" bestFit="1" customWidth="1"/>
    <col min="4" max="4" width="0.26953125" style="209" customWidth="1"/>
    <col min="5" max="5" width="8.7265625" style="209"/>
    <col min="6" max="6" width="16.26953125" style="209" bestFit="1" customWidth="1"/>
    <col min="7" max="16384" width="8.7265625" style="209"/>
  </cols>
  <sheetData>
    <row r="2" spans="2:7" ht="15.5">
      <c r="B2" s="828" t="s">
        <v>250</v>
      </c>
      <c r="C2" s="828"/>
      <c r="D2" s="828"/>
      <c r="E2" s="828"/>
      <c r="F2" s="828"/>
    </row>
    <row r="3" spans="2:7" ht="14.5">
      <c r="B3" s="210" t="s">
        <v>251</v>
      </c>
      <c r="C3" s="210" t="s">
        <v>252</v>
      </c>
      <c r="D3" s="211"/>
      <c r="E3" s="210" t="s">
        <v>253</v>
      </c>
      <c r="F3" s="210" t="s">
        <v>254</v>
      </c>
      <c r="G3" s="211"/>
    </row>
    <row r="4" spans="2:7" ht="14.5">
      <c r="B4" s="212" t="s">
        <v>255</v>
      </c>
      <c r="C4" s="212" t="s">
        <v>256</v>
      </c>
      <c r="D4" s="211"/>
      <c r="E4" s="212" t="s">
        <v>257</v>
      </c>
      <c r="F4" s="212" t="s">
        <v>258</v>
      </c>
      <c r="G4" s="211"/>
    </row>
    <row r="5" spans="2:7" ht="14.5">
      <c r="B5" s="212" t="s">
        <v>259</v>
      </c>
      <c r="C5" s="212" t="s">
        <v>260</v>
      </c>
      <c r="D5" s="211"/>
      <c r="E5" s="212" t="s">
        <v>261</v>
      </c>
      <c r="F5" s="212" t="s">
        <v>262</v>
      </c>
      <c r="G5" s="211"/>
    </row>
    <row r="6" spans="2:7" ht="14.5">
      <c r="B6" s="212" t="s">
        <v>263</v>
      </c>
      <c r="C6" s="212" t="s">
        <v>264</v>
      </c>
      <c r="D6" s="211"/>
      <c r="E6" s="213" t="s">
        <v>265</v>
      </c>
      <c r="F6" s="213" t="s">
        <v>136</v>
      </c>
      <c r="G6" s="211"/>
    </row>
    <row r="7" spans="2:7" ht="14.5">
      <c r="B7" s="213" t="s">
        <v>266</v>
      </c>
      <c r="C7" s="213" t="s">
        <v>267</v>
      </c>
      <c r="D7" s="211"/>
      <c r="E7" s="212" t="s">
        <v>268</v>
      </c>
      <c r="F7" s="212" t="s">
        <v>269</v>
      </c>
      <c r="G7" s="211"/>
    </row>
    <row r="8" spans="2:7" ht="14.5">
      <c r="B8" s="212" t="s">
        <v>270</v>
      </c>
      <c r="C8" s="212" t="s">
        <v>271</v>
      </c>
      <c r="D8" s="211"/>
      <c r="E8" s="212" t="s">
        <v>272</v>
      </c>
      <c r="F8" s="212" t="s">
        <v>273</v>
      </c>
      <c r="G8" s="211"/>
    </row>
    <row r="9" spans="2:7" ht="14.5">
      <c r="B9" s="212" t="s">
        <v>274</v>
      </c>
      <c r="C9" s="212" t="s">
        <v>275</v>
      </c>
      <c r="D9" s="211"/>
      <c r="E9" s="213" t="s">
        <v>276</v>
      </c>
      <c r="F9" s="213" t="s">
        <v>135</v>
      </c>
      <c r="G9" s="211"/>
    </row>
    <row r="10" spans="2:7" ht="14.5">
      <c r="B10" s="212" t="s">
        <v>277</v>
      </c>
      <c r="C10" s="212" t="s">
        <v>278</v>
      </c>
      <c r="D10" s="211"/>
      <c r="E10" s="212" t="s">
        <v>279</v>
      </c>
      <c r="F10" s="212" t="s">
        <v>280</v>
      </c>
      <c r="G10" s="211"/>
    </row>
    <row r="11" spans="2:7" ht="14.5">
      <c r="B11" s="212" t="s">
        <v>281</v>
      </c>
      <c r="C11" s="212" t="s">
        <v>282</v>
      </c>
      <c r="D11" s="211"/>
      <c r="E11" s="212" t="s">
        <v>283</v>
      </c>
      <c r="F11" s="212" t="s">
        <v>273</v>
      </c>
      <c r="G11" s="211"/>
    </row>
    <row r="12" spans="2:7" ht="14.5">
      <c r="B12" s="212" t="s">
        <v>284</v>
      </c>
      <c r="C12" s="212" t="s">
        <v>285</v>
      </c>
      <c r="D12" s="211"/>
      <c r="E12" s="212" t="s">
        <v>286</v>
      </c>
      <c r="F12" s="212" t="s">
        <v>287</v>
      </c>
      <c r="G12" s="211"/>
    </row>
    <row r="13" spans="2:7" ht="14.5">
      <c r="B13" s="213" t="s">
        <v>288</v>
      </c>
      <c r="C13" s="213" t="s">
        <v>131</v>
      </c>
      <c r="D13" s="211"/>
      <c r="E13" s="212" t="s">
        <v>289</v>
      </c>
      <c r="F13" s="212" t="s">
        <v>290</v>
      </c>
      <c r="G13" s="211"/>
    </row>
    <row r="14" spans="2:7" ht="14.5">
      <c r="B14" s="212" t="s">
        <v>291</v>
      </c>
      <c r="C14" s="212" t="s">
        <v>292</v>
      </c>
      <c r="D14" s="211"/>
      <c r="E14" s="213" t="s">
        <v>293</v>
      </c>
      <c r="F14" s="213" t="s">
        <v>294</v>
      </c>
      <c r="G14" s="211"/>
    </row>
    <row r="15" spans="2:7" ht="14.5">
      <c r="B15" s="213" t="s">
        <v>295</v>
      </c>
      <c r="C15" s="213" t="s">
        <v>296</v>
      </c>
      <c r="D15" s="211"/>
      <c r="E15" s="212" t="s">
        <v>297</v>
      </c>
      <c r="F15" s="212" t="s">
        <v>294</v>
      </c>
      <c r="G15" s="211"/>
    </row>
    <row r="16" spans="2:7" ht="14.5">
      <c r="B16" s="212" t="s">
        <v>298</v>
      </c>
      <c r="C16" s="212" t="s">
        <v>299</v>
      </c>
      <c r="D16" s="211"/>
      <c r="E16" s="213" t="s">
        <v>300</v>
      </c>
      <c r="F16" s="213" t="s">
        <v>301</v>
      </c>
      <c r="G16" s="211"/>
    </row>
    <row r="17" spans="2:7" ht="14.5">
      <c r="B17" s="212" t="s">
        <v>302</v>
      </c>
      <c r="C17" s="212" t="s">
        <v>303</v>
      </c>
      <c r="D17" s="211"/>
      <c r="E17" s="212" t="s">
        <v>304</v>
      </c>
      <c r="F17" s="212" t="s">
        <v>305</v>
      </c>
      <c r="G17" s="211"/>
    </row>
    <row r="18" spans="2:7" ht="14.5">
      <c r="B18" s="212" t="s">
        <v>306</v>
      </c>
      <c r="C18" s="212" t="s">
        <v>307</v>
      </c>
      <c r="D18" s="211"/>
      <c r="E18" s="212" t="s">
        <v>308</v>
      </c>
      <c r="F18" s="212" t="s">
        <v>309</v>
      </c>
      <c r="G18" s="211"/>
    </row>
    <row r="19" spans="2:7" ht="14.5">
      <c r="B19" s="212" t="s">
        <v>310</v>
      </c>
      <c r="C19" s="212" t="s">
        <v>311</v>
      </c>
      <c r="D19" s="211"/>
      <c r="E19" s="212" t="s">
        <v>312</v>
      </c>
      <c r="F19" s="212" t="s">
        <v>313</v>
      </c>
      <c r="G19" s="211"/>
    </row>
    <row r="20" spans="2:7" ht="14.5">
      <c r="B20" s="212" t="s">
        <v>314</v>
      </c>
      <c r="C20" s="212" t="s">
        <v>315</v>
      </c>
      <c r="D20" s="211"/>
      <c r="G20" s="211"/>
    </row>
    <row r="21" spans="2:7" ht="14.5">
      <c r="D21" s="211"/>
      <c r="G21" s="211"/>
    </row>
    <row r="22" spans="2:7" ht="14.5">
      <c r="D22" s="211"/>
      <c r="G22" s="211"/>
    </row>
    <row r="23" spans="2:7" ht="14.5">
      <c r="D23" s="211"/>
      <c r="G23" s="211"/>
    </row>
  </sheetData>
  <mergeCells count="1">
    <mergeCell ref="B2:F2"/>
  </mergeCells>
  <phoneticPr fontId="11" type="noConversion"/>
  <pageMargins left="0" right="0" top="0" bottom="0" header="0" footer="0"/>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件" ma:contentTypeID="0x010100FDA62899FCF77541A2830A96A559C8DA" ma:contentTypeVersion="11" ma:contentTypeDescription="建立新的文件。" ma:contentTypeScope="" ma:versionID="d02586461ad3ed0e5a8730ab5eb20d51">
  <xsd:schema xmlns:xsd="http://www.w3.org/2001/XMLSchema" xmlns:xs="http://www.w3.org/2001/XMLSchema" xmlns:p="http://schemas.microsoft.com/office/2006/metadata/properties" xmlns:ns2="d017f4fe-1359-4419-afdf-e2560bdfb30b" xmlns:ns3="85de06e7-71af-4d71-a190-84eae70d6c46" targetNamespace="http://schemas.microsoft.com/office/2006/metadata/properties" ma:root="true" ma:fieldsID="eb7a66f808bf71e5a949a7b74ccbfe17" ns2:_="" ns3:_="">
    <xsd:import namespace="d017f4fe-1359-4419-afdf-e2560bdfb30b"/>
    <xsd:import namespace="85de06e7-71af-4d71-a190-84eae70d6c4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17f4fe-1359-4419-afdf-e2560bdfb3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影像標籤" ma:readOnly="false" ma:fieldId="{5cf76f15-5ced-4ddc-b409-7134ff3c332f}" ma:taxonomyMulti="true" ma:sspId="ecabee93-cc04-4b29-9ac7-5286c815f7a8"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de06e7-71af-4d71-a190-84eae70d6c4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797b0fa-71ef-4af6-bbc5-b4c66286d822}" ma:internalName="TaxCatchAll" ma:showField="CatchAllData" ma:web="85de06e7-71af-4d71-a190-84eae70d6c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5de06e7-71af-4d71-a190-84eae70d6c46" xsi:nil="true"/>
    <lcf76f155ced4ddcb4097134ff3c332f xmlns="d017f4fe-1359-4419-afdf-e2560bdfb30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AD485B3-AC83-4417-84E3-4F4BF8338094}"/>
</file>

<file path=customXml/itemProps2.xml><?xml version="1.0" encoding="utf-8"?>
<ds:datastoreItem xmlns:ds="http://schemas.openxmlformats.org/officeDocument/2006/customXml" ds:itemID="{4C757998-FF33-4A4B-BBC1-22DA3171C3BE}"/>
</file>

<file path=customXml/itemProps3.xml><?xml version="1.0" encoding="utf-8"?>
<ds:datastoreItem xmlns:ds="http://schemas.openxmlformats.org/officeDocument/2006/customXml" ds:itemID="{32B6C845-14EF-4B79-91BE-EF45338A7C3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32</vt:i4>
      </vt:variant>
      <vt:variant>
        <vt:lpstr>已命名的範圍</vt:lpstr>
      </vt:variant>
      <vt:variant>
        <vt:i4>12</vt:i4>
      </vt:variant>
    </vt:vector>
  </HeadingPairs>
  <TitlesOfParts>
    <vt:vector size="44" baseType="lpstr">
      <vt:lpstr>填寫舉例</vt:lpstr>
      <vt:lpstr>生產管理報表(月)</vt:lpstr>
      <vt:lpstr>生產管理報表(週) </vt:lpstr>
      <vt:lpstr>（１）收支狀況</vt:lpstr>
      <vt:lpstr>（２）ＫＰＩ達成進度</vt:lpstr>
      <vt:lpstr>（３）業績構成比</vt:lpstr>
      <vt:lpstr>（４）訂單數量構成比</vt:lpstr>
      <vt:lpstr>（５-1）品群別人時生產性（18℃-飯糰）</vt:lpstr>
      <vt:lpstr>（５-2）品群別人時生產性（18-壽司手卷)</vt:lpstr>
      <vt:lpstr>（５-3）品群別人時生產性（4℃-飯糰)</vt:lpstr>
      <vt:lpstr>（５-4）品群別人時生產性（4℃-壽司手卷)</vt:lpstr>
      <vt:lpstr>（５-5）品群別人時生產性(主食) </vt:lpstr>
      <vt:lpstr>（５-6）品群別人時生產性(便當)</vt:lpstr>
      <vt:lpstr>（５-7）品群別人時生產性(熱食義麵) </vt:lpstr>
      <vt:lpstr>（５-8）品群別人時生產性(季節調理麵) </vt:lpstr>
      <vt:lpstr>（５-9）品群別人時生產性(微波小吃)</vt:lpstr>
      <vt:lpstr>生產管理報表 6-1</vt:lpstr>
      <vt:lpstr>生產管理報表 6-2</vt:lpstr>
      <vt:lpstr>生產管理報表 6-3</vt:lpstr>
      <vt:lpstr>生產管理報表 6-4</vt:lpstr>
      <vt:lpstr>生產管理報表 6-5</vt:lpstr>
      <vt:lpstr>生產管理報表 7-1(月)</vt:lpstr>
      <vt:lpstr>生產管理報表 7-1 (週)</vt:lpstr>
      <vt:lpstr>生產管理報表 8-1(報廢)</vt:lpstr>
      <vt:lpstr>生產管理報表 8-2(報廢)</vt:lpstr>
      <vt:lpstr>生產管理報表 8-3(超用)</vt:lpstr>
      <vt:lpstr>生產管理報表 8-4(超用)</vt:lpstr>
      <vt:lpstr>生產管理報表 9</vt:lpstr>
      <vt:lpstr>報廢20大－原因別分析</vt:lpstr>
      <vt:lpstr>超用20大－原因別分析</vt:lpstr>
      <vt:lpstr>日別報廢率總表  </vt:lpstr>
      <vt:lpstr>鮮食品群番</vt:lpstr>
      <vt:lpstr>'生產管理報表 6-1'!Print_Area</vt:lpstr>
      <vt:lpstr>'生產管理報表 6-2'!Print_Area</vt:lpstr>
      <vt:lpstr>'生產管理報表 6-3'!Print_Area</vt:lpstr>
      <vt:lpstr>'生產管理報表 6-4'!Print_Area</vt:lpstr>
      <vt:lpstr>'生產管理報表 6-5'!Print_Area</vt:lpstr>
      <vt:lpstr>'生產管理報表 7-1 (週)'!Print_Area</vt:lpstr>
      <vt:lpstr>'生產管理報表 7-1(月)'!Print_Area</vt:lpstr>
      <vt:lpstr>'生產管理報表 8-3(超用)'!Print_Area</vt:lpstr>
      <vt:lpstr>'生產管理報表 8-4(超用)'!Print_Area</vt:lpstr>
      <vt:lpstr>'生產管理報表(月)'!Print_Area</vt:lpstr>
      <vt:lpstr>'生產管理報表(週) '!Print_Area</vt:lpstr>
      <vt:lpstr>鮮食品群番!Print_Area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丁珮心</dc:creator>
  <cp:lastModifiedBy>林煥程</cp:lastModifiedBy>
  <cp:lastPrinted>2025-07-28T04:42:39Z</cp:lastPrinted>
  <dcterms:created xsi:type="dcterms:W3CDTF">2025-07-03T16:36:59Z</dcterms:created>
  <dcterms:modified xsi:type="dcterms:W3CDTF">2026-01-14T08:57:40Z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0x010100FDA62899FCF77541A2830A96A559C8DA</vt:lpwstr>
  </property>
</Properties>
</file>