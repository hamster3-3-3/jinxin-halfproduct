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bookViews>
    <workbookView minimized="1" xWindow="0" yWindow="0" windowWidth="14490" windowHeight="11640" tabRatio="924" firstSheet="28" activeTab="28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</workbook>
</file>

<file path=xl/calcChain.xml><?xml version="1.0" encoding="utf-8"?>
<calcChain xmlns="http://schemas.openxmlformats.org/spreadsheetml/2006/main">
  <c r="C246" i="41" l="1"/>
  <c r="C245" i="41"/>
  <c r="B246" i="41"/>
  <c r="B245" i="41"/>
  <c r="AD8" i="46"/>
  <c r="AC9" i="47"/>
  <c r="AB9" i="47"/>
  <c r="AC9" i="46"/>
  <c r="AB9" i="46"/>
  <c r="B6" i="39"/>
  <c r="D38" i="48" l="1"/>
  <c r="D37" i="48"/>
  <c r="D36" i="48"/>
  <c r="D35" i="48"/>
  <c r="D34" i="48"/>
  <c r="D33" i="48"/>
  <c r="D32" i="48"/>
  <c r="D31" i="48"/>
  <c r="D30" i="48"/>
  <c r="D29" i="48"/>
  <c r="D28" i="48"/>
  <c r="F38" i="48"/>
  <c r="F37" i="48"/>
  <c r="F36" i="48"/>
  <c r="F35" i="48"/>
  <c r="F34" i="48"/>
  <c r="F33" i="48"/>
  <c r="F32" i="48"/>
  <c r="F31" i="48"/>
  <c r="F30" i="48"/>
  <c r="F29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5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J4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12" i="48"/>
  <c r="F11" i="48"/>
  <c r="F10" i="48"/>
  <c r="F9" i="48"/>
  <c r="F8" i="48"/>
  <c r="F7" i="48"/>
  <c r="F6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M249" i="41" l="1"/>
  <c r="K249" i="41"/>
  <c r="M248" i="41"/>
  <c r="K248" i="41"/>
  <c r="I244" i="41"/>
  <c r="G244" i="41"/>
  <c r="C244" i="41"/>
  <c r="G243" i="41"/>
  <c r="C243" i="41"/>
  <c r="K58" i="35"/>
  <c r="J58" i="35"/>
  <c r="I58" i="35"/>
  <c r="K57" i="35"/>
  <c r="J57" i="35"/>
  <c r="I57" i="35"/>
  <c r="K56" i="35"/>
  <c r="J56" i="35"/>
  <c r="I56" i="35"/>
  <c r="K55" i="35"/>
  <c r="J55" i="35"/>
  <c r="I55" i="35"/>
  <c r="K58" i="34"/>
  <c r="J58" i="34"/>
  <c r="I58" i="34"/>
  <c r="J57" i="32"/>
  <c r="K57" i="32"/>
  <c r="I57" i="32"/>
  <c r="C10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38" i="35"/>
  <c r="J38" i="35"/>
  <c r="I38" i="35"/>
  <c r="K37" i="35"/>
  <c r="J37" i="35"/>
  <c r="I37" i="35"/>
  <c r="K36" i="35"/>
  <c r="J36" i="35"/>
  <c r="I36" i="35"/>
  <c r="K35" i="35"/>
  <c r="J35" i="35"/>
  <c r="I35" i="35"/>
  <c r="K38" i="34"/>
  <c r="J38" i="34"/>
  <c r="I38" i="34"/>
  <c r="K66" i="33"/>
  <c r="AQ68" i="33"/>
  <c r="AP68" i="33"/>
  <c r="AO68" i="33"/>
  <c r="AL68" i="33"/>
  <c r="AK68" i="33"/>
  <c r="AJ68" i="33"/>
  <c r="AG68" i="33"/>
  <c r="AF68" i="33"/>
  <c r="AE68" i="33"/>
  <c r="AB68" i="33"/>
  <c r="AA68" i="33"/>
  <c r="Z68" i="33"/>
  <c r="J66" i="33"/>
  <c r="W68" i="33"/>
  <c r="V68" i="33"/>
  <c r="U68" i="33"/>
  <c r="R68" i="33"/>
  <c r="K68" i="33" s="1"/>
  <c r="Q68" i="33"/>
  <c r="J68" i="33" s="1"/>
  <c r="P68" i="33"/>
  <c r="I67" i="33"/>
  <c r="K67" i="33"/>
  <c r="I66" i="33"/>
  <c r="AG27" i="31"/>
  <c r="AF27" i="31"/>
  <c r="AE27" i="31"/>
  <c r="I68" i="33" l="1"/>
  <c r="J67" i="33"/>
  <c r="O5" i="3" l="1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5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12" i="48"/>
  <c r="L10" i="48"/>
  <c r="L9" i="48"/>
  <c r="L8" i="48"/>
  <c r="L7" i="48"/>
  <c r="L6" i="48"/>
  <c r="L5" i="48"/>
  <c r="L4" i="48"/>
  <c r="O4" i="48"/>
  <c r="N4" i="48"/>
  <c r="M4" i="48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61" i="35"/>
  <c r="AR61" i="35"/>
  <c r="AM61" i="35"/>
  <c r="AH61" i="35"/>
  <c r="AC61" i="35"/>
  <c r="X61" i="35"/>
  <c r="AW60" i="35"/>
  <c r="AR60" i="35"/>
  <c r="AM60" i="35"/>
  <c r="AH60" i="35"/>
  <c r="AC60" i="35"/>
  <c r="X60" i="35"/>
  <c r="AW59" i="35"/>
  <c r="AR59" i="35"/>
  <c r="AM59" i="35"/>
  <c r="AH59" i="35"/>
  <c r="AC59" i="35"/>
  <c r="X59" i="35"/>
  <c r="AW58" i="35"/>
  <c r="AR58" i="35"/>
  <c r="AM58" i="35"/>
  <c r="AH58" i="35"/>
  <c r="AC58" i="35"/>
  <c r="X58" i="35"/>
  <c r="AW57" i="35"/>
  <c r="AR57" i="35"/>
  <c r="AM57" i="35"/>
  <c r="AH57" i="35"/>
  <c r="AC57" i="35"/>
  <c r="X57" i="35"/>
  <c r="AW56" i="35"/>
  <c r="AR56" i="35"/>
  <c r="AM56" i="35"/>
  <c r="AH56" i="35"/>
  <c r="AC56" i="35"/>
  <c r="X56" i="35"/>
  <c r="AW55" i="35"/>
  <c r="AR55" i="35"/>
  <c r="AM55" i="35"/>
  <c r="AH55" i="35"/>
  <c r="AC55" i="35"/>
  <c r="X55" i="35"/>
  <c r="AW54" i="35"/>
  <c r="AR54" i="35"/>
  <c r="AM54" i="35"/>
  <c r="AH54" i="35"/>
  <c r="AC54" i="35"/>
  <c r="X54" i="35"/>
  <c r="AW53" i="35"/>
  <c r="AR53" i="35"/>
  <c r="AM53" i="35"/>
  <c r="AH53" i="35"/>
  <c r="AC53" i="35"/>
  <c r="X53" i="35"/>
  <c r="AW52" i="35"/>
  <c r="AR52" i="35"/>
  <c r="AM52" i="35"/>
  <c r="AH52" i="35"/>
  <c r="AC52" i="35"/>
  <c r="X52" i="35"/>
  <c r="AW51" i="35"/>
  <c r="AR51" i="35"/>
  <c r="AM51" i="35"/>
  <c r="AH51" i="35"/>
  <c r="AC51" i="35"/>
  <c r="X51" i="35"/>
  <c r="AW50" i="35"/>
  <c r="AR50" i="35"/>
  <c r="AM50" i="35"/>
  <c r="AH50" i="35"/>
  <c r="AC50" i="35"/>
  <c r="X50" i="35"/>
  <c r="AW49" i="35"/>
  <c r="AR49" i="35"/>
  <c r="AM49" i="35"/>
  <c r="AH49" i="35"/>
  <c r="AC49" i="35"/>
  <c r="X49" i="35"/>
  <c r="AW48" i="35"/>
  <c r="AR48" i="35"/>
  <c r="AM48" i="35"/>
  <c r="AH48" i="35"/>
  <c r="AC48" i="35"/>
  <c r="X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AW61" i="36"/>
  <c r="AR61" i="36"/>
  <c r="AM61" i="36"/>
  <c r="AH61" i="36"/>
  <c r="AC61" i="36"/>
  <c r="X61" i="36"/>
  <c r="AW60" i="36"/>
  <c r="AR60" i="36"/>
  <c r="AM60" i="36"/>
  <c r="AH60" i="36"/>
  <c r="AC60" i="36"/>
  <c r="X60" i="36"/>
  <c r="AW59" i="36"/>
  <c r="AR59" i="36"/>
  <c r="AM59" i="36"/>
  <c r="AH59" i="36"/>
  <c r="AC59" i="36"/>
  <c r="X59" i="36"/>
  <c r="AW58" i="36"/>
  <c r="AR58" i="36"/>
  <c r="AM58" i="36"/>
  <c r="AH58" i="36"/>
  <c r="AC58" i="36"/>
  <c r="X58" i="36"/>
  <c r="AW57" i="36"/>
  <c r="AR57" i="36"/>
  <c r="AM57" i="36"/>
  <c r="AH57" i="36"/>
  <c r="AC57" i="36"/>
  <c r="X57" i="36"/>
  <c r="AW56" i="36"/>
  <c r="AR56" i="36"/>
  <c r="AM56" i="36"/>
  <c r="AH56" i="36"/>
  <c r="AC56" i="36"/>
  <c r="X56" i="36"/>
  <c r="AW55" i="36"/>
  <c r="AR55" i="36"/>
  <c r="AM55" i="36"/>
  <c r="AH55" i="36"/>
  <c r="AC55" i="36"/>
  <c r="X55" i="36"/>
  <c r="AW54" i="36"/>
  <c r="AR54" i="36"/>
  <c r="AM54" i="36"/>
  <c r="AH54" i="36"/>
  <c r="AC54" i="36"/>
  <c r="X54" i="36"/>
  <c r="AW53" i="36"/>
  <c r="AR53" i="36"/>
  <c r="AM53" i="36"/>
  <c r="AH53" i="36"/>
  <c r="AC53" i="36"/>
  <c r="X53" i="36"/>
  <c r="AW52" i="36"/>
  <c r="AR52" i="36"/>
  <c r="AM52" i="36"/>
  <c r="AH52" i="36"/>
  <c r="AC52" i="36"/>
  <c r="X52" i="36"/>
  <c r="AW51" i="36"/>
  <c r="AR51" i="36"/>
  <c r="AM51" i="36"/>
  <c r="AH51" i="36"/>
  <c r="AC51" i="36"/>
  <c r="X51" i="36"/>
  <c r="AW50" i="36"/>
  <c r="AR50" i="36"/>
  <c r="AM50" i="36"/>
  <c r="AH50" i="36"/>
  <c r="AC50" i="36"/>
  <c r="X50" i="36"/>
  <c r="AW49" i="36"/>
  <c r="AR49" i="36"/>
  <c r="AM49" i="36"/>
  <c r="AH49" i="36"/>
  <c r="AC49" i="36"/>
  <c r="X49" i="36"/>
  <c r="AW48" i="36"/>
  <c r="AR48" i="36"/>
  <c r="AM48" i="36"/>
  <c r="AH48" i="36"/>
  <c r="AC48" i="36"/>
  <c r="X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AW51" i="37"/>
  <c r="AR51" i="37"/>
  <c r="AM51" i="37"/>
  <c r="AH51" i="37"/>
  <c r="AC51" i="37"/>
  <c r="X51" i="37"/>
  <c r="AW50" i="37"/>
  <c r="AR50" i="37"/>
  <c r="AM50" i="37"/>
  <c r="AH50" i="37"/>
  <c r="AC50" i="37"/>
  <c r="X50" i="37"/>
  <c r="AW49" i="37"/>
  <c r="AR49" i="37"/>
  <c r="AM49" i="37"/>
  <c r="AH49" i="37"/>
  <c r="AC49" i="37"/>
  <c r="X49" i="37"/>
  <c r="AW48" i="37"/>
  <c r="AR48" i="37"/>
  <c r="AM48" i="37"/>
  <c r="AH48" i="37"/>
  <c r="AC48" i="37"/>
  <c r="X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AW61" i="34"/>
  <c r="AR61" i="34"/>
  <c r="AM61" i="34"/>
  <c r="AH61" i="34"/>
  <c r="AC61" i="34"/>
  <c r="X61" i="34"/>
  <c r="AW60" i="34"/>
  <c r="AR60" i="34"/>
  <c r="AM60" i="34"/>
  <c r="AH60" i="34"/>
  <c r="AC60" i="34"/>
  <c r="X60" i="34"/>
  <c r="AW59" i="34"/>
  <c r="AR59" i="34"/>
  <c r="AM59" i="34"/>
  <c r="AH59" i="34"/>
  <c r="AC59" i="34"/>
  <c r="X59" i="34"/>
  <c r="AW58" i="34"/>
  <c r="AR58" i="34"/>
  <c r="AM58" i="34"/>
  <c r="AH58" i="34"/>
  <c r="AC58" i="34"/>
  <c r="X58" i="34"/>
  <c r="AW57" i="34"/>
  <c r="AR57" i="34"/>
  <c r="AM57" i="34"/>
  <c r="AH57" i="34"/>
  <c r="AC57" i="34"/>
  <c r="X57" i="34"/>
  <c r="AW56" i="34"/>
  <c r="AR56" i="34"/>
  <c r="AM56" i="34"/>
  <c r="AH56" i="34"/>
  <c r="AC56" i="34"/>
  <c r="X56" i="34"/>
  <c r="AW55" i="34"/>
  <c r="AR55" i="34"/>
  <c r="AM55" i="34"/>
  <c r="AH55" i="34"/>
  <c r="AC55" i="34"/>
  <c r="X55" i="34"/>
  <c r="AW54" i="34"/>
  <c r="AR54" i="34"/>
  <c r="AM54" i="34"/>
  <c r="AH54" i="34"/>
  <c r="AC54" i="34"/>
  <c r="X54" i="34"/>
  <c r="AW53" i="34"/>
  <c r="AR53" i="34"/>
  <c r="AM53" i="34"/>
  <c r="AH53" i="34"/>
  <c r="AC53" i="34"/>
  <c r="X53" i="34"/>
  <c r="AW52" i="34"/>
  <c r="AR52" i="34"/>
  <c r="AM52" i="34"/>
  <c r="AH52" i="34"/>
  <c r="AC52" i="34"/>
  <c r="X52" i="34"/>
  <c r="AW51" i="34"/>
  <c r="AR51" i="34"/>
  <c r="AM51" i="34"/>
  <c r="AH51" i="34"/>
  <c r="AC51" i="34"/>
  <c r="X51" i="34"/>
  <c r="AW50" i="34"/>
  <c r="AR50" i="34"/>
  <c r="AM50" i="34"/>
  <c r="AH50" i="34"/>
  <c r="AC50" i="34"/>
  <c r="X50" i="34"/>
  <c r="AW49" i="34"/>
  <c r="AR49" i="34"/>
  <c r="AM49" i="34"/>
  <c r="AH49" i="34"/>
  <c r="AC49" i="34"/>
  <c r="X49" i="34"/>
  <c r="AW48" i="34"/>
  <c r="AR48" i="34"/>
  <c r="AM48" i="34"/>
  <c r="AH48" i="34"/>
  <c r="AC48" i="34"/>
  <c r="X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R21" i="35"/>
  <c r="AM21" i="35"/>
  <c r="AH21" i="35"/>
  <c r="AC21" i="35"/>
  <c r="X21" i="35"/>
  <c r="AR20" i="35"/>
  <c r="AM20" i="35"/>
  <c r="AH20" i="35"/>
  <c r="AC20" i="35"/>
  <c r="X20" i="35"/>
  <c r="AR19" i="35"/>
  <c r="AM19" i="35"/>
  <c r="AH19" i="35"/>
  <c r="AC19" i="35"/>
  <c r="X19" i="35"/>
  <c r="AR18" i="35"/>
  <c r="AM18" i="35"/>
  <c r="AH18" i="35"/>
  <c r="AC18" i="35"/>
  <c r="X18" i="35"/>
  <c r="AR17" i="35"/>
  <c r="AM17" i="35"/>
  <c r="AH17" i="35"/>
  <c r="AC17" i="35"/>
  <c r="X17" i="35"/>
  <c r="AR16" i="35"/>
  <c r="AM16" i="35"/>
  <c r="AH16" i="35"/>
  <c r="AC16" i="35"/>
  <c r="X16" i="35"/>
  <c r="AR15" i="35"/>
  <c r="AM15" i="35"/>
  <c r="AH15" i="35"/>
  <c r="AC15" i="35"/>
  <c r="X15" i="35"/>
  <c r="AR14" i="35"/>
  <c r="AM14" i="35"/>
  <c r="AH14" i="35"/>
  <c r="AC14" i="35"/>
  <c r="X14" i="35"/>
  <c r="AR13" i="35"/>
  <c r="AM13" i="35"/>
  <c r="AH13" i="35"/>
  <c r="AC13" i="35"/>
  <c r="X13" i="35"/>
  <c r="AR12" i="35"/>
  <c r="AM12" i="35"/>
  <c r="AH12" i="35"/>
  <c r="AC12" i="35"/>
  <c r="X12" i="35"/>
  <c r="AR11" i="35"/>
  <c r="AM11" i="35"/>
  <c r="AH11" i="35"/>
  <c r="AC11" i="35"/>
  <c r="X11" i="35"/>
  <c r="AR10" i="35"/>
  <c r="AM10" i="35"/>
  <c r="AH10" i="35"/>
  <c r="AC10" i="35"/>
  <c r="X10" i="35"/>
  <c r="AR9" i="35"/>
  <c r="AM9" i="35"/>
  <c r="AH9" i="35"/>
  <c r="AC9" i="35"/>
  <c r="X9" i="35"/>
  <c r="AR8" i="35"/>
  <c r="AM8" i="35"/>
  <c r="AH8" i="35"/>
  <c r="AC8" i="35"/>
  <c r="X8" i="35"/>
  <c r="AS7" i="35"/>
  <c r="AR7" i="35"/>
  <c r="AN7" i="35"/>
  <c r="AM7" i="35"/>
  <c r="AI7" i="35"/>
  <c r="AH7" i="35"/>
  <c r="AD7" i="35"/>
  <c r="AC7" i="35"/>
  <c r="Y7" i="35"/>
  <c r="X7" i="35"/>
  <c r="AR21" i="36"/>
  <c r="AM21" i="36"/>
  <c r="AH21" i="36"/>
  <c r="AC21" i="36"/>
  <c r="X21" i="36"/>
  <c r="AR20" i="36"/>
  <c r="AM20" i="36"/>
  <c r="AH20" i="36"/>
  <c r="AC20" i="36"/>
  <c r="X20" i="36"/>
  <c r="AR19" i="36"/>
  <c r="AM19" i="36"/>
  <c r="AH19" i="36"/>
  <c r="AC19" i="36"/>
  <c r="X19" i="36"/>
  <c r="AR18" i="36"/>
  <c r="AM18" i="36"/>
  <c r="AH18" i="36"/>
  <c r="AC18" i="36"/>
  <c r="X18" i="36"/>
  <c r="AR17" i="36"/>
  <c r="AM17" i="36"/>
  <c r="AH17" i="36"/>
  <c r="AC17" i="36"/>
  <c r="X17" i="36"/>
  <c r="AR16" i="36"/>
  <c r="AM16" i="36"/>
  <c r="AH16" i="36"/>
  <c r="AC16" i="36"/>
  <c r="X16" i="36"/>
  <c r="AR15" i="36"/>
  <c r="AM15" i="36"/>
  <c r="AH15" i="36"/>
  <c r="AC15" i="36"/>
  <c r="X15" i="36"/>
  <c r="AR14" i="36"/>
  <c r="AM14" i="36"/>
  <c r="AH14" i="36"/>
  <c r="AC14" i="36"/>
  <c r="X14" i="36"/>
  <c r="AR13" i="36"/>
  <c r="AM13" i="36"/>
  <c r="AH13" i="36"/>
  <c r="AC13" i="36"/>
  <c r="X13" i="36"/>
  <c r="AR12" i="36"/>
  <c r="AM12" i="36"/>
  <c r="AH12" i="36"/>
  <c r="AC12" i="36"/>
  <c r="X12" i="36"/>
  <c r="AR11" i="36"/>
  <c r="AM11" i="36"/>
  <c r="AH11" i="36"/>
  <c r="AC11" i="36"/>
  <c r="X11" i="36"/>
  <c r="AR10" i="36"/>
  <c r="AM10" i="36"/>
  <c r="AH10" i="36"/>
  <c r="AC10" i="36"/>
  <c r="X10" i="36"/>
  <c r="AR9" i="36"/>
  <c r="AM9" i="36"/>
  <c r="AH9" i="36"/>
  <c r="AC9" i="36"/>
  <c r="X9" i="36"/>
  <c r="AR8" i="36"/>
  <c r="AM8" i="36"/>
  <c r="AH8" i="36"/>
  <c r="AC8" i="36"/>
  <c r="X8" i="36"/>
  <c r="AS7" i="36"/>
  <c r="AR7" i="36"/>
  <c r="AN7" i="36"/>
  <c r="AM7" i="36"/>
  <c r="AI7" i="36"/>
  <c r="AH7" i="36"/>
  <c r="AD7" i="36"/>
  <c r="AC7" i="36"/>
  <c r="Y7" i="36"/>
  <c r="X7" i="36"/>
  <c r="AR21" i="37"/>
  <c r="AM21" i="37"/>
  <c r="AH21" i="37"/>
  <c r="AC21" i="37"/>
  <c r="X21" i="37"/>
  <c r="AR20" i="37"/>
  <c r="AM20" i="37"/>
  <c r="AH20" i="37"/>
  <c r="AC20" i="37"/>
  <c r="X20" i="37"/>
  <c r="AR19" i="37"/>
  <c r="AM19" i="37"/>
  <c r="AH19" i="37"/>
  <c r="AC19" i="37"/>
  <c r="X19" i="37"/>
  <c r="AR18" i="37"/>
  <c r="AM18" i="37"/>
  <c r="AH18" i="37"/>
  <c r="AC18" i="37"/>
  <c r="X18" i="37"/>
  <c r="AR17" i="37"/>
  <c r="AM17" i="37"/>
  <c r="AH17" i="37"/>
  <c r="AC17" i="37"/>
  <c r="X17" i="37"/>
  <c r="AR16" i="37"/>
  <c r="AM16" i="37"/>
  <c r="AH16" i="37"/>
  <c r="AC16" i="37"/>
  <c r="X16" i="37"/>
  <c r="AR15" i="37"/>
  <c r="AM15" i="37"/>
  <c r="AH15" i="37"/>
  <c r="AC15" i="37"/>
  <c r="X15" i="37"/>
  <c r="AR14" i="37"/>
  <c r="AM14" i="37"/>
  <c r="AH14" i="37"/>
  <c r="AC14" i="37"/>
  <c r="X14" i="37"/>
  <c r="AR13" i="37"/>
  <c r="AM13" i="37"/>
  <c r="AH13" i="37"/>
  <c r="AC13" i="37"/>
  <c r="X13" i="37"/>
  <c r="AR12" i="37"/>
  <c r="AM12" i="37"/>
  <c r="AH12" i="37"/>
  <c r="AC12" i="37"/>
  <c r="X12" i="37"/>
  <c r="AR11" i="37"/>
  <c r="AM11" i="37"/>
  <c r="AH11" i="37"/>
  <c r="AC11" i="37"/>
  <c r="X11" i="37"/>
  <c r="AR10" i="37"/>
  <c r="AM10" i="37"/>
  <c r="AH10" i="37"/>
  <c r="AC10" i="37"/>
  <c r="X10" i="37"/>
  <c r="AR9" i="37"/>
  <c r="AM9" i="37"/>
  <c r="AH9" i="37"/>
  <c r="AC9" i="37"/>
  <c r="X9" i="37"/>
  <c r="AR8" i="37"/>
  <c r="AM8" i="37"/>
  <c r="AH8" i="37"/>
  <c r="AC8" i="37"/>
  <c r="X8" i="37"/>
  <c r="AS7" i="37"/>
  <c r="AR7" i="37"/>
  <c r="AN7" i="37"/>
  <c r="AM7" i="37"/>
  <c r="AI7" i="37"/>
  <c r="AH7" i="37"/>
  <c r="AD7" i="37"/>
  <c r="AC7" i="37"/>
  <c r="Y7" i="37"/>
  <c r="X7" i="37"/>
  <c r="AR21" i="34"/>
  <c r="AM21" i="34"/>
  <c r="AH21" i="34"/>
  <c r="AC21" i="34"/>
  <c r="X21" i="34"/>
  <c r="AR20" i="34"/>
  <c r="AM20" i="34"/>
  <c r="AH20" i="34"/>
  <c r="AC20" i="34"/>
  <c r="X20" i="34"/>
  <c r="AR19" i="34"/>
  <c r="AM19" i="34"/>
  <c r="AH19" i="34"/>
  <c r="AC19" i="34"/>
  <c r="X19" i="34"/>
  <c r="AR18" i="34"/>
  <c r="AM18" i="34"/>
  <c r="AH18" i="34"/>
  <c r="AC18" i="34"/>
  <c r="X18" i="34"/>
  <c r="AR17" i="34"/>
  <c r="AM17" i="34"/>
  <c r="AH17" i="34"/>
  <c r="AC17" i="34"/>
  <c r="X17" i="34"/>
  <c r="AR16" i="34"/>
  <c r="AM16" i="34"/>
  <c r="AH16" i="34"/>
  <c r="AC16" i="34"/>
  <c r="X16" i="34"/>
  <c r="AR15" i="34"/>
  <c r="AM15" i="34"/>
  <c r="AH15" i="34"/>
  <c r="AC15" i="34"/>
  <c r="X15" i="34"/>
  <c r="AR14" i="34"/>
  <c r="AM14" i="34"/>
  <c r="AH14" i="34"/>
  <c r="AC14" i="34"/>
  <c r="X14" i="34"/>
  <c r="AR13" i="34"/>
  <c r="AM13" i="34"/>
  <c r="AH13" i="34"/>
  <c r="AC13" i="34"/>
  <c r="X13" i="34"/>
  <c r="AR12" i="34"/>
  <c r="AM12" i="34"/>
  <c r="AH12" i="34"/>
  <c r="AC12" i="34"/>
  <c r="X12" i="34"/>
  <c r="AR11" i="34"/>
  <c r="AM11" i="34"/>
  <c r="AH11" i="34"/>
  <c r="AC11" i="34"/>
  <c r="X11" i="34"/>
  <c r="AR10" i="34"/>
  <c r="AM10" i="34"/>
  <c r="AH10" i="34"/>
  <c r="AC10" i="34"/>
  <c r="X10" i="34"/>
  <c r="AR9" i="34"/>
  <c r="AM9" i="34"/>
  <c r="AH9" i="34"/>
  <c r="AC9" i="34"/>
  <c r="X9" i="34"/>
  <c r="AR8" i="34"/>
  <c r="AM8" i="34"/>
  <c r="AH8" i="34"/>
  <c r="AC8" i="34"/>
  <c r="X8" i="34"/>
  <c r="AS7" i="34"/>
  <c r="AR7" i="34"/>
  <c r="AN7" i="34"/>
  <c r="AM7" i="34"/>
  <c r="AI7" i="34"/>
  <c r="AH7" i="34"/>
  <c r="AD7" i="34"/>
  <c r="AC7" i="34"/>
  <c r="Y7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AW41" i="32"/>
  <c r="AR41" i="32"/>
  <c r="AM41" i="32"/>
  <c r="AH41" i="32"/>
  <c r="AC41" i="32"/>
  <c r="X41" i="32"/>
  <c r="AW40" i="32"/>
  <c r="AR40" i="32"/>
  <c r="AM40" i="32"/>
  <c r="AH40" i="32"/>
  <c r="AC40" i="32"/>
  <c r="X40" i="32"/>
  <c r="AW39" i="32"/>
  <c r="AR39" i="32"/>
  <c r="AM39" i="32"/>
  <c r="AH39" i="32"/>
  <c r="AC39" i="32"/>
  <c r="X39" i="32"/>
  <c r="AW38" i="32"/>
  <c r="AR38" i="32"/>
  <c r="AM38" i="32"/>
  <c r="AH38" i="32"/>
  <c r="AC38" i="32"/>
  <c r="X38" i="32"/>
  <c r="AW37" i="32"/>
  <c r="AR37" i="32"/>
  <c r="AM37" i="32"/>
  <c r="AH37" i="32"/>
  <c r="AC37" i="32"/>
  <c r="X37" i="32"/>
  <c r="AW36" i="32"/>
  <c r="AR36" i="32"/>
  <c r="AM36" i="32"/>
  <c r="AH36" i="32"/>
  <c r="AC36" i="32"/>
  <c r="X36" i="32"/>
  <c r="AW35" i="32"/>
  <c r="AR35" i="32"/>
  <c r="AM35" i="32"/>
  <c r="AH35" i="32"/>
  <c r="AC35" i="32"/>
  <c r="X35" i="32"/>
  <c r="AW34" i="32"/>
  <c r="AR34" i="32"/>
  <c r="AM34" i="32"/>
  <c r="AH34" i="32"/>
  <c r="AC34" i="32"/>
  <c r="X34" i="32"/>
  <c r="AW33" i="32"/>
  <c r="AR33" i="32"/>
  <c r="AM33" i="32"/>
  <c r="AH33" i="32"/>
  <c r="AC33" i="32"/>
  <c r="X33" i="32"/>
  <c r="AW32" i="32"/>
  <c r="AR32" i="32"/>
  <c r="AM32" i="32"/>
  <c r="AH32" i="32"/>
  <c r="AC32" i="32"/>
  <c r="X32" i="32"/>
  <c r="AW31" i="32"/>
  <c r="AR31" i="32"/>
  <c r="AM31" i="32"/>
  <c r="AH31" i="32"/>
  <c r="AC31" i="32"/>
  <c r="X31" i="32"/>
  <c r="AW30" i="32"/>
  <c r="AR30" i="32"/>
  <c r="AM30" i="32"/>
  <c r="AH30" i="32"/>
  <c r="AC30" i="32"/>
  <c r="X30" i="32"/>
  <c r="AW29" i="32"/>
  <c r="AR29" i="32"/>
  <c r="AM29" i="32"/>
  <c r="AH29" i="32"/>
  <c r="AC29" i="32"/>
  <c r="X29" i="32"/>
  <c r="AW28" i="32"/>
  <c r="AR28" i="32"/>
  <c r="AM28" i="32"/>
  <c r="AH28" i="32"/>
  <c r="AC28" i="32"/>
  <c r="X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41" i="30"/>
  <c r="AR41" i="30"/>
  <c r="AM41" i="30"/>
  <c r="AH41" i="30"/>
  <c r="AC41" i="30"/>
  <c r="X41" i="30"/>
  <c r="AW40" i="30"/>
  <c r="AR40" i="30"/>
  <c r="AM40" i="30"/>
  <c r="AH40" i="30"/>
  <c r="AC40" i="30"/>
  <c r="X40" i="30"/>
  <c r="AW39" i="30"/>
  <c r="AR39" i="30"/>
  <c r="AM39" i="30"/>
  <c r="AH39" i="30"/>
  <c r="AC39" i="30"/>
  <c r="X39" i="30"/>
  <c r="AW38" i="30"/>
  <c r="AR38" i="30"/>
  <c r="AM38" i="30"/>
  <c r="AH38" i="30"/>
  <c r="AC38" i="30"/>
  <c r="X38" i="30"/>
  <c r="AW37" i="30"/>
  <c r="AR37" i="30"/>
  <c r="AM37" i="30"/>
  <c r="AH37" i="30"/>
  <c r="AC37" i="30"/>
  <c r="X37" i="30"/>
  <c r="AW36" i="30"/>
  <c r="AR36" i="30"/>
  <c r="AM36" i="30"/>
  <c r="AH36" i="30"/>
  <c r="AC36" i="30"/>
  <c r="X36" i="30"/>
  <c r="AW35" i="30"/>
  <c r="AR35" i="30"/>
  <c r="AM35" i="30"/>
  <c r="AH35" i="30"/>
  <c r="AC35" i="30"/>
  <c r="X35" i="30"/>
  <c r="AW34" i="30"/>
  <c r="AR34" i="30"/>
  <c r="AM34" i="30"/>
  <c r="AH34" i="30"/>
  <c r="AC34" i="30"/>
  <c r="X34" i="30"/>
  <c r="AW33" i="30"/>
  <c r="AR33" i="30"/>
  <c r="AM33" i="30"/>
  <c r="AH33" i="30"/>
  <c r="AC33" i="30"/>
  <c r="X33" i="30"/>
  <c r="AW32" i="30"/>
  <c r="AR32" i="30"/>
  <c r="AM32" i="30"/>
  <c r="AH32" i="30"/>
  <c r="AC32" i="30"/>
  <c r="X32" i="30"/>
  <c r="AW31" i="30"/>
  <c r="AR31" i="30"/>
  <c r="AM31" i="30"/>
  <c r="AH31" i="30"/>
  <c r="AC31" i="30"/>
  <c r="X31" i="30"/>
  <c r="AW30" i="30"/>
  <c r="AR30" i="30"/>
  <c r="AM30" i="30"/>
  <c r="AH30" i="30"/>
  <c r="AC30" i="30"/>
  <c r="X30" i="30"/>
  <c r="AW29" i="30"/>
  <c r="AR29" i="30"/>
  <c r="AM29" i="30"/>
  <c r="AH29" i="30"/>
  <c r="AC29" i="30"/>
  <c r="X29" i="30"/>
  <c r="AW28" i="30"/>
  <c r="AR28" i="30"/>
  <c r="AM28" i="30"/>
  <c r="AH28" i="30"/>
  <c r="AC28" i="30"/>
  <c r="X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AW61" i="32"/>
  <c r="AR61" i="32"/>
  <c r="AM61" i="32"/>
  <c r="AH61" i="32"/>
  <c r="AC61" i="32"/>
  <c r="X61" i="32"/>
  <c r="AW60" i="32"/>
  <c r="AR60" i="32"/>
  <c r="AM60" i="32"/>
  <c r="AH60" i="32"/>
  <c r="AC60" i="32"/>
  <c r="X60" i="32"/>
  <c r="AW59" i="32"/>
  <c r="AR59" i="32"/>
  <c r="AM59" i="32"/>
  <c r="AH59" i="32"/>
  <c r="AC59" i="32"/>
  <c r="X59" i="32"/>
  <c r="AW58" i="32"/>
  <c r="AR58" i="32"/>
  <c r="AM58" i="32"/>
  <c r="AH58" i="32"/>
  <c r="AC58" i="32"/>
  <c r="X58" i="32"/>
  <c r="AW57" i="32"/>
  <c r="AR57" i="32"/>
  <c r="AM57" i="32"/>
  <c r="AH57" i="32"/>
  <c r="AC57" i="32"/>
  <c r="X57" i="32"/>
  <c r="AW56" i="32"/>
  <c r="AR56" i="32"/>
  <c r="AM56" i="32"/>
  <c r="AH56" i="32"/>
  <c r="AC56" i="32"/>
  <c r="X56" i="32"/>
  <c r="AW55" i="32"/>
  <c r="AR55" i="32"/>
  <c r="AM55" i="32"/>
  <c r="AH55" i="32"/>
  <c r="AC55" i="32"/>
  <c r="X55" i="32"/>
  <c r="AW54" i="32"/>
  <c r="AR54" i="32"/>
  <c r="AM54" i="32"/>
  <c r="AH54" i="32"/>
  <c r="AC54" i="32"/>
  <c r="X54" i="32"/>
  <c r="AW53" i="32"/>
  <c r="AR53" i="32"/>
  <c r="AM53" i="32"/>
  <c r="AH53" i="32"/>
  <c r="AC53" i="32"/>
  <c r="X53" i="32"/>
  <c r="AW52" i="32"/>
  <c r="AR52" i="32"/>
  <c r="AM52" i="32"/>
  <c r="AH52" i="32"/>
  <c r="AC52" i="32"/>
  <c r="X52" i="32"/>
  <c r="AW51" i="32"/>
  <c r="AR51" i="32"/>
  <c r="AM51" i="32"/>
  <c r="AH51" i="32"/>
  <c r="AC51" i="32"/>
  <c r="X51" i="32"/>
  <c r="AW50" i="32"/>
  <c r="AR50" i="32"/>
  <c r="AM50" i="32"/>
  <c r="AH50" i="32"/>
  <c r="AC50" i="32"/>
  <c r="X50" i="32"/>
  <c r="AW49" i="32"/>
  <c r="AR49" i="32"/>
  <c r="AM49" i="32"/>
  <c r="AH49" i="32"/>
  <c r="AC49" i="32"/>
  <c r="X49" i="32"/>
  <c r="AW48" i="32"/>
  <c r="AR48" i="32"/>
  <c r="AM48" i="32"/>
  <c r="AH48" i="32"/>
  <c r="AC48" i="32"/>
  <c r="X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61" i="30"/>
  <c r="AR61" i="30"/>
  <c r="AM61" i="30"/>
  <c r="AH61" i="30"/>
  <c r="AC61" i="30"/>
  <c r="X61" i="30"/>
  <c r="AW60" i="30"/>
  <c r="AR60" i="30"/>
  <c r="AM60" i="30"/>
  <c r="AH60" i="30"/>
  <c r="AC60" i="30"/>
  <c r="X60" i="30"/>
  <c r="AW59" i="30"/>
  <c r="AR59" i="30"/>
  <c r="AM59" i="30"/>
  <c r="AH59" i="30"/>
  <c r="AC59" i="30"/>
  <c r="X59" i="30"/>
  <c r="AW58" i="30"/>
  <c r="AR58" i="30"/>
  <c r="AM58" i="30"/>
  <c r="AH58" i="30"/>
  <c r="AC58" i="30"/>
  <c r="X58" i="30"/>
  <c r="AW57" i="30"/>
  <c r="AR57" i="30"/>
  <c r="AM57" i="30"/>
  <c r="AH57" i="30"/>
  <c r="AC57" i="30"/>
  <c r="X57" i="30"/>
  <c r="AW56" i="30"/>
  <c r="AR56" i="30"/>
  <c r="AM56" i="30"/>
  <c r="AH56" i="30"/>
  <c r="AC56" i="30"/>
  <c r="X56" i="30"/>
  <c r="AW55" i="30"/>
  <c r="AR55" i="30"/>
  <c r="AM55" i="30"/>
  <c r="AH55" i="30"/>
  <c r="AC55" i="30"/>
  <c r="X55" i="30"/>
  <c r="AW54" i="30"/>
  <c r="AR54" i="30"/>
  <c r="AM54" i="30"/>
  <c r="AH54" i="30"/>
  <c r="AC54" i="30"/>
  <c r="X54" i="30"/>
  <c r="AW53" i="30"/>
  <c r="AR53" i="30"/>
  <c r="AM53" i="30"/>
  <c r="AH53" i="30"/>
  <c r="AC53" i="30"/>
  <c r="X53" i="30"/>
  <c r="AW52" i="30"/>
  <c r="AR52" i="30"/>
  <c r="AM52" i="30"/>
  <c r="AH52" i="30"/>
  <c r="AC52" i="30"/>
  <c r="X52" i="30"/>
  <c r="AW51" i="30"/>
  <c r="AR51" i="30"/>
  <c r="AM51" i="30"/>
  <c r="AH51" i="30"/>
  <c r="AC51" i="30"/>
  <c r="X51" i="30"/>
  <c r="AW50" i="30"/>
  <c r="AR50" i="30"/>
  <c r="AM50" i="30"/>
  <c r="AH50" i="30"/>
  <c r="AC50" i="30"/>
  <c r="X50" i="30"/>
  <c r="AW49" i="30"/>
  <c r="AR49" i="30"/>
  <c r="AM49" i="30"/>
  <c r="AH49" i="30"/>
  <c r="AC49" i="30"/>
  <c r="X49" i="30"/>
  <c r="AW48" i="30"/>
  <c r="AR48" i="30"/>
  <c r="AM48" i="30"/>
  <c r="AH48" i="30"/>
  <c r="AC48" i="30"/>
  <c r="X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81" i="30"/>
  <c r="AR81" i="30"/>
  <c r="AM81" i="30"/>
  <c r="AH81" i="30"/>
  <c r="AC81" i="30"/>
  <c r="X81" i="30"/>
  <c r="AW80" i="30"/>
  <c r="AR80" i="30"/>
  <c r="AM80" i="30"/>
  <c r="AH80" i="30"/>
  <c r="AC80" i="30"/>
  <c r="X80" i="30"/>
  <c r="AW79" i="30"/>
  <c r="AR79" i="30"/>
  <c r="AM79" i="30"/>
  <c r="AH79" i="30"/>
  <c r="AC79" i="30"/>
  <c r="X79" i="30"/>
  <c r="AW78" i="30"/>
  <c r="AR78" i="30"/>
  <c r="AM78" i="30"/>
  <c r="AH78" i="30"/>
  <c r="AC78" i="30"/>
  <c r="X78" i="30"/>
  <c r="AW77" i="30"/>
  <c r="AR77" i="30"/>
  <c r="AM77" i="30"/>
  <c r="AH77" i="30"/>
  <c r="AC77" i="30"/>
  <c r="X77" i="30"/>
  <c r="AW76" i="30"/>
  <c r="AR76" i="30"/>
  <c r="AM76" i="30"/>
  <c r="AH76" i="30"/>
  <c r="AC76" i="30"/>
  <c r="X76" i="30"/>
  <c r="AW75" i="30"/>
  <c r="AR75" i="30"/>
  <c r="AM75" i="30"/>
  <c r="AH75" i="30"/>
  <c r="AC75" i="30"/>
  <c r="X75" i="30"/>
  <c r="AW74" i="30"/>
  <c r="AR74" i="30"/>
  <c r="AM74" i="30"/>
  <c r="AH74" i="30"/>
  <c r="AC74" i="30"/>
  <c r="X74" i="30"/>
  <c r="AW73" i="30"/>
  <c r="AR73" i="30"/>
  <c r="AM73" i="30"/>
  <c r="AH73" i="30"/>
  <c r="AC73" i="30"/>
  <c r="X73" i="30"/>
  <c r="AW72" i="30"/>
  <c r="AR72" i="30"/>
  <c r="AM72" i="30"/>
  <c r="AH72" i="30"/>
  <c r="AC72" i="30"/>
  <c r="X72" i="30"/>
  <c r="AW71" i="30"/>
  <c r="AR71" i="30"/>
  <c r="AM71" i="30"/>
  <c r="AH71" i="30"/>
  <c r="AC71" i="30"/>
  <c r="X71" i="30"/>
  <c r="AW70" i="30"/>
  <c r="AR70" i="30"/>
  <c r="AM70" i="30"/>
  <c r="AH70" i="30"/>
  <c r="AC70" i="30"/>
  <c r="X70" i="30"/>
  <c r="AW69" i="30"/>
  <c r="AR69" i="30"/>
  <c r="AM69" i="30"/>
  <c r="AH69" i="30"/>
  <c r="AC69" i="30"/>
  <c r="X69" i="30"/>
  <c r="AW68" i="30"/>
  <c r="AR68" i="30"/>
  <c r="AM68" i="30"/>
  <c r="AH68" i="30"/>
  <c r="AC68" i="30"/>
  <c r="X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X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2"/>
  <c r="AM21" i="32"/>
  <c r="AH21" i="32"/>
  <c r="AC21" i="32"/>
  <c r="X21" i="32"/>
  <c r="AR20" i="32"/>
  <c r="AM20" i="32"/>
  <c r="AH20" i="32"/>
  <c r="AC20" i="32"/>
  <c r="X20" i="32"/>
  <c r="AR19" i="32"/>
  <c r="AM19" i="32"/>
  <c r="AH19" i="32"/>
  <c r="AC19" i="32"/>
  <c r="X19" i="32"/>
  <c r="AR18" i="32"/>
  <c r="AM18" i="32"/>
  <c r="AH18" i="32"/>
  <c r="AC18" i="32"/>
  <c r="X18" i="32"/>
  <c r="AR17" i="32"/>
  <c r="AM17" i="32"/>
  <c r="AH17" i="32"/>
  <c r="AC17" i="32"/>
  <c r="X17" i="32"/>
  <c r="AR16" i="32"/>
  <c r="AM16" i="32"/>
  <c r="AH16" i="32"/>
  <c r="AC16" i="32"/>
  <c r="X16" i="32"/>
  <c r="AR15" i="32"/>
  <c r="AM15" i="32"/>
  <c r="AH15" i="32"/>
  <c r="AC15" i="32"/>
  <c r="X15" i="32"/>
  <c r="AR14" i="32"/>
  <c r="AM14" i="32"/>
  <c r="AH14" i="32"/>
  <c r="AC14" i="32"/>
  <c r="X14" i="32"/>
  <c r="AR13" i="32"/>
  <c r="AM13" i="32"/>
  <c r="AH13" i="32"/>
  <c r="AC13" i="32"/>
  <c r="X13" i="32"/>
  <c r="AR12" i="32"/>
  <c r="AM12" i="32"/>
  <c r="AH12" i="32"/>
  <c r="AC12" i="32"/>
  <c r="X12" i="32"/>
  <c r="AR11" i="32"/>
  <c r="AM11" i="32"/>
  <c r="AH11" i="32"/>
  <c r="AC11" i="32"/>
  <c r="X11" i="32"/>
  <c r="AR10" i="32"/>
  <c r="AM10" i="32"/>
  <c r="AH10" i="32"/>
  <c r="AC10" i="32"/>
  <c r="X10" i="32"/>
  <c r="AR9" i="32"/>
  <c r="AM9" i="32"/>
  <c r="AH9" i="32"/>
  <c r="AC9" i="32"/>
  <c r="X9" i="32"/>
  <c r="AR8" i="32"/>
  <c r="AM8" i="32"/>
  <c r="AH8" i="32"/>
  <c r="AC8" i="32"/>
  <c r="X8" i="32"/>
  <c r="AS7" i="32"/>
  <c r="AR7" i="32"/>
  <c r="AN7" i="32"/>
  <c r="AM7" i="32"/>
  <c r="AI7" i="32"/>
  <c r="AH7" i="32"/>
  <c r="AD7" i="32"/>
  <c r="AC7" i="32"/>
  <c r="Y7" i="32"/>
  <c r="X7" i="32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R21" i="30"/>
  <c r="AM21" i="30"/>
  <c r="AH21" i="30"/>
  <c r="AC21" i="30"/>
  <c r="X21" i="30"/>
  <c r="AR20" i="30"/>
  <c r="AM20" i="30"/>
  <c r="AH20" i="30"/>
  <c r="AC20" i="30"/>
  <c r="X20" i="30"/>
  <c r="AR19" i="30"/>
  <c r="AM19" i="30"/>
  <c r="AH19" i="30"/>
  <c r="AC19" i="30"/>
  <c r="X19" i="30"/>
  <c r="AR18" i="30"/>
  <c r="AM18" i="30"/>
  <c r="AH18" i="30"/>
  <c r="AC18" i="30"/>
  <c r="X18" i="30"/>
  <c r="AR17" i="30"/>
  <c r="AM17" i="30"/>
  <c r="AH17" i="30"/>
  <c r="AC17" i="30"/>
  <c r="X17" i="30"/>
  <c r="AR16" i="30"/>
  <c r="AM16" i="30"/>
  <c r="AH16" i="30"/>
  <c r="AC16" i="30"/>
  <c r="X16" i="30"/>
  <c r="AR15" i="30"/>
  <c r="AM15" i="30"/>
  <c r="AH15" i="30"/>
  <c r="AC15" i="30"/>
  <c r="X15" i="30"/>
  <c r="AR14" i="30"/>
  <c r="AM14" i="30"/>
  <c r="AH14" i="30"/>
  <c r="AC14" i="30"/>
  <c r="X14" i="30"/>
  <c r="AR13" i="30"/>
  <c r="AM13" i="30"/>
  <c r="AH13" i="30"/>
  <c r="AC13" i="30"/>
  <c r="X13" i="30"/>
  <c r="AR12" i="30"/>
  <c r="AM12" i="30"/>
  <c r="AH12" i="30"/>
  <c r="AC12" i="30"/>
  <c r="X12" i="30"/>
  <c r="AR11" i="30"/>
  <c r="AM11" i="30"/>
  <c r="AH11" i="30"/>
  <c r="AC11" i="30"/>
  <c r="X11" i="30"/>
  <c r="AR10" i="30"/>
  <c r="AM10" i="30"/>
  <c r="AH10" i="30"/>
  <c r="AC10" i="30"/>
  <c r="X10" i="30"/>
  <c r="AR9" i="30"/>
  <c r="AM9" i="30"/>
  <c r="AH9" i="30"/>
  <c r="AC9" i="30"/>
  <c r="X9" i="30"/>
  <c r="AR8" i="30"/>
  <c r="AM8" i="30"/>
  <c r="AH8" i="30"/>
  <c r="AC8" i="30"/>
  <c r="X8" i="30"/>
  <c r="AS7" i="30"/>
  <c r="AR7" i="30"/>
  <c r="AN7" i="30"/>
  <c r="AM7" i="30"/>
  <c r="AI7" i="30"/>
  <c r="AH7" i="30"/>
  <c r="AD7" i="30"/>
  <c r="AC7" i="30"/>
  <c r="Y7" i="30"/>
  <c r="X7" i="30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AB43" i="6"/>
  <c r="S43" i="6"/>
  <c r="R43" i="6"/>
  <c r="M43" i="6"/>
  <c r="F43" i="6"/>
  <c r="AJ43" i="6" s="1"/>
  <c r="AK46" i="6"/>
  <c r="AI46" i="6"/>
  <c r="AG46" i="6"/>
  <c r="AE46" i="6"/>
  <c r="AA46" i="6"/>
  <c r="Y46" i="6"/>
  <c r="W46" i="6"/>
  <c r="U46" i="6"/>
  <c r="Q46" i="6"/>
  <c r="O46" i="6"/>
  <c r="K46" i="6"/>
  <c r="I46" i="6"/>
  <c r="L43" i="6" l="1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D9" i="6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AC7" i="6"/>
  <c r="AB7" i="6"/>
  <c r="S7" i="6"/>
  <c r="R7" i="6"/>
  <c r="M7" i="6"/>
  <c r="D9" i="7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AC7" i="7"/>
  <c r="S7" i="7"/>
  <c r="M7" i="7"/>
  <c r="D7" i="5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F7" i="7" l="1"/>
  <c r="AH7" i="7" s="1"/>
  <c r="F7" i="6"/>
  <c r="V7" i="6" s="1"/>
  <c r="S7" i="8"/>
  <c r="Z7" i="7" l="1"/>
  <c r="AF7" i="7"/>
  <c r="AJ7" i="7"/>
  <c r="AD7" i="7"/>
  <c r="N7" i="7"/>
  <c r="J7" i="7"/>
  <c r="P7" i="7"/>
  <c r="L7" i="7"/>
  <c r="X7" i="7"/>
  <c r="V7" i="7"/>
  <c r="AL7" i="7"/>
  <c r="R7" i="7"/>
  <c r="AB7" i="7"/>
  <c r="T7" i="7"/>
  <c r="T7" i="6"/>
  <c r="X7" i="6"/>
  <c r="N7" i="6"/>
  <c r="Z7" i="6"/>
  <c r="AJ7" i="6"/>
  <c r="AD7" i="6"/>
  <c r="L7" i="6"/>
  <c r="AF7" i="6"/>
  <c r="J7" i="6"/>
  <c r="AH7" i="6"/>
  <c r="P7" i="6"/>
  <c r="AL7" i="6"/>
  <c r="J97" i="35"/>
  <c r="K97" i="35"/>
  <c r="K98" i="34"/>
  <c r="J98" i="34"/>
  <c r="I98" i="34"/>
  <c r="J172" i="33"/>
  <c r="K172" i="33"/>
  <c r="I97" i="35" l="1"/>
  <c r="I172" i="33"/>
  <c r="O32" i="48" l="1"/>
  <c r="N32" i="48"/>
  <c r="M32" i="48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K74" i="37" l="1"/>
  <c r="J74" i="37"/>
  <c r="I74" i="37"/>
  <c r="J71" i="36"/>
  <c r="K78" i="34"/>
  <c r="J78" i="34"/>
  <c r="I78" i="34"/>
  <c r="K77" i="34"/>
  <c r="J77" i="34"/>
  <c r="I77" i="34"/>
  <c r="K136" i="33"/>
  <c r="K137" i="33"/>
  <c r="J137" i="33"/>
  <c r="I137" i="33"/>
  <c r="J136" i="33"/>
  <c r="I136" i="33"/>
  <c r="I71" i="36" l="1"/>
  <c r="K71" i="36"/>
  <c r="F28" i="48" l="1"/>
  <c r="F27" i="48"/>
  <c r="J26" i="48"/>
  <c r="F26" i="48"/>
  <c r="D26" i="48"/>
  <c r="M25" i="48"/>
  <c r="H25" i="48"/>
  <c r="O25" i="48"/>
  <c r="D25" i="48"/>
  <c r="M210" i="4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D27" i="48" l="1"/>
  <c r="F25" i="48"/>
  <c r="N25" i="48"/>
  <c r="J57" i="34" l="1"/>
  <c r="I57" i="34"/>
  <c r="J51" i="36" l="1"/>
  <c r="K51" i="36"/>
  <c r="I51" i="36"/>
  <c r="K57" i="34"/>
  <c r="K54" i="37" l="1"/>
  <c r="J54" i="37"/>
  <c r="I54" i="37"/>
  <c r="K101" i="33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I9" i="47" s="1"/>
  <c r="AH7" i="47"/>
  <c r="AH9" i="47" s="1"/>
  <c r="AG7" i="47"/>
  <c r="AG9" i="47" s="1"/>
  <c r="AF7" i="47"/>
  <c r="AF9" i="47" s="1"/>
  <c r="AE7" i="47"/>
  <c r="AE9" i="47" s="1"/>
  <c r="AD7" i="47"/>
  <c r="AD9" i="47" s="1"/>
  <c r="AC7" i="47"/>
  <c r="AB7" i="47"/>
  <c r="O18" i="48" l="1"/>
  <c r="N18" i="48"/>
  <c r="M18" i="48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L11" i="48" l="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K33" i="30"/>
  <c r="J33" i="30"/>
  <c r="I33" i="30"/>
  <c r="O11" i="48" l="1"/>
  <c r="N11" i="48"/>
  <c r="M11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T7" i="32"/>
  <c r="K7" i="32"/>
  <c r="J7" i="32"/>
  <c r="I7" i="32"/>
  <c r="H7" i="32"/>
  <c r="K8" i="31"/>
  <c r="J8" i="31"/>
  <c r="I8" i="31"/>
  <c r="AX7" i="31"/>
  <c r="T7" i="31"/>
  <c r="H7" i="31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K7" i="34"/>
  <c r="J7" i="34"/>
  <c r="I7" i="34"/>
  <c r="H7" i="34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K7" i="36"/>
  <c r="J7" i="36"/>
  <c r="I7" i="36"/>
  <c r="H7" i="36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K7" i="37"/>
  <c r="J7" i="37"/>
  <c r="I7" i="37"/>
  <c r="H7" i="37"/>
  <c r="K14" i="30"/>
  <c r="J14" i="30"/>
  <c r="I14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T7" i="30"/>
  <c r="K7" i="30"/>
  <c r="M19" i="30" s="1"/>
  <c r="J7" i="30"/>
  <c r="I7" i="30"/>
  <c r="H7" i="30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AI7" i="8"/>
  <c r="AD7" i="8"/>
  <c r="Y7" i="8"/>
  <c r="T7" i="8"/>
  <c r="K7" i="8"/>
  <c r="J7" i="8"/>
  <c r="I7" i="8"/>
  <c r="H7" i="8"/>
  <c r="AC14" i="6"/>
  <c r="AB14" i="6"/>
  <c r="S14" i="6"/>
  <c r="R14" i="6"/>
  <c r="M14" i="6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21" i="32" l="1"/>
  <c r="M9" i="36"/>
  <c r="M11" i="37"/>
  <c r="M14" i="35"/>
  <c r="M15" i="35"/>
  <c r="M10" i="35"/>
  <c r="M10" i="34"/>
  <c r="M14" i="34"/>
  <c r="M10" i="37"/>
  <c r="M14" i="37"/>
  <c r="L7" i="36"/>
  <c r="M8" i="36"/>
  <c r="M9" i="35"/>
  <c r="M13" i="35"/>
  <c r="M9" i="34"/>
  <c r="M13" i="34"/>
  <c r="M17" i="34"/>
  <c r="M9" i="37"/>
  <c r="M13" i="37"/>
  <c r="M11" i="36"/>
  <c r="M19" i="35"/>
  <c r="M12" i="35"/>
  <c r="M16" i="35"/>
  <c r="M20" i="34"/>
  <c r="M8" i="34"/>
  <c r="M12" i="34"/>
  <c r="M16" i="34"/>
  <c r="M21" i="37"/>
  <c r="M8" i="37"/>
  <c r="M12" i="37"/>
  <c r="M10" i="36"/>
  <c r="M11" i="35"/>
  <c r="M11" i="34"/>
  <c r="M15" i="34"/>
  <c r="L7" i="35"/>
  <c r="M18" i="37"/>
  <c r="M7" i="36"/>
  <c r="M15" i="36"/>
  <c r="M19" i="36"/>
  <c r="M8" i="35"/>
  <c r="M20" i="35"/>
  <c r="M21" i="34"/>
  <c r="M7" i="37"/>
  <c r="M15" i="37"/>
  <c r="M19" i="37"/>
  <c r="M12" i="36"/>
  <c r="M16" i="36"/>
  <c r="M20" i="36"/>
  <c r="M17" i="35"/>
  <c r="M21" i="35"/>
  <c r="M18" i="34"/>
  <c r="M16" i="37"/>
  <c r="M20" i="37"/>
  <c r="M13" i="36"/>
  <c r="M17" i="36"/>
  <c r="M21" i="36"/>
  <c r="M18" i="35"/>
  <c r="M7" i="34"/>
  <c r="M19" i="34"/>
  <c r="M17" i="37"/>
  <c r="M14" i="36"/>
  <c r="M18" i="36"/>
  <c r="M7" i="35"/>
  <c r="M8" i="31"/>
  <c r="M10" i="30"/>
  <c r="M14" i="30"/>
  <c r="M11" i="32"/>
  <c r="M9" i="30"/>
  <c r="M13" i="30"/>
  <c r="M10" i="32"/>
  <c r="M14" i="32"/>
  <c r="M8" i="30"/>
  <c r="M12" i="30"/>
  <c r="M20" i="31"/>
  <c r="M9" i="32"/>
  <c r="M13" i="32"/>
  <c r="M11" i="30"/>
  <c r="L7" i="31"/>
  <c r="M12" i="32"/>
  <c r="M16" i="30"/>
  <c r="M20" i="30"/>
  <c r="M9" i="31"/>
  <c r="M13" i="31"/>
  <c r="M17" i="31"/>
  <c r="M21" i="31"/>
  <c r="M18" i="32"/>
  <c r="M17" i="30"/>
  <c r="M21" i="30"/>
  <c r="M10" i="31"/>
  <c r="M14" i="31"/>
  <c r="M18" i="31"/>
  <c r="M7" i="32"/>
  <c r="M15" i="32"/>
  <c r="M19" i="32"/>
  <c r="L7" i="32"/>
  <c r="M18" i="30"/>
  <c r="M7" i="31"/>
  <c r="M11" i="31"/>
  <c r="M15" i="31"/>
  <c r="M19" i="31"/>
  <c r="M8" i="32"/>
  <c r="M16" i="32"/>
  <c r="M20" i="32"/>
  <c r="M7" i="30"/>
  <c r="M15" i="30"/>
  <c r="M12" i="31"/>
  <c r="M16" i="31"/>
  <c r="M17" i="32"/>
  <c r="M35" i="33"/>
  <c r="M11" i="33"/>
  <c r="M15" i="33"/>
  <c r="M19" i="33"/>
  <c r="M23" i="33"/>
  <c r="M27" i="33"/>
  <c r="M31" i="33"/>
  <c r="M10" i="33"/>
  <c r="M14" i="33"/>
  <c r="M18" i="33"/>
  <c r="M22" i="33"/>
  <c r="M26" i="33"/>
  <c r="M30" i="33"/>
  <c r="M8" i="33"/>
  <c r="M12" i="33"/>
  <c r="M16" i="33"/>
  <c r="M20" i="33"/>
  <c r="M24" i="33"/>
  <c r="M28" i="33"/>
  <c r="M9" i="33"/>
  <c r="M17" i="33"/>
  <c r="M29" i="33"/>
  <c r="M32" i="33"/>
  <c r="M36" i="33"/>
  <c r="M13" i="33"/>
  <c r="M21" i="33"/>
  <c r="M33" i="33"/>
  <c r="L7" i="33"/>
  <c r="M34" i="33"/>
  <c r="M25" i="33"/>
  <c r="M7" i="33"/>
  <c r="M35" i="8"/>
  <c r="M11" i="8"/>
  <c r="M15" i="8"/>
  <c r="M19" i="8"/>
  <c r="M23" i="8"/>
  <c r="M27" i="8"/>
  <c r="M10" i="8"/>
  <c r="M14" i="8"/>
  <c r="M18" i="8"/>
  <c r="M22" i="8"/>
  <c r="M9" i="8"/>
  <c r="M13" i="8"/>
  <c r="M17" i="8"/>
  <c r="M21" i="8"/>
  <c r="L7" i="8"/>
  <c r="M12" i="8"/>
  <c r="M16" i="8"/>
  <c r="M20" i="8"/>
  <c r="M24" i="8"/>
  <c r="M26" i="8"/>
  <c r="M25" i="8"/>
  <c r="M28" i="8"/>
  <c r="M36" i="8"/>
  <c r="M29" i="8"/>
  <c r="M33" i="8"/>
  <c r="M30" i="8"/>
  <c r="M34" i="8"/>
  <c r="M8" i="8"/>
  <c r="M32" i="8"/>
  <c r="M7" i="8"/>
  <c r="M31" i="8"/>
  <c r="L7" i="30"/>
  <c r="L7" i="37"/>
  <c r="L7" i="34"/>
  <c r="K40" i="48"/>
  <c r="I40" i="48"/>
  <c r="G40" i="48"/>
  <c r="E40" i="48"/>
  <c r="C40" i="48"/>
  <c r="B40" i="48"/>
  <c r="K39" i="48"/>
  <c r="I39" i="48"/>
  <c r="G39" i="48"/>
  <c r="E39" i="48"/>
  <c r="C39" i="48"/>
  <c r="B39" i="48"/>
  <c r="AZ36" i="33" l="1"/>
  <c r="AZ36" i="8"/>
  <c r="F39" i="48"/>
  <c r="H39" i="48"/>
  <c r="J39" i="48"/>
  <c r="D39" i="48"/>
  <c r="L39" i="48"/>
  <c r="J40" i="48"/>
  <c r="H40" i="48"/>
  <c r="F40" i="48"/>
  <c r="L40" i="48"/>
  <c r="D40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K94" i="30" l="1"/>
  <c r="J94" i="30"/>
  <c r="I94" i="30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4" i="30"/>
  <c r="K74" i="30"/>
  <c r="J74" i="30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C8" i="46"/>
  <c r="AB8" i="46"/>
  <c r="AI7" i="46"/>
  <c r="AI9" i="46" s="1"/>
  <c r="AH7" i="46"/>
  <c r="AH9" i="46" s="1"/>
  <c r="AG7" i="46"/>
  <c r="AG9" i="46" s="1"/>
  <c r="AF7" i="46"/>
  <c r="AF9" i="46" s="1"/>
  <c r="AE7" i="46"/>
  <c r="AE9" i="46" s="1"/>
  <c r="AD7" i="46"/>
  <c r="AD9" i="46" s="1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S34" i="3"/>
  <c r="S27" i="3"/>
  <c r="S20" i="3"/>
  <c r="S13" i="3"/>
  <c r="B10" i="39" s="1"/>
  <c r="S6" i="3"/>
  <c r="M34" i="3"/>
  <c r="M27" i="3"/>
  <c r="M20" i="3"/>
  <c r="M13" i="3"/>
  <c r="B8" i="39" s="1"/>
  <c r="M6" i="3"/>
  <c r="J34" i="3"/>
  <c r="J27" i="3"/>
  <c r="J20" i="3"/>
  <c r="J13" i="3"/>
  <c r="B7" i="39" s="1"/>
  <c r="J6" i="3"/>
  <c r="G34" i="3"/>
  <c r="G27" i="3"/>
  <c r="G20" i="3"/>
  <c r="G13" i="3"/>
  <c r="G6" i="3"/>
  <c r="V34" i="5"/>
  <c r="V27" i="5"/>
  <c r="V20" i="5"/>
  <c r="V13" i="5"/>
  <c r="I11" i="39" s="1"/>
  <c r="K11" i="39"/>
  <c r="V6" i="5"/>
  <c r="S34" i="5"/>
  <c r="S27" i="5"/>
  <c r="S20" i="5"/>
  <c r="S13" i="5"/>
  <c r="S6" i="5"/>
  <c r="P34" i="5"/>
  <c r="P27" i="5"/>
  <c r="P20" i="5"/>
  <c r="P13" i="5"/>
  <c r="I9" i="39" s="1"/>
  <c r="K9" i="39"/>
  <c r="P6" i="5"/>
  <c r="K8" i="39"/>
  <c r="M34" i="5"/>
  <c r="M27" i="5"/>
  <c r="M20" i="5"/>
  <c r="M13" i="5"/>
  <c r="I8" i="39" s="1"/>
  <c r="M6" i="5"/>
  <c r="K6" i="39"/>
  <c r="G34" i="5"/>
  <c r="G27" i="5"/>
  <c r="G20" i="5"/>
  <c r="G13" i="5"/>
  <c r="I6" i="39" s="1"/>
  <c r="G6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P27" i="3" l="1"/>
  <c r="P34" i="3"/>
  <c r="V27" i="3"/>
  <c r="V34" i="3"/>
  <c r="AZ12" i="37"/>
  <c r="AZ15" i="35"/>
  <c r="AZ7" i="36"/>
  <c r="AZ9" i="37"/>
  <c r="AZ21" i="37"/>
  <c r="AZ18" i="34"/>
  <c r="AZ11" i="37"/>
  <c r="AZ9" i="34"/>
  <c r="AZ9" i="36"/>
  <c r="P13" i="3"/>
  <c r="B9" i="39" s="1"/>
  <c r="P20" i="3"/>
  <c r="V20" i="3"/>
  <c r="P6" i="3"/>
  <c r="V6" i="3"/>
  <c r="V13" i="3"/>
  <c r="B11" i="39" s="1"/>
  <c r="Q10" i="3"/>
  <c r="W10" i="3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U2" i="8"/>
  <c r="Z2" i="8" s="1"/>
  <c r="AE2" i="8" s="1"/>
  <c r="AJ2" i="8" s="1"/>
  <c r="AO2" i="8" s="1"/>
  <c r="AT2" i="8" s="1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M204" i="33"/>
  <c r="K204" i="33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4" i="5"/>
  <c r="J34" i="5" s="1"/>
  <c r="I33" i="5"/>
  <c r="I32" i="5"/>
  <c r="I31" i="5"/>
  <c r="I30" i="5"/>
  <c r="I29" i="5"/>
  <c r="I28" i="5"/>
  <c r="I135" i="33" l="1"/>
  <c r="J135" i="33"/>
  <c r="K135" i="33"/>
  <c r="J96" i="35" l="1"/>
  <c r="I95" i="35"/>
  <c r="K95" i="35"/>
  <c r="J94" i="35"/>
  <c r="K96" i="35"/>
  <c r="J95" i="35"/>
  <c r="I94" i="35"/>
  <c r="K167" i="8"/>
  <c r="J167" i="8"/>
  <c r="I167" i="8"/>
  <c r="K94" i="35" l="1"/>
  <c r="I96" i="35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S61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S61" i="36"/>
  <c r="S60" i="36"/>
  <c r="S59" i="36"/>
  <c r="S58" i="36"/>
  <c r="S57" i="36"/>
  <c r="S56" i="36"/>
  <c r="S55" i="36"/>
  <c r="S54" i="36"/>
  <c r="S53" i="36"/>
  <c r="S52" i="36"/>
  <c r="S51" i="36"/>
  <c r="S50" i="36"/>
  <c r="K50" i="36"/>
  <c r="J50" i="36"/>
  <c r="I50" i="36"/>
  <c r="S49" i="36"/>
  <c r="K49" i="36"/>
  <c r="J49" i="36"/>
  <c r="I49" i="36"/>
  <c r="S48" i="36"/>
  <c r="K48" i="36"/>
  <c r="J48" i="36"/>
  <c r="I48" i="36"/>
  <c r="T47" i="36"/>
  <c r="S47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K93" i="35"/>
  <c r="J93" i="35"/>
  <c r="I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K74" i="35"/>
  <c r="J74" i="35"/>
  <c r="I74" i="35"/>
  <c r="S73" i="35"/>
  <c r="K73" i="35"/>
  <c r="J73" i="35"/>
  <c r="I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S61" i="35"/>
  <c r="S60" i="35"/>
  <c r="S59" i="35"/>
  <c r="S58" i="35"/>
  <c r="S57" i="35"/>
  <c r="S56" i="35"/>
  <c r="S55" i="35"/>
  <c r="S54" i="35"/>
  <c r="S53" i="35"/>
  <c r="K53" i="35"/>
  <c r="J53" i="35"/>
  <c r="I53" i="35"/>
  <c r="S52" i="35"/>
  <c r="K52" i="35"/>
  <c r="J52" i="35"/>
  <c r="I52" i="35"/>
  <c r="S51" i="35"/>
  <c r="K51" i="35"/>
  <c r="J51" i="35"/>
  <c r="I51" i="35"/>
  <c r="S50" i="35"/>
  <c r="K50" i="35"/>
  <c r="J50" i="35"/>
  <c r="I50" i="35"/>
  <c r="S49" i="35"/>
  <c r="K49" i="35"/>
  <c r="J49" i="35"/>
  <c r="I49" i="35"/>
  <c r="S48" i="35"/>
  <c r="K48" i="35"/>
  <c r="J48" i="35"/>
  <c r="I48" i="35"/>
  <c r="T47" i="35"/>
  <c r="S47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33" i="35"/>
  <c r="K135" i="35" s="1"/>
  <c r="J33" i="35"/>
  <c r="J135" i="35" s="1"/>
  <c r="I33" i="35"/>
  <c r="I135" i="35" s="1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S61" i="34"/>
  <c r="S60" i="34"/>
  <c r="S59" i="34"/>
  <c r="S58" i="34"/>
  <c r="S57" i="34"/>
  <c r="S56" i="34"/>
  <c r="S55" i="34"/>
  <c r="S54" i="34"/>
  <c r="S53" i="34"/>
  <c r="K53" i="34"/>
  <c r="J53" i="34"/>
  <c r="I53" i="34"/>
  <c r="S52" i="34"/>
  <c r="K52" i="34"/>
  <c r="J52" i="34"/>
  <c r="I52" i="34"/>
  <c r="S51" i="34"/>
  <c r="K51" i="34"/>
  <c r="J51" i="34"/>
  <c r="I51" i="34"/>
  <c r="S50" i="34"/>
  <c r="K50" i="34"/>
  <c r="J50" i="34"/>
  <c r="I50" i="34"/>
  <c r="S49" i="34"/>
  <c r="K49" i="34"/>
  <c r="J49" i="34"/>
  <c r="I49" i="34"/>
  <c r="S48" i="34"/>
  <c r="K48" i="34"/>
  <c r="J48" i="34"/>
  <c r="I48" i="34"/>
  <c r="T47" i="34"/>
  <c r="S47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S61" i="32"/>
  <c r="S60" i="32"/>
  <c r="S59" i="32"/>
  <c r="S58" i="32"/>
  <c r="S57" i="32"/>
  <c r="S56" i="32"/>
  <c r="K56" i="32"/>
  <c r="J56" i="32"/>
  <c r="I56" i="32"/>
  <c r="S55" i="32"/>
  <c r="K55" i="32"/>
  <c r="J55" i="32"/>
  <c r="I55" i="32"/>
  <c r="S54" i="32"/>
  <c r="K54" i="32"/>
  <c r="J54" i="32"/>
  <c r="I54" i="32"/>
  <c r="S53" i="32"/>
  <c r="K53" i="32"/>
  <c r="J53" i="32"/>
  <c r="I53" i="32"/>
  <c r="S52" i="32"/>
  <c r="K52" i="32"/>
  <c r="J52" i="32"/>
  <c r="I52" i="32"/>
  <c r="S51" i="32"/>
  <c r="K51" i="32"/>
  <c r="J51" i="32"/>
  <c r="I51" i="32"/>
  <c r="S50" i="32"/>
  <c r="K50" i="32"/>
  <c r="J50" i="32"/>
  <c r="I50" i="32"/>
  <c r="S49" i="32"/>
  <c r="K49" i="32"/>
  <c r="J49" i="32"/>
  <c r="I49" i="32"/>
  <c r="S48" i="32"/>
  <c r="K48" i="32"/>
  <c r="J48" i="32"/>
  <c r="I48" i="32"/>
  <c r="T47" i="32"/>
  <c r="S47" i="32"/>
  <c r="K47" i="32"/>
  <c r="J47" i="32"/>
  <c r="I47" i="32"/>
  <c r="H47" i="32"/>
  <c r="S41" i="32"/>
  <c r="S40" i="32"/>
  <c r="S39" i="32"/>
  <c r="S38" i="32"/>
  <c r="S37" i="32"/>
  <c r="S36" i="32"/>
  <c r="K36" i="32"/>
  <c r="J36" i="32"/>
  <c r="I36" i="32"/>
  <c r="S35" i="32"/>
  <c r="K35" i="32"/>
  <c r="J35" i="32"/>
  <c r="I35" i="32"/>
  <c r="S34" i="32"/>
  <c r="K34" i="32"/>
  <c r="J34" i="32"/>
  <c r="I34" i="32"/>
  <c r="S33" i="32"/>
  <c r="K33" i="32"/>
  <c r="J33" i="32"/>
  <c r="I33" i="32"/>
  <c r="S32" i="32"/>
  <c r="K32" i="32"/>
  <c r="J32" i="32"/>
  <c r="I32" i="32"/>
  <c r="S31" i="32"/>
  <c r="K31" i="32"/>
  <c r="J31" i="32"/>
  <c r="I31" i="32"/>
  <c r="S30" i="32"/>
  <c r="K30" i="32"/>
  <c r="J30" i="32"/>
  <c r="I30" i="32"/>
  <c r="S29" i="32"/>
  <c r="K29" i="32"/>
  <c r="J29" i="32"/>
  <c r="I29" i="32"/>
  <c r="S28" i="32"/>
  <c r="K28" i="32"/>
  <c r="J28" i="32"/>
  <c r="I28" i="32"/>
  <c r="T27" i="32"/>
  <c r="S27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S101" i="30"/>
  <c r="S100" i="30"/>
  <c r="S99" i="30"/>
  <c r="S98" i="30"/>
  <c r="S97" i="30"/>
  <c r="S96" i="30"/>
  <c r="S95" i="30"/>
  <c r="S94" i="30"/>
  <c r="S93" i="30"/>
  <c r="K93" i="30"/>
  <c r="J93" i="30"/>
  <c r="I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S81" i="30"/>
  <c r="S80" i="30"/>
  <c r="S79" i="30"/>
  <c r="S78" i="30"/>
  <c r="S77" i="30"/>
  <c r="S76" i="30"/>
  <c r="S75" i="30"/>
  <c r="S74" i="30"/>
  <c r="S73" i="30"/>
  <c r="K73" i="30"/>
  <c r="J73" i="30"/>
  <c r="I73" i="30"/>
  <c r="S72" i="30"/>
  <c r="K72" i="30"/>
  <c r="J72" i="30"/>
  <c r="I72" i="30"/>
  <c r="S71" i="30"/>
  <c r="K71" i="30"/>
  <c r="J71" i="30"/>
  <c r="I71" i="30"/>
  <c r="S70" i="30"/>
  <c r="K70" i="30"/>
  <c r="J70" i="30"/>
  <c r="I70" i="30"/>
  <c r="S69" i="30"/>
  <c r="K69" i="30"/>
  <c r="J69" i="30"/>
  <c r="I69" i="30"/>
  <c r="S68" i="30"/>
  <c r="K68" i="30"/>
  <c r="J68" i="30"/>
  <c r="I68" i="30"/>
  <c r="T67" i="30"/>
  <c r="S67" i="30"/>
  <c r="K67" i="30"/>
  <c r="J67" i="30"/>
  <c r="I67" i="30"/>
  <c r="H67" i="30"/>
  <c r="S61" i="30"/>
  <c r="S60" i="30"/>
  <c r="S59" i="30"/>
  <c r="S58" i="30"/>
  <c r="S57" i="30"/>
  <c r="S56" i="30"/>
  <c r="S55" i="30"/>
  <c r="S54" i="30"/>
  <c r="S53" i="30"/>
  <c r="K53" i="30"/>
  <c r="J53" i="30"/>
  <c r="I53" i="30"/>
  <c r="S52" i="30"/>
  <c r="K52" i="30"/>
  <c r="J52" i="30"/>
  <c r="I52" i="30"/>
  <c r="S51" i="30"/>
  <c r="K51" i="30"/>
  <c r="J51" i="30"/>
  <c r="I51" i="30"/>
  <c r="S50" i="30"/>
  <c r="K50" i="30"/>
  <c r="J50" i="30"/>
  <c r="I50" i="30"/>
  <c r="S49" i="30"/>
  <c r="K49" i="30"/>
  <c r="J49" i="30"/>
  <c r="I49" i="30"/>
  <c r="S48" i="30"/>
  <c r="K48" i="30"/>
  <c r="J48" i="30"/>
  <c r="I48" i="30"/>
  <c r="T47" i="30"/>
  <c r="S47" i="30"/>
  <c r="K47" i="30"/>
  <c r="J47" i="30"/>
  <c r="I47" i="30"/>
  <c r="H47" i="30"/>
  <c r="S41" i="30"/>
  <c r="S40" i="30"/>
  <c r="S39" i="30"/>
  <c r="S38" i="30"/>
  <c r="S37" i="30"/>
  <c r="S36" i="30"/>
  <c r="S35" i="30"/>
  <c r="S34" i="30"/>
  <c r="S33" i="30"/>
  <c r="S32" i="30"/>
  <c r="K32" i="30"/>
  <c r="J32" i="30"/>
  <c r="I32" i="30"/>
  <c r="S31" i="30"/>
  <c r="K31" i="30"/>
  <c r="J31" i="30"/>
  <c r="I31" i="30"/>
  <c r="S30" i="30"/>
  <c r="K30" i="30"/>
  <c r="J30" i="30"/>
  <c r="I30" i="30"/>
  <c r="S29" i="30"/>
  <c r="K29" i="30"/>
  <c r="J29" i="30"/>
  <c r="I29" i="30"/>
  <c r="S28" i="30"/>
  <c r="K28" i="30"/>
  <c r="J28" i="30"/>
  <c r="I28" i="30"/>
  <c r="T27" i="30"/>
  <c r="S27" i="30"/>
  <c r="K27" i="30"/>
  <c r="J27" i="30"/>
  <c r="I27" i="30"/>
  <c r="H2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K132" i="8"/>
  <c r="J132" i="8"/>
  <c r="I132" i="8"/>
  <c r="S131" i="8"/>
  <c r="K131" i="8"/>
  <c r="J131" i="8"/>
  <c r="I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K95" i="8"/>
  <c r="J95" i="8"/>
  <c r="I95" i="8"/>
  <c r="S94" i="8"/>
  <c r="K94" i="8"/>
  <c r="J94" i="8"/>
  <c r="I94" i="8"/>
  <c r="S93" i="8"/>
  <c r="K93" i="8"/>
  <c r="J93" i="8"/>
  <c r="I93" i="8"/>
  <c r="S92" i="8"/>
  <c r="K92" i="8"/>
  <c r="J92" i="8"/>
  <c r="I92" i="8"/>
  <c r="S91" i="8"/>
  <c r="K91" i="8"/>
  <c r="J91" i="8"/>
  <c r="I91" i="8"/>
  <c r="S90" i="8"/>
  <c r="K90" i="8"/>
  <c r="J90" i="8"/>
  <c r="I90" i="8"/>
  <c r="S89" i="8"/>
  <c r="K89" i="8"/>
  <c r="J89" i="8"/>
  <c r="I89" i="8"/>
  <c r="S88" i="8"/>
  <c r="K88" i="8"/>
  <c r="J88" i="8"/>
  <c r="I88" i="8"/>
  <c r="S87" i="8"/>
  <c r="K87" i="8"/>
  <c r="J87" i="8"/>
  <c r="I87" i="8"/>
  <c r="S86" i="8"/>
  <c r="K86" i="8"/>
  <c r="J86" i="8"/>
  <c r="I86" i="8"/>
  <c r="S85" i="8"/>
  <c r="K85" i="8"/>
  <c r="J85" i="8"/>
  <c r="I85" i="8"/>
  <c r="S84" i="8"/>
  <c r="K84" i="8"/>
  <c r="J84" i="8"/>
  <c r="I84" i="8"/>
  <c r="S83" i="8"/>
  <c r="K83" i="8"/>
  <c r="J83" i="8"/>
  <c r="I83" i="8"/>
  <c r="S82" i="8"/>
  <c r="K82" i="8"/>
  <c r="J82" i="8"/>
  <c r="I82" i="8"/>
  <c r="S81" i="8"/>
  <c r="K81" i="8"/>
  <c r="J81" i="8"/>
  <c r="I81" i="8"/>
  <c r="S80" i="8"/>
  <c r="K80" i="8"/>
  <c r="J80" i="8"/>
  <c r="I80" i="8"/>
  <c r="S79" i="8"/>
  <c r="K79" i="8"/>
  <c r="J79" i="8"/>
  <c r="I79" i="8"/>
  <c r="S78" i="8"/>
  <c r="K78" i="8"/>
  <c r="J78" i="8"/>
  <c r="I78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AB45" i="6"/>
  <c r="S45" i="6"/>
  <c r="R45" i="6"/>
  <c r="M45" i="6"/>
  <c r="AC44" i="6"/>
  <c r="AB44" i="6"/>
  <c r="S44" i="6"/>
  <c r="R44" i="6"/>
  <c r="M44" i="6"/>
  <c r="AC42" i="6"/>
  <c r="AB42" i="6"/>
  <c r="S42" i="6"/>
  <c r="R42" i="6"/>
  <c r="M42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AC27" i="6"/>
  <c r="AB27" i="6"/>
  <c r="S27" i="6"/>
  <c r="R27" i="6"/>
  <c r="AC26" i="6"/>
  <c r="AB26" i="6"/>
  <c r="S26" i="6"/>
  <c r="F26" i="6" s="1"/>
  <c r="AH26" i="6" s="1"/>
  <c r="R26" i="6"/>
  <c r="AC25" i="6"/>
  <c r="AB25" i="6"/>
  <c r="S25" i="6"/>
  <c r="R25" i="6"/>
  <c r="AC24" i="6"/>
  <c r="AB24" i="6"/>
  <c r="S24" i="6"/>
  <c r="R24" i="6"/>
  <c r="AC23" i="6"/>
  <c r="AB23" i="6"/>
  <c r="S23" i="6"/>
  <c r="F23" i="6" s="1"/>
  <c r="AH23" i="6" s="1"/>
  <c r="R23" i="6"/>
  <c r="AC22" i="6"/>
  <c r="AB22" i="6"/>
  <c r="S22" i="6"/>
  <c r="R22" i="6"/>
  <c r="AC21" i="6"/>
  <c r="AB21" i="6"/>
  <c r="S21" i="6"/>
  <c r="R21" i="6"/>
  <c r="AC20" i="6"/>
  <c r="AB20" i="6"/>
  <c r="S20" i="6"/>
  <c r="R20" i="6"/>
  <c r="AC19" i="6"/>
  <c r="AB19" i="6"/>
  <c r="S19" i="6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J27" i="5" s="1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E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S46" i="6" l="1"/>
  <c r="AC46" i="6"/>
  <c r="X48" i="1"/>
  <c r="V48" i="1" s="1"/>
  <c r="X34" i="1"/>
  <c r="V34" i="1" s="1"/>
  <c r="M46" i="6"/>
  <c r="F20" i="6"/>
  <c r="AH20" i="6" s="1"/>
  <c r="K10" i="5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23" i="7" s="1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O14" i="1"/>
  <c r="B23" i="13"/>
  <c r="C23" i="13" s="1"/>
  <c r="E23" i="13" s="1"/>
  <c r="F31" i="7"/>
  <c r="AH31" i="7" s="1"/>
  <c r="F28" i="6"/>
  <c r="AH28" i="6" s="1"/>
  <c r="F31" i="6"/>
  <c r="AF31" i="6" s="1"/>
  <c r="U14" i="1"/>
  <c r="F35" i="6"/>
  <c r="AF35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B34" i="39" s="1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0" i="5"/>
  <c r="F45" i="6"/>
  <c r="AF45" i="6" s="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L67" i="30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AF36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AD33" i="7" s="1"/>
  <c r="K128" i="32"/>
  <c r="K132" i="32"/>
  <c r="K222" i="33"/>
  <c r="K226" i="33"/>
  <c r="K230" i="33"/>
  <c r="K234" i="33"/>
  <c r="K238" i="33"/>
  <c r="I241" i="33"/>
  <c r="I137" i="32"/>
  <c r="J241" i="33"/>
  <c r="F19" i="7"/>
  <c r="AB19" i="7" s="1"/>
  <c r="I131" i="32"/>
  <c r="J6" i="5"/>
  <c r="F45" i="7"/>
  <c r="AH45" i="7" s="1"/>
  <c r="F18" i="6"/>
  <c r="L18" i="6" s="1"/>
  <c r="F24" i="6"/>
  <c r="V24" i="6" s="1"/>
  <c r="F27" i="6"/>
  <c r="AD27" i="6" s="1"/>
  <c r="F41" i="6"/>
  <c r="AJ41" i="6" s="1"/>
  <c r="M135" i="8"/>
  <c r="M138" i="8"/>
  <c r="M141" i="8"/>
  <c r="L47" i="30"/>
  <c r="B29" i="39" s="1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7" i="39"/>
  <c r="J13" i="5"/>
  <c r="I7" i="39" s="1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AH16" i="6" s="1"/>
  <c r="F19" i="6"/>
  <c r="AH19" i="6" s="1"/>
  <c r="AD20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V23" i="7"/>
  <c r="F26" i="7"/>
  <c r="AD26" i="7" s="1"/>
  <c r="F30" i="7"/>
  <c r="AD30" i="7" s="1"/>
  <c r="F34" i="7"/>
  <c r="AD34" i="7" s="1"/>
  <c r="AC46" i="7"/>
  <c r="B19" i="13" s="1"/>
  <c r="C19" i="13" s="1"/>
  <c r="E19" i="13" s="1"/>
  <c r="F44" i="7"/>
  <c r="N44" i="7" s="1"/>
  <c r="AJ20" i="6"/>
  <c r="P20" i="6"/>
  <c r="V20" i="6"/>
  <c r="AL20" i="6"/>
  <c r="AL28" i="6"/>
  <c r="H23" i="13"/>
  <c r="N20" i="6"/>
  <c r="F22" i="6"/>
  <c r="L22" i="6" s="1"/>
  <c r="L28" i="6"/>
  <c r="F32" i="6"/>
  <c r="N32" i="6" s="1"/>
  <c r="F21" i="6"/>
  <c r="N21" i="6" s="1"/>
  <c r="N23" i="6"/>
  <c r="T23" i="6"/>
  <c r="T26" i="6"/>
  <c r="AF26" i="6"/>
  <c r="AF23" i="6"/>
  <c r="Z23" i="6"/>
  <c r="AL23" i="6"/>
  <c r="AD23" i="6"/>
  <c r="X23" i="6"/>
  <c r="L23" i="6"/>
  <c r="P23" i="6"/>
  <c r="V23" i="6"/>
  <c r="AJ23" i="6"/>
  <c r="F25" i="6"/>
  <c r="N25" i="6" s="1"/>
  <c r="N26" i="6"/>
  <c r="Z26" i="6"/>
  <c r="F15" i="6"/>
  <c r="J23" i="6"/>
  <c r="F30" i="6"/>
  <c r="F17" i="6"/>
  <c r="N17" i="6" s="1"/>
  <c r="AL26" i="6"/>
  <c r="AD26" i="6"/>
  <c r="X26" i="6"/>
  <c r="L26" i="6"/>
  <c r="AJ26" i="6"/>
  <c r="V26" i="6"/>
  <c r="P26" i="6"/>
  <c r="J26" i="6"/>
  <c r="N35" i="6"/>
  <c r="N45" i="6"/>
  <c r="T45" i="6"/>
  <c r="AH45" i="6"/>
  <c r="F34" i="6"/>
  <c r="F44" i="6"/>
  <c r="J45" i="6"/>
  <c r="P45" i="6"/>
  <c r="V45" i="6"/>
  <c r="AJ45" i="6"/>
  <c r="AF20" i="6"/>
  <c r="AF28" i="6"/>
  <c r="F29" i="6"/>
  <c r="N29" i="6" s="1"/>
  <c r="F33" i="6"/>
  <c r="N33" i="6" s="1"/>
  <c r="L45" i="6"/>
  <c r="X45" i="6"/>
  <c r="AD45" i="6"/>
  <c r="AL45" i="6"/>
  <c r="T20" i="6"/>
  <c r="T28" i="6"/>
  <c r="Z45" i="6"/>
  <c r="G8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B30" i="39" s="1"/>
  <c r="L47" i="34"/>
  <c r="B33" i="39" s="1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B35" i="39" s="1"/>
  <c r="M52" i="36"/>
  <c r="M53" i="36"/>
  <c r="M54" i="36"/>
  <c r="M55" i="36"/>
  <c r="M56" i="36"/>
  <c r="M57" i="36"/>
  <c r="M58" i="36"/>
  <c r="M59" i="36"/>
  <c r="M60" i="36"/>
  <c r="L47" i="37"/>
  <c r="B36" i="39" s="1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B31" i="39" s="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7" i="6"/>
  <c r="S47" i="6"/>
  <c r="H16" i="13" s="1"/>
  <c r="F39" i="6"/>
  <c r="AH39" i="6" s="1"/>
  <c r="M47" i="6"/>
  <c r="F38" i="6"/>
  <c r="N38" i="6" s="1"/>
  <c r="F42" i="6"/>
  <c r="F40" i="6"/>
  <c r="N40" i="6" s="1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7" i="6"/>
  <c r="AL37" i="6" s="1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J27" i="6" l="1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G15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G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G22" i="7"/>
  <c r="AL22" i="7"/>
  <c r="X22" i="7"/>
  <c r="R22" i="7"/>
  <c r="L22" i="7"/>
  <c r="AH22" i="7"/>
  <c r="AB22" i="7"/>
  <c r="P22" i="7"/>
  <c r="Z22" i="7"/>
  <c r="AJ22" i="7"/>
  <c r="V22" i="7"/>
  <c r="J22" i="7"/>
  <c r="AF22" i="7"/>
  <c r="G36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G29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G29" i="6"/>
  <c r="AJ29" i="6"/>
  <c r="V29" i="6"/>
  <c r="P29" i="6"/>
  <c r="J29" i="6"/>
  <c r="AH29" i="6"/>
  <c r="T29" i="6"/>
  <c r="AF29" i="6"/>
  <c r="Z29" i="6"/>
  <c r="AL29" i="6"/>
  <c r="X29" i="6"/>
  <c r="L29" i="6"/>
  <c r="AD29" i="6"/>
  <c r="G15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G36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G22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<sst xmlns="http://schemas.openxmlformats.org/spreadsheetml/2006/main" count="7256" uniqueCount="1038">
  <si>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</si>
  <si>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</si>
  <si>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</si>
  <si>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</si>
  <si>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</si>
  <si>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</si>
  <si>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</si>
  <si>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</si>
  <si>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</si>
  <si>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</si>
  <si>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</si>
  <si>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</si>
  <si>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</si>
  <si>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</si>
  <si>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</si>
  <si>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</si>
  <si>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</si>
  <si>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</si>
  <si>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</si>
  <si>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</si>
  <si>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</si>
  <si>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</si>
  <si>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</si>
  <si>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</si>
  <si>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</si>
  <si>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</si>
  <si>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</si>
  <si>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</si>
  <si>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</si>
  <si>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</si>
  <si>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</si>
  <si>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</si>
  <si>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</si>
  <si>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</si>
  <si>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</si>
  <si>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</si>
  <si>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</si>
  <si>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</si>
  <si>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</si>
  <si>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</si>
  <si>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</si>
  <si>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</si>
  <si>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</si>
  <si>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</si>
  <si>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</si>
  <si>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</si>
  <si>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</si>
  <si>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</si>
  <si>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</si>
  <si>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</si>
  <si>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</si>
  <si>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</si>
  <si>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</si>
  <si>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</si>
  <si>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</si>
  <si>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</si>
  <si>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</si>
  <si>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</si>
  <si>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</si>
  <si>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</si>
  <si>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</si>
  <si>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</si>
  <si>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</si>
  <si>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</si>
  <si>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</si>
  <si>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</si>
  <si>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</si>
  <si>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</si>
  <si>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</si>
  <si>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</si>
  <si>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</si>
  <si>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</si>
  <si>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</si>
  <si>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</si>
  <si>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</si>
  <si>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</si>
  <si>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</si>
  <si>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</si>
  <si>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</si>
  <si>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</si>
  <si>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</si>
  <si>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</si>
  <si>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</si>
  <si>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</si>
  <si>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</si>
  <si>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</si>
  <si>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</si>
  <si>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</si>
  <si>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</si>
  <si>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</si>
  <si>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</si>
  <si>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</si>
  <si>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</si>
  <si>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</si>
  <si>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</si>
  <si>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</si>
  <si>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</si>
  <si>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</si>
  <si>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</si>
  <si>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</si>
  <si>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</si>
  <si>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</si>
  <si>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</si>
  <si>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</si>
  <si>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</si>
  <si>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</si>
  <si>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</si>
  <si>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</si>
  <si>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</si>
  <si>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</si>
  <si>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</si>
  <si>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</si>
  <si>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</si>
  <si>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</si>
  <si>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</si>
  <si>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</si>
  <si>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</si>
  <si>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</si>
  <si>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</si>
  <si>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</si>
  <si>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</si>
  <si>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</si>
  <si>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</si>
  <si>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</si>
  <si>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</si>
  <si>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</si>
  <si>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</si>
  <si>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</si>
  <si>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</si>
  <si>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</si>
  <si>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</si>
  <si>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</si>
  <si>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</si>
  <si>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</si>
  <si>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</si>
  <si>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</si>
  <si>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</si>
  <si>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</si>
  <si>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</si>
  <si>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</si>
  <si>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</si>
  <si>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</si>
  <si>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</si>
  <si>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</si>
  <si>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</si>
  <si>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</si>
  <si>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</si>
  <si>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</si>
  <si>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</si>
  <si>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</si>
  <si>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</si>
  <si>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</si>
  <si>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</si>
  <si>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</si>
  <si>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</si>
  <si>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</si>
  <si>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</si>
  <si>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</si>
  <si>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</si>
  <si>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</si>
  <si>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</si>
  <si>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</si>
  <si>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</si>
  <si>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</si>
  <si>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</si>
  <si>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</si>
  <si>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</si>
  <si>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</si>
  <si>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</si>
  <si>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</si>
  <si>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</si>
  <si>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</si>
  <si>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</si>
  <si>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</si>
  <si>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</si>
  <si>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</si>
  <si>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</si>
  <si>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</si>
  <si>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</si>
  <si>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</si>
  <si>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</si>
  <si>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</si>
  <si>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</si>
  <si>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</si>
  <si>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</si>
  <si>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</si>
  <si>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</si>
  <si>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</si>
  <si>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</si>
  <si>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</si>
  <si>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</si>
  <si>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</si>
  <si>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</si>
  <si>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</si>
  <si>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</si>
  <si>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</si>
  <si>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</si>
  <si>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</si>
  <si>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</si>
  <si>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</si>
  <si>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</si>
  <si>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</si>
  <si>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</si>
  <si>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</si>
  <si>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</si>
  <si>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</si>
  <si>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</si>
  <si>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</si>
  <si>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</si>
  <si>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</si>
  <si>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</si>
  <si>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</si>
  <si>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</si>
  <si>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</si>
  <si>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</si>
  <si>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</si>
  <si>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</si>
  <si>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</si>
  <si>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</si>
  <si>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</si>
  <si>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</si>
  <si>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</si>
  <si>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</si>
  <si>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</si>
  <si>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</si>
  <si>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</si>
  <si>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</si>
  <si>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</si>
  <si>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</si>
  <si>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</si>
  <si>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</si>
  <si>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</si>
  <si>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</si>
  <si>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</si>
  <si>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</si>
  <si>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</si>
  <si>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</si>
  <si>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</si>
  <si>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</si>
  <si>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</si>
  <si>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</si>
  <si>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</si>
  <si>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</si>
  <si>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</si>
  <si>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</si>
  <si>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</si>
  <si>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</si>
  <si>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</si>
  <si>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</si>
  <si>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</si>
  <si>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</si>
  <si>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</si>
  <si>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</si>
  <si>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</si>
  <si>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</si>
  <si>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</si>
  <si>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</si>
  <si>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</si>
  <si>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</si>
  <si>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</si>
  <si>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</si>
  <si>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</si>
  <si>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</si>
  <si>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</si>
  <si>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</si>
  <si>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</si>
  <si>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</si>
  <si>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</si>
  <si>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</si>
  <si>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</si>
  <si>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</si>
  <si>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</si>
  <si>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</si>
  <si>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</si>
  <si>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</si>
  <si>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</si>
  <si>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</si>
  <si>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</si>
  <si>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</si>
  <si>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</si>
  <si>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</si>
  <si>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</si>
  <si>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</si>
  <si>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</si>
  <si>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</si>
  <si>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</si>
  <si>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</si>
  <si>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</si>
  <si>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</si>
  <si>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</si>
  <si>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</si>
  <si>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</si>
  <si>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</si>
  <si>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</si>
  <si>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</si>
  <si>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</si>
  <si>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</si>
  <si>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</si>
  <si>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</si>
  <si>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</si>
  <si>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</si>
  <si>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</si>
  <si>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</si>
  <si>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</si>
  <si>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</si>
  <si>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</si>
  <si>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</si>
  <si>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</si>
  <si>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</si>
  <si>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</si>
  <si>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</si>
  <si>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</si>
  <si>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</si>
  <si>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</si>
  <si>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</si>
  <si>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</si>
  <si>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</si>
  <si>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</si>
  <si>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</si>
  <si>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</si>
  <si>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</si>
  <si>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</si>
  <si>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</si>
  <si>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</si>
  <si>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</si>
  <si>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</si>
  <si>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</si>
  <si>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</si>
  <si>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</si>
  <si>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</si>
  <si>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</si>
  <si>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</si>
  <si>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</si>
  <si>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</si>
  <si>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</si>
  <si>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</si>
  <si>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</si>
  <si>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</si>
  <si>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</si>
  <si>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</si>
  <si>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</si>
  <si>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</si>
  <si>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</si>
  <si>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</si>
  <si>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</si>
  <si>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</si>
  <si>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</si>
  <si>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</si>
  <si>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</si>
  <si>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</si>
  <si>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</si>
  <si>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</si>
  <si>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</si>
  <si>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</si>
  <si>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</si>
  <si>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</si>
  <si>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</si>
  <si>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蒜蒜燒豚飯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</si>
  <si>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</si>
  <si>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</si>
  <si>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</si>
  <si>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</si>
  <si>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</si>
  <si>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</si>
  <si>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</si>
  <si>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</si>
  <si>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</si>
  <si>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</si>
  <si>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</si>
  <si>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</si>
  <si>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</si>
  <si>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</si>
  <si>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</si>
  <si>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</si>
  <si>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</si>
  <si>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</si>
  <si>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</si>
  <si>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</si>
  <si>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</si>
  <si>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</si>
  <si>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</si>
  <si>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</si>
  <si>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</si>
  <si>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</si>
  <si>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</si>
  <si>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</si>
  <si>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</si>
  <si>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</si>
  <si>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</si>
  <si>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</si>
  <si>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</si>
  <si>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</si>
  <si>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</si>
  <si>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</si>
  <si>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</si>
  <si>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</si>
  <si>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</si>
  <si>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</si>
  <si>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</si>
  <si>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</si>
  <si>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</si>
  <si>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</si>
  <si>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</si>
  <si>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</si>
  <si>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</si>
  <si>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</si>
  <si>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</si>
  <si>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</si>
  <si>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</si>
  <si>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</si>
  <si>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</si>
  <si>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</si>
  <si>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</si>
  <si>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胡麻鮮蔬雞絲飯糰(區)</t>
  </si>
  <si>
    <t>－</t>
  </si>
  <si>
    <t>累計</t>
    <phoneticPr fontId="11" type="noConversion"/>
  </si>
  <si>
    <t>製程不穩</t>
  </si>
  <si>
    <t>二配蒸鼎泰豐香辣醬</t>
  </si>
  <si>
    <t>切烤雞胸肉</t>
  </si>
  <si>
    <t>粉絲煲湯凍</t>
  </si>
  <si>
    <t>準備課</t>
  </si>
  <si>
    <t>（７）原因別分析(8/1-8/11)</t>
  </si>
  <si>
    <t>壹號醬雞豚雙拼</t>
  </si>
  <si>
    <t>切-究極燒肉片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</si>
  <si>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</si>
  <si>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</si>
  <si>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</si>
  <si>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</si>
  <si>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</si>
  <si>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</si>
  <si>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</si>
  <si>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</si>
  <si>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</si>
  <si>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</si>
  <si>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</si>
  <si>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</si>
  <si>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</si>
  <si>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</si>
  <si>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</si>
  <si>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</si>
  <si>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</si>
  <si>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</si>
  <si>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</si>
  <si>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</si>
  <si>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</si>
  <si>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</si>
  <si>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</si>
  <si>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</si>
  <si>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</si>
  <si>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</si>
  <si>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</si>
  <si>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</si>
  <si>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</si>
  <si>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</si>
  <si>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</si>
  <si>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</si>
  <si>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</si>
  <si>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</si>
  <si>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</si>
  <si>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</si>
  <si>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</si>
  <si>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</si>
  <si>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</si>
  <si>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</si>
  <si>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</si>
  <si>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</si>
  <si>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</si>
  <si>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</si>
  <si>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</si>
  <si>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</si>
  <si>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</si>
  <si>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</si>
  <si>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</si>
  <si>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</si>
  <si>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</si>
  <si>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</si>
  <si>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</si>
  <si>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</si>
  <si>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</si>
  <si>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</si>
  <si>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</si>
  <si>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</si>
  <si>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</si>
  <si>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</si>
  <si>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</si>
  <si>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</si>
  <si>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</si>
  <si>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</si>
  <si>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</si>
  <si>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</si>
  <si>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</si>
  <si>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</si>
  <si>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</si>
  <si>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</si>
  <si>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</si>
  <si>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</si>
  <si>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</si>
  <si>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</si>
  <si>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</si>
  <si>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</si>
  <si>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</si>
  <si>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</si>
  <si>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</si>
  <si>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</si>
  <si>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</si>
  <si>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</si>
  <si>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</si>
  <si>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</si>
  <si>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</si>
  <si>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</si>
  <si>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</si>
  <si>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</si>
  <si>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</si>
  <si>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</si>
  <si>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</si>
  <si>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</si>
  <si>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</si>
  <si>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</si>
  <si>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</si>
  <si>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</si>
  <si>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</si>
  <si>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</si>
  <si>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</si>
  <si>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</si>
  <si>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</si>
  <si>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</si>
  <si>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</si>
  <si>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</si>
  <si>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</si>
  <si>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</si>
  <si>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</si>
  <si>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</si>
  <si>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</si>
  <si>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</si>
  <si>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</si>
  <si>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</si>
  <si>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</si>
  <si>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</si>
  <si>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</si>
  <si>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</si>
  <si>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</si>
  <si>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</si>
  <si>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</si>
  <si>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</si>
  <si>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</si>
  <si>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</si>
  <si>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</si>
  <si>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品群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</si>
  <si>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</si>
  <si>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</si>
  <si>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</si>
  <si>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</si>
  <si>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排名</t>
    <phoneticPr fontId="11" type="noConversion"/>
  </si>
  <si>
    <t>產能／時</t>
    <phoneticPr fontId="11" type="noConversion"/>
  </si>
  <si>
    <t>人時性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</si>
  <si>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</si>
  <si>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</si>
  <si>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</si>
  <si>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</si>
  <si>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</si>
  <si>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</si>
  <si>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</si>
  <si>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</si>
  <si>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</si>
  <si>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</si>
  <si>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</si>
  <si>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</si>
  <si>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</si>
  <si>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</si>
  <si>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</si>
  <si>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</si>
  <si>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</si>
  <si>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</si>
  <si>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</si>
  <si>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</si>
  <si>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</si>
  <si>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</si>
  <si>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</si>
  <si>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</si>
  <si>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</si>
  <si>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</si>
  <si>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</si>
  <si>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</si>
  <si>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</si>
  <si>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</si>
  <si>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</si>
  <si>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</si>
  <si>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</si>
  <si>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</si>
  <si>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</si>
  <si>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</si>
  <si>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</si>
  <si>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</si>
  <si>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</si>
  <si>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</si>
  <si>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</si>
  <si>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</si>
  <si>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</si>
  <si>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</si>
  <si>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</si>
  <si>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</si>
  <si>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</si>
  <si>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</si>
  <si>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</si>
  <si>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</si>
  <si>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</si>
  <si>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</si>
  <si>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</si>
  <si>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</si>
  <si>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</si>
  <si>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</si>
  <si>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</si>
  <si>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</si>
  <si>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</si>
  <si>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</si>
  <si>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博多明太子奶油飯糰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</si>
  <si>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</si>
  <si>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</si>
  <si>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</si>
  <si>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</si>
  <si>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</si>
  <si>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</si>
  <si>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</si>
  <si>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</si>
  <si>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</si>
  <si>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</si>
  <si>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</si>
  <si>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</si>
  <si>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</si>
  <si>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</si>
  <si>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</si>
  <si>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</si>
  <si>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</si>
  <si>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</si>
  <si>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</si>
  <si>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</si>
  <si>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</si>
  <si>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</si>
  <si>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</si>
  <si>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</si>
  <si>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</si>
  <si>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</si>
  <si>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</si>
  <si>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</si>
  <si>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</si>
  <si>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</si>
  <si>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</si>
  <si>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</si>
  <si>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</si>
  <si>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</si>
  <si>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</si>
  <si>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</si>
  <si>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</si>
  <si>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</si>
  <si>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</si>
  <si>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</si>
  <si>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</si>
  <si>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</si>
  <si>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</si>
  <si>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</si>
  <si>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</si>
  <si>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</si>
  <si>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</si>
  <si>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</si>
  <si>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雙醬雞排鐵板麵</t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</si>
  <si>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</si>
  <si>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</si>
  <si>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</si>
  <si>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</si>
  <si>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</si>
  <si>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</si>
  <si>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</si>
  <si>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</si>
  <si>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</si>
  <si>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</si>
  <si>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</si>
  <si>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</si>
  <si>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</si>
  <si>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</si>
  <si>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</si>
  <si>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</si>
  <si>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</si>
  <si>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</si>
  <si>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</si>
  <si>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</si>
  <si>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</si>
  <si>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</si>
  <si>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</si>
  <si>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</si>
  <si>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</si>
  <si>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</si>
  <si>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</si>
  <si>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</si>
  <si>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</si>
  <si>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香濃起司蟹風味棒細卷</t>
  </si>
  <si>
    <t>照燒雞肉飯糰</t>
  </si>
  <si>
    <t>肉燥烤飯糰</t>
  </si>
  <si>
    <t>妮妮家漢堡排</t>
  </si>
  <si>
    <t>蒜泥狠台味三拼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</si>
  <si>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</si>
  <si>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</si>
  <si>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</si>
  <si>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</si>
  <si>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</si>
  <si>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</si>
  <si>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</si>
  <si>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</si>
  <si>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</si>
  <si>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</si>
  <si>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</si>
  <si>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</si>
  <si>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</si>
  <si>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</si>
  <si>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</si>
  <si>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</si>
  <si>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</si>
  <si>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</si>
  <si>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</si>
  <si>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</si>
  <si>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</si>
  <si>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</si>
  <si>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</si>
  <si>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</si>
  <si>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</si>
  <si>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</si>
  <si>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</si>
  <si>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</si>
  <si>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</si>
  <si>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</si>
  <si>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</si>
  <si>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</si>
  <si>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</si>
  <si>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</si>
  <si>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</si>
  <si>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</si>
  <si>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</si>
  <si>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</si>
  <si>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</si>
  <si>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</si>
  <si>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</si>
  <si>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</si>
  <si>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</si>
  <si>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</si>
  <si>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</si>
  <si>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</si>
  <si>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</si>
  <si>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</si>
  <si>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</si>
  <si>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</si>
  <si>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</si>
  <si>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</si>
  <si>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</si>
  <si>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</si>
  <si>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</si>
  <si>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排名</t>
    <phoneticPr fontId="8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</si>
  <si>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</si>
  <si>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</si>
  <si>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</si>
  <si>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</si>
  <si>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</si>
  <si>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蛤蜊五目中華燴麵</t>
  </si>
  <si>
    <t>二配西班牙風味海鮮燉飯</t>
  </si>
  <si>
    <t>製程報廢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</si>
  <si>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</si>
  <si>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</si>
  <si>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</si>
  <si>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</si>
  <si>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</si>
  <si>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</si>
  <si>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</si>
  <si>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</si>
  <si>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</si>
  <si>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</si>
  <si>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</si>
  <si>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</si>
  <si>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</si>
  <si>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</si>
  <si>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</si>
  <si>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</si>
  <si>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</si>
  <si>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</si>
  <si>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</si>
  <si>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</si>
  <si>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</si>
  <si>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</si>
  <si>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</si>
  <si>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</si>
  <si>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</si>
  <si>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</si>
  <si>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</si>
  <si>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</si>
  <si>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</si>
  <si>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</si>
  <si>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</si>
  <si>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</si>
  <si>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</si>
  <si>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</si>
  <si>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照燒豬排纖食餐盒</t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</si>
  <si>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</si>
  <si>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</si>
  <si>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</si>
  <si>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</si>
  <si>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</si>
  <si>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</si>
  <si>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</si>
  <si>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</si>
  <si>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</si>
  <si>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</si>
  <si>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</si>
  <si>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</si>
  <si>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</si>
  <si>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</si>
  <si>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</si>
  <si>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</si>
  <si>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</si>
  <si>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</si>
  <si>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</si>
  <si>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</si>
  <si>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</si>
  <si>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</si>
  <si>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</si>
  <si>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</si>
  <si>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切博多明太子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</si>
  <si>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</si>
  <si>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油蔥雞汁飯糰(區)</t>
  </si>
  <si>
    <t>雙鬆細卷</t>
  </si>
  <si>
    <t>滿滿海鮮沙拉脆卷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</si>
  <si>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</si>
  <si>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</si>
  <si>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</si>
  <si>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</si>
  <si>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</si>
  <si>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二配大飯糰鮪魚昆布</t>
  </si>
  <si>
    <t>兩粒飯糰(鮪魚.焦糖鮭魚)</t>
  </si>
  <si>
    <t/>
  </si>
  <si>
    <t>麻油鹽炙烤豬肉飯卷</t>
  </si>
  <si>
    <t>二配泰式綠咖哩雞</t>
  </si>
  <si>
    <t>香腸腿排雙拼便當</t>
  </si>
  <si>
    <t>日式蕎麥沾麵</t>
  </si>
  <si>
    <t>日式壽喜燒</t>
  </si>
  <si>
    <t>解凍-醬油漬鮭魚卵</t>
  </si>
  <si>
    <t>二配泰式椰香綠咖哩醬</t>
  </si>
  <si>
    <t>晉欣廠半成品管理日別總表</t>
    <phoneticPr fontId="11" type="noConversion"/>
  </si>
  <si>
    <t>日期</t>
    <phoneticPr fontId="91" type="noConversion"/>
  </si>
  <si>
    <t>營業額</t>
    <phoneticPr fontId="1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</si>
  <si>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</si>
  <si>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</si>
  <si>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</si>
  <si>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</si>
  <si>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</si>
  <si>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</si>
  <si>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</si>
  <si>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</si>
  <si>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</si>
  <si>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</si>
  <si>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</si>
  <si>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</si>
  <si>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</si>
  <si>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</si>
  <si>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</si>
  <si>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</si>
  <si>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</si>
  <si>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</si>
  <si>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</si>
  <si>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</si>
  <si>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t>賣相要鋪滿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</si>
  <si>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</si>
  <si>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香料咖哩烤雞飯卷</t>
  </si>
  <si>
    <t>川燙青花菜</t>
  </si>
  <si>
    <t>麻婆豆腐波浪麵</t>
  </si>
  <si>
    <t>二配雞肉香料咖哩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</si>
  <si>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</si>
  <si>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</si>
  <si>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</si>
  <si>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</si>
  <si>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東京豚骨風味拉麵</t>
  </si>
  <si>
    <t>炒調味筍干</t>
  </si>
  <si>
    <t>香烤藍尾鱈魚五行餐盒</t>
  </si>
  <si>
    <t>二配蘑菇湯凍</t>
  </si>
  <si>
    <t>二配蒸海鮮醬(料)</t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</si>
  <si>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</si>
  <si>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濃厚豚骨拉麵</t>
  </si>
  <si>
    <t>二配炒綠咖哩腿肉片</t>
  </si>
  <si>
    <t>蔥蔥玉子拌麵</t>
  </si>
  <si>
    <t>煮無敵家日式肉燥</t>
  </si>
  <si>
    <t>煮無敵家拌麵醬</t>
  </si>
  <si>
    <t>明太子雞叉燒拌麵</t>
  </si>
  <si>
    <t>切-原淬醃漬嫩雞胸CL</t>
  </si>
  <si>
    <t>確認備料量是否正確，調整出料率</t>
  </si>
  <si>
    <t>不拆包加熱，調整用量</t>
  </si>
  <si>
    <t>二配大飯糰韓式蒜烤豬五花</t>
  </si>
  <si>
    <t>醬油叉燒拉麵</t>
  </si>
  <si>
    <t>和風牛肉咖哩炸飯糰</t>
  </si>
  <si>
    <t>二配失控起司薯餅焗飯</t>
  </si>
  <si>
    <t>柚子雞白湯拉麵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</si>
  <si>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</si>
  <si>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</si>
  <si>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</si>
  <si>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</si>
  <si>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</si>
  <si>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</si>
  <si>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煮意麵肉燥</t>
  </si>
  <si>
    <t>川燙五花肉片</t>
  </si>
  <si>
    <t>柚香雞白湯凍</t>
  </si>
  <si>
    <t>切蒸前腿肉</t>
  </si>
  <si>
    <t>回饋研發，後續開發列入考量</t>
  </si>
  <si>
    <t>擠醬機設定確認</t>
  </si>
  <si>
    <t>生產前及生產中確認設定及實際出料狀況</t>
  </si>
  <si>
    <t>製成率浮動</t>
  </si>
  <si>
    <t>連動調理連續確認製程及備料狀況。</t>
  </si>
  <si>
    <t>回饋研發，後續開發列入考量，設定放料量範圍。</t>
  </si>
  <si>
    <t>原物料的大小差異</t>
  </si>
  <si>
    <t>二配鼎泰豐-麻婆豆腐燴汁(113年)</t>
  </si>
  <si>
    <t>蒜炒紅K高麗菜(111年)</t>
  </si>
  <si>
    <t>菜梗、葉差異，影響人員放料手感</t>
  </si>
  <si>
    <t>增加線上抽秤頻率，維持人員放料手感</t>
  </si>
  <si>
    <t>賣相設定要鋪滿，肉片狀態影響鋪滿效果</t>
  </si>
  <si>
    <t>調整分切方式，穩定分切長度減少小碎肉的報廢。回饋研發設定放料重量範圍。</t>
  </si>
  <si>
    <t>冰杓放料，半成品內容物固液影響放料</t>
  </si>
  <si>
    <t>確認輔助工具型號，使用前先攪拌均勻。生產前及生產中確認設定及實際出料狀況</t>
  </si>
  <si>
    <t>研發設定不拆包加熱製程，協調生產調整用量</t>
  </si>
  <si>
    <t>回饋研發，後續開發列入考量。後續進行菌數測試。</t>
  </si>
  <si>
    <t>製成率浮動，產出較多，協調生產課調整用量</t>
  </si>
  <si>
    <t>高麗菜梗、葉差異，影響人員放料手感</t>
  </si>
  <si>
    <t>原物料大小片差異</t>
  </si>
  <si>
    <t>回饋研發，後續開發列入考量，設定放料重量範圍。</t>
  </si>
  <si>
    <t>農產品原物料的大小差異</t>
  </si>
  <si>
    <t>W2</t>
    <phoneticPr fontId="11" type="noConversion"/>
  </si>
  <si>
    <t>大口起司熔岩白醬炸魚飯糰</t>
  </si>
  <si>
    <t>愛恨椒芝麵</t>
  </si>
  <si>
    <t>－</t>
    <phoneticPr fontId="11" type="noConversion"/>
  </si>
  <si>
    <t>▲</t>
    <phoneticPr fontId="11" type="noConversion"/>
  </si>
  <si>
    <t>▼</t>
    <phoneticPr fontId="11" type="noConversion"/>
  </si>
  <si>
    <t>對比上週差異小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</si>
  <si>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</si>
  <si>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</si>
  <si>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</si>
  <si>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</si>
  <si>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</si>
  <si>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細卷商品為機台自動生產，主要差異在訂單量。</t>
    <phoneticPr fontId="11" type="noConversion"/>
  </si>
  <si>
    <t>更換組別生產，人員熟悉度不足</t>
    <phoneticPr fontId="11" type="noConversion"/>
  </si>
  <si>
    <t>炸飯糰與烤飯糰商品，皆不須組裝，直接入機台包裝，主要差異在訂單量。</t>
    <phoneticPr fontId="11" type="noConversion"/>
  </si>
  <si>
    <t>換線生產，使用人數較多，產能及人時生產性較上週低</t>
    <phoneticPr fontId="11" type="noConversion"/>
  </si>
  <si>
    <t>優質池上飯</t>
    <phoneticPr fontId="11" type="noConversion"/>
  </si>
  <si>
    <t>為八爪機、十爪機生產，主要差異在人員順手度。</t>
    <phoneticPr fontId="11" type="noConversion"/>
  </si>
  <si>
    <t>多穀紫米飯</t>
    <phoneticPr fontId="11" type="noConversion"/>
  </si>
  <si>
    <t>鐵板滑蛋炸豬排丼</t>
    <phoneticPr fontId="11" type="noConversion"/>
  </si>
  <si>
    <t>二配香拌海鮮醬肉絲蛋炒飯</t>
    <phoneticPr fontId="11" type="noConversion"/>
  </si>
  <si>
    <r>
      <t>二配川味麻婆燒豆腐</t>
    </r>
    <r>
      <rPr>
        <sz val="10"/>
        <rFont val="細明體"/>
        <family val="3"/>
        <charset val="136"/>
      </rPr>
      <t>燴</t>
    </r>
    <r>
      <rPr>
        <sz val="10"/>
        <rFont val="Meiryo UI"/>
        <family val="2"/>
      </rPr>
      <t>飯</t>
    </r>
    <phoneticPr fontId="11" type="noConversion"/>
  </si>
  <si>
    <t>二配起司控培根白醬焗烤飯</t>
    <phoneticPr fontId="11" type="noConversion"/>
  </si>
  <si>
    <t>蒜蒜燒豚飯</t>
    <phoneticPr fontId="11" type="noConversion"/>
  </si>
  <si>
    <t>▼</t>
    <phoneticPr fontId="11" type="noConversion"/>
  </si>
  <si>
    <t>對比上周差異小</t>
    <phoneticPr fontId="11" type="noConversion"/>
  </si>
  <si>
    <t>二配粗飽系雞排炒飯</t>
    <phoneticPr fontId="11" type="noConversion"/>
  </si>
  <si>
    <t>二配西班牙風味海鮮燉飯</t>
    <phoneticPr fontId="11" type="noConversion"/>
  </si>
  <si>
    <t>二配黃金雞排蘑菇白醬歐姆蛋飯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</si>
  <si>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</si>
  <si>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</si>
  <si>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</si>
  <si>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</si>
  <si>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</si>
  <si>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經典滷肉飯</t>
    <phoneticPr fontId="11" type="noConversion"/>
  </si>
  <si>
    <t>▲</t>
    <phoneticPr fontId="11" type="noConversion"/>
  </si>
  <si>
    <t>香腸腿排雙拼便當</t>
    <phoneticPr fontId="11" type="noConversion"/>
  </si>
  <si>
    <t>對比上週差異小</t>
    <phoneticPr fontId="11" type="noConversion"/>
  </si>
  <si>
    <t>照燒豬排纖食餐盒</t>
    <phoneticPr fontId="11" type="noConversion"/>
  </si>
  <si>
    <t>新招牌腿排便當</t>
    <phoneticPr fontId="11" type="noConversion"/>
  </si>
  <si>
    <r>
      <t>香</t>
    </r>
    <r>
      <rPr>
        <sz val="10"/>
        <rFont val="細明體"/>
        <family val="3"/>
        <charset val="136"/>
      </rPr>
      <t>烤</t>
    </r>
    <r>
      <rPr>
        <sz val="10"/>
        <rFont val="Meiryo UI"/>
        <family val="2"/>
      </rPr>
      <t>藍尾鱈魚五行餐盒</t>
    </r>
    <phoneticPr fontId="11" type="noConversion"/>
  </si>
  <si>
    <t>訂單量下降</t>
    <phoneticPr fontId="11" type="noConversion"/>
  </si>
  <si>
    <t>蔬活腿排補力餐盒</t>
    <phoneticPr fontId="11" type="noConversion"/>
  </si>
  <si>
    <t>健身G肉餐盒</t>
    <phoneticPr fontId="11" type="noConversion"/>
  </si>
  <si>
    <t>烤蛋白餐盒</t>
    <phoneticPr fontId="11" type="noConversion"/>
  </si>
  <si>
    <r>
      <t>嘉義劉里長</t>
    </r>
    <r>
      <rPr>
        <sz val="10"/>
        <rFont val="細明體"/>
        <family val="3"/>
        <charset val="136"/>
      </rPr>
      <t>雞</t>
    </r>
    <r>
      <rPr>
        <sz val="10"/>
        <rFont val="Meiryo UI"/>
        <family val="2"/>
      </rPr>
      <t>肉飯</t>
    </r>
    <phoneticPr fontId="11" type="noConversion"/>
  </si>
  <si>
    <t>對比上週，產能及人時生產性提升</t>
    <phoneticPr fontId="11" type="noConversion"/>
  </si>
  <si>
    <t>嫩烤香料雞胸排蔬滿盒</t>
    <phoneticPr fontId="11" type="noConversion"/>
  </si>
  <si>
    <t>對比上週，產能及人時生產性提升</t>
    <phoneticPr fontId="11" type="noConversion"/>
  </si>
  <si>
    <t>後面幾名為L型封膜商品，人時產力較低。</t>
    <phoneticPr fontId="11" type="noConversion"/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</si>
  <si>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11" type="noConversion"/>
  </si>
  <si>
    <t>大滿足麻醬涼麵</t>
    <phoneticPr fontId="11" type="noConversion"/>
  </si>
  <si>
    <t>八爪機作業，產能平均，差異在訂單量。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</si>
  <si>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</si>
  <si>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</si>
  <si>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</si>
  <si>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</si>
  <si>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</si>
  <si>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</si>
  <si>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</si>
  <si>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</si>
  <si>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</si>
  <si>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</si>
  <si>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</si>
  <si>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</si>
  <si>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</si>
  <si>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二配蒸燻腸片</t>
  </si>
  <si>
    <t>二配川燙切片青江菜</t>
  </si>
  <si>
    <t>二配奶香起司醬</t>
  </si>
  <si>
    <t>製程不穩</t>
    <phoneticPr fontId="11" type="noConversion"/>
  </si>
  <si>
    <t>二配雞肉飯飯糰</t>
  </si>
  <si>
    <t>二配蒸-全熟雞肉絲CL(升)</t>
  </si>
  <si>
    <t>確認備料量是否正確，調整出料率</t>
    <phoneticPr fontId="11" type="noConversion"/>
  </si>
  <si>
    <t>二配辛口咖哩豬肉(114年)</t>
  </si>
  <si>
    <t>增加放料抽秤頻率</t>
    <phoneticPr fontId="11" type="noConversion"/>
  </si>
  <si>
    <t>煮愛恨椒麻湯凍</t>
  </si>
  <si>
    <t>112年拌鮪魚沙拉</t>
  </si>
  <si>
    <t>二配川燙青花菜</t>
  </si>
  <si>
    <t>113年炒沙茶豬肉片</t>
  </si>
  <si>
    <t>肉片大小差異</t>
    <phoneticPr fontId="11" type="noConversion"/>
  </si>
  <si>
    <t>不拆包加熱製程</t>
    <phoneticPr fontId="11" type="noConversion"/>
  </si>
  <si>
    <t>賣相需鋪滿</t>
    <phoneticPr fontId="11" type="noConversion"/>
  </si>
  <si>
    <t>賣相需鋪滿</t>
  </si>
  <si>
    <t>其他原因</t>
    <phoneticPr fontId="11" type="noConversion"/>
  </si>
  <si>
    <t>需求量少，單價高</t>
    <phoneticPr fontId="11" type="noConversion"/>
  </si>
  <si>
    <t>超用率</t>
    <phoneticPr fontId="8"/>
  </si>
  <si>
    <t>二配炒解凍11N培根片</t>
  </si>
  <si>
    <t>二配川燙辣椒圓片</t>
  </si>
  <si>
    <t>煮無敵家豚骨湯凍</t>
  </si>
  <si>
    <t>煮愛恨芝麻醬</t>
  </si>
  <si>
    <t>蒸-醬香雞肉絲CL(全)</t>
  </si>
  <si>
    <t>原物料大小、厚薄差異</t>
    <phoneticPr fontId="11" type="noConversion"/>
  </si>
  <si>
    <t>不拆包加熱，調整用量</t>
    <phoneticPr fontId="11" type="noConversion"/>
  </si>
  <si>
    <t>二配北海道秋鮭親子飯糰</t>
  </si>
  <si>
    <t>二配解凍-醬油漬鮭魚卵</t>
  </si>
  <si>
    <t>單價高</t>
    <phoneticPr fontId="11" type="noConversion"/>
  </si>
  <si>
    <t>賣相設定需鋪滿，肉片含油多寡筋膜位置會影響肉片大小</t>
  </si>
  <si>
    <t>冰杓放料，冰杓滿度差異</t>
  </si>
  <si>
    <t>冰杓放料，冰杓滿度差異</t>
    <phoneticPr fontId="11" type="noConversion"/>
  </si>
  <si>
    <t>雞肉飯醬汁(113年)</t>
  </si>
  <si>
    <t>二配歐姆蛋(111年版)</t>
  </si>
  <si>
    <t>二配油亮後腿肉絲</t>
  </si>
  <si>
    <t>二配西班牙烤雞腿丁</t>
  </si>
  <si>
    <t>1209-1215</t>
    <phoneticPr fontId="11" type="noConversion"/>
  </si>
  <si>
    <t>腿肉丁大小塊差異</t>
    <phoneticPr fontId="11" type="noConversion"/>
  </si>
  <si>
    <t>二配112年拌鹽烤豬肉片</t>
  </si>
  <si>
    <t>半成品內容物固液影響放料手感</t>
    <phoneticPr fontId="11" type="noConversion"/>
  </si>
  <si>
    <t>生產前及生產中確認設定及實際出料狀況</t>
    <phoneticPr fontId="11" type="noConversion"/>
  </si>
  <si>
    <t>二配鹽蔥燒肉飯糰</t>
  </si>
  <si>
    <t>愛恨椒芝麵</t>
    <phoneticPr fontId="11" type="noConversion"/>
  </si>
  <si>
    <t>大口起司熔岩白醬炸魚飯糰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</si>
</sst>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8" fillId="0" borderId="0"/>
    <xf numFmtId="9" fontId="98" fillId="0" borderId="0" applyFont="0" applyFill="0" applyBorder="0" applyAlignment="0" applyProtection="0"/>
    <xf numFmtId="0" fontId="99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7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196" fontId="100" fillId="0" borderId="0"/>
    <xf numFmtId="0" fontId="7" fillId="0" borderId="0"/>
    <xf numFmtId="0" fontId="98" fillId="0" borderId="0">
      <alignment vertical="center"/>
    </xf>
    <xf numFmtId="0" fontId="101" fillId="0" borderId="0"/>
    <xf numFmtId="42" fontId="99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>
      <alignment vertical="top"/>
    </xf>
    <xf numFmtId="0" fontId="7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4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" fillId="0" borderId="0">
      <alignment vertical="center"/>
    </xf>
    <xf numFmtId="0" fontId="98" fillId="0" borderId="0"/>
    <xf numFmtId="0" fontId="98" fillId="0" borderId="0"/>
    <xf numFmtId="0" fontId="104" fillId="0" borderId="0"/>
    <xf numFmtId="0" fontId="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/>
    <xf numFmtId="0" fontId="98" fillId="0" borderId="0"/>
    <xf numFmtId="0" fontId="1" fillId="0" borderId="0">
      <alignment vertical="center"/>
    </xf>
    <xf numFmtId="0" fontId="10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01" fillId="0" borderId="0" applyFont="0" applyFill="0" applyBorder="0" applyAlignment="0" applyProtection="0">
      <alignment vertical="center"/>
    </xf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44" fontId="104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</cellStyleXfs>
  <cellXfs count="897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6" borderId="22" xfId="15" applyFont="1" applyFill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194" fontId="94" fillId="8" borderId="22" xfId="15" applyNumberFormat="1" applyFont="1" applyFill="1" applyBorder="1" applyAlignment="1">
      <alignment horizontal="center" vertical="center"/>
    </xf>
    <xf numFmtId="189" fontId="94" fillId="0" borderId="22" xfId="15" applyNumberFormat="1" applyFont="1" applyBorder="1" applyAlignment="1">
      <alignment horizontal="center" vertical="center"/>
    </xf>
    <xf numFmtId="194" fontId="94" fillId="8" borderId="22" xfId="18" applyNumberFormat="1" applyFont="1" applyFill="1" applyBorder="1" applyAlignment="1">
      <alignment horizontal="center" vertical="center"/>
    </xf>
    <xf numFmtId="189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4" fontId="94" fillId="8" borderId="22" xfId="3" applyNumberFormat="1" applyFont="1" applyFill="1" applyBorder="1" applyAlignment="1">
      <alignment horizontal="center" vertical="center"/>
    </xf>
    <xf numFmtId="195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3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4" fillId="8" borderId="22" xfId="4" applyNumberFormat="1" applyFont="1" applyFill="1" applyBorder="1" applyAlignment="1">
      <alignment horizontal="center" vertical="center"/>
    </xf>
    <xf numFmtId="194" fontId="94" fillId="8" borderId="22" xfId="6" applyNumberFormat="1" applyFont="1" applyFill="1" applyBorder="1" applyAlignment="1">
      <alignment horizontal="center" vertical="center"/>
    </xf>
    <xf numFmtId="195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90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4" fillId="8" borderId="22" xfId="20" applyNumberFormat="1" applyFont="1" applyFill="1" applyBorder="1" applyAlignment="1">
      <alignment horizontal="center" vertical="center"/>
    </xf>
    <xf numFmtId="194" fontId="94" fillId="0" borderId="30" xfId="15" applyNumberFormat="1" applyFont="1" applyBorder="1" applyAlignment="1">
      <alignment vertical="center"/>
    </xf>
    <xf numFmtId="194" fontId="35" fillId="0" borderId="30" xfId="15" applyNumberFormat="1" applyFont="1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4" fontId="94" fillId="8" borderId="54" xfId="15" applyNumberFormat="1" applyFont="1" applyFill="1" applyBorder="1" applyAlignment="1">
      <alignment horizontal="center" vertical="center"/>
    </xf>
    <xf numFmtId="194" fontId="94" fillId="8" borderId="54" xfId="18" applyNumberFormat="1" applyFont="1" applyFill="1" applyBorder="1" applyAlignment="1">
      <alignment horizontal="center" vertical="center"/>
    </xf>
    <xf numFmtId="189" fontId="94" fillId="0" borderId="54" xfId="3" applyNumberFormat="1" applyFont="1" applyBorder="1" applyAlignment="1">
      <alignment horizontal="center" vertical="center"/>
    </xf>
    <xf numFmtId="10" fontId="94" fillId="0" borderId="54" xfId="3" applyNumberFormat="1" applyFont="1" applyBorder="1" applyAlignment="1">
      <alignment horizontal="center" vertical="center"/>
    </xf>
    <xf numFmtId="194" fontId="94" fillId="8" borderId="54" xfId="3" applyNumberFormat="1" applyFont="1" applyFill="1" applyBorder="1" applyAlignment="1">
      <alignment horizontal="center" vertical="center"/>
    </xf>
    <xf numFmtId="195" fontId="94" fillId="8" borderId="54" xfId="15" applyNumberFormat="1" applyFont="1" applyFill="1" applyBorder="1" applyAlignment="1">
      <alignment horizontal="center" vertical="center"/>
    </xf>
    <xf numFmtId="10" fontId="94" fillId="0" borderId="54" xfId="15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189" fontId="94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194" fontId="94" fillId="8" borderId="30" xfId="4" applyNumberFormat="1" applyFont="1" applyFill="1" applyBorder="1" applyAlignment="1">
      <alignment horizontal="center" vertical="center"/>
    </xf>
    <xf numFmtId="189" fontId="94" fillId="0" borderId="30" xfId="4" applyNumberFormat="1" applyFont="1" applyBorder="1" applyAlignment="1">
      <alignment horizontal="center" vertical="center"/>
    </xf>
    <xf numFmtId="194" fontId="94" fillId="8" borderId="30" xfId="6" applyNumberFormat="1" applyFont="1" applyFill="1" applyBorder="1" applyAlignment="1">
      <alignment horizontal="center" vertical="center"/>
    </xf>
    <xf numFmtId="189" fontId="94" fillId="0" borderId="30" xfId="3" applyNumberFormat="1" applyFont="1" applyBorder="1" applyAlignment="1">
      <alignment horizontal="center" vertical="center"/>
    </xf>
    <xf numFmtId="10" fontId="94" fillId="0" borderId="30" xfId="3" applyNumberFormat="1" applyFont="1" applyBorder="1" applyAlignment="1">
      <alignment horizontal="center" vertical="center"/>
    </xf>
    <xf numFmtId="194" fontId="94" fillId="8" borderId="30" xfId="3" applyNumberFormat="1" applyFont="1" applyFill="1" applyBorder="1" applyAlignment="1">
      <alignment horizontal="center" vertical="center"/>
    </xf>
    <xf numFmtId="195" fontId="94" fillId="8" borderId="30" xfId="4" applyNumberFormat="1" applyFont="1" applyFill="1" applyBorder="1" applyAlignment="1">
      <alignment horizontal="center" vertical="center"/>
    </xf>
    <xf numFmtId="10" fontId="94" fillId="0" borderId="30" xfId="4" applyNumberFormat="1" applyFont="1" applyBorder="1" applyAlignment="1">
      <alignment horizontal="center" vertical="center"/>
    </xf>
    <xf numFmtId="194" fontId="94" fillId="8" borderId="54" xfId="4" applyNumberFormat="1" applyFont="1" applyFill="1" applyBorder="1" applyAlignment="1">
      <alignment horizontal="center" vertical="center"/>
    </xf>
    <xf numFmtId="189" fontId="94" fillId="0" borderId="54" xfId="4" applyNumberFormat="1" applyFont="1" applyBorder="1" applyAlignment="1">
      <alignment horizontal="center" vertical="center"/>
    </xf>
    <xf numFmtId="194" fontId="94" fillId="8" borderId="54" xfId="6" applyNumberFormat="1" applyFont="1" applyFill="1" applyBorder="1" applyAlignment="1">
      <alignment horizontal="center" vertical="center"/>
    </xf>
    <xf numFmtId="195" fontId="94" fillId="8" borderId="54" xfId="4" applyNumberFormat="1" applyFont="1" applyFill="1" applyBorder="1" applyAlignment="1">
      <alignment horizontal="center" vertical="center"/>
    </xf>
    <xf numFmtId="10" fontId="94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7" xfId="0" applyBorder="1" applyAlignment="1"/>
    <xf numFmtId="0" fontId="0" fillId="0" borderId="28" xfId="0" applyBorder="1" applyAlignment="1"/>
    <xf numFmtId="0" fontId="0" fillId="0" borderId="25" xfId="0" applyBorder="1" applyAlignment="1"/>
    <xf numFmtId="0" fontId="31" fillId="0" borderId="27" xfId="0" applyFont="1" applyBorder="1" applyAlignment="1"/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0" borderId="22" xfId="0" applyNumberFormat="1" applyFont="1" applyFill="1" applyBorder="1" applyAlignment="1">
      <alignment horizontal="center" vertical="center"/>
    </xf>
    <xf numFmtId="0" fontId="72" fillId="0" borderId="22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84" fillId="0" borderId="27" xfId="0" applyFont="1" applyBorder="1" applyAlignment="1">
      <alignment horizontal="left" vertical="center" shrinkToFit="1"/>
    </xf>
    <xf numFmtId="0" fontId="84" fillId="0" borderId="25" xfId="0" applyFont="1" applyBorder="1" applyAlignment="1">
      <alignment horizontal="left" vertical="center" shrinkToFit="1"/>
    </xf>
    <xf numFmtId="0" fontId="84" fillId="0" borderId="27" xfId="0" applyFont="1" applyBorder="1" applyAlignment="1">
      <alignment horizontal="center" vertical="center" shrinkToFit="1"/>
    </xf>
    <xf numFmtId="0" fontId="84" fillId="0" borderId="25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84" fillId="0" borderId="31" xfId="0" applyFont="1" applyBorder="1" applyAlignment="1">
      <alignment horizontal="center" vertical="center" shrinkToFit="1"/>
    </xf>
    <xf numFmtId="0" fontId="84" fillId="0" borderId="32" xfId="0" applyFont="1" applyBorder="1" applyAlignment="1">
      <alignment horizontal="center" vertical="center" shrinkToFit="1"/>
    </xf>
    <xf numFmtId="0" fontId="84" fillId="0" borderId="35" xfId="0" applyFont="1" applyBorder="1" applyAlignment="1">
      <alignment horizontal="center" vertical="center" shrinkToFit="1"/>
    </xf>
    <xf numFmtId="0" fontId="84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52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shrinkToFit="1"/>
    </xf>
    <xf numFmtId="0" fontId="52" fillId="0" borderId="32" xfId="0" applyFont="1" applyBorder="1" applyAlignment="1">
      <alignment horizontal="center" shrinkToFit="1"/>
    </xf>
    <xf numFmtId="0" fontId="52" fillId="0" borderId="35" xfId="0" applyFont="1" applyBorder="1" applyAlignment="1">
      <alignment horizontal="center" shrinkToFit="1"/>
    </xf>
    <xf numFmtId="0" fontId="52" fillId="0" borderId="36" xfId="0" applyFont="1" applyBorder="1" applyAlignment="1">
      <alignment horizont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52" fillId="0" borderId="27" xfId="0" applyFont="1" applyBorder="1" applyAlignment="1">
      <alignment shrinkToFit="1"/>
    </xf>
    <xf numFmtId="0" fontId="55" fillId="0" borderId="25" xfId="0" applyFont="1" applyBorder="1" applyAlignment="1">
      <alignment shrinkToFit="1"/>
    </xf>
    <xf numFmtId="0" fontId="52" fillId="0" borderId="31" xfId="0" applyFont="1" applyBorder="1" applyAlignment="1">
      <alignment horizontal="center" wrapText="1" shrinkToFit="1"/>
    </xf>
    <xf numFmtId="0" fontId="52" fillId="0" borderId="32" xfId="0" applyFont="1" applyBorder="1" applyAlignment="1">
      <alignment horizontal="center" wrapText="1" shrinkToFit="1"/>
    </xf>
    <xf numFmtId="0" fontId="52" fillId="0" borderId="33" xfId="0" applyFont="1" applyBorder="1" applyAlignment="1">
      <alignment horizontal="center" wrapText="1" shrinkToFit="1"/>
    </xf>
    <xf numFmtId="0" fontId="52" fillId="0" borderId="34" xfId="0" applyFont="1" applyBorder="1" applyAlignment="1">
      <alignment horizontal="center" wrapText="1" shrinkToFit="1"/>
    </xf>
    <xf numFmtId="0" fontId="52" fillId="0" borderId="35" xfId="0" applyFont="1" applyBorder="1" applyAlignment="1">
      <alignment horizontal="center" wrapText="1" shrinkToFit="1"/>
    </xf>
    <xf numFmtId="0" fontId="52" fillId="0" borderId="36" xfId="0" applyFont="1" applyBorder="1" applyAlignment="1">
      <alignment horizontal="center" wrapText="1" shrinkToFit="1"/>
    </xf>
    <xf numFmtId="0" fontId="20" fillId="0" borderId="22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52" fillId="0" borderId="31" xfId="0" applyFont="1" applyBorder="1" applyAlignment="1">
      <alignment horizontal="center" vertical="center"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20" fillId="0" borderId="27" xfId="0" applyFont="1" applyBorder="1" applyAlignment="1">
      <alignment shrinkToFit="1"/>
    </xf>
    <xf numFmtId="0" fontId="20" fillId="0" borderId="31" xfId="0" applyFont="1" applyBorder="1" applyAlignment="1">
      <alignment horizontal="center" vertical="center" wrapText="1" shrinkToFit="1"/>
    </xf>
    <xf numFmtId="0" fontId="20" fillId="0" borderId="32" xfId="0" applyFont="1" applyBorder="1" applyAlignment="1">
      <alignment horizontal="center" vertical="center" wrapText="1" shrinkToFit="1"/>
    </xf>
    <xf numFmtId="0" fontId="20" fillId="0" borderId="33" xfId="0" applyFont="1" applyBorder="1" applyAlignment="1">
      <alignment horizontal="center" vertical="center" wrapText="1" shrinkToFit="1"/>
    </xf>
    <xf numFmtId="0" fontId="20" fillId="0" borderId="34" xfId="0" applyFont="1" applyBorder="1" applyAlignment="1">
      <alignment horizontal="center" vertical="center" wrapText="1" shrinkToFit="1"/>
    </xf>
    <xf numFmtId="0" fontId="20" fillId="0" borderId="35" xfId="0" applyFont="1" applyBorder="1" applyAlignment="1">
      <alignment horizontal="center" vertical="center" wrapText="1" shrinkToFit="1"/>
    </xf>
    <xf numFmtId="0" fontId="20" fillId="0" borderId="36" xfId="0" applyFont="1" applyBorder="1" applyAlignment="1">
      <alignment horizontal="center" vertical="center" wrapText="1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0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left" vertical="top" wrapText="1" shrinkToFit="1"/>
    </xf>
    <xf numFmtId="0" fontId="20" fillId="0" borderId="32" xfId="0" applyFont="1" applyBorder="1" applyAlignment="1">
      <alignment horizontal="left" vertical="top" wrapText="1" shrinkToFit="1"/>
    </xf>
    <xf numFmtId="0" fontId="20" fillId="0" borderId="33" xfId="0" applyFont="1" applyBorder="1" applyAlignment="1">
      <alignment horizontal="left" vertical="top" wrapText="1" shrinkToFit="1"/>
    </xf>
    <xf numFmtId="0" fontId="20" fillId="0" borderId="34" xfId="0" applyFont="1" applyBorder="1" applyAlignment="1">
      <alignment horizontal="left" vertical="top" wrapText="1" shrinkToFit="1"/>
    </xf>
    <xf numFmtId="0" fontId="20" fillId="0" borderId="35" xfId="0" applyFont="1" applyBorder="1" applyAlignment="1">
      <alignment horizontal="left" vertical="top" wrapText="1" shrinkToFit="1"/>
    </xf>
    <xf numFmtId="0" fontId="20" fillId="0" borderId="36" xfId="0" applyFont="1" applyBorder="1" applyAlignment="1">
      <alignment horizontal="left" vertical="top" wrapText="1" shrinkToFit="1"/>
    </xf>
    <xf numFmtId="0" fontId="1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20" fillId="0" borderId="31" xfId="0" applyFont="1" applyBorder="1" applyAlignment="1">
      <alignment horizontal="center" shrinkToFit="1"/>
    </xf>
    <xf numFmtId="0" fontId="20" fillId="0" borderId="32" xfId="0" applyFont="1" applyBorder="1" applyAlignment="1">
      <alignment horizontal="center" shrinkToFit="1"/>
    </xf>
    <xf numFmtId="0" fontId="20" fillId="0" borderId="35" xfId="0" applyFont="1" applyBorder="1" applyAlignment="1">
      <alignment horizontal="center" shrinkToFit="1"/>
    </xf>
    <xf numFmtId="0" fontId="20" fillId="0" borderId="36" xfId="0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2" xfId="15" applyFont="1" applyFill="1" applyBorder="1" applyAlignment="1">
      <alignment horizontal="center" vertical="center"/>
    </xf>
    <xf numFmtId="194" fontId="94" fillId="0" borderId="29" xfId="15" applyNumberFormat="1" applyFont="1" applyBorder="1" applyAlignment="1">
      <alignment horizontal="center" vertical="center"/>
    </xf>
    <xf numFmtId="194" fontId="35" fillId="0" borderId="29" xfId="15" applyNumberFormat="1" applyFont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  <xf numFmtId="185" fontId="27" fillId="0" borderId="0" xfId="577" applyNumberFormat="1" applyFont="1" applyAlignment="1">
      <alignment horizontal="center" vertical="center"/>
    </xf>
    <xf numFmtId="3" fontId="24" fillId="0" borderId="0" xfId="11" applyNumberFormat="1" applyFont="1" applyBorder="1" applyAlignment="1">
      <alignment shrinkToFit="1"/>
    </xf>
    <xf numFmtId="189" fontId="24" fillId="0" borderId="0" xfId="11" applyNumberFormat="1" applyFont="1" applyBorder="1" applyAlignment="1">
      <alignment shrinkToFit="1"/>
    </xf>
  </cellXfs>
  <cellStyles count="578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" xfId="577" builtinId="5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202-1208(&#23436;&#2510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 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/>
      <sheetData sheetId="1"/>
      <sheetData sheetId="2"/>
      <sheetData sheetId="3"/>
      <sheetData sheetId="4"/>
      <sheetData sheetId="5"/>
      <sheetData sheetId="6">
        <row r="107">
          <cell r="AE107">
            <v>13</v>
          </cell>
          <cell r="AF107">
            <v>1565.1428571428592</v>
          </cell>
          <cell r="AG107">
            <v>120.39560439560455</v>
          </cell>
        </row>
      </sheetData>
      <sheetData sheetId="7">
        <row r="208">
          <cell r="P208" t="str">
            <v/>
          </cell>
          <cell r="Q208" t="str">
            <v/>
          </cell>
          <cell r="R208" t="str">
            <v/>
          </cell>
          <cell r="U208" t="str">
            <v/>
          </cell>
          <cell r="V208" t="str">
            <v/>
          </cell>
          <cell r="W208" t="str">
            <v/>
          </cell>
          <cell r="Z208" t="str">
            <v/>
          </cell>
          <cell r="AA208" t="str">
            <v/>
          </cell>
          <cell r="AB208" t="str">
            <v/>
          </cell>
          <cell r="AE208" t="str">
            <v/>
          </cell>
          <cell r="AF208" t="str">
            <v/>
          </cell>
          <cell r="AG208" t="str">
            <v/>
          </cell>
          <cell r="AJ208" t="str">
            <v/>
          </cell>
          <cell r="AK208" t="str">
            <v/>
          </cell>
          <cell r="AL208" t="str">
            <v/>
          </cell>
          <cell r="AO208" t="str">
            <v/>
          </cell>
          <cell r="AP208" t="str">
            <v/>
          </cell>
          <cell r="AQ208" t="str">
            <v/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70" t="s">
        <v>12</v>
      </c>
      <c r="D21" s="553"/>
      <c r="E21" s="546"/>
      <c r="F21" s="50" t="s">
        <v>46</v>
      </c>
      <c r="G21" s="50" t="s">
        <v>48</v>
      </c>
      <c r="H21" s="50" t="s">
        <v>49</v>
      </c>
      <c r="I21" s="8" t="s">
        <v>13</v>
      </c>
      <c r="J21" s="562" t="s">
        <v>51</v>
      </c>
      <c r="K21" s="546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45" t="s">
        <v>14</v>
      </c>
      <c r="D22" s="553"/>
      <c r="E22" s="546"/>
      <c r="F22" s="4">
        <v>3</v>
      </c>
      <c r="G22" s="4">
        <v>3000</v>
      </c>
      <c r="H22" s="4">
        <v>1000</v>
      </c>
      <c r="I22" s="4">
        <v>10</v>
      </c>
      <c r="J22" s="552" t="s">
        <v>76</v>
      </c>
      <c r="K22" s="546"/>
      <c r="M22" s="53" t="s">
        <v>26</v>
      </c>
      <c r="N22" s="58" t="s">
        <v>47</v>
      </c>
      <c r="O22" s="558" t="s">
        <v>12</v>
      </c>
      <c r="P22" s="553"/>
      <c r="Q22" s="546"/>
      <c r="R22" s="564" t="s">
        <v>53</v>
      </c>
      <c r="S22" s="553"/>
      <c r="T22" s="546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62" t="s">
        <v>51</v>
      </c>
      <c r="AA22" s="546"/>
    </row>
    <row r="23" spans="1:27" ht="15.75" customHeight="1">
      <c r="A23" s="23"/>
      <c r="B23" s="6">
        <v>2</v>
      </c>
      <c r="C23" s="567"/>
      <c r="D23" s="553"/>
      <c r="E23" s="546"/>
      <c r="F23" s="4"/>
      <c r="G23" s="4"/>
      <c r="H23" s="4"/>
      <c r="I23" s="4"/>
      <c r="J23" s="567"/>
      <c r="K23" s="546"/>
      <c r="M23" s="57" t="s">
        <v>42</v>
      </c>
      <c r="N23" s="24">
        <v>1</v>
      </c>
      <c r="O23" s="552" t="s">
        <v>82</v>
      </c>
      <c r="P23" s="553"/>
      <c r="Q23" s="546"/>
      <c r="R23" s="552" t="s">
        <v>85</v>
      </c>
      <c r="S23" s="553"/>
      <c r="T23" s="54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52" t="s">
        <v>86</v>
      </c>
      <c r="AA23" s="546"/>
    </row>
    <row r="24" spans="1:27" ht="15.75" customHeight="1">
      <c r="A24" s="23"/>
      <c r="B24" s="6">
        <v>3</v>
      </c>
      <c r="C24" s="567"/>
      <c r="D24" s="553"/>
      <c r="E24" s="546"/>
      <c r="F24" s="4"/>
      <c r="G24" s="4"/>
      <c r="H24" s="4"/>
      <c r="I24" s="4"/>
      <c r="J24" s="567"/>
      <c r="K24" s="546"/>
      <c r="M24" s="25"/>
      <c r="N24" s="24">
        <v>2</v>
      </c>
      <c r="O24" s="545"/>
      <c r="P24" s="553"/>
      <c r="Q24" s="546"/>
      <c r="R24" s="545"/>
      <c r="S24" s="553"/>
      <c r="T24" s="546"/>
      <c r="U24" s="4"/>
      <c r="V24" s="14"/>
      <c r="W24" s="4"/>
      <c r="X24" s="16">
        <f>W24*U24</f>
        <v>0</v>
      </c>
      <c r="Y24" s="4"/>
      <c r="Z24" s="545"/>
      <c r="AA24" s="546"/>
    </row>
    <row r="25" spans="1:27" ht="15.75" customHeight="1">
      <c r="A25" s="23"/>
      <c r="B25" s="6">
        <v>4</v>
      </c>
      <c r="C25" s="567"/>
      <c r="D25" s="553"/>
      <c r="E25" s="546"/>
      <c r="F25" s="4"/>
      <c r="G25" s="4"/>
      <c r="H25" s="4"/>
      <c r="I25" s="4"/>
      <c r="J25" s="567"/>
      <c r="K25" s="546"/>
      <c r="M25" s="25"/>
      <c r="N25" s="24">
        <v>3</v>
      </c>
      <c r="O25" s="545"/>
      <c r="P25" s="553"/>
      <c r="Q25" s="546"/>
      <c r="R25" s="545"/>
      <c r="S25" s="553"/>
      <c r="T25" s="546"/>
      <c r="U25" s="4"/>
      <c r="V25" s="14"/>
      <c r="W25" s="4"/>
      <c r="X25" s="16">
        <f>W25*U25</f>
        <v>0</v>
      </c>
      <c r="Y25" s="4"/>
      <c r="Z25" s="545"/>
      <c r="AA25" s="546"/>
    </row>
    <row r="26" spans="1:27" ht="15.75" customHeight="1">
      <c r="A26" s="23"/>
      <c r="B26" s="26">
        <v>5</v>
      </c>
      <c r="C26" s="571"/>
      <c r="D26" s="554"/>
      <c r="E26" s="548"/>
      <c r="F26" s="27"/>
      <c r="G26" s="27"/>
      <c r="H26" s="27"/>
      <c r="I26" s="27"/>
      <c r="J26" s="571"/>
      <c r="K26" s="548"/>
      <c r="M26" s="25"/>
      <c r="N26" s="24">
        <v>4</v>
      </c>
      <c r="O26" s="545"/>
      <c r="P26" s="553"/>
      <c r="Q26" s="546"/>
      <c r="R26" s="545"/>
      <c r="S26" s="553"/>
      <c r="T26" s="546"/>
      <c r="U26" s="4"/>
      <c r="V26" s="14"/>
      <c r="W26" s="4"/>
      <c r="X26" s="16">
        <f>W26*U26</f>
        <v>0</v>
      </c>
      <c r="Y26" s="4"/>
      <c r="Z26" s="545"/>
      <c r="AA26" s="546"/>
    </row>
    <row r="27" spans="1:27" ht="15.75" customHeight="1">
      <c r="A27" s="23"/>
      <c r="B27" s="70" t="s">
        <v>101</v>
      </c>
      <c r="C27" s="555" t="s">
        <v>75</v>
      </c>
      <c r="D27" s="556"/>
      <c r="E27" s="557"/>
      <c r="F27" s="28">
        <v>4</v>
      </c>
      <c r="G27" s="28">
        <v>2800</v>
      </c>
      <c r="H27" s="28">
        <v>700</v>
      </c>
      <c r="I27" s="28" t="s">
        <v>15</v>
      </c>
      <c r="J27" s="555" t="s">
        <v>77</v>
      </c>
      <c r="K27" s="557"/>
      <c r="M27" s="25"/>
      <c r="N27" s="29">
        <v>5</v>
      </c>
      <c r="O27" s="547"/>
      <c r="P27" s="554"/>
      <c r="Q27" s="548"/>
      <c r="R27" s="547"/>
      <c r="S27" s="554"/>
      <c r="T27" s="548"/>
      <c r="U27" s="27"/>
      <c r="V27" s="30"/>
      <c r="W27" s="27"/>
      <c r="X27" s="31">
        <f>W27*U27</f>
        <v>0</v>
      </c>
      <c r="Y27" s="4"/>
      <c r="Z27" s="547"/>
      <c r="AA27" s="548"/>
    </row>
    <row r="28" spans="1:27" ht="15.75" customHeight="1">
      <c r="A28" s="23"/>
      <c r="B28" s="71" t="s">
        <v>102</v>
      </c>
      <c r="C28" s="567"/>
      <c r="D28" s="553"/>
      <c r="E28" s="546"/>
      <c r="F28" s="4"/>
      <c r="G28" s="4"/>
      <c r="H28" s="4"/>
      <c r="I28" s="4"/>
      <c r="J28" s="567"/>
      <c r="K28" s="546"/>
      <c r="M28" s="32"/>
      <c r="N28" s="56"/>
      <c r="O28" s="549"/>
      <c r="P28" s="553"/>
      <c r="Q28" s="553"/>
      <c r="R28" s="549"/>
      <c r="S28" s="553"/>
      <c r="T28" s="553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49"/>
      <c r="AA28" s="546"/>
    </row>
    <row r="29" spans="1:27" ht="15.75" customHeight="1">
      <c r="A29" s="23"/>
      <c r="B29" s="71" t="s">
        <v>100</v>
      </c>
      <c r="C29" s="567"/>
      <c r="D29" s="553"/>
      <c r="E29" s="546"/>
      <c r="F29" s="4"/>
      <c r="G29" s="4"/>
      <c r="H29" s="4"/>
      <c r="I29" s="4"/>
      <c r="J29" s="567"/>
      <c r="K29" s="546"/>
      <c r="M29" s="57" t="s">
        <v>43</v>
      </c>
      <c r="N29" s="24">
        <v>1</v>
      </c>
      <c r="O29" s="568" t="s">
        <v>16</v>
      </c>
      <c r="P29" s="569"/>
      <c r="Q29" s="551"/>
      <c r="R29" s="550" t="s">
        <v>87</v>
      </c>
      <c r="S29" s="569"/>
      <c r="T29" s="55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50" t="s">
        <v>88</v>
      </c>
      <c r="AA29" s="551"/>
    </row>
    <row r="30" spans="1:27" ht="15.75" customHeight="1">
      <c r="A30" s="23"/>
      <c r="B30" s="71" t="s">
        <v>99</v>
      </c>
      <c r="C30" s="567"/>
      <c r="D30" s="553"/>
      <c r="E30" s="546"/>
      <c r="F30" s="4"/>
      <c r="G30" s="4"/>
      <c r="H30" s="4"/>
      <c r="I30" s="4"/>
      <c r="J30" s="567"/>
      <c r="K30" s="546"/>
      <c r="M30" s="25"/>
      <c r="N30" s="24">
        <v>2</v>
      </c>
      <c r="O30" s="545"/>
      <c r="P30" s="553"/>
      <c r="Q30" s="546"/>
      <c r="R30" s="545"/>
      <c r="S30" s="553"/>
      <c r="T30" s="546"/>
      <c r="U30" s="4"/>
      <c r="V30" s="14"/>
      <c r="W30" s="4"/>
      <c r="X30" s="16">
        <f>W30*U30</f>
        <v>0</v>
      </c>
      <c r="Y30" s="4"/>
      <c r="Z30" s="545"/>
      <c r="AA30" s="546"/>
    </row>
    <row r="31" spans="1:27" ht="15.75" customHeight="1">
      <c r="A31" s="20"/>
      <c r="B31" s="71" t="s">
        <v>103</v>
      </c>
      <c r="C31" s="567"/>
      <c r="D31" s="553"/>
      <c r="E31" s="546"/>
      <c r="F31" s="4"/>
      <c r="G31" s="4"/>
      <c r="H31" s="4"/>
      <c r="I31" s="4"/>
      <c r="J31" s="567"/>
      <c r="K31" s="546"/>
      <c r="M31" s="25"/>
      <c r="N31" s="24">
        <v>3</v>
      </c>
      <c r="O31" s="545"/>
      <c r="P31" s="553"/>
      <c r="Q31" s="546"/>
      <c r="R31" s="545"/>
      <c r="S31" s="553"/>
      <c r="T31" s="546"/>
      <c r="U31" s="4"/>
      <c r="V31" s="14"/>
      <c r="W31" s="4"/>
      <c r="X31" s="16">
        <f>W31*U31</f>
        <v>0</v>
      </c>
      <c r="Y31" s="4"/>
      <c r="Z31" s="545"/>
      <c r="AA31" s="546"/>
    </row>
    <row r="32" spans="1:27" ht="15.75" customHeight="1">
      <c r="A32" s="68"/>
      <c r="M32" s="25"/>
      <c r="N32" s="24">
        <v>4</v>
      </c>
      <c r="O32" s="545"/>
      <c r="P32" s="553"/>
      <c r="Q32" s="546"/>
      <c r="R32" s="545"/>
      <c r="S32" s="553"/>
      <c r="T32" s="546"/>
      <c r="U32" s="4"/>
      <c r="V32" s="14"/>
      <c r="W32" s="4"/>
      <c r="X32" s="16">
        <f>W32*U32</f>
        <v>0</v>
      </c>
      <c r="Y32" s="4"/>
      <c r="Z32" s="545"/>
      <c r="AA32" s="546"/>
    </row>
    <row r="33" spans="1:27" ht="15.75" customHeight="1">
      <c r="A33" s="18"/>
      <c r="B33" s="50" t="s">
        <v>47</v>
      </c>
      <c r="C33" s="570" t="s">
        <v>12</v>
      </c>
      <c r="D33" s="553"/>
      <c r="E33" s="546"/>
      <c r="F33" s="50" t="s">
        <v>46</v>
      </c>
      <c r="G33" s="50" t="s">
        <v>48</v>
      </c>
      <c r="H33" s="50" t="s">
        <v>49</v>
      </c>
      <c r="I33" s="8" t="s">
        <v>13</v>
      </c>
      <c r="J33" s="562" t="s">
        <v>51</v>
      </c>
      <c r="K33" s="546"/>
      <c r="M33" s="25"/>
      <c r="N33" s="29">
        <v>5</v>
      </c>
      <c r="O33" s="545"/>
      <c r="P33" s="553"/>
      <c r="Q33" s="546"/>
      <c r="R33" s="545"/>
      <c r="S33" s="553"/>
      <c r="T33" s="546"/>
      <c r="U33" s="27"/>
      <c r="V33" s="30"/>
      <c r="W33" s="27"/>
      <c r="X33" s="31">
        <f>W33*U33</f>
        <v>0</v>
      </c>
      <c r="Y33" s="4"/>
      <c r="Z33" s="545"/>
      <c r="AA33" s="546"/>
    </row>
    <row r="34" spans="1:27" ht="15.75" customHeight="1">
      <c r="A34" s="53" t="s">
        <v>35</v>
      </c>
      <c r="B34" s="6">
        <v>1</v>
      </c>
      <c r="C34" s="552" t="s">
        <v>79</v>
      </c>
      <c r="D34" s="553"/>
      <c r="E34" s="546"/>
      <c r="F34" s="4">
        <v>3</v>
      </c>
      <c r="G34" s="4">
        <v>2500</v>
      </c>
      <c r="H34" s="4">
        <v>833.33</v>
      </c>
      <c r="I34" s="4">
        <v>20</v>
      </c>
      <c r="J34" s="552" t="s">
        <v>78</v>
      </c>
      <c r="K34" s="546"/>
      <c r="M34" s="69"/>
      <c r="N34" s="45"/>
      <c r="O34" s="549"/>
      <c r="P34" s="553"/>
      <c r="Q34" s="553"/>
      <c r="R34" s="549"/>
      <c r="S34" s="553"/>
      <c r="T34" s="553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49"/>
      <c r="AA34" s="546"/>
    </row>
    <row r="35" spans="1:27" ht="15.75" customHeight="1">
      <c r="A35" s="23"/>
      <c r="B35" s="6">
        <v>2</v>
      </c>
      <c r="C35" s="545"/>
      <c r="D35" s="553"/>
      <c r="E35" s="546"/>
      <c r="F35" s="4"/>
      <c r="G35" s="4"/>
      <c r="H35" s="4"/>
      <c r="I35" s="4"/>
      <c r="J35" s="545"/>
      <c r="K35" s="546"/>
      <c r="M35" s="1"/>
      <c r="N35" s="1"/>
      <c r="O35" s="560"/>
      <c r="P35" s="561"/>
      <c r="Q35" s="561"/>
      <c r="R35" s="560"/>
      <c r="S35" s="561"/>
      <c r="T35" s="561"/>
      <c r="U35" s="1"/>
      <c r="V35" s="38"/>
      <c r="W35" s="1"/>
      <c r="X35" s="1"/>
      <c r="Y35" s="560"/>
      <c r="Z35" s="561"/>
      <c r="AA35" s="561"/>
    </row>
    <row r="36" spans="1:27" ht="15.75" customHeight="1">
      <c r="A36" s="23"/>
      <c r="B36" s="6">
        <v>3</v>
      </c>
      <c r="C36" s="545"/>
      <c r="D36" s="553"/>
      <c r="E36" s="546"/>
      <c r="F36" s="4"/>
      <c r="G36" s="4"/>
      <c r="H36" s="4"/>
      <c r="I36" s="4"/>
      <c r="J36" s="545"/>
      <c r="K36" s="546"/>
      <c r="M36" s="53" t="s">
        <v>27</v>
      </c>
      <c r="N36" s="58" t="s">
        <v>47</v>
      </c>
      <c r="O36" s="558" t="s">
        <v>12</v>
      </c>
      <c r="P36" s="549"/>
      <c r="Q36" s="559"/>
      <c r="R36" s="564" t="s">
        <v>53</v>
      </c>
      <c r="S36" s="565"/>
      <c r="T36" s="566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62" t="s">
        <v>51</v>
      </c>
      <c r="AA36" s="563"/>
    </row>
    <row r="37" spans="1:27" ht="15.75" customHeight="1">
      <c r="A37" s="23"/>
      <c r="B37" s="6">
        <v>4</v>
      </c>
      <c r="C37" s="545"/>
      <c r="D37" s="553"/>
      <c r="E37" s="546"/>
      <c r="F37" s="4"/>
      <c r="G37" s="4"/>
      <c r="H37" s="4"/>
      <c r="I37" s="4"/>
      <c r="J37" s="545"/>
      <c r="K37" s="546"/>
      <c r="M37" s="57" t="s">
        <v>42</v>
      </c>
      <c r="N37" s="24">
        <v>1</v>
      </c>
      <c r="O37" s="552" t="s">
        <v>89</v>
      </c>
      <c r="P37" s="553"/>
      <c r="Q37" s="546"/>
      <c r="R37" s="552" t="s">
        <v>90</v>
      </c>
      <c r="S37" s="553"/>
      <c r="T37" s="54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52" t="s">
        <v>91</v>
      </c>
      <c r="AA37" s="546"/>
    </row>
    <row r="38" spans="1:27" ht="15.75" customHeight="1">
      <c r="A38" s="23"/>
      <c r="B38" s="26">
        <v>5</v>
      </c>
      <c r="C38" s="547"/>
      <c r="D38" s="554"/>
      <c r="E38" s="548"/>
      <c r="F38" s="27"/>
      <c r="G38" s="27"/>
      <c r="H38" s="27"/>
      <c r="I38" s="27"/>
      <c r="J38" s="547"/>
      <c r="K38" s="548"/>
      <c r="M38" s="25"/>
      <c r="N38" s="24">
        <v>2</v>
      </c>
      <c r="O38" s="545"/>
      <c r="P38" s="553"/>
      <c r="Q38" s="546"/>
      <c r="R38" s="545"/>
      <c r="S38" s="553"/>
      <c r="T38" s="546"/>
      <c r="U38" s="4"/>
      <c r="V38" s="14"/>
      <c r="W38" s="4"/>
      <c r="X38" s="16">
        <f>W38*U38</f>
        <v>0</v>
      </c>
      <c r="Y38" s="4"/>
      <c r="Z38" s="545"/>
      <c r="AA38" s="546"/>
    </row>
    <row r="39" spans="1:27" ht="14">
      <c r="A39" s="23"/>
      <c r="B39" s="70" t="s">
        <v>101</v>
      </c>
      <c r="C39" s="555" t="s">
        <v>80</v>
      </c>
      <c r="D39" s="556"/>
      <c r="E39" s="557"/>
      <c r="F39" s="28">
        <v>7</v>
      </c>
      <c r="G39" s="28">
        <v>2200</v>
      </c>
      <c r="H39" s="28">
        <v>314.29000000000002</v>
      </c>
      <c r="I39" s="28">
        <v>-15</v>
      </c>
      <c r="J39" s="555" t="s">
        <v>81</v>
      </c>
      <c r="K39" s="557"/>
      <c r="M39" s="25"/>
      <c r="N39" s="24">
        <v>3</v>
      </c>
      <c r="O39" s="545"/>
      <c r="P39" s="553"/>
      <c r="Q39" s="546"/>
      <c r="R39" s="545"/>
      <c r="S39" s="553"/>
      <c r="T39" s="546"/>
      <c r="U39" s="4"/>
      <c r="V39" s="14"/>
      <c r="W39" s="4"/>
      <c r="X39" s="16">
        <f>W39*U39</f>
        <v>0</v>
      </c>
      <c r="Y39" s="4"/>
      <c r="Z39" s="545"/>
      <c r="AA39" s="546"/>
    </row>
    <row r="40" spans="1:27" ht="14">
      <c r="A40" s="23"/>
      <c r="B40" s="71" t="s">
        <v>102</v>
      </c>
      <c r="C40" s="545"/>
      <c r="D40" s="553"/>
      <c r="E40" s="546"/>
      <c r="F40" s="4"/>
      <c r="G40" s="4"/>
      <c r="H40" s="4"/>
      <c r="I40" s="4"/>
      <c r="J40" s="545"/>
      <c r="K40" s="546"/>
      <c r="M40" s="25"/>
      <c r="N40" s="24">
        <v>4</v>
      </c>
      <c r="O40" s="545"/>
      <c r="P40" s="553"/>
      <c r="Q40" s="546"/>
      <c r="R40" s="545"/>
      <c r="S40" s="553"/>
      <c r="T40" s="546"/>
      <c r="U40" s="4"/>
      <c r="V40" s="14"/>
      <c r="W40" s="4"/>
      <c r="X40" s="16">
        <f>W40*U40</f>
        <v>0</v>
      </c>
      <c r="Y40" s="4"/>
      <c r="Z40" s="545"/>
      <c r="AA40" s="546"/>
    </row>
    <row r="41" spans="1:27" ht="14">
      <c r="A41" s="23"/>
      <c r="B41" s="71" t="s">
        <v>100</v>
      </c>
      <c r="C41" s="545"/>
      <c r="D41" s="553"/>
      <c r="E41" s="546"/>
      <c r="F41" s="4"/>
      <c r="G41" s="4"/>
      <c r="H41" s="4"/>
      <c r="I41" s="4"/>
      <c r="J41" s="545"/>
      <c r="K41" s="546"/>
      <c r="M41" s="25"/>
      <c r="N41" s="29">
        <v>5</v>
      </c>
      <c r="O41" s="547"/>
      <c r="P41" s="554"/>
      <c r="Q41" s="548"/>
      <c r="R41" s="547"/>
      <c r="S41" s="554"/>
      <c r="T41" s="548"/>
      <c r="U41" s="27"/>
      <c r="V41" s="30"/>
      <c r="W41" s="27"/>
      <c r="X41" s="31">
        <f>W41*U41</f>
        <v>0</v>
      </c>
      <c r="Y41" s="4"/>
      <c r="Z41" s="545"/>
      <c r="AA41" s="546"/>
    </row>
    <row r="42" spans="1:27" ht="14">
      <c r="A42" s="23"/>
      <c r="B42" s="71" t="s">
        <v>99</v>
      </c>
      <c r="C42" s="545"/>
      <c r="D42" s="553"/>
      <c r="E42" s="546"/>
      <c r="F42" s="4"/>
      <c r="G42" s="4"/>
      <c r="H42" s="4"/>
      <c r="I42" s="4"/>
      <c r="J42" s="545"/>
      <c r="K42" s="546"/>
      <c r="M42" s="32"/>
      <c r="N42" s="55"/>
      <c r="O42" s="549"/>
      <c r="P42" s="553"/>
      <c r="Q42" s="553"/>
      <c r="R42" s="549"/>
      <c r="S42" s="553"/>
      <c r="T42" s="553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49"/>
      <c r="AA42" s="546"/>
    </row>
    <row r="43" spans="1:27" ht="14">
      <c r="A43" s="20"/>
      <c r="B43" s="71" t="s">
        <v>103</v>
      </c>
      <c r="C43" s="545"/>
      <c r="D43" s="553"/>
      <c r="E43" s="546"/>
      <c r="F43" s="4"/>
      <c r="G43" s="4"/>
      <c r="H43" s="4"/>
      <c r="I43" s="4"/>
      <c r="J43" s="545"/>
      <c r="K43" s="546"/>
      <c r="M43" s="57" t="s">
        <v>43</v>
      </c>
      <c r="N43" s="24">
        <v>1</v>
      </c>
      <c r="O43" s="552" t="s">
        <v>89</v>
      </c>
      <c r="P43" s="553"/>
      <c r="Q43" s="546"/>
      <c r="R43" s="550" t="s">
        <v>93</v>
      </c>
      <c r="S43" s="569"/>
      <c r="T43" s="55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52" t="s">
        <v>92</v>
      </c>
      <c r="AA43" s="546"/>
    </row>
    <row r="44" spans="1:27" ht="14">
      <c r="A44" s="68"/>
      <c r="M44" s="25"/>
      <c r="N44" s="24">
        <v>2</v>
      </c>
      <c r="O44" s="545"/>
      <c r="P44" s="553"/>
      <c r="Q44" s="546"/>
      <c r="R44" s="545"/>
      <c r="S44" s="553"/>
      <c r="T44" s="546"/>
      <c r="U44" s="4"/>
      <c r="V44" s="14"/>
      <c r="W44" s="4"/>
      <c r="X44" s="37">
        <f>W44*U44</f>
        <v>0</v>
      </c>
      <c r="Y44" s="4"/>
      <c r="Z44" s="545"/>
      <c r="AA44" s="546"/>
    </row>
    <row r="45" spans="1:27" ht="14">
      <c r="A45" s="18"/>
      <c r="B45" s="50" t="s">
        <v>47</v>
      </c>
      <c r="C45" s="570" t="s">
        <v>12</v>
      </c>
      <c r="D45" s="553"/>
      <c r="E45" s="546"/>
      <c r="F45" s="50" t="s">
        <v>46</v>
      </c>
      <c r="G45" s="50" t="s">
        <v>48</v>
      </c>
      <c r="H45" s="50" t="s">
        <v>49</v>
      </c>
      <c r="I45" s="8" t="s">
        <v>13</v>
      </c>
      <c r="J45" s="562" t="s">
        <v>51</v>
      </c>
      <c r="K45" s="546"/>
      <c r="M45" s="25"/>
      <c r="N45" s="24">
        <v>3</v>
      </c>
      <c r="O45" s="545"/>
      <c r="P45" s="553"/>
      <c r="Q45" s="546"/>
      <c r="R45" s="545"/>
      <c r="S45" s="553"/>
      <c r="T45" s="546"/>
      <c r="U45" s="4"/>
      <c r="V45" s="14"/>
      <c r="W45" s="4"/>
      <c r="X45" s="37">
        <f>W45*U45</f>
        <v>0</v>
      </c>
      <c r="Y45" s="4"/>
      <c r="Z45" s="545"/>
      <c r="AA45" s="546"/>
    </row>
    <row r="46" spans="1:27" ht="14">
      <c r="A46" s="53" t="s">
        <v>36</v>
      </c>
      <c r="B46" s="6">
        <v>1</v>
      </c>
      <c r="C46" s="552" t="s">
        <v>82</v>
      </c>
      <c r="D46" s="553"/>
      <c r="E46" s="546"/>
      <c r="F46" s="4">
        <v>15</v>
      </c>
      <c r="G46" s="4">
        <v>1200</v>
      </c>
      <c r="H46" s="4">
        <v>80</v>
      </c>
      <c r="I46" s="4">
        <v>5</v>
      </c>
      <c r="J46" s="552" t="s">
        <v>83</v>
      </c>
      <c r="K46" s="546"/>
      <c r="M46" s="25"/>
      <c r="N46" s="24">
        <v>4</v>
      </c>
      <c r="O46" s="545"/>
      <c r="P46" s="553"/>
      <c r="Q46" s="546"/>
      <c r="R46" s="545"/>
      <c r="S46" s="553"/>
      <c r="T46" s="546"/>
      <c r="U46" s="4"/>
      <c r="V46" s="14"/>
      <c r="W46" s="4"/>
      <c r="X46" s="37">
        <f>W46*U46</f>
        <v>0</v>
      </c>
      <c r="Y46" s="4"/>
      <c r="Z46" s="545"/>
      <c r="AA46" s="546"/>
    </row>
    <row r="47" spans="1:27" ht="14">
      <c r="A47" s="23"/>
      <c r="B47" s="6">
        <v>2</v>
      </c>
      <c r="C47" s="545"/>
      <c r="D47" s="553"/>
      <c r="E47" s="546"/>
      <c r="F47" s="4"/>
      <c r="G47" s="4"/>
      <c r="H47" s="4"/>
      <c r="I47" s="4"/>
      <c r="J47" s="545"/>
      <c r="K47" s="546"/>
      <c r="M47" s="25"/>
      <c r="N47" s="29">
        <v>5</v>
      </c>
      <c r="O47" s="545"/>
      <c r="P47" s="553"/>
      <c r="Q47" s="546"/>
      <c r="R47" s="545"/>
      <c r="S47" s="553"/>
      <c r="T47" s="546"/>
      <c r="U47" s="27"/>
      <c r="V47" s="30"/>
      <c r="W47" s="27"/>
      <c r="X47" s="40">
        <f>W47*U47</f>
        <v>0</v>
      </c>
      <c r="Y47" s="4"/>
      <c r="Z47" s="545"/>
      <c r="AA47" s="546"/>
    </row>
    <row r="48" spans="1:27" ht="14">
      <c r="A48" s="23"/>
      <c r="B48" s="6">
        <v>3</v>
      </c>
      <c r="C48" s="545"/>
      <c r="D48" s="553"/>
      <c r="E48" s="546"/>
      <c r="F48" s="4"/>
      <c r="G48" s="4"/>
      <c r="H48" s="4"/>
      <c r="I48" s="4"/>
      <c r="J48" s="545"/>
      <c r="K48" s="546"/>
      <c r="M48" s="69"/>
      <c r="N48" s="45"/>
      <c r="O48" s="549"/>
      <c r="P48" s="553"/>
      <c r="Q48" s="553"/>
      <c r="R48" s="549"/>
      <c r="S48" s="553"/>
      <c r="T48" s="553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49"/>
      <c r="AA48" s="546"/>
    </row>
    <row r="49" spans="1:27" ht="14">
      <c r="A49" s="23"/>
      <c r="B49" s="6">
        <v>4</v>
      </c>
      <c r="C49" s="545"/>
      <c r="D49" s="553"/>
      <c r="E49" s="546"/>
      <c r="F49" s="4"/>
      <c r="G49" s="4"/>
      <c r="H49" s="4"/>
      <c r="I49" s="4"/>
      <c r="J49" s="545"/>
      <c r="K49" s="54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47"/>
      <c r="D50" s="554"/>
      <c r="E50" s="548"/>
      <c r="F50" s="27"/>
      <c r="G50" s="27"/>
      <c r="H50" s="27"/>
      <c r="I50" s="27"/>
      <c r="J50" s="547"/>
      <c r="K50" s="548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">
      <c r="A51" s="23"/>
      <c r="B51" s="70" t="s">
        <v>101</v>
      </c>
      <c r="C51" s="555" t="s">
        <v>89</v>
      </c>
      <c r="D51" s="556"/>
      <c r="E51" s="557"/>
      <c r="F51" s="28">
        <v>18</v>
      </c>
      <c r="G51" s="28">
        <v>800</v>
      </c>
      <c r="H51" s="28">
        <v>44.44</v>
      </c>
      <c r="I51" s="28">
        <v>-15</v>
      </c>
      <c r="J51" s="555" t="s">
        <v>84</v>
      </c>
      <c r="K51" s="557"/>
      <c r="M51" s="8"/>
      <c r="N51" s="8" t="s">
        <v>18</v>
      </c>
      <c r="O51" s="558" t="s">
        <v>12</v>
      </c>
      <c r="P51" s="549"/>
      <c r="Q51" s="559"/>
      <c r="R51" s="564" t="s">
        <v>53</v>
      </c>
      <c r="S51" s="565"/>
      <c r="T51" s="566"/>
      <c r="U51" s="58" t="s">
        <v>54</v>
      </c>
      <c r="V51" s="39" t="s">
        <v>19</v>
      </c>
      <c r="W51" s="58" t="s">
        <v>57</v>
      </c>
      <c r="X51" s="8" t="s">
        <v>2</v>
      </c>
      <c r="Y51" s="558" t="s">
        <v>50</v>
      </c>
      <c r="Z51" s="549"/>
      <c r="AA51" s="559"/>
    </row>
    <row r="52" spans="1:27" ht="14">
      <c r="A52" s="23"/>
      <c r="B52" s="71" t="s">
        <v>102</v>
      </c>
      <c r="C52" s="545"/>
      <c r="D52" s="553"/>
      <c r="E52" s="546"/>
      <c r="F52" s="4"/>
      <c r="G52" s="4"/>
      <c r="H52" s="4"/>
      <c r="I52" s="4"/>
      <c r="J52" s="545"/>
      <c r="K52" s="546"/>
      <c r="M52" s="57" t="s">
        <v>42</v>
      </c>
      <c r="N52" s="24">
        <v>1</v>
      </c>
      <c r="O52" s="552" t="s">
        <v>89</v>
      </c>
      <c r="P52" s="553"/>
      <c r="Q52" s="546"/>
      <c r="R52" s="550" t="s">
        <v>93</v>
      </c>
      <c r="S52" s="569"/>
      <c r="T52" s="55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52" t="s">
        <v>97</v>
      </c>
      <c r="Z52" s="553"/>
      <c r="AA52" s="546"/>
    </row>
    <row r="53" spans="1:27" ht="14">
      <c r="A53" s="23"/>
      <c r="B53" s="71" t="s">
        <v>100</v>
      </c>
      <c r="C53" s="545"/>
      <c r="D53" s="553"/>
      <c r="E53" s="546"/>
      <c r="F53" s="4"/>
      <c r="G53" s="4"/>
      <c r="H53" s="4"/>
      <c r="I53" s="4"/>
      <c r="J53" s="545"/>
      <c r="K53" s="546"/>
      <c r="M53" s="25"/>
      <c r="N53" s="29">
        <v>2</v>
      </c>
      <c r="O53" s="547"/>
      <c r="P53" s="554"/>
      <c r="Q53" s="548"/>
      <c r="R53" s="547"/>
      <c r="S53" s="554"/>
      <c r="T53" s="548"/>
      <c r="U53" s="27"/>
      <c r="V53" s="30"/>
      <c r="W53" s="30"/>
      <c r="X53" s="41">
        <f>W53-V53</f>
        <v>0</v>
      </c>
      <c r="Y53" s="547"/>
      <c r="Z53" s="554"/>
      <c r="AA53" s="548"/>
    </row>
    <row r="54" spans="1:27" ht="14">
      <c r="A54" s="23"/>
      <c r="B54" s="71" t="s">
        <v>99</v>
      </c>
      <c r="C54" s="545"/>
      <c r="D54" s="553"/>
      <c r="E54" s="546"/>
      <c r="F54" s="4"/>
      <c r="G54" s="4"/>
      <c r="H54" s="4"/>
      <c r="I54" s="4"/>
      <c r="J54" s="545"/>
      <c r="K54" s="546"/>
      <c r="M54" s="57" t="s">
        <v>43</v>
      </c>
      <c r="N54" s="42">
        <v>1</v>
      </c>
      <c r="O54" s="555" t="s">
        <v>94</v>
      </c>
      <c r="P54" s="556"/>
      <c r="Q54" s="557"/>
      <c r="R54" s="555" t="s">
        <v>95</v>
      </c>
      <c r="S54" s="556"/>
      <c r="T54" s="55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55" t="s">
        <v>96</v>
      </c>
      <c r="Z54" s="556"/>
      <c r="AA54" s="557"/>
    </row>
    <row r="55" spans="1:27" ht="14">
      <c r="A55" s="20"/>
      <c r="B55" s="71" t="s">
        <v>103</v>
      </c>
      <c r="C55" s="545"/>
      <c r="D55" s="553"/>
      <c r="E55" s="546"/>
      <c r="F55" s="4"/>
      <c r="G55" s="4"/>
      <c r="H55" s="4"/>
      <c r="I55" s="4"/>
      <c r="J55" s="545"/>
      <c r="K55" s="546"/>
      <c r="M55" s="22"/>
      <c r="N55" s="24">
        <v>2</v>
      </c>
      <c r="O55" s="545"/>
      <c r="P55" s="553"/>
      <c r="Q55" s="546"/>
      <c r="R55" s="545"/>
      <c r="S55" s="553"/>
      <c r="T55" s="546"/>
      <c r="U55" s="4"/>
      <c r="V55" s="14"/>
      <c r="W55" s="14"/>
      <c r="X55" s="13">
        <f>W55-V55</f>
        <v>0</v>
      </c>
      <c r="Y55" s="545"/>
      <c r="Z55" s="553"/>
      <c r="AA55" s="546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2" ht="15.75" customHeight="1">
      <c r="A1" s="572" t="s">
        <v>412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120"/>
    </row>
    <row r="2" spans="1:12" s="121" customFormat="1" ht="15.75" customHeight="1">
      <c r="A2" s="572"/>
      <c r="B2" s="572"/>
      <c r="C2" s="572"/>
      <c r="D2" s="572"/>
      <c r="E2" s="572"/>
      <c r="F2" s="572"/>
      <c r="G2" s="572"/>
      <c r="H2" s="572"/>
      <c r="I2" s="572"/>
      <c r="J2" s="572"/>
      <c r="K2" s="572"/>
    </row>
    <row r="3" spans="1:12" ht="21.65" customHeight="1">
      <c r="A3" s="140" t="s">
        <v>325</v>
      </c>
      <c r="B3" s="141">
        <v>10</v>
      </c>
      <c r="C3" s="140" t="s">
        <v>20</v>
      </c>
      <c r="D3" s="573" t="s">
        <v>411</v>
      </c>
      <c r="E3" s="573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104587.61199999999</v>
      </c>
      <c r="C6" s="301">
        <v>224463.48699999999</v>
      </c>
      <c r="D6" s="143">
        <f t="shared" ref="D6:D11" si="0">B6-C6</f>
        <v>-119875.875</v>
      </c>
      <c r="E6" s="143">
        <f t="shared" ref="E6:E11" si="1">B6</f>
        <v>104587.61199999999</v>
      </c>
      <c r="F6" s="134"/>
      <c r="G6" s="129" t="s">
        <v>198</v>
      </c>
      <c r="H6" s="304">
        <v>266</v>
      </c>
      <c r="I6" s="145">
        <f>'（２）ＫＰＩ達成進度'!H6</f>
        <v>0</v>
      </c>
      <c r="J6" s="322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3140092</v>
      </c>
      <c r="C7" s="301">
        <v>6964636</v>
      </c>
      <c r="D7" s="143">
        <f t="shared" si="0"/>
        <v>-3824544</v>
      </c>
      <c r="E7" s="143">
        <f t="shared" si="1"/>
        <v>3140092</v>
      </c>
      <c r="F7" s="134"/>
      <c r="G7" s="129" t="s">
        <v>199</v>
      </c>
      <c r="H7" s="259">
        <v>0.8</v>
      </c>
      <c r="I7" s="144">
        <f>'（２）ＫＰＩ達成進度'!K6</f>
        <v>0</v>
      </c>
      <c r="J7" s="302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70493.077000000005</v>
      </c>
      <c r="C8" s="301">
        <v>150244.29199999999</v>
      </c>
      <c r="D8" s="143">
        <f>B8-C8</f>
        <v>-79751.214999999982</v>
      </c>
      <c r="E8" s="143">
        <f t="shared" si="1"/>
        <v>70493.077000000005</v>
      </c>
      <c r="F8" s="134"/>
      <c r="G8" s="129" t="s">
        <v>200</v>
      </c>
      <c r="H8" s="254">
        <v>2.5000000000000001E-3</v>
      </c>
      <c r="I8" s="254">
        <f>'（２）ＫＰＩ達成進度'!N6</f>
        <v>0</v>
      </c>
      <c r="J8" s="323">
        <v>2.4646256819628254E-3</v>
      </c>
      <c r="K8" s="254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0.67400981485264244</v>
      </c>
      <c r="C9" s="302">
        <v>0.66934847180735457</v>
      </c>
      <c r="D9" s="144">
        <f t="shared" si="0"/>
        <v>4.661343045287869E-3</v>
      </c>
      <c r="E9" s="144">
        <f t="shared" si="1"/>
        <v>0.67400981485264244</v>
      </c>
      <c r="F9" s="134"/>
      <c r="G9" s="129" t="s">
        <v>201</v>
      </c>
      <c r="H9" s="254">
        <v>2.5999999999999999E-3</v>
      </c>
      <c r="I9" s="254">
        <f>'（２）ＫＰＩ達成進度'!Q6</f>
        <v>0</v>
      </c>
      <c r="J9" s="323">
        <v>2.3405370745029669E-3</v>
      </c>
      <c r="K9" s="254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14901.495874139795</v>
      </c>
      <c r="C10" s="301">
        <v>32105.786706827967</v>
      </c>
      <c r="D10" s="143">
        <f t="shared" si="0"/>
        <v>-17204.290832688173</v>
      </c>
      <c r="E10" s="143">
        <f t="shared" si="1"/>
        <v>14901.495874139795</v>
      </c>
      <c r="F10" s="134"/>
      <c r="G10" s="129" t="s">
        <v>202</v>
      </c>
      <c r="H10" s="256">
        <v>0.8</v>
      </c>
      <c r="I10" s="256">
        <f>'（２）ＫＰＩ達成進度'!T6</f>
        <v>0</v>
      </c>
      <c r="J10" s="324">
        <v>0.91666666666666707</v>
      </c>
      <c r="K10" s="256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0.14247859368028973</v>
      </c>
      <c r="C11" s="302">
        <v>0.14303344894053066</v>
      </c>
      <c r="D11" s="144">
        <f t="shared" si="0"/>
        <v>-5.548552602409329E-4</v>
      </c>
      <c r="E11" s="144">
        <f t="shared" si="1"/>
        <v>0.14247859368028973</v>
      </c>
      <c r="F11" s="134"/>
      <c r="G11" s="129" t="s">
        <v>203</v>
      </c>
      <c r="H11" s="256">
        <v>1</v>
      </c>
      <c r="I11" s="144">
        <f>'（２）ＫＰＩ達成進度'!W6</f>
        <v>0</v>
      </c>
      <c r="J11" s="302">
        <v>0.84941935483870945</v>
      </c>
      <c r="K11" s="144">
        <f t="shared" si="2"/>
        <v>0</v>
      </c>
      <c r="L11" s="123" t="s">
        <v>62</v>
      </c>
    </row>
    <row r="12" spans="1:12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17722.245189056681</v>
      </c>
      <c r="C15" s="144">
        <f>IFERROR(B15/$B$6,"")</f>
        <v>0.16944879847774594</v>
      </c>
      <c r="D15" s="302">
        <v>0.19061185820038584</v>
      </c>
      <c r="E15" s="144">
        <f>IFERROR(C15-D15,"")</f>
        <v>-2.1163059722639904E-2</v>
      </c>
      <c r="F15" s="134"/>
      <c r="G15" s="129" t="s">
        <v>232</v>
      </c>
      <c r="H15" s="143">
        <f>'（４）訂單數量構成比'!M46</f>
        <v>1015181</v>
      </c>
      <c r="I15" s="144">
        <f t="shared" ref="I15:I23" si="3">IFERROR(H15/$B$7,"")</f>
        <v>0.32329657857158323</v>
      </c>
      <c r="J15" s="302">
        <v>0.33067557299476957</v>
      </c>
      <c r="K15" s="144">
        <f t="shared" ref="K15:K23" si="4">IFERROR(I15-J15,"")</f>
        <v>-7.3789944231863469E-3</v>
      </c>
    </row>
    <row r="16" spans="1:12" s="122" customFormat="1" ht="18" customHeight="1">
      <c r="A16" s="129" t="s">
        <v>222</v>
      </c>
      <c r="B16" s="143">
        <f>'（３）業績構成比'!S46/1000</f>
        <v>3146.4739635184706</v>
      </c>
      <c r="C16" s="144">
        <f t="shared" ref="C16:C23" si="5">IFERROR(B16/$B$6,"")</f>
        <v>3.0084576015737607E-2</v>
      </c>
      <c r="D16" s="302">
        <v>4.2789233591899609E-2</v>
      </c>
      <c r="E16" s="144">
        <f t="shared" ref="E16:E23" si="6">IFERROR(C16-D16,"")</f>
        <v>-1.2704657576162001E-2</v>
      </c>
      <c r="F16" s="134"/>
      <c r="G16" s="129" t="s">
        <v>251</v>
      </c>
      <c r="H16" s="143">
        <f>'（４）訂單數量構成比'!S47</f>
        <v>134020</v>
      </c>
      <c r="I16" s="144">
        <f t="shared" si="3"/>
        <v>4.2680278157455259E-2</v>
      </c>
      <c r="J16" s="302">
        <v>6.1681041191528174E-2</v>
      </c>
      <c r="K16" s="144">
        <f t="shared" si="4"/>
        <v>-1.9000763034072915E-2</v>
      </c>
    </row>
    <row r="17" spans="1:18" s="122" customFormat="1" ht="18" customHeight="1">
      <c r="A17" s="129" t="s">
        <v>218</v>
      </c>
      <c r="B17" s="143">
        <f>'（３）業績構成比'!U46/1000</f>
        <v>10036.263364812519</v>
      </c>
      <c r="C17" s="144">
        <f t="shared" si="5"/>
        <v>9.596034533050167E-2</v>
      </c>
      <c r="D17" s="302">
        <v>8.6938303169141445E-2</v>
      </c>
      <c r="E17" s="144">
        <f t="shared" si="6"/>
        <v>9.0220421613602247E-3</v>
      </c>
      <c r="F17" s="134"/>
      <c r="G17" s="129" t="s">
        <v>233</v>
      </c>
      <c r="H17" s="143">
        <f>'（４）訂單數量構成比'!U46</f>
        <v>310989</v>
      </c>
      <c r="I17" s="144">
        <f t="shared" si="3"/>
        <v>9.9038181046924745E-2</v>
      </c>
      <c r="J17" s="302">
        <v>8.2530228428305513E-2</v>
      </c>
      <c r="K17" s="144">
        <f t="shared" si="4"/>
        <v>1.6507952618619232E-2</v>
      </c>
    </row>
    <row r="18" spans="1:18" s="122" customFormat="1" ht="18" customHeight="1">
      <c r="A18" s="129" t="s">
        <v>220</v>
      </c>
      <c r="B18" s="143">
        <f>'（３）業績構成比'!W46/1000</f>
        <v>258.70291137914762</v>
      </c>
      <c r="C18" s="144">
        <f t="shared" si="5"/>
        <v>2.4735521390348565E-3</v>
      </c>
      <c r="D18" s="302">
        <v>1.4659145993880142E-2</v>
      </c>
      <c r="E18" s="144">
        <f t="shared" si="6"/>
        <v>-1.2185593854845285E-2</v>
      </c>
      <c r="F18" s="134"/>
      <c r="G18" s="129" t="s">
        <v>219</v>
      </c>
      <c r="H18" s="143">
        <f>'（４）訂單數量構成比'!W46</f>
        <v>9911</v>
      </c>
      <c r="I18" s="144">
        <f t="shared" si="3"/>
        <v>3.1562769498473292E-3</v>
      </c>
      <c r="J18" s="302">
        <v>1.6773740939224964E-2</v>
      </c>
      <c r="K18" s="144">
        <f t="shared" si="4"/>
        <v>-1.3617463989377635E-2</v>
      </c>
    </row>
    <row r="19" spans="1:18" s="122" customFormat="1" ht="18" customHeight="1">
      <c r="A19" s="129" t="s">
        <v>224</v>
      </c>
      <c r="B19" s="143">
        <f>'（３）業績構成比'!AC46/1000</f>
        <v>24629.346544752851</v>
      </c>
      <c r="C19" s="144">
        <f t="shared" si="5"/>
        <v>0.23549009365232329</v>
      </c>
      <c r="D19" s="302">
        <v>0.24409177848792188</v>
      </c>
      <c r="E19" s="144">
        <f t="shared" si="6"/>
        <v>-8.6016848355985887E-3</v>
      </c>
      <c r="F19" s="134"/>
      <c r="G19" s="129" t="s">
        <v>223</v>
      </c>
      <c r="H19" s="143">
        <f>'（４）訂單數量構成比'!AC46</f>
        <v>668051</v>
      </c>
      <c r="I19" s="144">
        <f t="shared" si="3"/>
        <v>0.21274886213524954</v>
      </c>
      <c r="J19" s="302">
        <v>0.19673059726308739</v>
      </c>
      <c r="K19" s="144">
        <f t="shared" si="4"/>
        <v>1.6018264872162152E-2</v>
      </c>
    </row>
    <row r="20" spans="1:18" s="122" customFormat="1" ht="18" customHeight="1">
      <c r="A20" s="129" t="s">
        <v>226</v>
      </c>
      <c r="B20" s="143">
        <f>'（３）業績構成比'!AE46/1000</f>
        <v>14241.889939195909</v>
      </c>
      <c r="C20" s="144">
        <f t="shared" si="5"/>
        <v>0.13617186267907055</v>
      </c>
      <c r="D20" s="302">
        <v>0.1397972381723295</v>
      </c>
      <c r="E20" s="144">
        <f t="shared" si="6"/>
        <v>-3.6253754932589477E-3</v>
      </c>
      <c r="F20" s="134"/>
      <c r="G20" s="129" t="s">
        <v>225</v>
      </c>
      <c r="H20" s="143">
        <f>'（４）訂單數量構成比'!AE46</f>
        <v>254247</v>
      </c>
      <c r="I20" s="144">
        <f t="shared" si="3"/>
        <v>8.0968009854488335E-2</v>
      </c>
      <c r="J20" s="302">
        <v>7.9797709456746913E-2</v>
      </c>
      <c r="K20" s="144">
        <f t="shared" si="4"/>
        <v>1.1703003977414222E-3</v>
      </c>
    </row>
    <row r="21" spans="1:18" s="122" customFormat="1" ht="18" customHeight="1">
      <c r="A21" s="129" t="s">
        <v>228</v>
      </c>
      <c r="B21" s="143">
        <f>'（３）業績構成比'!AG46/1000</f>
        <v>17459.371162108349</v>
      </c>
      <c r="C21" s="144">
        <f>IFERROR(B21/$B$6,"")</f>
        <v>0.16693536479356991</v>
      </c>
      <c r="D21" s="302">
        <v>0.13619626613806221</v>
      </c>
      <c r="E21" s="144">
        <f>IFERROR(C21-D21,"")</f>
        <v>3.0739098655507696E-2</v>
      </c>
      <c r="F21" s="134"/>
      <c r="G21" s="129" t="s">
        <v>234</v>
      </c>
      <c r="H21" s="143">
        <f>'（４）訂單數量構成比'!AG46</f>
        <v>326981</v>
      </c>
      <c r="I21" s="144">
        <f>IFERROR(H21/$B$7,"")</f>
        <v>0.10413102546040053</v>
      </c>
      <c r="J21" s="302">
        <v>9.0009011239065476E-2</v>
      </c>
      <c r="K21" s="144">
        <f>IFERROR(I21-J21,"")</f>
        <v>1.412201422133505E-2</v>
      </c>
    </row>
    <row r="22" spans="1:18" s="122" customFormat="1" ht="18" customHeight="1">
      <c r="A22" s="129" t="s">
        <v>229</v>
      </c>
      <c r="B22" s="143">
        <f>'（３）業績構成比'!AI46/1000</f>
        <v>6256.3571978409764</v>
      </c>
      <c r="C22" s="144">
        <f t="shared" si="5"/>
        <v>5.9819294830452549E-2</v>
      </c>
      <c r="D22" s="302">
        <v>6.8175373790099608E-2</v>
      </c>
      <c r="E22" s="144">
        <f t="shared" si="6"/>
        <v>-8.3560789596470592E-3</v>
      </c>
      <c r="F22" s="134"/>
      <c r="G22" s="129" t="s">
        <v>235</v>
      </c>
      <c r="H22" s="143">
        <f>'（４）訂單數量構成比'!AI46</f>
        <v>170644</v>
      </c>
      <c r="I22" s="144">
        <f t="shared" si="3"/>
        <v>5.4343630696170687E-2</v>
      </c>
      <c r="J22" s="302">
        <v>5.972113976954431E-2</v>
      </c>
      <c r="K22" s="144">
        <f t="shared" si="4"/>
        <v>-5.3775090733736222E-3</v>
      </c>
    </row>
    <row r="23" spans="1:18" s="122" customFormat="1" ht="18" customHeight="1">
      <c r="A23" s="129" t="s">
        <v>231</v>
      </c>
      <c r="B23" s="143">
        <f>'（３）業績構成比'!AK46/1000</f>
        <v>7374.4194892155128</v>
      </c>
      <c r="C23" s="144">
        <f t="shared" si="5"/>
        <v>7.0509492933211945E-2</v>
      </c>
      <c r="D23" s="302">
        <v>7.674080245627983E-2</v>
      </c>
      <c r="E23" s="144">
        <f t="shared" si="6"/>
        <v>-6.231309523067885E-3</v>
      </c>
      <c r="F23" s="134"/>
      <c r="G23" s="129" t="s">
        <v>230</v>
      </c>
      <c r="H23" s="143">
        <f>'（４）訂單數量構成比'!AK46</f>
        <v>250068</v>
      </c>
      <c r="I23" s="144">
        <f t="shared" si="3"/>
        <v>7.9637157127880331E-2</v>
      </c>
      <c r="J23" s="302">
        <v>8.2080958717727678E-2</v>
      </c>
      <c r="K23" s="144">
        <f t="shared" si="4"/>
        <v>-2.443801589847347E-3</v>
      </c>
    </row>
    <row r="24" spans="1:18" s="122" customFormat="1" ht="15.75" customHeight="1">
      <c r="A24" s="134"/>
      <c r="B24" s="134"/>
      <c r="C24" s="138">
        <f>SUM(C15:C23)</f>
        <v>0.96689338085164822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530</v>
      </c>
      <c r="N27" s="136" t="s">
        <v>531</v>
      </c>
      <c r="O27" s="136" t="s">
        <v>532</v>
      </c>
      <c r="P27" s="136" t="s">
        <v>533</v>
      </c>
      <c r="Q27" s="136" t="s">
        <v>534</v>
      </c>
      <c r="R27" s="134"/>
    </row>
    <row r="28" spans="1:18" s="122" customFormat="1" ht="18" customHeight="1">
      <c r="A28" s="129" t="s">
        <v>232</v>
      </c>
      <c r="B28" s="303">
        <f>'（５-1）品群別人時生產性（18℃-飯糰）'!$C$1</f>
        <v>771.60417923650721</v>
      </c>
      <c r="C28" s="353">
        <v>756.20246993670457</v>
      </c>
      <c r="D28" s="249">
        <f t="shared" ref="D28:D36" si="7">B28-C28</f>
        <v>15.401709299802633</v>
      </c>
      <c r="E28" s="303">
        <f>R28</f>
        <v>744.56585708223338</v>
      </c>
      <c r="F28" s="134"/>
      <c r="G28" s="148"/>
      <c r="H28" s="148"/>
      <c r="I28" s="148"/>
      <c r="M28" s="303">
        <v>717.52753492795955</v>
      </c>
      <c r="N28" s="303">
        <f>B28</f>
        <v>771.60417923650721</v>
      </c>
      <c r="O28" s="303"/>
      <c r="P28" s="303"/>
      <c r="Q28" s="303"/>
      <c r="R28" s="325">
        <f>AVERAGE(M28:Q28)</f>
        <v>744.56585708223338</v>
      </c>
    </row>
    <row r="29" spans="1:18" s="122" customFormat="1" ht="18" customHeight="1">
      <c r="A29" s="129" t="s">
        <v>221</v>
      </c>
      <c r="B29" s="303">
        <f>'（５-2）品群別人時生產性（18-壽司手卷)'!$C$1</f>
        <v>196.03046979431213</v>
      </c>
      <c r="C29" s="353">
        <v>198.82982221081653</v>
      </c>
      <c r="D29" s="249">
        <f t="shared" si="7"/>
        <v>-2.799352416504405</v>
      </c>
      <c r="E29" s="303">
        <f t="shared" ref="E29:E36" si="8">R29</f>
        <v>196.83159334031012</v>
      </c>
      <c r="F29" s="134"/>
      <c r="G29" s="149"/>
      <c r="H29" s="149"/>
      <c r="I29" s="149"/>
      <c r="M29" s="303">
        <v>197.63271688630809</v>
      </c>
      <c r="N29" s="303">
        <f t="shared" ref="N29:N36" si="9">B29</f>
        <v>196.03046979431213</v>
      </c>
      <c r="O29" s="303"/>
      <c r="P29" s="303"/>
      <c r="Q29" s="303"/>
      <c r="R29" s="325">
        <f t="shared" ref="R29:R36" si="10">AVERAGE(M29:Q29)</f>
        <v>196.83159334031012</v>
      </c>
    </row>
    <row r="30" spans="1:18" s="122" customFormat="1" ht="18" customHeight="1">
      <c r="A30" s="129" t="s">
        <v>233</v>
      </c>
      <c r="B30" s="303">
        <f>'（５-3）品群別人時生產性（4℃-飯糰)'!$C$1</f>
        <v>281.23604037286549</v>
      </c>
      <c r="C30" s="353">
        <v>253.36933201602551</v>
      </c>
      <c r="D30" s="249">
        <f t="shared" si="7"/>
        <v>27.866708356839979</v>
      </c>
      <c r="E30" s="303">
        <f t="shared" si="8"/>
        <v>260.84730587558437</v>
      </c>
      <c r="F30" s="134"/>
      <c r="G30" s="134"/>
      <c r="H30" s="134"/>
      <c r="I30" s="134"/>
      <c r="M30" s="303">
        <v>240.45857137830325</v>
      </c>
      <c r="N30" s="303">
        <f t="shared" si="9"/>
        <v>281.23604037286549</v>
      </c>
      <c r="O30" s="303"/>
      <c r="P30" s="303"/>
      <c r="Q30" s="303"/>
      <c r="R30" s="325">
        <f t="shared" si="10"/>
        <v>260.84730587558437</v>
      </c>
    </row>
    <row r="31" spans="1:18" s="122" customFormat="1" ht="18" customHeight="1">
      <c r="A31" s="129" t="s">
        <v>219</v>
      </c>
      <c r="B31" s="303">
        <f>'（５-4）品群別人時生產性（4℃-壽司手卷)'!$C$1</f>
        <v>114.80225964511676</v>
      </c>
      <c r="C31" s="353">
        <v>112.99131142028241</v>
      </c>
      <c r="D31" s="249">
        <f t="shared" si="7"/>
        <v>1.8109482248343483</v>
      </c>
      <c r="E31" s="303">
        <f t="shared" si="8"/>
        <v>110.83369127662718</v>
      </c>
      <c r="F31" s="134"/>
      <c r="G31" s="134"/>
      <c r="H31" s="134"/>
      <c r="I31" s="134"/>
      <c r="M31" s="303">
        <v>106.86512290813759</v>
      </c>
      <c r="N31" s="303">
        <f t="shared" si="9"/>
        <v>114.80225964511676</v>
      </c>
      <c r="O31" s="303"/>
      <c r="P31" s="303"/>
      <c r="Q31" s="303"/>
      <c r="R31" s="325">
        <f t="shared" si="10"/>
        <v>110.83369127662718</v>
      </c>
    </row>
    <row r="32" spans="1:18" s="122" customFormat="1" ht="18" customHeight="1">
      <c r="A32" s="129" t="s">
        <v>223</v>
      </c>
      <c r="B32" s="303">
        <f>'（５-5）品群別人時生產性(主食) '!$C$1</f>
        <v>87.269122395697039</v>
      </c>
      <c r="C32" s="353">
        <v>85.495684450909806</v>
      </c>
      <c r="D32" s="249">
        <f t="shared" si="7"/>
        <v>1.7734379447872328</v>
      </c>
      <c r="E32" s="303">
        <f t="shared" si="8"/>
        <v>88.289775400215163</v>
      </c>
      <c r="F32" s="134"/>
      <c r="G32" s="134"/>
      <c r="H32" s="134"/>
      <c r="I32" s="134"/>
      <c r="M32" s="303">
        <v>89.310428404733287</v>
      </c>
      <c r="N32" s="303">
        <f t="shared" si="9"/>
        <v>87.269122395697039</v>
      </c>
      <c r="O32" s="303"/>
      <c r="P32" s="303"/>
      <c r="Q32" s="303"/>
      <c r="R32" s="325">
        <f t="shared" si="10"/>
        <v>88.289775400215163</v>
      </c>
    </row>
    <row r="33" spans="1:18" s="122" customFormat="1" ht="18" customHeight="1">
      <c r="A33" s="129" t="s">
        <v>225</v>
      </c>
      <c r="B33" s="303">
        <f>'（５-6）品群別人時生產性(便當)'!$C$1</f>
        <v>70.449700306542624</v>
      </c>
      <c r="C33" s="353">
        <v>66.943613625537381</v>
      </c>
      <c r="D33" s="249">
        <f t="shared" si="7"/>
        <v>3.5060866810052431</v>
      </c>
      <c r="E33" s="303">
        <f t="shared" si="8"/>
        <v>68.061221382911185</v>
      </c>
      <c r="F33" s="134"/>
      <c r="G33" s="134"/>
      <c r="H33" s="134"/>
      <c r="I33" s="134"/>
      <c r="M33" s="303">
        <v>65.67274245927976</v>
      </c>
      <c r="N33" s="303">
        <f t="shared" si="9"/>
        <v>70.449700306542624</v>
      </c>
      <c r="O33" s="303"/>
      <c r="P33" s="303"/>
      <c r="Q33" s="303"/>
      <c r="R33" s="325">
        <f t="shared" si="10"/>
        <v>68.061221382911185</v>
      </c>
    </row>
    <row r="34" spans="1:18" s="122" customFormat="1" ht="18" customHeight="1">
      <c r="A34" s="129" t="s">
        <v>234</v>
      </c>
      <c r="B34" s="303">
        <f>'（５-7）品群別人時生產性(熱食義麵) '!$C$1</f>
        <v>72.069471486581776</v>
      </c>
      <c r="C34" s="353">
        <v>80.555861357885718</v>
      </c>
      <c r="D34" s="249">
        <f t="shared" si="7"/>
        <v>-8.4863898713039418</v>
      </c>
      <c r="E34" s="303">
        <f t="shared" si="8"/>
        <v>73.774020254267271</v>
      </c>
      <c r="F34" s="134"/>
      <c r="G34" s="134"/>
      <c r="H34" s="134"/>
      <c r="I34" s="134"/>
      <c r="M34" s="303">
        <v>75.478569021952779</v>
      </c>
      <c r="N34" s="303">
        <f t="shared" si="9"/>
        <v>72.069471486581776</v>
      </c>
      <c r="O34" s="303"/>
      <c r="P34" s="303"/>
      <c r="Q34" s="303"/>
      <c r="R34" s="325">
        <f t="shared" si="10"/>
        <v>73.774020254267271</v>
      </c>
    </row>
    <row r="35" spans="1:18" s="122" customFormat="1" ht="18" customHeight="1">
      <c r="A35" s="129" t="s">
        <v>235</v>
      </c>
      <c r="B35" s="303">
        <f>'（５-8）品群別人時生產性(季節調理麵) '!$C$1</f>
        <v>119.529831233648</v>
      </c>
      <c r="C35" s="353">
        <v>121.13262609451999</v>
      </c>
      <c r="D35" s="249">
        <f t="shared" si="7"/>
        <v>-1.6027948608719953</v>
      </c>
      <c r="E35" s="303">
        <f t="shared" si="8"/>
        <v>117.01770163012552</v>
      </c>
      <c r="F35" s="134"/>
      <c r="G35" s="134"/>
      <c r="H35" s="134"/>
      <c r="I35" s="134"/>
      <c r="M35" s="303">
        <v>114.50557202660302</v>
      </c>
      <c r="N35" s="303">
        <f t="shared" si="9"/>
        <v>119.529831233648</v>
      </c>
      <c r="O35" s="303"/>
      <c r="P35" s="303"/>
      <c r="Q35" s="303"/>
      <c r="R35" s="325">
        <f t="shared" si="10"/>
        <v>117.01770163012552</v>
      </c>
    </row>
    <row r="36" spans="1:18" s="122" customFormat="1" ht="18" customHeight="1">
      <c r="A36" s="125" t="s">
        <v>230</v>
      </c>
      <c r="B36" s="303">
        <f>'（５-9）品群別人時生產性(微波小吃)'!$C$1</f>
        <v>115.90621259019042</v>
      </c>
      <c r="C36" s="353">
        <v>115.3662253913358</v>
      </c>
      <c r="D36" s="249">
        <f t="shared" si="7"/>
        <v>0.5399871988546181</v>
      </c>
      <c r="E36" s="303">
        <f t="shared" si="8"/>
        <v>107.77727731602808</v>
      </c>
      <c r="F36" s="134"/>
      <c r="G36" s="134"/>
      <c r="H36" s="134"/>
      <c r="I36" s="134"/>
      <c r="M36" s="303">
        <v>99.648342041865732</v>
      </c>
      <c r="N36" s="303">
        <f t="shared" si="9"/>
        <v>115.90621259019042</v>
      </c>
      <c r="O36" s="303"/>
      <c r="P36" s="303"/>
      <c r="Q36" s="303"/>
      <c r="R36" s="325">
        <f t="shared" si="10"/>
        <v>107.77727731602808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opLeftCell="A16" zoomScale="90" zoomScaleNormal="90" zoomScaleSheetLayoutView="100" workbookViewId="0">
      <selection activeCell="E36" sqref="A26:E36"/>
    </sheetView>
  </sheetViews>
  <sheetFormatPr defaultColWidth="12.54296875" defaultRowHeight="15.75" customHeight="1"/>
  <cols>
    <col min="1" max="1" width="27.453125" style="120" bestFit="1" customWidth="1"/>
    <col min="2" max="2" width="12.54296875" style="120" customWidth="1"/>
    <col min="3" max="4" width="12.54296875" style="120"/>
    <col min="5" max="5" width="16.453125" style="120" customWidth="1"/>
    <col min="6" max="6" width="2.453125" style="120" customWidth="1"/>
    <col min="7" max="7" width="24.81640625" style="120" bestFit="1" customWidth="1"/>
    <col min="8" max="10" width="12.54296875" style="120"/>
    <col min="11" max="11" width="16.453125" style="120" customWidth="1"/>
    <col min="12" max="12" width="12.54296875" style="121"/>
    <col min="13" max="16384" width="12.54296875" style="120"/>
  </cols>
  <sheetData>
    <row r="1" spans="1:18" ht="15.75" customHeight="1">
      <c r="A1" s="572" t="s">
        <v>412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120"/>
    </row>
    <row r="2" spans="1:18" s="121" customFormat="1" ht="15.75" customHeight="1">
      <c r="A2" s="572"/>
      <c r="B2" s="572"/>
      <c r="C2" s="572"/>
      <c r="D2" s="572"/>
      <c r="E2" s="572"/>
      <c r="F2" s="572"/>
      <c r="G2" s="572"/>
      <c r="H2" s="572"/>
      <c r="I2" s="572"/>
      <c r="J2" s="572"/>
      <c r="K2" s="572"/>
    </row>
    <row r="3" spans="1:18" ht="21.65" customHeight="1">
      <c r="A3" s="140" t="s">
        <v>325</v>
      </c>
      <c r="B3" s="216">
        <v>12</v>
      </c>
      <c r="C3" s="219" t="s">
        <v>326</v>
      </c>
      <c r="D3" s="216" t="s">
        <v>927</v>
      </c>
      <c r="E3" s="140" t="s">
        <v>20</v>
      </c>
      <c r="F3" s="573" t="s">
        <v>411</v>
      </c>
      <c r="G3" s="573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6">
        <f>'（１）收支狀況'!G13/1000</f>
        <v>49743.811000000002</v>
      </c>
      <c r="C6" s="260">
        <v>49954.974000000002</v>
      </c>
      <c r="D6" s="143">
        <f t="shared" ref="D6:D11" si="0">B6-C6</f>
        <v>-211.16300000000047</v>
      </c>
      <c r="E6" s="238">
        <f>'（１）收支狀況'!H10/1000</f>
        <v>104587.61199999999</v>
      </c>
      <c r="F6" s="134"/>
      <c r="G6" s="129" t="s">
        <v>198</v>
      </c>
      <c r="H6" s="240">
        <v>366</v>
      </c>
      <c r="I6" s="265">
        <f>'（２）ＫＰＩ達成進度'!G13</f>
        <v>331.96675338205824</v>
      </c>
      <c r="J6" s="266">
        <v>325.73575108642109</v>
      </c>
      <c r="K6" s="267">
        <f>'（２）ＫＰＩ達成進度'!H10</f>
        <v>326.79084315957238</v>
      </c>
      <c r="L6" s="123" t="s">
        <v>194</v>
      </c>
    </row>
    <row r="7" spans="1:18" s="122" customFormat="1" ht="18" customHeight="1">
      <c r="A7" s="129" t="s">
        <v>25</v>
      </c>
      <c r="B7" s="226">
        <f>'（１）收支狀況'!J13</f>
        <v>1501730</v>
      </c>
      <c r="C7" s="260">
        <v>1485196</v>
      </c>
      <c r="D7" s="143">
        <f t="shared" si="0"/>
        <v>16534</v>
      </c>
      <c r="E7" s="238">
        <f>'（１）收支狀況'!K10</f>
        <v>3140092</v>
      </c>
      <c r="F7" s="134"/>
      <c r="G7" s="129" t="s">
        <v>199</v>
      </c>
      <c r="H7" s="258">
        <v>0.8</v>
      </c>
      <c r="I7" s="256">
        <f>'（２）ＫＰＩ達成進度'!J13</f>
        <v>0.90701298738267266</v>
      </c>
      <c r="J7" s="263">
        <v>0.88998839094650573</v>
      </c>
      <c r="K7" s="259">
        <f>'（２）ＫＰＩ達成進度'!K10</f>
        <v>0.4320344304066267</v>
      </c>
      <c r="L7" s="123" t="s">
        <v>4</v>
      </c>
    </row>
    <row r="8" spans="1:18" s="122" customFormat="1" ht="18" customHeight="1">
      <c r="A8" s="129" t="s">
        <v>5</v>
      </c>
      <c r="B8" s="226">
        <f>'（１）收支狀況'!M13/1000</f>
        <v>33552.362999999998</v>
      </c>
      <c r="C8" s="260">
        <v>32937.133999999998</v>
      </c>
      <c r="D8" s="143">
        <f>B8-C8</f>
        <v>615.22899999999936</v>
      </c>
      <c r="E8" s="238">
        <f>'（１）收支狀況'!N10/1000</f>
        <v>70493.077000000005</v>
      </c>
      <c r="F8" s="134"/>
      <c r="G8" s="129" t="s">
        <v>200</v>
      </c>
      <c r="H8" s="239">
        <v>2.5000000000000001E-3</v>
      </c>
      <c r="I8" s="254">
        <f>'（２）ＫＰＩ達成進度'!M13</f>
        <v>2.4644688566555031E-3</v>
      </c>
      <c r="J8" s="262">
        <v>2.4607857339377834E-3</v>
      </c>
      <c r="K8" s="254">
        <f>'（２）ＫＰＩ達成進度'!N10</f>
        <v>2.457679390630857E-3</v>
      </c>
      <c r="L8" s="123" t="s">
        <v>55</v>
      </c>
    </row>
    <row r="9" spans="1:18" s="122" customFormat="1" ht="18" customHeight="1">
      <c r="A9" s="129" t="s">
        <v>6</v>
      </c>
      <c r="B9" s="227">
        <f>'（１）收支狀況'!P13</f>
        <v>0.67450326634603852</v>
      </c>
      <c r="C9" s="261">
        <v>0.65933642563801553</v>
      </c>
      <c r="D9" s="144">
        <f t="shared" si="0"/>
        <v>1.5166840708022988E-2</v>
      </c>
      <c r="E9" s="144">
        <f>'（１）收支狀況'!Q10</f>
        <v>0.67400981485264244</v>
      </c>
      <c r="F9" s="134"/>
      <c r="G9" s="129" t="s">
        <v>201</v>
      </c>
      <c r="H9" s="239">
        <v>2.5999999999999999E-3</v>
      </c>
      <c r="I9" s="254">
        <f>'（２）ＫＰＩ達成進度'!P13</f>
        <v>2.0488119597214592E-3</v>
      </c>
      <c r="J9" s="262">
        <v>2.2230403882861865E-3</v>
      </c>
      <c r="K9" s="254">
        <f>'（２）ＫＰＩ達成進度'!Q10</f>
        <v>2.120477190876342E-3</v>
      </c>
      <c r="L9" s="123" t="s">
        <v>98</v>
      </c>
    </row>
    <row r="10" spans="1:18" s="122" customFormat="1" ht="18" customHeight="1">
      <c r="A10" s="129" t="s">
        <v>64</v>
      </c>
      <c r="B10" s="226">
        <f>'（１）收支狀況'!S13/1000</f>
        <v>7032.9245370430135</v>
      </c>
      <c r="C10" s="260">
        <f>6836502.30704302/1000</f>
        <v>6836.5023070430198</v>
      </c>
      <c r="D10" s="143">
        <f t="shared" si="0"/>
        <v>196.42222999999376</v>
      </c>
      <c r="E10" s="238">
        <f>'（１）收支狀況'!T10/1000</f>
        <v>14901.495874139795</v>
      </c>
      <c r="F10" s="134"/>
      <c r="G10" s="129" t="s">
        <v>202</v>
      </c>
      <c r="H10" s="255">
        <v>0.8</v>
      </c>
      <c r="I10" s="256">
        <v>0.91700000000000004</v>
      </c>
      <c r="J10" s="263">
        <v>0.91700000000000004</v>
      </c>
      <c r="K10" s="256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7">
        <f>'（１）收支狀況'!V13</f>
        <v>0.14138290564514677</v>
      </c>
      <c r="C11" s="261">
        <v>0.14367741827713623</v>
      </c>
      <c r="D11" s="144">
        <f t="shared" si="0"/>
        <v>-2.2945126319894593E-3</v>
      </c>
      <c r="E11" s="144">
        <f>'（１）收支狀況'!W10</f>
        <v>0.14247859368028973</v>
      </c>
      <c r="F11" s="134"/>
      <c r="G11" s="129" t="s">
        <v>203</v>
      </c>
      <c r="H11" s="255">
        <v>1</v>
      </c>
      <c r="I11" s="256">
        <f>'（２）ＫＰＩ達成進度'!V13</f>
        <v>0.93200000000000016</v>
      </c>
      <c r="J11" s="263">
        <v>0.91399999999999992</v>
      </c>
      <c r="K11" s="256">
        <f>'（２）ＫＰＩ達成進度'!W10</f>
        <v>0.92773333333333319</v>
      </c>
      <c r="L11" s="123" t="s">
        <v>62</v>
      </c>
    </row>
    <row r="12" spans="1:18" s="122" customFormat="1" ht="9.6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3.5">
      <c r="A14" s="146"/>
      <c r="B14" s="220" t="s">
        <v>328</v>
      </c>
      <c r="C14" s="146" t="s">
        <v>66</v>
      </c>
      <c r="D14" s="220" t="s">
        <v>331</v>
      </c>
      <c r="E14" s="146" t="s">
        <v>68</v>
      </c>
      <c r="F14" s="137"/>
      <c r="G14" s="146"/>
      <c r="H14" s="220" t="s">
        <v>328</v>
      </c>
      <c r="I14" s="146" t="s">
        <v>66</v>
      </c>
      <c r="J14" s="220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1">
        <f>SUM('（３）業績構成比'!I15:I21,'（３）業績構成比'!K15:K21)/1000</f>
        <v>8848.2924019495567</v>
      </c>
      <c r="C15" s="144">
        <f>IFERROR(B15/$B$6,"")</f>
        <v>0.17787725194496168</v>
      </c>
      <c r="D15" s="261">
        <v>0.18649692036982826</v>
      </c>
      <c r="E15" s="144">
        <f>IFERROR(C15-D15,"")</f>
        <v>-8.6196684248665834E-3</v>
      </c>
      <c r="F15" s="134"/>
      <c r="G15" s="129" t="s">
        <v>335</v>
      </c>
      <c r="H15" s="241">
        <f>SUM(,'（４）訂單數量構成比'!I15:I21,'（４）訂單數量構成比'!K15:K21)</f>
        <v>472996</v>
      </c>
      <c r="I15" s="144">
        <f t="shared" ref="I15:I23" si="1">IFERROR(H15/$B$7,"")</f>
        <v>0.31496740426041964</v>
      </c>
      <c r="J15" s="261">
        <v>0.33107514608593769</v>
      </c>
      <c r="K15" s="144">
        <f t="shared" ref="K15:K23" si="2">IFERROR(I15-J15,"")</f>
        <v>-1.6107741825518052E-2</v>
      </c>
    </row>
    <row r="16" spans="1:18" s="122" customFormat="1" ht="18" customHeight="1">
      <c r="A16" s="129" t="s">
        <v>222</v>
      </c>
      <c r="B16" s="241">
        <f>SUM('（３）業績構成比'!O15:O21,'（３）業績構成比'!Q15:Q21)/1000</f>
        <v>1574.9742897551844</v>
      </c>
      <c r="C16" s="144">
        <f t="shared" ref="C16:C23" si="3">IFERROR(B16/$B$6,"")</f>
        <v>3.1661713449240639E-2</v>
      </c>
      <c r="D16" s="261">
        <v>3.3026978681344285E-2</v>
      </c>
      <c r="E16" s="144">
        <f t="shared" ref="E16:E23" si="4">IFERROR(C16-D16,"")</f>
        <v>-1.3652652321036463E-3</v>
      </c>
      <c r="F16" s="134"/>
      <c r="G16" s="129" t="s">
        <v>251</v>
      </c>
      <c r="H16" s="241">
        <f>SUM('（４）訂單數量構成比'!O15:O21,'（４）訂單數量構成比'!Q15:Q21)</f>
        <v>61928</v>
      </c>
      <c r="I16" s="144">
        <f t="shared" si="1"/>
        <v>4.1237772435790722E-2</v>
      </c>
      <c r="J16" s="261">
        <v>4.3977335142133582E-2</v>
      </c>
      <c r="K16" s="144">
        <f t="shared" si="2"/>
        <v>-2.7395627063428601E-3</v>
      </c>
    </row>
    <row r="17" spans="1:11" s="122" customFormat="1" ht="18" customHeight="1">
      <c r="A17" s="129" t="s">
        <v>218</v>
      </c>
      <c r="B17" s="241">
        <f>SUM('（３）業績構成比'!U15:U21)/1000</f>
        <v>5432.8823405947696</v>
      </c>
      <c r="C17" s="144">
        <f t="shared" si="3"/>
        <v>0.1092172519832622</v>
      </c>
      <c r="D17" s="261">
        <v>8.4121151992287632E-2</v>
      </c>
      <c r="E17" s="144">
        <f t="shared" si="4"/>
        <v>2.5096099990974563E-2</v>
      </c>
      <c r="F17" s="134"/>
      <c r="G17" s="129" t="s">
        <v>233</v>
      </c>
      <c r="H17" s="241">
        <f>SUM('（４）訂單數量構成比'!U15:U21)</f>
        <v>166955</v>
      </c>
      <c r="I17" s="144">
        <f t="shared" si="1"/>
        <v>0.11117511137155148</v>
      </c>
      <c r="J17" s="261">
        <v>8.805312752956003E-2</v>
      </c>
      <c r="K17" s="144">
        <f t="shared" si="2"/>
        <v>2.3121983841991448E-2</v>
      </c>
    </row>
    <row r="18" spans="1:11" s="122" customFormat="1" ht="18" customHeight="1">
      <c r="A18" s="129" t="s">
        <v>220</v>
      </c>
      <c r="B18" s="241">
        <f>SUM('（３）業績構成比'!W15:W21)/1000</f>
        <v>44.587029551579008</v>
      </c>
      <c r="C18" s="144">
        <f t="shared" si="3"/>
        <v>8.9633320518162562E-4</v>
      </c>
      <c r="D18" s="261">
        <v>3.9026706137260721E-3</v>
      </c>
      <c r="E18" s="144">
        <f t="shared" si="4"/>
        <v>-3.0063374085444465E-3</v>
      </c>
      <c r="F18" s="134"/>
      <c r="G18" s="129" t="s">
        <v>219</v>
      </c>
      <c r="H18" s="241">
        <f>SUM('（４）訂單數量構成比'!W15:W21)</f>
        <v>1708</v>
      </c>
      <c r="I18" s="144">
        <f t="shared" si="1"/>
        <v>1.1373549173286808E-3</v>
      </c>
      <c r="J18" s="261">
        <v>5.0030345929531336E-3</v>
      </c>
      <c r="K18" s="144">
        <f t="shared" si="2"/>
        <v>-3.8656796756244526E-3</v>
      </c>
    </row>
    <row r="19" spans="1:11" s="122" customFormat="1" ht="18" customHeight="1">
      <c r="A19" s="129" t="s">
        <v>224</v>
      </c>
      <c r="B19" s="241">
        <f>SUM('（３）業績構成比'!Y15:Y21,'（３）業績構成比'!AA15:AA21)/1000</f>
        <v>12478.440252276192</v>
      </c>
      <c r="C19" s="144">
        <f t="shared" si="3"/>
        <v>0.25085412640129628</v>
      </c>
      <c r="D19" s="261">
        <v>0.25536608742630101</v>
      </c>
      <c r="E19" s="144">
        <f t="shared" si="4"/>
        <v>-4.5119610250047293E-3</v>
      </c>
      <c r="F19" s="134"/>
      <c r="G19" s="129" t="s">
        <v>223</v>
      </c>
      <c r="H19" s="241">
        <f>SUM('（４）訂單數量構成比'!Y15:Y21,'（４）訂單數量構成比'!AA15:AA21)</f>
        <v>314513</v>
      </c>
      <c r="I19" s="144">
        <f t="shared" si="1"/>
        <v>0.20943378636639076</v>
      </c>
      <c r="J19" s="261">
        <v>0.21570153951968335</v>
      </c>
      <c r="K19" s="144">
        <f t="shared" si="2"/>
        <v>-6.2677531532925879E-3</v>
      </c>
    </row>
    <row r="20" spans="1:11" s="122" customFormat="1" ht="18" customHeight="1">
      <c r="A20" s="129" t="s">
        <v>226</v>
      </c>
      <c r="B20" s="241">
        <f>SUM('（３）業績構成比'!AE15:AE21)/1000</f>
        <v>6618.88898575029</v>
      </c>
      <c r="C20" s="144">
        <f t="shared" si="3"/>
        <v>0.13305954756362132</v>
      </c>
      <c r="D20" s="261">
        <v>0.13821728945402975</v>
      </c>
      <c r="E20" s="144">
        <f t="shared" si="4"/>
        <v>-5.1577418904084349E-3</v>
      </c>
      <c r="F20" s="134"/>
      <c r="G20" s="129" t="s">
        <v>225</v>
      </c>
      <c r="H20" s="241">
        <f>SUM('（４）訂單數量構成比'!AE15:AE21)</f>
        <v>118265</v>
      </c>
      <c r="I20" s="144">
        <f t="shared" si="1"/>
        <v>7.8752505443721574E-2</v>
      </c>
      <c r="J20" s="261">
        <v>8.2502951959193688E-2</v>
      </c>
      <c r="K20" s="144">
        <f t="shared" si="2"/>
        <v>-3.7504465154721139E-3</v>
      </c>
    </row>
    <row r="21" spans="1:11" s="122" customFormat="1" ht="18" customHeight="1">
      <c r="A21" s="129" t="s">
        <v>228</v>
      </c>
      <c r="B21" s="241">
        <f>SUM('（３）業績構成比'!AG15:AG21)/1000</f>
        <v>8099.9692701221111</v>
      </c>
      <c r="C21" s="144">
        <f t="shared" si="3"/>
        <v>0.16283370950653761</v>
      </c>
      <c r="D21" s="261">
        <v>0.1713370302951164</v>
      </c>
      <c r="E21" s="144">
        <f t="shared" si="4"/>
        <v>-8.5033207885787943E-3</v>
      </c>
      <c r="F21" s="134"/>
      <c r="G21" s="129" t="s">
        <v>234</v>
      </c>
      <c r="H21" s="241">
        <f>SUM('（４）訂單數量構成比'!AG15:AG21)</f>
        <v>161351</v>
      </c>
      <c r="I21" s="144">
        <f t="shared" si="1"/>
        <v>0.10744341526106557</v>
      </c>
      <c r="J21" s="261">
        <v>0.10123303634408556</v>
      </c>
      <c r="K21" s="144">
        <f t="shared" si="2"/>
        <v>6.2103789169800083E-3</v>
      </c>
    </row>
    <row r="22" spans="1:11" s="122" customFormat="1" ht="18" customHeight="1">
      <c r="A22" s="129" t="s">
        <v>229</v>
      </c>
      <c r="B22" s="241">
        <f>SUM('（３）業績構成比'!AI15:AI21)/1000</f>
        <v>3312.0113131949802</v>
      </c>
      <c r="C22" s="144">
        <f t="shared" si="3"/>
        <v>6.658137457934174E-2</v>
      </c>
      <c r="D22" s="261">
        <v>5.3929037199162103E-2</v>
      </c>
      <c r="E22" s="144">
        <f t="shared" si="4"/>
        <v>1.2652337380179637E-2</v>
      </c>
      <c r="F22" s="134"/>
      <c r="G22" s="129" t="s">
        <v>235</v>
      </c>
      <c r="H22" s="241">
        <f>SUM('（４）訂單數量構成比'!AI15:AI21)</f>
        <v>90145</v>
      </c>
      <c r="I22" s="144">
        <f t="shared" si="1"/>
        <v>6.0027435024937903E-2</v>
      </c>
      <c r="J22" s="261">
        <v>4.9379824844560626E-2</v>
      </c>
      <c r="K22" s="144">
        <f t="shared" si="2"/>
        <v>1.0647610180377277E-2</v>
      </c>
    </row>
    <row r="23" spans="1:11" s="122" customFormat="1" ht="18" customHeight="1">
      <c r="A23" s="129" t="s">
        <v>231</v>
      </c>
      <c r="B23" s="241">
        <f>SUM('（３）業績構成比'!AK15:AK21)/1000</f>
        <v>3333.7651168053403</v>
      </c>
      <c r="C23" s="144">
        <f t="shared" si="3"/>
        <v>6.7018691366556943E-2</v>
      </c>
      <c r="D23" s="261">
        <v>7.3602833968204273E-2</v>
      </c>
      <c r="E23" s="144">
        <f t="shared" si="4"/>
        <v>-6.5841426016473303E-3</v>
      </c>
      <c r="F23" s="134"/>
      <c r="G23" s="129" t="s">
        <v>230</v>
      </c>
      <c r="H23" s="241">
        <f>SUM('（４）訂單數量構成比'!AK15:AK21)</f>
        <v>113869</v>
      </c>
      <c r="I23" s="144">
        <f t="shared" si="1"/>
        <v>7.5825214918793654E-2</v>
      </c>
      <c r="J23" s="261">
        <v>8.3074003981892311E-2</v>
      </c>
      <c r="K23" s="144">
        <f t="shared" si="2"/>
        <v>-7.2487890630986568E-3</v>
      </c>
    </row>
    <row r="24" spans="1:11" s="122" customFormat="1" ht="15.75" customHeight="1">
      <c r="A24" s="134"/>
      <c r="B24" s="134"/>
      <c r="C24" s="138">
        <f>SUM(C15:C23)</f>
        <v>1.0000000000000002</v>
      </c>
      <c r="D24" s="138">
        <f>SUM(D15:D23)</f>
        <v>0.99999999999999978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5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627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1" t="s">
        <v>328</v>
      </c>
      <c r="C27" s="221" t="s">
        <v>330</v>
      </c>
      <c r="D27" s="129" t="s">
        <v>2</v>
      </c>
      <c r="E27" s="129" t="s">
        <v>415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8">
        <f>'（５-1）品群別人時生產性（18℃-飯糰）'!L77</f>
        <v>788.19844734859453</v>
      </c>
      <c r="C28" s="264">
        <v>776.15129637044049</v>
      </c>
      <c r="D28" s="249">
        <f t="shared" ref="D28:D36" si="5">B28-C28</f>
        <v>12.047150978154036</v>
      </c>
      <c r="E28" s="130">
        <f>'（５-1）品群別人時生產性（18℃-飯糰）'!C1</f>
        <v>771.60417923650721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8">
        <f>'（５-2）品群別人時生產性（18-壽司手卷)'!L47</f>
        <v>197.06572036461128</v>
      </c>
      <c r="C29" s="264">
        <v>200.62060435743257</v>
      </c>
      <c r="D29" s="249">
        <f t="shared" si="5"/>
        <v>-3.5548839928212885</v>
      </c>
      <c r="E29" s="130">
        <f>'（５-2）品群別人時生產性（18-壽司手卷)'!C1</f>
        <v>196.03046979431213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8">
        <f>'（５-3）品群別人時生產性（4℃-飯糰)'!L47</f>
        <v>277.40572473003152</v>
      </c>
      <c r="C30" s="264">
        <v>302.54331493234821</v>
      </c>
      <c r="D30" s="249">
        <f t="shared" si="5"/>
        <v>-25.137590202316687</v>
      </c>
      <c r="E30" s="130">
        <f>'（５-3）品群別人時生產性（4℃-飯糰)'!C1</f>
        <v>281.23604037286549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8">
        <f>'（５-4）品群別人時生產性（4℃-壽司手卷)'!L47</f>
        <v>114.4</v>
      </c>
      <c r="C31" s="264">
        <v>115.67111459968599</v>
      </c>
      <c r="D31" s="249">
        <f t="shared" si="5"/>
        <v>-1.2711145996859869</v>
      </c>
      <c r="E31" s="130">
        <f>'（５-4）品群別人時生產性（4℃-壽司手卷)'!C1</f>
        <v>114.80225964511676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8">
        <f>'（５-5）品群別人時生產性(主食) '!L77</f>
        <v>86.526635419121106</v>
      </c>
      <c r="C32" s="264">
        <v>87.821277525233683</v>
      </c>
      <c r="D32" s="249">
        <f t="shared" si="5"/>
        <v>-1.2946421061125761</v>
      </c>
      <c r="E32" s="130">
        <f>'（５-5）品群別人時生產性(主食) '!C1</f>
        <v>87.269122395697039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8">
        <f>'（５-6）品群別人時生產性(便當)'!L47</f>
        <v>71.899258249759882</v>
      </c>
      <c r="C33" s="264">
        <v>70.580653561259055</v>
      </c>
      <c r="D33" s="249">
        <f t="shared" si="5"/>
        <v>1.3186046885008267</v>
      </c>
      <c r="E33" s="130">
        <f>'（５-6）品群別人時生產性(便當)'!C1</f>
        <v>70.449700306542624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8">
        <f>'（５-7）品群別人時生產性(熱食義麵) '!L47</f>
        <v>72.012196823216144</v>
      </c>
      <c r="C34" s="264">
        <v>69.234656595367682</v>
      </c>
      <c r="D34" s="249">
        <f t="shared" si="5"/>
        <v>2.777540227848462</v>
      </c>
      <c r="E34" s="130">
        <f>'（５-7）品群別人時生產性(熱食義麵) '!C1</f>
        <v>72.069471486581776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8">
        <f>'（５-8）品群別人時生產性(季節調理麵) '!L47</f>
        <v>118.86480959240905</v>
      </c>
      <c r="C35" s="264">
        <v>119.36465716267438</v>
      </c>
      <c r="D35" s="249">
        <f t="shared" si="5"/>
        <v>-0.49984757026533089</v>
      </c>
      <c r="E35" s="130">
        <f>'（５-8）品群別人時生產性(季節調理麵) '!C1</f>
        <v>119.529831233648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8">
        <f>'（５-9）品群別人時生產性(微波小吃)'!L47</f>
        <v>116.69781917373838</v>
      </c>
      <c r="C36" s="264">
        <v>120.98842012566415</v>
      </c>
      <c r="D36" s="249">
        <f t="shared" si="5"/>
        <v>-4.290600951925768</v>
      </c>
      <c r="E36" s="130">
        <f>'（５-9）品群別人時生產性(微波小吃)'!C1</f>
        <v>115.90621259019042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38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V6" sqref="V6"/>
    </sheetView>
  </sheetViews>
  <sheetFormatPr defaultColWidth="8.81640625" defaultRowHeight="12"/>
  <cols>
    <col min="1" max="1" width="8.81640625" style="83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83" customWidth="1"/>
    <col min="24" max="16384" width="8.81640625" style="83"/>
  </cols>
  <sheetData>
    <row r="2" spans="2:23" ht="38.15" customHeight="1">
      <c r="B2" s="575" t="s">
        <v>121</v>
      </c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575"/>
      <c r="R2" s="575"/>
      <c r="S2" s="575"/>
      <c r="T2" s="575"/>
      <c r="U2" s="575"/>
      <c r="V2" s="575"/>
      <c r="W2" s="575"/>
    </row>
    <row r="3" spans="2:23" s="84" customFormat="1" ht="23.5" customHeight="1">
      <c r="B3" s="98"/>
      <c r="C3" s="579" t="s">
        <v>116</v>
      </c>
      <c r="D3" s="580" t="s">
        <v>105</v>
      </c>
      <c r="E3" s="580"/>
      <c r="F3" s="578" t="s">
        <v>359</v>
      </c>
      <c r="G3" s="578"/>
      <c r="H3" s="578"/>
      <c r="I3" s="576" t="s">
        <v>119</v>
      </c>
      <c r="J3" s="576"/>
      <c r="K3" s="576"/>
      <c r="L3" s="577" t="s">
        <v>120</v>
      </c>
      <c r="M3" s="577"/>
      <c r="N3" s="577"/>
      <c r="O3" s="574" t="s">
        <v>122</v>
      </c>
      <c r="P3" s="574"/>
      <c r="Q3" s="574"/>
      <c r="R3" s="581" t="s">
        <v>123</v>
      </c>
      <c r="S3" s="581"/>
      <c r="T3" s="581"/>
      <c r="U3" s="574" t="s">
        <v>124</v>
      </c>
      <c r="V3" s="574"/>
      <c r="W3" s="574"/>
    </row>
    <row r="4" spans="2:23" s="84" customFormat="1" ht="23.5" customHeight="1">
      <c r="B4" s="98"/>
      <c r="C4" s="579"/>
      <c r="D4" s="580"/>
      <c r="E4" s="580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42" t="s">
        <v>635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42" t="s">
        <v>635</v>
      </c>
    </row>
    <row r="5" spans="2:23">
      <c r="B5" s="98"/>
      <c r="C5" s="98"/>
      <c r="D5" s="341">
        <v>45992</v>
      </c>
      <c r="E5" s="341" t="s">
        <v>628</v>
      </c>
      <c r="F5" s="232">
        <v>7261499</v>
      </c>
      <c r="G5" s="339"/>
      <c r="H5" s="383"/>
      <c r="I5" s="233">
        <v>216425</v>
      </c>
      <c r="K5" s="384"/>
      <c r="L5" s="232">
        <v>4834805</v>
      </c>
      <c r="M5" s="339"/>
      <c r="N5" s="383"/>
      <c r="O5" s="90">
        <f t="shared" ref="O5:O39" si="0">L5/F5</f>
        <v>0.66581362883889406</v>
      </c>
      <c r="Q5" s="382"/>
      <c r="R5" s="234">
        <v>1032069.0300537639</v>
      </c>
      <c r="S5" s="339"/>
      <c r="T5" s="383"/>
      <c r="V5" s="90"/>
      <c r="W5" s="382"/>
    </row>
    <row r="6" spans="2:23">
      <c r="B6" s="98"/>
      <c r="C6" s="98"/>
      <c r="D6" s="86">
        <v>45993</v>
      </c>
      <c r="E6" s="86" t="s">
        <v>629</v>
      </c>
      <c r="F6" s="232">
        <v>7236654</v>
      </c>
      <c r="G6" s="339">
        <f>SUM(F6:F12)</f>
        <v>47582302</v>
      </c>
      <c r="H6" s="383"/>
      <c r="I6" s="233">
        <v>213834</v>
      </c>
      <c r="J6" s="88">
        <f>SUM(I6:I12)</f>
        <v>1421937</v>
      </c>
      <c r="K6" s="384"/>
      <c r="L6" s="232">
        <v>4866291</v>
      </c>
      <c r="M6" s="339">
        <f>SUM(L6:L12)</f>
        <v>32105909</v>
      </c>
      <c r="N6" s="383"/>
      <c r="O6" s="90">
        <f t="shared" si="0"/>
        <v>0.67245041700211172</v>
      </c>
      <c r="P6" s="90">
        <f>M6/G6</f>
        <v>0.67474476119293259</v>
      </c>
      <c r="Q6" s="382"/>
      <c r="R6" s="234">
        <v>1006243.0833870973</v>
      </c>
      <c r="S6" s="339">
        <f>SUM(R6:R12)</f>
        <v>6836502.307043016</v>
      </c>
      <c r="T6" s="383"/>
      <c r="U6" s="90">
        <f t="shared" ref="U6:U41" si="1">R6/F6</f>
        <v>0.1390481130349879</v>
      </c>
      <c r="V6" s="90">
        <f>S6/G6</f>
        <v>0.14367741827713623</v>
      </c>
      <c r="W6" s="382"/>
    </row>
    <row r="7" spans="2:23" ht="16.5" customHeight="1">
      <c r="B7" s="98"/>
      <c r="C7" s="98"/>
      <c r="D7" s="86">
        <f>D6+1</f>
        <v>45994</v>
      </c>
      <c r="E7" s="86" t="s">
        <v>630</v>
      </c>
      <c r="F7" s="232">
        <v>6888543</v>
      </c>
      <c r="G7" s="339"/>
      <c r="I7" s="233">
        <v>206960</v>
      </c>
      <c r="L7" s="232">
        <v>4794050</v>
      </c>
      <c r="M7" s="339"/>
      <c r="O7" s="90">
        <f t="shared" si="0"/>
        <v>0.6959454270663622</v>
      </c>
      <c r="R7" s="234">
        <v>966021.8767204308</v>
      </c>
      <c r="S7" s="339"/>
      <c r="U7" s="90">
        <f t="shared" si="1"/>
        <v>0.14023602331007162</v>
      </c>
      <c r="V7" s="90"/>
    </row>
    <row r="8" spans="2:23" ht="16.5" customHeight="1">
      <c r="B8" s="98"/>
      <c r="C8" s="98"/>
      <c r="D8" s="86">
        <f t="shared" ref="D8:D40" si="2">D7+1</f>
        <v>45995</v>
      </c>
      <c r="E8" s="86" t="s">
        <v>631</v>
      </c>
      <c r="F8" s="232">
        <v>6535954</v>
      </c>
      <c r="G8" s="339"/>
      <c r="H8" s="383"/>
      <c r="I8" s="233">
        <v>197911</v>
      </c>
      <c r="K8" s="384"/>
      <c r="L8" s="232">
        <v>4401759</v>
      </c>
      <c r="M8" s="339"/>
      <c r="N8" s="383"/>
      <c r="O8" s="90">
        <f t="shared" si="0"/>
        <v>0.67346847912332308</v>
      </c>
      <c r="Q8" s="382"/>
      <c r="R8" s="234">
        <v>913266.99505376397</v>
      </c>
      <c r="S8" s="339"/>
      <c r="T8" s="383"/>
      <c r="U8" s="90">
        <f t="shared" si="1"/>
        <v>0.13972971582323926</v>
      </c>
      <c r="V8" s="90"/>
      <c r="W8" s="382"/>
    </row>
    <row r="9" spans="2:23" ht="16.5" customHeight="1">
      <c r="B9" s="98"/>
      <c r="C9" s="98"/>
      <c r="D9" s="86">
        <f t="shared" si="2"/>
        <v>45996</v>
      </c>
      <c r="E9" s="86" t="s">
        <v>632</v>
      </c>
      <c r="F9" s="232">
        <v>6075465</v>
      </c>
      <c r="G9" s="339"/>
      <c r="H9" s="383"/>
      <c r="I9" s="233">
        <v>183552</v>
      </c>
      <c r="K9" s="384"/>
      <c r="L9" s="232">
        <v>4052866</v>
      </c>
      <c r="M9" s="339"/>
      <c r="N9" s="383"/>
      <c r="O9" s="90">
        <f t="shared" si="0"/>
        <v>0.66708737520502548</v>
      </c>
      <c r="Q9" s="382"/>
      <c r="R9" s="234">
        <v>978292.21005376475</v>
      </c>
      <c r="S9" s="339"/>
      <c r="T9" s="383"/>
      <c r="U9" s="90">
        <f t="shared" si="1"/>
        <v>0.16102342949120188</v>
      </c>
      <c r="V9" s="90"/>
      <c r="W9" s="382"/>
    </row>
    <row r="10" spans="2:23" ht="16.5" customHeight="1">
      <c r="B10" s="98"/>
      <c r="C10" s="98"/>
      <c r="D10" s="86">
        <f t="shared" si="2"/>
        <v>45997</v>
      </c>
      <c r="E10" s="86" t="s">
        <v>633</v>
      </c>
      <c r="F10" s="232">
        <v>6262543</v>
      </c>
      <c r="G10" s="339"/>
      <c r="H10" s="383">
        <f>SUM(F5:F35)</f>
        <v>104587612</v>
      </c>
      <c r="I10" s="233">
        <v>185894</v>
      </c>
      <c r="K10" s="384">
        <f>SUM(I5:I35)</f>
        <v>3140092</v>
      </c>
      <c r="L10" s="232">
        <v>4337881</v>
      </c>
      <c r="M10" s="339"/>
      <c r="N10" s="383">
        <f>SUM(L5:L35)</f>
        <v>70493077</v>
      </c>
      <c r="O10" s="90">
        <f t="shared" si="0"/>
        <v>0.69267085271909512</v>
      </c>
      <c r="Q10" s="382">
        <f>N10/H10</f>
        <v>0.67400981485264244</v>
      </c>
      <c r="R10" s="234">
        <v>954322.60172043042</v>
      </c>
      <c r="S10" s="339"/>
      <c r="T10" s="383">
        <f>SUM(R5:R35)</f>
        <v>14901495.874139795</v>
      </c>
      <c r="U10" s="90">
        <f t="shared" si="1"/>
        <v>0.15238579626845364</v>
      </c>
      <c r="V10" s="90"/>
      <c r="W10" s="382">
        <f>T10/H10</f>
        <v>0.14247859368028973</v>
      </c>
    </row>
    <row r="11" spans="2:23" ht="16.5" customHeight="1">
      <c r="B11" s="98"/>
      <c r="C11" s="98"/>
      <c r="D11" s="86">
        <f t="shared" si="2"/>
        <v>45998</v>
      </c>
      <c r="E11" s="86" t="s">
        <v>634</v>
      </c>
      <c r="F11" s="232">
        <v>7283314</v>
      </c>
      <c r="G11" s="339"/>
      <c r="H11" s="383"/>
      <c r="I11" s="233">
        <v>216841</v>
      </c>
      <c r="K11" s="384"/>
      <c r="L11" s="232">
        <v>4750345</v>
      </c>
      <c r="M11" s="339"/>
      <c r="N11" s="383"/>
      <c r="O11" s="90">
        <f t="shared" si="0"/>
        <v>0.65222301276589201</v>
      </c>
      <c r="Q11" s="382"/>
      <c r="R11" s="234">
        <v>998075.18672043108</v>
      </c>
      <c r="S11" s="339"/>
      <c r="T11" s="383"/>
      <c r="U11" s="90">
        <f t="shared" si="1"/>
        <v>0.13703585850073621</v>
      </c>
      <c r="V11" s="90"/>
      <c r="W11" s="382"/>
    </row>
    <row r="12" spans="2:23" ht="16.5" customHeight="1">
      <c r="B12" s="98"/>
      <c r="C12" s="98"/>
      <c r="D12" s="86">
        <f t="shared" si="2"/>
        <v>45999</v>
      </c>
      <c r="E12" s="86" t="s">
        <v>628</v>
      </c>
      <c r="F12" s="232">
        <v>7299829</v>
      </c>
      <c r="G12" s="339"/>
      <c r="H12" s="383"/>
      <c r="I12" s="233">
        <v>216945</v>
      </c>
      <c r="K12" s="384"/>
      <c r="L12" s="232">
        <v>4902717</v>
      </c>
      <c r="M12" s="339"/>
      <c r="N12" s="383"/>
      <c r="O12" s="90">
        <f t="shared" si="0"/>
        <v>0.67162080098040655</v>
      </c>
      <c r="Q12" s="382"/>
      <c r="R12" s="234">
        <v>1020280.3533870976</v>
      </c>
      <c r="S12" s="339"/>
      <c r="T12" s="383"/>
      <c r="U12" s="90">
        <f t="shared" si="1"/>
        <v>0.13976770598148225</v>
      </c>
      <c r="V12" s="90"/>
      <c r="W12" s="382"/>
    </row>
    <row r="13" spans="2:23" ht="16.5" customHeight="1">
      <c r="B13" s="98"/>
      <c r="C13" s="98"/>
      <c r="D13" s="341">
        <f t="shared" si="2"/>
        <v>46000</v>
      </c>
      <c r="E13" s="341" t="s">
        <v>629</v>
      </c>
      <c r="F13" s="232">
        <v>7768298</v>
      </c>
      <c r="G13" s="339">
        <f>SUM(F13:F19)</f>
        <v>49743811</v>
      </c>
      <c r="H13" s="383"/>
      <c r="I13" s="233">
        <v>231819</v>
      </c>
      <c r="J13" s="88">
        <f>SUM(I13:I19)</f>
        <v>1501730</v>
      </c>
      <c r="K13" s="384"/>
      <c r="L13" s="232">
        <v>5247434</v>
      </c>
      <c r="M13" s="339">
        <f>SUM(L13:L19)</f>
        <v>33552363</v>
      </c>
      <c r="N13" s="383"/>
      <c r="O13" s="90">
        <f t="shared" si="0"/>
        <v>0.67549339636558736</v>
      </c>
      <c r="P13" s="90">
        <f>M13/G13</f>
        <v>0.67450326634603852</v>
      </c>
      <c r="Q13" s="382"/>
      <c r="R13" s="232">
        <v>1029871.6967204309</v>
      </c>
      <c r="S13" s="339">
        <f>SUM(R13:R19)</f>
        <v>7032924.5370430136</v>
      </c>
      <c r="T13" s="383"/>
      <c r="U13" s="90">
        <f t="shared" si="1"/>
        <v>0.13257365985707947</v>
      </c>
      <c r="V13" s="90">
        <f>S13/G13</f>
        <v>0.14138290564514677</v>
      </c>
      <c r="W13" s="382"/>
    </row>
    <row r="14" spans="2:23" ht="16.5" customHeight="1">
      <c r="B14" s="98"/>
      <c r="C14" s="98"/>
      <c r="D14" s="341">
        <f t="shared" si="2"/>
        <v>46001</v>
      </c>
      <c r="E14" s="341" t="s">
        <v>630</v>
      </c>
      <c r="F14" s="232">
        <v>7532086</v>
      </c>
      <c r="G14" s="339"/>
      <c r="H14" s="383"/>
      <c r="I14" s="233">
        <v>226414</v>
      </c>
      <c r="K14" s="384"/>
      <c r="L14" s="232">
        <v>5194296</v>
      </c>
      <c r="M14" s="339"/>
      <c r="N14" s="383"/>
      <c r="O14" s="90">
        <f t="shared" si="0"/>
        <v>0.68962250298257344</v>
      </c>
      <c r="Q14" s="382"/>
      <c r="R14" s="232">
        <v>1023327.9433870979</v>
      </c>
      <c r="S14" s="339"/>
      <c r="T14" s="383"/>
      <c r="U14" s="90">
        <f t="shared" si="1"/>
        <v>0.13586248794651282</v>
      </c>
      <c r="V14" s="90"/>
      <c r="W14" s="382"/>
    </row>
    <row r="15" spans="2:23" ht="16.5" customHeight="1">
      <c r="B15" s="98"/>
      <c r="C15" s="98"/>
      <c r="D15" s="341">
        <f t="shared" si="2"/>
        <v>46002</v>
      </c>
      <c r="E15" s="341" t="s">
        <v>631</v>
      </c>
      <c r="F15" s="232">
        <v>6664969</v>
      </c>
      <c r="G15" s="339"/>
      <c r="H15" s="383"/>
      <c r="I15" s="233">
        <v>203040</v>
      </c>
      <c r="K15" s="384"/>
      <c r="L15" s="232">
        <v>4737438</v>
      </c>
      <c r="M15" s="339"/>
      <c r="N15" s="383"/>
      <c r="O15" s="90">
        <f t="shared" si="0"/>
        <v>0.71079670438077058</v>
      </c>
      <c r="Q15" s="382"/>
      <c r="R15" s="232">
        <v>990071.90672043082</v>
      </c>
      <c r="S15" s="339"/>
      <c r="T15" s="383"/>
      <c r="U15" s="90">
        <f t="shared" si="1"/>
        <v>0.14854861391259747</v>
      </c>
      <c r="V15" s="90"/>
      <c r="W15" s="382"/>
    </row>
    <row r="16" spans="2:23" ht="16.5" customHeight="1">
      <c r="B16" s="98"/>
      <c r="C16" s="98"/>
      <c r="D16" s="341">
        <f t="shared" si="2"/>
        <v>46003</v>
      </c>
      <c r="E16" s="341" t="s">
        <v>632</v>
      </c>
      <c r="F16" s="232">
        <v>6216944</v>
      </c>
      <c r="G16" s="339"/>
      <c r="H16" s="383"/>
      <c r="I16" s="233">
        <v>188638</v>
      </c>
      <c r="K16" s="384"/>
      <c r="L16" s="232">
        <v>4038974</v>
      </c>
      <c r="M16" s="339"/>
      <c r="N16" s="383"/>
      <c r="O16" s="90">
        <f t="shared" si="0"/>
        <v>0.64967192884478286</v>
      </c>
      <c r="Q16" s="382"/>
      <c r="R16" s="232">
        <v>983361.51672043023</v>
      </c>
      <c r="S16" s="339"/>
      <c r="T16" s="383"/>
      <c r="U16" s="90">
        <f t="shared" si="1"/>
        <v>0.15817442086022171</v>
      </c>
      <c r="V16" s="90"/>
      <c r="W16" s="382"/>
    </row>
    <row r="17" spans="2:23" ht="16.5" customHeight="1">
      <c r="B17" s="98"/>
      <c r="C17" s="98"/>
      <c r="D17" s="341">
        <f t="shared" si="2"/>
        <v>46004</v>
      </c>
      <c r="E17" s="341" t="s">
        <v>633</v>
      </c>
      <c r="F17" s="232">
        <v>6402844</v>
      </c>
      <c r="G17" s="339"/>
      <c r="H17" s="383"/>
      <c r="I17" s="233">
        <v>193826</v>
      </c>
      <c r="K17" s="384"/>
      <c r="L17" s="232">
        <v>4249828</v>
      </c>
      <c r="M17" s="339"/>
      <c r="N17" s="383"/>
      <c r="O17" s="90">
        <f t="shared" si="0"/>
        <v>0.6637406752374414</v>
      </c>
      <c r="Q17" s="382"/>
      <c r="R17" s="232">
        <v>988172.58005376346</v>
      </c>
      <c r="S17" s="339"/>
      <c r="T17" s="383"/>
      <c r="U17" s="90">
        <f t="shared" si="1"/>
        <v>0.15433338373600286</v>
      </c>
      <c r="V17" s="90"/>
      <c r="W17" s="382"/>
    </row>
    <row r="18" spans="2:23" ht="16.5" customHeight="1">
      <c r="B18" s="98"/>
      <c r="C18" s="98"/>
      <c r="D18" s="341">
        <f t="shared" si="2"/>
        <v>46005</v>
      </c>
      <c r="E18" s="341" t="s">
        <v>634</v>
      </c>
      <c r="F18" s="232">
        <v>7638376</v>
      </c>
      <c r="G18" s="339"/>
      <c r="H18" s="383"/>
      <c r="I18" s="233">
        <v>230374</v>
      </c>
      <c r="K18" s="384"/>
      <c r="L18" s="232">
        <v>5043388</v>
      </c>
      <c r="M18" s="339"/>
      <c r="N18" s="383"/>
      <c r="O18" s="90">
        <f t="shared" si="0"/>
        <v>0.66026966988794478</v>
      </c>
      <c r="Q18" s="382"/>
      <c r="R18" s="232">
        <v>996728.08672043029</v>
      </c>
      <c r="S18" s="339"/>
      <c r="T18" s="383"/>
      <c r="U18" s="90">
        <f t="shared" si="1"/>
        <v>0.13048952902036118</v>
      </c>
      <c r="V18" s="90"/>
      <c r="W18" s="382"/>
    </row>
    <row r="19" spans="2:23" ht="16.5" customHeight="1">
      <c r="B19" s="98"/>
      <c r="C19" s="98"/>
      <c r="D19" s="341">
        <f t="shared" si="2"/>
        <v>46006</v>
      </c>
      <c r="E19" s="341" t="s">
        <v>628</v>
      </c>
      <c r="F19" s="232">
        <v>7520294</v>
      </c>
      <c r="G19" s="339"/>
      <c r="H19" s="383"/>
      <c r="I19" s="233">
        <v>227619</v>
      </c>
      <c r="K19" s="384"/>
      <c r="L19" s="232">
        <v>5041005</v>
      </c>
      <c r="M19" s="339"/>
      <c r="N19" s="383"/>
      <c r="O19" s="90">
        <f t="shared" si="0"/>
        <v>0.67032020290696082</v>
      </c>
      <c r="Q19" s="382"/>
      <c r="R19" s="232">
        <v>1021390.8067204303</v>
      </c>
      <c r="S19" s="339"/>
      <c r="T19" s="383"/>
      <c r="U19" s="90">
        <f t="shared" si="1"/>
        <v>0.13581793567118922</v>
      </c>
      <c r="V19" s="90"/>
      <c r="W19" s="382"/>
    </row>
    <row r="20" spans="2:23" ht="16.5" customHeight="1">
      <c r="B20" s="98"/>
      <c r="C20" s="98"/>
      <c r="D20" s="86">
        <f t="shared" si="2"/>
        <v>46007</v>
      </c>
      <c r="E20" s="86" t="s">
        <v>629</v>
      </c>
      <c r="F20" s="232"/>
      <c r="G20" s="339">
        <f>SUM(F20:F26)</f>
        <v>0</v>
      </c>
      <c r="H20" s="383"/>
      <c r="I20" s="233"/>
      <c r="J20" s="88">
        <f>SUM(I20:I26)</f>
        <v>0</v>
      </c>
      <c r="K20" s="384"/>
      <c r="L20" s="232"/>
      <c r="M20" s="339">
        <f>SUM(L20:L26)</f>
        <v>0</v>
      </c>
      <c r="N20" s="383"/>
      <c r="O20" s="90" t="e">
        <f t="shared" si="0"/>
        <v>#DIV/0!</v>
      </c>
      <c r="P20" s="90" t="e">
        <f>M20/G20</f>
        <v>#DIV/0!</v>
      </c>
      <c r="Q20" s="382"/>
      <c r="R20" s="232"/>
      <c r="S20" s="339">
        <f>SUM(R20:R26)</f>
        <v>0</v>
      </c>
      <c r="T20" s="383"/>
      <c r="U20" s="90" t="e">
        <f t="shared" si="1"/>
        <v>#DIV/0!</v>
      </c>
      <c r="V20" s="90" t="e">
        <f>S20/G20</f>
        <v>#DIV/0!</v>
      </c>
      <c r="W20" s="382"/>
    </row>
    <row r="21" spans="2:23" ht="16.5" customHeight="1">
      <c r="B21" s="98"/>
      <c r="C21" s="98"/>
      <c r="D21" s="86">
        <f t="shared" si="2"/>
        <v>46008</v>
      </c>
      <c r="E21" s="86" t="s">
        <v>630</v>
      </c>
      <c r="F21" s="232"/>
      <c r="G21" s="339"/>
      <c r="H21" s="383"/>
      <c r="I21" s="233"/>
      <c r="K21" s="384"/>
      <c r="L21" s="232"/>
      <c r="M21" s="339"/>
      <c r="N21" s="383"/>
      <c r="O21" s="90" t="e">
        <f t="shared" si="0"/>
        <v>#DIV/0!</v>
      </c>
      <c r="Q21" s="382"/>
      <c r="R21" s="232"/>
      <c r="S21" s="339"/>
      <c r="T21" s="383"/>
      <c r="U21" s="90" t="e">
        <f t="shared" si="1"/>
        <v>#DIV/0!</v>
      </c>
      <c r="V21" s="90"/>
      <c r="W21" s="382"/>
    </row>
    <row r="22" spans="2:23" ht="16.5" customHeight="1">
      <c r="B22" s="98"/>
      <c r="C22" s="98"/>
      <c r="D22" s="86">
        <f t="shared" si="2"/>
        <v>46009</v>
      </c>
      <c r="E22" s="86" t="s">
        <v>631</v>
      </c>
      <c r="F22" s="232"/>
      <c r="G22" s="339"/>
      <c r="H22" s="383"/>
      <c r="I22" s="233"/>
      <c r="K22" s="384"/>
      <c r="L22" s="232"/>
      <c r="M22" s="339"/>
      <c r="N22" s="383"/>
      <c r="O22" s="90" t="e">
        <f t="shared" si="0"/>
        <v>#DIV/0!</v>
      </c>
      <c r="Q22" s="382"/>
      <c r="R22" s="232"/>
      <c r="S22" s="339"/>
      <c r="T22" s="383"/>
      <c r="U22" s="90" t="e">
        <f t="shared" si="1"/>
        <v>#DIV/0!</v>
      </c>
      <c r="V22" s="90"/>
      <c r="W22" s="382"/>
    </row>
    <row r="23" spans="2:23" ht="16.5" customHeight="1">
      <c r="B23" s="98"/>
      <c r="C23" s="98"/>
      <c r="D23" s="86">
        <f t="shared" si="2"/>
        <v>46010</v>
      </c>
      <c r="E23" s="86" t="s">
        <v>632</v>
      </c>
      <c r="F23" s="232"/>
      <c r="G23" s="339"/>
      <c r="H23" s="383"/>
      <c r="I23" s="233"/>
      <c r="K23" s="384"/>
      <c r="L23" s="232"/>
      <c r="M23" s="339"/>
      <c r="N23" s="383"/>
      <c r="O23" s="90" t="e">
        <f t="shared" si="0"/>
        <v>#DIV/0!</v>
      </c>
      <c r="Q23" s="382"/>
      <c r="R23" s="232"/>
      <c r="S23" s="339"/>
      <c r="T23" s="383"/>
      <c r="U23" s="90" t="e">
        <f t="shared" si="1"/>
        <v>#DIV/0!</v>
      </c>
      <c r="V23" s="90"/>
      <c r="W23" s="382"/>
    </row>
    <row r="24" spans="2:23" ht="16.5" customHeight="1">
      <c r="B24" s="98"/>
      <c r="C24" s="98"/>
      <c r="D24" s="86">
        <f t="shared" si="2"/>
        <v>46011</v>
      </c>
      <c r="E24" s="86" t="s">
        <v>633</v>
      </c>
      <c r="F24" s="232"/>
      <c r="G24" s="339"/>
      <c r="H24" s="383"/>
      <c r="I24" s="233"/>
      <c r="K24" s="384"/>
      <c r="L24" s="232"/>
      <c r="M24" s="339"/>
      <c r="N24" s="383"/>
      <c r="O24" s="90" t="e">
        <f t="shared" si="0"/>
        <v>#DIV/0!</v>
      </c>
      <c r="Q24" s="382"/>
      <c r="R24" s="232"/>
      <c r="S24" s="339"/>
      <c r="T24" s="383"/>
      <c r="U24" s="90" t="e">
        <f t="shared" si="1"/>
        <v>#DIV/0!</v>
      </c>
      <c r="V24" s="90"/>
      <c r="W24" s="382"/>
    </row>
    <row r="25" spans="2:23" ht="16.5" customHeight="1">
      <c r="B25" s="98"/>
      <c r="C25" s="98"/>
      <c r="D25" s="86">
        <f t="shared" si="2"/>
        <v>46012</v>
      </c>
      <c r="E25" s="86" t="s">
        <v>634</v>
      </c>
      <c r="F25" s="232"/>
      <c r="G25" s="339"/>
      <c r="H25" s="383"/>
      <c r="I25" s="233"/>
      <c r="K25" s="384"/>
      <c r="L25" s="232"/>
      <c r="M25" s="339"/>
      <c r="N25" s="383"/>
      <c r="O25" s="90" t="e">
        <f t="shared" si="0"/>
        <v>#DIV/0!</v>
      </c>
      <c r="Q25" s="382"/>
      <c r="R25" s="232"/>
      <c r="S25" s="339"/>
      <c r="T25" s="383"/>
      <c r="U25" s="90" t="e">
        <f t="shared" si="1"/>
        <v>#DIV/0!</v>
      </c>
      <c r="V25" s="90"/>
      <c r="W25" s="382"/>
    </row>
    <row r="26" spans="2:23" ht="16.5" customHeight="1">
      <c r="B26" s="98"/>
      <c r="C26" s="98"/>
      <c r="D26" s="86">
        <f t="shared" si="2"/>
        <v>46013</v>
      </c>
      <c r="E26" s="86" t="s">
        <v>628</v>
      </c>
      <c r="F26" s="232"/>
      <c r="G26" s="339"/>
      <c r="H26" s="383"/>
      <c r="I26" s="233"/>
      <c r="K26" s="384"/>
      <c r="L26" s="232"/>
      <c r="M26" s="339"/>
      <c r="N26" s="383"/>
      <c r="O26" s="90" t="e">
        <f t="shared" si="0"/>
        <v>#DIV/0!</v>
      </c>
      <c r="Q26" s="382"/>
      <c r="R26" s="232"/>
      <c r="S26" s="339"/>
      <c r="T26" s="383"/>
      <c r="U26" s="90" t="e">
        <f t="shared" si="1"/>
        <v>#DIV/0!</v>
      </c>
      <c r="V26" s="90"/>
      <c r="W26" s="382"/>
    </row>
    <row r="27" spans="2:23">
      <c r="B27" s="98"/>
      <c r="C27" s="98"/>
      <c r="D27" s="341">
        <f t="shared" si="2"/>
        <v>46014</v>
      </c>
      <c r="E27" s="341" t="s">
        <v>629</v>
      </c>
      <c r="F27" s="232"/>
      <c r="G27" s="339">
        <f>SUM(F27:F33)</f>
        <v>0</v>
      </c>
      <c r="H27" s="383"/>
      <c r="I27" s="233"/>
      <c r="J27" s="88">
        <f>SUM(I27:I33)</f>
        <v>0</v>
      </c>
      <c r="K27" s="384"/>
      <c r="L27" s="232"/>
      <c r="M27" s="339">
        <f>SUM(L27:L33)</f>
        <v>0</v>
      </c>
      <c r="N27" s="383"/>
      <c r="O27" s="90" t="e">
        <f t="shared" si="0"/>
        <v>#DIV/0!</v>
      </c>
      <c r="P27" s="90" t="e">
        <f>M27/G27</f>
        <v>#DIV/0!</v>
      </c>
      <c r="Q27" s="382"/>
      <c r="R27" s="232"/>
      <c r="S27" s="339">
        <f>SUM(R27:R33)</f>
        <v>0</v>
      </c>
      <c r="T27" s="383"/>
      <c r="U27" s="90" t="e">
        <f t="shared" si="1"/>
        <v>#DIV/0!</v>
      </c>
      <c r="V27" s="90" t="e">
        <f>S27/G27</f>
        <v>#DIV/0!</v>
      </c>
      <c r="W27" s="382"/>
    </row>
    <row r="28" spans="2:23">
      <c r="B28" s="98"/>
      <c r="C28" s="98"/>
      <c r="D28" s="341">
        <f t="shared" si="2"/>
        <v>46015</v>
      </c>
      <c r="E28" s="341" t="s">
        <v>630</v>
      </c>
      <c r="F28" s="232"/>
      <c r="G28" s="339"/>
      <c r="H28" s="383"/>
      <c r="I28" s="233"/>
      <c r="K28" s="384"/>
      <c r="L28" s="232"/>
      <c r="M28" s="339"/>
      <c r="N28" s="383"/>
      <c r="O28" s="90" t="e">
        <f t="shared" si="0"/>
        <v>#DIV/0!</v>
      </c>
      <c r="Q28" s="382"/>
      <c r="R28" s="232"/>
      <c r="S28" s="339"/>
      <c r="T28" s="383"/>
      <c r="U28" s="90" t="e">
        <f t="shared" si="1"/>
        <v>#DIV/0!</v>
      </c>
      <c r="V28" s="90"/>
      <c r="W28" s="382"/>
    </row>
    <row r="29" spans="2:23">
      <c r="B29" s="98"/>
      <c r="C29" s="98"/>
      <c r="D29" s="341">
        <f t="shared" si="2"/>
        <v>46016</v>
      </c>
      <c r="E29" s="341" t="s">
        <v>631</v>
      </c>
      <c r="F29" s="232"/>
      <c r="G29" s="339"/>
      <c r="H29" s="383"/>
      <c r="I29" s="233"/>
      <c r="K29" s="384"/>
      <c r="L29" s="232"/>
      <c r="M29" s="339"/>
      <c r="N29" s="383"/>
      <c r="O29" s="90" t="e">
        <f t="shared" si="0"/>
        <v>#DIV/0!</v>
      </c>
      <c r="Q29" s="382"/>
      <c r="R29" s="232"/>
      <c r="S29" s="339"/>
      <c r="T29" s="383"/>
      <c r="U29" s="90" t="e">
        <f t="shared" si="1"/>
        <v>#DIV/0!</v>
      </c>
      <c r="V29" s="90"/>
      <c r="W29" s="382"/>
    </row>
    <row r="30" spans="2:23">
      <c r="B30" s="98"/>
      <c r="C30" s="98"/>
      <c r="D30" s="341">
        <f t="shared" si="2"/>
        <v>46017</v>
      </c>
      <c r="E30" s="341" t="s">
        <v>632</v>
      </c>
      <c r="F30" s="232"/>
      <c r="G30" s="339"/>
      <c r="H30" s="383"/>
      <c r="I30" s="233"/>
      <c r="K30" s="384"/>
      <c r="L30" s="232"/>
      <c r="M30" s="339"/>
      <c r="N30" s="383"/>
      <c r="O30" s="90" t="e">
        <f t="shared" si="0"/>
        <v>#DIV/0!</v>
      </c>
      <c r="Q30" s="382"/>
      <c r="R30" s="232"/>
      <c r="S30" s="339"/>
      <c r="T30" s="383"/>
      <c r="U30" s="90" t="e">
        <f t="shared" si="1"/>
        <v>#DIV/0!</v>
      </c>
      <c r="V30" s="90"/>
      <c r="W30" s="382"/>
    </row>
    <row r="31" spans="2:23">
      <c r="B31" s="98"/>
      <c r="C31" s="98"/>
      <c r="D31" s="341">
        <f t="shared" si="2"/>
        <v>46018</v>
      </c>
      <c r="E31" s="341" t="s">
        <v>633</v>
      </c>
      <c r="F31" s="232"/>
      <c r="G31" s="339"/>
      <c r="H31" s="383"/>
      <c r="I31" s="233"/>
      <c r="K31" s="384"/>
      <c r="L31" s="232"/>
      <c r="M31" s="339"/>
      <c r="N31" s="383"/>
      <c r="O31" s="90" t="e">
        <f t="shared" si="0"/>
        <v>#DIV/0!</v>
      </c>
      <c r="Q31" s="382"/>
      <c r="R31" s="232"/>
      <c r="S31" s="339"/>
      <c r="T31" s="383"/>
      <c r="U31" s="90" t="e">
        <f t="shared" si="1"/>
        <v>#DIV/0!</v>
      </c>
      <c r="V31" s="90"/>
      <c r="W31" s="382"/>
    </row>
    <row r="32" spans="2:23">
      <c r="B32" s="98"/>
      <c r="C32" s="98"/>
      <c r="D32" s="341">
        <f t="shared" si="2"/>
        <v>46019</v>
      </c>
      <c r="E32" s="341" t="s">
        <v>634</v>
      </c>
      <c r="F32" s="232"/>
      <c r="G32" s="339"/>
      <c r="H32" s="383"/>
      <c r="I32" s="233"/>
      <c r="K32" s="384"/>
      <c r="L32" s="232"/>
      <c r="M32" s="339"/>
      <c r="N32" s="383"/>
      <c r="O32" s="90" t="e">
        <f t="shared" si="0"/>
        <v>#DIV/0!</v>
      </c>
      <c r="Q32" s="382"/>
      <c r="R32" s="232"/>
      <c r="S32" s="339"/>
      <c r="T32" s="383"/>
      <c r="U32" s="90" t="e">
        <f t="shared" si="1"/>
        <v>#DIV/0!</v>
      </c>
      <c r="V32" s="90"/>
      <c r="W32" s="382"/>
    </row>
    <row r="33" spans="2:23">
      <c r="B33" s="98"/>
      <c r="C33" s="98"/>
      <c r="D33" s="341">
        <f t="shared" si="2"/>
        <v>46020</v>
      </c>
      <c r="E33" s="341" t="s">
        <v>628</v>
      </c>
      <c r="F33" s="232"/>
      <c r="G33" s="339"/>
      <c r="H33" s="383"/>
      <c r="I33" s="233"/>
      <c r="K33" s="384"/>
      <c r="L33" s="232"/>
      <c r="M33" s="339"/>
      <c r="N33" s="383"/>
      <c r="O33" s="90" t="e">
        <f t="shared" si="0"/>
        <v>#DIV/0!</v>
      </c>
      <c r="Q33" s="382"/>
      <c r="R33" s="232"/>
      <c r="S33" s="339"/>
      <c r="T33" s="383"/>
      <c r="U33" s="90" t="e">
        <f t="shared" si="1"/>
        <v>#DIV/0!</v>
      </c>
      <c r="V33" s="90"/>
      <c r="W33" s="382"/>
    </row>
    <row r="34" spans="2:23">
      <c r="B34" s="98"/>
      <c r="C34" s="98"/>
      <c r="D34" s="86">
        <f t="shared" si="2"/>
        <v>46021</v>
      </c>
      <c r="E34" s="86" t="s">
        <v>629</v>
      </c>
      <c r="F34" s="232"/>
      <c r="G34" s="339">
        <f>SUM(F34:F40)</f>
        <v>0</v>
      </c>
      <c r="H34" s="383"/>
      <c r="I34" s="233"/>
      <c r="J34" s="88">
        <f>SUM(I34:I40)</f>
        <v>0</v>
      </c>
      <c r="K34" s="384"/>
      <c r="L34" s="232"/>
      <c r="M34" s="339">
        <f>SUM(L34:L40)</f>
        <v>0</v>
      </c>
      <c r="N34" s="383"/>
      <c r="O34" s="90" t="e">
        <f t="shared" si="0"/>
        <v>#DIV/0!</v>
      </c>
      <c r="P34" s="90" t="e">
        <f>M34/G34</f>
        <v>#DIV/0!</v>
      </c>
      <c r="Q34" s="382"/>
      <c r="R34" s="232"/>
      <c r="S34" s="339">
        <f>SUM(R34:R40)</f>
        <v>0</v>
      </c>
      <c r="T34" s="383"/>
      <c r="U34" s="90" t="e">
        <f t="shared" si="1"/>
        <v>#DIV/0!</v>
      </c>
      <c r="V34" s="90" t="e">
        <f>S34/G34</f>
        <v>#DIV/0!</v>
      </c>
      <c r="W34" s="382"/>
    </row>
    <row r="35" spans="2:23">
      <c r="B35" s="98"/>
      <c r="C35" s="98"/>
      <c r="D35" s="86">
        <f t="shared" si="2"/>
        <v>46022</v>
      </c>
      <c r="E35" s="86" t="s">
        <v>630</v>
      </c>
      <c r="F35" s="232"/>
      <c r="G35" s="339"/>
      <c r="H35" s="383"/>
      <c r="I35" s="233"/>
      <c r="K35" s="384"/>
      <c r="L35" s="232"/>
      <c r="M35" s="339"/>
      <c r="N35" s="383"/>
      <c r="O35" s="90" t="e">
        <f t="shared" si="0"/>
        <v>#DIV/0!</v>
      </c>
      <c r="Q35" s="382"/>
      <c r="R35" s="232"/>
      <c r="S35" s="339"/>
      <c r="T35" s="383"/>
      <c r="U35" s="90" t="e">
        <f t="shared" si="1"/>
        <v>#DIV/0!</v>
      </c>
      <c r="V35" s="90"/>
      <c r="W35" s="382"/>
    </row>
    <row r="36" spans="2:23">
      <c r="B36" s="98"/>
      <c r="C36" s="98"/>
      <c r="D36" s="86">
        <f t="shared" si="2"/>
        <v>46023</v>
      </c>
      <c r="E36" s="86" t="s">
        <v>631</v>
      </c>
      <c r="F36" s="232"/>
      <c r="G36" s="339"/>
      <c r="H36" s="383"/>
      <c r="I36" s="233"/>
      <c r="K36" s="384"/>
      <c r="L36" s="232"/>
      <c r="M36" s="339"/>
      <c r="N36" s="383"/>
      <c r="O36" s="90" t="e">
        <f t="shared" si="0"/>
        <v>#DIV/0!</v>
      </c>
      <c r="Q36" s="382"/>
      <c r="R36" s="232"/>
      <c r="S36" s="339"/>
      <c r="T36" s="383"/>
      <c r="U36" s="90" t="e">
        <f t="shared" si="1"/>
        <v>#DIV/0!</v>
      </c>
      <c r="V36" s="90"/>
      <c r="W36" s="382"/>
    </row>
    <row r="37" spans="2:23">
      <c r="B37" s="98"/>
      <c r="D37" s="86">
        <f t="shared" si="2"/>
        <v>46024</v>
      </c>
      <c r="E37" s="86" t="s">
        <v>632</v>
      </c>
      <c r="F37" s="232"/>
      <c r="G37" s="339"/>
      <c r="I37" s="233"/>
      <c r="L37" s="232"/>
      <c r="M37" s="339"/>
      <c r="N37" s="87"/>
      <c r="O37" s="90" t="e">
        <f t="shared" si="0"/>
        <v>#DIV/0!</v>
      </c>
      <c r="Q37" s="87"/>
      <c r="R37" s="232"/>
      <c r="S37" s="339"/>
      <c r="T37" s="87"/>
      <c r="U37" s="90" t="e">
        <f t="shared" si="1"/>
        <v>#DIV/0!</v>
      </c>
      <c r="V37" s="90"/>
      <c r="W37" s="87"/>
    </row>
    <row r="38" spans="2:23">
      <c r="B38" s="98"/>
      <c r="D38" s="86">
        <f t="shared" si="2"/>
        <v>46025</v>
      </c>
      <c r="E38" s="86" t="s">
        <v>633</v>
      </c>
      <c r="F38" s="232"/>
      <c r="G38" s="339"/>
      <c r="I38" s="233"/>
      <c r="L38" s="232"/>
      <c r="M38" s="339"/>
      <c r="N38" s="87"/>
      <c r="O38" s="90" t="e">
        <f t="shared" si="0"/>
        <v>#DIV/0!</v>
      </c>
      <c r="Q38" s="87"/>
      <c r="R38" s="232"/>
      <c r="S38" s="339"/>
      <c r="T38" s="87"/>
      <c r="U38" s="90" t="e">
        <f t="shared" si="1"/>
        <v>#DIV/0!</v>
      </c>
      <c r="V38" s="90"/>
      <c r="W38" s="87"/>
    </row>
    <row r="39" spans="2:23">
      <c r="B39" s="98"/>
      <c r="D39" s="86">
        <f t="shared" si="2"/>
        <v>46026</v>
      </c>
      <c r="E39" s="86" t="s">
        <v>634</v>
      </c>
      <c r="F39" s="232"/>
      <c r="G39" s="339"/>
      <c r="I39" s="233"/>
      <c r="L39" s="232"/>
      <c r="M39" s="339"/>
      <c r="N39" s="87"/>
      <c r="O39" s="90" t="e">
        <f t="shared" si="0"/>
        <v>#DIV/0!</v>
      </c>
      <c r="Q39" s="87"/>
      <c r="R39" s="232"/>
      <c r="S39" s="339"/>
      <c r="T39" s="87"/>
      <c r="U39" s="90" t="e">
        <f t="shared" si="1"/>
        <v>#DIV/0!</v>
      </c>
      <c r="V39" s="90"/>
      <c r="W39" s="87"/>
    </row>
    <row r="40" spans="2:23">
      <c r="B40" s="98"/>
      <c r="D40" s="86">
        <f t="shared" si="2"/>
        <v>46027</v>
      </c>
      <c r="E40" s="86" t="s">
        <v>628</v>
      </c>
      <c r="F40" s="232"/>
      <c r="G40" s="339"/>
      <c r="I40" s="233"/>
      <c r="L40" s="232"/>
      <c r="M40" s="339"/>
      <c r="N40" s="87"/>
      <c r="O40" s="90" t="e">
        <f>L40/F40</f>
        <v>#DIV/0!</v>
      </c>
      <c r="Q40" s="87"/>
      <c r="R40" s="232"/>
      <c r="S40" s="339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F41" s="232"/>
      <c r="G41" s="339"/>
      <c r="I41" s="233"/>
      <c r="L41" s="232"/>
      <c r="M41" s="339"/>
      <c r="N41" s="87"/>
      <c r="O41" s="90" t="e">
        <f>L41/F41</f>
        <v>#DIV/0!</v>
      </c>
      <c r="Q41" s="87"/>
      <c r="R41" s="234"/>
      <c r="S41" s="339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9"/>
      <c r="M42" s="339"/>
      <c r="N42" s="87"/>
      <c r="Q42" s="87"/>
      <c r="S42" s="339"/>
      <c r="T42" s="87"/>
      <c r="V42" s="90"/>
      <c r="W42" s="87"/>
    </row>
    <row r="43" spans="2:23">
      <c r="B43" s="98"/>
      <c r="D43" s="86"/>
      <c r="E43" s="86"/>
      <c r="G43" s="339"/>
      <c r="M43" s="339"/>
      <c r="N43" s="87"/>
      <c r="Q43" s="87"/>
      <c r="S43" s="339"/>
      <c r="T43" s="87"/>
      <c r="V43" s="90"/>
      <c r="W43" s="87"/>
    </row>
    <row r="44" spans="2:23">
      <c r="B44" s="98"/>
      <c r="D44" s="86"/>
      <c r="E44" s="86"/>
      <c r="G44" s="339"/>
      <c r="M44" s="339"/>
      <c r="N44" s="87"/>
      <c r="Q44" s="87"/>
      <c r="S44" s="339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13" sqref="O13:O19"/>
    </sheetView>
  </sheetViews>
  <sheetFormatPr defaultColWidth="8.81640625" defaultRowHeight="12"/>
  <cols>
    <col min="1" max="1" width="4.453125" style="74" customWidth="1"/>
    <col min="2" max="2" width="12.54296875" style="82" customWidth="1"/>
    <col min="3" max="3" width="8.81640625" style="83"/>
    <col min="4" max="4" width="17.453125" style="84" customWidth="1"/>
    <col min="5" max="5" width="4.453125" style="84" customWidth="1"/>
    <col min="6" max="8" width="25.54296875" style="94" customWidth="1"/>
    <col min="9" max="11" width="15" style="73" customWidth="1"/>
    <col min="12" max="17" width="14.54296875" style="73" customWidth="1"/>
    <col min="18" max="21" width="14.1796875" style="73" customWidth="1"/>
    <col min="22" max="23" width="14.1796875" style="74" customWidth="1"/>
    <col min="24" max="16384" width="8.81640625" style="74"/>
  </cols>
  <sheetData>
    <row r="1" spans="2:23">
      <c r="B1" s="82" t="s">
        <v>334</v>
      </c>
      <c r="C1" s="83">
        <v>366</v>
      </c>
    </row>
    <row r="2" spans="2:23" ht="38.15" customHeight="1">
      <c r="B2" s="575" t="s">
        <v>126</v>
      </c>
      <c r="C2" s="582"/>
      <c r="D2" s="582"/>
      <c r="E2" s="582"/>
      <c r="F2" s="582"/>
      <c r="G2" s="582"/>
      <c r="H2" s="582"/>
      <c r="I2" s="582"/>
      <c r="J2" s="582"/>
      <c r="K2" s="582"/>
      <c r="L2" s="582"/>
      <c r="M2" s="582"/>
      <c r="N2" s="582"/>
      <c r="O2" s="582"/>
      <c r="P2" s="582"/>
      <c r="Q2" s="582"/>
      <c r="R2" s="582"/>
      <c r="S2" s="582"/>
      <c r="T2" s="582"/>
      <c r="U2" s="582"/>
    </row>
    <row r="3" spans="2:23" s="72" customFormat="1" ht="23.5" customHeight="1">
      <c r="B3" s="98"/>
      <c r="C3" s="579" t="s">
        <v>116</v>
      </c>
      <c r="D3" s="580" t="s">
        <v>105</v>
      </c>
      <c r="E3" s="580"/>
      <c r="F3" s="583" t="s">
        <v>107</v>
      </c>
      <c r="G3" s="583"/>
      <c r="H3" s="583"/>
      <c r="I3" s="585" t="s">
        <v>108</v>
      </c>
      <c r="J3" s="585"/>
      <c r="K3" s="585"/>
      <c r="L3" s="584" t="s">
        <v>324</v>
      </c>
      <c r="M3" s="584"/>
      <c r="N3" s="584"/>
      <c r="O3" s="584" t="s">
        <v>106</v>
      </c>
      <c r="P3" s="584"/>
      <c r="Q3" s="584"/>
      <c r="R3" s="584" t="s">
        <v>109</v>
      </c>
      <c r="S3" s="584"/>
      <c r="T3" s="584"/>
      <c r="U3" s="584" t="s">
        <v>110</v>
      </c>
      <c r="V3" s="584"/>
      <c r="W3" s="584"/>
    </row>
    <row r="4" spans="2:23" ht="14.5">
      <c r="B4" s="98"/>
      <c r="C4" s="579"/>
      <c r="D4" s="580"/>
      <c r="E4" s="580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5" customHeight="1">
      <c r="B5" s="98"/>
      <c r="C5" s="98"/>
      <c r="D5" s="341">
        <v>45992</v>
      </c>
      <c r="E5" s="341" t="s">
        <v>628</v>
      </c>
      <c r="F5" s="231">
        <v>318.47175009739664</v>
      </c>
      <c r="G5" s="93"/>
      <c r="H5" s="93"/>
      <c r="I5" s="90">
        <f>F5/$C$1</f>
        <v>0.870141393708734</v>
      </c>
      <c r="J5" s="215"/>
      <c r="K5" s="215"/>
      <c r="L5" s="253">
        <v>2.4398666199178009E-3</v>
      </c>
      <c r="M5" s="340"/>
      <c r="N5" s="340"/>
      <c r="O5" s="253">
        <v>2.0268145951910302E-3</v>
      </c>
      <c r="P5" s="340"/>
      <c r="Q5" s="340"/>
      <c r="R5" s="235">
        <v>0.91666666666666663</v>
      </c>
      <c r="S5" s="215"/>
      <c r="T5" s="340"/>
      <c r="U5" s="235">
        <v>0.92</v>
      </c>
      <c r="V5" s="215"/>
      <c r="W5" s="340"/>
    </row>
    <row r="6" spans="2:23" ht="14.5" customHeight="1">
      <c r="B6" s="98"/>
      <c r="C6" s="98"/>
      <c r="D6" s="86">
        <v>45993</v>
      </c>
      <c r="E6" s="86" t="s">
        <v>629</v>
      </c>
      <c r="F6" s="231">
        <v>314.46698421891574</v>
      </c>
      <c r="G6" s="93">
        <f>AVERAGE(F6:F12)</f>
        <v>322.80337480311169</v>
      </c>
      <c r="H6" s="93"/>
      <c r="I6" s="90">
        <f>F6/$C$1</f>
        <v>0.85919941043419601</v>
      </c>
      <c r="J6" s="215">
        <f>AVERAGE(I6:I12)</f>
        <v>0.8819764338882834</v>
      </c>
      <c r="K6" s="215"/>
      <c r="L6" s="253">
        <v>2.4403543405557321E-3</v>
      </c>
      <c r="M6" s="340">
        <f>AVERAGE(L6:L12)</f>
        <v>2.4534346061366465E-3</v>
      </c>
      <c r="N6" s="340"/>
      <c r="O6" s="253">
        <v>2.1237594082119289E-3</v>
      </c>
      <c r="P6" s="340">
        <f>AVERAGE(O6:O12)</f>
        <v>2.2055227928434108E-3</v>
      </c>
      <c r="Q6" s="340"/>
      <c r="R6" s="235">
        <v>0.91666666666666663</v>
      </c>
      <c r="S6" s="215">
        <f>AVERAGE(R6:R12)</f>
        <v>0.91666666666666674</v>
      </c>
      <c r="T6" s="340"/>
      <c r="U6" s="235">
        <v>0.92200000000000004</v>
      </c>
      <c r="V6" s="215">
        <f>AVERAGE(U6:U12)</f>
        <v>0.9245714285714286</v>
      </c>
      <c r="W6" s="340"/>
    </row>
    <row r="7" spans="2:23" ht="14.5" customHeight="1">
      <c r="B7" s="98"/>
      <c r="C7" s="98"/>
      <c r="D7" s="86">
        <f>D6+1</f>
        <v>45994</v>
      </c>
      <c r="E7" s="86" t="s">
        <v>630</v>
      </c>
      <c r="F7" s="231">
        <v>320.98264935794282</v>
      </c>
      <c r="G7" s="93"/>
      <c r="I7" s="90">
        <f t="shared" ref="I7:I40" si="0">F7/$C$1</f>
        <v>0.87700177420202952</v>
      </c>
      <c r="J7" s="215"/>
      <c r="L7" s="253">
        <v>2.4397273850217675E-3</v>
      </c>
      <c r="M7" s="340"/>
      <c r="O7" s="253">
        <v>2.2254509743929985E-3</v>
      </c>
      <c r="P7" s="340"/>
      <c r="R7" s="235">
        <v>0.91666666666666663</v>
      </c>
      <c r="S7" s="215"/>
      <c r="U7" s="235">
        <v>0.92200000000000004</v>
      </c>
      <c r="V7" s="215"/>
    </row>
    <row r="8" spans="2:23" ht="14.5" customHeight="1">
      <c r="B8" s="98"/>
      <c r="C8" s="98"/>
      <c r="D8" s="86">
        <f t="shared" ref="D8:D40" si="1">D7+1</f>
        <v>45995</v>
      </c>
      <c r="E8" s="86" t="s">
        <v>631</v>
      </c>
      <c r="F8" s="231">
        <v>310.76985296190236</v>
      </c>
      <c r="G8" s="93"/>
      <c r="H8" s="93"/>
      <c r="I8" s="90">
        <f t="shared" si="0"/>
        <v>0.84909795891230155</v>
      </c>
      <c r="J8" s="215"/>
      <c r="K8" s="215"/>
      <c r="L8" s="253">
        <v>2.4718908670409876E-3</v>
      </c>
      <c r="M8" s="340"/>
      <c r="N8" s="340"/>
      <c r="O8" s="253">
        <v>2.3965896298343394E-3</v>
      </c>
      <c r="P8" s="340"/>
      <c r="Q8" s="340"/>
      <c r="R8" s="235">
        <v>0.91666666666666663</v>
      </c>
      <c r="S8" s="215"/>
      <c r="T8" s="340"/>
      <c r="U8" s="235">
        <v>0.92400000000000004</v>
      </c>
      <c r="V8" s="215"/>
      <c r="W8" s="340"/>
    </row>
    <row r="9" spans="2:23" ht="14.5" customHeight="1">
      <c r="B9" s="98"/>
      <c r="C9" s="98"/>
      <c r="D9" s="86">
        <f t="shared" si="1"/>
        <v>45996</v>
      </c>
      <c r="E9" s="86" t="s">
        <v>632</v>
      </c>
      <c r="F9" s="231">
        <v>331.48548039597426</v>
      </c>
      <c r="G9" s="93"/>
      <c r="H9" s="93"/>
      <c r="I9" s="90">
        <f t="shared" si="0"/>
        <v>0.90569803386878212</v>
      </c>
      <c r="J9" s="215"/>
      <c r="K9" s="215"/>
      <c r="L9" s="253">
        <v>2.4590710340689974E-3</v>
      </c>
      <c r="M9" s="340"/>
      <c r="N9" s="340"/>
      <c r="O9" s="253">
        <v>2.5356559140363747E-3</v>
      </c>
      <c r="P9" s="340"/>
      <c r="Q9" s="340"/>
      <c r="R9" s="235">
        <v>0.91666666666666663</v>
      </c>
      <c r="S9" s="215"/>
      <c r="T9" s="340"/>
      <c r="U9" s="235">
        <v>0.92400000000000004</v>
      </c>
      <c r="V9" s="215"/>
      <c r="W9" s="340"/>
    </row>
    <row r="10" spans="2:23" ht="14.5" customHeight="1">
      <c r="B10" s="98"/>
      <c r="C10" s="98"/>
      <c r="D10" s="86">
        <f t="shared" si="1"/>
        <v>45997</v>
      </c>
      <c r="E10" s="86" t="s">
        <v>633</v>
      </c>
      <c r="F10" s="231">
        <v>322.27938276725507</v>
      </c>
      <c r="G10" s="93"/>
      <c r="H10" s="93">
        <f>AVERAGE(F5:F35)</f>
        <v>326.79084315957238</v>
      </c>
      <c r="I10" s="90">
        <f t="shared" si="0"/>
        <v>0.88054476165916684</v>
      </c>
      <c r="J10" s="215"/>
      <c r="K10" s="215">
        <f>AVERAGE(I5:I35)</f>
        <v>0.4320344304066267</v>
      </c>
      <c r="L10" s="253">
        <v>2.4710409174036811E-3</v>
      </c>
      <c r="M10" s="340"/>
      <c r="N10" s="340">
        <f>AVERAGE(L5:L35)</f>
        <v>2.457679390630857E-3</v>
      </c>
      <c r="O10" s="253">
        <v>2.1645747728569146E-3</v>
      </c>
      <c r="P10" s="340"/>
      <c r="Q10" s="215">
        <f>AVERAGE(O5:O35)</f>
        <v>2.120477190876342E-3</v>
      </c>
      <c r="R10" s="235">
        <v>0.91666666666666663</v>
      </c>
      <c r="S10" s="215"/>
      <c r="T10" s="215">
        <f>AVERAGE(R5:R35)</f>
        <v>0.91666666666666641</v>
      </c>
      <c r="U10" s="235">
        <v>0.92600000000000005</v>
      </c>
      <c r="V10" s="215"/>
      <c r="W10" s="215">
        <f>AVERAGE(U5:U35)</f>
        <v>0.92773333333333319</v>
      </c>
    </row>
    <row r="11" spans="2:23" ht="14.5" customHeight="1">
      <c r="B11" s="98"/>
      <c r="C11" s="98"/>
      <c r="D11" s="86">
        <f t="shared" si="1"/>
        <v>45998</v>
      </c>
      <c r="E11" s="86" t="s">
        <v>634</v>
      </c>
      <c r="F11" s="231">
        <v>332.97304309506058</v>
      </c>
      <c r="G11" s="93"/>
      <c r="H11" s="93"/>
      <c r="I11" s="90">
        <f t="shared" si="0"/>
        <v>0.90976241282803438</v>
      </c>
      <c r="J11" s="215"/>
      <c r="K11" s="215"/>
      <c r="L11" s="253">
        <v>2.4495717196869448E-3</v>
      </c>
      <c r="M11" s="340"/>
      <c r="N11" s="340"/>
      <c r="O11" s="253">
        <v>2.0712141899269418E-3</v>
      </c>
      <c r="P11" s="340"/>
      <c r="Q11" s="340"/>
      <c r="R11" s="235">
        <v>0.91666666666666663</v>
      </c>
      <c r="S11" s="215"/>
      <c r="T11" s="340"/>
      <c r="U11" s="235">
        <v>0.92600000000000005</v>
      </c>
      <c r="V11" s="215"/>
      <c r="W11" s="340"/>
    </row>
    <row r="12" spans="2:23" ht="14.5" customHeight="1">
      <c r="B12" s="98"/>
      <c r="C12" s="98"/>
      <c r="D12" s="86">
        <f t="shared" si="1"/>
        <v>45999</v>
      </c>
      <c r="E12" s="86" t="s">
        <v>628</v>
      </c>
      <c r="F12" s="231">
        <v>326.6662308247312</v>
      </c>
      <c r="G12" s="93"/>
      <c r="H12" s="93"/>
      <c r="I12" s="90">
        <f t="shared" si="0"/>
        <v>0.89253068531347324</v>
      </c>
      <c r="J12" s="215"/>
      <c r="K12" s="215"/>
      <c r="L12" s="253">
        <v>2.4423859791784163E-3</v>
      </c>
      <c r="M12" s="340"/>
      <c r="N12" s="340"/>
      <c r="O12" s="253">
        <v>1.9214146606443775E-3</v>
      </c>
      <c r="P12" s="340"/>
      <c r="Q12" s="340"/>
      <c r="R12" s="235">
        <v>0.91666666666666663</v>
      </c>
      <c r="S12" s="215"/>
      <c r="T12" s="340"/>
      <c r="U12" s="235">
        <v>0.92800000000000005</v>
      </c>
      <c r="V12" s="215"/>
      <c r="W12" s="340"/>
    </row>
    <row r="13" spans="2:23" ht="14.5" customHeight="1">
      <c r="B13" s="98"/>
      <c r="C13" s="98"/>
      <c r="D13" s="341">
        <f t="shared" si="1"/>
        <v>46000</v>
      </c>
      <c r="E13" s="341" t="s">
        <v>629</v>
      </c>
      <c r="F13" s="231">
        <v>333.35800628156107</v>
      </c>
      <c r="G13" s="93">
        <f>AVERAGE(F13:F19)</f>
        <v>331.96675338205824</v>
      </c>
      <c r="H13" s="93"/>
      <c r="I13" s="90">
        <f t="shared" si="0"/>
        <v>0.91081422481300844</v>
      </c>
      <c r="J13" s="215">
        <f>AVERAGE(I13:I19)</f>
        <v>0.90701298738267266</v>
      </c>
      <c r="K13" s="215"/>
      <c r="L13" s="253">
        <v>2.4521458883271473E-3</v>
      </c>
      <c r="M13" s="340">
        <f>AVERAGE(L13:L19)</f>
        <v>2.4644688566555031E-3</v>
      </c>
      <c r="N13" s="340"/>
      <c r="O13" s="253">
        <v>1.8604212400498621E-3</v>
      </c>
      <c r="P13" s="340">
        <f>AVERAGE(O13:O19)</f>
        <v>2.0488119597214592E-3</v>
      </c>
      <c r="Q13" s="340"/>
      <c r="R13" s="235">
        <v>0.91666666666666663</v>
      </c>
      <c r="S13" s="215">
        <f>AVERAGE(R13:R19)</f>
        <v>0.91666666666666674</v>
      </c>
      <c r="T13" s="340"/>
      <c r="U13" s="235">
        <v>0.92800000000000005</v>
      </c>
      <c r="V13" s="215">
        <f>AVERAGE(U13:U19)</f>
        <v>0.93200000000000016</v>
      </c>
      <c r="W13" s="340"/>
    </row>
    <row r="14" spans="2:23" ht="14.5" customHeight="1">
      <c r="B14" s="98"/>
      <c r="C14" s="98"/>
      <c r="D14" s="341">
        <f t="shared" si="1"/>
        <v>46001</v>
      </c>
      <c r="E14" s="341" t="s">
        <v>630</v>
      </c>
      <c r="F14" s="231">
        <v>329.72508530452933</v>
      </c>
      <c r="G14" s="93"/>
      <c r="H14" s="93"/>
      <c r="I14" s="90">
        <f t="shared" si="0"/>
        <v>0.90088821121456097</v>
      </c>
      <c r="J14" s="215"/>
      <c r="K14" s="215"/>
      <c r="L14" s="253">
        <v>2.4694354259895599E-3</v>
      </c>
      <c r="M14" s="340"/>
      <c r="N14" s="340"/>
      <c r="O14" s="253">
        <v>1.9319960590861377E-3</v>
      </c>
      <c r="P14" s="340"/>
      <c r="Q14" s="340"/>
      <c r="R14" s="235">
        <v>0.91666666666666663</v>
      </c>
      <c r="S14" s="215"/>
      <c r="T14" s="340"/>
      <c r="U14" s="235">
        <v>0.93</v>
      </c>
      <c r="V14" s="215"/>
      <c r="W14" s="340"/>
    </row>
    <row r="15" spans="2:23" ht="14.5" customHeight="1">
      <c r="B15" s="98"/>
      <c r="C15" s="98"/>
      <c r="D15" s="341">
        <f t="shared" si="1"/>
        <v>46002</v>
      </c>
      <c r="E15" s="341" t="s">
        <v>631</v>
      </c>
      <c r="F15" s="231">
        <v>335.51581309410369</v>
      </c>
      <c r="G15" s="93"/>
      <c r="H15" s="93"/>
      <c r="I15" s="90">
        <f t="shared" si="0"/>
        <v>0.91670987184181341</v>
      </c>
      <c r="J15" s="215"/>
      <c r="K15" s="215"/>
      <c r="L15" s="253">
        <v>2.4711292730693873E-3</v>
      </c>
      <c r="M15" s="340"/>
      <c r="N15" s="340"/>
      <c r="O15" s="253">
        <v>2.2613435112817238E-3</v>
      </c>
      <c r="P15" s="340"/>
      <c r="Q15" s="340"/>
      <c r="R15" s="235">
        <v>0.91666666666666663</v>
      </c>
      <c r="S15" s="215"/>
      <c r="T15" s="340"/>
      <c r="U15" s="235">
        <v>0.93</v>
      </c>
      <c r="V15" s="215"/>
      <c r="W15" s="340"/>
    </row>
    <row r="16" spans="2:23" ht="14.5" customHeight="1">
      <c r="B16" s="98"/>
      <c r="C16" s="98"/>
      <c r="D16" s="341">
        <f t="shared" si="1"/>
        <v>46003</v>
      </c>
      <c r="E16" s="341" t="s">
        <v>632</v>
      </c>
      <c r="F16" s="231">
        <v>328.69076228815931</v>
      </c>
      <c r="G16" s="93"/>
      <c r="H16" s="93"/>
      <c r="I16" s="90">
        <f t="shared" si="0"/>
        <v>0.89806219204415105</v>
      </c>
      <c r="J16" s="215"/>
      <c r="K16" s="215"/>
      <c r="L16" s="253">
        <v>2.4587643060642013E-3</v>
      </c>
      <c r="M16" s="340"/>
      <c r="N16" s="340"/>
      <c r="O16" s="253">
        <v>2.2849685496318388E-3</v>
      </c>
      <c r="P16" s="340"/>
      <c r="Q16" s="340"/>
      <c r="R16" s="235">
        <v>0.91666666666666663</v>
      </c>
      <c r="S16" s="215"/>
      <c r="T16" s="340"/>
      <c r="U16" s="235">
        <v>0.93</v>
      </c>
      <c r="V16" s="215"/>
      <c r="W16" s="340"/>
    </row>
    <row r="17" spans="2:23" ht="14.5" customHeight="1">
      <c r="B17" s="98"/>
      <c r="C17" s="98"/>
      <c r="D17" s="341">
        <f t="shared" si="1"/>
        <v>46004</v>
      </c>
      <c r="E17" s="341" t="s">
        <v>633</v>
      </c>
      <c r="F17" s="231">
        <v>335.80165707341303</v>
      </c>
      <c r="G17" s="93"/>
      <c r="H17" s="93"/>
      <c r="I17" s="90">
        <f t="shared" si="0"/>
        <v>0.91749086632080057</v>
      </c>
      <c r="J17" s="215"/>
      <c r="K17" s="215"/>
      <c r="L17" s="253">
        <v>2.4798355230894269E-3</v>
      </c>
      <c r="M17" s="340"/>
      <c r="N17" s="340"/>
      <c r="O17" s="253">
        <v>2.1706001890301717E-3</v>
      </c>
      <c r="P17" s="340"/>
      <c r="Q17" s="340"/>
      <c r="R17" s="235">
        <v>0.91666666666666663</v>
      </c>
      <c r="S17" s="215"/>
      <c r="T17" s="340"/>
      <c r="U17" s="235">
        <v>0.93200000000000005</v>
      </c>
      <c r="V17" s="215"/>
      <c r="W17" s="340"/>
    </row>
    <row r="18" spans="2:23" ht="14.5" customHeight="1">
      <c r="B18" s="98"/>
      <c r="C18" s="98"/>
      <c r="D18" s="341">
        <f t="shared" si="1"/>
        <v>46005</v>
      </c>
      <c r="E18" s="341" t="s">
        <v>634</v>
      </c>
      <c r="F18" s="231">
        <v>322.8726097488306</v>
      </c>
      <c r="G18" s="93"/>
      <c r="H18" s="93"/>
      <c r="I18" s="90">
        <f t="shared" si="0"/>
        <v>0.88216560040664094</v>
      </c>
      <c r="J18" s="215"/>
      <c r="K18" s="215"/>
      <c r="L18" s="253">
        <v>2.4590305583281052E-3</v>
      </c>
      <c r="M18" s="340"/>
      <c r="N18" s="340"/>
      <c r="O18" s="253">
        <v>1.8270738019191513E-3</v>
      </c>
      <c r="P18" s="340"/>
      <c r="Q18" s="340"/>
      <c r="R18" s="235">
        <v>0.91666666666666663</v>
      </c>
      <c r="S18" s="215"/>
      <c r="T18" s="340"/>
      <c r="U18" s="235">
        <v>0.93400000000000005</v>
      </c>
      <c r="V18" s="215"/>
      <c r="W18" s="340"/>
    </row>
    <row r="19" spans="2:23" ht="14.5" customHeight="1">
      <c r="B19" s="98"/>
      <c r="C19" s="98"/>
      <c r="D19" s="341">
        <f t="shared" si="1"/>
        <v>46006</v>
      </c>
      <c r="E19" s="341" t="s">
        <v>628</v>
      </c>
      <c r="F19" s="231">
        <v>337.80333988381034</v>
      </c>
      <c r="G19" s="93"/>
      <c r="H19" s="93"/>
      <c r="I19" s="90">
        <f t="shared" si="0"/>
        <v>0.92295994503773315</v>
      </c>
      <c r="J19" s="215"/>
      <c r="K19" s="215"/>
      <c r="L19" s="253">
        <v>2.4609410217206933E-3</v>
      </c>
      <c r="M19" s="340"/>
      <c r="N19" s="340"/>
      <c r="O19" s="253">
        <v>2.0052803670513302E-3</v>
      </c>
      <c r="P19" s="340"/>
      <c r="Q19" s="340"/>
      <c r="R19" s="235">
        <v>0.91666666666666663</v>
      </c>
      <c r="S19" s="215"/>
      <c r="T19" s="340"/>
      <c r="U19" s="235">
        <v>0.94</v>
      </c>
      <c r="V19" s="215"/>
      <c r="W19" s="340"/>
    </row>
    <row r="20" spans="2:23" ht="14.5" customHeight="1">
      <c r="B20" s="98"/>
      <c r="C20" s="98"/>
      <c r="D20" s="86">
        <f t="shared" si="1"/>
        <v>46007</v>
      </c>
      <c r="E20" s="86" t="s">
        <v>629</v>
      </c>
      <c r="F20" s="231"/>
      <c r="G20" s="93" t="e">
        <f>AVERAGE(F20:F26)</f>
        <v>#DIV/0!</v>
      </c>
      <c r="H20" s="93"/>
      <c r="I20" s="90">
        <f t="shared" si="0"/>
        <v>0</v>
      </c>
      <c r="J20" s="215">
        <f>AVERAGE(I20:I26)</f>
        <v>0</v>
      </c>
      <c r="K20" s="215"/>
      <c r="L20" s="253"/>
      <c r="M20" s="340" t="e">
        <f>AVERAGE(L20:L26)</f>
        <v>#DIV/0!</v>
      </c>
      <c r="N20" s="340"/>
      <c r="O20" s="253"/>
      <c r="P20" s="340" t="e">
        <f>AVERAGE(O20:O26)</f>
        <v>#DIV/0!</v>
      </c>
      <c r="Q20" s="340"/>
      <c r="R20" s="235"/>
      <c r="S20" s="215" t="e">
        <f>AVERAGE(R20:R26)</f>
        <v>#DIV/0!</v>
      </c>
      <c r="T20" s="340"/>
      <c r="U20" s="235"/>
      <c r="V20" s="215" t="e">
        <f>AVERAGE(U20:U26)</f>
        <v>#DIV/0!</v>
      </c>
      <c r="W20" s="340"/>
    </row>
    <row r="21" spans="2:23" ht="14.5" customHeight="1">
      <c r="B21" s="98"/>
      <c r="C21" s="98"/>
      <c r="D21" s="86">
        <f t="shared" si="1"/>
        <v>46008</v>
      </c>
      <c r="E21" s="86" t="s">
        <v>630</v>
      </c>
      <c r="F21" s="231"/>
      <c r="G21" s="93"/>
      <c r="H21" s="93"/>
      <c r="I21" s="90">
        <f t="shared" si="0"/>
        <v>0</v>
      </c>
      <c r="J21" s="215"/>
      <c r="K21" s="215"/>
      <c r="L21" s="253"/>
      <c r="M21" s="340"/>
      <c r="N21" s="340"/>
      <c r="O21" s="253"/>
      <c r="P21" s="340"/>
      <c r="Q21" s="340"/>
      <c r="R21" s="235"/>
      <c r="S21" s="215"/>
      <c r="T21" s="340"/>
      <c r="U21" s="235"/>
      <c r="V21" s="215"/>
      <c r="W21" s="340"/>
    </row>
    <row r="22" spans="2:23" ht="14.5" customHeight="1">
      <c r="B22" s="98"/>
      <c r="C22" s="98"/>
      <c r="D22" s="86">
        <f t="shared" si="1"/>
        <v>46009</v>
      </c>
      <c r="E22" s="86" t="s">
        <v>631</v>
      </c>
      <c r="F22" s="231"/>
      <c r="G22" s="93"/>
      <c r="H22" s="93"/>
      <c r="I22" s="90">
        <f t="shared" si="0"/>
        <v>0</v>
      </c>
      <c r="J22" s="215"/>
      <c r="K22" s="215"/>
      <c r="L22" s="253"/>
      <c r="M22" s="340"/>
      <c r="N22" s="340"/>
      <c r="O22" s="253"/>
      <c r="P22" s="340"/>
      <c r="Q22" s="340"/>
      <c r="R22" s="235"/>
      <c r="S22" s="215"/>
      <c r="T22" s="340"/>
      <c r="U22" s="235"/>
      <c r="V22" s="215"/>
      <c r="W22" s="340"/>
    </row>
    <row r="23" spans="2:23" ht="14.5" customHeight="1">
      <c r="B23" s="98"/>
      <c r="C23" s="98"/>
      <c r="D23" s="86">
        <f t="shared" si="1"/>
        <v>46010</v>
      </c>
      <c r="E23" s="86" t="s">
        <v>632</v>
      </c>
      <c r="F23" s="231"/>
      <c r="G23" s="93"/>
      <c r="H23" s="93"/>
      <c r="I23" s="90">
        <f t="shared" si="0"/>
        <v>0</v>
      </c>
      <c r="J23" s="215"/>
      <c r="K23" s="215"/>
      <c r="L23" s="253"/>
      <c r="M23" s="340"/>
      <c r="N23" s="340"/>
      <c r="O23" s="253"/>
      <c r="P23" s="340"/>
      <c r="Q23" s="340"/>
      <c r="R23" s="235"/>
      <c r="S23" s="215"/>
      <c r="T23" s="340"/>
      <c r="U23" s="235"/>
      <c r="V23" s="215"/>
      <c r="W23" s="340"/>
    </row>
    <row r="24" spans="2:23" ht="14.5" customHeight="1">
      <c r="B24" s="98"/>
      <c r="C24" s="98"/>
      <c r="D24" s="86">
        <f t="shared" si="1"/>
        <v>46011</v>
      </c>
      <c r="E24" s="86" t="s">
        <v>633</v>
      </c>
      <c r="F24" s="231"/>
      <c r="G24" s="93"/>
      <c r="H24" s="93"/>
      <c r="I24" s="90">
        <f t="shared" si="0"/>
        <v>0</v>
      </c>
      <c r="J24" s="215"/>
      <c r="K24" s="215"/>
      <c r="L24" s="253"/>
      <c r="M24" s="340"/>
      <c r="N24" s="340"/>
      <c r="O24" s="253"/>
      <c r="P24" s="340"/>
      <c r="Q24" s="340"/>
      <c r="R24" s="235"/>
      <c r="S24" s="215"/>
      <c r="T24" s="340"/>
      <c r="U24" s="235"/>
      <c r="V24" s="215"/>
      <c r="W24" s="340"/>
    </row>
    <row r="25" spans="2:23" ht="14.5" customHeight="1">
      <c r="B25" s="98"/>
      <c r="C25" s="98"/>
      <c r="D25" s="86">
        <f t="shared" si="1"/>
        <v>46012</v>
      </c>
      <c r="E25" s="86" t="s">
        <v>634</v>
      </c>
      <c r="F25" s="231"/>
      <c r="G25" s="93"/>
      <c r="H25" s="93"/>
      <c r="I25" s="90">
        <f t="shared" si="0"/>
        <v>0</v>
      </c>
      <c r="J25" s="215"/>
      <c r="K25" s="215"/>
      <c r="L25" s="253"/>
      <c r="M25" s="340"/>
      <c r="N25" s="340"/>
      <c r="O25" s="253"/>
      <c r="P25" s="340"/>
      <c r="Q25" s="340"/>
      <c r="R25" s="235"/>
      <c r="S25" s="215"/>
      <c r="T25" s="340"/>
      <c r="U25" s="235"/>
      <c r="V25" s="215"/>
      <c r="W25" s="340"/>
    </row>
    <row r="26" spans="2:23" ht="14.5" customHeight="1">
      <c r="B26" s="98"/>
      <c r="C26" s="98"/>
      <c r="D26" s="86">
        <f t="shared" si="1"/>
        <v>46013</v>
      </c>
      <c r="E26" s="86" t="s">
        <v>628</v>
      </c>
      <c r="F26" s="231"/>
      <c r="G26" s="93"/>
      <c r="H26" s="93"/>
      <c r="I26" s="90">
        <f t="shared" si="0"/>
        <v>0</v>
      </c>
      <c r="J26" s="215"/>
      <c r="K26" s="215"/>
      <c r="L26" s="253"/>
      <c r="M26" s="340"/>
      <c r="N26" s="340"/>
      <c r="O26" s="253"/>
      <c r="P26" s="340"/>
      <c r="Q26" s="340"/>
      <c r="R26" s="235"/>
      <c r="S26" s="215"/>
      <c r="T26" s="340"/>
      <c r="U26" s="235"/>
      <c r="V26" s="215"/>
      <c r="W26" s="340"/>
    </row>
    <row r="27" spans="2:23" ht="14.5" customHeight="1">
      <c r="B27" s="98"/>
      <c r="C27" s="98"/>
      <c r="D27" s="341">
        <f t="shared" si="1"/>
        <v>46014</v>
      </c>
      <c r="E27" s="341" t="s">
        <v>629</v>
      </c>
      <c r="F27" s="231"/>
      <c r="G27" s="93" t="e">
        <f>AVERAGE(F27:F33)</f>
        <v>#DIV/0!</v>
      </c>
      <c r="H27" s="93"/>
      <c r="I27" s="90">
        <f t="shared" si="0"/>
        <v>0</v>
      </c>
      <c r="J27" s="215">
        <f>AVERAGE(I27:I33)</f>
        <v>0</v>
      </c>
      <c r="K27" s="215"/>
      <c r="L27" s="253"/>
      <c r="M27" s="340" t="e">
        <f>AVERAGE(L27:L33)</f>
        <v>#DIV/0!</v>
      </c>
      <c r="N27" s="340"/>
      <c r="O27" s="253"/>
      <c r="P27" s="340" t="e">
        <f>AVERAGE(O27:O33)</f>
        <v>#DIV/0!</v>
      </c>
      <c r="Q27" s="340"/>
      <c r="R27" s="235"/>
      <c r="S27" s="215" t="e">
        <f>AVERAGE(R27:R33)</f>
        <v>#DIV/0!</v>
      </c>
      <c r="T27" s="340"/>
      <c r="U27" s="235"/>
      <c r="V27" s="215" t="e">
        <f>AVERAGE(U27:U33)</f>
        <v>#DIV/0!</v>
      </c>
      <c r="W27" s="340"/>
    </row>
    <row r="28" spans="2:23" ht="14.5" customHeight="1">
      <c r="B28" s="98"/>
      <c r="C28" s="98"/>
      <c r="D28" s="341">
        <f t="shared" si="1"/>
        <v>46015</v>
      </c>
      <c r="E28" s="341" t="s">
        <v>630</v>
      </c>
      <c r="F28" s="231"/>
      <c r="G28" s="93"/>
      <c r="H28" s="93"/>
      <c r="I28" s="90">
        <f t="shared" si="0"/>
        <v>0</v>
      </c>
      <c r="J28" s="215"/>
      <c r="K28" s="215"/>
      <c r="L28" s="253"/>
      <c r="M28" s="340"/>
      <c r="N28" s="340"/>
      <c r="O28" s="253"/>
      <c r="P28" s="340"/>
      <c r="Q28" s="340"/>
      <c r="R28" s="235"/>
      <c r="S28" s="215"/>
      <c r="T28" s="340"/>
      <c r="U28" s="235"/>
      <c r="V28" s="215"/>
      <c r="W28" s="340"/>
    </row>
    <row r="29" spans="2:23" ht="14.5" customHeight="1">
      <c r="B29" s="98"/>
      <c r="C29" s="98"/>
      <c r="D29" s="341">
        <f t="shared" si="1"/>
        <v>46016</v>
      </c>
      <c r="E29" s="341" t="s">
        <v>631</v>
      </c>
      <c r="F29" s="231"/>
      <c r="G29" s="93"/>
      <c r="H29" s="93"/>
      <c r="I29" s="90">
        <f t="shared" si="0"/>
        <v>0</v>
      </c>
      <c r="J29" s="215"/>
      <c r="K29" s="215"/>
      <c r="L29" s="253"/>
      <c r="M29" s="340"/>
      <c r="N29" s="340"/>
      <c r="O29" s="253"/>
      <c r="P29" s="340"/>
      <c r="Q29" s="340"/>
      <c r="R29" s="235"/>
      <c r="S29" s="215"/>
      <c r="T29" s="340"/>
      <c r="U29" s="235"/>
      <c r="V29" s="215"/>
      <c r="W29" s="340"/>
    </row>
    <row r="30" spans="2:23" ht="14.5" customHeight="1">
      <c r="B30" s="98"/>
      <c r="C30" s="98"/>
      <c r="D30" s="341">
        <f t="shared" si="1"/>
        <v>46017</v>
      </c>
      <c r="E30" s="341" t="s">
        <v>632</v>
      </c>
      <c r="F30" s="231"/>
      <c r="G30" s="93"/>
      <c r="H30" s="93"/>
      <c r="I30" s="90">
        <f t="shared" si="0"/>
        <v>0</v>
      </c>
      <c r="J30" s="215"/>
      <c r="K30" s="215"/>
      <c r="L30" s="253"/>
      <c r="M30" s="340"/>
      <c r="N30" s="340"/>
      <c r="O30" s="253"/>
      <c r="P30" s="340"/>
      <c r="Q30" s="340"/>
      <c r="R30" s="235"/>
      <c r="S30" s="215"/>
      <c r="T30" s="340"/>
      <c r="U30" s="235"/>
      <c r="V30" s="215"/>
      <c r="W30" s="340"/>
    </row>
    <row r="31" spans="2:23" ht="14.5" customHeight="1">
      <c r="B31" s="98"/>
      <c r="C31" s="98"/>
      <c r="D31" s="341">
        <f t="shared" si="1"/>
        <v>46018</v>
      </c>
      <c r="E31" s="341" t="s">
        <v>633</v>
      </c>
      <c r="F31" s="231"/>
      <c r="G31" s="93"/>
      <c r="H31" s="93"/>
      <c r="I31" s="90">
        <f t="shared" si="0"/>
        <v>0</v>
      </c>
      <c r="J31" s="215"/>
      <c r="K31" s="215"/>
      <c r="L31" s="253"/>
      <c r="M31" s="340"/>
      <c r="N31" s="340"/>
      <c r="O31" s="253"/>
      <c r="P31" s="340"/>
      <c r="Q31" s="340"/>
      <c r="R31" s="235"/>
      <c r="S31" s="215"/>
      <c r="T31" s="340"/>
      <c r="U31" s="235"/>
      <c r="V31" s="215"/>
      <c r="W31" s="340"/>
    </row>
    <row r="32" spans="2:23" ht="14.5" customHeight="1">
      <c r="B32" s="98"/>
      <c r="C32" s="98"/>
      <c r="D32" s="341">
        <f t="shared" si="1"/>
        <v>46019</v>
      </c>
      <c r="E32" s="341" t="s">
        <v>634</v>
      </c>
      <c r="F32" s="231"/>
      <c r="G32" s="93"/>
      <c r="H32" s="93"/>
      <c r="I32" s="90">
        <f t="shared" si="0"/>
        <v>0</v>
      </c>
      <c r="J32" s="215"/>
      <c r="K32" s="215"/>
      <c r="L32" s="253"/>
      <c r="M32" s="340"/>
      <c r="N32" s="340"/>
      <c r="O32" s="253"/>
      <c r="P32" s="340"/>
      <c r="Q32" s="340"/>
      <c r="R32" s="235"/>
      <c r="S32" s="215"/>
      <c r="T32" s="340"/>
      <c r="U32" s="235"/>
      <c r="V32" s="215"/>
      <c r="W32" s="340"/>
    </row>
    <row r="33" spans="2:23" ht="14.5" customHeight="1">
      <c r="B33" s="98"/>
      <c r="C33" s="98"/>
      <c r="D33" s="341">
        <f t="shared" si="1"/>
        <v>46020</v>
      </c>
      <c r="E33" s="341" t="s">
        <v>628</v>
      </c>
      <c r="F33" s="231"/>
      <c r="G33" s="93"/>
      <c r="H33" s="93"/>
      <c r="I33" s="90">
        <f t="shared" si="0"/>
        <v>0</v>
      </c>
      <c r="J33" s="215"/>
      <c r="K33" s="215"/>
      <c r="L33" s="253"/>
      <c r="M33" s="340"/>
      <c r="N33" s="340"/>
      <c r="O33" s="253"/>
      <c r="P33" s="340"/>
      <c r="Q33" s="340"/>
      <c r="R33" s="235"/>
      <c r="S33" s="215"/>
      <c r="T33" s="340"/>
      <c r="U33" s="235"/>
      <c r="V33" s="215"/>
      <c r="W33" s="340"/>
    </row>
    <row r="34" spans="2:23" ht="14.5" customHeight="1">
      <c r="B34" s="98"/>
      <c r="C34" s="98"/>
      <c r="D34" s="86">
        <f t="shared" si="1"/>
        <v>46021</v>
      </c>
      <c r="E34" s="86" t="s">
        <v>629</v>
      </c>
      <c r="F34" s="231"/>
      <c r="G34" s="93" t="e">
        <f>AVERAGE(F34:F40)</f>
        <v>#DIV/0!</v>
      </c>
      <c r="H34" s="93"/>
      <c r="I34" s="90">
        <f t="shared" si="0"/>
        <v>0</v>
      </c>
      <c r="J34" s="215">
        <f>AVERAGE(I34:I40)</f>
        <v>0</v>
      </c>
      <c r="K34" s="215"/>
      <c r="L34" s="253"/>
      <c r="M34" s="340" t="e">
        <f>AVERAGE(L34:L40)</f>
        <v>#DIV/0!</v>
      </c>
      <c r="N34" s="340"/>
      <c r="O34" s="253"/>
      <c r="P34" s="340" t="e">
        <f>AVERAGE(O34:O40)</f>
        <v>#DIV/0!</v>
      </c>
      <c r="Q34" s="340"/>
      <c r="R34" s="235"/>
      <c r="S34" s="215" t="e">
        <f>AVERAGE(R34:R40)</f>
        <v>#DIV/0!</v>
      </c>
      <c r="T34" s="340"/>
      <c r="U34" s="235"/>
      <c r="V34" s="215" t="e">
        <f>AVERAGE(U34:U40)</f>
        <v>#DIV/0!</v>
      </c>
      <c r="W34" s="340"/>
    </row>
    <row r="35" spans="2:23" ht="14.5" customHeight="1">
      <c r="B35" s="98"/>
      <c r="C35" s="98"/>
      <c r="D35" s="86">
        <f t="shared" si="1"/>
        <v>46022</v>
      </c>
      <c r="E35" s="86" t="s">
        <v>630</v>
      </c>
      <c r="F35" s="231"/>
      <c r="G35" s="93"/>
      <c r="H35" s="93"/>
      <c r="I35" s="90">
        <f t="shared" si="0"/>
        <v>0</v>
      </c>
      <c r="J35" s="215"/>
      <c r="K35" s="215"/>
      <c r="L35" s="253"/>
      <c r="M35" s="340"/>
      <c r="N35" s="340"/>
      <c r="O35" s="253"/>
      <c r="P35" s="340"/>
      <c r="Q35" s="340"/>
      <c r="R35" s="235"/>
      <c r="S35" s="215"/>
      <c r="T35" s="340"/>
      <c r="U35" s="235"/>
      <c r="V35" s="215"/>
      <c r="W35" s="340"/>
    </row>
    <row r="36" spans="2:23">
      <c r="B36" s="98"/>
      <c r="C36" s="98"/>
      <c r="D36" s="86">
        <f t="shared" si="1"/>
        <v>46023</v>
      </c>
      <c r="E36" s="86" t="s">
        <v>631</v>
      </c>
      <c r="F36" s="231"/>
      <c r="G36" s="93"/>
      <c r="H36" s="93"/>
      <c r="I36" s="90">
        <f t="shared" si="0"/>
        <v>0</v>
      </c>
      <c r="J36" s="215"/>
      <c r="K36" s="215"/>
      <c r="L36" s="253"/>
      <c r="M36" s="90"/>
      <c r="N36" s="340"/>
      <c r="O36" s="253"/>
      <c r="P36" s="90"/>
      <c r="Q36" s="340"/>
      <c r="R36" s="235"/>
      <c r="S36" s="215"/>
      <c r="T36" s="215"/>
      <c r="U36" s="235"/>
      <c r="V36" s="215"/>
      <c r="W36" s="215"/>
    </row>
    <row r="37" spans="2:23">
      <c r="B37" s="98"/>
      <c r="D37" s="86">
        <f t="shared" si="1"/>
        <v>46024</v>
      </c>
      <c r="E37" s="86" t="s">
        <v>632</v>
      </c>
      <c r="F37" s="231"/>
      <c r="G37" s="93"/>
      <c r="H37" s="93"/>
      <c r="I37" s="90">
        <f t="shared" si="0"/>
        <v>0</v>
      </c>
      <c r="J37" s="215"/>
      <c r="K37" s="87"/>
      <c r="L37" s="253"/>
      <c r="M37" s="90"/>
      <c r="N37" s="90"/>
      <c r="O37" s="253"/>
      <c r="P37" s="90"/>
      <c r="Q37" s="90"/>
      <c r="R37" s="235"/>
      <c r="S37" s="215"/>
      <c r="T37" s="215"/>
      <c r="U37" s="235"/>
      <c r="V37" s="215"/>
      <c r="W37" s="215"/>
    </row>
    <row r="38" spans="2:23">
      <c r="B38" s="98"/>
      <c r="D38" s="86">
        <f t="shared" si="1"/>
        <v>46025</v>
      </c>
      <c r="E38" s="86" t="s">
        <v>633</v>
      </c>
      <c r="F38" s="231"/>
      <c r="G38" s="93"/>
      <c r="H38" s="93"/>
      <c r="I38" s="90">
        <f t="shared" si="0"/>
        <v>0</v>
      </c>
      <c r="J38" s="215"/>
      <c r="K38" s="87"/>
      <c r="L38" s="253"/>
      <c r="M38" s="90"/>
      <c r="N38" s="90"/>
      <c r="O38" s="253"/>
      <c r="P38" s="90"/>
      <c r="Q38" s="90"/>
      <c r="R38" s="235"/>
      <c r="S38" s="215"/>
      <c r="T38" s="215"/>
      <c r="U38" s="235"/>
      <c r="V38" s="215"/>
      <c r="W38" s="215"/>
    </row>
    <row r="39" spans="2:23">
      <c r="B39" s="98"/>
      <c r="D39" s="86">
        <f t="shared" si="1"/>
        <v>46026</v>
      </c>
      <c r="E39" s="86" t="s">
        <v>634</v>
      </c>
      <c r="F39" s="231"/>
      <c r="G39" s="93"/>
      <c r="H39" s="93"/>
      <c r="I39" s="90">
        <f t="shared" si="0"/>
        <v>0</v>
      </c>
      <c r="J39" s="215"/>
      <c r="K39" s="87"/>
      <c r="L39" s="253"/>
      <c r="M39" s="90"/>
      <c r="N39" s="90"/>
      <c r="O39" s="253"/>
      <c r="P39" s="90"/>
      <c r="Q39" s="90"/>
      <c r="R39" s="235"/>
      <c r="S39" s="215"/>
      <c r="T39" s="215"/>
      <c r="U39" s="235"/>
      <c r="V39" s="215"/>
      <c r="W39" s="215"/>
    </row>
    <row r="40" spans="2:23">
      <c r="B40" s="98"/>
      <c r="D40" s="86">
        <f t="shared" si="1"/>
        <v>46027</v>
      </c>
      <c r="E40" s="86" t="s">
        <v>628</v>
      </c>
      <c r="F40" s="231"/>
      <c r="G40" s="93"/>
      <c r="H40" s="93"/>
      <c r="I40" s="90">
        <f t="shared" si="0"/>
        <v>0</v>
      </c>
      <c r="J40" s="215"/>
      <c r="K40" s="87"/>
      <c r="L40" s="253"/>
      <c r="M40" s="90"/>
      <c r="N40" s="90"/>
      <c r="O40" s="253"/>
      <c r="P40" s="90"/>
      <c r="Q40" s="90"/>
      <c r="R40" s="235"/>
      <c r="S40" s="215"/>
      <c r="T40" s="215"/>
      <c r="U40" s="235"/>
      <c r="V40" s="215"/>
      <c r="W40" s="215"/>
    </row>
    <row r="41" spans="2:23">
      <c r="B41" s="98"/>
    </row>
    <row r="42" spans="2:23">
      <c r="B42" s="98"/>
      <c r="D42" s="86"/>
      <c r="E42" s="86"/>
      <c r="F42" s="321"/>
      <c r="G42" s="93"/>
      <c r="H42" s="93"/>
      <c r="I42" s="90"/>
      <c r="J42" s="215"/>
      <c r="K42" s="87"/>
      <c r="L42" s="327"/>
      <c r="M42" s="90"/>
      <c r="N42" s="90"/>
      <c r="O42" s="327"/>
      <c r="P42" s="90"/>
      <c r="Q42" s="90"/>
      <c r="R42" s="326"/>
      <c r="S42" s="215"/>
      <c r="T42" s="215"/>
      <c r="U42" s="326"/>
      <c r="V42" s="215"/>
      <c r="W42" s="215"/>
    </row>
    <row r="43" spans="2:23">
      <c r="B43" s="98"/>
      <c r="D43" s="86"/>
      <c r="E43" s="86"/>
      <c r="F43" s="321"/>
      <c r="G43" s="93"/>
      <c r="H43" s="93"/>
      <c r="I43" s="90"/>
      <c r="J43" s="215"/>
      <c r="K43" s="87"/>
      <c r="L43" s="327"/>
      <c r="M43" s="90"/>
      <c r="N43" s="90"/>
      <c r="O43" s="327"/>
      <c r="P43" s="90"/>
      <c r="Q43" s="90"/>
      <c r="R43" s="326"/>
      <c r="S43" s="215"/>
      <c r="T43" s="215"/>
      <c r="U43" s="326"/>
      <c r="V43" s="215"/>
      <c r="W43" s="215"/>
    </row>
    <row r="44" spans="2:23">
      <c r="B44" s="98"/>
      <c r="D44" s="86"/>
      <c r="E44" s="86"/>
      <c r="F44" s="321"/>
      <c r="G44" s="93"/>
      <c r="H44" s="93"/>
      <c r="I44" s="90"/>
      <c r="J44" s="215"/>
      <c r="K44" s="87"/>
      <c r="L44" s="327"/>
      <c r="M44" s="90"/>
      <c r="N44" s="90"/>
      <c r="O44" s="327"/>
      <c r="P44" s="90"/>
      <c r="Q44" s="90"/>
      <c r="R44" s="326"/>
      <c r="S44" s="215"/>
      <c r="T44" s="215"/>
      <c r="U44" s="326"/>
      <c r="V44" s="215"/>
      <c r="W44" s="215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5" zoomScaleNormal="7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W17" sqref="W17:W21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1" style="103" bestFit="1" customWidth="1"/>
    <col min="5" max="5" width="8.54296875" style="84" customWidth="1"/>
    <col min="6" max="8" width="17.453125" style="102" customWidth="1"/>
    <col min="9" max="9" width="10.54296875" style="97" customWidth="1"/>
    <col min="10" max="10" width="10.54296875" style="90" customWidth="1"/>
    <col min="11" max="11" width="10.54296875" style="97" customWidth="1"/>
    <col min="12" max="14" width="10.54296875" style="90" customWidth="1"/>
    <col min="15" max="15" width="10.54296875" style="97" customWidth="1"/>
    <col min="16" max="16" width="10.54296875" style="90" customWidth="1"/>
    <col min="17" max="17" width="10.54296875" style="97" customWidth="1"/>
    <col min="18" max="18" width="10.54296875" style="90" customWidth="1"/>
    <col min="19" max="19" width="10.54296875" style="97" customWidth="1"/>
    <col min="20" max="20" width="10.54296875" style="90" customWidth="1"/>
    <col min="21" max="21" width="10.54296875" style="97" customWidth="1"/>
    <col min="22" max="22" width="10.54296875" style="90" customWidth="1"/>
    <col min="23" max="23" width="10.54296875" style="97" customWidth="1"/>
    <col min="24" max="24" width="10.54296875" style="90" customWidth="1"/>
    <col min="25" max="25" width="10.54296875" style="97" customWidth="1"/>
    <col min="26" max="26" width="10.54296875" style="90" customWidth="1"/>
    <col min="27" max="27" width="10.54296875" style="97" customWidth="1"/>
    <col min="28" max="28" width="10.54296875" style="90" customWidth="1"/>
    <col min="29" max="29" width="10.54296875" style="97" customWidth="1"/>
    <col min="30" max="30" width="10.54296875" style="90" customWidth="1"/>
    <col min="31" max="31" width="10.54296875" style="97" customWidth="1"/>
    <col min="32" max="32" width="10.54296875" style="90" customWidth="1"/>
    <col min="33" max="33" width="10.453125" style="97" customWidth="1"/>
    <col min="34" max="34" width="10.453125" style="90" customWidth="1"/>
    <col min="35" max="35" width="10.453125" style="97" customWidth="1"/>
    <col min="36" max="36" width="10.453125" style="90" customWidth="1"/>
    <col min="37" max="37" width="10.453125" style="97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589" t="s">
        <v>319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  <c r="R2" s="589"/>
      <c r="S2" s="589"/>
      <c r="T2" s="589"/>
      <c r="U2" s="589"/>
      <c r="V2" s="589"/>
      <c r="W2" s="589"/>
      <c r="X2" s="589"/>
      <c r="Y2" s="589"/>
      <c r="Z2" s="589"/>
      <c r="AA2" s="589"/>
      <c r="AB2" s="589"/>
      <c r="AC2" s="589"/>
      <c r="AD2" s="589"/>
      <c r="AE2" s="589"/>
      <c r="AF2" s="589"/>
      <c r="AG2" s="589"/>
      <c r="AH2" s="589"/>
      <c r="AI2" s="589"/>
      <c r="AJ2" s="589"/>
      <c r="AK2" s="589"/>
      <c r="AL2" s="589"/>
    </row>
    <row r="3" spans="1:38" ht="25.4" customHeight="1">
      <c r="B3" s="98"/>
      <c r="C3" s="590" t="s">
        <v>139</v>
      </c>
      <c r="D3" s="591" t="s">
        <v>105</v>
      </c>
      <c r="E3" s="591"/>
      <c r="F3" s="592" t="s">
        <v>360</v>
      </c>
      <c r="G3" s="592"/>
      <c r="H3" s="592"/>
      <c r="I3" s="593" t="s">
        <v>111</v>
      </c>
      <c r="J3" s="593"/>
      <c r="K3" s="593"/>
      <c r="L3" s="593"/>
      <c r="M3" s="593"/>
      <c r="N3" s="593"/>
      <c r="O3" s="593"/>
      <c r="P3" s="593"/>
      <c r="Q3" s="593"/>
      <c r="R3" s="593"/>
      <c r="S3" s="593"/>
      <c r="T3" s="593"/>
      <c r="U3" s="593"/>
      <c r="V3" s="593"/>
      <c r="W3" s="593"/>
      <c r="X3" s="593"/>
      <c r="Y3" s="593"/>
      <c r="Z3" s="593"/>
      <c r="AA3" s="593"/>
      <c r="AB3" s="593"/>
      <c r="AC3" s="593"/>
      <c r="AD3" s="593"/>
      <c r="AE3" s="593"/>
      <c r="AF3" s="593"/>
      <c r="AG3" s="593"/>
      <c r="AH3" s="593"/>
      <c r="AI3" s="593"/>
      <c r="AJ3" s="593"/>
      <c r="AK3" s="593"/>
      <c r="AL3" s="593"/>
    </row>
    <row r="4" spans="1:38" ht="25.4" customHeight="1">
      <c r="B4" s="98"/>
      <c r="C4" s="590"/>
      <c r="D4" s="591"/>
      <c r="E4" s="591"/>
      <c r="F4" s="592"/>
      <c r="G4" s="592"/>
      <c r="H4" s="592"/>
      <c r="I4" s="587" t="s">
        <v>140</v>
      </c>
      <c r="J4" s="587"/>
      <c r="K4" s="587"/>
      <c r="L4" s="587"/>
      <c r="M4" s="587"/>
      <c r="N4" s="587"/>
      <c r="O4" s="587" t="s">
        <v>141</v>
      </c>
      <c r="P4" s="587"/>
      <c r="Q4" s="587"/>
      <c r="R4" s="587"/>
      <c r="S4" s="587"/>
      <c r="T4" s="587"/>
      <c r="U4" s="587" t="s">
        <v>343</v>
      </c>
      <c r="V4" s="587"/>
      <c r="W4" s="587" t="s">
        <v>143</v>
      </c>
      <c r="X4" s="587"/>
      <c r="Y4" s="587" t="s">
        <v>134</v>
      </c>
      <c r="Z4" s="587"/>
      <c r="AA4" s="587"/>
      <c r="AB4" s="587"/>
      <c r="AC4" s="587"/>
      <c r="AD4" s="587"/>
      <c r="AE4" s="587" t="s">
        <v>132</v>
      </c>
      <c r="AF4" s="587"/>
      <c r="AG4" s="587" t="s">
        <v>144</v>
      </c>
      <c r="AH4" s="587"/>
      <c r="AI4" s="587" t="s">
        <v>145</v>
      </c>
      <c r="AJ4" s="587"/>
      <c r="AK4" s="587" t="s">
        <v>138</v>
      </c>
      <c r="AL4" s="587"/>
    </row>
    <row r="5" spans="1:38" ht="25.4" customHeight="1">
      <c r="B5" s="98"/>
      <c r="C5" s="590"/>
      <c r="D5" s="591"/>
      <c r="E5" s="591"/>
      <c r="F5" s="586" t="s">
        <v>115</v>
      </c>
      <c r="G5" s="586" t="s">
        <v>117</v>
      </c>
      <c r="H5" s="586" t="s">
        <v>118</v>
      </c>
      <c r="I5" s="587" t="s">
        <v>129</v>
      </c>
      <c r="J5" s="587"/>
      <c r="K5" s="587" t="s">
        <v>130</v>
      </c>
      <c r="L5" s="587"/>
      <c r="M5" s="588" t="s">
        <v>146</v>
      </c>
      <c r="N5" s="587"/>
      <c r="O5" s="587" t="s">
        <v>129</v>
      </c>
      <c r="P5" s="587"/>
      <c r="Q5" s="587" t="s">
        <v>130</v>
      </c>
      <c r="R5" s="587"/>
      <c r="S5" s="588" t="s">
        <v>146</v>
      </c>
      <c r="T5" s="587"/>
      <c r="U5" s="587" t="s">
        <v>129</v>
      </c>
      <c r="V5" s="587"/>
      <c r="W5" s="587" t="s">
        <v>129</v>
      </c>
      <c r="X5" s="587"/>
      <c r="Y5" s="587" t="s">
        <v>129</v>
      </c>
      <c r="Z5" s="587"/>
      <c r="AA5" s="587" t="s">
        <v>130</v>
      </c>
      <c r="AB5" s="587"/>
      <c r="AC5" s="588" t="s">
        <v>146</v>
      </c>
      <c r="AD5" s="587"/>
      <c r="AE5" s="587" t="s">
        <v>129</v>
      </c>
      <c r="AF5" s="587"/>
      <c r="AG5" s="587" t="s">
        <v>129</v>
      </c>
      <c r="AH5" s="587"/>
      <c r="AI5" s="587" t="s">
        <v>129</v>
      </c>
      <c r="AJ5" s="587"/>
      <c r="AK5" s="587" t="s">
        <v>129</v>
      </c>
      <c r="AL5" s="587"/>
    </row>
    <row r="6" spans="1:38" s="80" customFormat="1" ht="23.5" customHeight="1">
      <c r="B6" s="98"/>
      <c r="C6" s="590"/>
      <c r="D6" s="591"/>
      <c r="E6" s="591"/>
      <c r="F6" s="586"/>
      <c r="G6" s="586"/>
      <c r="H6" s="586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83"/>
      <c r="D7" s="341">
        <v>45992</v>
      </c>
      <c r="E7" s="341" t="s">
        <v>628</v>
      </c>
      <c r="F7" s="230">
        <f t="shared" ref="F7" si="0">SUM(M7,S7,U7,W7,AC7,AE7,AG7,AI7,AK7)</f>
        <v>7261499.0000000009</v>
      </c>
      <c r="G7" s="339"/>
      <c r="I7" s="236">
        <v>547116.00907815632</v>
      </c>
      <c r="J7" s="101">
        <f>I7/F7</f>
        <v>7.5344775104720971E-2</v>
      </c>
      <c r="K7" s="236">
        <v>802330.41837701725</v>
      </c>
      <c r="L7" s="101">
        <f>K7/F7</f>
        <v>0.11049101822874549</v>
      </c>
      <c r="M7" s="229">
        <f>SUM(I7+K7)</f>
        <v>1349446.4274551736</v>
      </c>
      <c r="N7" s="101">
        <f>M7/F7</f>
        <v>0.18583579333346648</v>
      </c>
      <c r="O7" s="236">
        <v>143482.93250858356</v>
      </c>
      <c r="P7" s="101">
        <f>O7/F7</f>
        <v>1.9759409525303733E-2</v>
      </c>
      <c r="Q7" s="236">
        <v>95300.188879149529</v>
      </c>
      <c r="R7" s="101">
        <f t="shared" ref="R7" si="1">Q7/$F7</f>
        <v>1.3124038009114856E-2</v>
      </c>
      <c r="S7" s="229">
        <f t="shared" ref="S7" si="2">SUM(O7+Q7)</f>
        <v>238783.12138773309</v>
      </c>
      <c r="T7" s="101">
        <f>S7/F7</f>
        <v>3.2883447534418589E-2</v>
      </c>
      <c r="U7" s="236">
        <v>600702.96553281671</v>
      </c>
      <c r="V7" s="101">
        <f>U7/F7</f>
        <v>8.2724374889098881E-2</v>
      </c>
      <c r="W7" s="236">
        <v>28417.830078729297</v>
      </c>
      <c r="X7" s="101">
        <f>W7/F7</f>
        <v>3.913493629721535E-3</v>
      </c>
      <c r="Y7" s="236">
        <v>601911.83933456882</v>
      </c>
      <c r="Z7" s="101">
        <f>Y7/F7</f>
        <v>8.2890852058861222E-2</v>
      </c>
      <c r="AA7" s="236">
        <v>1272400.8499421033</v>
      </c>
      <c r="AB7" s="101">
        <f t="shared" ref="AB7" si="3">AA7/$F7</f>
        <v>0.17522564555088463</v>
      </c>
      <c r="AC7" s="229">
        <f>SUM(Y7+AA7)</f>
        <v>1874312.689276672</v>
      </c>
      <c r="AD7" s="101">
        <f>AC7/F7</f>
        <v>0.25811649760974581</v>
      </c>
      <c r="AE7" s="236">
        <v>1046304.1450225618</v>
      </c>
      <c r="AF7" s="101">
        <f>AE7/F7</f>
        <v>0.14408927757513451</v>
      </c>
      <c r="AG7" s="236">
        <v>1206791.5727008637</v>
      </c>
      <c r="AH7" s="101">
        <f>AG7/F7</f>
        <v>0.16619042055928998</v>
      </c>
      <c r="AI7" s="236">
        <v>378278.1500662312</v>
      </c>
      <c r="AJ7" s="101">
        <f>AI7/F7</f>
        <v>5.2093672403760047E-2</v>
      </c>
      <c r="AK7" s="236">
        <v>538462.0984792189</v>
      </c>
      <c r="AL7" s="101">
        <f>AK7/F7</f>
        <v>7.415302246536408E-2</v>
      </c>
    </row>
    <row r="8" spans="1:38" ht="12">
      <c r="B8" s="98"/>
      <c r="C8" s="478"/>
      <c r="D8" s="86">
        <v>45993</v>
      </c>
      <c r="E8" s="86" t="s">
        <v>629</v>
      </c>
      <c r="F8" s="230">
        <f>SUM(M8,S8,U8,W8,AC8,AE8,AG8,AI8,AK8)</f>
        <v>7236654.0000000009</v>
      </c>
      <c r="G8" s="339">
        <f>SUM(F8:F14)</f>
        <v>47582302</v>
      </c>
      <c r="I8" s="236">
        <v>530333.21209850197</v>
      </c>
      <c r="J8" s="101">
        <f t="shared" ref="J8:J13" si="4">I8/F8</f>
        <v>7.3284312349119071E-2</v>
      </c>
      <c r="K8" s="236">
        <v>779594.2189545501</v>
      </c>
      <c r="L8" s="101">
        <f t="shared" ref="L8:L13" si="5">K8/F8</f>
        <v>0.10772854677791006</v>
      </c>
      <c r="M8" s="229">
        <f t="shared" ref="M8:M13" si="6">SUM(I8+K8)</f>
        <v>1309927.4310530522</v>
      </c>
      <c r="N8" s="101">
        <f t="shared" ref="N8:N13" si="7">M8/F8</f>
        <v>0.18101285912702916</v>
      </c>
      <c r="O8" s="236">
        <v>137168.96655466984</v>
      </c>
      <c r="P8" s="101">
        <f t="shared" ref="P8:P13" si="8">O8/F8</f>
        <v>1.8954749882289498E-2</v>
      </c>
      <c r="Q8" s="236">
        <v>93054.27524535745</v>
      </c>
      <c r="R8" s="101">
        <f t="shared" ref="R8:R14" si="9">Q8/$F8</f>
        <v>1.285874317679931E-2</v>
      </c>
      <c r="S8" s="229">
        <f t="shared" ref="S8:S14" si="10">SUM(O8+Q8)</f>
        <v>230223.24180002729</v>
      </c>
      <c r="T8" s="101">
        <f t="shared" ref="T8:T13" si="11">S8/F8</f>
        <v>3.1813493059088808E-2</v>
      </c>
      <c r="U8" s="236">
        <v>588511.00151653506</v>
      </c>
      <c r="V8" s="101">
        <f t="shared" ref="V8:V13" si="12">U8/F8</f>
        <v>8.1323634032597805E-2</v>
      </c>
      <c r="W8" s="236">
        <v>28051.695529857479</v>
      </c>
      <c r="X8" s="101">
        <f t="shared" ref="X8:X13" si="13">W8/F8</f>
        <v>3.8763350479182057E-3</v>
      </c>
      <c r="Y8" s="236">
        <v>592360.75725605816</v>
      </c>
      <c r="Z8" s="101">
        <f t="shared" ref="Z8:Z13" si="14">Y8/F8</f>
        <v>8.1855614107853997E-2</v>
      </c>
      <c r="AA8" s="236">
        <v>1231812.7604492963</v>
      </c>
      <c r="AB8" s="101">
        <f t="shared" ref="AB8:AB14" si="15">AA8/$F8</f>
        <v>0.17021855134283001</v>
      </c>
      <c r="AC8" s="229">
        <f t="shared" ref="AC8:AC13" si="16">SUM(Y8+AA8)</f>
        <v>1824173.5177053544</v>
      </c>
      <c r="AD8" s="101">
        <f t="shared" ref="AD8:AD13" si="17">AC8/F8</f>
        <v>0.25207416545068401</v>
      </c>
      <c r="AE8" s="236">
        <v>996597.13671918213</v>
      </c>
      <c r="AF8" s="101">
        <f t="shared" ref="AF8:AF13" si="18">AE8/F8</f>
        <v>0.13771518393986806</v>
      </c>
      <c r="AG8" s="236">
        <v>1383070.1718081811</v>
      </c>
      <c r="AH8" s="101">
        <f t="shared" ref="AH8:AH13" si="19">AG8/F8</f>
        <v>0.191120118746617</v>
      </c>
      <c r="AI8" s="236">
        <v>349181.95736787003</v>
      </c>
      <c r="AJ8" s="101">
        <f t="shared" ref="AJ8:AJ13" si="20">AI8/F8</f>
        <v>4.8251851942606346E-2</v>
      </c>
      <c r="AK8" s="236">
        <v>526917.84649994038</v>
      </c>
      <c r="AL8" s="101">
        <f t="shared" ref="AL8:AL13" si="21">AK8/F8</f>
        <v>7.2812358653590495E-2</v>
      </c>
    </row>
    <row r="9" spans="1:38" ht="12">
      <c r="B9" s="98"/>
      <c r="C9" s="98"/>
      <c r="D9" s="86">
        <f>D8+1</f>
        <v>45994</v>
      </c>
      <c r="E9" s="86" t="s">
        <v>630</v>
      </c>
      <c r="F9" s="230">
        <f t="shared" ref="F9:F45" si="22">SUM(M9,S9,U9,W9,AC9,AE9,AG9,AI9,AK9)</f>
        <v>6888543</v>
      </c>
      <c r="G9" s="339"/>
      <c r="I9" s="236">
        <v>526762.35896821809</v>
      </c>
      <c r="J9" s="101">
        <f t="shared" si="4"/>
        <v>7.6469343222248604E-2</v>
      </c>
      <c r="K9" s="236">
        <v>758147.51519697625</v>
      </c>
      <c r="L9" s="101">
        <f t="shared" si="5"/>
        <v>0.11005919759765981</v>
      </c>
      <c r="M9" s="229">
        <f t="shared" si="6"/>
        <v>1284909.8741651943</v>
      </c>
      <c r="N9" s="101">
        <f t="shared" si="7"/>
        <v>0.18652854081990841</v>
      </c>
      <c r="O9" s="236">
        <v>142282.63136647581</v>
      </c>
      <c r="P9" s="101">
        <f t="shared" si="8"/>
        <v>2.0654967438901928E-2</v>
      </c>
      <c r="Q9" s="236">
        <v>97009.818032284355</v>
      </c>
      <c r="R9" s="101">
        <f t="shared" si="9"/>
        <v>1.4082777451238144E-2</v>
      </c>
      <c r="S9" s="229">
        <f t="shared" si="10"/>
        <v>239292.44939876016</v>
      </c>
      <c r="T9" s="101">
        <f t="shared" si="11"/>
        <v>3.4737744890140074E-2</v>
      </c>
      <c r="U9" s="236">
        <v>560035.02097879583</v>
      </c>
      <c r="V9" s="101">
        <f t="shared" si="12"/>
        <v>8.1299488292197034E-2</v>
      </c>
      <c r="W9" s="236">
        <v>29194.40508463158</v>
      </c>
      <c r="X9" s="101">
        <f t="shared" si="13"/>
        <v>4.2381103064365834E-3</v>
      </c>
      <c r="Y9" s="236">
        <v>565620.79317642562</v>
      </c>
      <c r="Z9" s="101">
        <f t="shared" si="14"/>
        <v>8.2110366905806587E-2</v>
      </c>
      <c r="AA9" s="236">
        <v>1154648.9394908363</v>
      </c>
      <c r="AB9" s="101">
        <f t="shared" si="15"/>
        <v>0.16761874600925572</v>
      </c>
      <c r="AC9" s="229">
        <f t="shared" si="16"/>
        <v>1720269.732667262</v>
      </c>
      <c r="AD9" s="101">
        <f t="shared" si="17"/>
        <v>0.24972911291506231</v>
      </c>
      <c r="AE9" s="236">
        <v>971865.12478706404</v>
      </c>
      <c r="AF9" s="101">
        <f t="shared" si="18"/>
        <v>0.14108427932976017</v>
      </c>
      <c r="AG9" s="236">
        <v>1184600.8544347121</v>
      </c>
      <c r="AH9" s="101">
        <f t="shared" si="19"/>
        <v>0.17196682294568127</v>
      </c>
      <c r="AI9" s="236">
        <v>369726.55607012898</v>
      </c>
      <c r="AJ9" s="101">
        <f t="shared" si="20"/>
        <v>5.3672678833554352E-2</v>
      </c>
      <c r="AK9" s="236">
        <v>528648.98241345061</v>
      </c>
      <c r="AL9" s="101">
        <f t="shared" si="21"/>
        <v>7.6743221667259762E-2</v>
      </c>
    </row>
    <row r="10" spans="1:38" ht="12">
      <c r="B10" s="98"/>
      <c r="C10" s="98"/>
      <c r="D10" s="86">
        <f t="shared" ref="D10:D42" si="23">D9+1</f>
        <v>45995</v>
      </c>
      <c r="E10" s="86" t="s">
        <v>631</v>
      </c>
      <c r="F10" s="230">
        <f t="shared" si="22"/>
        <v>6535953.9999999991</v>
      </c>
      <c r="G10" s="339"/>
      <c r="H10" s="381"/>
      <c r="I10" s="236">
        <v>506363.5964399575</v>
      </c>
      <c r="J10" s="101">
        <f t="shared" si="4"/>
        <v>7.7473555725752902E-2</v>
      </c>
      <c r="K10" s="236">
        <v>727397.56001078547</v>
      </c>
      <c r="L10" s="101">
        <f t="shared" si="5"/>
        <v>0.11129171961901592</v>
      </c>
      <c r="M10" s="229">
        <f t="shared" si="6"/>
        <v>1233761.1564507429</v>
      </c>
      <c r="N10" s="101">
        <f t="shared" si="7"/>
        <v>0.18876527534476881</v>
      </c>
      <c r="O10" s="236">
        <v>141972.2190204497</v>
      </c>
      <c r="P10" s="101">
        <f t="shared" si="8"/>
        <v>2.1721728613825882E-2</v>
      </c>
      <c r="Q10" s="236">
        <v>98299.235684252286</v>
      </c>
      <c r="R10" s="101">
        <f t="shared" si="9"/>
        <v>1.5039768591433217E-2</v>
      </c>
      <c r="S10" s="229">
        <f t="shared" si="10"/>
        <v>240271.45470470199</v>
      </c>
      <c r="T10" s="101">
        <f t="shared" si="11"/>
        <v>3.6761497205259099E-2</v>
      </c>
      <c r="U10" s="236">
        <v>551591.23754891311</v>
      </c>
      <c r="V10" s="101">
        <f t="shared" si="12"/>
        <v>8.4393378158553925E-2</v>
      </c>
      <c r="W10" s="236">
        <v>28616.676027852896</v>
      </c>
      <c r="X10" s="101">
        <f t="shared" si="13"/>
        <v>4.3783472202914677E-3</v>
      </c>
      <c r="Y10" s="236">
        <v>548905.90415186412</v>
      </c>
      <c r="Z10" s="101">
        <f t="shared" si="14"/>
        <v>8.3982522544048532E-2</v>
      </c>
      <c r="AA10" s="236">
        <v>1039376.5155857997</v>
      </c>
      <c r="AB10" s="101">
        <f t="shared" si="15"/>
        <v>0.15902445390310271</v>
      </c>
      <c r="AC10" s="229">
        <f t="shared" si="16"/>
        <v>1588282.4197376638</v>
      </c>
      <c r="AD10" s="101">
        <f t="shared" si="17"/>
        <v>0.24300697644715125</v>
      </c>
      <c r="AE10" s="236">
        <v>915362.80129302025</v>
      </c>
      <c r="AF10" s="101">
        <f t="shared" si="18"/>
        <v>0.14005037386937247</v>
      </c>
      <c r="AG10" s="236">
        <v>1115453.6359693005</v>
      </c>
      <c r="AH10" s="101">
        <f t="shared" si="19"/>
        <v>0.17066424212430209</v>
      </c>
      <c r="AI10" s="236">
        <v>356002.01485681831</v>
      </c>
      <c r="AJ10" s="101">
        <f t="shared" si="20"/>
        <v>5.4468255874631055E-2</v>
      </c>
      <c r="AK10" s="236">
        <v>506612.60341098491</v>
      </c>
      <c r="AL10" s="101">
        <f t="shared" si="21"/>
        <v>7.751165375566979E-2</v>
      </c>
    </row>
    <row r="11" spans="1:38" ht="12">
      <c r="B11" s="98"/>
      <c r="C11" s="98"/>
      <c r="D11" s="86">
        <f t="shared" si="23"/>
        <v>45996</v>
      </c>
      <c r="E11" s="86" t="s">
        <v>632</v>
      </c>
      <c r="F11" s="230">
        <f t="shared" si="22"/>
        <v>6075464.9999999991</v>
      </c>
      <c r="G11" s="339"/>
      <c r="H11" s="381"/>
      <c r="I11" s="236">
        <v>446133.98649682221</v>
      </c>
      <c r="J11" s="101">
        <f t="shared" si="4"/>
        <v>7.3432072523966857E-2</v>
      </c>
      <c r="K11" s="236">
        <v>734858.95374034008</v>
      </c>
      <c r="L11" s="101">
        <f t="shared" si="5"/>
        <v>0.12095517853206959</v>
      </c>
      <c r="M11" s="229">
        <f t="shared" si="6"/>
        <v>1180992.9402371622</v>
      </c>
      <c r="N11" s="101">
        <f t="shared" si="7"/>
        <v>0.19438725105603644</v>
      </c>
      <c r="O11" s="236">
        <v>114585.37255391308</v>
      </c>
      <c r="P11" s="101">
        <f t="shared" si="8"/>
        <v>1.8860346089379677E-2</v>
      </c>
      <c r="Q11" s="236">
        <v>84528.438639308821</v>
      </c>
      <c r="R11" s="101">
        <f t="shared" si="9"/>
        <v>1.3913081326171549E-2</v>
      </c>
      <c r="S11" s="229">
        <f t="shared" si="10"/>
        <v>199113.81119322189</v>
      </c>
      <c r="T11" s="101">
        <f t="shared" si="11"/>
        <v>3.2773427415551226E-2</v>
      </c>
      <c r="U11" s="236">
        <v>513096.95682547847</v>
      </c>
      <c r="V11" s="101">
        <f t="shared" si="12"/>
        <v>8.4453940040059253E-2</v>
      </c>
      <c r="W11" s="236">
        <v>23899.483799201094</v>
      </c>
      <c r="X11" s="101">
        <f t="shared" si="13"/>
        <v>3.9337703038699254E-3</v>
      </c>
      <c r="Y11" s="236">
        <v>489843.75903871219</v>
      </c>
      <c r="Z11" s="101">
        <f t="shared" si="14"/>
        <v>8.0626546122595108E-2</v>
      </c>
      <c r="AA11" s="236">
        <v>1095829.4837502458</v>
      </c>
      <c r="AB11" s="101">
        <f t="shared" si="15"/>
        <v>0.18036964804344127</v>
      </c>
      <c r="AC11" s="229">
        <f t="shared" si="16"/>
        <v>1585673.2427889579</v>
      </c>
      <c r="AD11" s="101">
        <f t="shared" si="17"/>
        <v>0.26099619416603637</v>
      </c>
      <c r="AE11" s="236">
        <v>791931.45676080231</v>
      </c>
      <c r="AF11" s="101">
        <f t="shared" si="18"/>
        <v>0.13034911019334364</v>
      </c>
      <c r="AG11" s="236">
        <v>1025287.2525533056</v>
      </c>
      <c r="AH11" s="101">
        <f t="shared" si="19"/>
        <v>0.16875864687777903</v>
      </c>
      <c r="AI11" s="236">
        <v>320908.29567709792</v>
      </c>
      <c r="AJ11" s="101">
        <f t="shared" si="20"/>
        <v>5.2820367770548916E-2</v>
      </c>
      <c r="AK11" s="236">
        <v>434561.56016477215</v>
      </c>
      <c r="AL11" s="101">
        <f t="shared" si="21"/>
        <v>7.1527292176775309E-2</v>
      </c>
    </row>
    <row r="12" spans="1:38" ht="12">
      <c r="B12" s="98"/>
      <c r="C12" s="98"/>
      <c r="D12" s="86">
        <f t="shared" si="23"/>
        <v>45997</v>
      </c>
      <c r="E12" s="86" t="s">
        <v>633</v>
      </c>
      <c r="F12" s="230">
        <f t="shared" si="22"/>
        <v>6262543.0000000019</v>
      </c>
      <c r="G12" s="339"/>
      <c r="H12" s="381">
        <f>SUM(F7:F37)</f>
        <v>104587612</v>
      </c>
      <c r="I12" s="236">
        <v>430934.59133729187</v>
      </c>
      <c r="J12" s="101">
        <f t="shared" si="4"/>
        <v>6.8811438314641787E-2</v>
      </c>
      <c r="K12" s="236">
        <v>745486.40229217429</v>
      </c>
      <c r="L12" s="101">
        <f t="shared" si="5"/>
        <v>0.11903892752387873</v>
      </c>
      <c r="M12" s="229">
        <f t="shared" si="6"/>
        <v>1176420.9936294663</v>
      </c>
      <c r="N12" s="101">
        <f t="shared" si="7"/>
        <v>0.18785036583852055</v>
      </c>
      <c r="O12" s="236">
        <v>106928.61731471178</v>
      </c>
      <c r="P12" s="101">
        <f t="shared" si="8"/>
        <v>1.7074312673735215E-2</v>
      </c>
      <c r="Q12" s="236">
        <v>80073.031966334747</v>
      </c>
      <c r="R12" s="101">
        <f t="shared" si="9"/>
        <v>1.2786025096567755E-2</v>
      </c>
      <c r="S12" s="229">
        <f t="shared" si="10"/>
        <v>187001.64928104653</v>
      </c>
      <c r="T12" s="101">
        <f t="shared" si="11"/>
        <v>2.9860337770302971E-2</v>
      </c>
      <c r="U12" s="236">
        <v>538009.68432433822</v>
      </c>
      <c r="V12" s="101">
        <f t="shared" si="12"/>
        <v>8.5909140156696415E-2</v>
      </c>
      <c r="W12" s="236">
        <v>23574.093019290784</v>
      </c>
      <c r="X12" s="101">
        <f t="shared" si="13"/>
        <v>3.7643003839320189E-3</v>
      </c>
      <c r="Y12" s="236">
        <v>487585.7838838498</v>
      </c>
      <c r="Z12" s="101">
        <f t="shared" si="14"/>
        <v>7.7857474812364505E-2</v>
      </c>
      <c r="AA12" s="236">
        <v>1123632.7542128817</v>
      </c>
      <c r="AB12" s="101">
        <f t="shared" si="15"/>
        <v>0.179421163928596</v>
      </c>
      <c r="AC12" s="229">
        <f t="shared" si="16"/>
        <v>1611218.5380967315</v>
      </c>
      <c r="AD12" s="101">
        <f t="shared" si="17"/>
        <v>0.25727863874096052</v>
      </c>
      <c r="AE12" s="236">
        <v>860063.64008411625</v>
      </c>
      <c r="AF12" s="101">
        <f t="shared" si="18"/>
        <v>0.13733456841479827</v>
      </c>
      <c r="AG12" s="236">
        <v>1031917.4257503381</v>
      </c>
      <c r="AH12" s="101">
        <f t="shared" si="19"/>
        <v>0.16477610225595862</v>
      </c>
      <c r="AI12" s="236">
        <v>375019.90179469722</v>
      </c>
      <c r="AJ12" s="101">
        <f t="shared" si="20"/>
        <v>5.9883006279509314E-2</v>
      </c>
      <c r="AK12" s="236">
        <v>459317.0740199759</v>
      </c>
      <c r="AL12" s="101">
        <f t="shared" si="21"/>
        <v>7.334354015932118E-2</v>
      </c>
    </row>
    <row r="13" spans="1:38" ht="12">
      <c r="B13" s="98"/>
      <c r="C13" s="98"/>
      <c r="D13" s="86">
        <f t="shared" si="23"/>
        <v>45998</v>
      </c>
      <c r="E13" s="86" t="s">
        <v>634</v>
      </c>
      <c r="F13" s="230">
        <f t="shared" si="22"/>
        <v>7283313.9999999991</v>
      </c>
      <c r="G13" s="339"/>
      <c r="H13" s="381"/>
      <c r="I13" s="236">
        <v>554780.54237530124</v>
      </c>
      <c r="J13" s="101">
        <f t="shared" si="4"/>
        <v>7.6171443710280964E-2</v>
      </c>
      <c r="K13" s="236">
        <v>796646.25180049252</v>
      </c>
      <c r="L13" s="101">
        <f t="shared" si="5"/>
        <v>0.10937963841741447</v>
      </c>
      <c r="M13" s="229">
        <f t="shared" si="6"/>
        <v>1351426.7941757939</v>
      </c>
      <c r="N13" s="101">
        <f t="shared" si="7"/>
        <v>0.18555108212769544</v>
      </c>
      <c r="O13" s="236">
        <v>146621.80117931322</v>
      </c>
      <c r="P13" s="101">
        <f t="shared" si="8"/>
        <v>2.0131193187512338E-2</v>
      </c>
      <c r="Q13" s="236">
        <v>93931.288307811716</v>
      </c>
      <c r="R13" s="101">
        <f t="shared" si="9"/>
        <v>1.2896778624100476E-2</v>
      </c>
      <c r="S13" s="229">
        <f t="shared" si="10"/>
        <v>240553.08948712493</v>
      </c>
      <c r="T13" s="101">
        <f t="shared" si="11"/>
        <v>3.3027971811612815E-2</v>
      </c>
      <c r="U13" s="236">
        <v>633337.47405640257</v>
      </c>
      <c r="V13" s="101">
        <f t="shared" si="12"/>
        <v>8.695732108438585E-2</v>
      </c>
      <c r="W13" s="236">
        <v>26193.367326898209</v>
      </c>
      <c r="X13" s="101">
        <f t="shared" si="13"/>
        <v>3.5963528864605058E-3</v>
      </c>
      <c r="Y13" s="236">
        <v>577616.2341589015</v>
      </c>
      <c r="Z13" s="101">
        <f t="shared" si="14"/>
        <v>7.9306787289261674E-2</v>
      </c>
      <c r="AA13" s="236">
        <v>1247520.2603978568</v>
      </c>
      <c r="AB13" s="101">
        <f t="shared" si="15"/>
        <v>0.17128470094765336</v>
      </c>
      <c r="AC13" s="229">
        <f t="shared" si="16"/>
        <v>1825136.4945567583</v>
      </c>
      <c r="AD13" s="101">
        <f t="shared" si="17"/>
        <v>0.25059148823691502</v>
      </c>
      <c r="AE13" s="236">
        <v>1038293.6860818333</v>
      </c>
      <c r="AF13" s="101">
        <f t="shared" si="18"/>
        <v>0.14255786391769371</v>
      </c>
      <c r="AG13" s="236">
        <v>1259763.7812965147</v>
      </c>
      <c r="AH13" s="101">
        <f t="shared" si="19"/>
        <v>0.17296573802756751</v>
      </c>
      <c r="AI13" s="236">
        <v>390546.89810555842</v>
      </c>
      <c r="AJ13" s="101">
        <f t="shared" si="20"/>
        <v>5.3622142077845124E-2</v>
      </c>
      <c r="AK13" s="236">
        <v>518062.41491311521</v>
      </c>
      <c r="AL13" s="101">
        <f t="shared" si="21"/>
        <v>7.1130039829824077E-2</v>
      </c>
    </row>
    <row r="14" spans="1:38" ht="12">
      <c r="B14" s="98"/>
      <c r="C14" s="98"/>
      <c r="D14" s="86">
        <f t="shared" si="23"/>
        <v>45999</v>
      </c>
      <c r="E14" s="86" t="s">
        <v>628</v>
      </c>
      <c r="F14" s="230">
        <f t="shared" si="22"/>
        <v>7299829</v>
      </c>
      <c r="G14" s="339"/>
      <c r="H14" s="381"/>
      <c r="I14" s="236">
        <v>547022.10658009618</v>
      </c>
      <c r="J14" s="101">
        <f>I14/F14</f>
        <v>7.4936290504900346E-2</v>
      </c>
      <c r="K14" s="236">
        <v>789491.49081561528</v>
      </c>
      <c r="L14" s="101">
        <f>K14/F14</f>
        <v>0.10815205271460678</v>
      </c>
      <c r="M14" s="229">
        <f>SUM(I14+K14)</f>
        <v>1336513.5973957116</v>
      </c>
      <c r="N14" s="101">
        <f>M14/F14</f>
        <v>0.18308834321950715</v>
      </c>
      <c r="O14" s="236">
        <v>138327.10526825942</v>
      </c>
      <c r="P14" s="101">
        <f>O14/F14</f>
        <v>1.8949362412223548E-2</v>
      </c>
      <c r="Q14" s="236">
        <v>96716.872630143815</v>
      </c>
      <c r="R14" s="101">
        <f t="shared" si="9"/>
        <v>1.3249197019566323E-2</v>
      </c>
      <c r="S14" s="229">
        <f t="shared" si="10"/>
        <v>235043.97789840325</v>
      </c>
      <c r="T14" s="101">
        <f>S14/F14</f>
        <v>3.2198559431789876E-2</v>
      </c>
      <c r="U14" s="236">
        <v>618096.68343446928</v>
      </c>
      <c r="V14" s="101">
        <f>U14/F14</f>
        <v>8.467276198311896E-2</v>
      </c>
      <c r="W14" s="236">
        <v>26168.330961107284</v>
      </c>
      <c r="X14" s="101">
        <f>W14/F14</f>
        <v>3.5847868437887086E-3</v>
      </c>
      <c r="Y14" s="236">
        <v>569642.9462499303</v>
      </c>
      <c r="Z14" s="101">
        <f>Y14/F14</f>
        <v>7.8035108253896132E-2</v>
      </c>
      <c r="AA14" s="236">
        <v>1426509.4006740008</v>
      </c>
      <c r="AB14" s="101">
        <f t="shared" si="15"/>
        <v>0.1954168242398556</v>
      </c>
      <c r="AC14" s="229">
        <f>SUM(Y14+AA14)</f>
        <v>1996152.346923931</v>
      </c>
      <c r="AD14" s="101">
        <f>AC14/F14</f>
        <v>0.27345193249375171</v>
      </c>
      <c r="AE14" s="236">
        <v>1002582.9626970413</v>
      </c>
      <c r="AF14" s="101">
        <f>AE14/F14</f>
        <v>0.13734334909722423</v>
      </c>
      <c r="AG14" s="236">
        <v>1152517.1974730261</v>
      </c>
      <c r="AH14" s="101">
        <f>AG14/F14</f>
        <v>0.15788276649672561</v>
      </c>
      <c r="AI14" s="236">
        <v>404682.11070759437</v>
      </c>
      <c r="AJ14" s="101">
        <f>AI14/F14</f>
        <v>5.543720417390522E-2</v>
      </c>
      <c r="AK14" s="236">
        <v>528071.79250871541</v>
      </c>
      <c r="AL14" s="101">
        <f>AK14/F14</f>
        <v>7.234029626018848E-2</v>
      </c>
    </row>
    <row r="15" spans="1:38" ht="12">
      <c r="B15" s="98"/>
      <c r="C15" s="98"/>
      <c r="D15" s="341">
        <f t="shared" si="23"/>
        <v>46000</v>
      </c>
      <c r="E15" s="341" t="s">
        <v>629</v>
      </c>
      <c r="F15" s="230">
        <f t="shared" si="22"/>
        <v>7768298</v>
      </c>
      <c r="G15" s="339">
        <f>SUM(F15:F21)</f>
        <v>49743811</v>
      </c>
      <c r="H15" s="381"/>
      <c r="I15" s="236">
        <v>536497.28498448303</v>
      </c>
      <c r="J15" s="101">
        <f t="shared" ref="J15" si="24">I15/F15</f>
        <v>6.906239757852789E-2</v>
      </c>
      <c r="K15" s="236">
        <v>785848.36496261996</v>
      </c>
      <c r="L15" s="101">
        <f t="shared" ref="L15" si="25">K15/F15</f>
        <v>0.10116094477356816</v>
      </c>
      <c r="M15" s="229">
        <f t="shared" ref="M15" si="26">SUM(I15+K15)</f>
        <v>1322345.6499471031</v>
      </c>
      <c r="N15" s="101">
        <f t="shared" ref="N15" si="27">M15/F15</f>
        <v>0.17022334235209605</v>
      </c>
      <c r="O15" s="236">
        <v>138497.8394345885</v>
      </c>
      <c r="P15" s="101">
        <f t="shared" ref="P15" si="28">O15/F15</f>
        <v>1.7828595071222617E-2</v>
      </c>
      <c r="Q15" s="236">
        <v>101594.57124976192</v>
      </c>
      <c r="R15" s="101">
        <f t="shared" ref="R15" si="29">Q15/$F15</f>
        <v>1.3078099121553E-2</v>
      </c>
      <c r="S15" s="229">
        <f t="shared" ref="S15" si="30">SUM(O15+Q15)</f>
        <v>240092.41068435041</v>
      </c>
      <c r="T15" s="101">
        <f t="shared" ref="T15" si="31">S15/F15</f>
        <v>3.0906694192775613E-2</v>
      </c>
      <c r="U15" s="236">
        <v>912506.56451154163</v>
      </c>
      <c r="V15" s="101">
        <f t="shared" ref="V15" si="32">U15/F15</f>
        <v>0.11746544281791733</v>
      </c>
      <c r="W15" s="236">
        <v>23723.469376056593</v>
      </c>
      <c r="X15" s="101">
        <f t="shared" ref="X15" si="33">W15/F15</f>
        <v>3.0538825076041874E-3</v>
      </c>
      <c r="Y15" s="236">
        <v>567646.44961332181</v>
      </c>
      <c r="Z15" s="101">
        <f t="shared" ref="Z15" si="34">Y15/F15</f>
        <v>7.3072177407885464E-2</v>
      </c>
      <c r="AA15" s="236">
        <v>1434884.4899131593</v>
      </c>
      <c r="AB15" s="101">
        <f t="shared" ref="AB15" si="35">AA15/$F15</f>
        <v>0.18471027886844188</v>
      </c>
      <c r="AC15" s="229">
        <f t="shared" ref="AC15" si="36">SUM(Y15+AA15)</f>
        <v>2002530.9395264811</v>
      </c>
      <c r="AD15" s="101">
        <f t="shared" ref="AD15" si="37">AC15/F15</f>
        <v>0.25778245627632734</v>
      </c>
      <c r="AE15" s="236">
        <v>970384.70118372561</v>
      </c>
      <c r="AF15" s="101">
        <f t="shared" ref="AF15" si="38">AE15/F15</f>
        <v>0.12491599848303007</v>
      </c>
      <c r="AG15" s="236">
        <v>1393797.773505375</v>
      </c>
      <c r="AH15" s="101">
        <f t="shared" ref="AH15" si="39">AG15/F15</f>
        <v>0.179421254630728</v>
      </c>
      <c r="AI15" s="236">
        <v>395930.2011832826</v>
      </c>
      <c r="AJ15" s="101">
        <f t="shared" ref="AJ15" si="40">AI15/F15</f>
        <v>5.0967432143216258E-2</v>
      </c>
      <c r="AK15" s="236">
        <v>506986.29008208471</v>
      </c>
      <c r="AL15" s="101">
        <f t="shared" ref="AL15" si="41">AK15/F15</f>
        <v>6.5263496596305232E-2</v>
      </c>
    </row>
    <row r="16" spans="1:38" ht="12">
      <c r="B16" s="98"/>
      <c r="C16" s="98"/>
      <c r="D16" s="341">
        <f t="shared" si="23"/>
        <v>46001</v>
      </c>
      <c r="E16" s="341" t="s">
        <v>630</v>
      </c>
      <c r="F16" s="230">
        <f t="shared" si="22"/>
        <v>7532086</v>
      </c>
      <c r="G16" s="339"/>
      <c r="H16" s="381"/>
      <c r="I16" s="236">
        <v>536138.29917965969</v>
      </c>
      <c r="J16" s="101">
        <f t="shared" ref="J16:J41" si="42">I16/F16</f>
        <v>7.1180586517421554E-2</v>
      </c>
      <c r="K16" s="236">
        <v>766120.91381487949</v>
      </c>
      <c r="L16" s="101">
        <f t="shared" ref="L16:L41" si="43">K16/F16</f>
        <v>0.10171430780462139</v>
      </c>
      <c r="M16" s="229">
        <f t="shared" ref="M16:M41" si="44">SUM(I16+K16)</f>
        <v>1302259.2129945392</v>
      </c>
      <c r="N16" s="101">
        <f t="shared" ref="N16:N41" si="45">M16/F16</f>
        <v>0.17289489432204294</v>
      </c>
      <c r="O16" s="236">
        <v>146173.12352244684</v>
      </c>
      <c r="P16" s="101">
        <f t="shared" ref="P16:P41" si="46">O16/F16</f>
        <v>1.9406725244832154E-2</v>
      </c>
      <c r="Q16" s="236">
        <v>105746.10332712183</v>
      </c>
      <c r="R16" s="101">
        <f t="shared" ref="R16:R45" si="47">Q16/$F16</f>
        <v>1.4039417941739093E-2</v>
      </c>
      <c r="S16" s="229">
        <f t="shared" ref="S16:S45" si="48">SUM(O16+Q16)</f>
        <v>251919.22684956866</v>
      </c>
      <c r="T16" s="101">
        <f t="shared" ref="T16:T41" si="49">S16/F16</f>
        <v>3.3446143186571242E-2</v>
      </c>
      <c r="U16" s="236">
        <v>862223.38038348011</v>
      </c>
      <c r="V16" s="101">
        <f t="shared" ref="V16:V41" si="50">U16/F16</f>
        <v>0.11447338498039987</v>
      </c>
      <c r="W16" s="236">
        <v>20863.560175522416</v>
      </c>
      <c r="X16" s="101">
        <f t="shared" ref="X16:X41" si="51">W16/F16</f>
        <v>2.7699577747150547E-3</v>
      </c>
      <c r="Y16" s="236">
        <v>551793.85354733979</v>
      </c>
      <c r="Z16" s="101">
        <f t="shared" ref="Z16:Z41" si="52">Y16/F16</f>
        <v>7.3259101601779342E-2</v>
      </c>
      <c r="AA16" s="236">
        <v>1300651.7375135331</v>
      </c>
      <c r="AB16" s="101">
        <f t="shared" ref="AB16:AB45" si="53">AA16/$F16</f>
        <v>0.17268147728445121</v>
      </c>
      <c r="AC16" s="229">
        <f t="shared" ref="AC16:AC41" si="54">SUM(Y16+AA16)</f>
        <v>1852445.5910608729</v>
      </c>
      <c r="AD16" s="101">
        <f t="shared" ref="AD16:AD41" si="55">AC16/F16</f>
        <v>0.24594057888623058</v>
      </c>
      <c r="AE16" s="236">
        <v>959595.77798456175</v>
      </c>
      <c r="AF16" s="101">
        <f t="shared" ref="AF16:AF41" si="56">AE16/F16</f>
        <v>0.12740106498844567</v>
      </c>
      <c r="AG16" s="236">
        <v>1360502.214092948</v>
      </c>
      <c r="AH16" s="101">
        <f t="shared" ref="AH16:AH41" si="57">AG16/F16</f>
        <v>0.18062754648485799</v>
      </c>
      <c r="AI16" s="236">
        <v>410674.4026136591</v>
      </c>
      <c r="AJ16" s="101">
        <f t="shared" ref="AJ16:AJ41" si="58">AI16/F16</f>
        <v>5.4523328944154265E-2</v>
      </c>
      <c r="AK16" s="236">
        <v>511602.63384484779</v>
      </c>
      <c r="AL16" s="101">
        <f t="shared" ref="AL16:AL41" si="59">AK16/F16</f>
        <v>6.7923100432582387E-2</v>
      </c>
    </row>
    <row r="17" spans="2:38" ht="12">
      <c r="B17" s="98"/>
      <c r="C17" s="98"/>
      <c r="D17" s="341">
        <f t="shared" si="23"/>
        <v>46002</v>
      </c>
      <c r="E17" s="341" t="s">
        <v>631</v>
      </c>
      <c r="F17" s="230">
        <f t="shared" si="22"/>
        <v>6664969</v>
      </c>
      <c r="G17" s="339"/>
      <c r="H17" s="381"/>
      <c r="I17" s="236">
        <v>514732.93145775172</v>
      </c>
      <c r="J17" s="101">
        <f t="shared" si="42"/>
        <v>7.7229606237891241E-2</v>
      </c>
      <c r="K17" s="236">
        <v>727368.03764332132</v>
      </c>
      <c r="L17" s="101">
        <f t="shared" si="43"/>
        <v>0.10913299636402229</v>
      </c>
      <c r="M17" s="229">
        <f t="shared" si="44"/>
        <v>1242100.969101073</v>
      </c>
      <c r="N17" s="101">
        <f t="shared" si="45"/>
        <v>0.18636260260191354</v>
      </c>
      <c r="O17" s="236">
        <v>141947.32052559464</v>
      </c>
      <c r="P17" s="101">
        <f t="shared" si="46"/>
        <v>2.1297521492687307E-2</v>
      </c>
      <c r="Q17" s="236">
        <v>104200.75796944562</v>
      </c>
      <c r="R17" s="101">
        <f t="shared" si="47"/>
        <v>1.5634094917687632E-2</v>
      </c>
      <c r="S17" s="229">
        <f t="shared" si="48"/>
        <v>246148.07849504024</v>
      </c>
      <c r="T17" s="101">
        <f t="shared" si="49"/>
        <v>3.6931616410374936E-2</v>
      </c>
      <c r="U17" s="236">
        <v>725958.68330640241</v>
      </c>
      <c r="V17" s="101">
        <f t="shared" si="50"/>
        <v>0.1089215393659599</v>
      </c>
      <c r="W17" s="236">
        <v>0</v>
      </c>
      <c r="X17" s="101">
        <f t="shared" si="51"/>
        <v>0</v>
      </c>
      <c r="Y17" s="236">
        <v>512285.6505303515</v>
      </c>
      <c r="Z17" s="101">
        <f t="shared" si="52"/>
        <v>7.6862420594957237E-2</v>
      </c>
      <c r="AA17" s="236">
        <v>1099126.2309548864</v>
      </c>
      <c r="AB17" s="101">
        <f t="shared" si="53"/>
        <v>0.16491092921135664</v>
      </c>
      <c r="AC17" s="229">
        <f t="shared" si="54"/>
        <v>1611411.881485238</v>
      </c>
      <c r="AD17" s="101">
        <f t="shared" si="55"/>
        <v>0.24177334980631388</v>
      </c>
      <c r="AE17" s="236">
        <v>884609.08899602888</v>
      </c>
      <c r="AF17" s="101">
        <f t="shared" si="56"/>
        <v>0.13272516181185973</v>
      </c>
      <c r="AG17" s="236">
        <v>1109856.197507492</v>
      </c>
      <c r="AH17" s="101">
        <f t="shared" si="57"/>
        <v>0.16652083415654176</v>
      </c>
      <c r="AI17" s="236">
        <v>364711.04239806737</v>
      </c>
      <c r="AJ17" s="101">
        <f t="shared" si="58"/>
        <v>5.4720590958197611E-2</v>
      </c>
      <c r="AK17" s="236">
        <v>480173.05871065805</v>
      </c>
      <c r="AL17" s="101">
        <f t="shared" si="59"/>
        <v>7.2044304888838645E-2</v>
      </c>
    </row>
    <row r="18" spans="2:38" ht="12">
      <c r="B18" s="98"/>
      <c r="C18" s="98"/>
      <c r="D18" s="341">
        <f t="shared" si="23"/>
        <v>46003</v>
      </c>
      <c r="E18" s="341" t="s">
        <v>632</v>
      </c>
      <c r="F18" s="230">
        <f t="shared" si="22"/>
        <v>6216944.0000000019</v>
      </c>
      <c r="G18" s="339"/>
      <c r="H18" s="381"/>
      <c r="I18" s="236">
        <v>446424.73231526179</v>
      </c>
      <c r="J18" s="101">
        <f t="shared" si="42"/>
        <v>7.1807745463890557E-2</v>
      </c>
      <c r="K18" s="236">
        <v>699227.18063664855</v>
      </c>
      <c r="L18" s="101">
        <f t="shared" si="43"/>
        <v>0.11247120460416699</v>
      </c>
      <c r="M18" s="229">
        <f t="shared" si="44"/>
        <v>1145651.9129519104</v>
      </c>
      <c r="N18" s="101">
        <f t="shared" si="45"/>
        <v>0.18427895006805756</v>
      </c>
      <c r="O18" s="236">
        <v>111539.58296576214</v>
      </c>
      <c r="P18" s="101">
        <f t="shared" si="46"/>
        <v>1.794122368896392E-2</v>
      </c>
      <c r="Q18" s="236">
        <v>85058.614180899327</v>
      </c>
      <c r="R18" s="101">
        <f t="shared" si="47"/>
        <v>1.3681740446897914E-2</v>
      </c>
      <c r="S18" s="229">
        <f t="shared" si="48"/>
        <v>196598.19714666146</v>
      </c>
      <c r="T18" s="101">
        <f t="shared" si="49"/>
        <v>3.1622964135861832E-2</v>
      </c>
      <c r="U18" s="236">
        <v>600760.93650571932</v>
      </c>
      <c r="V18" s="101">
        <f t="shared" si="50"/>
        <v>9.663283705076306E-2</v>
      </c>
      <c r="W18" s="236">
        <v>0</v>
      </c>
      <c r="X18" s="101">
        <f t="shared" si="51"/>
        <v>0</v>
      </c>
      <c r="Y18" s="236">
        <v>477086.99807036563</v>
      </c>
      <c r="Z18" s="101">
        <f t="shared" si="52"/>
        <v>7.6739793388900635E-2</v>
      </c>
      <c r="AA18" s="236">
        <v>1109474.5414693039</v>
      </c>
      <c r="AB18" s="101">
        <f t="shared" si="53"/>
        <v>0.17845979334369161</v>
      </c>
      <c r="AC18" s="229">
        <f t="shared" si="54"/>
        <v>1586561.5395396696</v>
      </c>
      <c r="AD18" s="101">
        <f t="shared" si="55"/>
        <v>0.2551995867325923</v>
      </c>
      <c r="AE18" s="236">
        <v>817812.44072580594</v>
      </c>
      <c r="AF18" s="101">
        <f t="shared" si="56"/>
        <v>0.13154573062356772</v>
      </c>
      <c r="AG18" s="236">
        <v>965735.84934594168</v>
      </c>
      <c r="AH18" s="101">
        <f t="shared" si="57"/>
        <v>0.1553393193417765</v>
      </c>
      <c r="AI18" s="236">
        <v>503462.25271226547</v>
      </c>
      <c r="AJ18" s="101">
        <f t="shared" si="58"/>
        <v>8.0982272433572713E-2</v>
      </c>
      <c r="AK18" s="236">
        <v>400360.87107202702</v>
      </c>
      <c r="AL18" s="101">
        <f t="shared" si="59"/>
        <v>6.4398339613808156E-2</v>
      </c>
    </row>
    <row r="19" spans="2:38" ht="12">
      <c r="B19" s="98"/>
      <c r="C19" s="98"/>
      <c r="D19" s="341">
        <f t="shared" si="23"/>
        <v>46004</v>
      </c>
      <c r="E19" s="341" t="s">
        <v>633</v>
      </c>
      <c r="F19" s="230">
        <f t="shared" si="22"/>
        <v>6402844.0000000009</v>
      </c>
      <c r="G19" s="339"/>
      <c r="H19" s="381"/>
      <c r="I19" s="236">
        <v>433804.87837724597</v>
      </c>
      <c r="J19" s="101">
        <f t="shared" si="42"/>
        <v>6.7751904993663112E-2</v>
      </c>
      <c r="K19" s="236">
        <v>744226.57521425735</v>
      </c>
      <c r="L19" s="101">
        <f t="shared" si="43"/>
        <v>0.11623375100412524</v>
      </c>
      <c r="M19" s="229">
        <f t="shared" si="44"/>
        <v>1178031.4535915032</v>
      </c>
      <c r="N19" s="101">
        <f t="shared" si="45"/>
        <v>0.18398565599778832</v>
      </c>
      <c r="O19" s="236">
        <v>101835.65491899976</v>
      </c>
      <c r="P19" s="101">
        <f t="shared" si="46"/>
        <v>1.5904753406298787E-2</v>
      </c>
      <c r="Q19" s="236">
        <v>79352.261349777793</v>
      </c>
      <c r="R19" s="101">
        <f t="shared" si="47"/>
        <v>1.2393283570516131E-2</v>
      </c>
      <c r="S19" s="229">
        <f t="shared" si="48"/>
        <v>181187.91626877757</v>
      </c>
      <c r="T19" s="101">
        <f t="shared" si="49"/>
        <v>2.8298036976814919E-2</v>
      </c>
      <c r="U19" s="236">
        <v>665423.59376261395</v>
      </c>
      <c r="V19" s="101">
        <f t="shared" si="50"/>
        <v>0.10392625429615555</v>
      </c>
      <c r="W19" s="236">
        <v>0</v>
      </c>
      <c r="X19" s="101">
        <f t="shared" si="51"/>
        <v>0</v>
      </c>
      <c r="Y19" s="236">
        <v>507445.3428176688</v>
      </c>
      <c r="Z19" s="101">
        <f t="shared" si="52"/>
        <v>7.9253116711522062E-2</v>
      </c>
      <c r="AA19" s="236">
        <v>1163164.9845497343</v>
      </c>
      <c r="AB19" s="101">
        <f t="shared" si="53"/>
        <v>0.18166380198388937</v>
      </c>
      <c r="AC19" s="229">
        <f t="shared" si="54"/>
        <v>1670610.3273674031</v>
      </c>
      <c r="AD19" s="101">
        <f t="shared" si="55"/>
        <v>0.26091691869541139</v>
      </c>
      <c r="AE19" s="236">
        <v>889034.08914255537</v>
      </c>
      <c r="AF19" s="101">
        <f t="shared" si="56"/>
        <v>0.13884987501531432</v>
      </c>
      <c r="AG19" s="236">
        <v>948183.88406879734</v>
      </c>
      <c r="AH19" s="101">
        <f t="shared" si="57"/>
        <v>0.14808792531393819</v>
      </c>
      <c r="AI19" s="236">
        <v>435958.2861670914</v>
      </c>
      <c r="AJ19" s="101">
        <f t="shared" si="58"/>
        <v>6.8088225508397729E-2</v>
      </c>
      <c r="AK19" s="236">
        <v>434414.44963125844</v>
      </c>
      <c r="AL19" s="101">
        <f t="shared" si="59"/>
        <v>6.7847108196179437E-2</v>
      </c>
    </row>
    <row r="20" spans="2:38" ht="12">
      <c r="B20" s="98"/>
      <c r="C20" s="98"/>
      <c r="D20" s="341">
        <f t="shared" si="23"/>
        <v>46005</v>
      </c>
      <c r="E20" s="341" t="s">
        <v>634</v>
      </c>
      <c r="F20" s="230">
        <f t="shared" si="22"/>
        <v>7638376</v>
      </c>
      <c r="G20" s="339"/>
      <c r="H20" s="381"/>
      <c r="I20" s="236">
        <v>557263.31718696025</v>
      </c>
      <c r="J20" s="101">
        <f t="shared" si="42"/>
        <v>7.295573263046494E-2</v>
      </c>
      <c r="K20" s="236">
        <v>783007.61384036113</v>
      </c>
      <c r="L20" s="101">
        <f t="shared" si="43"/>
        <v>0.10250969759021566</v>
      </c>
      <c r="M20" s="229">
        <f t="shared" si="44"/>
        <v>1340270.9310273214</v>
      </c>
      <c r="N20" s="101">
        <f t="shared" si="45"/>
        <v>0.17546543022068059</v>
      </c>
      <c r="O20" s="236">
        <v>137204.89612369705</v>
      </c>
      <c r="P20" s="101">
        <f t="shared" si="46"/>
        <v>1.7962574259724456E-2</v>
      </c>
      <c r="Q20" s="236">
        <v>94281.232182743508</v>
      </c>
      <c r="R20" s="101">
        <f t="shared" si="47"/>
        <v>1.2343099132949661E-2</v>
      </c>
      <c r="S20" s="229">
        <f t="shared" si="48"/>
        <v>231486.12830644054</v>
      </c>
      <c r="T20" s="101">
        <f t="shared" si="49"/>
        <v>3.0305673392674117E-2</v>
      </c>
      <c r="U20" s="236">
        <v>878229.20654211252</v>
      </c>
      <c r="V20" s="101">
        <f t="shared" si="50"/>
        <v>0.11497590672966512</v>
      </c>
      <c r="W20" s="236">
        <v>0</v>
      </c>
      <c r="X20" s="101">
        <f t="shared" si="51"/>
        <v>0</v>
      </c>
      <c r="Y20" s="236">
        <v>566410.88956928567</v>
      </c>
      <c r="Z20" s="101">
        <f t="shared" si="52"/>
        <v>7.4153313422812089E-2</v>
      </c>
      <c r="AA20" s="236">
        <v>1300557.5841616185</v>
      </c>
      <c r="AB20" s="101">
        <f t="shared" si="53"/>
        <v>0.17026624300265114</v>
      </c>
      <c r="AC20" s="229">
        <f t="shared" si="54"/>
        <v>1866968.4737309041</v>
      </c>
      <c r="AD20" s="101">
        <f t="shared" si="55"/>
        <v>0.24441955642546323</v>
      </c>
      <c r="AE20" s="236">
        <v>1065731.9519105612</v>
      </c>
      <c r="AF20" s="101">
        <f t="shared" si="56"/>
        <v>0.13952336883004465</v>
      </c>
      <c r="AG20" s="236">
        <v>1197865.6460598661</v>
      </c>
      <c r="AH20" s="101">
        <f t="shared" si="57"/>
        <v>0.15682203207329229</v>
      </c>
      <c r="AI20" s="236">
        <v>567724.17416317051</v>
      </c>
      <c r="AJ20" s="101">
        <f t="shared" si="58"/>
        <v>7.4325245858958833E-2</v>
      </c>
      <c r="AK20" s="236">
        <v>490099.4882596237</v>
      </c>
      <c r="AL20" s="101">
        <f t="shared" si="59"/>
        <v>6.4162786469221161E-2</v>
      </c>
    </row>
    <row r="21" spans="2:38" ht="12">
      <c r="B21" s="98"/>
      <c r="C21" s="98"/>
      <c r="D21" s="341">
        <f t="shared" si="23"/>
        <v>46006</v>
      </c>
      <c r="E21" s="341" t="s">
        <v>628</v>
      </c>
      <c r="F21" s="230">
        <f t="shared" si="22"/>
        <v>7520294</v>
      </c>
      <c r="G21" s="339"/>
      <c r="H21" s="381"/>
      <c r="I21" s="236">
        <v>546271.885914949</v>
      </c>
      <c r="J21" s="101">
        <f t="shared" si="42"/>
        <v>7.2639698117513626E-2</v>
      </c>
      <c r="K21" s="236">
        <v>771360.38642115728</v>
      </c>
      <c r="L21" s="101">
        <f t="shared" si="43"/>
        <v>0.10257050940045127</v>
      </c>
      <c r="M21" s="229">
        <f t="shared" si="44"/>
        <v>1317632.2723361063</v>
      </c>
      <c r="N21" s="101">
        <f t="shared" si="45"/>
        <v>0.1752102075179649</v>
      </c>
      <c r="O21" s="236">
        <v>130926.20916542762</v>
      </c>
      <c r="P21" s="101">
        <f t="shared" si="46"/>
        <v>1.7409719509028185E-2</v>
      </c>
      <c r="Q21" s="236">
        <v>96616.122838918032</v>
      </c>
      <c r="R21" s="101">
        <f t="shared" si="47"/>
        <v>1.2847386397249633E-2</v>
      </c>
      <c r="S21" s="229">
        <f t="shared" si="48"/>
        <v>227542.33200434566</v>
      </c>
      <c r="T21" s="101">
        <f t="shared" si="49"/>
        <v>3.0257105906277823E-2</v>
      </c>
      <c r="U21" s="236">
        <v>787779.97558289976</v>
      </c>
      <c r="V21" s="101">
        <f t="shared" si="50"/>
        <v>0.10475388004550085</v>
      </c>
      <c r="W21" s="236">
        <v>0</v>
      </c>
      <c r="X21" s="101">
        <f t="shared" si="51"/>
        <v>0</v>
      </c>
      <c r="Y21" s="236">
        <v>578974.5465978526</v>
      </c>
      <c r="Z21" s="101">
        <f t="shared" si="52"/>
        <v>7.6988286175760229E-2</v>
      </c>
      <c r="AA21" s="236">
        <v>1308936.9529677709</v>
      </c>
      <c r="AB21" s="101">
        <f t="shared" si="53"/>
        <v>0.1740539602531192</v>
      </c>
      <c r="AC21" s="229">
        <f t="shared" si="54"/>
        <v>1887911.4995656235</v>
      </c>
      <c r="AD21" s="101">
        <f t="shared" si="55"/>
        <v>0.25104224642887946</v>
      </c>
      <c r="AE21" s="236">
        <v>1031720.9358070514</v>
      </c>
      <c r="AF21" s="101">
        <f t="shared" si="56"/>
        <v>0.13719156934649782</v>
      </c>
      <c r="AG21" s="236">
        <v>1124027.7055416896</v>
      </c>
      <c r="AH21" s="101">
        <f t="shared" si="57"/>
        <v>0.1494659258722717</v>
      </c>
      <c r="AI21" s="236">
        <v>633550.95395744406</v>
      </c>
      <c r="AJ21" s="101">
        <f t="shared" si="58"/>
        <v>8.4245503428116514E-2</v>
      </c>
      <c r="AK21" s="236">
        <v>510128.32520484022</v>
      </c>
      <c r="AL21" s="101">
        <f t="shared" si="59"/>
        <v>6.7833561454491043E-2</v>
      </c>
    </row>
    <row r="22" spans="2:38" ht="12">
      <c r="B22" s="98"/>
      <c r="C22" s="98"/>
      <c r="D22" s="86">
        <f t="shared" si="23"/>
        <v>46007</v>
      </c>
      <c r="E22" s="86" t="s">
        <v>629</v>
      </c>
      <c r="F22" s="230">
        <f t="shared" si="22"/>
        <v>0</v>
      </c>
      <c r="G22" s="339">
        <f>SUM(F22:F28)</f>
        <v>0</v>
      </c>
      <c r="H22" s="381"/>
      <c r="I22" s="236"/>
      <c r="J22" s="101" t="e">
        <f t="shared" si="42"/>
        <v>#DIV/0!</v>
      </c>
      <c r="K22" s="236"/>
      <c r="L22" s="101" t="e">
        <f t="shared" si="43"/>
        <v>#DIV/0!</v>
      </c>
      <c r="M22" s="229">
        <f t="shared" si="44"/>
        <v>0</v>
      </c>
      <c r="N22" s="101" t="e">
        <f t="shared" si="45"/>
        <v>#DIV/0!</v>
      </c>
      <c r="O22" s="236"/>
      <c r="P22" s="101" t="e">
        <f t="shared" si="46"/>
        <v>#DIV/0!</v>
      </c>
      <c r="Q22" s="236"/>
      <c r="R22" s="101" t="e">
        <f t="shared" si="47"/>
        <v>#DIV/0!</v>
      </c>
      <c r="S22" s="229">
        <f t="shared" si="48"/>
        <v>0</v>
      </c>
      <c r="T22" s="101" t="e">
        <f t="shared" si="49"/>
        <v>#DIV/0!</v>
      </c>
      <c r="U22" s="236"/>
      <c r="V22" s="101" t="e">
        <f t="shared" si="50"/>
        <v>#DIV/0!</v>
      </c>
      <c r="W22" s="236"/>
      <c r="X22" s="101" t="e">
        <f t="shared" si="51"/>
        <v>#DIV/0!</v>
      </c>
      <c r="Y22" s="236"/>
      <c r="Z22" s="101" t="e">
        <f t="shared" si="52"/>
        <v>#DIV/0!</v>
      </c>
      <c r="AA22" s="236"/>
      <c r="AB22" s="101" t="e">
        <f t="shared" si="53"/>
        <v>#DIV/0!</v>
      </c>
      <c r="AC22" s="229">
        <f t="shared" si="54"/>
        <v>0</v>
      </c>
      <c r="AD22" s="101" t="e">
        <f t="shared" si="55"/>
        <v>#DIV/0!</v>
      </c>
      <c r="AE22" s="236"/>
      <c r="AF22" s="101" t="e">
        <f t="shared" si="56"/>
        <v>#DIV/0!</v>
      </c>
      <c r="AG22" s="236"/>
      <c r="AH22" s="101" t="e">
        <f t="shared" si="57"/>
        <v>#DIV/0!</v>
      </c>
      <c r="AI22" s="236"/>
      <c r="AJ22" s="101" t="e">
        <f t="shared" si="58"/>
        <v>#DIV/0!</v>
      </c>
      <c r="AK22" s="236"/>
      <c r="AL22" s="101" t="e">
        <f t="shared" si="59"/>
        <v>#DIV/0!</v>
      </c>
    </row>
    <row r="23" spans="2:38" ht="12">
      <c r="B23" s="98"/>
      <c r="C23" s="98"/>
      <c r="D23" s="86">
        <f t="shared" si="23"/>
        <v>46008</v>
      </c>
      <c r="E23" s="86" t="s">
        <v>630</v>
      </c>
      <c r="F23" s="230">
        <f t="shared" si="22"/>
        <v>0</v>
      </c>
      <c r="G23" s="339"/>
      <c r="H23" s="381"/>
      <c r="I23" s="236"/>
      <c r="J23" s="101" t="e">
        <f t="shared" si="42"/>
        <v>#DIV/0!</v>
      </c>
      <c r="K23" s="236"/>
      <c r="L23" s="101" t="e">
        <f t="shared" si="43"/>
        <v>#DIV/0!</v>
      </c>
      <c r="M23" s="229">
        <f t="shared" si="44"/>
        <v>0</v>
      </c>
      <c r="N23" s="101" t="e">
        <f t="shared" si="45"/>
        <v>#DIV/0!</v>
      </c>
      <c r="O23" s="236"/>
      <c r="P23" s="101" t="e">
        <f t="shared" si="46"/>
        <v>#DIV/0!</v>
      </c>
      <c r="Q23" s="236"/>
      <c r="R23" s="101" t="e">
        <f t="shared" si="47"/>
        <v>#DIV/0!</v>
      </c>
      <c r="S23" s="229">
        <f t="shared" si="48"/>
        <v>0</v>
      </c>
      <c r="T23" s="101" t="e">
        <f t="shared" si="49"/>
        <v>#DIV/0!</v>
      </c>
      <c r="U23" s="236"/>
      <c r="V23" s="101" t="e">
        <f t="shared" si="50"/>
        <v>#DIV/0!</v>
      </c>
      <c r="W23" s="236"/>
      <c r="X23" s="101" t="e">
        <f t="shared" si="51"/>
        <v>#DIV/0!</v>
      </c>
      <c r="Y23" s="236"/>
      <c r="Z23" s="101" t="e">
        <f t="shared" si="52"/>
        <v>#DIV/0!</v>
      </c>
      <c r="AA23" s="236"/>
      <c r="AB23" s="101" t="e">
        <f t="shared" si="53"/>
        <v>#DIV/0!</v>
      </c>
      <c r="AC23" s="229">
        <f t="shared" si="54"/>
        <v>0</v>
      </c>
      <c r="AD23" s="101" t="e">
        <f t="shared" si="55"/>
        <v>#DIV/0!</v>
      </c>
      <c r="AE23" s="236"/>
      <c r="AF23" s="101" t="e">
        <f t="shared" si="56"/>
        <v>#DIV/0!</v>
      </c>
      <c r="AG23" s="236"/>
      <c r="AH23" s="101" t="e">
        <f t="shared" si="57"/>
        <v>#DIV/0!</v>
      </c>
      <c r="AI23" s="236"/>
      <c r="AJ23" s="101" t="e">
        <f t="shared" si="58"/>
        <v>#DIV/0!</v>
      </c>
      <c r="AK23" s="236"/>
      <c r="AL23" s="101" t="e">
        <f t="shared" si="59"/>
        <v>#DIV/0!</v>
      </c>
    </row>
    <row r="24" spans="2:38" ht="12">
      <c r="B24" s="98"/>
      <c r="C24" s="98"/>
      <c r="D24" s="86">
        <f t="shared" si="23"/>
        <v>46009</v>
      </c>
      <c r="E24" s="86" t="s">
        <v>631</v>
      </c>
      <c r="F24" s="230">
        <f t="shared" si="22"/>
        <v>0</v>
      </c>
      <c r="G24" s="339"/>
      <c r="H24" s="381"/>
      <c r="I24" s="236"/>
      <c r="J24" s="101" t="e">
        <f t="shared" si="42"/>
        <v>#DIV/0!</v>
      </c>
      <c r="K24" s="236"/>
      <c r="L24" s="101" t="e">
        <f t="shared" si="43"/>
        <v>#DIV/0!</v>
      </c>
      <c r="M24" s="229">
        <f t="shared" si="44"/>
        <v>0</v>
      </c>
      <c r="N24" s="101" t="e">
        <f t="shared" si="45"/>
        <v>#DIV/0!</v>
      </c>
      <c r="O24" s="236"/>
      <c r="P24" s="101" t="e">
        <f t="shared" si="46"/>
        <v>#DIV/0!</v>
      </c>
      <c r="Q24" s="236"/>
      <c r="R24" s="101" t="e">
        <f t="shared" si="47"/>
        <v>#DIV/0!</v>
      </c>
      <c r="S24" s="229">
        <f t="shared" si="48"/>
        <v>0</v>
      </c>
      <c r="T24" s="101" t="e">
        <f t="shared" si="49"/>
        <v>#DIV/0!</v>
      </c>
      <c r="U24" s="236"/>
      <c r="V24" s="101" t="e">
        <f t="shared" si="50"/>
        <v>#DIV/0!</v>
      </c>
      <c r="W24" s="236"/>
      <c r="X24" s="101" t="e">
        <f t="shared" si="51"/>
        <v>#DIV/0!</v>
      </c>
      <c r="Y24" s="236"/>
      <c r="Z24" s="101" t="e">
        <f t="shared" si="52"/>
        <v>#DIV/0!</v>
      </c>
      <c r="AA24" s="236"/>
      <c r="AB24" s="101" t="e">
        <f t="shared" si="53"/>
        <v>#DIV/0!</v>
      </c>
      <c r="AC24" s="229">
        <f t="shared" si="54"/>
        <v>0</v>
      </c>
      <c r="AD24" s="101" t="e">
        <f t="shared" si="55"/>
        <v>#DIV/0!</v>
      </c>
      <c r="AE24" s="236"/>
      <c r="AF24" s="101" t="e">
        <f t="shared" si="56"/>
        <v>#DIV/0!</v>
      </c>
      <c r="AG24" s="236"/>
      <c r="AH24" s="101" t="e">
        <f t="shared" si="57"/>
        <v>#DIV/0!</v>
      </c>
      <c r="AI24" s="236"/>
      <c r="AJ24" s="101" t="e">
        <f t="shared" si="58"/>
        <v>#DIV/0!</v>
      </c>
      <c r="AK24" s="236"/>
      <c r="AL24" s="101" t="e">
        <f t="shared" si="59"/>
        <v>#DIV/0!</v>
      </c>
    </row>
    <row r="25" spans="2:38" ht="12">
      <c r="B25" s="98"/>
      <c r="C25" s="98"/>
      <c r="D25" s="86">
        <f t="shared" si="23"/>
        <v>46010</v>
      </c>
      <c r="E25" s="86" t="s">
        <v>632</v>
      </c>
      <c r="F25" s="230">
        <f t="shared" si="22"/>
        <v>0</v>
      </c>
      <c r="G25" s="339"/>
      <c r="H25" s="381"/>
      <c r="I25" s="236"/>
      <c r="J25" s="101" t="e">
        <f t="shared" si="42"/>
        <v>#DIV/0!</v>
      </c>
      <c r="K25" s="236"/>
      <c r="L25" s="101" t="e">
        <f t="shared" si="43"/>
        <v>#DIV/0!</v>
      </c>
      <c r="M25" s="229">
        <f t="shared" si="44"/>
        <v>0</v>
      </c>
      <c r="N25" s="101" t="e">
        <f t="shared" si="45"/>
        <v>#DIV/0!</v>
      </c>
      <c r="O25" s="236"/>
      <c r="P25" s="101" t="e">
        <f t="shared" si="46"/>
        <v>#DIV/0!</v>
      </c>
      <c r="Q25" s="236"/>
      <c r="R25" s="101" t="e">
        <f t="shared" si="47"/>
        <v>#DIV/0!</v>
      </c>
      <c r="S25" s="229">
        <f t="shared" si="48"/>
        <v>0</v>
      </c>
      <c r="T25" s="101" t="e">
        <f t="shared" si="49"/>
        <v>#DIV/0!</v>
      </c>
      <c r="U25" s="236"/>
      <c r="V25" s="101" t="e">
        <f t="shared" si="50"/>
        <v>#DIV/0!</v>
      </c>
      <c r="W25" s="236"/>
      <c r="X25" s="101" t="e">
        <f t="shared" si="51"/>
        <v>#DIV/0!</v>
      </c>
      <c r="Y25" s="236"/>
      <c r="Z25" s="101" t="e">
        <f t="shared" si="52"/>
        <v>#DIV/0!</v>
      </c>
      <c r="AA25" s="236"/>
      <c r="AB25" s="101" t="e">
        <f t="shared" si="53"/>
        <v>#DIV/0!</v>
      </c>
      <c r="AC25" s="229">
        <f t="shared" si="54"/>
        <v>0</v>
      </c>
      <c r="AD25" s="101" t="e">
        <f t="shared" si="55"/>
        <v>#DIV/0!</v>
      </c>
      <c r="AE25" s="236"/>
      <c r="AF25" s="101" t="e">
        <f t="shared" si="56"/>
        <v>#DIV/0!</v>
      </c>
      <c r="AG25" s="236"/>
      <c r="AH25" s="101" t="e">
        <f t="shared" si="57"/>
        <v>#DIV/0!</v>
      </c>
      <c r="AI25" s="236"/>
      <c r="AJ25" s="101" t="e">
        <f t="shared" si="58"/>
        <v>#DIV/0!</v>
      </c>
      <c r="AK25" s="236"/>
      <c r="AL25" s="101" t="e">
        <f t="shared" si="59"/>
        <v>#DIV/0!</v>
      </c>
    </row>
    <row r="26" spans="2:38" ht="12">
      <c r="B26" s="98"/>
      <c r="C26" s="98"/>
      <c r="D26" s="86">
        <f t="shared" si="23"/>
        <v>46011</v>
      </c>
      <c r="E26" s="86" t="s">
        <v>633</v>
      </c>
      <c r="F26" s="230">
        <f t="shared" si="22"/>
        <v>0</v>
      </c>
      <c r="G26" s="339"/>
      <c r="H26" s="381"/>
      <c r="I26" s="236"/>
      <c r="J26" s="101" t="e">
        <f t="shared" si="42"/>
        <v>#DIV/0!</v>
      </c>
      <c r="K26" s="236"/>
      <c r="L26" s="101" t="e">
        <f t="shared" si="43"/>
        <v>#DIV/0!</v>
      </c>
      <c r="M26" s="229">
        <f t="shared" si="44"/>
        <v>0</v>
      </c>
      <c r="N26" s="101" t="e">
        <f t="shared" si="45"/>
        <v>#DIV/0!</v>
      </c>
      <c r="O26" s="236"/>
      <c r="P26" s="101" t="e">
        <f t="shared" si="46"/>
        <v>#DIV/0!</v>
      </c>
      <c r="Q26" s="236"/>
      <c r="R26" s="101" t="e">
        <f t="shared" si="47"/>
        <v>#DIV/0!</v>
      </c>
      <c r="S26" s="229">
        <f t="shared" si="48"/>
        <v>0</v>
      </c>
      <c r="T26" s="101" t="e">
        <f t="shared" si="49"/>
        <v>#DIV/0!</v>
      </c>
      <c r="U26" s="236"/>
      <c r="V26" s="101" t="e">
        <f t="shared" si="50"/>
        <v>#DIV/0!</v>
      </c>
      <c r="W26" s="236"/>
      <c r="X26" s="101" t="e">
        <f t="shared" si="51"/>
        <v>#DIV/0!</v>
      </c>
      <c r="Y26" s="236"/>
      <c r="Z26" s="101" t="e">
        <f t="shared" si="52"/>
        <v>#DIV/0!</v>
      </c>
      <c r="AA26" s="236"/>
      <c r="AB26" s="101" t="e">
        <f t="shared" si="53"/>
        <v>#DIV/0!</v>
      </c>
      <c r="AC26" s="229">
        <f t="shared" si="54"/>
        <v>0</v>
      </c>
      <c r="AD26" s="101" t="e">
        <f t="shared" si="55"/>
        <v>#DIV/0!</v>
      </c>
      <c r="AE26" s="236"/>
      <c r="AF26" s="101" t="e">
        <f t="shared" si="56"/>
        <v>#DIV/0!</v>
      </c>
      <c r="AG26" s="236"/>
      <c r="AH26" s="101" t="e">
        <f t="shared" si="57"/>
        <v>#DIV/0!</v>
      </c>
      <c r="AI26" s="236"/>
      <c r="AJ26" s="101" t="e">
        <f t="shared" si="58"/>
        <v>#DIV/0!</v>
      </c>
      <c r="AK26" s="236"/>
      <c r="AL26" s="101" t="e">
        <f t="shared" si="59"/>
        <v>#DIV/0!</v>
      </c>
    </row>
    <row r="27" spans="2:38" ht="12">
      <c r="B27" s="98"/>
      <c r="C27" s="98"/>
      <c r="D27" s="86">
        <f t="shared" si="23"/>
        <v>46012</v>
      </c>
      <c r="E27" s="86" t="s">
        <v>634</v>
      </c>
      <c r="F27" s="230">
        <f t="shared" si="22"/>
        <v>0</v>
      </c>
      <c r="G27" s="339"/>
      <c r="H27" s="381"/>
      <c r="I27" s="236"/>
      <c r="J27" s="101" t="e">
        <f t="shared" si="42"/>
        <v>#DIV/0!</v>
      </c>
      <c r="K27" s="236"/>
      <c r="L27" s="101" t="e">
        <f t="shared" si="43"/>
        <v>#DIV/0!</v>
      </c>
      <c r="M27" s="229">
        <f t="shared" si="44"/>
        <v>0</v>
      </c>
      <c r="N27" s="101" t="e">
        <f t="shared" si="45"/>
        <v>#DIV/0!</v>
      </c>
      <c r="O27" s="236"/>
      <c r="P27" s="101" t="e">
        <f t="shared" si="46"/>
        <v>#DIV/0!</v>
      </c>
      <c r="Q27" s="236"/>
      <c r="R27" s="101" t="e">
        <f t="shared" si="47"/>
        <v>#DIV/0!</v>
      </c>
      <c r="S27" s="229">
        <f t="shared" si="48"/>
        <v>0</v>
      </c>
      <c r="T27" s="101" t="e">
        <f t="shared" si="49"/>
        <v>#DIV/0!</v>
      </c>
      <c r="U27" s="236"/>
      <c r="V27" s="101" t="e">
        <f t="shared" si="50"/>
        <v>#DIV/0!</v>
      </c>
      <c r="W27" s="236"/>
      <c r="X27" s="101" t="e">
        <f t="shared" si="51"/>
        <v>#DIV/0!</v>
      </c>
      <c r="Y27" s="236"/>
      <c r="Z27" s="101" t="e">
        <f t="shared" si="52"/>
        <v>#DIV/0!</v>
      </c>
      <c r="AA27" s="236"/>
      <c r="AB27" s="101" t="e">
        <f t="shared" si="53"/>
        <v>#DIV/0!</v>
      </c>
      <c r="AC27" s="229">
        <f t="shared" si="54"/>
        <v>0</v>
      </c>
      <c r="AD27" s="101" t="e">
        <f t="shared" si="55"/>
        <v>#DIV/0!</v>
      </c>
      <c r="AE27" s="236"/>
      <c r="AF27" s="101" t="e">
        <f t="shared" si="56"/>
        <v>#DIV/0!</v>
      </c>
      <c r="AG27" s="236"/>
      <c r="AH27" s="101" t="e">
        <f t="shared" si="57"/>
        <v>#DIV/0!</v>
      </c>
      <c r="AI27" s="236"/>
      <c r="AJ27" s="101" t="e">
        <f t="shared" si="58"/>
        <v>#DIV/0!</v>
      </c>
      <c r="AK27" s="236"/>
      <c r="AL27" s="101" t="e">
        <f t="shared" si="59"/>
        <v>#DIV/0!</v>
      </c>
    </row>
    <row r="28" spans="2:38" ht="12">
      <c r="B28" s="98"/>
      <c r="C28" s="98"/>
      <c r="D28" s="86">
        <f t="shared" si="23"/>
        <v>46013</v>
      </c>
      <c r="E28" s="86" t="s">
        <v>628</v>
      </c>
      <c r="F28" s="230">
        <f t="shared" si="22"/>
        <v>0</v>
      </c>
      <c r="G28" s="339"/>
      <c r="H28" s="381"/>
      <c r="I28" s="236"/>
      <c r="J28" s="101" t="e">
        <f t="shared" si="42"/>
        <v>#DIV/0!</v>
      </c>
      <c r="K28" s="236"/>
      <c r="L28" s="101" t="e">
        <f t="shared" si="43"/>
        <v>#DIV/0!</v>
      </c>
      <c r="M28" s="229">
        <f t="shared" si="44"/>
        <v>0</v>
      </c>
      <c r="N28" s="101" t="e">
        <f t="shared" si="45"/>
        <v>#DIV/0!</v>
      </c>
      <c r="O28" s="236"/>
      <c r="P28" s="101" t="e">
        <f t="shared" si="46"/>
        <v>#DIV/0!</v>
      </c>
      <c r="Q28" s="236"/>
      <c r="R28" s="101" t="e">
        <f t="shared" si="47"/>
        <v>#DIV/0!</v>
      </c>
      <c r="S28" s="229">
        <f t="shared" si="48"/>
        <v>0</v>
      </c>
      <c r="T28" s="101" t="e">
        <f t="shared" si="49"/>
        <v>#DIV/0!</v>
      </c>
      <c r="U28" s="236"/>
      <c r="V28" s="101" t="e">
        <f t="shared" si="50"/>
        <v>#DIV/0!</v>
      </c>
      <c r="W28" s="236"/>
      <c r="X28" s="101" t="e">
        <f t="shared" si="51"/>
        <v>#DIV/0!</v>
      </c>
      <c r="Y28" s="236"/>
      <c r="Z28" s="101" t="e">
        <f t="shared" si="52"/>
        <v>#DIV/0!</v>
      </c>
      <c r="AA28" s="236"/>
      <c r="AB28" s="101" t="e">
        <f t="shared" si="53"/>
        <v>#DIV/0!</v>
      </c>
      <c r="AC28" s="229">
        <f t="shared" si="54"/>
        <v>0</v>
      </c>
      <c r="AD28" s="101" t="e">
        <f t="shared" si="55"/>
        <v>#DIV/0!</v>
      </c>
      <c r="AE28" s="236"/>
      <c r="AF28" s="101" t="e">
        <f t="shared" si="56"/>
        <v>#DIV/0!</v>
      </c>
      <c r="AG28" s="236"/>
      <c r="AH28" s="101" t="e">
        <f t="shared" si="57"/>
        <v>#DIV/0!</v>
      </c>
      <c r="AI28" s="236"/>
      <c r="AJ28" s="101" t="e">
        <f t="shared" si="58"/>
        <v>#DIV/0!</v>
      </c>
      <c r="AK28" s="236"/>
      <c r="AL28" s="101" t="e">
        <f t="shared" si="59"/>
        <v>#DIV/0!</v>
      </c>
    </row>
    <row r="29" spans="2:38" ht="12">
      <c r="B29" s="98"/>
      <c r="C29" s="98"/>
      <c r="D29" s="341">
        <f t="shared" si="23"/>
        <v>46014</v>
      </c>
      <c r="E29" s="341" t="s">
        <v>629</v>
      </c>
      <c r="F29" s="230">
        <f t="shared" si="22"/>
        <v>0</v>
      </c>
      <c r="G29" s="339">
        <f>SUM(F29:F35)</f>
        <v>0</v>
      </c>
      <c r="H29" s="381"/>
      <c r="I29" s="236"/>
      <c r="J29" s="101" t="e">
        <f t="shared" si="42"/>
        <v>#DIV/0!</v>
      </c>
      <c r="K29" s="236"/>
      <c r="L29" s="101" t="e">
        <f t="shared" si="43"/>
        <v>#DIV/0!</v>
      </c>
      <c r="M29" s="229">
        <f t="shared" si="44"/>
        <v>0</v>
      </c>
      <c r="N29" s="101" t="e">
        <f t="shared" si="45"/>
        <v>#DIV/0!</v>
      </c>
      <c r="O29" s="236"/>
      <c r="P29" s="101" t="e">
        <f t="shared" si="46"/>
        <v>#DIV/0!</v>
      </c>
      <c r="Q29" s="236"/>
      <c r="R29" s="101" t="e">
        <f t="shared" si="47"/>
        <v>#DIV/0!</v>
      </c>
      <c r="S29" s="229">
        <f t="shared" si="48"/>
        <v>0</v>
      </c>
      <c r="T29" s="101" t="e">
        <f t="shared" si="49"/>
        <v>#DIV/0!</v>
      </c>
      <c r="U29" s="236"/>
      <c r="V29" s="101" t="e">
        <f t="shared" si="50"/>
        <v>#DIV/0!</v>
      </c>
      <c r="W29" s="236"/>
      <c r="X29" s="101" t="e">
        <f t="shared" si="51"/>
        <v>#DIV/0!</v>
      </c>
      <c r="Y29" s="236"/>
      <c r="Z29" s="101" t="e">
        <f t="shared" si="52"/>
        <v>#DIV/0!</v>
      </c>
      <c r="AA29" s="236"/>
      <c r="AB29" s="101" t="e">
        <f t="shared" si="53"/>
        <v>#DIV/0!</v>
      </c>
      <c r="AC29" s="229">
        <f t="shared" si="54"/>
        <v>0</v>
      </c>
      <c r="AD29" s="101" t="e">
        <f t="shared" si="55"/>
        <v>#DIV/0!</v>
      </c>
      <c r="AE29" s="236"/>
      <c r="AF29" s="101" t="e">
        <f t="shared" si="56"/>
        <v>#DIV/0!</v>
      </c>
      <c r="AG29" s="236"/>
      <c r="AH29" s="101" t="e">
        <f t="shared" si="57"/>
        <v>#DIV/0!</v>
      </c>
      <c r="AI29" s="236"/>
      <c r="AJ29" s="101" t="e">
        <f t="shared" si="58"/>
        <v>#DIV/0!</v>
      </c>
      <c r="AK29" s="236"/>
      <c r="AL29" s="101" t="e">
        <f t="shared" si="59"/>
        <v>#DIV/0!</v>
      </c>
    </row>
    <row r="30" spans="2:38" ht="12">
      <c r="B30" s="98"/>
      <c r="C30" s="98"/>
      <c r="D30" s="341">
        <f t="shared" si="23"/>
        <v>46015</v>
      </c>
      <c r="E30" s="341" t="s">
        <v>630</v>
      </c>
      <c r="F30" s="230">
        <f t="shared" si="22"/>
        <v>0</v>
      </c>
      <c r="G30" s="339"/>
      <c r="H30" s="381"/>
      <c r="I30" s="236"/>
      <c r="J30" s="101" t="e">
        <f t="shared" si="42"/>
        <v>#DIV/0!</v>
      </c>
      <c r="K30" s="236"/>
      <c r="L30" s="101" t="e">
        <f t="shared" si="43"/>
        <v>#DIV/0!</v>
      </c>
      <c r="M30" s="229">
        <f t="shared" si="44"/>
        <v>0</v>
      </c>
      <c r="N30" s="101" t="e">
        <f t="shared" si="45"/>
        <v>#DIV/0!</v>
      </c>
      <c r="O30" s="236"/>
      <c r="P30" s="101" t="e">
        <f t="shared" si="46"/>
        <v>#DIV/0!</v>
      </c>
      <c r="Q30" s="236"/>
      <c r="R30" s="101" t="e">
        <f t="shared" si="47"/>
        <v>#DIV/0!</v>
      </c>
      <c r="S30" s="229">
        <f t="shared" si="48"/>
        <v>0</v>
      </c>
      <c r="T30" s="101" t="e">
        <f t="shared" si="49"/>
        <v>#DIV/0!</v>
      </c>
      <c r="U30" s="236"/>
      <c r="V30" s="101" t="e">
        <f t="shared" si="50"/>
        <v>#DIV/0!</v>
      </c>
      <c r="W30" s="236"/>
      <c r="X30" s="101" t="e">
        <f t="shared" si="51"/>
        <v>#DIV/0!</v>
      </c>
      <c r="Y30" s="236"/>
      <c r="Z30" s="101" t="e">
        <f t="shared" si="52"/>
        <v>#DIV/0!</v>
      </c>
      <c r="AA30" s="236"/>
      <c r="AB30" s="101" t="e">
        <f t="shared" si="53"/>
        <v>#DIV/0!</v>
      </c>
      <c r="AC30" s="229">
        <f t="shared" si="54"/>
        <v>0</v>
      </c>
      <c r="AD30" s="101" t="e">
        <f t="shared" si="55"/>
        <v>#DIV/0!</v>
      </c>
      <c r="AE30" s="236"/>
      <c r="AF30" s="101" t="e">
        <f t="shared" si="56"/>
        <v>#DIV/0!</v>
      </c>
      <c r="AG30" s="236"/>
      <c r="AH30" s="101" t="e">
        <f t="shared" si="57"/>
        <v>#DIV/0!</v>
      </c>
      <c r="AI30" s="236"/>
      <c r="AJ30" s="101" t="e">
        <f t="shared" si="58"/>
        <v>#DIV/0!</v>
      </c>
      <c r="AK30" s="236"/>
      <c r="AL30" s="101" t="e">
        <f t="shared" si="59"/>
        <v>#DIV/0!</v>
      </c>
    </row>
    <row r="31" spans="2:38" ht="12">
      <c r="B31" s="98"/>
      <c r="C31" s="98"/>
      <c r="D31" s="341">
        <f t="shared" si="23"/>
        <v>46016</v>
      </c>
      <c r="E31" s="341" t="s">
        <v>631</v>
      </c>
      <c r="F31" s="230">
        <f t="shared" si="22"/>
        <v>0</v>
      </c>
      <c r="G31" s="339"/>
      <c r="H31" s="381"/>
      <c r="I31" s="236"/>
      <c r="J31" s="101" t="e">
        <f t="shared" si="42"/>
        <v>#DIV/0!</v>
      </c>
      <c r="K31" s="236"/>
      <c r="L31" s="101" t="e">
        <f t="shared" si="43"/>
        <v>#DIV/0!</v>
      </c>
      <c r="M31" s="229">
        <f t="shared" si="44"/>
        <v>0</v>
      </c>
      <c r="N31" s="101" t="e">
        <f t="shared" si="45"/>
        <v>#DIV/0!</v>
      </c>
      <c r="O31" s="236"/>
      <c r="P31" s="101" t="e">
        <f t="shared" si="46"/>
        <v>#DIV/0!</v>
      </c>
      <c r="Q31" s="236"/>
      <c r="R31" s="101" t="e">
        <f t="shared" si="47"/>
        <v>#DIV/0!</v>
      </c>
      <c r="S31" s="229">
        <f t="shared" si="48"/>
        <v>0</v>
      </c>
      <c r="T31" s="101" t="e">
        <f t="shared" si="49"/>
        <v>#DIV/0!</v>
      </c>
      <c r="U31" s="236"/>
      <c r="V31" s="101" t="e">
        <f t="shared" si="50"/>
        <v>#DIV/0!</v>
      </c>
      <c r="W31" s="236"/>
      <c r="X31" s="101" t="e">
        <f t="shared" si="51"/>
        <v>#DIV/0!</v>
      </c>
      <c r="Y31" s="236"/>
      <c r="Z31" s="101" t="e">
        <f t="shared" si="52"/>
        <v>#DIV/0!</v>
      </c>
      <c r="AA31" s="236"/>
      <c r="AB31" s="101" t="e">
        <f t="shared" si="53"/>
        <v>#DIV/0!</v>
      </c>
      <c r="AC31" s="229">
        <f t="shared" si="54"/>
        <v>0</v>
      </c>
      <c r="AD31" s="101" t="e">
        <f t="shared" si="55"/>
        <v>#DIV/0!</v>
      </c>
      <c r="AE31" s="236"/>
      <c r="AF31" s="101" t="e">
        <f t="shared" si="56"/>
        <v>#DIV/0!</v>
      </c>
      <c r="AG31" s="236"/>
      <c r="AH31" s="101" t="e">
        <f t="shared" si="57"/>
        <v>#DIV/0!</v>
      </c>
      <c r="AI31" s="236"/>
      <c r="AJ31" s="101" t="e">
        <f t="shared" si="58"/>
        <v>#DIV/0!</v>
      </c>
      <c r="AK31" s="236"/>
      <c r="AL31" s="101" t="e">
        <f t="shared" si="59"/>
        <v>#DIV/0!</v>
      </c>
    </row>
    <row r="32" spans="2:38" ht="12">
      <c r="B32" s="98"/>
      <c r="C32" s="98"/>
      <c r="D32" s="341">
        <f t="shared" si="23"/>
        <v>46017</v>
      </c>
      <c r="E32" s="341" t="s">
        <v>632</v>
      </c>
      <c r="F32" s="230">
        <f t="shared" si="22"/>
        <v>0</v>
      </c>
      <c r="G32" s="339"/>
      <c r="H32" s="381"/>
      <c r="I32" s="236"/>
      <c r="J32" s="101" t="e">
        <f t="shared" si="42"/>
        <v>#DIV/0!</v>
      </c>
      <c r="K32" s="236"/>
      <c r="L32" s="101" t="e">
        <f t="shared" si="43"/>
        <v>#DIV/0!</v>
      </c>
      <c r="M32" s="229">
        <f t="shared" si="44"/>
        <v>0</v>
      </c>
      <c r="N32" s="101" t="e">
        <f t="shared" si="45"/>
        <v>#DIV/0!</v>
      </c>
      <c r="O32" s="236"/>
      <c r="P32" s="101" t="e">
        <f t="shared" si="46"/>
        <v>#DIV/0!</v>
      </c>
      <c r="Q32" s="236"/>
      <c r="R32" s="101" t="e">
        <f t="shared" si="47"/>
        <v>#DIV/0!</v>
      </c>
      <c r="S32" s="229">
        <f t="shared" si="48"/>
        <v>0</v>
      </c>
      <c r="T32" s="101" t="e">
        <f t="shared" si="49"/>
        <v>#DIV/0!</v>
      </c>
      <c r="U32" s="236"/>
      <c r="V32" s="101" t="e">
        <f t="shared" si="50"/>
        <v>#DIV/0!</v>
      </c>
      <c r="W32" s="236"/>
      <c r="X32" s="101" t="e">
        <f t="shared" si="51"/>
        <v>#DIV/0!</v>
      </c>
      <c r="Y32" s="236"/>
      <c r="Z32" s="101" t="e">
        <f t="shared" si="52"/>
        <v>#DIV/0!</v>
      </c>
      <c r="AA32" s="236"/>
      <c r="AB32" s="101" t="e">
        <f t="shared" si="53"/>
        <v>#DIV/0!</v>
      </c>
      <c r="AC32" s="229">
        <f t="shared" si="54"/>
        <v>0</v>
      </c>
      <c r="AD32" s="101" t="e">
        <f t="shared" si="55"/>
        <v>#DIV/0!</v>
      </c>
      <c r="AE32" s="236"/>
      <c r="AF32" s="101" t="e">
        <f t="shared" si="56"/>
        <v>#DIV/0!</v>
      </c>
      <c r="AG32" s="236"/>
      <c r="AH32" s="101" t="e">
        <f t="shared" si="57"/>
        <v>#DIV/0!</v>
      </c>
      <c r="AI32" s="236"/>
      <c r="AJ32" s="101" t="e">
        <f t="shared" si="58"/>
        <v>#DIV/0!</v>
      </c>
      <c r="AK32" s="236"/>
      <c r="AL32" s="101" t="e">
        <f t="shared" si="59"/>
        <v>#DIV/0!</v>
      </c>
    </row>
    <row r="33" spans="2:38" ht="12">
      <c r="B33" s="98"/>
      <c r="C33" s="98"/>
      <c r="D33" s="341">
        <f t="shared" si="23"/>
        <v>46018</v>
      </c>
      <c r="E33" s="341" t="s">
        <v>633</v>
      </c>
      <c r="F33" s="230">
        <f t="shared" si="22"/>
        <v>0</v>
      </c>
      <c r="G33" s="339"/>
      <c r="H33" s="381"/>
      <c r="I33" s="236"/>
      <c r="J33" s="101" t="e">
        <f t="shared" si="42"/>
        <v>#DIV/0!</v>
      </c>
      <c r="K33" s="236"/>
      <c r="L33" s="101" t="e">
        <f t="shared" si="43"/>
        <v>#DIV/0!</v>
      </c>
      <c r="M33" s="229">
        <f t="shared" si="44"/>
        <v>0</v>
      </c>
      <c r="N33" s="101" t="e">
        <f t="shared" si="45"/>
        <v>#DIV/0!</v>
      </c>
      <c r="O33" s="236"/>
      <c r="P33" s="101" t="e">
        <f t="shared" si="46"/>
        <v>#DIV/0!</v>
      </c>
      <c r="Q33" s="236"/>
      <c r="R33" s="101" t="e">
        <f t="shared" si="47"/>
        <v>#DIV/0!</v>
      </c>
      <c r="S33" s="229">
        <f t="shared" si="48"/>
        <v>0</v>
      </c>
      <c r="T33" s="101" t="e">
        <f t="shared" si="49"/>
        <v>#DIV/0!</v>
      </c>
      <c r="U33" s="236"/>
      <c r="V33" s="101" t="e">
        <f t="shared" si="50"/>
        <v>#DIV/0!</v>
      </c>
      <c r="W33" s="236"/>
      <c r="X33" s="101" t="e">
        <f t="shared" si="51"/>
        <v>#DIV/0!</v>
      </c>
      <c r="Y33" s="236"/>
      <c r="Z33" s="101" t="e">
        <f t="shared" si="52"/>
        <v>#DIV/0!</v>
      </c>
      <c r="AA33" s="236"/>
      <c r="AB33" s="101" t="e">
        <f t="shared" si="53"/>
        <v>#DIV/0!</v>
      </c>
      <c r="AC33" s="229">
        <f t="shared" si="54"/>
        <v>0</v>
      </c>
      <c r="AD33" s="101" t="e">
        <f t="shared" si="55"/>
        <v>#DIV/0!</v>
      </c>
      <c r="AE33" s="236"/>
      <c r="AF33" s="101" t="e">
        <f t="shared" si="56"/>
        <v>#DIV/0!</v>
      </c>
      <c r="AG33" s="236"/>
      <c r="AH33" s="101" t="e">
        <f t="shared" si="57"/>
        <v>#DIV/0!</v>
      </c>
      <c r="AI33" s="236"/>
      <c r="AJ33" s="101" t="e">
        <f t="shared" si="58"/>
        <v>#DIV/0!</v>
      </c>
      <c r="AK33" s="236"/>
      <c r="AL33" s="101" t="e">
        <f t="shared" si="59"/>
        <v>#DIV/0!</v>
      </c>
    </row>
    <row r="34" spans="2:38" ht="12">
      <c r="B34" s="98"/>
      <c r="C34" s="98"/>
      <c r="D34" s="341">
        <f t="shared" si="23"/>
        <v>46019</v>
      </c>
      <c r="E34" s="341" t="s">
        <v>634</v>
      </c>
      <c r="F34" s="230">
        <f t="shared" si="22"/>
        <v>0</v>
      </c>
      <c r="G34" s="339"/>
      <c r="H34" s="381"/>
      <c r="I34" s="236"/>
      <c r="J34" s="101" t="e">
        <f t="shared" si="42"/>
        <v>#DIV/0!</v>
      </c>
      <c r="K34" s="236"/>
      <c r="L34" s="101" t="e">
        <f t="shared" si="43"/>
        <v>#DIV/0!</v>
      </c>
      <c r="M34" s="229">
        <f t="shared" si="44"/>
        <v>0</v>
      </c>
      <c r="N34" s="101" t="e">
        <f t="shared" si="45"/>
        <v>#DIV/0!</v>
      </c>
      <c r="O34" s="236"/>
      <c r="P34" s="101" t="e">
        <f t="shared" si="46"/>
        <v>#DIV/0!</v>
      </c>
      <c r="Q34" s="236"/>
      <c r="R34" s="101" t="e">
        <f t="shared" si="47"/>
        <v>#DIV/0!</v>
      </c>
      <c r="S34" s="229">
        <f t="shared" si="48"/>
        <v>0</v>
      </c>
      <c r="T34" s="101" t="e">
        <f t="shared" si="49"/>
        <v>#DIV/0!</v>
      </c>
      <c r="U34" s="236"/>
      <c r="V34" s="101" t="e">
        <f t="shared" si="50"/>
        <v>#DIV/0!</v>
      </c>
      <c r="W34" s="236"/>
      <c r="X34" s="101" t="e">
        <f t="shared" si="51"/>
        <v>#DIV/0!</v>
      </c>
      <c r="Y34" s="236"/>
      <c r="Z34" s="101" t="e">
        <f t="shared" si="52"/>
        <v>#DIV/0!</v>
      </c>
      <c r="AA34" s="236"/>
      <c r="AB34" s="101" t="e">
        <f t="shared" si="53"/>
        <v>#DIV/0!</v>
      </c>
      <c r="AC34" s="229">
        <f t="shared" si="54"/>
        <v>0</v>
      </c>
      <c r="AD34" s="101" t="e">
        <f t="shared" si="55"/>
        <v>#DIV/0!</v>
      </c>
      <c r="AE34" s="236"/>
      <c r="AF34" s="101" t="e">
        <f t="shared" si="56"/>
        <v>#DIV/0!</v>
      </c>
      <c r="AG34" s="236"/>
      <c r="AH34" s="101" t="e">
        <f t="shared" si="57"/>
        <v>#DIV/0!</v>
      </c>
      <c r="AI34" s="236"/>
      <c r="AJ34" s="101" t="e">
        <f t="shared" si="58"/>
        <v>#DIV/0!</v>
      </c>
      <c r="AK34" s="236"/>
      <c r="AL34" s="101" t="e">
        <f t="shared" si="59"/>
        <v>#DIV/0!</v>
      </c>
    </row>
    <row r="35" spans="2:38" ht="12">
      <c r="B35" s="98"/>
      <c r="C35" s="98"/>
      <c r="D35" s="341">
        <f t="shared" si="23"/>
        <v>46020</v>
      </c>
      <c r="E35" s="341" t="s">
        <v>628</v>
      </c>
      <c r="F35" s="230">
        <f t="shared" si="22"/>
        <v>0</v>
      </c>
      <c r="G35" s="339"/>
      <c r="H35" s="381"/>
      <c r="I35" s="236"/>
      <c r="J35" s="101" t="e">
        <f t="shared" si="42"/>
        <v>#DIV/0!</v>
      </c>
      <c r="K35" s="236"/>
      <c r="L35" s="101" t="e">
        <f t="shared" si="43"/>
        <v>#DIV/0!</v>
      </c>
      <c r="M35" s="229">
        <f t="shared" si="44"/>
        <v>0</v>
      </c>
      <c r="N35" s="101" t="e">
        <f t="shared" si="45"/>
        <v>#DIV/0!</v>
      </c>
      <c r="O35" s="236"/>
      <c r="P35" s="101" t="e">
        <f t="shared" si="46"/>
        <v>#DIV/0!</v>
      </c>
      <c r="Q35" s="236"/>
      <c r="R35" s="101" t="e">
        <f t="shared" si="47"/>
        <v>#DIV/0!</v>
      </c>
      <c r="S35" s="229">
        <f t="shared" si="48"/>
        <v>0</v>
      </c>
      <c r="T35" s="101" t="e">
        <f t="shared" si="49"/>
        <v>#DIV/0!</v>
      </c>
      <c r="U35" s="236"/>
      <c r="V35" s="101" t="e">
        <f t="shared" si="50"/>
        <v>#DIV/0!</v>
      </c>
      <c r="W35" s="236"/>
      <c r="X35" s="101" t="e">
        <f t="shared" si="51"/>
        <v>#DIV/0!</v>
      </c>
      <c r="Y35" s="236"/>
      <c r="Z35" s="101" t="e">
        <f t="shared" si="52"/>
        <v>#DIV/0!</v>
      </c>
      <c r="AA35" s="236"/>
      <c r="AB35" s="101" t="e">
        <f t="shared" si="53"/>
        <v>#DIV/0!</v>
      </c>
      <c r="AC35" s="229">
        <f t="shared" si="54"/>
        <v>0</v>
      </c>
      <c r="AD35" s="101" t="e">
        <f t="shared" si="55"/>
        <v>#DIV/0!</v>
      </c>
      <c r="AE35" s="236"/>
      <c r="AF35" s="101" t="e">
        <f t="shared" si="56"/>
        <v>#DIV/0!</v>
      </c>
      <c r="AG35" s="236"/>
      <c r="AH35" s="101" t="e">
        <f t="shared" si="57"/>
        <v>#DIV/0!</v>
      </c>
      <c r="AI35" s="236"/>
      <c r="AJ35" s="101" t="e">
        <f t="shared" si="58"/>
        <v>#DIV/0!</v>
      </c>
      <c r="AK35" s="236"/>
      <c r="AL35" s="101" t="e">
        <f t="shared" si="59"/>
        <v>#DIV/0!</v>
      </c>
    </row>
    <row r="36" spans="2:38" ht="12">
      <c r="B36" s="98"/>
      <c r="C36" s="98"/>
      <c r="D36" s="86">
        <f t="shared" si="23"/>
        <v>46021</v>
      </c>
      <c r="E36" s="86" t="s">
        <v>629</v>
      </c>
      <c r="F36" s="230">
        <f t="shared" si="22"/>
        <v>0</v>
      </c>
      <c r="G36" s="339">
        <f>SUM(F36:F42)</f>
        <v>0</v>
      </c>
      <c r="H36" s="381"/>
      <c r="I36" s="236"/>
      <c r="J36" s="101" t="e">
        <f t="shared" si="42"/>
        <v>#DIV/0!</v>
      </c>
      <c r="K36" s="236"/>
      <c r="L36" s="101" t="e">
        <f t="shared" si="43"/>
        <v>#DIV/0!</v>
      </c>
      <c r="M36" s="229">
        <f t="shared" si="44"/>
        <v>0</v>
      </c>
      <c r="N36" s="101" t="e">
        <f t="shared" si="45"/>
        <v>#DIV/0!</v>
      </c>
      <c r="O36" s="236"/>
      <c r="P36" s="101" t="e">
        <f t="shared" si="46"/>
        <v>#DIV/0!</v>
      </c>
      <c r="Q36" s="236"/>
      <c r="R36" s="101" t="e">
        <f t="shared" si="47"/>
        <v>#DIV/0!</v>
      </c>
      <c r="S36" s="229">
        <f t="shared" si="48"/>
        <v>0</v>
      </c>
      <c r="T36" s="101" t="e">
        <f t="shared" si="49"/>
        <v>#DIV/0!</v>
      </c>
      <c r="U36" s="236"/>
      <c r="V36" s="101" t="e">
        <f t="shared" si="50"/>
        <v>#DIV/0!</v>
      </c>
      <c r="W36" s="236"/>
      <c r="X36" s="101" t="e">
        <f t="shared" si="51"/>
        <v>#DIV/0!</v>
      </c>
      <c r="Y36" s="236"/>
      <c r="Z36" s="101" t="e">
        <f t="shared" si="52"/>
        <v>#DIV/0!</v>
      </c>
      <c r="AA36" s="236"/>
      <c r="AB36" s="101" t="e">
        <f t="shared" si="53"/>
        <v>#DIV/0!</v>
      </c>
      <c r="AC36" s="229">
        <f t="shared" si="54"/>
        <v>0</v>
      </c>
      <c r="AD36" s="101" t="e">
        <f t="shared" si="55"/>
        <v>#DIV/0!</v>
      </c>
      <c r="AE36" s="236"/>
      <c r="AF36" s="101" t="e">
        <f t="shared" si="56"/>
        <v>#DIV/0!</v>
      </c>
      <c r="AG36" s="236"/>
      <c r="AH36" s="101" t="e">
        <f t="shared" si="57"/>
        <v>#DIV/0!</v>
      </c>
      <c r="AI36" s="236"/>
      <c r="AJ36" s="101" t="e">
        <f t="shared" si="58"/>
        <v>#DIV/0!</v>
      </c>
      <c r="AK36" s="236"/>
      <c r="AL36" s="101" t="e">
        <f t="shared" si="59"/>
        <v>#DIV/0!</v>
      </c>
    </row>
    <row r="37" spans="2:38" ht="12">
      <c r="B37" s="98"/>
      <c r="C37" s="98"/>
      <c r="D37" s="86">
        <f t="shared" si="23"/>
        <v>46022</v>
      </c>
      <c r="E37" s="86" t="s">
        <v>630</v>
      </c>
      <c r="F37" s="230">
        <f t="shared" si="22"/>
        <v>0</v>
      </c>
      <c r="G37" s="339"/>
      <c r="H37" s="381"/>
      <c r="I37" s="236"/>
      <c r="J37" s="101" t="e">
        <f t="shared" si="42"/>
        <v>#DIV/0!</v>
      </c>
      <c r="K37" s="236"/>
      <c r="L37" s="101" t="e">
        <f t="shared" si="43"/>
        <v>#DIV/0!</v>
      </c>
      <c r="M37" s="229">
        <f t="shared" si="44"/>
        <v>0</v>
      </c>
      <c r="N37" s="101" t="e">
        <f t="shared" si="45"/>
        <v>#DIV/0!</v>
      </c>
      <c r="O37" s="236"/>
      <c r="P37" s="101" t="e">
        <f t="shared" si="46"/>
        <v>#DIV/0!</v>
      </c>
      <c r="Q37" s="236"/>
      <c r="R37" s="101" t="e">
        <f t="shared" si="47"/>
        <v>#DIV/0!</v>
      </c>
      <c r="S37" s="229">
        <f t="shared" si="48"/>
        <v>0</v>
      </c>
      <c r="T37" s="101" t="e">
        <f t="shared" si="49"/>
        <v>#DIV/0!</v>
      </c>
      <c r="U37" s="236"/>
      <c r="V37" s="101" t="e">
        <f t="shared" si="50"/>
        <v>#DIV/0!</v>
      </c>
      <c r="W37" s="236"/>
      <c r="X37" s="101" t="e">
        <f t="shared" si="51"/>
        <v>#DIV/0!</v>
      </c>
      <c r="Y37" s="236"/>
      <c r="Z37" s="101" t="e">
        <f t="shared" si="52"/>
        <v>#DIV/0!</v>
      </c>
      <c r="AA37" s="236"/>
      <c r="AB37" s="101" t="e">
        <f t="shared" si="53"/>
        <v>#DIV/0!</v>
      </c>
      <c r="AC37" s="229">
        <f t="shared" si="54"/>
        <v>0</v>
      </c>
      <c r="AD37" s="101" t="e">
        <f t="shared" si="55"/>
        <v>#DIV/0!</v>
      </c>
      <c r="AE37" s="236"/>
      <c r="AF37" s="101" t="e">
        <f t="shared" si="56"/>
        <v>#DIV/0!</v>
      </c>
      <c r="AG37" s="236"/>
      <c r="AH37" s="101" t="e">
        <f t="shared" si="57"/>
        <v>#DIV/0!</v>
      </c>
      <c r="AI37" s="236"/>
      <c r="AJ37" s="101" t="e">
        <f t="shared" si="58"/>
        <v>#DIV/0!</v>
      </c>
      <c r="AK37" s="236"/>
      <c r="AL37" s="101" t="e">
        <f t="shared" si="59"/>
        <v>#DIV/0!</v>
      </c>
    </row>
    <row r="38" spans="2:38" ht="12">
      <c r="B38" s="98"/>
      <c r="C38" s="98"/>
      <c r="D38" s="86">
        <f t="shared" si="23"/>
        <v>46023</v>
      </c>
      <c r="E38" s="86" t="s">
        <v>631</v>
      </c>
      <c r="F38" s="230">
        <f t="shared" si="22"/>
        <v>0</v>
      </c>
      <c r="G38" s="339"/>
      <c r="H38" s="381"/>
      <c r="I38" s="236"/>
      <c r="J38" s="101" t="e">
        <f t="shared" si="42"/>
        <v>#DIV/0!</v>
      </c>
      <c r="K38" s="236"/>
      <c r="L38" s="101" t="e">
        <f t="shared" si="43"/>
        <v>#DIV/0!</v>
      </c>
      <c r="M38" s="229">
        <f t="shared" si="44"/>
        <v>0</v>
      </c>
      <c r="N38" s="101" t="e">
        <f t="shared" si="45"/>
        <v>#DIV/0!</v>
      </c>
      <c r="O38" s="236"/>
      <c r="P38" s="101" t="e">
        <f t="shared" si="46"/>
        <v>#DIV/0!</v>
      </c>
      <c r="Q38" s="236"/>
      <c r="R38" s="101" t="e">
        <f t="shared" si="47"/>
        <v>#DIV/0!</v>
      </c>
      <c r="S38" s="229">
        <f t="shared" si="48"/>
        <v>0</v>
      </c>
      <c r="T38" s="101" t="e">
        <f t="shared" si="49"/>
        <v>#DIV/0!</v>
      </c>
      <c r="U38" s="236"/>
      <c r="V38" s="101" t="e">
        <f t="shared" si="50"/>
        <v>#DIV/0!</v>
      </c>
      <c r="W38" s="236"/>
      <c r="X38" s="101" t="e">
        <f t="shared" si="51"/>
        <v>#DIV/0!</v>
      </c>
      <c r="Y38" s="236"/>
      <c r="Z38" s="101" t="e">
        <f t="shared" si="52"/>
        <v>#DIV/0!</v>
      </c>
      <c r="AA38" s="236"/>
      <c r="AB38" s="101" t="e">
        <f t="shared" si="53"/>
        <v>#DIV/0!</v>
      </c>
      <c r="AC38" s="229">
        <f t="shared" si="54"/>
        <v>0</v>
      </c>
      <c r="AD38" s="101" t="e">
        <f t="shared" si="55"/>
        <v>#DIV/0!</v>
      </c>
      <c r="AE38" s="236"/>
      <c r="AF38" s="101" t="e">
        <f t="shared" si="56"/>
        <v>#DIV/0!</v>
      </c>
      <c r="AG38" s="236"/>
      <c r="AH38" s="101" t="e">
        <f t="shared" si="57"/>
        <v>#DIV/0!</v>
      </c>
      <c r="AI38" s="236"/>
      <c r="AJ38" s="101" t="e">
        <f t="shared" si="58"/>
        <v>#DIV/0!</v>
      </c>
      <c r="AK38" s="236"/>
      <c r="AL38" s="101" t="e">
        <f t="shared" si="59"/>
        <v>#DIV/0!</v>
      </c>
    </row>
    <row r="39" spans="2:38" ht="12">
      <c r="B39" s="98"/>
      <c r="C39" s="83"/>
      <c r="D39" s="86">
        <f t="shared" si="23"/>
        <v>46024</v>
      </c>
      <c r="E39" s="86" t="s">
        <v>632</v>
      </c>
      <c r="F39" s="230">
        <f t="shared" si="22"/>
        <v>0</v>
      </c>
      <c r="G39" s="339"/>
      <c r="H39" s="97"/>
      <c r="I39" s="236"/>
      <c r="J39" s="101" t="e">
        <f t="shared" si="42"/>
        <v>#DIV/0!</v>
      </c>
      <c r="K39" s="236"/>
      <c r="L39" s="101" t="e">
        <f t="shared" si="43"/>
        <v>#DIV/0!</v>
      </c>
      <c r="M39" s="229">
        <f t="shared" si="44"/>
        <v>0</v>
      </c>
      <c r="N39" s="101" t="e">
        <f t="shared" si="45"/>
        <v>#DIV/0!</v>
      </c>
      <c r="O39" s="236"/>
      <c r="P39" s="101" t="e">
        <f t="shared" si="46"/>
        <v>#DIV/0!</v>
      </c>
      <c r="Q39" s="236"/>
      <c r="R39" s="101" t="e">
        <f t="shared" si="47"/>
        <v>#DIV/0!</v>
      </c>
      <c r="S39" s="229">
        <f t="shared" si="48"/>
        <v>0</v>
      </c>
      <c r="T39" s="101" t="e">
        <f t="shared" si="49"/>
        <v>#DIV/0!</v>
      </c>
      <c r="U39" s="236"/>
      <c r="V39" s="101" t="e">
        <f t="shared" si="50"/>
        <v>#DIV/0!</v>
      </c>
      <c r="W39" s="236"/>
      <c r="X39" s="101" t="e">
        <f t="shared" si="51"/>
        <v>#DIV/0!</v>
      </c>
      <c r="Y39" s="236"/>
      <c r="Z39" s="101" t="e">
        <f t="shared" si="52"/>
        <v>#DIV/0!</v>
      </c>
      <c r="AA39" s="236"/>
      <c r="AB39" s="101" t="e">
        <f t="shared" si="53"/>
        <v>#DIV/0!</v>
      </c>
      <c r="AC39" s="229">
        <f t="shared" si="54"/>
        <v>0</v>
      </c>
      <c r="AD39" s="101" t="e">
        <f t="shared" si="55"/>
        <v>#DIV/0!</v>
      </c>
      <c r="AE39" s="236"/>
      <c r="AF39" s="101" t="e">
        <f t="shared" si="56"/>
        <v>#DIV/0!</v>
      </c>
      <c r="AG39" s="236"/>
      <c r="AH39" s="101" t="e">
        <f t="shared" si="57"/>
        <v>#DIV/0!</v>
      </c>
      <c r="AI39" s="236"/>
      <c r="AJ39" s="101" t="e">
        <f t="shared" si="58"/>
        <v>#DIV/0!</v>
      </c>
      <c r="AK39" s="236"/>
      <c r="AL39" s="101" t="e">
        <f t="shared" si="59"/>
        <v>#DIV/0!</v>
      </c>
    </row>
    <row r="40" spans="2:38" ht="12">
      <c r="B40" s="98"/>
      <c r="C40" s="83"/>
      <c r="D40" s="86">
        <f t="shared" si="23"/>
        <v>46025</v>
      </c>
      <c r="E40" s="86" t="s">
        <v>633</v>
      </c>
      <c r="F40" s="230">
        <f t="shared" si="22"/>
        <v>0</v>
      </c>
      <c r="G40" s="339"/>
      <c r="H40" s="97"/>
      <c r="I40" s="236"/>
      <c r="J40" s="101" t="e">
        <f t="shared" si="42"/>
        <v>#DIV/0!</v>
      </c>
      <c r="K40" s="236"/>
      <c r="L40" s="101" t="e">
        <f t="shared" si="43"/>
        <v>#DIV/0!</v>
      </c>
      <c r="M40" s="229">
        <f t="shared" si="44"/>
        <v>0</v>
      </c>
      <c r="N40" s="101" t="e">
        <f t="shared" si="45"/>
        <v>#DIV/0!</v>
      </c>
      <c r="O40" s="236"/>
      <c r="P40" s="101" t="e">
        <f t="shared" si="46"/>
        <v>#DIV/0!</v>
      </c>
      <c r="Q40" s="236"/>
      <c r="R40" s="101" t="e">
        <f t="shared" si="47"/>
        <v>#DIV/0!</v>
      </c>
      <c r="S40" s="229">
        <f t="shared" si="48"/>
        <v>0</v>
      </c>
      <c r="T40" s="101" t="e">
        <f t="shared" si="49"/>
        <v>#DIV/0!</v>
      </c>
      <c r="U40" s="236"/>
      <c r="V40" s="101" t="e">
        <f t="shared" si="50"/>
        <v>#DIV/0!</v>
      </c>
      <c r="W40" s="236"/>
      <c r="X40" s="101" t="e">
        <f t="shared" si="51"/>
        <v>#DIV/0!</v>
      </c>
      <c r="Y40" s="236"/>
      <c r="Z40" s="101" t="e">
        <f t="shared" si="52"/>
        <v>#DIV/0!</v>
      </c>
      <c r="AA40" s="236"/>
      <c r="AB40" s="101" t="e">
        <f t="shared" si="53"/>
        <v>#DIV/0!</v>
      </c>
      <c r="AC40" s="229">
        <f t="shared" si="54"/>
        <v>0</v>
      </c>
      <c r="AD40" s="101" t="e">
        <f t="shared" si="55"/>
        <v>#DIV/0!</v>
      </c>
      <c r="AE40" s="236"/>
      <c r="AF40" s="101" t="e">
        <f t="shared" si="56"/>
        <v>#DIV/0!</v>
      </c>
      <c r="AG40" s="236"/>
      <c r="AH40" s="101" t="e">
        <f t="shared" si="57"/>
        <v>#DIV/0!</v>
      </c>
      <c r="AI40" s="236"/>
      <c r="AJ40" s="101" t="e">
        <f t="shared" si="58"/>
        <v>#DIV/0!</v>
      </c>
      <c r="AK40" s="236"/>
      <c r="AL40" s="101" t="e">
        <f t="shared" si="59"/>
        <v>#DIV/0!</v>
      </c>
    </row>
    <row r="41" spans="2:38" ht="12">
      <c r="B41" s="98"/>
      <c r="C41" s="83"/>
      <c r="D41" s="86">
        <f t="shared" si="23"/>
        <v>46026</v>
      </c>
      <c r="E41" s="86" t="s">
        <v>634</v>
      </c>
      <c r="F41" s="230">
        <f t="shared" si="22"/>
        <v>0</v>
      </c>
      <c r="G41" s="339"/>
      <c r="H41" s="97"/>
      <c r="I41" s="236"/>
      <c r="J41" s="101" t="e">
        <f t="shared" si="42"/>
        <v>#DIV/0!</v>
      </c>
      <c r="K41" s="236"/>
      <c r="L41" s="101" t="e">
        <f t="shared" si="43"/>
        <v>#DIV/0!</v>
      </c>
      <c r="M41" s="229">
        <f t="shared" si="44"/>
        <v>0</v>
      </c>
      <c r="N41" s="101" t="e">
        <f t="shared" si="45"/>
        <v>#DIV/0!</v>
      </c>
      <c r="O41" s="236"/>
      <c r="P41" s="101" t="e">
        <f t="shared" si="46"/>
        <v>#DIV/0!</v>
      </c>
      <c r="Q41" s="236"/>
      <c r="R41" s="101" t="e">
        <f t="shared" si="47"/>
        <v>#DIV/0!</v>
      </c>
      <c r="S41" s="229">
        <f t="shared" si="48"/>
        <v>0</v>
      </c>
      <c r="T41" s="101" t="e">
        <f t="shared" si="49"/>
        <v>#DIV/0!</v>
      </c>
      <c r="U41" s="236"/>
      <c r="V41" s="101" t="e">
        <f t="shared" si="50"/>
        <v>#DIV/0!</v>
      </c>
      <c r="W41" s="236"/>
      <c r="X41" s="101" t="e">
        <f t="shared" si="51"/>
        <v>#DIV/0!</v>
      </c>
      <c r="Y41" s="236"/>
      <c r="Z41" s="101" t="e">
        <f t="shared" si="52"/>
        <v>#DIV/0!</v>
      </c>
      <c r="AA41" s="236"/>
      <c r="AB41" s="101" t="e">
        <f t="shared" si="53"/>
        <v>#DIV/0!</v>
      </c>
      <c r="AC41" s="229">
        <f t="shared" si="54"/>
        <v>0</v>
      </c>
      <c r="AD41" s="101" t="e">
        <f t="shared" si="55"/>
        <v>#DIV/0!</v>
      </c>
      <c r="AE41" s="236"/>
      <c r="AF41" s="101" t="e">
        <f t="shared" si="56"/>
        <v>#DIV/0!</v>
      </c>
      <c r="AG41" s="236"/>
      <c r="AH41" s="101" t="e">
        <f t="shared" si="57"/>
        <v>#DIV/0!</v>
      </c>
      <c r="AI41" s="236"/>
      <c r="AJ41" s="101" t="e">
        <f t="shared" si="58"/>
        <v>#DIV/0!</v>
      </c>
      <c r="AK41" s="236"/>
      <c r="AL41" s="101" t="e">
        <f t="shared" si="59"/>
        <v>#DIV/0!</v>
      </c>
    </row>
    <row r="42" spans="2:38" ht="12">
      <c r="B42" s="98"/>
      <c r="C42" s="83"/>
      <c r="D42" s="86">
        <f t="shared" si="23"/>
        <v>46027</v>
      </c>
      <c r="E42" s="86" t="s">
        <v>628</v>
      </c>
      <c r="F42" s="230">
        <f t="shared" si="22"/>
        <v>0</v>
      </c>
      <c r="G42" s="339"/>
      <c r="H42" s="97"/>
      <c r="I42" s="236"/>
      <c r="J42" s="101" t="e">
        <f>I42/F42</f>
        <v>#DIV/0!</v>
      </c>
      <c r="K42" s="236"/>
      <c r="L42" s="101" t="e">
        <f>K42/F42</f>
        <v>#DIV/0!</v>
      </c>
      <c r="M42" s="229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47"/>
        <v>#DIV/0!</v>
      </c>
      <c r="S42" s="229">
        <f t="shared" si="48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53"/>
        <v>#DIV/0!</v>
      </c>
      <c r="AC42" s="229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2">
      <c r="B43" s="98"/>
      <c r="C43" s="83"/>
      <c r="D43" s="86"/>
      <c r="E43" s="86"/>
      <c r="F43" s="230">
        <f t="shared" si="22"/>
        <v>0</v>
      </c>
      <c r="G43" s="339"/>
      <c r="H43" s="97"/>
      <c r="I43" s="236"/>
      <c r="J43" s="101" t="e">
        <f>I43/F43</f>
        <v>#DIV/0!</v>
      </c>
      <c r="K43" s="236"/>
      <c r="L43" s="101" t="e">
        <f>K43/F43</f>
        <v>#DIV/0!</v>
      </c>
      <c r="M43" s="229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47"/>
        <v>#DIV/0!</v>
      </c>
      <c r="S43" s="229">
        <f t="shared" si="48"/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53"/>
        <v>#DIV/0!</v>
      </c>
      <c r="AC43" s="229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2">
      <c r="B44" s="98"/>
      <c r="C44" s="83"/>
      <c r="D44" s="86"/>
      <c r="E44" s="86"/>
      <c r="F44" s="230">
        <f t="shared" si="22"/>
        <v>0</v>
      </c>
      <c r="G44" s="230"/>
      <c r="H44" s="97"/>
      <c r="I44" s="236"/>
      <c r="J44" s="101" t="e">
        <f>I44/F44</f>
        <v>#DIV/0!</v>
      </c>
      <c r="K44" s="236"/>
      <c r="L44" s="101" t="e">
        <f>K44/F44</f>
        <v>#DIV/0!</v>
      </c>
      <c r="M44" s="229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47"/>
        <v>#DIV/0!</v>
      </c>
      <c r="S44" s="229">
        <f t="shared" si="48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53"/>
        <v>#DIV/0!</v>
      </c>
      <c r="AC44" s="229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2">
      <c r="B45" s="98"/>
      <c r="C45" s="83"/>
      <c r="D45" s="86"/>
      <c r="E45" s="86"/>
      <c r="F45" s="230">
        <f t="shared" si="22"/>
        <v>0</v>
      </c>
      <c r="G45" s="230"/>
      <c r="H45" s="97"/>
      <c r="I45" s="236"/>
      <c r="J45" s="101" t="e">
        <f>I45/F45</f>
        <v>#DIV/0!</v>
      </c>
      <c r="K45" s="236"/>
      <c r="L45" s="101" t="e">
        <f>K45/F45</f>
        <v>#DIV/0!</v>
      </c>
      <c r="M45" s="229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47"/>
        <v>#DIV/0!</v>
      </c>
      <c r="S45" s="229">
        <f t="shared" si="48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53"/>
        <v>#DIV/0!</v>
      </c>
      <c r="AC45" s="229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300">
        <f>SUM(I7:I45)</f>
        <v>7660579.7327906564</v>
      </c>
      <c r="J46" s="296">
        <f>I46/$H$12</f>
        <v>7.3245574559926432E-2</v>
      </c>
      <c r="K46" s="300">
        <f>SUM(K7:K45)</f>
        <v>11411111.883721193</v>
      </c>
      <c r="L46" s="296">
        <f>K46/$H$12</f>
        <v>0.1091057694645633</v>
      </c>
      <c r="M46" s="300">
        <f>SUM(M8:M45)</f>
        <v>17722245.18905668</v>
      </c>
      <c r="N46" s="296" t="e">
        <f>M46/$H$8</f>
        <v>#DIV/0!</v>
      </c>
      <c r="O46" s="300">
        <f>SUM(O7:O45)</f>
        <v>1979494.2724228927</v>
      </c>
      <c r="P46" s="296">
        <f>O46/$H$12</f>
        <v>1.8926660955055487E-2</v>
      </c>
      <c r="Q46" s="300">
        <f>SUM(Q7:Q45)</f>
        <v>1405762.8124833107</v>
      </c>
      <c r="R46" s="296">
        <f>Q46/$H$12</f>
        <v>1.3441006880272882E-2</v>
      </c>
      <c r="S46" s="300">
        <f>SUM(S8:S45)</f>
        <v>3146473.9635184705</v>
      </c>
      <c r="T46" s="296" t="e">
        <f>S46/$H$8</f>
        <v>#DIV/0!</v>
      </c>
      <c r="U46" s="300">
        <f>SUM(U7:U45)</f>
        <v>10036263.364812519</v>
      </c>
      <c r="V46" s="296">
        <f>U46/$H$12</f>
        <v>9.5960345330501656E-2</v>
      </c>
      <c r="W46" s="300">
        <f>SUM(W7:W45)</f>
        <v>258702.91137914764</v>
      </c>
      <c r="X46" s="296">
        <f>W46/$H$12</f>
        <v>2.4735521390348565E-3</v>
      </c>
      <c r="Y46" s="300">
        <f>SUM(Y7:Y45)</f>
        <v>8195131.747996496</v>
      </c>
      <c r="Z46" s="296">
        <f>Y46/$H$12</f>
        <v>7.8356619787786116E-2</v>
      </c>
      <c r="AA46" s="300">
        <f>SUM(AA7:AA45)</f>
        <v>18308527.486033026</v>
      </c>
      <c r="AB46" s="296">
        <f>AA46/$H$12</f>
        <v>0.17505445564655425</v>
      </c>
      <c r="AC46" s="300">
        <f>SUM(AC8:AC45)</f>
        <v>24629346.544752851</v>
      </c>
      <c r="AD46" s="296" t="e">
        <f>AC46/$H$8</f>
        <v>#DIV/0!</v>
      </c>
      <c r="AE46" s="300">
        <f>SUM(AE7:AE45)</f>
        <v>14241889.939195909</v>
      </c>
      <c r="AF46" s="296">
        <f>AE46/$H$12</f>
        <v>0.13617186267907053</v>
      </c>
      <c r="AG46" s="300">
        <f>SUM(AG7:AG45)</f>
        <v>17459371.162108351</v>
      </c>
      <c r="AH46" s="296">
        <f>AG46/$H$12</f>
        <v>0.16693536479356991</v>
      </c>
      <c r="AI46" s="300">
        <f>SUM(AI7:AI45)</f>
        <v>6256357.1978409765</v>
      </c>
      <c r="AJ46" s="296">
        <f>AI46/$H$12</f>
        <v>5.9819294830452542E-2</v>
      </c>
      <c r="AK46" s="300">
        <f>SUM(AK7:AK45)</f>
        <v>7374419.4892155128</v>
      </c>
      <c r="AL46" s="296">
        <f>AK46/$H$12</f>
        <v>7.0509492933211945E-2</v>
      </c>
    </row>
    <row r="47" spans="2:38" ht="12">
      <c r="B47" s="98"/>
      <c r="C47" s="83"/>
      <c r="D47" s="84"/>
      <c r="F47" s="97"/>
      <c r="G47" s="97"/>
      <c r="H47" s="97"/>
      <c r="I47" s="297"/>
      <c r="J47" s="298"/>
      <c r="K47" s="297"/>
      <c r="L47" s="298"/>
      <c r="M47" s="299">
        <f>M46</f>
        <v>17722245.18905668</v>
      </c>
      <c r="N47" s="298"/>
      <c r="O47" s="297"/>
      <c r="P47" s="298"/>
      <c r="Q47" s="297"/>
      <c r="R47" s="298"/>
      <c r="S47" s="299">
        <f>S46</f>
        <v>3146473.9635184705</v>
      </c>
      <c r="T47" s="298"/>
      <c r="U47" s="299">
        <f>U46</f>
        <v>10036263.364812519</v>
      </c>
      <c r="V47" s="298"/>
      <c r="W47" s="299">
        <f>W46</f>
        <v>258702.91137914764</v>
      </c>
      <c r="X47" s="298"/>
      <c r="Y47" s="297"/>
      <c r="Z47" s="298"/>
      <c r="AA47" s="297"/>
      <c r="AB47" s="298"/>
      <c r="AC47" s="299">
        <f>AC46</f>
        <v>24629346.544752851</v>
      </c>
      <c r="AD47" s="298"/>
      <c r="AE47" s="299">
        <f>AE46</f>
        <v>14241889.939195909</v>
      </c>
      <c r="AF47" s="298"/>
      <c r="AG47" s="299">
        <f>AG46</f>
        <v>17459371.162108351</v>
      </c>
      <c r="AH47" s="298"/>
      <c r="AI47" s="299">
        <f>AI46</f>
        <v>6256357.1978409765</v>
      </c>
      <c r="AJ47" s="298"/>
      <c r="AK47" s="299">
        <f>AK46</f>
        <v>7374419.4892155128</v>
      </c>
      <c r="AL47" s="298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G7" activePane="bottomRight" state="frozen"/>
      <selection pane="topRight" activeCell="F1" sqref="F1"/>
      <selection pane="bottomLeft" activeCell="A7" sqref="A7"/>
      <selection pane="bottomRight" activeCell="W17" sqref="W17:W21"/>
    </sheetView>
  </sheetViews>
  <sheetFormatPr defaultColWidth="8.81640625" defaultRowHeight="14"/>
  <cols>
    <col min="1" max="1" width="0" style="77" hidden="1" customWidth="1"/>
    <col min="2" max="2" width="13.1796875" style="77" hidden="1" customWidth="1"/>
    <col min="3" max="3" width="0" style="103" hidden="1" customWidth="1"/>
    <col min="4" max="4" width="17" style="103" customWidth="1"/>
    <col min="5" max="5" width="8.54296875" style="84" customWidth="1"/>
    <col min="6" max="8" width="17.453125" style="104" customWidth="1"/>
    <col min="9" max="9" width="10.54296875" style="88" customWidth="1"/>
    <col min="10" max="10" width="10.54296875" style="90" customWidth="1"/>
    <col min="11" max="11" width="10.54296875" style="88" customWidth="1"/>
    <col min="12" max="12" width="10.54296875" style="90" customWidth="1"/>
    <col min="13" max="13" width="10.54296875" style="88" customWidth="1"/>
    <col min="14" max="14" width="10.54296875" style="90" customWidth="1"/>
    <col min="15" max="15" width="10.54296875" style="88" customWidth="1"/>
    <col min="16" max="16" width="10.54296875" style="90" customWidth="1"/>
    <col min="17" max="17" width="10.54296875" style="88" customWidth="1"/>
    <col min="18" max="18" width="10.54296875" style="90" customWidth="1"/>
    <col min="19" max="19" width="10.54296875" style="88" customWidth="1"/>
    <col min="20" max="20" width="10.54296875" style="90" customWidth="1"/>
    <col min="21" max="21" width="10.54296875" style="88" customWidth="1"/>
    <col min="22" max="22" width="10.54296875" style="90" customWidth="1"/>
    <col min="23" max="23" width="10.54296875" style="88" customWidth="1"/>
    <col min="24" max="24" width="10.54296875" style="90" customWidth="1"/>
    <col min="25" max="25" width="10.54296875" style="88" customWidth="1"/>
    <col min="26" max="26" width="10.54296875" style="90" customWidth="1"/>
    <col min="27" max="27" width="10.54296875" style="88" customWidth="1"/>
    <col min="28" max="28" width="10.54296875" style="90" customWidth="1"/>
    <col min="29" max="29" width="10.54296875" style="88" customWidth="1"/>
    <col min="30" max="30" width="10.54296875" style="90" customWidth="1"/>
    <col min="31" max="31" width="10.54296875" style="88" customWidth="1"/>
    <col min="32" max="32" width="10.54296875" style="90" customWidth="1"/>
    <col min="33" max="33" width="10.453125" style="88" customWidth="1"/>
    <col min="34" max="34" width="10.453125" style="90" customWidth="1"/>
    <col min="35" max="35" width="10.453125" style="88" customWidth="1"/>
    <col min="36" max="36" width="10.453125" style="90" customWidth="1"/>
    <col min="37" max="37" width="10.453125" style="88" customWidth="1"/>
    <col min="38" max="38" width="10.453125" style="90" customWidth="1"/>
    <col min="39" max="16384" width="8.81640625" style="77"/>
  </cols>
  <sheetData>
    <row r="2" spans="1:38" ht="38.15" customHeight="1">
      <c r="A2" s="75"/>
      <c r="B2" s="589" t="s">
        <v>320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  <c r="R2" s="589"/>
      <c r="S2" s="589"/>
      <c r="T2" s="589"/>
      <c r="U2" s="589"/>
      <c r="V2" s="589"/>
      <c r="W2" s="589"/>
      <c r="X2" s="589"/>
      <c r="Y2" s="589"/>
      <c r="Z2" s="589"/>
      <c r="AA2" s="589"/>
      <c r="AB2" s="589"/>
      <c r="AC2" s="589"/>
      <c r="AD2" s="589"/>
      <c r="AE2" s="589"/>
      <c r="AF2" s="589"/>
      <c r="AG2" s="589"/>
      <c r="AH2" s="589"/>
      <c r="AI2" s="589"/>
      <c r="AJ2" s="589"/>
      <c r="AK2" s="589"/>
      <c r="AL2" s="589"/>
    </row>
    <row r="3" spans="1:38" ht="25.4" customHeight="1">
      <c r="B3" s="98"/>
      <c r="C3" s="590" t="s">
        <v>139</v>
      </c>
      <c r="D3" s="591" t="s">
        <v>105</v>
      </c>
      <c r="E3" s="591"/>
      <c r="F3" s="598" t="s">
        <v>148</v>
      </c>
      <c r="G3" s="599"/>
      <c r="H3" s="599"/>
      <c r="I3" s="597" t="s">
        <v>318</v>
      </c>
      <c r="J3" s="597"/>
      <c r="K3" s="597"/>
      <c r="L3" s="597"/>
      <c r="M3" s="597"/>
      <c r="N3" s="597"/>
      <c r="O3" s="597"/>
      <c r="P3" s="597"/>
      <c r="Q3" s="597"/>
      <c r="R3" s="597"/>
      <c r="S3" s="597"/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7"/>
      <c r="AG3" s="597"/>
      <c r="AH3" s="597"/>
      <c r="AI3" s="597"/>
      <c r="AJ3" s="597"/>
      <c r="AK3" s="597"/>
      <c r="AL3" s="597"/>
    </row>
    <row r="4" spans="1:38" ht="25.4" customHeight="1">
      <c r="B4" s="98"/>
      <c r="C4" s="590"/>
      <c r="D4" s="591"/>
      <c r="E4" s="591"/>
      <c r="F4" s="599"/>
      <c r="G4" s="599"/>
      <c r="H4" s="599"/>
      <c r="I4" s="594" t="s">
        <v>140</v>
      </c>
      <c r="J4" s="594"/>
      <c r="K4" s="594"/>
      <c r="L4" s="594"/>
      <c r="M4" s="594"/>
      <c r="N4" s="594"/>
      <c r="O4" s="594" t="s">
        <v>141</v>
      </c>
      <c r="P4" s="594"/>
      <c r="Q4" s="594"/>
      <c r="R4" s="594"/>
      <c r="S4" s="594"/>
      <c r="T4" s="594"/>
      <c r="U4" s="594" t="s">
        <v>142</v>
      </c>
      <c r="V4" s="594"/>
      <c r="W4" s="594" t="s">
        <v>143</v>
      </c>
      <c r="X4" s="594"/>
      <c r="Y4" s="594" t="s">
        <v>134</v>
      </c>
      <c r="Z4" s="594"/>
      <c r="AA4" s="594"/>
      <c r="AB4" s="594"/>
      <c r="AC4" s="594"/>
      <c r="AD4" s="594"/>
      <c r="AE4" s="594" t="s">
        <v>132</v>
      </c>
      <c r="AF4" s="594"/>
      <c r="AG4" s="594" t="s">
        <v>144</v>
      </c>
      <c r="AH4" s="594"/>
      <c r="AI4" s="594" t="s">
        <v>145</v>
      </c>
      <c r="AJ4" s="594"/>
      <c r="AK4" s="594" t="s">
        <v>138</v>
      </c>
      <c r="AL4" s="594"/>
    </row>
    <row r="5" spans="1:38" ht="25.4" customHeight="1">
      <c r="B5" s="98"/>
      <c r="C5" s="590"/>
      <c r="D5" s="591"/>
      <c r="E5" s="591"/>
      <c r="F5" s="596" t="s">
        <v>115</v>
      </c>
      <c r="G5" s="596" t="s">
        <v>117</v>
      </c>
      <c r="H5" s="596" t="s">
        <v>118</v>
      </c>
      <c r="I5" s="594" t="s">
        <v>129</v>
      </c>
      <c r="J5" s="594"/>
      <c r="K5" s="594" t="s">
        <v>130</v>
      </c>
      <c r="L5" s="594"/>
      <c r="M5" s="595" t="s">
        <v>146</v>
      </c>
      <c r="N5" s="594"/>
      <c r="O5" s="594" t="s">
        <v>129</v>
      </c>
      <c r="P5" s="594"/>
      <c r="Q5" s="594" t="s">
        <v>130</v>
      </c>
      <c r="R5" s="594"/>
      <c r="S5" s="595" t="s">
        <v>146</v>
      </c>
      <c r="T5" s="594"/>
      <c r="U5" s="594" t="s">
        <v>129</v>
      </c>
      <c r="V5" s="594"/>
      <c r="W5" s="594" t="s">
        <v>129</v>
      </c>
      <c r="X5" s="594"/>
      <c r="Y5" s="594" t="s">
        <v>129</v>
      </c>
      <c r="Z5" s="594"/>
      <c r="AA5" s="594" t="s">
        <v>130</v>
      </c>
      <c r="AB5" s="594"/>
      <c r="AC5" s="595" t="s">
        <v>146</v>
      </c>
      <c r="AD5" s="594"/>
      <c r="AE5" s="594" t="s">
        <v>129</v>
      </c>
      <c r="AF5" s="594"/>
      <c r="AG5" s="594" t="s">
        <v>129</v>
      </c>
      <c r="AH5" s="594"/>
      <c r="AI5" s="594" t="s">
        <v>129</v>
      </c>
      <c r="AJ5" s="594"/>
      <c r="AK5" s="594" t="s">
        <v>129</v>
      </c>
      <c r="AL5" s="594"/>
    </row>
    <row r="6" spans="1:38" s="80" customFormat="1" ht="23.5" customHeight="1">
      <c r="B6" s="98"/>
      <c r="C6" s="590"/>
      <c r="D6" s="591"/>
      <c r="E6" s="591"/>
      <c r="F6" s="596"/>
      <c r="G6" s="596"/>
      <c r="H6" s="596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2">
      <c r="B7" s="98"/>
      <c r="C7" s="83"/>
      <c r="D7" s="341">
        <v>45992</v>
      </c>
      <c r="E7" s="341" t="s">
        <v>628</v>
      </c>
      <c r="F7" s="88">
        <f t="shared" ref="F7" si="0">SUM(M7,S7,U7,W7,AC7,AE7,AG7,AI7,AK7)</f>
        <v>216425</v>
      </c>
      <c r="G7" s="351"/>
      <c r="H7" s="88"/>
      <c r="I7" s="237">
        <v>28626</v>
      </c>
      <c r="J7" s="101">
        <f>I7/F7</f>
        <v>0.13226752916714798</v>
      </c>
      <c r="K7" s="237">
        <v>42791</v>
      </c>
      <c r="L7" s="101">
        <f>K7/F7</f>
        <v>0.19771745408340072</v>
      </c>
      <c r="M7" s="106">
        <f>SUM(I7+K7)</f>
        <v>71417</v>
      </c>
      <c r="N7" s="101">
        <f>M7/F7</f>
        <v>0.3299849832505487</v>
      </c>
      <c r="O7" s="237">
        <v>6246</v>
      </c>
      <c r="P7" s="101">
        <f>O7/F7</f>
        <v>2.8859882176273537E-2</v>
      </c>
      <c r="Q7" s="237">
        <v>3313</v>
      </c>
      <c r="R7" s="101">
        <f>Q7/D7</f>
        <v>7.2034266829013746E-2</v>
      </c>
      <c r="S7" s="106">
        <f t="shared" ref="S7" si="1">SUM(O7+Q7)</f>
        <v>9559</v>
      </c>
      <c r="T7" s="101">
        <f>S7/F7</f>
        <v>4.4167725540025411E-2</v>
      </c>
      <c r="U7" s="237">
        <v>18828</v>
      </c>
      <c r="V7" s="101">
        <f>U7/F7</f>
        <v>8.6995494975164608E-2</v>
      </c>
      <c r="W7" s="237">
        <v>1089</v>
      </c>
      <c r="X7" s="101">
        <f>W7/F7</f>
        <v>5.0317662007623885E-3</v>
      </c>
      <c r="Y7" s="237">
        <v>22719</v>
      </c>
      <c r="Z7" s="101">
        <f>Y7/F7</f>
        <v>0.1049740094721035</v>
      </c>
      <c r="AA7" s="237">
        <v>24105</v>
      </c>
      <c r="AB7" s="101">
        <f>AA7/D7</f>
        <v>0.52411288919812138</v>
      </c>
      <c r="AC7" s="106">
        <f>SUM(Y7+AA7)</f>
        <v>46824</v>
      </c>
      <c r="AD7" s="101">
        <f>AC7/F7</f>
        <v>0.21635208501790459</v>
      </c>
      <c r="AE7" s="237">
        <v>18668</v>
      </c>
      <c r="AF7" s="101">
        <f>AE7/F7</f>
        <v>8.6256208848330837E-2</v>
      </c>
      <c r="AG7" s="237">
        <v>21683</v>
      </c>
      <c r="AH7" s="101">
        <f>AG7/F7</f>
        <v>0.1001871318008548</v>
      </c>
      <c r="AI7" s="237">
        <v>10284</v>
      </c>
      <c r="AJ7" s="101">
        <f>AI7/F7</f>
        <v>4.751761580224096E-2</v>
      </c>
      <c r="AK7" s="237">
        <v>18073</v>
      </c>
      <c r="AL7" s="101">
        <f>AK7/F7</f>
        <v>8.3506988564167731E-2</v>
      </c>
    </row>
    <row r="8" spans="1:38" ht="12">
      <c r="B8" s="98"/>
      <c r="C8" s="83"/>
      <c r="D8" s="86">
        <v>45993</v>
      </c>
      <c r="E8" s="86" t="s">
        <v>629</v>
      </c>
      <c r="F8" s="88">
        <f>SUM(M8,S8,U8,W8,AC8,AE8,AG8,AI8,AK8)</f>
        <v>213834</v>
      </c>
      <c r="G8" s="351">
        <f>SUM(F8:F14)</f>
        <v>1421937</v>
      </c>
      <c r="H8" s="380"/>
      <c r="I8" s="237">
        <v>27749</v>
      </c>
      <c r="J8" s="101">
        <f t="shared" ref="J8:J13" si="2">I8/F8</f>
        <v>0.12976888614532769</v>
      </c>
      <c r="K8" s="237">
        <v>41655</v>
      </c>
      <c r="L8" s="101">
        <f t="shared" ref="L8:L13" si="3">K8/F8</f>
        <v>0.19480063974859002</v>
      </c>
      <c r="M8" s="106">
        <f t="shared" ref="M8:M13" si="4">SUM(I8+K8)</f>
        <v>69404</v>
      </c>
      <c r="N8" s="101">
        <f t="shared" ref="N8:N13" si="5">M8/F8</f>
        <v>0.32456952589391769</v>
      </c>
      <c r="O8" s="237">
        <v>5965</v>
      </c>
      <c r="P8" s="101">
        <f t="shared" ref="P8:P13" si="6">O8/F8</f>
        <v>2.7895470318097217E-2</v>
      </c>
      <c r="Q8" s="237">
        <v>3231</v>
      </c>
      <c r="R8" s="101">
        <f t="shared" ref="R8:R13" si="7">Q8/D8</f>
        <v>7.0249820624877696E-2</v>
      </c>
      <c r="S8" s="106">
        <f t="shared" ref="S8:S14" si="8">SUM(O8+Q8)</f>
        <v>9196</v>
      </c>
      <c r="T8" s="101">
        <f t="shared" ref="T8:T13" si="9">S8/F8</f>
        <v>4.3005321885200669E-2</v>
      </c>
      <c r="U8" s="237">
        <v>18404</v>
      </c>
      <c r="V8" s="101">
        <f t="shared" ref="V8:V13" si="10">U8/F8</f>
        <v>8.6066762067772196E-2</v>
      </c>
      <c r="W8" s="237">
        <v>1075</v>
      </c>
      <c r="X8" s="101">
        <f t="shared" ref="X8:X13" si="11">W8/F8</f>
        <v>5.0272641394726748E-3</v>
      </c>
      <c r="Y8" s="237">
        <v>23293</v>
      </c>
      <c r="Z8" s="101">
        <f t="shared" ref="Z8:Z13" si="12">Y8/F8</f>
        <v>0.10893029172161584</v>
      </c>
      <c r="AA8" s="237">
        <v>23354</v>
      </c>
      <c r="AB8" s="101">
        <f t="shared" ref="AB8:AB13" si="13">AA8/D8</f>
        <v>0.50777292196638624</v>
      </c>
      <c r="AC8" s="106">
        <f t="shared" ref="AC8:AC13" si="14">SUM(Y8+AA8)</f>
        <v>46647</v>
      </c>
      <c r="AD8" s="101">
        <f t="shared" ref="AD8:AD13" si="15">AC8/F8</f>
        <v>0.21814585145486687</v>
      </c>
      <c r="AE8" s="237">
        <v>17848</v>
      </c>
      <c r="AF8" s="101">
        <f t="shared" ref="AF8:AF13" si="16">AE8/F8</f>
        <v>8.3466614289589125E-2</v>
      </c>
      <c r="AG8" s="237">
        <v>24028</v>
      </c>
      <c r="AH8" s="101">
        <f t="shared" ref="AH8:AH13" si="17">AG8/F8</f>
        <v>0.11236753743558087</v>
      </c>
      <c r="AI8" s="237">
        <v>9483</v>
      </c>
      <c r="AJ8" s="101">
        <f t="shared" ref="AJ8:AJ13" si="18">AI8/F8</f>
        <v>4.4347484497320351E-2</v>
      </c>
      <c r="AK8" s="237">
        <v>17749</v>
      </c>
      <c r="AL8" s="101">
        <f t="shared" ref="AL8:AL13" si="19">AK8/F8</f>
        <v>8.300363833627955E-2</v>
      </c>
    </row>
    <row r="9" spans="1:38" ht="12">
      <c r="B9" s="98"/>
      <c r="C9" s="83"/>
      <c r="D9" s="86">
        <f>D8+1</f>
        <v>45994</v>
      </c>
      <c r="E9" s="86" t="s">
        <v>630</v>
      </c>
      <c r="F9" s="88">
        <f t="shared" ref="F9:F45" si="20">SUM(M9,S9,U9,W9,AC9,AE9,AG9,AI9,AK9)</f>
        <v>206960</v>
      </c>
      <c r="G9" s="351"/>
      <c r="I9" s="237">
        <v>27540</v>
      </c>
      <c r="J9" s="101">
        <f t="shared" si="2"/>
        <v>0.13306919211441826</v>
      </c>
      <c r="K9" s="237">
        <v>40604</v>
      </c>
      <c r="L9" s="101">
        <f t="shared" si="3"/>
        <v>0.19619250096637031</v>
      </c>
      <c r="M9" s="106">
        <f t="shared" si="4"/>
        <v>68144</v>
      </c>
      <c r="N9" s="101">
        <f t="shared" si="5"/>
        <v>0.32926169308078856</v>
      </c>
      <c r="O9" s="237">
        <v>6226</v>
      </c>
      <c r="P9" s="101">
        <f t="shared" si="6"/>
        <v>3.0083107846926943E-2</v>
      </c>
      <c r="Q9" s="237">
        <v>3371</v>
      </c>
      <c r="R9" s="101">
        <f t="shared" si="7"/>
        <v>7.3292168543723099E-2</v>
      </c>
      <c r="S9" s="106">
        <f t="shared" si="8"/>
        <v>9597</v>
      </c>
      <c r="T9" s="101">
        <f t="shared" si="9"/>
        <v>4.6371279474294549E-2</v>
      </c>
      <c r="U9" s="237">
        <v>17483</v>
      </c>
      <c r="V9" s="101">
        <f t="shared" si="10"/>
        <v>8.4475260919984543E-2</v>
      </c>
      <c r="W9" s="237">
        <v>1119</v>
      </c>
      <c r="X9" s="101">
        <f t="shared" si="11"/>
        <v>5.4068419018167765E-3</v>
      </c>
      <c r="Y9" s="237">
        <v>22587</v>
      </c>
      <c r="Z9" s="101">
        <f t="shared" si="12"/>
        <v>0.10913703131039815</v>
      </c>
      <c r="AA9" s="237">
        <v>21920</v>
      </c>
      <c r="AB9" s="101">
        <f t="shared" si="13"/>
        <v>0.47658390224811931</v>
      </c>
      <c r="AC9" s="106">
        <f t="shared" si="14"/>
        <v>44507</v>
      </c>
      <c r="AD9" s="101">
        <f t="shared" si="15"/>
        <v>0.21505121762659452</v>
      </c>
      <c r="AE9" s="237">
        <v>17280</v>
      </c>
      <c r="AF9" s="101">
        <f t="shared" si="16"/>
        <v>8.3494395052183992E-2</v>
      </c>
      <c r="AG9" s="237">
        <v>21014</v>
      </c>
      <c r="AH9" s="101">
        <f t="shared" si="17"/>
        <v>0.10153652879783533</v>
      </c>
      <c r="AI9" s="237">
        <v>10059</v>
      </c>
      <c r="AJ9" s="101">
        <f t="shared" si="18"/>
        <v>4.8603594897564745E-2</v>
      </c>
      <c r="AK9" s="237">
        <v>17757</v>
      </c>
      <c r="AL9" s="101">
        <f t="shared" si="19"/>
        <v>8.5799188248936994E-2</v>
      </c>
    </row>
    <row r="10" spans="1:38" ht="12">
      <c r="B10" s="98"/>
      <c r="C10" s="83"/>
      <c r="D10" s="86">
        <f t="shared" ref="D10:D42" si="21">D9+1</f>
        <v>45995</v>
      </c>
      <c r="E10" s="86" t="s">
        <v>631</v>
      </c>
      <c r="F10" s="88">
        <f t="shared" si="20"/>
        <v>197911</v>
      </c>
      <c r="G10" s="351"/>
      <c r="H10" s="479"/>
      <c r="I10" s="237">
        <v>26535</v>
      </c>
      <c r="J10" s="101">
        <f t="shared" si="2"/>
        <v>0.1340754177382763</v>
      </c>
      <c r="K10" s="237">
        <v>38891</v>
      </c>
      <c r="L10" s="101">
        <f t="shared" si="3"/>
        <v>0.19650752105744501</v>
      </c>
      <c r="M10" s="106">
        <f t="shared" si="4"/>
        <v>65426</v>
      </c>
      <c r="N10" s="101">
        <f t="shared" si="5"/>
        <v>0.33058293879572132</v>
      </c>
      <c r="O10" s="237">
        <v>6147</v>
      </c>
      <c r="P10" s="101">
        <f t="shared" si="6"/>
        <v>3.1059415595899167E-2</v>
      </c>
      <c r="Q10" s="237">
        <v>3419</v>
      </c>
      <c r="R10" s="101">
        <f t="shared" si="7"/>
        <v>7.4334166757256223E-2</v>
      </c>
      <c r="S10" s="106">
        <f t="shared" si="8"/>
        <v>9566</v>
      </c>
      <c r="T10" s="101">
        <f t="shared" si="9"/>
        <v>4.8334857587501452E-2</v>
      </c>
      <c r="U10" s="237">
        <v>17279</v>
      </c>
      <c r="V10" s="101">
        <f t="shared" si="10"/>
        <v>8.7306920787626766E-2</v>
      </c>
      <c r="W10" s="237">
        <v>1097</v>
      </c>
      <c r="X10" s="101">
        <f t="shared" si="11"/>
        <v>5.5428955439566271E-3</v>
      </c>
      <c r="Y10" s="237">
        <v>21931</v>
      </c>
      <c r="Z10" s="101">
        <f t="shared" si="12"/>
        <v>0.11081243589290135</v>
      </c>
      <c r="AA10" s="237">
        <v>19730</v>
      </c>
      <c r="AB10" s="101">
        <f t="shared" si="13"/>
        <v>0.42895966952929665</v>
      </c>
      <c r="AC10" s="106">
        <f t="shared" si="14"/>
        <v>41661</v>
      </c>
      <c r="AD10" s="101">
        <f t="shared" si="15"/>
        <v>0.2105037112641541</v>
      </c>
      <c r="AE10" s="237">
        <v>16260</v>
      </c>
      <c r="AF10" s="101">
        <f t="shared" si="16"/>
        <v>8.2158141791007069E-2</v>
      </c>
      <c r="AG10" s="237">
        <v>19776</v>
      </c>
      <c r="AH10" s="101">
        <f t="shared" si="17"/>
        <v>9.992370307865657E-2</v>
      </c>
      <c r="AI10" s="237">
        <v>9691</v>
      </c>
      <c r="AJ10" s="101">
        <f t="shared" si="18"/>
        <v>4.8966454618490127E-2</v>
      </c>
      <c r="AK10" s="237">
        <v>17155</v>
      </c>
      <c r="AL10" s="101">
        <f t="shared" si="19"/>
        <v>8.6680376532885989E-2</v>
      </c>
    </row>
    <row r="11" spans="1:38" ht="12">
      <c r="B11" s="98"/>
      <c r="C11" s="83"/>
      <c r="D11" s="86">
        <f t="shared" si="21"/>
        <v>45996</v>
      </c>
      <c r="E11" s="86" t="s">
        <v>632</v>
      </c>
      <c r="F11" s="88">
        <f t="shared" si="20"/>
        <v>183552</v>
      </c>
      <c r="G11" s="351"/>
      <c r="H11" s="479"/>
      <c r="I11" s="461">
        <v>23300</v>
      </c>
      <c r="J11" s="462">
        <f t="shared" si="2"/>
        <v>0.12693950488145048</v>
      </c>
      <c r="K11" s="461">
        <v>39195</v>
      </c>
      <c r="L11" s="462">
        <f t="shared" si="3"/>
        <v>0.21353621861924685</v>
      </c>
      <c r="M11" s="463">
        <f t="shared" si="4"/>
        <v>62495</v>
      </c>
      <c r="N11" s="462">
        <f t="shared" si="5"/>
        <v>0.34047572350069732</v>
      </c>
      <c r="O11" s="461">
        <v>4916</v>
      </c>
      <c r="P11" s="462">
        <f t="shared" si="6"/>
        <v>2.6782601115760113E-2</v>
      </c>
      <c r="Q11" s="461">
        <v>2923</v>
      </c>
      <c r="R11" s="462">
        <f t="shared" si="7"/>
        <v>6.3549004261240105E-2</v>
      </c>
      <c r="S11" s="463">
        <f t="shared" si="8"/>
        <v>7839</v>
      </c>
      <c r="T11" s="462">
        <f t="shared" si="9"/>
        <v>4.2707243723849375E-2</v>
      </c>
      <c r="U11" s="461">
        <v>16122</v>
      </c>
      <c r="V11" s="462">
        <f t="shared" si="10"/>
        <v>8.7833420502092044E-2</v>
      </c>
      <c r="W11" s="461">
        <v>912</v>
      </c>
      <c r="X11" s="462">
        <f t="shared" si="11"/>
        <v>4.9686192468619246E-3</v>
      </c>
      <c r="Y11" s="461">
        <v>20179</v>
      </c>
      <c r="Z11" s="462">
        <f t="shared" si="12"/>
        <v>0.10993614888423989</v>
      </c>
      <c r="AA11" s="461">
        <v>20728</v>
      </c>
      <c r="AB11" s="462">
        <f t="shared" si="13"/>
        <v>0.45064788242455867</v>
      </c>
      <c r="AC11" s="463">
        <f t="shared" si="14"/>
        <v>40907</v>
      </c>
      <c r="AD11" s="462">
        <f t="shared" si="15"/>
        <v>0.22286327580195259</v>
      </c>
      <c r="AE11" s="461">
        <v>14027</v>
      </c>
      <c r="AF11" s="462">
        <f t="shared" si="16"/>
        <v>7.6419761157601115E-2</v>
      </c>
      <c r="AG11" s="461">
        <v>17950</v>
      </c>
      <c r="AH11" s="462">
        <f t="shared" si="17"/>
        <v>9.7792451185495122E-2</v>
      </c>
      <c r="AI11" s="461">
        <v>8675</v>
      </c>
      <c r="AJ11" s="462">
        <f t="shared" si="18"/>
        <v>4.7261811366806135E-2</v>
      </c>
      <c r="AK11" s="461">
        <v>14625</v>
      </c>
      <c r="AL11" s="462">
        <f t="shared" si="19"/>
        <v>7.9677693514644349E-2</v>
      </c>
    </row>
    <row r="12" spans="1:38" ht="12">
      <c r="B12" s="98"/>
      <c r="C12" s="83"/>
      <c r="D12" s="86">
        <f t="shared" si="21"/>
        <v>45997</v>
      </c>
      <c r="E12" s="86" t="s">
        <v>633</v>
      </c>
      <c r="F12" s="88">
        <f t="shared" si="20"/>
        <v>185894</v>
      </c>
      <c r="G12" s="351"/>
      <c r="H12" s="479">
        <f>SUM(F7:F37)</f>
        <v>3140092</v>
      </c>
      <c r="I12" s="237">
        <v>22604</v>
      </c>
      <c r="J12" s="101">
        <f t="shared" si="2"/>
        <v>0.12159617846729857</v>
      </c>
      <c r="K12" s="237">
        <v>39986</v>
      </c>
      <c r="L12" s="101">
        <f t="shared" si="3"/>
        <v>0.21510107910960011</v>
      </c>
      <c r="M12" s="106">
        <f t="shared" si="4"/>
        <v>62590</v>
      </c>
      <c r="N12" s="101">
        <f t="shared" si="5"/>
        <v>0.33669725757689867</v>
      </c>
      <c r="O12" s="237">
        <v>4583</v>
      </c>
      <c r="P12" s="101">
        <f t="shared" si="6"/>
        <v>2.465383498122586E-2</v>
      </c>
      <c r="Q12" s="237">
        <v>2782</v>
      </c>
      <c r="R12" s="101">
        <f t="shared" si="7"/>
        <v>6.0482205361219211E-2</v>
      </c>
      <c r="S12" s="106">
        <f t="shared" si="8"/>
        <v>7365</v>
      </c>
      <c r="T12" s="101">
        <f t="shared" si="9"/>
        <v>3.9619352964592722E-2</v>
      </c>
      <c r="U12" s="237">
        <v>16839</v>
      </c>
      <c r="V12" s="101">
        <f t="shared" si="10"/>
        <v>9.0583881136561697E-2</v>
      </c>
      <c r="W12" s="237">
        <v>904</v>
      </c>
      <c r="X12" s="101">
        <f t="shared" si="11"/>
        <v>4.862986433128557E-3</v>
      </c>
      <c r="Y12" s="237">
        <v>17271</v>
      </c>
      <c r="Z12" s="101">
        <f t="shared" si="12"/>
        <v>9.2907786157702774E-2</v>
      </c>
      <c r="AA12" s="237">
        <v>21347</v>
      </c>
      <c r="AB12" s="101">
        <f t="shared" si="13"/>
        <v>0.46409548448811877</v>
      </c>
      <c r="AC12" s="106">
        <f t="shared" si="14"/>
        <v>38618</v>
      </c>
      <c r="AD12" s="101">
        <f t="shared" si="15"/>
        <v>0.20774204654265335</v>
      </c>
      <c r="AE12" s="237">
        <v>15363</v>
      </c>
      <c r="AF12" s="101">
        <f t="shared" si="16"/>
        <v>8.2643872314329667E-2</v>
      </c>
      <c r="AG12" s="237">
        <v>18290</v>
      </c>
      <c r="AH12" s="101">
        <f t="shared" si="17"/>
        <v>9.8389404714514725E-2</v>
      </c>
      <c r="AI12" s="237">
        <v>10352</v>
      </c>
      <c r="AJ12" s="101">
        <f t="shared" si="18"/>
        <v>5.5687649951047372E-2</v>
      </c>
      <c r="AK12" s="237">
        <v>15573</v>
      </c>
      <c r="AL12" s="101">
        <f t="shared" si="19"/>
        <v>8.3773548366273251E-2</v>
      </c>
    </row>
    <row r="13" spans="1:38" ht="12">
      <c r="B13" s="98"/>
      <c r="C13" s="83"/>
      <c r="D13" s="86">
        <f t="shared" si="21"/>
        <v>45998</v>
      </c>
      <c r="E13" s="86" t="s">
        <v>634</v>
      </c>
      <c r="F13" s="88">
        <f t="shared" si="20"/>
        <v>216841</v>
      </c>
      <c r="G13" s="351"/>
      <c r="H13" s="479"/>
      <c r="I13" s="237">
        <v>29067</v>
      </c>
      <c r="J13" s="101">
        <f t="shared" si="2"/>
        <v>0.13404752791215682</v>
      </c>
      <c r="K13" s="237">
        <v>42688</v>
      </c>
      <c r="L13" s="101">
        <f t="shared" si="3"/>
        <v>0.19686313935095301</v>
      </c>
      <c r="M13" s="106">
        <f t="shared" si="4"/>
        <v>71755</v>
      </c>
      <c r="N13" s="101">
        <f t="shared" si="5"/>
        <v>0.33091066726310986</v>
      </c>
      <c r="O13" s="237">
        <v>6350</v>
      </c>
      <c r="P13" s="101">
        <f t="shared" si="6"/>
        <v>2.9284129846292906E-2</v>
      </c>
      <c r="Q13" s="237">
        <v>3263</v>
      </c>
      <c r="R13" s="101">
        <f t="shared" si="7"/>
        <v>7.0937866863776691E-2</v>
      </c>
      <c r="S13" s="106">
        <f t="shared" si="8"/>
        <v>9613</v>
      </c>
      <c r="T13" s="101">
        <f t="shared" si="9"/>
        <v>4.4332022080695074E-2</v>
      </c>
      <c r="U13" s="237">
        <v>19725</v>
      </c>
      <c r="V13" s="101">
        <f t="shared" si="10"/>
        <v>9.09652694831697E-2</v>
      </c>
      <c r="W13" s="237">
        <v>1004</v>
      </c>
      <c r="X13" s="101">
        <f t="shared" si="11"/>
        <v>4.630120687508359E-3</v>
      </c>
      <c r="Y13" s="237">
        <v>21988</v>
      </c>
      <c r="Z13" s="101">
        <f t="shared" si="12"/>
        <v>0.10140148772602967</v>
      </c>
      <c r="AA13" s="237">
        <v>23664</v>
      </c>
      <c r="AB13" s="101">
        <f t="shared" si="13"/>
        <v>0.51445715031088313</v>
      </c>
      <c r="AC13" s="106">
        <f t="shared" si="14"/>
        <v>45652</v>
      </c>
      <c r="AD13" s="101">
        <f t="shared" si="15"/>
        <v>0.21053214106188406</v>
      </c>
      <c r="AE13" s="237">
        <v>18576</v>
      </c>
      <c r="AF13" s="101">
        <f t="shared" si="16"/>
        <v>8.566645606688772E-2</v>
      </c>
      <c r="AG13" s="237">
        <v>22230</v>
      </c>
      <c r="AH13" s="101">
        <f t="shared" si="17"/>
        <v>0.10251751283198288</v>
      </c>
      <c r="AI13" s="237">
        <v>10762</v>
      </c>
      <c r="AJ13" s="101">
        <f t="shared" si="18"/>
        <v>4.9630835496977048E-2</v>
      </c>
      <c r="AK13" s="237">
        <v>17524</v>
      </c>
      <c r="AL13" s="101">
        <f t="shared" si="19"/>
        <v>8.0814975027785341E-2</v>
      </c>
    </row>
    <row r="14" spans="1:38" ht="12">
      <c r="B14" s="98"/>
      <c r="C14" s="83"/>
      <c r="D14" s="86">
        <f t="shared" si="21"/>
        <v>45999</v>
      </c>
      <c r="E14" s="86" t="s">
        <v>628</v>
      </c>
      <c r="F14" s="88">
        <f t="shared" si="20"/>
        <v>216945</v>
      </c>
      <c r="G14" s="351"/>
      <c r="H14" s="479"/>
      <c r="I14" s="237">
        <v>28684</v>
      </c>
      <c r="J14" s="101">
        <f>I14/F14</f>
        <v>0.1322178432321556</v>
      </c>
      <c r="K14" s="237">
        <v>42270</v>
      </c>
      <c r="L14" s="101">
        <f>K14/F14</f>
        <v>0.19484201064786005</v>
      </c>
      <c r="M14" s="106">
        <f>SUM(I14+K14)</f>
        <v>70954</v>
      </c>
      <c r="N14" s="101">
        <f>M14/F14</f>
        <v>0.32705985388001568</v>
      </c>
      <c r="O14" s="237">
        <v>5996</v>
      </c>
      <c r="P14" s="101">
        <f>O14/F14</f>
        <v>2.7638341515130564E-2</v>
      </c>
      <c r="Q14" s="237">
        <v>3361</v>
      </c>
      <c r="R14" s="101">
        <f>Q14/D14</f>
        <v>7.3066805800126089E-2</v>
      </c>
      <c r="S14" s="106">
        <f t="shared" si="8"/>
        <v>9357</v>
      </c>
      <c r="T14" s="101">
        <f>S14/F14</f>
        <v>4.3130747424462421E-2</v>
      </c>
      <c r="U14" s="237">
        <v>19354</v>
      </c>
      <c r="V14" s="101">
        <f>U14/F14</f>
        <v>8.9211551314849383E-2</v>
      </c>
      <c r="W14" s="237">
        <v>1003</v>
      </c>
      <c r="X14" s="101">
        <f>W14/F14</f>
        <v>4.6232916176911195E-3</v>
      </c>
      <c r="Y14" s="237">
        <v>21620</v>
      </c>
      <c r="Z14" s="101">
        <f>Y14/F14</f>
        <v>9.9656594989513472E-2</v>
      </c>
      <c r="AA14" s="237">
        <v>27102</v>
      </c>
      <c r="AB14" s="101">
        <f>AA14/D14</f>
        <v>0.58918672145046636</v>
      </c>
      <c r="AC14" s="106">
        <f>SUM(Y14+AA14)</f>
        <v>48722</v>
      </c>
      <c r="AD14" s="101">
        <f>AC14/F14</f>
        <v>0.22458226739496184</v>
      </c>
      <c r="AE14" s="237">
        <v>17960</v>
      </c>
      <c r="AF14" s="101">
        <f>AE14/F14</f>
        <v>8.2785959575007492E-2</v>
      </c>
      <c r="AG14" s="237">
        <v>20659</v>
      </c>
      <c r="AH14" s="101">
        <f>AG14/F14</f>
        <v>9.5226900827398653E-2</v>
      </c>
      <c r="AI14" s="237">
        <v>11193</v>
      </c>
      <c r="AJ14" s="101">
        <f>AI14/F14</f>
        <v>5.1593721911083454E-2</v>
      </c>
      <c r="AK14" s="237">
        <v>17743</v>
      </c>
      <c r="AL14" s="101">
        <f>AK14/F14</f>
        <v>8.178570605452995E-2</v>
      </c>
    </row>
    <row r="15" spans="1:38" ht="12">
      <c r="B15" s="98"/>
      <c r="C15" s="83"/>
      <c r="D15" s="341">
        <f t="shared" si="21"/>
        <v>46000</v>
      </c>
      <c r="E15" s="341" t="s">
        <v>629</v>
      </c>
      <c r="F15" s="88">
        <f t="shared" si="20"/>
        <v>231819</v>
      </c>
      <c r="G15" s="351">
        <f>SUM(F15:F21)</f>
        <v>1501730</v>
      </c>
      <c r="H15" s="479"/>
      <c r="I15" s="237">
        <v>28059</v>
      </c>
      <c r="J15" s="101">
        <f t="shared" ref="J15" si="22">I15/F15</f>
        <v>0.12103839633507175</v>
      </c>
      <c r="K15" s="237">
        <v>42006</v>
      </c>
      <c r="L15" s="101">
        <f t="shared" ref="L15" si="23">K15/F15</f>
        <v>0.18120171340571739</v>
      </c>
      <c r="M15" s="106">
        <f t="shared" ref="M15" si="24">SUM(I15+K15)</f>
        <v>70065</v>
      </c>
      <c r="N15" s="101">
        <f t="shared" ref="N15" si="25">M15/F15</f>
        <v>0.30224010974078913</v>
      </c>
      <c r="O15" s="237">
        <v>5966</v>
      </c>
      <c r="P15" s="101">
        <f t="shared" ref="P15" si="26">O15/F15</f>
        <v>2.5735595442996476E-2</v>
      </c>
      <c r="Q15" s="237">
        <v>3531</v>
      </c>
      <c r="R15" s="101">
        <f t="shared" ref="R15" si="27">Q15/D15</f>
        <v>7.6760869565217396E-2</v>
      </c>
      <c r="S15" s="106">
        <f t="shared" ref="S15" si="28">SUM(O15+Q15)</f>
        <v>9497</v>
      </c>
      <c r="T15" s="101">
        <f t="shared" ref="T15" si="29">S15/F15</f>
        <v>4.0967306389899018E-2</v>
      </c>
      <c r="U15" s="237">
        <v>28232</v>
      </c>
      <c r="V15" s="101">
        <f t="shared" ref="V15" si="30">U15/F15</f>
        <v>0.12178466821097494</v>
      </c>
      <c r="W15" s="237">
        <v>909</v>
      </c>
      <c r="X15" s="101">
        <f t="shared" ref="X15" si="31">W15/F15</f>
        <v>3.9211626311907131E-3</v>
      </c>
      <c r="Y15" s="237">
        <v>22083</v>
      </c>
      <c r="Z15" s="101">
        <f t="shared" ref="Z15" si="32">Y15/F15</f>
        <v>9.5259663789421925E-2</v>
      </c>
      <c r="AA15" s="237">
        <v>27244</v>
      </c>
      <c r="AB15" s="101">
        <f t="shared" ref="AB15" si="33">AA15/D15</f>
        <v>0.5922608695652174</v>
      </c>
      <c r="AC15" s="106">
        <f t="shared" ref="AC15" si="34">SUM(Y15+AA15)</f>
        <v>49327</v>
      </c>
      <c r="AD15" s="101">
        <f t="shared" ref="AD15" si="35">AC15/F15</f>
        <v>0.21278238625824458</v>
      </c>
      <c r="AE15" s="237">
        <v>17400</v>
      </c>
      <c r="AF15" s="101">
        <f t="shared" ref="AF15" si="36">AE15/F15</f>
        <v>7.5058558616851942E-2</v>
      </c>
      <c r="AG15" s="237">
        <v>28144</v>
      </c>
      <c r="AH15" s="101">
        <f t="shared" ref="AH15" si="37">AG15/F15</f>
        <v>0.12140506170762534</v>
      </c>
      <c r="AI15" s="237">
        <v>10936</v>
      </c>
      <c r="AJ15" s="101">
        <f t="shared" ref="AJ15" si="38">AI15/F15</f>
        <v>4.7174735461717979E-2</v>
      </c>
      <c r="AK15" s="237">
        <v>17309</v>
      </c>
      <c r="AL15" s="101">
        <f t="shared" ref="AL15" si="39">AK15/F15</f>
        <v>7.4666010982706338E-2</v>
      </c>
    </row>
    <row r="16" spans="1:38" ht="12">
      <c r="B16" s="98"/>
      <c r="C16" s="83"/>
      <c r="D16" s="341">
        <f t="shared" si="21"/>
        <v>46001</v>
      </c>
      <c r="E16" s="341" t="s">
        <v>630</v>
      </c>
      <c r="F16" s="88">
        <f t="shared" si="20"/>
        <v>226414</v>
      </c>
      <c r="G16" s="351"/>
      <c r="H16" s="479"/>
      <c r="I16" s="237">
        <v>28006</v>
      </c>
      <c r="J16" s="101">
        <f t="shared" ref="J16:J41" si="40">I16/F16</f>
        <v>0.12369376451986185</v>
      </c>
      <c r="K16" s="237">
        <v>41154</v>
      </c>
      <c r="L16" s="101">
        <f t="shared" ref="L16:L41" si="41">K16/F16</f>
        <v>0.18176437852782956</v>
      </c>
      <c r="M16" s="106">
        <f t="shared" ref="M16:M41" si="42">SUM(I16+K16)</f>
        <v>69160</v>
      </c>
      <c r="N16" s="101">
        <f t="shared" ref="N16:N41" si="43">M16/F16</f>
        <v>0.30545814304769142</v>
      </c>
      <c r="O16" s="237">
        <v>6340</v>
      </c>
      <c r="P16" s="101">
        <f t="shared" ref="P16:P41" si="44">O16/F16</f>
        <v>2.8001802008709709E-2</v>
      </c>
      <c r="Q16" s="237">
        <v>3678</v>
      </c>
      <c r="R16" s="101">
        <f t="shared" ref="R16:R41" si="45">Q16/D16</f>
        <v>7.9954783591661055E-2</v>
      </c>
      <c r="S16" s="106">
        <f t="shared" ref="S16:S45" si="46">SUM(O16+Q16)</f>
        <v>10018</v>
      </c>
      <c r="T16" s="101">
        <f t="shared" ref="T16:T41" si="47">S16/F16</f>
        <v>4.4246380524172534E-2</v>
      </c>
      <c r="U16" s="237">
        <v>26774</v>
      </c>
      <c r="V16" s="101">
        <f t="shared" ref="V16:V41" si="48">U16/F16</f>
        <v>0.11825240488662361</v>
      </c>
      <c r="W16" s="237">
        <v>799</v>
      </c>
      <c r="X16" s="101">
        <f t="shared" ref="X16:X41" si="49">W16/F16</f>
        <v>3.5289337231796621E-3</v>
      </c>
      <c r="Y16" s="237">
        <v>21754</v>
      </c>
      <c r="Z16" s="101">
        <f t="shared" ref="Z16:Z41" si="50">Y16/F16</f>
        <v>9.6080631056383439E-2</v>
      </c>
      <c r="AA16" s="237">
        <v>24647</v>
      </c>
      <c r="AB16" s="101">
        <f t="shared" ref="AB16:AB41" si="51">AA16/D16</f>
        <v>0.53579270015869218</v>
      </c>
      <c r="AC16" s="106">
        <f t="shared" ref="AC16:AC41" si="52">SUM(Y16+AA16)</f>
        <v>46401</v>
      </c>
      <c r="AD16" s="101">
        <f t="shared" ref="AD16:AD41" si="53">AC16/F16</f>
        <v>0.20493874053724592</v>
      </c>
      <c r="AE16" s="237">
        <v>17120</v>
      </c>
      <c r="AF16" s="101">
        <f t="shared" ref="AF16:AF41" si="54">AE16/F16</f>
        <v>7.5613698799544202E-2</v>
      </c>
      <c r="AG16" s="237">
        <v>27317</v>
      </c>
      <c r="AH16" s="101">
        <f t="shared" ref="AH16:AH41" si="55">AG16/F16</f>
        <v>0.12065066647822131</v>
      </c>
      <c r="AI16" s="237">
        <v>11329</v>
      </c>
      <c r="AJ16" s="101">
        <f t="shared" ref="AJ16:AJ41" si="56">AI16/F16</f>
        <v>5.0036658510516134E-2</v>
      </c>
      <c r="AK16" s="237">
        <v>17496</v>
      </c>
      <c r="AL16" s="101">
        <f t="shared" ref="AL16:AL41" si="57">AK16/F16</f>
        <v>7.7274373492805221E-2</v>
      </c>
    </row>
    <row r="17" spans="2:38" ht="12">
      <c r="B17" s="98"/>
      <c r="C17" s="83"/>
      <c r="D17" s="341">
        <f t="shared" si="21"/>
        <v>46002</v>
      </c>
      <c r="E17" s="341" t="s">
        <v>631</v>
      </c>
      <c r="F17" s="88">
        <f t="shared" si="20"/>
        <v>203040</v>
      </c>
      <c r="G17" s="351"/>
      <c r="H17" s="479"/>
      <c r="I17" s="237">
        <v>26916</v>
      </c>
      <c r="J17" s="101">
        <f t="shared" si="40"/>
        <v>0.13256501182033098</v>
      </c>
      <c r="K17" s="237">
        <v>38801</v>
      </c>
      <c r="L17" s="101">
        <f t="shared" si="41"/>
        <v>0.19110027580772262</v>
      </c>
      <c r="M17" s="106">
        <f t="shared" si="42"/>
        <v>65717</v>
      </c>
      <c r="N17" s="101">
        <f t="shared" si="43"/>
        <v>0.32366528762805358</v>
      </c>
      <c r="O17" s="237">
        <v>6069</v>
      </c>
      <c r="P17" s="101">
        <f t="shared" si="44"/>
        <v>2.989066193853428E-2</v>
      </c>
      <c r="Q17" s="237">
        <v>3627</v>
      </c>
      <c r="R17" s="101">
        <f t="shared" si="45"/>
        <v>7.8844398069649144E-2</v>
      </c>
      <c r="S17" s="106">
        <f t="shared" si="46"/>
        <v>9696</v>
      </c>
      <c r="T17" s="101">
        <f t="shared" si="47"/>
        <v>4.7754137115839243E-2</v>
      </c>
      <c r="U17" s="237">
        <v>22596</v>
      </c>
      <c r="V17" s="101">
        <f t="shared" si="48"/>
        <v>0.11128841607565011</v>
      </c>
      <c r="W17" s="237">
        <v>0</v>
      </c>
      <c r="X17" s="101">
        <f t="shared" si="49"/>
        <v>0</v>
      </c>
      <c r="Y17" s="237">
        <v>20155</v>
      </c>
      <c r="Z17" s="101">
        <f t="shared" si="50"/>
        <v>9.9266154452324659E-2</v>
      </c>
      <c r="AA17" s="237">
        <v>20728</v>
      </c>
      <c r="AB17" s="101">
        <f t="shared" si="51"/>
        <v>0.45058910482152947</v>
      </c>
      <c r="AC17" s="106">
        <f t="shared" si="52"/>
        <v>40883</v>
      </c>
      <c r="AD17" s="101">
        <f t="shared" si="53"/>
        <v>0.20135441292356185</v>
      </c>
      <c r="AE17" s="237">
        <v>15777</v>
      </c>
      <c r="AF17" s="101">
        <f t="shared" si="54"/>
        <v>7.7703900709219856E-2</v>
      </c>
      <c r="AG17" s="237">
        <v>21756</v>
      </c>
      <c r="AH17" s="101">
        <f t="shared" si="55"/>
        <v>0.10715130023640662</v>
      </c>
      <c r="AI17" s="237">
        <v>10072</v>
      </c>
      <c r="AJ17" s="101">
        <f t="shared" si="56"/>
        <v>4.9605988967691098E-2</v>
      </c>
      <c r="AK17" s="237">
        <v>16543</v>
      </c>
      <c r="AL17" s="101">
        <f t="shared" si="57"/>
        <v>8.1476556343577616E-2</v>
      </c>
    </row>
    <row r="18" spans="2:38" ht="12">
      <c r="B18" s="98"/>
      <c r="C18" s="83"/>
      <c r="D18" s="341">
        <f t="shared" si="21"/>
        <v>46003</v>
      </c>
      <c r="E18" s="341" t="s">
        <v>632</v>
      </c>
      <c r="F18" s="88">
        <f t="shared" si="20"/>
        <v>188638</v>
      </c>
      <c r="G18" s="351"/>
      <c r="H18" s="479"/>
      <c r="I18" s="237">
        <v>23417</v>
      </c>
      <c r="J18" s="101">
        <f t="shared" si="40"/>
        <v>0.12413723639987702</v>
      </c>
      <c r="K18" s="237">
        <v>37429</v>
      </c>
      <c r="L18" s="101">
        <f t="shared" si="41"/>
        <v>0.19841707397237035</v>
      </c>
      <c r="M18" s="106">
        <f t="shared" si="42"/>
        <v>60846</v>
      </c>
      <c r="N18" s="101">
        <f t="shared" si="43"/>
        <v>0.32255431037224735</v>
      </c>
      <c r="O18" s="237">
        <v>4779</v>
      </c>
      <c r="P18" s="101">
        <f t="shared" si="44"/>
        <v>2.5334238064440885E-2</v>
      </c>
      <c r="Q18" s="237">
        <v>2955</v>
      </c>
      <c r="R18" s="101">
        <f t="shared" si="45"/>
        <v>6.4234941199486986E-2</v>
      </c>
      <c r="S18" s="106">
        <f t="shared" si="46"/>
        <v>7734</v>
      </c>
      <c r="T18" s="101">
        <f t="shared" si="47"/>
        <v>4.0999162416904336E-2</v>
      </c>
      <c r="U18" s="237">
        <v>18468</v>
      </c>
      <c r="V18" s="101">
        <f t="shared" si="48"/>
        <v>9.7901801333771563E-2</v>
      </c>
      <c r="W18" s="237">
        <v>0</v>
      </c>
      <c r="X18" s="101">
        <f t="shared" si="49"/>
        <v>0</v>
      </c>
      <c r="Y18" s="237">
        <v>20011</v>
      </c>
      <c r="Z18" s="101">
        <f t="shared" si="50"/>
        <v>0.10608148941358581</v>
      </c>
      <c r="AA18" s="237">
        <v>20937</v>
      </c>
      <c r="AB18" s="101">
        <f t="shared" si="51"/>
        <v>0.45512249201139054</v>
      </c>
      <c r="AC18" s="106">
        <f t="shared" si="52"/>
        <v>40948</v>
      </c>
      <c r="AD18" s="101">
        <f t="shared" si="53"/>
        <v>0.21707185190682685</v>
      </c>
      <c r="AE18" s="237">
        <v>14612</v>
      </c>
      <c r="AF18" s="101">
        <f t="shared" si="54"/>
        <v>7.7460532872485929E-2</v>
      </c>
      <c r="AG18" s="237">
        <v>18552</v>
      </c>
      <c r="AH18" s="101">
        <f t="shared" si="55"/>
        <v>9.8347098675770517E-2</v>
      </c>
      <c r="AI18" s="237">
        <v>13654</v>
      </c>
      <c r="AJ18" s="101">
        <f t="shared" si="56"/>
        <v>7.2382022710164445E-2</v>
      </c>
      <c r="AK18" s="237">
        <v>13824</v>
      </c>
      <c r="AL18" s="101">
        <f t="shared" si="57"/>
        <v>7.3283219711829009E-2</v>
      </c>
    </row>
    <row r="19" spans="2:38" ht="12">
      <c r="B19" s="98"/>
      <c r="C19" s="83"/>
      <c r="D19" s="341">
        <f t="shared" si="21"/>
        <v>46004</v>
      </c>
      <c r="E19" s="341" t="s">
        <v>633</v>
      </c>
      <c r="F19" s="88">
        <f t="shared" si="20"/>
        <v>193826</v>
      </c>
      <c r="G19" s="351"/>
      <c r="H19" s="479"/>
      <c r="I19" s="237">
        <v>22772</v>
      </c>
      <c r="J19" s="101">
        <f t="shared" si="40"/>
        <v>0.11748681807394261</v>
      </c>
      <c r="K19" s="237">
        <v>39997</v>
      </c>
      <c r="L19" s="101">
        <f t="shared" si="41"/>
        <v>0.2063551845469648</v>
      </c>
      <c r="M19" s="106">
        <f t="shared" si="42"/>
        <v>62769</v>
      </c>
      <c r="N19" s="101">
        <f t="shared" si="43"/>
        <v>0.3238420026209074</v>
      </c>
      <c r="O19" s="237">
        <v>4351</v>
      </c>
      <c r="P19" s="101">
        <f t="shared" si="44"/>
        <v>2.2447968796755854E-2</v>
      </c>
      <c r="Q19" s="237">
        <v>2754</v>
      </c>
      <c r="R19" s="101">
        <f t="shared" si="45"/>
        <v>5.986435962090253E-2</v>
      </c>
      <c r="S19" s="106">
        <f t="shared" si="46"/>
        <v>7105</v>
      </c>
      <c r="T19" s="101">
        <f t="shared" si="47"/>
        <v>3.6656588899322072E-2</v>
      </c>
      <c r="U19" s="237">
        <v>20381</v>
      </c>
      <c r="V19" s="101">
        <f t="shared" si="48"/>
        <v>0.10515101173217216</v>
      </c>
      <c r="W19" s="237">
        <v>0</v>
      </c>
      <c r="X19" s="101">
        <f t="shared" si="49"/>
        <v>0</v>
      </c>
      <c r="Y19" s="237">
        <v>20351</v>
      </c>
      <c r="Z19" s="101">
        <f t="shared" si="50"/>
        <v>0.10499623373541217</v>
      </c>
      <c r="AA19" s="237">
        <v>21947</v>
      </c>
      <c r="AB19" s="101">
        <f t="shared" si="51"/>
        <v>0.47706721154682202</v>
      </c>
      <c r="AC19" s="106">
        <f t="shared" si="52"/>
        <v>42298</v>
      </c>
      <c r="AD19" s="101">
        <f t="shared" si="53"/>
        <v>0.21822665689845533</v>
      </c>
      <c r="AE19" s="237">
        <v>15932</v>
      </c>
      <c r="AF19" s="101">
        <f t="shared" si="54"/>
        <v>8.2197434812667031E-2</v>
      </c>
      <c r="AG19" s="237">
        <v>18655</v>
      </c>
      <c r="AH19" s="101">
        <f t="shared" si="55"/>
        <v>9.6246117651914598E-2</v>
      </c>
      <c r="AI19" s="237">
        <v>11821</v>
      </c>
      <c r="AJ19" s="101">
        <f t="shared" si="56"/>
        <v>6.0987689989991024E-2</v>
      </c>
      <c r="AK19" s="237">
        <v>14865</v>
      </c>
      <c r="AL19" s="101">
        <f t="shared" si="57"/>
        <v>7.6692497394570389E-2</v>
      </c>
    </row>
    <row r="20" spans="2:38" ht="12">
      <c r="B20" s="98"/>
      <c r="C20" s="83"/>
      <c r="D20" s="341">
        <f t="shared" si="21"/>
        <v>46005</v>
      </c>
      <c r="E20" s="341" t="s">
        <v>634</v>
      </c>
      <c r="F20" s="88">
        <f t="shared" si="20"/>
        <v>230374</v>
      </c>
      <c r="G20" s="351"/>
      <c r="H20" s="479"/>
      <c r="I20" s="237">
        <v>29193</v>
      </c>
      <c r="J20" s="101">
        <f t="shared" si="40"/>
        <v>0.12672002916995842</v>
      </c>
      <c r="K20" s="237">
        <v>41967</v>
      </c>
      <c r="L20" s="101">
        <f t="shared" si="41"/>
        <v>0.18216899476503426</v>
      </c>
      <c r="M20" s="106">
        <f t="shared" si="42"/>
        <v>71160</v>
      </c>
      <c r="N20" s="101">
        <f t="shared" si="43"/>
        <v>0.30888902393499268</v>
      </c>
      <c r="O20" s="237">
        <v>5796</v>
      </c>
      <c r="P20" s="101">
        <f t="shared" si="44"/>
        <v>2.5159089133322338E-2</v>
      </c>
      <c r="Q20" s="237">
        <v>3275</v>
      </c>
      <c r="R20" s="101">
        <f t="shared" si="45"/>
        <v>7.118791435713509E-2</v>
      </c>
      <c r="S20" s="106">
        <f t="shared" si="46"/>
        <v>9071</v>
      </c>
      <c r="T20" s="101">
        <f t="shared" si="47"/>
        <v>3.9375103093231008E-2</v>
      </c>
      <c r="U20" s="237">
        <v>26682</v>
      </c>
      <c r="V20" s="101">
        <f t="shared" si="48"/>
        <v>0.11582036167275821</v>
      </c>
      <c r="W20" s="237">
        <v>0</v>
      </c>
      <c r="X20" s="101">
        <f t="shared" si="49"/>
        <v>0</v>
      </c>
      <c r="Y20" s="237">
        <v>23247</v>
      </c>
      <c r="Z20" s="101">
        <f t="shared" si="50"/>
        <v>0.10090982489343416</v>
      </c>
      <c r="AA20" s="237">
        <v>24521</v>
      </c>
      <c r="AB20" s="101">
        <f t="shared" si="51"/>
        <v>0.53300728181719381</v>
      </c>
      <c r="AC20" s="106">
        <f t="shared" si="52"/>
        <v>47768</v>
      </c>
      <c r="AD20" s="101">
        <f t="shared" si="53"/>
        <v>0.20734978773646331</v>
      </c>
      <c r="AE20" s="237">
        <v>19080</v>
      </c>
      <c r="AF20" s="101">
        <f t="shared" si="54"/>
        <v>8.2821846215284711E-2</v>
      </c>
      <c r="AG20" s="237">
        <v>24575</v>
      </c>
      <c r="AH20" s="101">
        <f t="shared" si="55"/>
        <v>0.10667436429458185</v>
      </c>
      <c r="AI20" s="237">
        <v>15347</v>
      </c>
      <c r="AJ20" s="101">
        <f t="shared" si="56"/>
        <v>6.6617760684799507E-2</v>
      </c>
      <c r="AK20" s="237">
        <v>16691</v>
      </c>
      <c r="AL20" s="101">
        <f t="shared" si="57"/>
        <v>7.2451752367888742E-2</v>
      </c>
    </row>
    <row r="21" spans="2:38" ht="12">
      <c r="B21" s="98"/>
      <c r="C21" s="83"/>
      <c r="D21" s="341">
        <f t="shared" si="21"/>
        <v>46006</v>
      </c>
      <c r="E21" s="341" t="s">
        <v>628</v>
      </c>
      <c r="F21" s="88">
        <f t="shared" si="20"/>
        <v>227619</v>
      </c>
      <c r="G21" s="351"/>
      <c r="H21" s="479"/>
      <c r="I21" s="237">
        <v>28315</v>
      </c>
      <c r="J21" s="101">
        <f t="shared" si="40"/>
        <v>0.12439646953901036</v>
      </c>
      <c r="K21" s="237">
        <v>44964</v>
      </c>
      <c r="L21" s="101">
        <f t="shared" si="41"/>
        <v>0.19754062710054959</v>
      </c>
      <c r="M21" s="106">
        <f t="shared" si="42"/>
        <v>73279</v>
      </c>
      <c r="N21" s="101">
        <f t="shared" si="43"/>
        <v>0.32193709663955994</v>
      </c>
      <c r="O21" s="237">
        <v>5486</v>
      </c>
      <c r="P21" s="101">
        <f t="shared" si="44"/>
        <v>2.4101678682359556E-2</v>
      </c>
      <c r="Q21" s="237">
        <v>3321</v>
      </c>
      <c r="R21" s="101">
        <f t="shared" si="45"/>
        <v>7.2186236577837667E-2</v>
      </c>
      <c r="S21" s="106">
        <f t="shared" si="46"/>
        <v>8807</v>
      </c>
      <c r="T21" s="101">
        <f t="shared" si="47"/>
        <v>3.8691849098713198E-2</v>
      </c>
      <c r="U21" s="237">
        <v>23822</v>
      </c>
      <c r="V21" s="101">
        <f t="shared" si="48"/>
        <v>0.10465734407057407</v>
      </c>
      <c r="W21" s="237">
        <v>0</v>
      </c>
      <c r="X21" s="101">
        <f t="shared" si="49"/>
        <v>0</v>
      </c>
      <c r="Y21" s="237">
        <v>22473</v>
      </c>
      <c r="Z21" s="101">
        <f t="shared" si="50"/>
        <v>9.8730773793048912E-2</v>
      </c>
      <c r="AA21" s="237">
        <v>24415</v>
      </c>
      <c r="AB21" s="101">
        <f t="shared" si="51"/>
        <v>0.53069164891535892</v>
      </c>
      <c r="AC21" s="106">
        <f t="shared" si="52"/>
        <v>46888</v>
      </c>
      <c r="AD21" s="101">
        <f t="shared" si="53"/>
        <v>0.20599334853417334</v>
      </c>
      <c r="AE21" s="237">
        <v>18344</v>
      </c>
      <c r="AF21" s="101">
        <f t="shared" si="54"/>
        <v>8.0590811839081969E-2</v>
      </c>
      <c r="AG21" s="237">
        <v>22352</v>
      </c>
      <c r="AH21" s="101">
        <f t="shared" si="55"/>
        <v>9.8199183723678599E-2</v>
      </c>
      <c r="AI21" s="237">
        <v>16986</v>
      </c>
      <c r="AJ21" s="101">
        <f t="shared" si="56"/>
        <v>7.4624701804330923E-2</v>
      </c>
      <c r="AK21" s="237">
        <v>17141</v>
      </c>
      <c r="AL21" s="101">
        <f t="shared" si="57"/>
        <v>7.5305664289887927E-2</v>
      </c>
    </row>
    <row r="22" spans="2:38" ht="12">
      <c r="B22" s="98"/>
      <c r="C22" s="83"/>
      <c r="D22" s="86">
        <f t="shared" si="21"/>
        <v>46007</v>
      </c>
      <c r="E22" s="86" t="s">
        <v>629</v>
      </c>
      <c r="F22" s="88">
        <f t="shared" si="20"/>
        <v>0</v>
      </c>
      <c r="G22" s="351">
        <f>SUM(F22:F28)</f>
        <v>0</v>
      </c>
      <c r="H22" s="479"/>
      <c r="I22" s="237"/>
      <c r="J22" s="101" t="e">
        <f t="shared" si="40"/>
        <v>#DIV/0!</v>
      </c>
      <c r="K22" s="237"/>
      <c r="L22" s="101" t="e">
        <f t="shared" si="41"/>
        <v>#DIV/0!</v>
      </c>
      <c r="M22" s="106">
        <f t="shared" si="42"/>
        <v>0</v>
      </c>
      <c r="N22" s="101" t="e">
        <f t="shared" si="43"/>
        <v>#DIV/0!</v>
      </c>
      <c r="O22" s="237"/>
      <c r="P22" s="101" t="e">
        <f t="shared" si="44"/>
        <v>#DIV/0!</v>
      </c>
      <c r="Q22" s="237"/>
      <c r="R22" s="101">
        <f t="shared" si="45"/>
        <v>0</v>
      </c>
      <c r="S22" s="106">
        <f t="shared" si="46"/>
        <v>0</v>
      </c>
      <c r="T22" s="101" t="e">
        <f t="shared" si="47"/>
        <v>#DIV/0!</v>
      </c>
      <c r="U22" s="237"/>
      <c r="V22" s="101" t="e">
        <f t="shared" si="48"/>
        <v>#DIV/0!</v>
      </c>
      <c r="W22" s="237"/>
      <c r="X22" s="101" t="e">
        <f t="shared" si="49"/>
        <v>#DIV/0!</v>
      </c>
      <c r="Y22" s="237"/>
      <c r="Z22" s="101" t="e">
        <f t="shared" si="50"/>
        <v>#DIV/0!</v>
      </c>
      <c r="AA22" s="237"/>
      <c r="AB22" s="101">
        <f t="shared" si="51"/>
        <v>0</v>
      </c>
      <c r="AC22" s="106">
        <f t="shared" si="52"/>
        <v>0</v>
      </c>
      <c r="AD22" s="101" t="e">
        <f t="shared" si="53"/>
        <v>#DIV/0!</v>
      </c>
      <c r="AE22" s="237"/>
      <c r="AF22" s="101" t="e">
        <f t="shared" si="54"/>
        <v>#DIV/0!</v>
      </c>
      <c r="AG22" s="237"/>
      <c r="AH22" s="101" t="e">
        <f t="shared" si="55"/>
        <v>#DIV/0!</v>
      </c>
      <c r="AI22" s="237"/>
      <c r="AJ22" s="101" t="e">
        <f t="shared" si="56"/>
        <v>#DIV/0!</v>
      </c>
      <c r="AK22" s="237"/>
      <c r="AL22" s="101" t="e">
        <f t="shared" si="57"/>
        <v>#DIV/0!</v>
      </c>
    </row>
    <row r="23" spans="2:38" ht="12">
      <c r="B23" s="98"/>
      <c r="C23" s="83"/>
      <c r="D23" s="86">
        <f t="shared" si="21"/>
        <v>46008</v>
      </c>
      <c r="E23" s="86" t="s">
        <v>630</v>
      </c>
      <c r="F23" s="88">
        <f t="shared" si="20"/>
        <v>0</v>
      </c>
      <c r="G23" s="351"/>
      <c r="H23" s="479"/>
      <c r="I23" s="237"/>
      <c r="J23" s="101" t="e">
        <f t="shared" si="40"/>
        <v>#DIV/0!</v>
      </c>
      <c r="K23" s="237"/>
      <c r="L23" s="101" t="e">
        <f t="shared" si="41"/>
        <v>#DIV/0!</v>
      </c>
      <c r="M23" s="106">
        <f t="shared" si="42"/>
        <v>0</v>
      </c>
      <c r="N23" s="101" t="e">
        <f t="shared" si="43"/>
        <v>#DIV/0!</v>
      </c>
      <c r="O23" s="237"/>
      <c r="P23" s="101" t="e">
        <f t="shared" si="44"/>
        <v>#DIV/0!</v>
      </c>
      <c r="Q23" s="237"/>
      <c r="R23" s="101">
        <f t="shared" si="45"/>
        <v>0</v>
      </c>
      <c r="S23" s="106">
        <f t="shared" si="46"/>
        <v>0</v>
      </c>
      <c r="T23" s="101" t="e">
        <f t="shared" si="47"/>
        <v>#DIV/0!</v>
      </c>
      <c r="U23" s="237"/>
      <c r="V23" s="101" t="e">
        <f t="shared" si="48"/>
        <v>#DIV/0!</v>
      </c>
      <c r="W23" s="237"/>
      <c r="X23" s="101" t="e">
        <f t="shared" si="49"/>
        <v>#DIV/0!</v>
      </c>
      <c r="Y23" s="237"/>
      <c r="Z23" s="101" t="e">
        <f t="shared" si="50"/>
        <v>#DIV/0!</v>
      </c>
      <c r="AA23" s="237"/>
      <c r="AB23" s="101">
        <f t="shared" si="51"/>
        <v>0</v>
      </c>
      <c r="AC23" s="106">
        <f t="shared" si="52"/>
        <v>0</v>
      </c>
      <c r="AD23" s="101" t="e">
        <f t="shared" si="53"/>
        <v>#DIV/0!</v>
      </c>
      <c r="AE23" s="237"/>
      <c r="AF23" s="101" t="e">
        <f t="shared" si="54"/>
        <v>#DIV/0!</v>
      </c>
      <c r="AG23" s="237"/>
      <c r="AH23" s="101" t="e">
        <f t="shared" si="55"/>
        <v>#DIV/0!</v>
      </c>
      <c r="AI23" s="237"/>
      <c r="AJ23" s="101" t="e">
        <f t="shared" si="56"/>
        <v>#DIV/0!</v>
      </c>
      <c r="AK23" s="237"/>
      <c r="AL23" s="101" t="e">
        <f t="shared" si="57"/>
        <v>#DIV/0!</v>
      </c>
    </row>
    <row r="24" spans="2:38" ht="12">
      <c r="B24" s="98"/>
      <c r="C24" s="83"/>
      <c r="D24" s="86">
        <f t="shared" si="21"/>
        <v>46009</v>
      </c>
      <c r="E24" s="86" t="s">
        <v>631</v>
      </c>
      <c r="F24" s="88">
        <f t="shared" si="20"/>
        <v>0</v>
      </c>
      <c r="G24" s="351"/>
      <c r="H24" s="479"/>
      <c r="I24" s="237"/>
      <c r="J24" s="101" t="e">
        <f t="shared" si="40"/>
        <v>#DIV/0!</v>
      </c>
      <c r="K24" s="237"/>
      <c r="L24" s="101" t="e">
        <f t="shared" si="41"/>
        <v>#DIV/0!</v>
      </c>
      <c r="M24" s="106">
        <f t="shared" si="42"/>
        <v>0</v>
      </c>
      <c r="N24" s="101" t="e">
        <f t="shared" si="43"/>
        <v>#DIV/0!</v>
      </c>
      <c r="O24" s="237"/>
      <c r="P24" s="101" t="e">
        <f t="shared" si="44"/>
        <v>#DIV/0!</v>
      </c>
      <c r="Q24" s="237"/>
      <c r="R24" s="101">
        <f t="shared" si="45"/>
        <v>0</v>
      </c>
      <c r="S24" s="106">
        <f t="shared" si="46"/>
        <v>0</v>
      </c>
      <c r="T24" s="101" t="e">
        <f t="shared" si="47"/>
        <v>#DIV/0!</v>
      </c>
      <c r="U24" s="237"/>
      <c r="V24" s="101" t="e">
        <f t="shared" si="48"/>
        <v>#DIV/0!</v>
      </c>
      <c r="W24" s="237"/>
      <c r="X24" s="101" t="e">
        <f t="shared" si="49"/>
        <v>#DIV/0!</v>
      </c>
      <c r="Y24" s="237"/>
      <c r="Z24" s="101" t="e">
        <f t="shared" si="50"/>
        <v>#DIV/0!</v>
      </c>
      <c r="AA24" s="237"/>
      <c r="AB24" s="101">
        <f t="shared" si="51"/>
        <v>0</v>
      </c>
      <c r="AC24" s="106">
        <f t="shared" si="52"/>
        <v>0</v>
      </c>
      <c r="AD24" s="101" t="e">
        <f t="shared" si="53"/>
        <v>#DIV/0!</v>
      </c>
      <c r="AE24" s="237"/>
      <c r="AF24" s="101" t="e">
        <f t="shared" si="54"/>
        <v>#DIV/0!</v>
      </c>
      <c r="AG24" s="237"/>
      <c r="AH24" s="101" t="e">
        <f t="shared" si="55"/>
        <v>#DIV/0!</v>
      </c>
      <c r="AI24" s="237"/>
      <c r="AJ24" s="101" t="e">
        <f t="shared" si="56"/>
        <v>#DIV/0!</v>
      </c>
      <c r="AK24" s="237"/>
      <c r="AL24" s="101" t="e">
        <f t="shared" si="57"/>
        <v>#DIV/0!</v>
      </c>
    </row>
    <row r="25" spans="2:38" ht="12">
      <c r="B25" s="98"/>
      <c r="C25" s="83"/>
      <c r="D25" s="86">
        <f t="shared" si="21"/>
        <v>46010</v>
      </c>
      <c r="E25" s="86" t="s">
        <v>632</v>
      </c>
      <c r="F25" s="88">
        <f t="shared" si="20"/>
        <v>0</v>
      </c>
      <c r="G25" s="351"/>
      <c r="H25" s="479"/>
      <c r="I25" s="237"/>
      <c r="J25" s="101" t="e">
        <f t="shared" si="40"/>
        <v>#DIV/0!</v>
      </c>
      <c r="K25" s="237"/>
      <c r="L25" s="101" t="e">
        <f t="shared" si="41"/>
        <v>#DIV/0!</v>
      </c>
      <c r="M25" s="106">
        <f t="shared" si="42"/>
        <v>0</v>
      </c>
      <c r="N25" s="101" t="e">
        <f t="shared" si="43"/>
        <v>#DIV/0!</v>
      </c>
      <c r="O25" s="237"/>
      <c r="P25" s="101" t="e">
        <f t="shared" si="44"/>
        <v>#DIV/0!</v>
      </c>
      <c r="Q25" s="237"/>
      <c r="R25" s="101">
        <f t="shared" si="45"/>
        <v>0</v>
      </c>
      <c r="S25" s="106">
        <f t="shared" si="46"/>
        <v>0</v>
      </c>
      <c r="T25" s="101" t="e">
        <f t="shared" si="47"/>
        <v>#DIV/0!</v>
      </c>
      <c r="U25" s="237"/>
      <c r="V25" s="101" t="e">
        <f t="shared" si="48"/>
        <v>#DIV/0!</v>
      </c>
      <c r="W25" s="237"/>
      <c r="X25" s="101" t="e">
        <f t="shared" si="49"/>
        <v>#DIV/0!</v>
      </c>
      <c r="Y25" s="237"/>
      <c r="Z25" s="101" t="e">
        <f t="shared" si="50"/>
        <v>#DIV/0!</v>
      </c>
      <c r="AA25" s="237"/>
      <c r="AB25" s="101">
        <f t="shared" si="51"/>
        <v>0</v>
      </c>
      <c r="AC25" s="106">
        <f t="shared" si="52"/>
        <v>0</v>
      </c>
      <c r="AD25" s="101" t="e">
        <f t="shared" si="53"/>
        <v>#DIV/0!</v>
      </c>
      <c r="AE25" s="237"/>
      <c r="AF25" s="101" t="e">
        <f t="shared" si="54"/>
        <v>#DIV/0!</v>
      </c>
      <c r="AG25" s="237"/>
      <c r="AH25" s="101" t="e">
        <f t="shared" si="55"/>
        <v>#DIV/0!</v>
      </c>
      <c r="AI25" s="237"/>
      <c r="AJ25" s="101" t="e">
        <f t="shared" si="56"/>
        <v>#DIV/0!</v>
      </c>
      <c r="AK25" s="237"/>
      <c r="AL25" s="101" t="e">
        <f t="shared" si="57"/>
        <v>#DIV/0!</v>
      </c>
    </row>
    <row r="26" spans="2:38" ht="12">
      <c r="B26" s="98"/>
      <c r="C26" s="83"/>
      <c r="D26" s="86">
        <f t="shared" si="21"/>
        <v>46011</v>
      </c>
      <c r="E26" s="86" t="s">
        <v>633</v>
      </c>
      <c r="F26" s="88">
        <f t="shared" si="20"/>
        <v>0</v>
      </c>
      <c r="G26" s="351"/>
      <c r="H26" s="479"/>
      <c r="I26" s="237"/>
      <c r="J26" s="101" t="e">
        <f t="shared" si="40"/>
        <v>#DIV/0!</v>
      </c>
      <c r="K26" s="237"/>
      <c r="L26" s="101" t="e">
        <f t="shared" si="41"/>
        <v>#DIV/0!</v>
      </c>
      <c r="M26" s="106">
        <f t="shared" si="42"/>
        <v>0</v>
      </c>
      <c r="N26" s="101" t="e">
        <f t="shared" si="43"/>
        <v>#DIV/0!</v>
      </c>
      <c r="O26" s="237"/>
      <c r="P26" s="101" t="e">
        <f t="shared" si="44"/>
        <v>#DIV/0!</v>
      </c>
      <c r="Q26" s="237"/>
      <c r="R26" s="101">
        <f t="shared" si="45"/>
        <v>0</v>
      </c>
      <c r="S26" s="106">
        <f t="shared" si="46"/>
        <v>0</v>
      </c>
      <c r="T26" s="101" t="e">
        <f t="shared" si="47"/>
        <v>#DIV/0!</v>
      </c>
      <c r="U26" s="237"/>
      <c r="V26" s="101" t="e">
        <f t="shared" si="48"/>
        <v>#DIV/0!</v>
      </c>
      <c r="W26" s="237"/>
      <c r="X26" s="101" t="e">
        <f t="shared" si="49"/>
        <v>#DIV/0!</v>
      </c>
      <c r="Y26" s="237"/>
      <c r="Z26" s="101" t="e">
        <f t="shared" si="50"/>
        <v>#DIV/0!</v>
      </c>
      <c r="AA26" s="237"/>
      <c r="AB26" s="101">
        <f t="shared" si="51"/>
        <v>0</v>
      </c>
      <c r="AC26" s="106">
        <f t="shared" si="52"/>
        <v>0</v>
      </c>
      <c r="AD26" s="101" t="e">
        <f t="shared" si="53"/>
        <v>#DIV/0!</v>
      </c>
      <c r="AE26" s="237"/>
      <c r="AF26" s="101" t="e">
        <f t="shared" si="54"/>
        <v>#DIV/0!</v>
      </c>
      <c r="AG26" s="237"/>
      <c r="AH26" s="101" t="e">
        <f t="shared" si="55"/>
        <v>#DIV/0!</v>
      </c>
      <c r="AI26" s="237"/>
      <c r="AJ26" s="101" t="e">
        <f t="shared" si="56"/>
        <v>#DIV/0!</v>
      </c>
      <c r="AK26" s="237"/>
      <c r="AL26" s="101" t="e">
        <f t="shared" si="57"/>
        <v>#DIV/0!</v>
      </c>
    </row>
    <row r="27" spans="2:38" ht="12">
      <c r="B27" s="98"/>
      <c r="C27" s="83"/>
      <c r="D27" s="86">
        <f t="shared" si="21"/>
        <v>46012</v>
      </c>
      <c r="E27" s="86" t="s">
        <v>634</v>
      </c>
      <c r="F27" s="88">
        <f t="shared" si="20"/>
        <v>0</v>
      </c>
      <c r="G27" s="351"/>
      <c r="H27" s="479"/>
      <c r="I27" s="237"/>
      <c r="J27" s="101" t="e">
        <f t="shared" si="40"/>
        <v>#DIV/0!</v>
      </c>
      <c r="K27" s="237"/>
      <c r="L27" s="101" t="e">
        <f t="shared" si="41"/>
        <v>#DIV/0!</v>
      </c>
      <c r="M27" s="106">
        <f t="shared" si="42"/>
        <v>0</v>
      </c>
      <c r="N27" s="101" t="e">
        <f t="shared" si="43"/>
        <v>#DIV/0!</v>
      </c>
      <c r="O27" s="237"/>
      <c r="P27" s="101" t="e">
        <f t="shared" si="44"/>
        <v>#DIV/0!</v>
      </c>
      <c r="Q27" s="237"/>
      <c r="R27" s="101">
        <f t="shared" si="45"/>
        <v>0</v>
      </c>
      <c r="S27" s="106">
        <f t="shared" si="46"/>
        <v>0</v>
      </c>
      <c r="T27" s="101" t="e">
        <f t="shared" si="47"/>
        <v>#DIV/0!</v>
      </c>
      <c r="U27" s="237"/>
      <c r="V27" s="101" t="e">
        <f t="shared" si="48"/>
        <v>#DIV/0!</v>
      </c>
      <c r="W27" s="237"/>
      <c r="X27" s="101" t="e">
        <f t="shared" si="49"/>
        <v>#DIV/0!</v>
      </c>
      <c r="Y27" s="237"/>
      <c r="Z27" s="101" t="e">
        <f t="shared" si="50"/>
        <v>#DIV/0!</v>
      </c>
      <c r="AA27" s="237"/>
      <c r="AB27" s="101">
        <f t="shared" si="51"/>
        <v>0</v>
      </c>
      <c r="AC27" s="106">
        <f t="shared" si="52"/>
        <v>0</v>
      </c>
      <c r="AD27" s="101" t="e">
        <f t="shared" si="53"/>
        <v>#DIV/0!</v>
      </c>
      <c r="AE27" s="237"/>
      <c r="AF27" s="101" t="e">
        <f t="shared" si="54"/>
        <v>#DIV/0!</v>
      </c>
      <c r="AG27" s="237"/>
      <c r="AH27" s="101" t="e">
        <f t="shared" si="55"/>
        <v>#DIV/0!</v>
      </c>
      <c r="AI27" s="237"/>
      <c r="AJ27" s="101" t="e">
        <f t="shared" si="56"/>
        <v>#DIV/0!</v>
      </c>
      <c r="AK27" s="237"/>
      <c r="AL27" s="101" t="e">
        <f t="shared" si="57"/>
        <v>#DIV/0!</v>
      </c>
    </row>
    <row r="28" spans="2:38" ht="12">
      <c r="B28" s="98"/>
      <c r="C28" s="83"/>
      <c r="D28" s="86">
        <f t="shared" si="21"/>
        <v>46013</v>
      </c>
      <c r="E28" s="86" t="s">
        <v>628</v>
      </c>
      <c r="F28" s="88">
        <f t="shared" si="20"/>
        <v>0</v>
      </c>
      <c r="G28" s="351"/>
      <c r="H28" s="479"/>
      <c r="I28" s="237"/>
      <c r="J28" s="101" t="e">
        <f t="shared" si="40"/>
        <v>#DIV/0!</v>
      </c>
      <c r="K28" s="237"/>
      <c r="L28" s="101" t="e">
        <f t="shared" si="41"/>
        <v>#DIV/0!</v>
      </c>
      <c r="M28" s="106">
        <f t="shared" si="42"/>
        <v>0</v>
      </c>
      <c r="N28" s="101" t="e">
        <f t="shared" si="43"/>
        <v>#DIV/0!</v>
      </c>
      <c r="O28" s="237"/>
      <c r="P28" s="101" t="e">
        <f t="shared" si="44"/>
        <v>#DIV/0!</v>
      </c>
      <c r="Q28" s="237"/>
      <c r="R28" s="101">
        <f t="shared" si="45"/>
        <v>0</v>
      </c>
      <c r="S28" s="106">
        <f t="shared" si="46"/>
        <v>0</v>
      </c>
      <c r="T28" s="101" t="e">
        <f t="shared" si="47"/>
        <v>#DIV/0!</v>
      </c>
      <c r="U28" s="237"/>
      <c r="V28" s="101" t="e">
        <f t="shared" si="48"/>
        <v>#DIV/0!</v>
      </c>
      <c r="W28" s="237"/>
      <c r="X28" s="101" t="e">
        <f t="shared" si="49"/>
        <v>#DIV/0!</v>
      </c>
      <c r="Y28" s="237"/>
      <c r="Z28" s="101" t="e">
        <f t="shared" si="50"/>
        <v>#DIV/0!</v>
      </c>
      <c r="AA28" s="237"/>
      <c r="AB28" s="101">
        <f t="shared" si="51"/>
        <v>0</v>
      </c>
      <c r="AC28" s="106">
        <f t="shared" si="52"/>
        <v>0</v>
      </c>
      <c r="AD28" s="101" t="e">
        <f t="shared" si="53"/>
        <v>#DIV/0!</v>
      </c>
      <c r="AE28" s="237"/>
      <c r="AF28" s="101" t="e">
        <f t="shared" si="54"/>
        <v>#DIV/0!</v>
      </c>
      <c r="AG28" s="237"/>
      <c r="AH28" s="101" t="e">
        <f t="shared" si="55"/>
        <v>#DIV/0!</v>
      </c>
      <c r="AI28" s="237"/>
      <c r="AJ28" s="101" t="e">
        <f t="shared" si="56"/>
        <v>#DIV/0!</v>
      </c>
      <c r="AK28" s="237"/>
      <c r="AL28" s="101" t="e">
        <f t="shared" si="57"/>
        <v>#DIV/0!</v>
      </c>
    </row>
    <row r="29" spans="2:38" ht="12">
      <c r="B29" s="98"/>
      <c r="C29" s="83"/>
      <c r="D29" s="341">
        <f t="shared" si="21"/>
        <v>46014</v>
      </c>
      <c r="E29" s="341" t="s">
        <v>629</v>
      </c>
      <c r="F29" s="88">
        <f t="shared" si="20"/>
        <v>0</v>
      </c>
      <c r="G29" s="351">
        <f>SUM(F29:F35)</f>
        <v>0</v>
      </c>
      <c r="H29" s="479"/>
      <c r="I29" s="237"/>
      <c r="J29" s="101" t="e">
        <f t="shared" si="40"/>
        <v>#DIV/0!</v>
      </c>
      <c r="K29" s="237"/>
      <c r="L29" s="101" t="e">
        <f t="shared" si="41"/>
        <v>#DIV/0!</v>
      </c>
      <c r="M29" s="106">
        <f t="shared" si="42"/>
        <v>0</v>
      </c>
      <c r="N29" s="101" t="e">
        <f t="shared" si="43"/>
        <v>#DIV/0!</v>
      </c>
      <c r="O29" s="237"/>
      <c r="P29" s="101" t="e">
        <f t="shared" si="44"/>
        <v>#DIV/0!</v>
      </c>
      <c r="Q29" s="237"/>
      <c r="R29" s="101">
        <f t="shared" si="45"/>
        <v>0</v>
      </c>
      <c r="S29" s="106">
        <f t="shared" si="46"/>
        <v>0</v>
      </c>
      <c r="T29" s="101" t="e">
        <f t="shared" si="47"/>
        <v>#DIV/0!</v>
      </c>
      <c r="U29" s="237"/>
      <c r="V29" s="101" t="e">
        <f t="shared" si="48"/>
        <v>#DIV/0!</v>
      </c>
      <c r="W29" s="237"/>
      <c r="X29" s="101" t="e">
        <f t="shared" si="49"/>
        <v>#DIV/0!</v>
      </c>
      <c r="Y29" s="237"/>
      <c r="Z29" s="101" t="e">
        <f t="shared" si="50"/>
        <v>#DIV/0!</v>
      </c>
      <c r="AA29" s="237"/>
      <c r="AB29" s="101">
        <f t="shared" si="51"/>
        <v>0</v>
      </c>
      <c r="AC29" s="106">
        <f t="shared" si="52"/>
        <v>0</v>
      </c>
      <c r="AD29" s="101" t="e">
        <f t="shared" si="53"/>
        <v>#DIV/0!</v>
      </c>
      <c r="AE29" s="237"/>
      <c r="AF29" s="101" t="e">
        <f t="shared" si="54"/>
        <v>#DIV/0!</v>
      </c>
      <c r="AG29" s="237"/>
      <c r="AH29" s="101" t="e">
        <f t="shared" si="55"/>
        <v>#DIV/0!</v>
      </c>
      <c r="AI29" s="237"/>
      <c r="AJ29" s="101" t="e">
        <f t="shared" si="56"/>
        <v>#DIV/0!</v>
      </c>
      <c r="AK29" s="237"/>
      <c r="AL29" s="101" t="e">
        <f t="shared" si="57"/>
        <v>#DIV/0!</v>
      </c>
    </row>
    <row r="30" spans="2:38" ht="12">
      <c r="B30" s="98"/>
      <c r="C30" s="83"/>
      <c r="D30" s="341">
        <f t="shared" si="21"/>
        <v>46015</v>
      </c>
      <c r="E30" s="341" t="s">
        <v>630</v>
      </c>
      <c r="F30" s="88">
        <f t="shared" si="20"/>
        <v>0</v>
      </c>
      <c r="G30" s="351"/>
      <c r="H30" s="479"/>
      <c r="I30" s="237"/>
      <c r="J30" s="101" t="e">
        <f t="shared" si="40"/>
        <v>#DIV/0!</v>
      </c>
      <c r="K30" s="237"/>
      <c r="L30" s="101" t="e">
        <f t="shared" si="41"/>
        <v>#DIV/0!</v>
      </c>
      <c r="M30" s="106">
        <f t="shared" si="42"/>
        <v>0</v>
      </c>
      <c r="N30" s="101" t="e">
        <f t="shared" si="43"/>
        <v>#DIV/0!</v>
      </c>
      <c r="O30" s="237"/>
      <c r="P30" s="101" t="e">
        <f t="shared" si="44"/>
        <v>#DIV/0!</v>
      </c>
      <c r="Q30" s="237"/>
      <c r="R30" s="101">
        <f t="shared" si="45"/>
        <v>0</v>
      </c>
      <c r="S30" s="106">
        <f t="shared" si="46"/>
        <v>0</v>
      </c>
      <c r="T30" s="101" t="e">
        <f t="shared" si="47"/>
        <v>#DIV/0!</v>
      </c>
      <c r="U30" s="237"/>
      <c r="V30" s="101" t="e">
        <f t="shared" si="48"/>
        <v>#DIV/0!</v>
      </c>
      <c r="W30" s="237"/>
      <c r="X30" s="101" t="e">
        <f t="shared" si="49"/>
        <v>#DIV/0!</v>
      </c>
      <c r="Y30" s="237"/>
      <c r="Z30" s="101" t="e">
        <f t="shared" si="50"/>
        <v>#DIV/0!</v>
      </c>
      <c r="AA30" s="237"/>
      <c r="AB30" s="101">
        <f t="shared" si="51"/>
        <v>0</v>
      </c>
      <c r="AC30" s="106">
        <f t="shared" si="52"/>
        <v>0</v>
      </c>
      <c r="AD30" s="101" t="e">
        <f t="shared" si="53"/>
        <v>#DIV/0!</v>
      </c>
      <c r="AE30" s="237"/>
      <c r="AF30" s="101" t="e">
        <f t="shared" si="54"/>
        <v>#DIV/0!</v>
      </c>
      <c r="AG30" s="237"/>
      <c r="AH30" s="101" t="e">
        <f t="shared" si="55"/>
        <v>#DIV/0!</v>
      </c>
      <c r="AI30" s="237"/>
      <c r="AJ30" s="101" t="e">
        <f t="shared" si="56"/>
        <v>#DIV/0!</v>
      </c>
      <c r="AK30" s="237"/>
      <c r="AL30" s="101" t="e">
        <f t="shared" si="57"/>
        <v>#DIV/0!</v>
      </c>
    </row>
    <row r="31" spans="2:38" ht="12">
      <c r="B31" s="98"/>
      <c r="C31" s="83"/>
      <c r="D31" s="341">
        <f t="shared" si="21"/>
        <v>46016</v>
      </c>
      <c r="E31" s="341" t="s">
        <v>631</v>
      </c>
      <c r="F31" s="88">
        <f t="shared" si="20"/>
        <v>0</v>
      </c>
      <c r="G31" s="351"/>
      <c r="H31" s="479"/>
      <c r="I31" s="237"/>
      <c r="J31" s="101" t="e">
        <f t="shared" si="40"/>
        <v>#DIV/0!</v>
      </c>
      <c r="K31" s="237"/>
      <c r="L31" s="101" t="e">
        <f t="shared" si="41"/>
        <v>#DIV/0!</v>
      </c>
      <c r="M31" s="106">
        <f t="shared" si="42"/>
        <v>0</v>
      </c>
      <c r="N31" s="101" t="e">
        <f t="shared" si="43"/>
        <v>#DIV/0!</v>
      </c>
      <c r="O31" s="237"/>
      <c r="P31" s="101" t="e">
        <f t="shared" si="44"/>
        <v>#DIV/0!</v>
      </c>
      <c r="Q31" s="237"/>
      <c r="R31" s="101">
        <f t="shared" si="45"/>
        <v>0</v>
      </c>
      <c r="S31" s="106">
        <f t="shared" si="46"/>
        <v>0</v>
      </c>
      <c r="T31" s="101" t="e">
        <f t="shared" si="47"/>
        <v>#DIV/0!</v>
      </c>
      <c r="U31" s="237"/>
      <c r="V31" s="101" t="e">
        <f t="shared" si="48"/>
        <v>#DIV/0!</v>
      </c>
      <c r="W31" s="237"/>
      <c r="X31" s="101" t="e">
        <f t="shared" si="49"/>
        <v>#DIV/0!</v>
      </c>
      <c r="Y31" s="237"/>
      <c r="Z31" s="101" t="e">
        <f t="shared" si="50"/>
        <v>#DIV/0!</v>
      </c>
      <c r="AA31" s="237"/>
      <c r="AB31" s="101">
        <f t="shared" si="51"/>
        <v>0</v>
      </c>
      <c r="AC31" s="106">
        <f t="shared" si="52"/>
        <v>0</v>
      </c>
      <c r="AD31" s="101" t="e">
        <f t="shared" si="53"/>
        <v>#DIV/0!</v>
      </c>
      <c r="AE31" s="237"/>
      <c r="AF31" s="101" t="e">
        <f t="shared" si="54"/>
        <v>#DIV/0!</v>
      </c>
      <c r="AG31" s="237"/>
      <c r="AH31" s="101" t="e">
        <f t="shared" si="55"/>
        <v>#DIV/0!</v>
      </c>
      <c r="AI31" s="237"/>
      <c r="AJ31" s="101" t="e">
        <f t="shared" si="56"/>
        <v>#DIV/0!</v>
      </c>
      <c r="AK31" s="237"/>
      <c r="AL31" s="101" t="e">
        <f t="shared" si="57"/>
        <v>#DIV/0!</v>
      </c>
    </row>
    <row r="32" spans="2:38" ht="12">
      <c r="B32" s="98"/>
      <c r="C32" s="83"/>
      <c r="D32" s="341">
        <f t="shared" si="21"/>
        <v>46017</v>
      </c>
      <c r="E32" s="341" t="s">
        <v>632</v>
      </c>
      <c r="F32" s="88">
        <f t="shared" si="20"/>
        <v>0</v>
      </c>
      <c r="G32" s="351"/>
      <c r="H32" s="479"/>
      <c r="I32" s="237"/>
      <c r="J32" s="101" t="e">
        <f t="shared" si="40"/>
        <v>#DIV/0!</v>
      </c>
      <c r="K32" s="237"/>
      <c r="L32" s="101" t="e">
        <f t="shared" si="41"/>
        <v>#DIV/0!</v>
      </c>
      <c r="M32" s="106">
        <f t="shared" si="42"/>
        <v>0</v>
      </c>
      <c r="N32" s="101" t="e">
        <f t="shared" si="43"/>
        <v>#DIV/0!</v>
      </c>
      <c r="O32" s="237"/>
      <c r="P32" s="101" t="e">
        <f t="shared" si="44"/>
        <v>#DIV/0!</v>
      </c>
      <c r="Q32" s="237"/>
      <c r="R32" s="101">
        <f t="shared" si="45"/>
        <v>0</v>
      </c>
      <c r="S32" s="106">
        <f t="shared" si="46"/>
        <v>0</v>
      </c>
      <c r="T32" s="101" t="e">
        <f t="shared" si="47"/>
        <v>#DIV/0!</v>
      </c>
      <c r="U32" s="237"/>
      <c r="V32" s="101" t="e">
        <f t="shared" si="48"/>
        <v>#DIV/0!</v>
      </c>
      <c r="W32" s="237"/>
      <c r="X32" s="101" t="e">
        <f t="shared" si="49"/>
        <v>#DIV/0!</v>
      </c>
      <c r="Y32" s="237"/>
      <c r="Z32" s="101" t="e">
        <f t="shared" si="50"/>
        <v>#DIV/0!</v>
      </c>
      <c r="AA32" s="237"/>
      <c r="AB32" s="101">
        <f t="shared" si="51"/>
        <v>0</v>
      </c>
      <c r="AC32" s="106">
        <f t="shared" si="52"/>
        <v>0</v>
      </c>
      <c r="AD32" s="101" t="e">
        <f t="shared" si="53"/>
        <v>#DIV/0!</v>
      </c>
      <c r="AE32" s="237"/>
      <c r="AF32" s="101" t="e">
        <f t="shared" si="54"/>
        <v>#DIV/0!</v>
      </c>
      <c r="AG32" s="237"/>
      <c r="AH32" s="101" t="e">
        <f t="shared" si="55"/>
        <v>#DIV/0!</v>
      </c>
      <c r="AI32" s="237"/>
      <c r="AJ32" s="101" t="e">
        <f t="shared" si="56"/>
        <v>#DIV/0!</v>
      </c>
      <c r="AK32" s="237"/>
      <c r="AL32" s="101" t="e">
        <f t="shared" si="57"/>
        <v>#DIV/0!</v>
      </c>
    </row>
    <row r="33" spans="2:38" ht="12">
      <c r="B33" s="98"/>
      <c r="C33" s="83"/>
      <c r="D33" s="341">
        <f t="shared" si="21"/>
        <v>46018</v>
      </c>
      <c r="E33" s="341" t="s">
        <v>633</v>
      </c>
      <c r="F33" s="88">
        <f t="shared" si="20"/>
        <v>0</v>
      </c>
      <c r="G33" s="351"/>
      <c r="H33" s="479"/>
      <c r="I33" s="237"/>
      <c r="J33" s="101" t="e">
        <f t="shared" si="40"/>
        <v>#DIV/0!</v>
      </c>
      <c r="K33" s="237"/>
      <c r="L33" s="101" t="e">
        <f t="shared" si="41"/>
        <v>#DIV/0!</v>
      </c>
      <c r="M33" s="106">
        <f t="shared" si="42"/>
        <v>0</v>
      </c>
      <c r="N33" s="101" t="e">
        <f t="shared" si="43"/>
        <v>#DIV/0!</v>
      </c>
      <c r="O33" s="237"/>
      <c r="P33" s="101" t="e">
        <f t="shared" si="44"/>
        <v>#DIV/0!</v>
      </c>
      <c r="Q33" s="237"/>
      <c r="R33" s="101">
        <f t="shared" si="45"/>
        <v>0</v>
      </c>
      <c r="S33" s="106">
        <f t="shared" si="46"/>
        <v>0</v>
      </c>
      <c r="T33" s="101" t="e">
        <f t="shared" si="47"/>
        <v>#DIV/0!</v>
      </c>
      <c r="U33" s="237"/>
      <c r="V33" s="101" t="e">
        <f t="shared" si="48"/>
        <v>#DIV/0!</v>
      </c>
      <c r="W33" s="237"/>
      <c r="X33" s="101" t="e">
        <f t="shared" si="49"/>
        <v>#DIV/0!</v>
      </c>
      <c r="Y33" s="237"/>
      <c r="Z33" s="101" t="e">
        <f t="shared" si="50"/>
        <v>#DIV/0!</v>
      </c>
      <c r="AA33" s="237"/>
      <c r="AB33" s="101">
        <f t="shared" si="51"/>
        <v>0</v>
      </c>
      <c r="AC33" s="106">
        <f t="shared" si="52"/>
        <v>0</v>
      </c>
      <c r="AD33" s="101" t="e">
        <f t="shared" si="53"/>
        <v>#DIV/0!</v>
      </c>
      <c r="AE33" s="237"/>
      <c r="AF33" s="101" t="e">
        <f t="shared" si="54"/>
        <v>#DIV/0!</v>
      </c>
      <c r="AG33" s="237"/>
      <c r="AH33" s="101" t="e">
        <f t="shared" si="55"/>
        <v>#DIV/0!</v>
      </c>
      <c r="AI33" s="237"/>
      <c r="AJ33" s="101" t="e">
        <f t="shared" si="56"/>
        <v>#DIV/0!</v>
      </c>
      <c r="AK33" s="237"/>
      <c r="AL33" s="101" t="e">
        <f t="shared" si="57"/>
        <v>#DIV/0!</v>
      </c>
    </row>
    <row r="34" spans="2:38" ht="12">
      <c r="B34" s="98"/>
      <c r="C34" s="83"/>
      <c r="D34" s="341">
        <f t="shared" si="21"/>
        <v>46019</v>
      </c>
      <c r="E34" s="341" t="s">
        <v>634</v>
      </c>
      <c r="F34" s="88">
        <f t="shared" si="20"/>
        <v>0</v>
      </c>
      <c r="G34" s="351"/>
      <c r="H34" s="479"/>
      <c r="I34" s="237"/>
      <c r="J34" s="101" t="e">
        <f t="shared" si="40"/>
        <v>#DIV/0!</v>
      </c>
      <c r="K34" s="237"/>
      <c r="L34" s="101" t="e">
        <f t="shared" si="41"/>
        <v>#DIV/0!</v>
      </c>
      <c r="M34" s="106">
        <f t="shared" si="42"/>
        <v>0</v>
      </c>
      <c r="N34" s="101" t="e">
        <f t="shared" si="43"/>
        <v>#DIV/0!</v>
      </c>
      <c r="O34" s="237"/>
      <c r="P34" s="101" t="e">
        <f t="shared" si="44"/>
        <v>#DIV/0!</v>
      </c>
      <c r="Q34" s="237"/>
      <c r="R34" s="101">
        <f t="shared" si="45"/>
        <v>0</v>
      </c>
      <c r="S34" s="106">
        <f t="shared" si="46"/>
        <v>0</v>
      </c>
      <c r="T34" s="101" t="e">
        <f t="shared" si="47"/>
        <v>#DIV/0!</v>
      </c>
      <c r="U34" s="237"/>
      <c r="V34" s="101" t="e">
        <f t="shared" si="48"/>
        <v>#DIV/0!</v>
      </c>
      <c r="W34" s="237"/>
      <c r="X34" s="101" t="e">
        <f t="shared" si="49"/>
        <v>#DIV/0!</v>
      </c>
      <c r="Y34" s="237"/>
      <c r="Z34" s="101" t="e">
        <f t="shared" si="50"/>
        <v>#DIV/0!</v>
      </c>
      <c r="AA34" s="237"/>
      <c r="AB34" s="101">
        <f t="shared" si="51"/>
        <v>0</v>
      </c>
      <c r="AC34" s="106">
        <f t="shared" si="52"/>
        <v>0</v>
      </c>
      <c r="AD34" s="101" t="e">
        <f t="shared" si="53"/>
        <v>#DIV/0!</v>
      </c>
      <c r="AE34" s="237"/>
      <c r="AF34" s="101" t="e">
        <f t="shared" si="54"/>
        <v>#DIV/0!</v>
      </c>
      <c r="AG34" s="237"/>
      <c r="AH34" s="101" t="e">
        <f t="shared" si="55"/>
        <v>#DIV/0!</v>
      </c>
      <c r="AI34" s="237"/>
      <c r="AJ34" s="101" t="e">
        <f t="shared" si="56"/>
        <v>#DIV/0!</v>
      </c>
      <c r="AK34" s="237"/>
      <c r="AL34" s="101" t="e">
        <f t="shared" si="57"/>
        <v>#DIV/0!</v>
      </c>
    </row>
    <row r="35" spans="2:38" ht="12">
      <c r="B35" s="98"/>
      <c r="C35" s="83"/>
      <c r="D35" s="341">
        <f t="shared" si="21"/>
        <v>46020</v>
      </c>
      <c r="E35" s="341" t="s">
        <v>628</v>
      </c>
      <c r="F35" s="88">
        <f t="shared" si="20"/>
        <v>0</v>
      </c>
      <c r="G35" s="351"/>
      <c r="H35" s="479"/>
      <c r="I35" s="237"/>
      <c r="J35" s="101" t="e">
        <f t="shared" si="40"/>
        <v>#DIV/0!</v>
      </c>
      <c r="K35" s="237"/>
      <c r="L35" s="101" t="e">
        <f t="shared" si="41"/>
        <v>#DIV/0!</v>
      </c>
      <c r="M35" s="106">
        <f t="shared" si="42"/>
        <v>0</v>
      </c>
      <c r="N35" s="101" t="e">
        <f t="shared" si="43"/>
        <v>#DIV/0!</v>
      </c>
      <c r="O35" s="237"/>
      <c r="P35" s="101" t="e">
        <f t="shared" si="44"/>
        <v>#DIV/0!</v>
      </c>
      <c r="Q35" s="237"/>
      <c r="R35" s="101">
        <f t="shared" si="45"/>
        <v>0</v>
      </c>
      <c r="S35" s="106">
        <f t="shared" si="46"/>
        <v>0</v>
      </c>
      <c r="T35" s="101" t="e">
        <f t="shared" si="47"/>
        <v>#DIV/0!</v>
      </c>
      <c r="U35" s="237"/>
      <c r="V35" s="101" t="e">
        <f t="shared" si="48"/>
        <v>#DIV/0!</v>
      </c>
      <c r="W35" s="237"/>
      <c r="X35" s="101" t="e">
        <f t="shared" si="49"/>
        <v>#DIV/0!</v>
      </c>
      <c r="Y35" s="237"/>
      <c r="Z35" s="101" t="e">
        <f t="shared" si="50"/>
        <v>#DIV/0!</v>
      </c>
      <c r="AA35" s="237"/>
      <c r="AB35" s="101">
        <f t="shared" si="51"/>
        <v>0</v>
      </c>
      <c r="AC35" s="106">
        <f t="shared" si="52"/>
        <v>0</v>
      </c>
      <c r="AD35" s="101" t="e">
        <f t="shared" si="53"/>
        <v>#DIV/0!</v>
      </c>
      <c r="AE35" s="237"/>
      <c r="AF35" s="101" t="e">
        <f t="shared" si="54"/>
        <v>#DIV/0!</v>
      </c>
      <c r="AG35" s="237"/>
      <c r="AH35" s="101" t="e">
        <f t="shared" si="55"/>
        <v>#DIV/0!</v>
      </c>
      <c r="AI35" s="237"/>
      <c r="AJ35" s="101" t="e">
        <f t="shared" si="56"/>
        <v>#DIV/0!</v>
      </c>
      <c r="AK35" s="237"/>
      <c r="AL35" s="101" t="e">
        <f t="shared" si="57"/>
        <v>#DIV/0!</v>
      </c>
    </row>
    <row r="36" spans="2:38" ht="12">
      <c r="B36" s="98"/>
      <c r="C36" s="83"/>
      <c r="D36" s="86">
        <f t="shared" si="21"/>
        <v>46021</v>
      </c>
      <c r="E36" s="86" t="s">
        <v>629</v>
      </c>
      <c r="F36" s="88">
        <f t="shared" si="20"/>
        <v>0</v>
      </c>
      <c r="G36" s="351">
        <f>SUM(F36:F42)</f>
        <v>0</v>
      </c>
      <c r="H36" s="479"/>
      <c r="I36" s="237"/>
      <c r="J36" s="101" t="e">
        <f t="shared" si="40"/>
        <v>#DIV/0!</v>
      </c>
      <c r="K36" s="237"/>
      <c r="L36" s="101" t="e">
        <f t="shared" si="41"/>
        <v>#DIV/0!</v>
      </c>
      <c r="M36" s="106">
        <f t="shared" si="42"/>
        <v>0</v>
      </c>
      <c r="N36" s="101" t="e">
        <f t="shared" si="43"/>
        <v>#DIV/0!</v>
      </c>
      <c r="O36" s="237"/>
      <c r="P36" s="101" t="e">
        <f t="shared" si="44"/>
        <v>#DIV/0!</v>
      </c>
      <c r="Q36" s="237"/>
      <c r="R36" s="101">
        <f t="shared" si="45"/>
        <v>0</v>
      </c>
      <c r="S36" s="106">
        <f t="shared" si="46"/>
        <v>0</v>
      </c>
      <c r="T36" s="101" t="e">
        <f t="shared" si="47"/>
        <v>#DIV/0!</v>
      </c>
      <c r="U36" s="237"/>
      <c r="V36" s="101" t="e">
        <f t="shared" si="48"/>
        <v>#DIV/0!</v>
      </c>
      <c r="W36" s="237"/>
      <c r="X36" s="101" t="e">
        <f t="shared" si="49"/>
        <v>#DIV/0!</v>
      </c>
      <c r="Y36" s="237"/>
      <c r="Z36" s="101" t="e">
        <f t="shared" si="50"/>
        <v>#DIV/0!</v>
      </c>
      <c r="AA36" s="237"/>
      <c r="AB36" s="101">
        <f t="shared" si="51"/>
        <v>0</v>
      </c>
      <c r="AC36" s="106">
        <f t="shared" si="52"/>
        <v>0</v>
      </c>
      <c r="AD36" s="101" t="e">
        <f t="shared" si="53"/>
        <v>#DIV/0!</v>
      </c>
      <c r="AE36" s="237"/>
      <c r="AF36" s="101" t="e">
        <f t="shared" si="54"/>
        <v>#DIV/0!</v>
      </c>
      <c r="AG36" s="237"/>
      <c r="AH36" s="101" t="e">
        <f t="shared" si="55"/>
        <v>#DIV/0!</v>
      </c>
      <c r="AI36" s="237"/>
      <c r="AJ36" s="101" t="e">
        <f t="shared" si="56"/>
        <v>#DIV/0!</v>
      </c>
      <c r="AK36" s="237"/>
      <c r="AL36" s="101" t="e">
        <f t="shared" si="57"/>
        <v>#DIV/0!</v>
      </c>
    </row>
    <row r="37" spans="2:38" ht="12">
      <c r="B37" s="98"/>
      <c r="C37" s="83"/>
      <c r="D37" s="86">
        <f t="shared" si="21"/>
        <v>46022</v>
      </c>
      <c r="E37" s="86" t="s">
        <v>630</v>
      </c>
      <c r="F37" s="88">
        <f t="shared" si="20"/>
        <v>0</v>
      </c>
      <c r="G37" s="351"/>
      <c r="H37" s="479"/>
      <c r="I37" s="237"/>
      <c r="J37" s="101" t="e">
        <f t="shared" si="40"/>
        <v>#DIV/0!</v>
      </c>
      <c r="K37" s="237"/>
      <c r="L37" s="101" t="e">
        <f t="shared" si="41"/>
        <v>#DIV/0!</v>
      </c>
      <c r="M37" s="106">
        <f t="shared" si="42"/>
        <v>0</v>
      </c>
      <c r="N37" s="101" t="e">
        <f t="shared" si="43"/>
        <v>#DIV/0!</v>
      </c>
      <c r="O37" s="237"/>
      <c r="P37" s="101" t="e">
        <f t="shared" si="44"/>
        <v>#DIV/0!</v>
      </c>
      <c r="Q37" s="237"/>
      <c r="R37" s="101">
        <f t="shared" si="45"/>
        <v>0</v>
      </c>
      <c r="S37" s="106">
        <f t="shared" si="46"/>
        <v>0</v>
      </c>
      <c r="T37" s="101" t="e">
        <f t="shared" si="47"/>
        <v>#DIV/0!</v>
      </c>
      <c r="U37" s="237"/>
      <c r="V37" s="101" t="e">
        <f t="shared" si="48"/>
        <v>#DIV/0!</v>
      </c>
      <c r="W37" s="237"/>
      <c r="X37" s="101" t="e">
        <f t="shared" si="49"/>
        <v>#DIV/0!</v>
      </c>
      <c r="Y37" s="237"/>
      <c r="Z37" s="101" t="e">
        <f t="shared" si="50"/>
        <v>#DIV/0!</v>
      </c>
      <c r="AA37" s="237"/>
      <c r="AB37" s="101">
        <f t="shared" si="51"/>
        <v>0</v>
      </c>
      <c r="AC37" s="106">
        <f t="shared" si="52"/>
        <v>0</v>
      </c>
      <c r="AD37" s="101" t="e">
        <f t="shared" si="53"/>
        <v>#DIV/0!</v>
      </c>
      <c r="AE37" s="237"/>
      <c r="AF37" s="101" t="e">
        <f t="shared" si="54"/>
        <v>#DIV/0!</v>
      </c>
      <c r="AG37" s="237"/>
      <c r="AH37" s="101" t="e">
        <f t="shared" si="55"/>
        <v>#DIV/0!</v>
      </c>
      <c r="AI37" s="237"/>
      <c r="AJ37" s="101" t="e">
        <f t="shared" si="56"/>
        <v>#DIV/0!</v>
      </c>
      <c r="AK37" s="237"/>
      <c r="AL37" s="101" t="e">
        <f t="shared" si="57"/>
        <v>#DIV/0!</v>
      </c>
    </row>
    <row r="38" spans="2:38" ht="12">
      <c r="B38" s="98"/>
      <c r="C38" s="83"/>
      <c r="D38" s="86">
        <f t="shared" si="21"/>
        <v>46023</v>
      </c>
      <c r="E38" s="86" t="s">
        <v>631</v>
      </c>
      <c r="F38" s="88">
        <f t="shared" si="20"/>
        <v>0</v>
      </c>
      <c r="G38" s="351"/>
      <c r="H38" s="479"/>
      <c r="I38" s="237"/>
      <c r="J38" s="101" t="e">
        <f t="shared" si="40"/>
        <v>#DIV/0!</v>
      </c>
      <c r="K38" s="237"/>
      <c r="L38" s="101" t="e">
        <f t="shared" si="41"/>
        <v>#DIV/0!</v>
      </c>
      <c r="M38" s="106">
        <f t="shared" si="42"/>
        <v>0</v>
      </c>
      <c r="N38" s="101" t="e">
        <f t="shared" si="43"/>
        <v>#DIV/0!</v>
      </c>
      <c r="O38" s="237"/>
      <c r="P38" s="101" t="e">
        <f t="shared" si="44"/>
        <v>#DIV/0!</v>
      </c>
      <c r="Q38" s="237"/>
      <c r="R38" s="101">
        <f t="shared" si="45"/>
        <v>0</v>
      </c>
      <c r="S38" s="106">
        <f t="shared" si="46"/>
        <v>0</v>
      </c>
      <c r="T38" s="101" t="e">
        <f t="shared" si="47"/>
        <v>#DIV/0!</v>
      </c>
      <c r="U38" s="237"/>
      <c r="V38" s="101" t="e">
        <f t="shared" si="48"/>
        <v>#DIV/0!</v>
      </c>
      <c r="W38" s="237"/>
      <c r="X38" s="101" t="e">
        <f t="shared" si="49"/>
        <v>#DIV/0!</v>
      </c>
      <c r="Y38" s="237"/>
      <c r="Z38" s="101" t="e">
        <f t="shared" si="50"/>
        <v>#DIV/0!</v>
      </c>
      <c r="AA38" s="237"/>
      <c r="AB38" s="101">
        <f t="shared" si="51"/>
        <v>0</v>
      </c>
      <c r="AC38" s="106">
        <f t="shared" si="52"/>
        <v>0</v>
      </c>
      <c r="AD38" s="101" t="e">
        <f t="shared" si="53"/>
        <v>#DIV/0!</v>
      </c>
      <c r="AE38" s="237"/>
      <c r="AF38" s="101" t="e">
        <f t="shared" si="54"/>
        <v>#DIV/0!</v>
      </c>
      <c r="AG38" s="237"/>
      <c r="AH38" s="101" t="e">
        <f t="shared" si="55"/>
        <v>#DIV/0!</v>
      </c>
      <c r="AI38" s="237"/>
      <c r="AJ38" s="101" t="e">
        <f t="shared" si="56"/>
        <v>#DIV/0!</v>
      </c>
      <c r="AK38" s="237"/>
      <c r="AL38" s="101" t="e">
        <f t="shared" si="57"/>
        <v>#DIV/0!</v>
      </c>
    </row>
    <row r="39" spans="2:38" s="464" customFormat="1" ht="12">
      <c r="B39" s="457"/>
      <c r="C39" s="458"/>
      <c r="D39" s="86">
        <f t="shared" si="21"/>
        <v>46024</v>
      </c>
      <c r="E39" s="86" t="s">
        <v>632</v>
      </c>
      <c r="F39" s="459">
        <f t="shared" si="20"/>
        <v>0</v>
      </c>
      <c r="G39" s="460"/>
      <c r="H39" s="479"/>
      <c r="I39" s="461"/>
      <c r="J39" s="462" t="e">
        <f t="shared" si="40"/>
        <v>#DIV/0!</v>
      </c>
      <c r="K39" s="461"/>
      <c r="L39" s="462" t="e">
        <f t="shared" si="41"/>
        <v>#DIV/0!</v>
      </c>
      <c r="M39" s="463">
        <f t="shared" si="42"/>
        <v>0</v>
      </c>
      <c r="N39" s="462" t="e">
        <f t="shared" si="43"/>
        <v>#DIV/0!</v>
      </c>
      <c r="O39" s="461"/>
      <c r="P39" s="462" t="e">
        <f t="shared" si="44"/>
        <v>#DIV/0!</v>
      </c>
      <c r="Q39" s="461"/>
      <c r="R39" s="462">
        <f t="shared" si="45"/>
        <v>0</v>
      </c>
      <c r="S39" s="463">
        <f t="shared" si="46"/>
        <v>0</v>
      </c>
      <c r="T39" s="462" t="e">
        <f t="shared" si="47"/>
        <v>#DIV/0!</v>
      </c>
      <c r="U39" s="461"/>
      <c r="V39" s="462" t="e">
        <f t="shared" si="48"/>
        <v>#DIV/0!</v>
      </c>
      <c r="W39" s="461"/>
      <c r="X39" s="462" t="e">
        <f t="shared" si="49"/>
        <v>#DIV/0!</v>
      </c>
      <c r="Y39" s="461"/>
      <c r="Z39" s="462" t="e">
        <f t="shared" si="50"/>
        <v>#DIV/0!</v>
      </c>
      <c r="AA39" s="461"/>
      <c r="AB39" s="462">
        <f t="shared" si="51"/>
        <v>0</v>
      </c>
      <c r="AC39" s="463">
        <f t="shared" si="52"/>
        <v>0</v>
      </c>
      <c r="AD39" s="462" t="e">
        <f t="shared" si="53"/>
        <v>#DIV/0!</v>
      </c>
      <c r="AE39" s="461"/>
      <c r="AF39" s="462" t="e">
        <f t="shared" si="54"/>
        <v>#DIV/0!</v>
      </c>
      <c r="AG39" s="461"/>
      <c r="AH39" s="462" t="e">
        <f t="shared" si="55"/>
        <v>#DIV/0!</v>
      </c>
      <c r="AI39" s="461"/>
      <c r="AJ39" s="462" t="e">
        <f t="shared" si="56"/>
        <v>#DIV/0!</v>
      </c>
      <c r="AK39" s="461"/>
      <c r="AL39" s="462" t="e">
        <f t="shared" si="57"/>
        <v>#DIV/0!</v>
      </c>
    </row>
    <row r="40" spans="2:38" ht="12">
      <c r="B40" s="98"/>
      <c r="C40" s="83"/>
      <c r="D40" s="86">
        <f t="shared" si="21"/>
        <v>46025</v>
      </c>
      <c r="E40" s="86" t="s">
        <v>633</v>
      </c>
      <c r="F40" s="88">
        <f t="shared" si="20"/>
        <v>0</v>
      </c>
      <c r="G40" s="351"/>
      <c r="H40" s="88"/>
      <c r="I40" s="237"/>
      <c r="J40" s="101" t="e">
        <f t="shared" si="40"/>
        <v>#DIV/0!</v>
      </c>
      <c r="K40" s="237"/>
      <c r="L40" s="101" t="e">
        <f t="shared" si="41"/>
        <v>#DIV/0!</v>
      </c>
      <c r="M40" s="106">
        <f t="shared" si="42"/>
        <v>0</v>
      </c>
      <c r="N40" s="101" t="e">
        <f t="shared" si="43"/>
        <v>#DIV/0!</v>
      </c>
      <c r="O40" s="237"/>
      <c r="P40" s="101" t="e">
        <f t="shared" si="44"/>
        <v>#DIV/0!</v>
      </c>
      <c r="Q40" s="237"/>
      <c r="R40" s="101">
        <f t="shared" si="45"/>
        <v>0</v>
      </c>
      <c r="S40" s="106">
        <f t="shared" si="46"/>
        <v>0</v>
      </c>
      <c r="T40" s="101" t="e">
        <f t="shared" si="47"/>
        <v>#DIV/0!</v>
      </c>
      <c r="U40" s="237"/>
      <c r="V40" s="101" t="e">
        <f t="shared" si="48"/>
        <v>#DIV/0!</v>
      </c>
      <c r="W40" s="237"/>
      <c r="X40" s="101" t="e">
        <f t="shared" si="49"/>
        <v>#DIV/0!</v>
      </c>
      <c r="Y40" s="237"/>
      <c r="Z40" s="101" t="e">
        <f t="shared" si="50"/>
        <v>#DIV/0!</v>
      </c>
      <c r="AA40" s="237"/>
      <c r="AB40" s="101">
        <f t="shared" si="51"/>
        <v>0</v>
      </c>
      <c r="AC40" s="106">
        <f t="shared" si="52"/>
        <v>0</v>
      </c>
      <c r="AD40" s="101" t="e">
        <f t="shared" si="53"/>
        <v>#DIV/0!</v>
      </c>
      <c r="AE40" s="237"/>
      <c r="AF40" s="101" t="e">
        <f t="shared" si="54"/>
        <v>#DIV/0!</v>
      </c>
      <c r="AG40" s="237"/>
      <c r="AH40" s="101" t="e">
        <f t="shared" si="55"/>
        <v>#DIV/0!</v>
      </c>
      <c r="AI40" s="237"/>
      <c r="AJ40" s="101" t="e">
        <f t="shared" si="56"/>
        <v>#DIV/0!</v>
      </c>
      <c r="AK40" s="237"/>
      <c r="AL40" s="101" t="e">
        <f t="shared" si="57"/>
        <v>#DIV/0!</v>
      </c>
    </row>
    <row r="41" spans="2:38" ht="12">
      <c r="B41" s="98"/>
      <c r="C41" s="83"/>
      <c r="D41" s="86">
        <f t="shared" si="21"/>
        <v>46026</v>
      </c>
      <c r="E41" s="86" t="s">
        <v>634</v>
      </c>
      <c r="F41" s="88">
        <f t="shared" si="20"/>
        <v>0</v>
      </c>
      <c r="G41" s="351"/>
      <c r="H41" s="88"/>
      <c r="I41" s="237"/>
      <c r="J41" s="101" t="e">
        <f t="shared" si="40"/>
        <v>#DIV/0!</v>
      </c>
      <c r="K41" s="237"/>
      <c r="L41" s="101" t="e">
        <f t="shared" si="41"/>
        <v>#DIV/0!</v>
      </c>
      <c r="M41" s="106">
        <f t="shared" si="42"/>
        <v>0</v>
      </c>
      <c r="N41" s="101" t="e">
        <f t="shared" si="43"/>
        <v>#DIV/0!</v>
      </c>
      <c r="O41" s="237"/>
      <c r="P41" s="101" t="e">
        <f t="shared" si="44"/>
        <v>#DIV/0!</v>
      </c>
      <c r="Q41" s="237"/>
      <c r="R41" s="101">
        <f t="shared" si="45"/>
        <v>0</v>
      </c>
      <c r="S41" s="106">
        <f t="shared" si="46"/>
        <v>0</v>
      </c>
      <c r="T41" s="101" t="e">
        <f t="shared" si="47"/>
        <v>#DIV/0!</v>
      </c>
      <c r="U41" s="237"/>
      <c r="V41" s="101" t="e">
        <f t="shared" si="48"/>
        <v>#DIV/0!</v>
      </c>
      <c r="W41" s="237"/>
      <c r="X41" s="101" t="e">
        <f t="shared" si="49"/>
        <v>#DIV/0!</v>
      </c>
      <c r="Y41" s="237"/>
      <c r="Z41" s="101" t="e">
        <f t="shared" si="50"/>
        <v>#DIV/0!</v>
      </c>
      <c r="AA41" s="237"/>
      <c r="AB41" s="101">
        <f t="shared" si="51"/>
        <v>0</v>
      </c>
      <c r="AC41" s="106">
        <f t="shared" si="52"/>
        <v>0</v>
      </c>
      <c r="AD41" s="101" t="e">
        <f t="shared" si="53"/>
        <v>#DIV/0!</v>
      </c>
      <c r="AE41" s="237"/>
      <c r="AF41" s="101" t="e">
        <f t="shared" si="54"/>
        <v>#DIV/0!</v>
      </c>
      <c r="AG41" s="237"/>
      <c r="AH41" s="101" t="e">
        <f t="shared" si="55"/>
        <v>#DIV/0!</v>
      </c>
      <c r="AI41" s="237"/>
      <c r="AJ41" s="101" t="e">
        <f t="shared" si="56"/>
        <v>#DIV/0!</v>
      </c>
      <c r="AK41" s="237"/>
      <c r="AL41" s="101" t="e">
        <f t="shared" si="57"/>
        <v>#DIV/0!</v>
      </c>
    </row>
    <row r="42" spans="2:38" ht="12">
      <c r="B42" s="98"/>
      <c r="C42" s="83"/>
      <c r="D42" s="86">
        <f t="shared" si="21"/>
        <v>46027</v>
      </c>
      <c r="E42" s="86" t="s">
        <v>628</v>
      </c>
      <c r="F42" s="88">
        <f t="shared" si="20"/>
        <v>0</v>
      </c>
      <c r="G42" s="351"/>
      <c r="H42" s="88"/>
      <c r="I42" s="237"/>
      <c r="J42" s="101" t="e">
        <f>I42/F42</f>
        <v>#DIV/0!</v>
      </c>
      <c r="K42" s="237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7"/>
      <c r="P42" s="101" t="e">
        <f>O42/F42</f>
        <v>#DIV/0!</v>
      </c>
      <c r="Q42" s="237"/>
      <c r="R42" s="101">
        <f>Q42/D42</f>
        <v>0</v>
      </c>
      <c r="S42" s="106">
        <f t="shared" si="46"/>
        <v>0</v>
      </c>
      <c r="T42" s="101" t="e">
        <f>S42/F42</f>
        <v>#DIV/0!</v>
      </c>
      <c r="U42" s="237"/>
      <c r="V42" s="101" t="e">
        <f>U42/F42</f>
        <v>#DIV/0!</v>
      </c>
      <c r="W42" s="237"/>
      <c r="X42" s="101" t="e">
        <f>W42/F42</f>
        <v>#DIV/0!</v>
      </c>
      <c r="Y42" s="237"/>
      <c r="Z42" s="101" t="e">
        <f>Y42/F42</f>
        <v>#DIV/0!</v>
      </c>
      <c r="AA42" s="237"/>
      <c r="AB42" s="101">
        <f>AA42/D42</f>
        <v>0</v>
      </c>
      <c r="AC42" s="106">
        <f>SUM(Y42+AA42)</f>
        <v>0</v>
      </c>
      <c r="AD42" s="101" t="e">
        <f>AC42/F42</f>
        <v>#DIV/0!</v>
      </c>
      <c r="AE42" s="237"/>
      <c r="AF42" s="101" t="e">
        <f>AE42/F42</f>
        <v>#DIV/0!</v>
      </c>
      <c r="AG42" s="237"/>
      <c r="AH42" s="101" t="e">
        <f>AG42/F42</f>
        <v>#DIV/0!</v>
      </c>
      <c r="AI42" s="237"/>
      <c r="AJ42" s="101" t="e">
        <f>AI42/F42</f>
        <v>#DIV/0!</v>
      </c>
      <c r="AK42" s="237"/>
      <c r="AL42" s="101" t="e">
        <f>AK42/F42</f>
        <v>#DIV/0!</v>
      </c>
    </row>
    <row r="43" spans="2:38" ht="12">
      <c r="B43" s="98"/>
      <c r="C43" s="83"/>
      <c r="D43" s="86"/>
      <c r="E43" s="86"/>
      <c r="F43" s="88">
        <f t="shared" ref="F43" si="58">SUM(M43,S43,U43,W43,AC43,AE43,AG43,AI43,AK43)</f>
        <v>0</v>
      </c>
      <c r="G43" s="351"/>
      <c r="H43" s="88"/>
      <c r="I43" s="237"/>
      <c r="J43" s="101" t="e">
        <f>I43/F43</f>
        <v>#DIV/0!</v>
      </c>
      <c r="K43" s="237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7"/>
      <c r="P43" s="101" t="e">
        <f>O43/F43</f>
        <v>#DIV/0!</v>
      </c>
      <c r="Q43" s="237"/>
      <c r="R43" s="101" t="e">
        <f>Q43/D43</f>
        <v>#DIV/0!</v>
      </c>
      <c r="S43" s="106">
        <f t="shared" ref="S43" si="59">SUM(O43+Q43)</f>
        <v>0</v>
      </c>
      <c r="T43" s="101" t="e">
        <f>S43/F43</f>
        <v>#DIV/0!</v>
      </c>
      <c r="U43" s="237"/>
      <c r="V43" s="101" t="e">
        <f>U43/F43</f>
        <v>#DIV/0!</v>
      </c>
      <c r="W43" s="237"/>
      <c r="X43" s="101" t="e">
        <f>W43/F43</f>
        <v>#DIV/0!</v>
      </c>
      <c r="Y43" s="237"/>
      <c r="Z43" s="101" t="e">
        <f>Y43/F43</f>
        <v>#DIV/0!</v>
      </c>
      <c r="AA43" s="237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37"/>
      <c r="AF43" s="101" t="e">
        <f>AE43/F43</f>
        <v>#DIV/0!</v>
      </c>
      <c r="AG43" s="237"/>
      <c r="AH43" s="101" t="e">
        <f>AG43/F43</f>
        <v>#DIV/0!</v>
      </c>
      <c r="AI43" s="237"/>
      <c r="AJ43" s="101" t="e">
        <f>AI43/F43</f>
        <v>#DIV/0!</v>
      </c>
      <c r="AK43" s="237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20"/>
        <v>0</v>
      </c>
      <c r="G44" s="351"/>
      <c r="H44" s="88"/>
      <c r="I44" s="237"/>
      <c r="J44" s="101" t="e">
        <f>I44/F44</f>
        <v>#DIV/0!</v>
      </c>
      <c r="K44" s="237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7"/>
      <c r="P44" s="101" t="e">
        <f>O44/F44</f>
        <v>#DIV/0!</v>
      </c>
      <c r="Q44" s="237"/>
      <c r="R44" s="101" t="e">
        <f>Q44/D44</f>
        <v>#DIV/0!</v>
      </c>
      <c r="S44" s="106">
        <f t="shared" si="46"/>
        <v>0</v>
      </c>
      <c r="T44" s="101" t="e">
        <f>S44/F44</f>
        <v>#DIV/0!</v>
      </c>
      <c r="U44" s="237"/>
      <c r="V44" s="101" t="e">
        <f>U44/F44</f>
        <v>#DIV/0!</v>
      </c>
      <c r="W44" s="237"/>
      <c r="X44" s="101" t="e">
        <f>W44/F44</f>
        <v>#DIV/0!</v>
      </c>
      <c r="Y44" s="237"/>
      <c r="Z44" s="101" t="e">
        <f>Y44/F44</f>
        <v>#DIV/0!</v>
      </c>
      <c r="AA44" s="237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37"/>
      <c r="AF44" s="101" t="e">
        <f>AE44/F44</f>
        <v>#DIV/0!</v>
      </c>
      <c r="AG44" s="237"/>
      <c r="AH44" s="101" t="e">
        <f>AG44/F44</f>
        <v>#DIV/0!</v>
      </c>
      <c r="AI44" s="237"/>
      <c r="AJ44" s="101" t="e">
        <f>AI44/F44</f>
        <v>#DIV/0!</v>
      </c>
      <c r="AK44" s="237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20"/>
        <v>0</v>
      </c>
      <c r="G45" s="351"/>
      <c r="H45" s="88"/>
      <c r="I45" s="237"/>
      <c r="J45" s="101" t="e">
        <f>I45/F45</f>
        <v>#DIV/0!</v>
      </c>
      <c r="K45" s="237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7"/>
      <c r="P45" s="101" t="e">
        <f>O45/F45</f>
        <v>#DIV/0!</v>
      </c>
      <c r="Q45" s="237"/>
      <c r="R45" s="101" t="e">
        <f>Q45/D45</f>
        <v>#DIV/0!</v>
      </c>
      <c r="S45" s="106">
        <f t="shared" si="46"/>
        <v>0</v>
      </c>
      <c r="T45" s="101" t="e">
        <f>S45/F45</f>
        <v>#DIV/0!</v>
      </c>
      <c r="U45" s="237"/>
      <c r="V45" s="101" t="e">
        <f>U45/F45</f>
        <v>#DIV/0!</v>
      </c>
      <c r="W45" s="237"/>
      <c r="X45" s="101" t="e">
        <f>W45/F45</f>
        <v>#DIV/0!</v>
      </c>
      <c r="Y45" s="237"/>
      <c r="Z45" s="101" t="e">
        <f>Y45/F45</f>
        <v>#DIV/0!</v>
      </c>
      <c r="AA45" s="237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37"/>
      <c r="AF45" s="101" t="e">
        <f>AE45/F45</f>
        <v>#DIV/0!</v>
      </c>
      <c r="AG45" s="237"/>
      <c r="AH45" s="101" t="e">
        <f>AG45/F45</f>
        <v>#DIV/0!</v>
      </c>
      <c r="AI45" s="237"/>
      <c r="AJ45" s="101" t="e">
        <f>AI45/F45</f>
        <v>#DIV/0!</v>
      </c>
      <c r="AK45" s="237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94">
        <f>SUM(I7:I44)</f>
        <v>400783</v>
      </c>
      <c r="J46" s="293">
        <f>I46/$H$12</f>
        <v>0.12763415848962387</v>
      </c>
      <c r="K46" s="294">
        <f>SUM(K7:K44)</f>
        <v>614398</v>
      </c>
      <c r="L46" s="293">
        <f>K46/$H$12</f>
        <v>0.19566242008195939</v>
      </c>
      <c r="M46" s="294">
        <f>SUM(M7:M44)</f>
        <v>1015181</v>
      </c>
      <c r="N46" s="293">
        <f>M46/$H$12</f>
        <v>0.32329657857158323</v>
      </c>
      <c r="O46" s="294">
        <f>SUM(O7:O44)</f>
        <v>85216</v>
      </c>
      <c r="P46" s="293">
        <f>O46/$H$12</f>
        <v>2.7138058375359701E-2</v>
      </c>
      <c r="Q46" s="294">
        <f>SUM(Q7:Q44)</f>
        <v>48804</v>
      </c>
      <c r="R46" s="293">
        <f>Q46/$H$12</f>
        <v>1.5542219782095556E-2</v>
      </c>
      <c r="S46" s="294">
        <f>SUM(S7:S44)</f>
        <v>134020</v>
      </c>
      <c r="T46" s="293">
        <f>S46/$H$12</f>
        <v>4.2680278157455259E-2</v>
      </c>
      <c r="U46" s="294">
        <f>SUM(U7:U44)</f>
        <v>310989</v>
      </c>
      <c r="V46" s="293">
        <f>U46/$H$12</f>
        <v>9.9038181046924745E-2</v>
      </c>
      <c r="W46" s="294">
        <f>SUM(W7:W44)</f>
        <v>9911</v>
      </c>
      <c r="X46" s="293">
        <f>W46/$H$12</f>
        <v>3.1562769498473292E-3</v>
      </c>
      <c r="Y46" s="294">
        <f>SUM(Y7:Y44)</f>
        <v>321662</v>
      </c>
      <c r="Z46" s="293">
        <f>Y46/$H$12</f>
        <v>0.10243712604598847</v>
      </c>
      <c r="AA46" s="294">
        <f>SUM(AA7:AA44)</f>
        <v>346389</v>
      </c>
      <c r="AB46" s="293">
        <f>AA46/$H$12</f>
        <v>0.11031173608926108</v>
      </c>
      <c r="AC46" s="294">
        <f>SUM(AC7:AC44)</f>
        <v>668051</v>
      </c>
      <c r="AD46" s="293">
        <f>AC46/$H$12</f>
        <v>0.21274886213524954</v>
      </c>
      <c r="AE46" s="294">
        <f>SUM(AE7:AE44)</f>
        <v>254247</v>
      </c>
      <c r="AF46" s="293">
        <f>AE46/$H$12</f>
        <v>8.0968009854488335E-2</v>
      </c>
      <c r="AG46" s="294">
        <f>SUM(AG7:AG44)</f>
        <v>326981</v>
      </c>
      <c r="AH46" s="293">
        <f>AG46/$H$12</f>
        <v>0.10413102546040053</v>
      </c>
      <c r="AI46" s="294">
        <f>SUM(AI7:AI44)</f>
        <v>170644</v>
      </c>
      <c r="AJ46" s="293">
        <f>AI46/$H$12</f>
        <v>5.4343630696170687E-2</v>
      </c>
      <c r="AK46" s="294">
        <f>SUM(AK7:AK44)</f>
        <v>250068</v>
      </c>
      <c r="AL46" s="293">
        <f>AK46/$H$12</f>
        <v>7.9637157127880331E-2</v>
      </c>
    </row>
    <row r="47" spans="2:38" ht="12">
      <c r="B47" s="98"/>
      <c r="C47" s="83"/>
      <c r="D47" s="84"/>
      <c r="F47" s="88"/>
      <c r="G47" s="88"/>
      <c r="H47" s="88"/>
      <c r="M47" s="295">
        <f>M46</f>
        <v>1015181</v>
      </c>
      <c r="S47" s="295">
        <f>S46</f>
        <v>134020</v>
      </c>
      <c r="U47" s="295">
        <f>U46</f>
        <v>310989</v>
      </c>
      <c r="W47" s="295">
        <f>W46</f>
        <v>9911</v>
      </c>
      <c r="Y47" s="295"/>
      <c r="AA47" s="295"/>
      <c r="AC47" s="295">
        <f>AC46</f>
        <v>668051</v>
      </c>
      <c r="AE47" s="295">
        <f>AE46</f>
        <v>254247</v>
      </c>
      <c r="AG47" s="295">
        <f>AG46</f>
        <v>326981</v>
      </c>
      <c r="AI47" s="295">
        <f>AI46</f>
        <v>170644</v>
      </c>
      <c r="AK47" s="295">
        <f>AK46</f>
        <v>250068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49" zoomScale="55" zoomScaleNormal="55" workbookViewId="0">
      <pane xSplit="15" topLeftCell="Z1" activePane="topRight" state="frozen"/>
      <selection activeCell="BB45" sqref="BB45"/>
      <selection pane="topRight" activeCell="AT77" sqref="AT77:AV95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333</v>
      </c>
      <c r="C1" s="222">
        <f>AVERAGE(L7,L42,L77,L112,L147,L182)</f>
        <v>771.60417923650721</v>
      </c>
    </row>
    <row r="2" spans="1:54" ht="15.5">
      <c r="A2" s="81"/>
      <c r="B2" s="631" t="s">
        <v>163</v>
      </c>
      <c r="C2" s="631"/>
      <c r="D2" s="631"/>
      <c r="E2" s="631"/>
      <c r="F2" s="631"/>
      <c r="G2" s="631"/>
      <c r="H2" s="631"/>
      <c r="I2" s="318"/>
      <c r="J2" s="318"/>
      <c r="K2" s="318"/>
      <c r="L2" s="318"/>
      <c r="M2" s="198"/>
      <c r="N2" s="620" t="s">
        <v>156</v>
      </c>
      <c r="O2" s="620" t="s">
        <v>155</v>
      </c>
      <c r="P2" s="648">
        <v>45986</v>
      </c>
      <c r="Q2" s="649"/>
      <c r="R2" s="649"/>
      <c r="S2" s="649"/>
      <c r="T2" s="650"/>
      <c r="U2" s="623">
        <f>P2+1</f>
        <v>45987</v>
      </c>
      <c r="V2" s="624"/>
      <c r="W2" s="624"/>
      <c r="X2" s="624"/>
      <c r="Y2" s="625"/>
      <c r="Z2" s="623">
        <f>U2+1</f>
        <v>45988</v>
      </c>
      <c r="AA2" s="624"/>
      <c r="AB2" s="624"/>
      <c r="AC2" s="624"/>
      <c r="AD2" s="625"/>
      <c r="AE2" s="623">
        <f>Z2+1</f>
        <v>45989</v>
      </c>
      <c r="AF2" s="624"/>
      <c r="AG2" s="624"/>
      <c r="AH2" s="624"/>
      <c r="AI2" s="625"/>
      <c r="AJ2" s="623">
        <f>AE2+1</f>
        <v>45990</v>
      </c>
      <c r="AK2" s="624"/>
      <c r="AL2" s="624"/>
      <c r="AM2" s="624"/>
      <c r="AN2" s="625"/>
      <c r="AO2" s="623">
        <f>AJ2+1</f>
        <v>45991</v>
      </c>
      <c r="AP2" s="624"/>
      <c r="AQ2" s="624"/>
      <c r="AR2" s="624"/>
      <c r="AS2" s="625"/>
      <c r="AT2" s="623">
        <f>AO2+1</f>
        <v>45992</v>
      </c>
      <c r="AU2" s="624"/>
      <c r="AV2" s="624"/>
      <c r="AW2" s="624"/>
      <c r="AX2" s="625"/>
    </row>
    <row r="3" spans="1:54" ht="15.5">
      <c r="A3" s="81"/>
      <c r="B3" s="651"/>
      <c r="C3" s="651"/>
      <c r="D3" s="651"/>
      <c r="E3" s="651"/>
      <c r="F3" s="651"/>
      <c r="G3" s="651"/>
      <c r="H3" s="651"/>
      <c r="I3" s="319"/>
      <c r="J3" s="319"/>
      <c r="K3" s="319"/>
      <c r="L3" s="319"/>
      <c r="M3" s="199"/>
      <c r="N3" s="622"/>
      <c r="O3" s="622"/>
      <c r="P3" s="626" t="s">
        <v>158</v>
      </c>
      <c r="Q3" s="627"/>
      <c r="R3" s="627"/>
      <c r="S3" s="627"/>
      <c r="T3" s="627"/>
      <c r="U3" s="626" t="s">
        <v>114</v>
      </c>
      <c r="V3" s="627"/>
      <c r="W3" s="627"/>
      <c r="X3" s="627"/>
      <c r="Y3" s="627"/>
      <c r="Z3" s="626" t="s">
        <v>159</v>
      </c>
      <c r="AA3" s="627"/>
      <c r="AB3" s="627"/>
      <c r="AC3" s="627"/>
      <c r="AD3" s="627"/>
      <c r="AE3" s="626" t="s">
        <v>157</v>
      </c>
      <c r="AF3" s="627"/>
      <c r="AG3" s="627"/>
      <c r="AH3" s="627"/>
      <c r="AI3" s="627"/>
      <c r="AJ3" s="626" t="s">
        <v>160</v>
      </c>
      <c r="AK3" s="627"/>
      <c r="AL3" s="627"/>
      <c r="AM3" s="627"/>
      <c r="AN3" s="627"/>
      <c r="AO3" s="626" t="s">
        <v>115</v>
      </c>
      <c r="AP3" s="627"/>
      <c r="AQ3" s="627"/>
      <c r="AR3" s="627"/>
      <c r="AS3" s="627"/>
      <c r="AT3" s="626" t="s">
        <v>162</v>
      </c>
      <c r="AU3" s="627"/>
      <c r="AV3" s="627"/>
      <c r="AW3" s="627"/>
      <c r="AX3" s="627"/>
    </row>
    <row r="4" spans="1:54">
      <c r="A4" s="81"/>
      <c r="B4" s="619" t="s">
        <v>484</v>
      </c>
      <c r="C4" s="619" t="s">
        <v>485</v>
      </c>
      <c r="D4" s="619"/>
      <c r="E4" s="619" t="s">
        <v>486</v>
      </c>
      <c r="F4" s="619"/>
      <c r="G4" s="619"/>
      <c r="H4" s="635" t="s">
        <v>487</v>
      </c>
      <c r="I4" s="603" t="s">
        <v>488</v>
      </c>
      <c r="J4" s="603"/>
      <c r="K4" s="603"/>
      <c r="L4" s="604" t="s">
        <v>487</v>
      </c>
      <c r="M4" s="610" t="s">
        <v>489</v>
      </c>
      <c r="N4" s="619"/>
      <c r="O4" s="619" t="s">
        <v>490</v>
      </c>
      <c r="P4" s="616" t="s">
        <v>491</v>
      </c>
      <c r="Q4" s="617"/>
      <c r="R4" s="617"/>
      <c r="S4" s="618"/>
      <c r="T4" s="619" t="s">
        <v>487</v>
      </c>
      <c r="U4" s="616" t="s">
        <v>491</v>
      </c>
      <c r="V4" s="617"/>
      <c r="W4" s="617"/>
      <c r="X4" s="618"/>
      <c r="Y4" s="619" t="s">
        <v>487</v>
      </c>
      <c r="Z4" s="616" t="s">
        <v>491</v>
      </c>
      <c r="AA4" s="617"/>
      <c r="AB4" s="617"/>
      <c r="AC4" s="618"/>
      <c r="AD4" s="619" t="s">
        <v>487</v>
      </c>
      <c r="AE4" s="616" t="s">
        <v>491</v>
      </c>
      <c r="AF4" s="617"/>
      <c r="AG4" s="617"/>
      <c r="AH4" s="618"/>
      <c r="AI4" s="619" t="s">
        <v>487</v>
      </c>
      <c r="AJ4" s="616" t="s">
        <v>491</v>
      </c>
      <c r="AK4" s="617"/>
      <c r="AL4" s="617"/>
      <c r="AM4" s="618"/>
      <c r="AN4" s="619" t="s">
        <v>487</v>
      </c>
      <c r="AO4" s="616" t="s">
        <v>491</v>
      </c>
      <c r="AP4" s="617"/>
      <c r="AQ4" s="617"/>
      <c r="AR4" s="618"/>
      <c r="AS4" s="619" t="s">
        <v>487</v>
      </c>
      <c r="AT4" s="616" t="s">
        <v>491</v>
      </c>
      <c r="AU4" s="617"/>
      <c r="AV4" s="617"/>
      <c r="AW4" s="618"/>
      <c r="AX4" s="619" t="s">
        <v>487</v>
      </c>
    </row>
    <row r="5" spans="1:54">
      <c r="A5" s="81"/>
      <c r="B5" s="619"/>
      <c r="C5" s="619"/>
      <c r="D5" s="619"/>
      <c r="E5" s="619" t="s">
        <v>492</v>
      </c>
      <c r="F5" s="619"/>
      <c r="G5" s="619"/>
      <c r="H5" s="636"/>
      <c r="I5" s="603" t="s">
        <v>492</v>
      </c>
      <c r="J5" s="603"/>
      <c r="K5" s="603"/>
      <c r="L5" s="605"/>
      <c r="M5" s="611"/>
      <c r="N5" s="619"/>
      <c r="O5" s="619"/>
      <c r="P5" s="616" t="s">
        <v>493</v>
      </c>
      <c r="Q5" s="617"/>
      <c r="R5" s="617"/>
      <c r="S5" s="618"/>
      <c r="T5" s="619"/>
      <c r="U5" s="616" t="s">
        <v>493</v>
      </c>
      <c r="V5" s="617"/>
      <c r="W5" s="617"/>
      <c r="X5" s="618"/>
      <c r="Y5" s="619"/>
      <c r="Z5" s="616" t="s">
        <v>493</v>
      </c>
      <c r="AA5" s="617"/>
      <c r="AB5" s="617"/>
      <c r="AC5" s="618"/>
      <c r="AD5" s="619"/>
      <c r="AE5" s="616" t="s">
        <v>493</v>
      </c>
      <c r="AF5" s="617"/>
      <c r="AG5" s="617"/>
      <c r="AH5" s="618"/>
      <c r="AI5" s="619"/>
      <c r="AJ5" s="616" t="s">
        <v>493</v>
      </c>
      <c r="AK5" s="617"/>
      <c r="AL5" s="617"/>
      <c r="AM5" s="618"/>
      <c r="AN5" s="619"/>
      <c r="AO5" s="616" t="s">
        <v>493</v>
      </c>
      <c r="AP5" s="617"/>
      <c r="AQ5" s="617"/>
      <c r="AR5" s="618"/>
      <c r="AS5" s="619"/>
      <c r="AT5" s="616" t="s">
        <v>493</v>
      </c>
      <c r="AU5" s="617"/>
      <c r="AV5" s="617"/>
      <c r="AW5" s="618"/>
      <c r="AX5" s="619"/>
    </row>
    <row r="6" spans="1:54">
      <c r="A6" s="79"/>
      <c r="B6" s="619"/>
      <c r="C6" s="619"/>
      <c r="D6" s="619"/>
      <c r="E6" s="473" t="s">
        <v>494</v>
      </c>
      <c r="F6" s="473" t="s">
        <v>495</v>
      </c>
      <c r="G6" s="473" t="s">
        <v>496</v>
      </c>
      <c r="H6" s="637"/>
      <c r="I6" s="474" t="s">
        <v>494</v>
      </c>
      <c r="J6" s="474" t="s">
        <v>495</v>
      </c>
      <c r="K6" s="474" t="s">
        <v>496</v>
      </c>
      <c r="L6" s="606"/>
      <c r="M6" s="612"/>
      <c r="N6" s="619"/>
      <c r="O6" s="619"/>
      <c r="P6" s="473" t="s">
        <v>494</v>
      </c>
      <c r="Q6" s="473" t="s">
        <v>495</v>
      </c>
      <c r="R6" s="473" t="s">
        <v>496</v>
      </c>
      <c r="S6" s="473" t="s">
        <v>489</v>
      </c>
      <c r="T6" s="619"/>
      <c r="U6" s="473" t="s">
        <v>494</v>
      </c>
      <c r="V6" s="473" t="s">
        <v>495</v>
      </c>
      <c r="W6" s="473" t="s">
        <v>496</v>
      </c>
      <c r="X6" s="473" t="s">
        <v>489</v>
      </c>
      <c r="Y6" s="619"/>
      <c r="Z6" s="473" t="s">
        <v>494</v>
      </c>
      <c r="AA6" s="473" t="s">
        <v>495</v>
      </c>
      <c r="AB6" s="473" t="s">
        <v>496</v>
      </c>
      <c r="AC6" s="473" t="s">
        <v>489</v>
      </c>
      <c r="AD6" s="619"/>
      <c r="AE6" s="473" t="s">
        <v>494</v>
      </c>
      <c r="AF6" s="473" t="s">
        <v>495</v>
      </c>
      <c r="AG6" s="473" t="s">
        <v>496</v>
      </c>
      <c r="AH6" s="473" t="s">
        <v>489</v>
      </c>
      <c r="AI6" s="619"/>
      <c r="AJ6" s="473" t="s">
        <v>494</v>
      </c>
      <c r="AK6" s="473" t="s">
        <v>495</v>
      </c>
      <c r="AL6" s="473" t="s">
        <v>496</v>
      </c>
      <c r="AM6" s="473" t="s">
        <v>489</v>
      </c>
      <c r="AN6" s="619"/>
      <c r="AO6" s="473" t="s">
        <v>494</v>
      </c>
      <c r="AP6" s="473" t="s">
        <v>495</v>
      </c>
      <c r="AQ6" s="473" t="s">
        <v>496</v>
      </c>
      <c r="AR6" s="473" t="s">
        <v>489</v>
      </c>
      <c r="AS6" s="619"/>
      <c r="AT6" s="473" t="s">
        <v>494</v>
      </c>
      <c r="AU6" s="473" t="s">
        <v>495</v>
      </c>
      <c r="AV6" s="473" t="s">
        <v>496</v>
      </c>
      <c r="AW6" s="473" t="s">
        <v>489</v>
      </c>
      <c r="AX6" s="619"/>
    </row>
    <row r="7" spans="1:54">
      <c r="A7" s="81"/>
      <c r="B7" s="627" t="s">
        <v>150</v>
      </c>
      <c r="C7" s="470">
        <v>1</v>
      </c>
      <c r="D7" s="470" t="s">
        <v>361</v>
      </c>
      <c r="E7" s="470">
        <v>4</v>
      </c>
      <c r="F7" s="470">
        <v>2200</v>
      </c>
      <c r="G7" s="470">
        <v>550</v>
      </c>
      <c r="H7" s="628">
        <f>AVERAGE(G7:G36)</f>
        <v>844.44444444444457</v>
      </c>
      <c r="I7" s="472">
        <f>AVERAGE(P7,U7,Z7,AE7,AJ7,AO7,AT7)</f>
        <v>4</v>
      </c>
      <c r="J7" s="472">
        <f>AVERAGE(Q7,V7,AA7,AF7,AK7,AP7,AU7)</f>
        <v>3130.344827586207</v>
      </c>
      <c r="K7" s="201">
        <f>AVERAGE(R7,W7,AB7,AG7,AL7,AQ7,AV7)</f>
        <v>782.58620689655174</v>
      </c>
      <c r="L7" s="600">
        <f>IFERROR(AVERAGE(K7:K36),"-")</f>
        <v>750.46279399048672</v>
      </c>
      <c r="M7" s="472">
        <f>RANK(K7, $K$7:K$36)</f>
        <v>9</v>
      </c>
      <c r="N7" s="619"/>
      <c r="O7" s="619"/>
      <c r="P7" s="183"/>
      <c r="Q7" s="183"/>
      <c r="R7" s="183"/>
      <c r="S7" s="470" t="e">
        <f>RANK(R7, R$7:R$36)</f>
        <v>#N/A</v>
      </c>
      <c r="T7" s="628" t="e">
        <f>AVERAGE(R7:R36)</f>
        <v>#DIV/0!</v>
      </c>
      <c r="U7" s="183"/>
      <c r="V7" s="183"/>
      <c r="W7" s="183"/>
      <c r="X7" s="470" t="e">
        <f t="shared" ref="X7:X36" si="0">RANK(W7, W$7:W$36)</f>
        <v>#N/A</v>
      </c>
      <c r="Y7" s="628" t="e">
        <f>AVERAGE(W7:W36)</f>
        <v>#DIV/0!</v>
      </c>
      <c r="Z7" s="183"/>
      <c r="AA7" s="183"/>
      <c r="AB7" s="183"/>
      <c r="AC7" s="470" t="e">
        <f t="shared" ref="AC7:AC36" si="1">RANK(AB7, AB$7:AB$36)</f>
        <v>#N/A</v>
      </c>
      <c r="AD7" s="628" t="e">
        <f>AVERAGE(AB7:AB36)</f>
        <v>#DIV/0!</v>
      </c>
      <c r="AE7" s="183"/>
      <c r="AF7" s="183"/>
      <c r="AG7" s="183"/>
      <c r="AH7" s="470" t="e">
        <f t="shared" ref="AH7:AH36" si="2">RANK(AG7, AG$7:AG$36)</f>
        <v>#N/A</v>
      </c>
      <c r="AI7" s="628" t="e">
        <f>AVERAGE(AG7:AG36)</f>
        <v>#DIV/0!</v>
      </c>
      <c r="AJ7" s="183"/>
      <c r="AK7" s="183"/>
      <c r="AL7" s="183"/>
      <c r="AM7" s="470" t="e">
        <f t="shared" ref="AM7:AM36" si="3">RANK(AL7, AL$7:AL$36)</f>
        <v>#N/A</v>
      </c>
      <c r="AN7" s="628" t="e">
        <f>AVERAGE(AL7:AL36)</f>
        <v>#DIV/0!</v>
      </c>
      <c r="AO7" s="183"/>
      <c r="AP7" s="183"/>
      <c r="AQ7" s="183"/>
      <c r="AR7" s="470" t="e">
        <f t="shared" ref="AR7:AR36" si="4">RANK(AQ7, AQ$7:AQ$36)</f>
        <v>#N/A</v>
      </c>
      <c r="AS7" s="628" t="e">
        <f>AVERAGE(AQ7:AQ36)</f>
        <v>#DIV/0!</v>
      </c>
      <c r="AT7" s="183">
        <v>4</v>
      </c>
      <c r="AU7" s="183">
        <v>3130.344827586207</v>
      </c>
      <c r="AV7" s="183">
        <v>782.58620689655174</v>
      </c>
      <c r="AW7" s="470">
        <f t="shared" ref="AW7:AW36" si="5">RANK(AV7, AV$7:AV$36)</f>
        <v>9</v>
      </c>
      <c r="AX7" s="628">
        <f>AVERAGE(AV7:AV36)</f>
        <v>750.46279399048672</v>
      </c>
      <c r="AZ7" s="378" t="e">
        <f>RANK(AX7, $K$7:AX$36)</f>
        <v>#N/A</v>
      </c>
      <c r="BB7" s="376" t="e">
        <f t="shared" ref="BB7:BB36" si="6">RANK(BA7, BA$7:BA$36)</f>
        <v>#N/A</v>
      </c>
    </row>
    <row r="8" spans="1:54" ht="15" customHeight="1">
      <c r="A8" s="81"/>
      <c r="B8" s="627"/>
      <c r="C8" s="470">
        <v>2</v>
      </c>
      <c r="D8" s="470" t="s">
        <v>362</v>
      </c>
      <c r="E8" s="470">
        <v>3</v>
      </c>
      <c r="F8" s="470">
        <v>2700</v>
      </c>
      <c r="G8" s="470">
        <v>900</v>
      </c>
      <c r="H8" s="629"/>
      <c r="I8" s="472">
        <f t="shared" ref="I8:I27" si="7">AVERAGE(P8,U8,Z8,AE8,AJ8,AO8,AT8)</f>
        <v>3</v>
      </c>
      <c r="J8" s="472">
        <f t="shared" ref="J8:J27" si="8">AVERAGE(Q8,V8,AA8,AF8,AK8,AP8,AU8)</f>
        <v>2830.909090909091</v>
      </c>
      <c r="K8" s="201">
        <f t="shared" ref="K8:K27" si="9">AVERAGE(R8,W8,AB8,AG8,AL8,AQ8,AV8)</f>
        <v>943.63636363636363</v>
      </c>
      <c r="L8" s="601"/>
      <c r="M8" s="472">
        <f>RANK(K8, $K$7:K$36)</f>
        <v>4</v>
      </c>
      <c r="N8" s="619"/>
      <c r="O8" s="619"/>
      <c r="P8" s="183"/>
      <c r="Q8" s="183"/>
      <c r="R8" s="183"/>
      <c r="S8" s="470" t="e">
        <f t="shared" ref="S8:S36" si="10">RANK(R8, R$7:R$36)</f>
        <v>#N/A</v>
      </c>
      <c r="T8" s="629"/>
      <c r="U8" s="183"/>
      <c r="V8" s="183"/>
      <c r="W8" s="183"/>
      <c r="X8" s="470" t="e">
        <f t="shared" si="0"/>
        <v>#N/A</v>
      </c>
      <c r="Y8" s="629"/>
      <c r="Z8" s="183"/>
      <c r="AA8" s="183"/>
      <c r="AB8" s="183"/>
      <c r="AC8" s="470" t="e">
        <f t="shared" si="1"/>
        <v>#N/A</v>
      </c>
      <c r="AD8" s="629"/>
      <c r="AE8" s="183"/>
      <c r="AF8" s="183"/>
      <c r="AG8" s="183"/>
      <c r="AH8" s="470" t="e">
        <f t="shared" si="2"/>
        <v>#N/A</v>
      </c>
      <c r="AI8" s="629"/>
      <c r="AJ8" s="183"/>
      <c r="AK8" s="183"/>
      <c r="AL8" s="183"/>
      <c r="AM8" s="470" t="e">
        <f t="shared" si="3"/>
        <v>#N/A</v>
      </c>
      <c r="AN8" s="629"/>
      <c r="AO8" s="183"/>
      <c r="AP8" s="183"/>
      <c r="AQ8" s="183"/>
      <c r="AR8" s="470" t="e">
        <f t="shared" si="4"/>
        <v>#N/A</v>
      </c>
      <c r="AS8" s="629"/>
      <c r="AT8" s="183">
        <v>3</v>
      </c>
      <c r="AU8" s="183">
        <v>2830.909090909091</v>
      </c>
      <c r="AV8" s="183">
        <v>943.63636363636363</v>
      </c>
      <c r="AW8" s="470">
        <f t="shared" si="5"/>
        <v>4</v>
      </c>
      <c r="AX8" s="629"/>
      <c r="AZ8" s="378" t="e">
        <f>RANK(AX8, $K$7:AX$36)</f>
        <v>#N/A</v>
      </c>
      <c r="BB8" s="376" t="e">
        <f t="shared" si="6"/>
        <v>#N/A</v>
      </c>
    </row>
    <row r="9" spans="1:54">
      <c r="A9" s="81"/>
      <c r="B9" s="627"/>
      <c r="C9" s="470">
        <v>3</v>
      </c>
      <c r="D9" s="470" t="s">
        <v>348</v>
      </c>
      <c r="E9" s="470">
        <v>4</v>
      </c>
      <c r="F9" s="470">
        <v>3600</v>
      </c>
      <c r="G9" s="470">
        <v>900</v>
      </c>
      <c r="H9" s="629"/>
      <c r="I9" s="472">
        <f t="shared" si="7"/>
        <v>4</v>
      </c>
      <c r="J9" s="472">
        <f t="shared" si="8"/>
        <v>3214.7368421052606</v>
      </c>
      <c r="K9" s="201">
        <f t="shared" si="9"/>
        <v>803.68421052631516</v>
      </c>
      <c r="L9" s="601"/>
      <c r="M9" s="472">
        <f>RANK(K9, $K$7:K$36)</f>
        <v>7</v>
      </c>
      <c r="N9" s="619"/>
      <c r="O9" s="619"/>
      <c r="P9" s="183"/>
      <c r="Q9" s="183"/>
      <c r="R9" s="183"/>
      <c r="S9" s="470" t="e">
        <f t="shared" si="10"/>
        <v>#N/A</v>
      </c>
      <c r="T9" s="629"/>
      <c r="U9" s="183"/>
      <c r="V9" s="183"/>
      <c r="W9" s="183"/>
      <c r="X9" s="470" t="e">
        <f t="shared" si="0"/>
        <v>#N/A</v>
      </c>
      <c r="Y9" s="629"/>
      <c r="Z9" s="183"/>
      <c r="AA9" s="183"/>
      <c r="AB9" s="183"/>
      <c r="AC9" s="470" t="e">
        <f t="shared" si="1"/>
        <v>#N/A</v>
      </c>
      <c r="AD9" s="629"/>
      <c r="AE9" s="183"/>
      <c r="AF9" s="183"/>
      <c r="AG9" s="183"/>
      <c r="AH9" s="470" t="e">
        <f t="shared" si="2"/>
        <v>#N/A</v>
      </c>
      <c r="AI9" s="629"/>
      <c r="AJ9" s="183"/>
      <c r="AK9" s="183"/>
      <c r="AL9" s="183"/>
      <c r="AM9" s="470" t="e">
        <f t="shared" si="3"/>
        <v>#N/A</v>
      </c>
      <c r="AN9" s="629"/>
      <c r="AO9" s="183"/>
      <c r="AP9" s="183"/>
      <c r="AQ9" s="183"/>
      <c r="AR9" s="470" t="e">
        <f t="shared" si="4"/>
        <v>#N/A</v>
      </c>
      <c r="AS9" s="629"/>
      <c r="AT9" s="183">
        <v>4</v>
      </c>
      <c r="AU9" s="183">
        <v>3214.7368421052606</v>
      </c>
      <c r="AV9" s="183">
        <v>803.68421052631516</v>
      </c>
      <c r="AW9" s="470">
        <f t="shared" si="5"/>
        <v>7</v>
      </c>
      <c r="AX9" s="629"/>
      <c r="AZ9" s="378" t="e">
        <f>RANK(AX9, $K$7:AX$36)</f>
        <v>#N/A</v>
      </c>
      <c r="BB9" s="376" t="e">
        <f t="shared" si="6"/>
        <v>#N/A</v>
      </c>
    </row>
    <row r="10" spans="1:54">
      <c r="A10" s="81"/>
      <c r="B10" s="627"/>
      <c r="C10" s="470">
        <v>4</v>
      </c>
      <c r="D10" s="470" t="s">
        <v>364</v>
      </c>
      <c r="E10" s="470">
        <v>3</v>
      </c>
      <c r="F10" s="470">
        <v>3600</v>
      </c>
      <c r="G10" s="470">
        <v>1200</v>
      </c>
      <c r="H10" s="629"/>
      <c r="I10" s="472">
        <f t="shared" si="7"/>
        <v>3</v>
      </c>
      <c r="J10" s="472">
        <f t="shared" si="8"/>
        <v>2558.9999999999991</v>
      </c>
      <c r="K10" s="201">
        <f t="shared" si="9"/>
        <v>852.99999999999966</v>
      </c>
      <c r="L10" s="601"/>
      <c r="M10" s="472">
        <f>RANK(K10, $K$7:K$36)</f>
        <v>6</v>
      </c>
      <c r="N10" s="619"/>
      <c r="O10" s="619"/>
      <c r="P10" s="183"/>
      <c r="Q10" s="183"/>
      <c r="R10" s="183"/>
      <c r="S10" s="470" t="e">
        <f t="shared" si="10"/>
        <v>#N/A</v>
      </c>
      <c r="T10" s="629"/>
      <c r="U10" s="183"/>
      <c r="V10" s="183"/>
      <c r="W10" s="183"/>
      <c r="X10" s="470" t="e">
        <f t="shared" si="0"/>
        <v>#N/A</v>
      </c>
      <c r="Y10" s="629"/>
      <c r="Z10" s="183"/>
      <c r="AA10" s="183"/>
      <c r="AB10" s="183"/>
      <c r="AC10" s="470" t="e">
        <f t="shared" si="1"/>
        <v>#N/A</v>
      </c>
      <c r="AD10" s="629"/>
      <c r="AE10" s="183"/>
      <c r="AF10" s="183"/>
      <c r="AG10" s="183"/>
      <c r="AH10" s="470" t="e">
        <f t="shared" si="2"/>
        <v>#N/A</v>
      </c>
      <c r="AI10" s="629"/>
      <c r="AJ10" s="183"/>
      <c r="AK10" s="183"/>
      <c r="AL10" s="183"/>
      <c r="AM10" s="470" t="e">
        <f t="shared" si="3"/>
        <v>#N/A</v>
      </c>
      <c r="AN10" s="629"/>
      <c r="AO10" s="183"/>
      <c r="AP10" s="183"/>
      <c r="AQ10" s="183"/>
      <c r="AR10" s="470" t="e">
        <f t="shared" si="4"/>
        <v>#N/A</v>
      </c>
      <c r="AS10" s="629"/>
      <c r="AT10" s="183">
        <v>3</v>
      </c>
      <c r="AU10" s="183">
        <v>2558.9999999999991</v>
      </c>
      <c r="AV10" s="183">
        <v>852.99999999999966</v>
      </c>
      <c r="AW10" s="470">
        <f t="shared" si="5"/>
        <v>6</v>
      </c>
      <c r="AX10" s="629"/>
      <c r="AZ10" s="378" t="e">
        <f>RANK(AX10, $K$7:AX$36)</f>
        <v>#N/A</v>
      </c>
      <c r="BB10" s="376" t="e">
        <f t="shared" si="6"/>
        <v>#N/A</v>
      </c>
    </row>
    <row r="11" spans="1:54">
      <c r="A11" s="81"/>
      <c r="B11" s="627"/>
      <c r="C11" s="470">
        <v>5</v>
      </c>
      <c r="D11" s="470" t="s">
        <v>365</v>
      </c>
      <c r="E11" s="470">
        <v>3</v>
      </c>
      <c r="F11" s="470">
        <v>3600</v>
      </c>
      <c r="G11" s="470">
        <v>1200</v>
      </c>
      <c r="H11" s="629"/>
      <c r="I11" s="472">
        <f t="shared" si="7"/>
        <v>4</v>
      </c>
      <c r="J11" s="472">
        <f t="shared" si="8"/>
        <v>3155.2941176470549</v>
      </c>
      <c r="K11" s="201">
        <f t="shared" si="9"/>
        <v>788.82352941176373</v>
      </c>
      <c r="L11" s="601"/>
      <c r="M11" s="472">
        <f>RANK(K11, $K$7:K$36)</f>
        <v>8</v>
      </c>
      <c r="N11" s="619"/>
      <c r="O11" s="619"/>
      <c r="P11" s="183"/>
      <c r="Q11" s="183"/>
      <c r="R11" s="183"/>
      <c r="S11" s="470" t="e">
        <f t="shared" si="10"/>
        <v>#N/A</v>
      </c>
      <c r="T11" s="629"/>
      <c r="U11" s="183"/>
      <c r="V11" s="183"/>
      <c r="W11" s="183"/>
      <c r="X11" s="470" t="e">
        <f t="shared" si="0"/>
        <v>#N/A</v>
      </c>
      <c r="Y11" s="629"/>
      <c r="Z11" s="183"/>
      <c r="AA11" s="183"/>
      <c r="AB11" s="183"/>
      <c r="AC11" s="470" t="e">
        <f t="shared" si="1"/>
        <v>#N/A</v>
      </c>
      <c r="AD11" s="629"/>
      <c r="AE11" s="183"/>
      <c r="AF11" s="183"/>
      <c r="AG11" s="183"/>
      <c r="AH11" s="470" t="e">
        <f t="shared" si="2"/>
        <v>#N/A</v>
      </c>
      <c r="AI11" s="629"/>
      <c r="AJ11" s="183"/>
      <c r="AK11" s="183"/>
      <c r="AL11" s="183"/>
      <c r="AM11" s="470" t="e">
        <f t="shared" si="3"/>
        <v>#N/A</v>
      </c>
      <c r="AN11" s="629"/>
      <c r="AO11" s="183"/>
      <c r="AP11" s="183"/>
      <c r="AQ11" s="183"/>
      <c r="AR11" s="470" t="e">
        <f t="shared" si="4"/>
        <v>#N/A</v>
      </c>
      <c r="AS11" s="629"/>
      <c r="AT11" s="183">
        <v>4</v>
      </c>
      <c r="AU11" s="183">
        <v>3155.2941176470549</v>
      </c>
      <c r="AV11" s="183">
        <v>788.82352941176373</v>
      </c>
      <c r="AW11" s="470">
        <f t="shared" si="5"/>
        <v>8</v>
      </c>
      <c r="AX11" s="629"/>
      <c r="AZ11" s="378" t="e">
        <f>RANK(AX11, $K$7:AX$36)</f>
        <v>#N/A</v>
      </c>
      <c r="BB11" s="376" t="e">
        <f t="shared" si="6"/>
        <v>#N/A</v>
      </c>
    </row>
    <row r="12" spans="1:54">
      <c r="A12" s="81"/>
      <c r="B12" s="627"/>
      <c r="C12" s="470">
        <v>6</v>
      </c>
      <c r="D12" s="470" t="s">
        <v>363</v>
      </c>
      <c r="E12" s="470">
        <v>4</v>
      </c>
      <c r="F12" s="470">
        <v>3600</v>
      </c>
      <c r="G12" s="470">
        <v>900</v>
      </c>
      <c r="H12" s="629"/>
      <c r="I12" s="472">
        <f t="shared" si="7"/>
        <v>4</v>
      </c>
      <c r="J12" s="472">
        <f t="shared" si="8"/>
        <v>3111.9999999999945</v>
      </c>
      <c r="K12" s="201">
        <f t="shared" si="9"/>
        <v>777.99999999999864</v>
      </c>
      <c r="L12" s="601"/>
      <c r="M12" s="472">
        <f>RANK(K12, $K$7:K$36)</f>
        <v>10</v>
      </c>
      <c r="N12" s="619"/>
      <c r="O12" s="619"/>
      <c r="P12" s="183"/>
      <c r="Q12" s="183"/>
      <c r="R12" s="183"/>
      <c r="S12" s="470" t="e">
        <f t="shared" si="10"/>
        <v>#N/A</v>
      </c>
      <c r="T12" s="629"/>
      <c r="U12" s="183"/>
      <c r="V12" s="183"/>
      <c r="W12" s="183"/>
      <c r="X12" s="470" t="e">
        <f t="shared" si="0"/>
        <v>#N/A</v>
      </c>
      <c r="Y12" s="629"/>
      <c r="Z12" s="183"/>
      <c r="AA12" s="183"/>
      <c r="AB12" s="183"/>
      <c r="AC12" s="470" t="e">
        <f t="shared" si="1"/>
        <v>#N/A</v>
      </c>
      <c r="AD12" s="629"/>
      <c r="AE12" s="183"/>
      <c r="AF12" s="183"/>
      <c r="AG12" s="183"/>
      <c r="AH12" s="470" t="e">
        <f t="shared" si="2"/>
        <v>#N/A</v>
      </c>
      <c r="AI12" s="629"/>
      <c r="AJ12" s="183"/>
      <c r="AK12" s="183"/>
      <c r="AL12" s="183"/>
      <c r="AM12" s="470" t="e">
        <f t="shared" si="3"/>
        <v>#N/A</v>
      </c>
      <c r="AN12" s="629"/>
      <c r="AO12" s="183"/>
      <c r="AP12" s="183"/>
      <c r="AQ12" s="183"/>
      <c r="AR12" s="470" t="e">
        <f t="shared" si="4"/>
        <v>#N/A</v>
      </c>
      <c r="AS12" s="629"/>
      <c r="AT12" s="183">
        <v>4</v>
      </c>
      <c r="AU12" s="183">
        <v>3111.9999999999945</v>
      </c>
      <c r="AV12" s="183">
        <v>777.99999999999864</v>
      </c>
      <c r="AW12" s="470">
        <f t="shared" si="5"/>
        <v>10</v>
      </c>
      <c r="AX12" s="629"/>
      <c r="AZ12" s="378" t="e">
        <f>RANK(AX12, $K$7:AX$36)</f>
        <v>#N/A</v>
      </c>
      <c r="BB12" s="376" t="e">
        <f t="shared" si="6"/>
        <v>#N/A</v>
      </c>
    </row>
    <row r="13" spans="1:54">
      <c r="A13" s="81"/>
      <c r="B13" s="627"/>
      <c r="C13" s="470">
        <v>7</v>
      </c>
      <c r="D13" s="470" t="s">
        <v>615</v>
      </c>
      <c r="E13" s="470">
        <v>4</v>
      </c>
      <c r="F13" s="470">
        <v>3600</v>
      </c>
      <c r="G13" s="470">
        <v>900</v>
      </c>
      <c r="H13" s="629"/>
      <c r="I13" s="472">
        <f t="shared" si="7"/>
        <v>4</v>
      </c>
      <c r="J13" s="472">
        <f t="shared" si="8"/>
        <v>2830.909090909101</v>
      </c>
      <c r="K13" s="201">
        <f t="shared" si="9"/>
        <v>707.72727272727525</v>
      </c>
      <c r="L13" s="601"/>
      <c r="M13" s="472">
        <f>RANK(K13, $K$7:K$36)</f>
        <v>15</v>
      </c>
      <c r="N13" s="619"/>
      <c r="O13" s="619"/>
      <c r="P13" s="183"/>
      <c r="Q13" s="183"/>
      <c r="R13" s="183"/>
      <c r="S13" s="470" t="e">
        <f t="shared" si="10"/>
        <v>#N/A</v>
      </c>
      <c r="T13" s="629"/>
      <c r="U13" s="183"/>
      <c r="V13" s="183"/>
      <c r="W13" s="183"/>
      <c r="X13" s="470" t="e">
        <f t="shared" si="0"/>
        <v>#N/A</v>
      </c>
      <c r="Y13" s="629"/>
      <c r="Z13" s="183"/>
      <c r="AA13" s="183"/>
      <c r="AB13" s="183"/>
      <c r="AC13" s="470" t="e">
        <f t="shared" si="1"/>
        <v>#N/A</v>
      </c>
      <c r="AD13" s="629"/>
      <c r="AE13" s="183"/>
      <c r="AF13" s="183"/>
      <c r="AG13" s="183"/>
      <c r="AH13" s="470" t="e">
        <f t="shared" si="2"/>
        <v>#N/A</v>
      </c>
      <c r="AI13" s="629"/>
      <c r="AJ13" s="183"/>
      <c r="AK13" s="183"/>
      <c r="AL13" s="183"/>
      <c r="AM13" s="470" t="e">
        <f t="shared" si="3"/>
        <v>#N/A</v>
      </c>
      <c r="AN13" s="629"/>
      <c r="AO13" s="183"/>
      <c r="AP13" s="183"/>
      <c r="AQ13" s="183"/>
      <c r="AR13" s="470" t="e">
        <f t="shared" si="4"/>
        <v>#N/A</v>
      </c>
      <c r="AS13" s="629"/>
      <c r="AT13" s="183">
        <v>4</v>
      </c>
      <c r="AU13" s="183">
        <v>2830.909090909101</v>
      </c>
      <c r="AV13" s="183">
        <v>707.72727272727525</v>
      </c>
      <c r="AW13" s="470">
        <f t="shared" si="5"/>
        <v>15</v>
      </c>
      <c r="AX13" s="629"/>
      <c r="AZ13" s="378" t="e">
        <f>RANK(AX13, $K$7:AX$36)</f>
        <v>#N/A</v>
      </c>
      <c r="BB13" s="376" t="e">
        <f t="shared" si="6"/>
        <v>#N/A</v>
      </c>
    </row>
    <row r="14" spans="1:54">
      <c r="A14" s="81"/>
      <c r="B14" s="627"/>
      <c r="C14" s="470">
        <v>8</v>
      </c>
      <c r="D14" s="470" t="s">
        <v>366</v>
      </c>
      <c r="E14" s="470">
        <v>4</v>
      </c>
      <c r="F14" s="470">
        <v>3300</v>
      </c>
      <c r="G14" s="470">
        <v>825</v>
      </c>
      <c r="H14" s="629"/>
      <c r="I14" s="472">
        <f t="shared" si="7"/>
        <v>4</v>
      </c>
      <c r="J14" s="472">
        <f t="shared" si="8"/>
        <v>2445.8823529411793</v>
      </c>
      <c r="K14" s="201">
        <f t="shared" si="9"/>
        <v>611.47058823529483</v>
      </c>
      <c r="L14" s="601"/>
      <c r="M14" s="472">
        <f>RANK(K14, $K$7:K$36)</f>
        <v>18</v>
      </c>
      <c r="N14" s="619"/>
      <c r="O14" s="619"/>
      <c r="P14" s="183"/>
      <c r="Q14" s="183"/>
      <c r="R14" s="183"/>
      <c r="S14" s="470" t="e">
        <f t="shared" si="10"/>
        <v>#N/A</v>
      </c>
      <c r="T14" s="629"/>
      <c r="U14" s="183"/>
      <c r="V14" s="183"/>
      <c r="W14" s="183"/>
      <c r="X14" s="470" t="e">
        <f t="shared" si="0"/>
        <v>#N/A</v>
      </c>
      <c r="Y14" s="629"/>
      <c r="Z14" s="183"/>
      <c r="AA14" s="183"/>
      <c r="AB14" s="183"/>
      <c r="AC14" s="470" t="e">
        <f t="shared" si="1"/>
        <v>#N/A</v>
      </c>
      <c r="AD14" s="629"/>
      <c r="AE14" s="183"/>
      <c r="AF14" s="183"/>
      <c r="AG14" s="183"/>
      <c r="AH14" s="470" t="e">
        <f t="shared" si="2"/>
        <v>#N/A</v>
      </c>
      <c r="AI14" s="629"/>
      <c r="AJ14" s="183"/>
      <c r="AK14" s="183"/>
      <c r="AL14" s="183"/>
      <c r="AM14" s="470" t="e">
        <f t="shared" si="3"/>
        <v>#N/A</v>
      </c>
      <c r="AN14" s="629"/>
      <c r="AO14" s="183"/>
      <c r="AP14" s="183"/>
      <c r="AQ14" s="183"/>
      <c r="AR14" s="470" t="e">
        <f t="shared" si="4"/>
        <v>#N/A</v>
      </c>
      <c r="AS14" s="629"/>
      <c r="AT14" s="183">
        <v>4</v>
      </c>
      <c r="AU14" s="183">
        <v>2445.8823529411793</v>
      </c>
      <c r="AV14" s="183">
        <v>611.47058823529483</v>
      </c>
      <c r="AW14" s="470">
        <f t="shared" si="5"/>
        <v>18</v>
      </c>
      <c r="AX14" s="629"/>
      <c r="AZ14" s="378" t="e">
        <f>RANK(AX14, $K$7:AX$36)</f>
        <v>#N/A</v>
      </c>
      <c r="BB14" s="376" t="e">
        <f t="shared" si="6"/>
        <v>#N/A</v>
      </c>
    </row>
    <row r="15" spans="1:54">
      <c r="A15" s="81"/>
      <c r="B15" s="627"/>
      <c r="C15" s="470">
        <v>9</v>
      </c>
      <c r="D15" s="470" t="s">
        <v>367</v>
      </c>
      <c r="E15" s="470">
        <v>3</v>
      </c>
      <c r="F15" s="470">
        <v>3300</v>
      </c>
      <c r="G15" s="470">
        <v>1100</v>
      </c>
      <c r="H15" s="629"/>
      <c r="I15" s="472">
        <f t="shared" si="7"/>
        <v>3</v>
      </c>
      <c r="J15" s="472">
        <f t="shared" si="8"/>
        <v>2863.1249999999995</v>
      </c>
      <c r="K15" s="201">
        <f t="shared" si="9"/>
        <v>954.37499999999989</v>
      </c>
      <c r="L15" s="601"/>
      <c r="M15" s="472">
        <f>RANK(K15, $K$7:K$36)</f>
        <v>3</v>
      </c>
      <c r="N15" s="619"/>
      <c r="O15" s="619"/>
      <c r="P15" s="183"/>
      <c r="Q15" s="183"/>
      <c r="R15" s="183"/>
      <c r="S15" s="470" t="e">
        <f t="shared" si="10"/>
        <v>#N/A</v>
      </c>
      <c r="T15" s="629"/>
      <c r="U15" s="183"/>
      <c r="V15" s="183"/>
      <c r="W15" s="183"/>
      <c r="X15" s="470" t="e">
        <f t="shared" si="0"/>
        <v>#N/A</v>
      </c>
      <c r="Y15" s="629"/>
      <c r="Z15" s="183"/>
      <c r="AA15" s="183"/>
      <c r="AB15" s="183"/>
      <c r="AC15" s="470" t="e">
        <f t="shared" si="1"/>
        <v>#N/A</v>
      </c>
      <c r="AD15" s="629"/>
      <c r="AE15" s="183"/>
      <c r="AF15" s="183"/>
      <c r="AG15" s="183"/>
      <c r="AH15" s="470" t="e">
        <f t="shared" si="2"/>
        <v>#N/A</v>
      </c>
      <c r="AI15" s="629"/>
      <c r="AJ15" s="183"/>
      <c r="AK15" s="183"/>
      <c r="AL15" s="183"/>
      <c r="AM15" s="470" t="e">
        <f t="shared" si="3"/>
        <v>#N/A</v>
      </c>
      <c r="AN15" s="629"/>
      <c r="AO15" s="183"/>
      <c r="AP15" s="183"/>
      <c r="AQ15" s="183"/>
      <c r="AR15" s="470" t="e">
        <f t="shared" si="4"/>
        <v>#N/A</v>
      </c>
      <c r="AS15" s="629"/>
      <c r="AT15" s="183">
        <v>3</v>
      </c>
      <c r="AU15" s="183">
        <v>2863.1249999999995</v>
      </c>
      <c r="AV15" s="183">
        <v>954.37499999999989</v>
      </c>
      <c r="AW15" s="470">
        <f t="shared" si="5"/>
        <v>3</v>
      </c>
      <c r="AX15" s="629"/>
      <c r="AZ15" s="378" t="e">
        <f>RANK(AX15, $K$7:AX$36)</f>
        <v>#N/A</v>
      </c>
      <c r="BB15" s="376" t="e">
        <f t="shared" si="6"/>
        <v>#N/A</v>
      </c>
    </row>
    <row r="16" spans="1:54">
      <c r="A16" s="81"/>
      <c r="B16" s="627"/>
      <c r="C16" s="470">
        <v>10</v>
      </c>
      <c r="D16" s="470" t="s">
        <v>368</v>
      </c>
      <c r="E16" s="470">
        <v>3</v>
      </c>
      <c r="F16" s="470">
        <v>3300</v>
      </c>
      <c r="G16" s="470">
        <v>1100</v>
      </c>
      <c r="H16" s="629"/>
      <c r="I16" s="472">
        <f t="shared" si="7"/>
        <v>3</v>
      </c>
      <c r="J16" s="472">
        <f t="shared" si="8"/>
        <v>2884.7368421052611</v>
      </c>
      <c r="K16" s="201">
        <f t="shared" si="9"/>
        <v>961.57894736842036</v>
      </c>
      <c r="L16" s="601"/>
      <c r="M16" s="472">
        <f>RANK(K16, $K$7:K$36)</f>
        <v>2</v>
      </c>
      <c r="N16" s="619"/>
      <c r="O16" s="619"/>
      <c r="P16" s="183"/>
      <c r="Q16" s="183"/>
      <c r="R16" s="183"/>
      <c r="S16" s="470" t="e">
        <f t="shared" si="10"/>
        <v>#N/A</v>
      </c>
      <c r="T16" s="629"/>
      <c r="U16" s="183"/>
      <c r="V16" s="183"/>
      <c r="W16" s="183"/>
      <c r="X16" s="470" t="e">
        <f t="shared" si="0"/>
        <v>#N/A</v>
      </c>
      <c r="Y16" s="629"/>
      <c r="Z16" s="183"/>
      <c r="AA16" s="183"/>
      <c r="AB16" s="183"/>
      <c r="AC16" s="470" t="e">
        <f t="shared" si="1"/>
        <v>#N/A</v>
      </c>
      <c r="AD16" s="629"/>
      <c r="AE16" s="183"/>
      <c r="AF16" s="183"/>
      <c r="AG16" s="183"/>
      <c r="AH16" s="470" t="e">
        <f t="shared" si="2"/>
        <v>#N/A</v>
      </c>
      <c r="AI16" s="629"/>
      <c r="AJ16" s="183"/>
      <c r="AK16" s="183"/>
      <c r="AL16" s="183"/>
      <c r="AM16" s="470" t="e">
        <f t="shared" si="3"/>
        <v>#N/A</v>
      </c>
      <c r="AN16" s="629"/>
      <c r="AO16" s="183"/>
      <c r="AP16" s="183"/>
      <c r="AQ16" s="183"/>
      <c r="AR16" s="470" t="e">
        <f t="shared" si="4"/>
        <v>#N/A</v>
      </c>
      <c r="AS16" s="629"/>
      <c r="AT16" s="183">
        <v>3</v>
      </c>
      <c r="AU16" s="183">
        <v>2884.7368421052611</v>
      </c>
      <c r="AV16" s="183">
        <v>961.57894736842036</v>
      </c>
      <c r="AW16" s="470">
        <f t="shared" si="5"/>
        <v>2</v>
      </c>
      <c r="AX16" s="629"/>
      <c r="AZ16" s="378" t="e">
        <f>RANK(AX16, $K$7:AX$36)</f>
        <v>#N/A</v>
      </c>
      <c r="BB16" s="376" t="e">
        <f t="shared" si="6"/>
        <v>#N/A</v>
      </c>
    </row>
    <row r="17" spans="2:54">
      <c r="B17" s="627"/>
      <c r="C17" s="470">
        <v>11</v>
      </c>
      <c r="D17" s="470" t="s">
        <v>413</v>
      </c>
      <c r="E17" s="470">
        <v>4</v>
      </c>
      <c r="F17" s="470">
        <v>2500</v>
      </c>
      <c r="G17" s="470">
        <v>625</v>
      </c>
      <c r="H17" s="629"/>
      <c r="I17" s="472"/>
      <c r="J17" s="472"/>
      <c r="K17" s="201"/>
      <c r="L17" s="601"/>
      <c r="M17" s="472" t="e">
        <f>RANK(K17, $K$7:K$36)</f>
        <v>#N/A</v>
      </c>
      <c r="N17" s="619"/>
      <c r="O17" s="619"/>
      <c r="P17" s="183"/>
      <c r="Q17" s="183"/>
      <c r="R17" s="183"/>
      <c r="S17" s="470" t="e">
        <f t="shared" si="10"/>
        <v>#N/A</v>
      </c>
      <c r="T17" s="629"/>
      <c r="U17" s="183"/>
      <c r="V17" s="183"/>
      <c r="W17" s="183"/>
      <c r="X17" s="470" t="e">
        <f t="shared" si="0"/>
        <v>#N/A</v>
      </c>
      <c r="Y17" s="629"/>
      <c r="Z17" s="183"/>
      <c r="AA17" s="183"/>
      <c r="AB17" s="183"/>
      <c r="AC17" s="470" t="e">
        <f t="shared" si="1"/>
        <v>#N/A</v>
      </c>
      <c r="AD17" s="629"/>
      <c r="AE17" s="183"/>
      <c r="AF17" s="183"/>
      <c r="AG17" s="183"/>
      <c r="AH17" s="470" t="e">
        <f t="shared" si="2"/>
        <v>#N/A</v>
      </c>
      <c r="AI17" s="629"/>
      <c r="AJ17" s="183"/>
      <c r="AK17" s="183"/>
      <c r="AL17" s="183"/>
      <c r="AM17" s="470" t="e">
        <f t="shared" si="3"/>
        <v>#N/A</v>
      </c>
      <c r="AN17" s="629"/>
      <c r="AO17" s="183"/>
      <c r="AP17" s="183"/>
      <c r="AQ17" s="183"/>
      <c r="AR17" s="470" t="e">
        <f t="shared" si="4"/>
        <v>#N/A</v>
      </c>
      <c r="AS17" s="629"/>
      <c r="AT17" s="183"/>
      <c r="AU17" s="183"/>
      <c r="AV17" s="183"/>
      <c r="AW17" s="470" t="e">
        <f t="shared" si="5"/>
        <v>#N/A</v>
      </c>
      <c r="AX17" s="629"/>
      <c r="AZ17" s="378" t="e">
        <f>RANK(AX17, $K$7:AX$36)</f>
        <v>#N/A</v>
      </c>
      <c r="BB17" s="376" t="e">
        <f t="shared" si="6"/>
        <v>#N/A</v>
      </c>
    </row>
    <row r="18" spans="2:54">
      <c r="B18" s="627"/>
      <c r="C18" s="470">
        <v>12</v>
      </c>
      <c r="D18" s="470" t="s">
        <v>369</v>
      </c>
      <c r="E18" s="470">
        <v>4</v>
      </c>
      <c r="F18" s="470">
        <v>3300</v>
      </c>
      <c r="G18" s="470">
        <v>825</v>
      </c>
      <c r="H18" s="629"/>
      <c r="I18" s="472">
        <f t="shared" si="7"/>
        <v>4</v>
      </c>
      <c r="J18" s="472">
        <f t="shared" si="8"/>
        <v>2831.8032786885237</v>
      </c>
      <c r="K18" s="201">
        <f t="shared" si="9"/>
        <v>707.95081967213093</v>
      </c>
      <c r="L18" s="601"/>
      <c r="M18" s="472">
        <f>RANK(K18, $K$7:K$36)</f>
        <v>14</v>
      </c>
      <c r="N18" s="619"/>
      <c r="O18" s="619"/>
      <c r="P18" s="183"/>
      <c r="Q18" s="183"/>
      <c r="R18" s="183"/>
      <c r="S18" s="470" t="e">
        <f t="shared" si="10"/>
        <v>#N/A</v>
      </c>
      <c r="T18" s="629"/>
      <c r="U18" s="183"/>
      <c r="V18" s="183"/>
      <c r="W18" s="183"/>
      <c r="X18" s="470" t="e">
        <f t="shared" si="0"/>
        <v>#N/A</v>
      </c>
      <c r="Y18" s="629"/>
      <c r="Z18" s="183"/>
      <c r="AA18" s="183"/>
      <c r="AB18" s="183"/>
      <c r="AC18" s="470" t="e">
        <f t="shared" si="1"/>
        <v>#N/A</v>
      </c>
      <c r="AD18" s="629"/>
      <c r="AE18" s="183"/>
      <c r="AF18" s="183"/>
      <c r="AG18" s="183"/>
      <c r="AH18" s="470" t="e">
        <f t="shared" si="2"/>
        <v>#N/A</v>
      </c>
      <c r="AI18" s="629"/>
      <c r="AJ18" s="183"/>
      <c r="AK18" s="183"/>
      <c r="AL18" s="183"/>
      <c r="AM18" s="470" t="e">
        <f t="shared" si="3"/>
        <v>#N/A</v>
      </c>
      <c r="AN18" s="629"/>
      <c r="AO18" s="183"/>
      <c r="AP18" s="183"/>
      <c r="AQ18" s="183"/>
      <c r="AR18" s="470" t="e">
        <f t="shared" si="4"/>
        <v>#N/A</v>
      </c>
      <c r="AS18" s="629"/>
      <c r="AT18" s="183">
        <v>4</v>
      </c>
      <c r="AU18" s="183">
        <v>2831.8032786885237</v>
      </c>
      <c r="AV18" s="183">
        <v>707.95081967213093</v>
      </c>
      <c r="AW18" s="470">
        <f t="shared" si="5"/>
        <v>14</v>
      </c>
      <c r="AX18" s="629"/>
      <c r="AZ18" s="378" t="e">
        <f>RANK(AX18, $K$7:AX$36)</f>
        <v>#N/A</v>
      </c>
      <c r="BB18" s="376" t="e">
        <f t="shared" si="6"/>
        <v>#N/A</v>
      </c>
    </row>
    <row r="19" spans="2:54">
      <c r="B19" s="627"/>
      <c r="C19" s="470">
        <v>13</v>
      </c>
      <c r="D19" s="470" t="s">
        <v>370</v>
      </c>
      <c r="E19" s="470">
        <v>4</v>
      </c>
      <c r="F19" s="470">
        <v>3300</v>
      </c>
      <c r="G19" s="470">
        <v>825</v>
      </c>
      <c r="H19" s="629"/>
      <c r="I19" s="472">
        <f t="shared" si="7"/>
        <v>4</v>
      </c>
      <c r="J19" s="472">
        <f t="shared" si="8"/>
        <v>2803.2352941176468</v>
      </c>
      <c r="K19" s="201">
        <f t="shared" si="9"/>
        <v>700.80882352941171</v>
      </c>
      <c r="L19" s="601"/>
      <c r="M19" s="472">
        <f>RANK(K19, $K$7:K$36)</f>
        <v>16</v>
      </c>
      <c r="N19" s="619"/>
      <c r="O19" s="619"/>
      <c r="P19" s="183"/>
      <c r="Q19" s="183"/>
      <c r="R19" s="183"/>
      <c r="S19" s="470" t="e">
        <f t="shared" si="10"/>
        <v>#N/A</v>
      </c>
      <c r="T19" s="629"/>
      <c r="U19" s="183"/>
      <c r="V19" s="183"/>
      <c r="W19" s="183"/>
      <c r="X19" s="470" t="e">
        <f t="shared" si="0"/>
        <v>#N/A</v>
      </c>
      <c r="Y19" s="629"/>
      <c r="Z19" s="183"/>
      <c r="AA19" s="183"/>
      <c r="AB19" s="183"/>
      <c r="AC19" s="470" t="e">
        <f t="shared" si="1"/>
        <v>#N/A</v>
      </c>
      <c r="AD19" s="629"/>
      <c r="AE19" s="183"/>
      <c r="AF19" s="183"/>
      <c r="AG19" s="183"/>
      <c r="AH19" s="470" t="e">
        <f t="shared" si="2"/>
        <v>#N/A</v>
      </c>
      <c r="AI19" s="629"/>
      <c r="AJ19" s="183"/>
      <c r="AK19" s="183"/>
      <c r="AL19" s="183"/>
      <c r="AM19" s="470" t="e">
        <f t="shared" si="3"/>
        <v>#N/A</v>
      </c>
      <c r="AN19" s="629"/>
      <c r="AO19" s="183"/>
      <c r="AP19" s="183"/>
      <c r="AQ19" s="183"/>
      <c r="AR19" s="470" t="e">
        <f t="shared" si="4"/>
        <v>#N/A</v>
      </c>
      <c r="AS19" s="629"/>
      <c r="AT19" s="183">
        <v>4</v>
      </c>
      <c r="AU19" s="183">
        <v>2803.2352941176468</v>
      </c>
      <c r="AV19" s="183">
        <v>700.80882352941171</v>
      </c>
      <c r="AW19" s="470">
        <f t="shared" si="5"/>
        <v>16</v>
      </c>
      <c r="AX19" s="629"/>
      <c r="AZ19" s="378" t="e">
        <f>RANK(AX19, $K$7:AX$36)</f>
        <v>#N/A</v>
      </c>
      <c r="BB19" s="376" t="e">
        <f t="shared" si="6"/>
        <v>#N/A</v>
      </c>
    </row>
    <row r="20" spans="2:54">
      <c r="B20" s="627"/>
      <c r="C20" s="470">
        <v>14</v>
      </c>
      <c r="D20" s="470" t="s">
        <v>824</v>
      </c>
      <c r="E20" s="470">
        <v>4</v>
      </c>
      <c r="F20" s="470">
        <v>2800</v>
      </c>
      <c r="G20" s="470">
        <v>700</v>
      </c>
      <c r="H20" s="629"/>
      <c r="I20" s="472">
        <f t="shared" si="7"/>
        <v>4</v>
      </c>
      <c r="J20" s="472">
        <f t="shared" si="8"/>
        <v>2848.695652173913</v>
      </c>
      <c r="K20" s="201">
        <f t="shared" si="9"/>
        <v>712.17391304347825</v>
      </c>
      <c r="L20" s="601"/>
      <c r="M20" s="472">
        <f>RANK(K20, $K$7:K$36)</f>
        <v>13</v>
      </c>
      <c r="N20" s="619"/>
      <c r="O20" s="619"/>
      <c r="P20" s="183"/>
      <c r="Q20" s="183"/>
      <c r="R20" s="183"/>
      <c r="S20" s="470" t="e">
        <f t="shared" si="10"/>
        <v>#N/A</v>
      </c>
      <c r="T20" s="629"/>
      <c r="U20" s="183"/>
      <c r="V20" s="183"/>
      <c r="W20" s="183"/>
      <c r="X20" s="470" t="e">
        <f t="shared" si="0"/>
        <v>#N/A</v>
      </c>
      <c r="Y20" s="629"/>
      <c r="Z20" s="183"/>
      <c r="AA20" s="183"/>
      <c r="AB20" s="183"/>
      <c r="AC20" s="470" t="e">
        <f t="shared" si="1"/>
        <v>#N/A</v>
      </c>
      <c r="AD20" s="629"/>
      <c r="AE20" s="183"/>
      <c r="AF20" s="183"/>
      <c r="AG20" s="183"/>
      <c r="AH20" s="470" t="e">
        <f t="shared" si="2"/>
        <v>#N/A</v>
      </c>
      <c r="AI20" s="629"/>
      <c r="AJ20" s="183"/>
      <c r="AK20" s="183"/>
      <c r="AL20" s="183"/>
      <c r="AM20" s="470" t="e">
        <f t="shared" si="3"/>
        <v>#N/A</v>
      </c>
      <c r="AN20" s="629"/>
      <c r="AO20" s="183"/>
      <c r="AP20" s="183"/>
      <c r="AQ20" s="183"/>
      <c r="AR20" s="470" t="e">
        <f t="shared" si="4"/>
        <v>#N/A</v>
      </c>
      <c r="AS20" s="629"/>
      <c r="AT20" s="183">
        <v>4</v>
      </c>
      <c r="AU20" s="183">
        <v>2848.695652173913</v>
      </c>
      <c r="AV20" s="183">
        <v>712.17391304347825</v>
      </c>
      <c r="AW20" s="470">
        <f t="shared" si="5"/>
        <v>13</v>
      </c>
      <c r="AX20" s="629"/>
      <c r="AZ20" s="378" t="e">
        <f>RANK(AX20, $K$7:AX$36)</f>
        <v>#N/A</v>
      </c>
      <c r="BB20" s="376" t="e">
        <f t="shared" si="6"/>
        <v>#N/A</v>
      </c>
    </row>
    <row r="21" spans="2:54">
      <c r="B21" s="627"/>
      <c r="C21" s="470">
        <v>15</v>
      </c>
      <c r="D21" s="470" t="s">
        <v>371</v>
      </c>
      <c r="E21" s="470">
        <v>4</v>
      </c>
      <c r="F21" s="470">
        <v>3600</v>
      </c>
      <c r="G21" s="470">
        <v>900</v>
      </c>
      <c r="H21" s="629"/>
      <c r="I21" s="472">
        <f t="shared" si="7"/>
        <v>4</v>
      </c>
      <c r="J21" s="472">
        <f t="shared" si="8"/>
        <v>2657.4999999999918</v>
      </c>
      <c r="K21" s="201">
        <f t="shared" si="9"/>
        <v>664.37499999999795</v>
      </c>
      <c r="L21" s="601"/>
      <c r="M21" s="472">
        <f>RANK(K21, $K$7:K$36)</f>
        <v>17</v>
      </c>
      <c r="N21" s="619"/>
      <c r="O21" s="619"/>
      <c r="P21" s="183"/>
      <c r="Q21" s="183"/>
      <c r="R21" s="183"/>
      <c r="S21" s="470" t="e">
        <f t="shared" si="10"/>
        <v>#N/A</v>
      </c>
      <c r="T21" s="629"/>
      <c r="U21" s="183"/>
      <c r="V21" s="183"/>
      <c r="W21" s="183"/>
      <c r="X21" s="470" t="e">
        <f t="shared" si="0"/>
        <v>#N/A</v>
      </c>
      <c r="Y21" s="629"/>
      <c r="Z21" s="183"/>
      <c r="AA21" s="183"/>
      <c r="AB21" s="183"/>
      <c r="AC21" s="470" t="e">
        <f t="shared" si="1"/>
        <v>#N/A</v>
      </c>
      <c r="AD21" s="629"/>
      <c r="AE21" s="183"/>
      <c r="AF21" s="183"/>
      <c r="AG21" s="183"/>
      <c r="AH21" s="470" t="e">
        <f t="shared" si="2"/>
        <v>#N/A</v>
      </c>
      <c r="AI21" s="629"/>
      <c r="AJ21" s="183"/>
      <c r="AK21" s="183"/>
      <c r="AL21" s="183"/>
      <c r="AM21" s="470" t="e">
        <f t="shared" si="3"/>
        <v>#N/A</v>
      </c>
      <c r="AN21" s="629"/>
      <c r="AO21" s="183"/>
      <c r="AP21" s="183"/>
      <c r="AQ21" s="183"/>
      <c r="AR21" s="470" t="e">
        <f t="shared" si="4"/>
        <v>#N/A</v>
      </c>
      <c r="AS21" s="629"/>
      <c r="AT21" s="183">
        <v>4</v>
      </c>
      <c r="AU21" s="183">
        <v>2657.4999999999918</v>
      </c>
      <c r="AV21" s="183">
        <v>664.37499999999795</v>
      </c>
      <c r="AW21" s="470">
        <f t="shared" si="5"/>
        <v>17</v>
      </c>
      <c r="AX21" s="629"/>
      <c r="AZ21" s="378" t="e">
        <f>RANK(AX21, $K$7:AX$36)</f>
        <v>#N/A</v>
      </c>
      <c r="BB21" s="376" t="e">
        <f t="shared" si="6"/>
        <v>#N/A</v>
      </c>
    </row>
    <row r="22" spans="2:54">
      <c r="B22" s="627"/>
      <c r="C22" s="470">
        <v>16</v>
      </c>
      <c r="D22" s="470" t="s">
        <v>372</v>
      </c>
      <c r="E22" s="470">
        <v>4</v>
      </c>
      <c r="F22" s="470">
        <v>3600</v>
      </c>
      <c r="G22" s="470">
        <v>900</v>
      </c>
      <c r="H22" s="629"/>
      <c r="I22" s="472">
        <f t="shared" si="7"/>
        <v>4</v>
      </c>
      <c r="J22" s="472">
        <f t="shared" si="8"/>
        <v>3083.0769230769338</v>
      </c>
      <c r="K22" s="201">
        <f t="shared" si="9"/>
        <v>770.76923076923345</v>
      </c>
      <c r="L22" s="601"/>
      <c r="M22" s="472">
        <f>RANK(K22, $K$7:K$36)</f>
        <v>11</v>
      </c>
      <c r="N22" s="619"/>
      <c r="O22" s="619"/>
      <c r="P22" s="183"/>
      <c r="Q22" s="183"/>
      <c r="R22" s="183"/>
      <c r="S22" s="470" t="e">
        <f t="shared" si="10"/>
        <v>#N/A</v>
      </c>
      <c r="T22" s="629"/>
      <c r="U22" s="183"/>
      <c r="V22" s="183"/>
      <c r="W22" s="183"/>
      <c r="X22" s="470" t="e">
        <f t="shared" si="0"/>
        <v>#N/A</v>
      </c>
      <c r="Y22" s="629"/>
      <c r="Z22" s="183"/>
      <c r="AA22" s="183"/>
      <c r="AB22" s="183"/>
      <c r="AC22" s="470" t="e">
        <f t="shared" si="1"/>
        <v>#N/A</v>
      </c>
      <c r="AD22" s="629"/>
      <c r="AE22" s="183"/>
      <c r="AF22" s="183"/>
      <c r="AG22" s="183"/>
      <c r="AH22" s="470" t="e">
        <f t="shared" si="2"/>
        <v>#N/A</v>
      </c>
      <c r="AI22" s="629"/>
      <c r="AJ22" s="183"/>
      <c r="AK22" s="183"/>
      <c r="AL22" s="183"/>
      <c r="AM22" s="470" t="e">
        <f t="shared" si="3"/>
        <v>#N/A</v>
      </c>
      <c r="AN22" s="629"/>
      <c r="AO22" s="183"/>
      <c r="AP22" s="183"/>
      <c r="AQ22" s="183"/>
      <c r="AR22" s="470" t="e">
        <f t="shared" si="4"/>
        <v>#N/A</v>
      </c>
      <c r="AS22" s="629"/>
      <c r="AT22" s="183">
        <v>4</v>
      </c>
      <c r="AU22" s="183">
        <v>3083.0769230769338</v>
      </c>
      <c r="AV22" s="183">
        <v>770.76923076923345</v>
      </c>
      <c r="AW22" s="470">
        <f t="shared" si="5"/>
        <v>11</v>
      </c>
      <c r="AX22" s="629"/>
      <c r="AZ22" s="378" t="e">
        <f>RANK(AX22, $K$7:AX$36)</f>
        <v>#N/A</v>
      </c>
      <c r="BB22" s="376" t="e">
        <f t="shared" si="6"/>
        <v>#N/A</v>
      </c>
    </row>
    <row r="23" spans="2:54">
      <c r="B23" s="627"/>
      <c r="C23" s="470">
        <v>17</v>
      </c>
      <c r="D23" s="470" t="s">
        <v>695</v>
      </c>
      <c r="E23" s="470">
        <v>4</v>
      </c>
      <c r="F23" s="470">
        <v>3300</v>
      </c>
      <c r="G23" s="470">
        <v>825</v>
      </c>
      <c r="H23" s="629"/>
      <c r="I23" s="472">
        <f t="shared" si="7"/>
        <v>3</v>
      </c>
      <c r="J23" s="472">
        <f t="shared" si="8"/>
        <v>2893.5483870967769</v>
      </c>
      <c r="K23" s="201">
        <f t="shared" si="9"/>
        <v>964.51612903225896</v>
      </c>
      <c r="L23" s="601"/>
      <c r="M23" s="472">
        <f>RANK(K23, $K$7:K$36)</f>
        <v>1</v>
      </c>
      <c r="N23" s="619"/>
      <c r="O23" s="619"/>
      <c r="P23" s="183"/>
      <c r="Q23" s="183"/>
      <c r="R23" s="183"/>
      <c r="S23" s="470" t="e">
        <f t="shared" si="10"/>
        <v>#N/A</v>
      </c>
      <c r="T23" s="629"/>
      <c r="U23" s="183"/>
      <c r="V23" s="183"/>
      <c r="W23" s="183"/>
      <c r="X23" s="470" t="e">
        <f t="shared" si="0"/>
        <v>#N/A</v>
      </c>
      <c r="Y23" s="629"/>
      <c r="Z23" s="183"/>
      <c r="AA23" s="183"/>
      <c r="AB23" s="183"/>
      <c r="AC23" s="470" t="e">
        <f t="shared" si="1"/>
        <v>#N/A</v>
      </c>
      <c r="AD23" s="629"/>
      <c r="AE23" s="183"/>
      <c r="AF23" s="183"/>
      <c r="AG23" s="183"/>
      <c r="AH23" s="470" t="e">
        <f t="shared" si="2"/>
        <v>#N/A</v>
      </c>
      <c r="AI23" s="629"/>
      <c r="AJ23" s="183"/>
      <c r="AK23" s="183"/>
      <c r="AL23" s="183"/>
      <c r="AM23" s="470" t="e">
        <f t="shared" si="3"/>
        <v>#N/A</v>
      </c>
      <c r="AN23" s="629"/>
      <c r="AO23" s="183"/>
      <c r="AP23" s="183"/>
      <c r="AQ23" s="183"/>
      <c r="AR23" s="470" t="e">
        <f t="shared" si="4"/>
        <v>#N/A</v>
      </c>
      <c r="AS23" s="629"/>
      <c r="AT23" s="183">
        <v>3</v>
      </c>
      <c r="AU23" s="183">
        <v>2893.5483870967769</v>
      </c>
      <c r="AV23" s="183">
        <v>964.51612903225896</v>
      </c>
      <c r="AW23" s="470">
        <f t="shared" si="5"/>
        <v>1</v>
      </c>
      <c r="AX23" s="629"/>
      <c r="AZ23" s="378" t="e">
        <f>RANK(AX23, $K$7:AX$36)</f>
        <v>#N/A</v>
      </c>
      <c r="BB23" s="376" t="e">
        <f t="shared" si="6"/>
        <v>#N/A</v>
      </c>
    </row>
    <row r="24" spans="2:54">
      <c r="B24" s="627"/>
      <c r="C24" s="470">
        <v>18</v>
      </c>
      <c r="D24" s="470" t="s">
        <v>815</v>
      </c>
      <c r="E24" s="470">
        <v>3</v>
      </c>
      <c r="F24" s="470">
        <v>2800</v>
      </c>
      <c r="G24" s="470">
        <v>933.33333333333337</v>
      </c>
      <c r="H24" s="629"/>
      <c r="I24" s="472">
        <f t="shared" si="7"/>
        <v>3</v>
      </c>
      <c r="J24" s="472">
        <f t="shared" si="8"/>
        <v>2718.1395348837204</v>
      </c>
      <c r="K24" s="201">
        <f t="shared" si="9"/>
        <v>906.04651162790685</v>
      </c>
      <c r="L24" s="601"/>
      <c r="M24" s="472">
        <f>RANK(K24, $K$7:K$36)</f>
        <v>5</v>
      </c>
      <c r="N24" s="619"/>
      <c r="O24" s="619"/>
      <c r="P24" s="183"/>
      <c r="Q24" s="183"/>
      <c r="R24" s="183"/>
      <c r="S24" s="470" t="e">
        <f t="shared" si="10"/>
        <v>#N/A</v>
      </c>
      <c r="T24" s="629"/>
      <c r="U24" s="183"/>
      <c r="V24" s="183"/>
      <c r="W24" s="183"/>
      <c r="X24" s="470" t="e">
        <f t="shared" si="0"/>
        <v>#N/A</v>
      </c>
      <c r="Y24" s="629"/>
      <c r="Z24" s="183"/>
      <c r="AA24" s="183"/>
      <c r="AB24" s="183"/>
      <c r="AC24" s="470" t="e">
        <f t="shared" si="1"/>
        <v>#N/A</v>
      </c>
      <c r="AD24" s="629"/>
      <c r="AE24" s="183"/>
      <c r="AF24" s="183"/>
      <c r="AG24" s="183"/>
      <c r="AH24" s="470" t="e">
        <f t="shared" si="2"/>
        <v>#N/A</v>
      </c>
      <c r="AI24" s="629"/>
      <c r="AJ24" s="183"/>
      <c r="AK24" s="183"/>
      <c r="AL24" s="183"/>
      <c r="AM24" s="470" t="e">
        <f t="shared" si="3"/>
        <v>#N/A</v>
      </c>
      <c r="AN24" s="629"/>
      <c r="AO24" s="183"/>
      <c r="AP24" s="183"/>
      <c r="AQ24" s="183"/>
      <c r="AR24" s="470" t="e">
        <f t="shared" si="4"/>
        <v>#N/A</v>
      </c>
      <c r="AS24" s="629"/>
      <c r="AT24" s="183">
        <v>3</v>
      </c>
      <c r="AU24" s="183">
        <v>2718.1395348837204</v>
      </c>
      <c r="AV24" s="183">
        <v>906.04651162790685</v>
      </c>
      <c r="AW24" s="470">
        <f t="shared" si="5"/>
        <v>5</v>
      </c>
      <c r="AX24" s="629"/>
      <c r="AZ24" s="378" t="e">
        <f>RANK(AX24, $K$7:AX$36)</f>
        <v>#N/A</v>
      </c>
      <c r="BB24" s="376" t="e">
        <f t="shared" si="6"/>
        <v>#N/A</v>
      </c>
    </row>
    <row r="25" spans="2:54">
      <c r="B25" s="627"/>
      <c r="C25" s="470">
        <v>19</v>
      </c>
      <c r="D25" s="470" t="s">
        <v>832</v>
      </c>
      <c r="E25" s="470">
        <v>4</v>
      </c>
      <c r="F25" s="470">
        <v>3000</v>
      </c>
      <c r="G25" s="470">
        <v>750</v>
      </c>
      <c r="H25" s="629"/>
      <c r="I25" s="472">
        <f t="shared" si="7"/>
        <v>4</v>
      </c>
      <c r="J25" s="472">
        <f t="shared" si="8"/>
        <v>2075.9999999999982</v>
      </c>
      <c r="K25" s="201">
        <f t="shared" si="9"/>
        <v>518.99999999999955</v>
      </c>
      <c r="L25" s="601"/>
      <c r="M25" s="472">
        <f>RANK(K25, $K$7:K$36)</f>
        <v>19</v>
      </c>
      <c r="N25" s="619"/>
      <c r="O25" s="619"/>
      <c r="P25" s="183"/>
      <c r="Q25" s="183"/>
      <c r="R25" s="183"/>
      <c r="S25" s="470" t="e">
        <f t="shared" si="10"/>
        <v>#N/A</v>
      </c>
      <c r="T25" s="629"/>
      <c r="U25" s="183"/>
      <c r="V25" s="183"/>
      <c r="W25" s="183"/>
      <c r="X25" s="470" t="e">
        <f t="shared" si="0"/>
        <v>#N/A</v>
      </c>
      <c r="Y25" s="629"/>
      <c r="Z25" s="183"/>
      <c r="AA25" s="183"/>
      <c r="AB25" s="183"/>
      <c r="AC25" s="470" t="e">
        <f t="shared" si="1"/>
        <v>#N/A</v>
      </c>
      <c r="AD25" s="629"/>
      <c r="AE25" s="183"/>
      <c r="AF25" s="183"/>
      <c r="AG25" s="183"/>
      <c r="AH25" s="470" t="e">
        <f t="shared" si="2"/>
        <v>#N/A</v>
      </c>
      <c r="AI25" s="629"/>
      <c r="AJ25" s="183"/>
      <c r="AK25" s="183"/>
      <c r="AL25" s="183"/>
      <c r="AM25" s="470" t="e">
        <f t="shared" si="3"/>
        <v>#N/A</v>
      </c>
      <c r="AN25" s="629"/>
      <c r="AO25" s="183"/>
      <c r="AP25" s="183"/>
      <c r="AQ25" s="183"/>
      <c r="AR25" s="470" t="e">
        <f t="shared" si="4"/>
        <v>#N/A</v>
      </c>
      <c r="AS25" s="629"/>
      <c r="AT25" s="183">
        <v>4</v>
      </c>
      <c r="AU25" s="183">
        <v>2075.9999999999982</v>
      </c>
      <c r="AV25" s="183">
        <v>518.99999999999955</v>
      </c>
      <c r="AW25" s="470">
        <f t="shared" si="5"/>
        <v>19</v>
      </c>
      <c r="AX25" s="629"/>
      <c r="AZ25" s="378" t="e">
        <f>RANK(AX25, $K$7:AX$36)</f>
        <v>#N/A</v>
      </c>
      <c r="BB25" s="376" t="e">
        <f t="shared" si="6"/>
        <v>#N/A</v>
      </c>
    </row>
    <row r="26" spans="2:54">
      <c r="B26" s="627"/>
      <c r="C26" s="470">
        <v>20</v>
      </c>
      <c r="D26" s="470" t="s">
        <v>833</v>
      </c>
      <c r="E26" s="470">
        <v>12</v>
      </c>
      <c r="F26" s="470">
        <v>1500</v>
      </c>
      <c r="G26" s="470">
        <v>125</v>
      </c>
      <c r="H26" s="629"/>
      <c r="I26" s="472">
        <f t="shared" si="7"/>
        <v>12</v>
      </c>
      <c r="J26" s="472">
        <f t="shared" si="8"/>
        <v>1447.2000000000005</v>
      </c>
      <c r="K26" s="201">
        <f t="shared" si="9"/>
        <v>120.60000000000004</v>
      </c>
      <c r="L26" s="601"/>
      <c r="M26" s="472">
        <f>RANK(K26, $K$7:K$36)</f>
        <v>20</v>
      </c>
      <c r="N26" s="619"/>
      <c r="O26" s="619"/>
      <c r="P26" s="183"/>
      <c r="Q26" s="183"/>
      <c r="R26" s="183"/>
      <c r="S26" s="470" t="e">
        <f t="shared" si="10"/>
        <v>#N/A</v>
      </c>
      <c r="T26" s="629"/>
      <c r="U26" s="183"/>
      <c r="V26" s="183"/>
      <c r="W26" s="183"/>
      <c r="X26" s="470" t="e">
        <f t="shared" si="0"/>
        <v>#N/A</v>
      </c>
      <c r="Y26" s="629"/>
      <c r="Z26" s="183"/>
      <c r="AA26" s="183"/>
      <c r="AB26" s="183"/>
      <c r="AC26" s="470" t="e">
        <f t="shared" si="1"/>
        <v>#N/A</v>
      </c>
      <c r="AD26" s="629"/>
      <c r="AE26" s="183"/>
      <c r="AF26" s="183"/>
      <c r="AG26" s="183"/>
      <c r="AH26" s="470" t="e">
        <f t="shared" si="2"/>
        <v>#N/A</v>
      </c>
      <c r="AI26" s="629"/>
      <c r="AJ26" s="183"/>
      <c r="AK26" s="183"/>
      <c r="AL26" s="183"/>
      <c r="AM26" s="470" t="e">
        <f t="shared" si="3"/>
        <v>#N/A</v>
      </c>
      <c r="AN26" s="629"/>
      <c r="AO26" s="183"/>
      <c r="AP26" s="183"/>
      <c r="AQ26" s="183"/>
      <c r="AR26" s="470" t="e">
        <f t="shared" si="4"/>
        <v>#N/A</v>
      </c>
      <c r="AS26" s="629"/>
      <c r="AT26" s="183">
        <v>12</v>
      </c>
      <c r="AU26" s="183">
        <v>1447.2000000000005</v>
      </c>
      <c r="AV26" s="183">
        <v>120.60000000000004</v>
      </c>
      <c r="AW26" s="470">
        <f t="shared" si="5"/>
        <v>20</v>
      </c>
      <c r="AX26" s="629"/>
      <c r="AZ26" s="378" t="e">
        <f>RANK(AX26, $K$7:AX$36)</f>
        <v>#N/A</v>
      </c>
      <c r="BB26" s="376" t="e">
        <f t="shared" si="6"/>
        <v>#N/A</v>
      </c>
    </row>
    <row r="27" spans="2:54">
      <c r="B27" s="627"/>
      <c r="C27" s="470">
        <v>21</v>
      </c>
      <c r="D27" s="470" t="s">
        <v>890</v>
      </c>
      <c r="E27" s="470">
        <v>4</v>
      </c>
      <c r="F27" s="470">
        <v>3000</v>
      </c>
      <c r="G27" s="470">
        <v>750</v>
      </c>
      <c r="H27" s="629"/>
      <c r="I27" s="472">
        <f t="shared" si="7"/>
        <v>3</v>
      </c>
      <c r="J27" s="472">
        <f t="shared" si="8"/>
        <v>2274.3999999999983</v>
      </c>
      <c r="K27" s="201">
        <f t="shared" si="9"/>
        <v>758.13333333333276</v>
      </c>
      <c r="L27" s="601"/>
      <c r="M27" s="472">
        <f>RANK(K27, $K$7:K$36)</f>
        <v>12</v>
      </c>
      <c r="N27" s="619"/>
      <c r="O27" s="619"/>
      <c r="P27" s="183"/>
      <c r="Q27" s="183"/>
      <c r="R27" s="183"/>
      <c r="S27" s="470" t="e">
        <f t="shared" si="10"/>
        <v>#N/A</v>
      </c>
      <c r="T27" s="629"/>
      <c r="U27" s="183"/>
      <c r="V27" s="183"/>
      <c r="W27" s="183"/>
      <c r="X27" s="470" t="e">
        <f t="shared" si="0"/>
        <v>#N/A</v>
      </c>
      <c r="Y27" s="629"/>
      <c r="Z27" s="183"/>
      <c r="AA27" s="183"/>
      <c r="AB27" s="183"/>
      <c r="AC27" s="470" t="e">
        <f t="shared" si="1"/>
        <v>#N/A</v>
      </c>
      <c r="AD27" s="629"/>
      <c r="AE27" s="183"/>
      <c r="AF27" s="183"/>
      <c r="AG27" s="183"/>
      <c r="AH27" s="470" t="e">
        <f t="shared" si="2"/>
        <v>#N/A</v>
      </c>
      <c r="AI27" s="629"/>
      <c r="AJ27" s="183"/>
      <c r="AK27" s="183"/>
      <c r="AL27" s="183"/>
      <c r="AM27" s="470" t="e">
        <f t="shared" si="3"/>
        <v>#N/A</v>
      </c>
      <c r="AN27" s="629"/>
      <c r="AO27" s="183"/>
      <c r="AP27" s="183"/>
      <c r="AQ27" s="183"/>
      <c r="AR27" s="470" t="e">
        <f t="shared" si="4"/>
        <v>#N/A</v>
      </c>
      <c r="AS27" s="629"/>
      <c r="AT27" s="183">
        <v>3</v>
      </c>
      <c r="AU27" s="183">
        <v>2274.3999999999983</v>
      </c>
      <c r="AV27" s="183">
        <v>758.13333333333276</v>
      </c>
      <c r="AW27" s="470">
        <f t="shared" si="5"/>
        <v>12</v>
      </c>
      <c r="AX27" s="629"/>
      <c r="AZ27" s="378" t="e">
        <f>RANK(AX27, $K$7:AX$36)</f>
        <v>#N/A</v>
      </c>
      <c r="BB27" s="376" t="e">
        <f t="shared" si="6"/>
        <v>#N/A</v>
      </c>
    </row>
    <row r="28" spans="2:54">
      <c r="B28" s="627"/>
      <c r="C28" s="470">
        <v>22</v>
      </c>
      <c r="D28" s="470"/>
      <c r="E28" s="470"/>
      <c r="F28" s="470"/>
      <c r="G28" s="470"/>
      <c r="H28" s="629"/>
      <c r="I28" s="472"/>
      <c r="J28" s="472"/>
      <c r="K28" s="201"/>
      <c r="L28" s="601"/>
      <c r="M28" s="472" t="e">
        <f>RANK(K28, $K$7:K$36)</f>
        <v>#N/A</v>
      </c>
      <c r="N28" s="619"/>
      <c r="O28" s="619"/>
      <c r="P28" s="183"/>
      <c r="Q28" s="183"/>
      <c r="R28" s="183"/>
      <c r="S28" s="470" t="e">
        <f t="shared" si="10"/>
        <v>#N/A</v>
      </c>
      <c r="T28" s="629"/>
      <c r="U28" s="183"/>
      <c r="V28" s="183"/>
      <c r="W28" s="183"/>
      <c r="X28" s="470" t="e">
        <f t="shared" si="0"/>
        <v>#N/A</v>
      </c>
      <c r="Y28" s="629"/>
      <c r="Z28" s="183"/>
      <c r="AA28" s="183"/>
      <c r="AB28" s="183"/>
      <c r="AC28" s="470" t="e">
        <f t="shared" si="1"/>
        <v>#N/A</v>
      </c>
      <c r="AD28" s="629"/>
      <c r="AE28" s="183"/>
      <c r="AF28" s="183"/>
      <c r="AG28" s="183"/>
      <c r="AH28" s="470" t="e">
        <f t="shared" si="2"/>
        <v>#N/A</v>
      </c>
      <c r="AI28" s="629"/>
      <c r="AJ28" s="183"/>
      <c r="AK28" s="183"/>
      <c r="AL28" s="183"/>
      <c r="AM28" s="470" t="e">
        <f t="shared" si="3"/>
        <v>#N/A</v>
      </c>
      <c r="AN28" s="629"/>
      <c r="AO28" s="183"/>
      <c r="AP28" s="183"/>
      <c r="AQ28" s="183"/>
      <c r="AR28" s="470" t="e">
        <f t="shared" si="4"/>
        <v>#N/A</v>
      </c>
      <c r="AS28" s="629"/>
      <c r="AT28" s="183"/>
      <c r="AU28" s="183"/>
      <c r="AV28" s="183"/>
      <c r="AW28" s="470" t="e">
        <f t="shared" si="5"/>
        <v>#N/A</v>
      </c>
      <c r="AX28" s="629"/>
      <c r="AZ28" s="378" t="e">
        <f>RANK(AX28, $K$7:AX$36)</f>
        <v>#N/A</v>
      </c>
      <c r="BB28" s="376" t="e">
        <f t="shared" si="6"/>
        <v>#N/A</v>
      </c>
    </row>
    <row r="29" spans="2:54">
      <c r="B29" s="627"/>
      <c r="C29" s="470">
        <v>23</v>
      </c>
      <c r="D29" s="470"/>
      <c r="E29" s="470"/>
      <c r="F29" s="470"/>
      <c r="G29" s="470"/>
      <c r="H29" s="629"/>
      <c r="I29" s="472"/>
      <c r="J29" s="472"/>
      <c r="K29" s="201"/>
      <c r="L29" s="601"/>
      <c r="M29" s="472" t="e">
        <f>RANK(K29, $K$7:K$36)</f>
        <v>#N/A</v>
      </c>
      <c r="N29" s="619"/>
      <c r="O29" s="619"/>
      <c r="P29" s="183"/>
      <c r="Q29" s="183"/>
      <c r="R29" s="183"/>
      <c r="S29" s="470" t="e">
        <f t="shared" si="10"/>
        <v>#N/A</v>
      </c>
      <c r="T29" s="629"/>
      <c r="U29" s="183"/>
      <c r="V29" s="183"/>
      <c r="W29" s="183"/>
      <c r="X29" s="470" t="e">
        <f t="shared" si="0"/>
        <v>#N/A</v>
      </c>
      <c r="Y29" s="629"/>
      <c r="Z29" s="183"/>
      <c r="AA29" s="183"/>
      <c r="AB29" s="183"/>
      <c r="AC29" s="470" t="e">
        <f t="shared" si="1"/>
        <v>#N/A</v>
      </c>
      <c r="AD29" s="629"/>
      <c r="AE29" s="183"/>
      <c r="AF29" s="183"/>
      <c r="AG29" s="183"/>
      <c r="AH29" s="470" t="e">
        <f t="shared" si="2"/>
        <v>#N/A</v>
      </c>
      <c r="AI29" s="629"/>
      <c r="AJ29" s="183"/>
      <c r="AK29" s="183"/>
      <c r="AL29" s="183"/>
      <c r="AM29" s="470" t="e">
        <f t="shared" si="3"/>
        <v>#N/A</v>
      </c>
      <c r="AN29" s="629"/>
      <c r="AO29" s="183"/>
      <c r="AP29" s="183"/>
      <c r="AQ29" s="183"/>
      <c r="AR29" s="470" t="e">
        <f t="shared" si="4"/>
        <v>#N/A</v>
      </c>
      <c r="AS29" s="629"/>
      <c r="AT29" s="183"/>
      <c r="AU29" s="183"/>
      <c r="AV29" s="183"/>
      <c r="AW29" s="470" t="e">
        <f t="shared" si="5"/>
        <v>#N/A</v>
      </c>
      <c r="AX29" s="629"/>
      <c r="AZ29" s="378" t="e">
        <f>RANK(AX29, $K$7:AX$36)</f>
        <v>#N/A</v>
      </c>
      <c r="BB29" s="376" t="e">
        <f t="shared" si="6"/>
        <v>#N/A</v>
      </c>
    </row>
    <row r="30" spans="2:54">
      <c r="B30" s="627"/>
      <c r="C30" s="470">
        <v>24</v>
      </c>
      <c r="D30" s="470"/>
      <c r="E30" s="470"/>
      <c r="F30" s="470"/>
      <c r="G30" s="470"/>
      <c r="H30" s="629"/>
      <c r="I30" s="472"/>
      <c r="J30" s="472"/>
      <c r="K30" s="201"/>
      <c r="L30" s="601"/>
      <c r="M30" s="472" t="e">
        <f>RANK(K30, $K$7:K$36)</f>
        <v>#N/A</v>
      </c>
      <c r="N30" s="619"/>
      <c r="O30" s="619"/>
      <c r="P30" s="183"/>
      <c r="Q30" s="183"/>
      <c r="R30" s="183"/>
      <c r="S30" s="470" t="e">
        <f t="shared" si="10"/>
        <v>#N/A</v>
      </c>
      <c r="T30" s="629"/>
      <c r="U30" s="183"/>
      <c r="V30" s="183"/>
      <c r="W30" s="183"/>
      <c r="X30" s="470" t="e">
        <f t="shared" si="0"/>
        <v>#N/A</v>
      </c>
      <c r="Y30" s="629"/>
      <c r="Z30" s="183"/>
      <c r="AA30" s="183"/>
      <c r="AB30" s="183"/>
      <c r="AC30" s="470" t="e">
        <f t="shared" si="1"/>
        <v>#N/A</v>
      </c>
      <c r="AD30" s="629"/>
      <c r="AE30" s="183"/>
      <c r="AF30" s="183"/>
      <c r="AG30" s="183"/>
      <c r="AH30" s="470" t="e">
        <f t="shared" si="2"/>
        <v>#N/A</v>
      </c>
      <c r="AI30" s="629"/>
      <c r="AJ30" s="183"/>
      <c r="AK30" s="183"/>
      <c r="AL30" s="183"/>
      <c r="AM30" s="470" t="e">
        <f t="shared" si="3"/>
        <v>#N/A</v>
      </c>
      <c r="AN30" s="629"/>
      <c r="AO30" s="183"/>
      <c r="AP30" s="183"/>
      <c r="AQ30" s="183"/>
      <c r="AR30" s="470" t="e">
        <f t="shared" si="4"/>
        <v>#N/A</v>
      </c>
      <c r="AS30" s="629"/>
      <c r="AT30" s="183"/>
      <c r="AU30" s="183"/>
      <c r="AV30" s="183"/>
      <c r="AW30" s="470" t="e">
        <f t="shared" si="5"/>
        <v>#N/A</v>
      </c>
      <c r="AX30" s="629"/>
      <c r="AZ30" s="378" t="e">
        <f>RANK(AX30, $K$7:AX$36)</f>
        <v>#N/A</v>
      </c>
      <c r="BB30" s="376" t="e">
        <f t="shared" si="6"/>
        <v>#N/A</v>
      </c>
    </row>
    <row r="31" spans="2:54">
      <c r="B31" s="627"/>
      <c r="C31" s="470">
        <v>25</v>
      </c>
      <c r="D31" s="470"/>
      <c r="E31" s="470"/>
      <c r="F31" s="470"/>
      <c r="G31" s="470"/>
      <c r="H31" s="629"/>
      <c r="I31" s="203"/>
      <c r="J31" s="203"/>
      <c r="K31" s="203"/>
      <c r="L31" s="601"/>
      <c r="M31" s="472" t="e">
        <f>RANK(K31, $K$7:K$36)</f>
        <v>#N/A</v>
      </c>
      <c r="N31" s="619"/>
      <c r="O31" s="619"/>
      <c r="P31" s="470"/>
      <c r="Q31" s="470"/>
      <c r="R31" s="470"/>
      <c r="S31" s="470" t="e">
        <f t="shared" si="10"/>
        <v>#N/A</v>
      </c>
      <c r="T31" s="629"/>
      <c r="U31" s="470"/>
      <c r="V31" s="470"/>
      <c r="W31" s="470"/>
      <c r="X31" s="470" t="e">
        <f t="shared" si="0"/>
        <v>#N/A</v>
      </c>
      <c r="Y31" s="629"/>
      <c r="Z31" s="470"/>
      <c r="AA31" s="470"/>
      <c r="AB31" s="470"/>
      <c r="AC31" s="470" t="e">
        <f t="shared" si="1"/>
        <v>#N/A</v>
      </c>
      <c r="AD31" s="629"/>
      <c r="AE31" s="470"/>
      <c r="AF31" s="470"/>
      <c r="AG31" s="470"/>
      <c r="AH31" s="470" t="e">
        <f t="shared" si="2"/>
        <v>#N/A</v>
      </c>
      <c r="AI31" s="629"/>
      <c r="AJ31" s="470"/>
      <c r="AK31" s="470"/>
      <c r="AL31" s="470"/>
      <c r="AM31" s="470" t="e">
        <f t="shared" si="3"/>
        <v>#N/A</v>
      </c>
      <c r="AN31" s="629"/>
      <c r="AO31" s="470"/>
      <c r="AP31" s="470"/>
      <c r="AQ31" s="470"/>
      <c r="AR31" s="470" t="e">
        <f t="shared" si="4"/>
        <v>#N/A</v>
      </c>
      <c r="AS31" s="629"/>
      <c r="AT31" s="470"/>
      <c r="AU31" s="470"/>
      <c r="AV31" s="470"/>
      <c r="AW31" s="470" t="e">
        <f t="shared" si="5"/>
        <v>#N/A</v>
      </c>
      <c r="AX31" s="629"/>
      <c r="AZ31" s="378" t="e">
        <f>RANK(AX31, $K$7:AX$36)</f>
        <v>#N/A</v>
      </c>
      <c r="BB31" s="376" t="e">
        <f t="shared" si="6"/>
        <v>#N/A</v>
      </c>
    </row>
    <row r="32" spans="2:54">
      <c r="B32" s="627"/>
      <c r="C32" s="470">
        <v>26</v>
      </c>
      <c r="D32" s="470"/>
      <c r="E32" s="470"/>
      <c r="F32" s="470"/>
      <c r="G32" s="470"/>
      <c r="H32" s="629"/>
      <c r="I32" s="203"/>
      <c r="J32" s="203"/>
      <c r="K32" s="203"/>
      <c r="L32" s="601"/>
      <c r="M32" s="472" t="e">
        <f>RANK(K32, $K$7:K$36)</f>
        <v>#N/A</v>
      </c>
      <c r="N32" s="619"/>
      <c r="O32" s="619"/>
      <c r="P32" s="470"/>
      <c r="Q32" s="470"/>
      <c r="R32" s="470"/>
      <c r="S32" s="470" t="e">
        <f t="shared" si="10"/>
        <v>#N/A</v>
      </c>
      <c r="T32" s="629"/>
      <c r="U32" s="470"/>
      <c r="V32" s="470"/>
      <c r="W32" s="470"/>
      <c r="X32" s="470" t="e">
        <f t="shared" si="0"/>
        <v>#N/A</v>
      </c>
      <c r="Y32" s="629"/>
      <c r="Z32" s="470"/>
      <c r="AA32" s="470"/>
      <c r="AB32" s="470"/>
      <c r="AC32" s="470" t="e">
        <f t="shared" si="1"/>
        <v>#N/A</v>
      </c>
      <c r="AD32" s="629"/>
      <c r="AE32" s="470"/>
      <c r="AF32" s="470"/>
      <c r="AG32" s="470"/>
      <c r="AH32" s="470" t="e">
        <f t="shared" si="2"/>
        <v>#N/A</v>
      </c>
      <c r="AI32" s="629"/>
      <c r="AJ32" s="470"/>
      <c r="AK32" s="470"/>
      <c r="AL32" s="470"/>
      <c r="AM32" s="470" t="e">
        <f t="shared" si="3"/>
        <v>#N/A</v>
      </c>
      <c r="AN32" s="629"/>
      <c r="AO32" s="470"/>
      <c r="AP32" s="470"/>
      <c r="AQ32" s="470"/>
      <c r="AR32" s="470" t="e">
        <f t="shared" si="4"/>
        <v>#N/A</v>
      </c>
      <c r="AS32" s="629"/>
      <c r="AT32" s="470"/>
      <c r="AU32" s="470"/>
      <c r="AV32" s="470"/>
      <c r="AW32" s="470" t="e">
        <f t="shared" si="5"/>
        <v>#N/A</v>
      </c>
      <c r="AX32" s="629"/>
      <c r="AZ32" s="378" t="e">
        <f>RANK(AX32, $K$7:AX$36)</f>
        <v>#N/A</v>
      </c>
      <c r="BB32" s="376" t="e">
        <f t="shared" si="6"/>
        <v>#N/A</v>
      </c>
    </row>
    <row r="33" spans="2:54">
      <c r="B33" s="627"/>
      <c r="C33" s="470">
        <v>27</v>
      </c>
      <c r="D33" s="470"/>
      <c r="E33" s="470"/>
      <c r="F33" s="470"/>
      <c r="G33" s="470"/>
      <c r="H33" s="629"/>
      <c r="I33" s="203"/>
      <c r="J33" s="203"/>
      <c r="K33" s="203"/>
      <c r="L33" s="601"/>
      <c r="M33" s="472" t="e">
        <f>RANK(K33, $K$7:K$36)</f>
        <v>#N/A</v>
      </c>
      <c r="N33" s="619"/>
      <c r="O33" s="619"/>
      <c r="P33" s="470"/>
      <c r="Q33" s="470"/>
      <c r="R33" s="470"/>
      <c r="S33" s="470" t="e">
        <f t="shared" si="10"/>
        <v>#N/A</v>
      </c>
      <c r="T33" s="629"/>
      <c r="U33" s="470"/>
      <c r="V33" s="470"/>
      <c r="W33" s="470"/>
      <c r="X33" s="470" t="e">
        <f t="shared" si="0"/>
        <v>#N/A</v>
      </c>
      <c r="Y33" s="629"/>
      <c r="Z33" s="470"/>
      <c r="AA33" s="470"/>
      <c r="AB33" s="470"/>
      <c r="AC33" s="470" t="e">
        <f t="shared" si="1"/>
        <v>#N/A</v>
      </c>
      <c r="AD33" s="629"/>
      <c r="AE33" s="470"/>
      <c r="AF33" s="470"/>
      <c r="AG33" s="470"/>
      <c r="AH33" s="470" t="e">
        <f t="shared" si="2"/>
        <v>#N/A</v>
      </c>
      <c r="AI33" s="629"/>
      <c r="AJ33" s="470"/>
      <c r="AK33" s="470"/>
      <c r="AL33" s="470"/>
      <c r="AM33" s="470" t="e">
        <f t="shared" si="3"/>
        <v>#N/A</v>
      </c>
      <c r="AN33" s="629"/>
      <c r="AO33" s="470"/>
      <c r="AP33" s="470"/>
      <c r="AQ33" s="470"/>
      <c r="AR33" s="470" t="e">
        <f t="shared" si="4"/>
        <v>#N/A</v>
      </c>
      <c r="AS33" s="629"/>
      <c r="AT33" s="470"/>
      <c r="AU33" s="470"/>
      <c r="AV33" s="470"/>
      <c r="AW33" s="470" t="e">
        <f t="shared" si="5"/>
        <v>#N/A</v>
      </c>
      <c r="AX33" s="629"/>
      <c r="AZ33" s="378" t="e">
        <f>RANK(AX33, $K$7:AX$36)</f>
        <v>#N/A</v>
      </c>
      <c r="BB33" s="376" t="e">
        <f t="shared" si="6"/>
        <v>#N/A</v>
      </c>
    </row>
    <row r="34" spans="2:54">
      <c r="B34" s="627"/>
      <c r="C34" s="470">
        <v>28</v>
      </c>
      <c r="D34" s="470"/>
      <c r="E34" s="470"/>
      <c r="F34" s="470"/>
      <c r="G34" s="470"/>
      <c r="H34" s="629"/>
      <c r="I34" s="203"/>
      <c r="J34" s="203"/>
      <c r="K34" s="203"/>
      <c r="L34" s="601"/>
      <c r="M34" s="472" t="e">
        <f>RANK(K34, $K$7:K$36)</f>
        <v>#N/A</v>
      </c>
      <c r="N34" s="619"/>
      <c r="O34" s="619"/>
      <c r="P34" s="470"/>
      <c r="Q34" s="470"/>
      <c r="R34" s="470"/>
      <c r="S34" s="470" t="e">
        <f t="shared" si="10"/>
        <v>#N/A</v>
      </c>
      <c r="T34" s="629"/>
      <c r="U34" s="470"/>
      <c r="V34" s="470"/>
      <c r="W34" s="470"/>
      <c r="X34" s="470" t="e">
        <f t="shared" si="0"/>
        <v>#N/A</v>
      </c>
      <c r="Y34" s="629"/>
      <c r="Z34" s="470"/>
      <c r="AA34" s="470"/>
      <c r="AB34" s="470"/>
      <c r="AC34" s="470" t="e">
        <f t="shared" si="1"/>
        <v>#N/A</v>
      </c>
      <c r="AD34" s="629"/>
      <c r="AE34" s="470"/>
      <c r="AF34" s="470"/>
      <c r="AG34" s="470"/>
      <c r="AH34" s="470" t="e">
        <f t="shared" si="2"/>
        <v>#N/A</v>
      </c>
      <c r="AI34" s="629"/>
      <c r="AJ34" s="470"/>
      <c r="AK34" s="470"/>
      <c r="AL34" s="470"/>
      <c r="AM34" s="470" t="e">
        <f t="shared" si="3"/>
        <v>#N/A</v>
      </c>
      <c r="AN34" s="629"/>
      <c r="AO34" s="470"/>
      <c r="AP34" s="470"/>
      <c r="AQ34" s="470"/>
      <c r="AR34" s="470" t="e">
        <f t="shared" si="4"/>
        <v>#N/A</v>
      </c>
      <c r="AS34" s="629"/>
      <c r="AT34" s="470"/>
      <c r="AU34" s="470"/>
      <c r="AV34" s="470"/>
      <c r="AW34" s="470" t="e">
        <f t="shared" si="5"/>
        <v>#N/A</v>
      </c>
      <c r="AX34" s="629"/>
      <c r="AZ34" s="378" t="e">
        <f>RANK(AX34, $K$7:AX$36)</f>
        <v>#N/A</v>
      </c>
      <c r="BB34" s="376" t="e">
        <f t="shared" si="6"/>
        <v>#N/A</v>
      </c>
    </row>
    <row r="35" spans="2:54">
      <c r="B35" s="627"/>
      <c r="C35" s="470">
        <v>29</v>
      </c>
      <c r="D35" s="470"/>
      <c r="E35" s="470"/>
      <c r="F35" s="470"/>
      <c r="G35" s="470"/>
      <c r="H35" s="629"/>
      <c r="I35" s="203"/>
      <c r="J35" s="203"/>
      <c r="K35" s="203"/>
      <c r="L35" s="601"/>
      <c r="M35" s="472" t="e">
        <f>RANK(K35, $K$7:K$36)</f>
        <v>#N/A</v>
      </c>
      <c r="N35" s="619"/>
      <c r="O35" s="619"/>
      <c r="P35" s="470"/>
      <c r="Q35" s="470"/>
      <c r="R35" s="470"/>
      <c r="S35" s="470" t="e">
        <f t="shared" si="10"/>
        <v>#N/A</v>
      </c>
      <c r="T35" s="629"/>
      <c r="U35" s="470"/>
      <c r="V35" s="470"/>
      <c r="W35" s="470"/>
      <c r="X35" s="470" t="e">
        <f t="shared" si="0"/>
        <v>#N/A</v>
      </c>
      <c r="Y35" s="629"/>
      <c r="Z35" s="470"/>
      <c r="AA35" s="470"/>
      <c r="AB35" s="470"/>
      <c r="AC35" s="470" t="e">
        <f t="shared" si="1"/>
        <v>#N/A</v>
      </c>
      <c r="AD35" s="629"/>
      <c r="AE35" s="470"/>
      <c r="AF35" s="470"/>
      <c r="AG35" s="470"/>
      <c r="AH35" s="470" t="e">
        <f t="shared" si="2"/>
        <v>#N/A</v>
      </c>
      <c r="AI35" s="629"/>
      <c r="AJ35" s="470"/>
      <c r="AK35" s="470"/>
      <c r="AL35" s="470"/>
      <c r="AM35" s="470" t="e">
        <f t="shared" si="3"/>
        <v>#N/A</v>
      </c>
      <c r="AN35" s="629"/>
      <c r="AO35" s="470"/>
      <c r="AP35" s="470"/>
      <c r="AQ35" s="470"/>
      <c r="AR35" s="470" t="e">
        <f t="shared" si="4"/>
        <v>#N/A</v>
      </c>
      <c r="AS35" s="629"/>
      <c r="AT35" s="470"/>
      <c r="AU35" s="470"/>
      <c r="AV35" s="470"/>
      <c r="AW35" s="470" t="e">
        <f t="shared" si="5"/>
        <v>#N/A</v>
      </c>
      <c r="AX35" s="629"/>
      <c r="AZ35" s="378" t="e">
        <f>RANK(AX35, $K$7:AX$36)</f>
        <v>#N/A</v>
      </c>
      <c r="BB35" s="376" t="e">
        <f t="shared" si="6"/>
        <v>#N/A</v>
      </c>
    </row>
    <row r="36" spans="2:54">
      <c r="B36" s="627"/>
      <c r="C36" s="470">
        <v>30</v>
      </c>
      <c r="D36" s="470"/>
      <c r="E36" s="470"/>
      <c r="F36" s="470"/>
      <c r="G36" s="470"/>
      <c r="H36" s="630"/>
      <c r="I36" s="203"/>
      <c r="J36" s="203"/>
      <c r="K36" s="203"/>
      <c r="L36" s="602"/>
      <c r="M36" s="472" t="e">
        <f>RANK(K36, $K$7:K$36)</f>
        <v>#N/A</v>
      </c>
      <c r="N36" s="619"/>
      <c r="O36" s="619"/>
      <c r="P36" s="470"/>
      <c r="Q36" s="470"/>
      <c r="R36" s="470"/>
      <c r="S36" s="470" t="e">
        <f t="shared" si="10"/>
        <v>#N/A</v>
      </c>
      <c r="T36" s="630"/>
      <c r="U36" s="470"/>
      <c r="V36" s="470"/>
      <c r="W36" s="470"/>
      <c r="X36" s="470" t="e">
        <f t="shared" si="0"/>
        <v>#N/A</v>
      </c>
      <c r="Y36" s="630"/>
      <c r="Z36" s="470"/>
      <c r="AA36" s="470"/>
      <c r="AB36" s="470"/>
      <c r="AC36" s="470" t="e">
        <f t="shared" si="1"/>
        <v>#N/A</v>
      </c>
      <c r="AD36" s="630"/>
      <c r="AE36" s="470"/>
      <c r="AF36" s="470"/>
      <c r="AG36" s="470"/>
      <c r="AH36" s="470" t="e">
        <f t="shared" si="2"/>
        <v>#N/A</v>
      </c>
      <c r="AI36" s="630"/>
      <c r="AJ36" s="470"/>
      <c r="AK36" s="470"/>
      <c r="AL36" s="470"/>
      <c r="AM36" s="470" t="e">
        <f t="shared" si="3"/>
        <v>#N/A</v>
      </c>
      <c r="AN36" s="630"/>
      <c r="AO36" s="470"/>
      <c r="AP36" s="470"/>
      <c r="AQ36" s="470"/>
      <c r="AR36" s="470" t="e">
        <f t="shared" si="4"/>
        <v>#N/A</v>
      </c>
      <c r="AS36" s="630"/>
      <c r="AT36" s="470"/>
      <c r="AU36" s="470"/>
      <c r="AV36" s="470"/>
      <c r="AW36" s="470" t="e">
        <f t="shared" si="5"/>
        <v>#N/A</v>
      </c>
      <c r="AX36" s="630"/>
      <c r="AZ36" s="472" t="e">
        <f>RANK(AX36, $K$7:AX$36)</f>
        <v>#N/A</v>
      </c>
      <c r="BB36" s="376" t="e">
        <f t="shared" si="6"/>
        <v>#N/A</v>
      </c>
    </row>
    <row r="37" spans="2:54" ht="15.5">
      <c r="B37" s="644" t="s">
        <v>163</v>
      </c>
      <c r="C37" s="645"/>
      <c r="D37" s="645"/>
      <c r="E37" s="645"/>
      <c r="F37" s="645"/>
      <c r="G37" s="645"/>
      <c r="H37" s="645"/>
      <c r="I37" s="204"/>
      <c r="J37" s="204"/>
      <c r="K37" s="204"/>
      <c r="L37" s="204"/>
      <c r="M37" s="205"/>
      <c r="N37" s="620" t="s">
        <v>156</v>
      </c>
      <c r="O37" s="620" t="s">
        <v>155</v>
      </c>
      <c r="P37" s="646">
        <v>45993</v>
      </c>
      <c r="Q37" s="647"/>
      <c r="R37" s="647"/>
      <c r="S37" s="647"/>
      <c r="T37" s="647"/>
      <c r="U37" s="626">
        <f>P37+1</f>
        <v>45994</v>
      </c>
      <c r="V37" s="627"/>
      <c r="W37" s="627"/>
      <c r="X37" s="627"/>
      <c r="Y37" s="627"/>
      <c r="Z37" s="626">
        <f>U37+1</f>
        <v>45995</v>
      </c>
      <c r="AA37" s="627"/>
      <c r="AB37" s="627"/>
      <c r="AC37" s="627"/>
      <c r="AD37" s="627"/>
      <c r="AE37" s="626">
        <f>Z37+1</f>
        <v>45996</v>
      </c>
      <c r="AF37" s="627"/>
      <c r="AG37" s="627"/>
      <c r="AH37" s="627"/>
      <c r="AI37" s="627"/>
      <c r="AJ37" s="626">
        <f>AE37+1</f>
        <v>45997</v>
      </c>
      <c r="AK37" s="627"/>
      <c r="AL37" s="627"/>
      <c r="AM37" s="627"/>
      <c r="AN37" s="627"/>
      <c r="AO37" s="626">
        <f>AJ37+1</f>
        <v>45998</v>
      </c>
      <c r="AP37" s="627"/>
      <c r="AQ37" s="627"/>
      <c r="AR37" s="627"/>
      <c r="AS37" s="627"/>
      <c r="AT37" s="626">
        <f>AO37+1</f>
        <v>45999</v>
      </c>
      <c r="AU37" s="627"/>
      <c r="AV37" s="627"/>
      <c r="AW37" s="627"/>
      <c r="AX37" s="627"/>
    </row>
    <row r="38" spans="2:54" ht="15.5">
      <c r="B38" s="634"/>
      <c r="C38" s="634"/>
      <c r="D38" s="634"/>
      <c r="E38" s="634"/>
      <c r="F38" s="634"/>
      <c r="G38" s="634"/>
      <c r="H38" s="634"/>
      <c r="I38" s="206"/>
      <c r="J38" s="206"/>
      <c r="K38" s="206"/>
      <c r="L38" s="206"/>
      <c r="M38" s="207"/>
      <c r="N38" s="622"/>
      <c r="O38" s="622"/>
      <c r="P38" s="626" t="s">
        <v>336</v>
      </c>
      <c r="Q38" s="627"/>
      <c r="R38" s="627"/>
      <c r="S38" s="627"/>
      <c r="T38" s="627"/>
      <c r="U38" s="626" t="s">
        <v>337</v>
      </c>
      <c r="V38" s="627"/>
      <c r="W38" s="627"/>
      <c r="X38" s="627"/>
      <c r="Y38" s="627"/>
      <c r="Z38" s="626" t="s">
        <v>338</v>
      </c>
      <c r="AA38" s="627"/>
      <c r="AB38" s="627"/>
      <c r="AC38" s="627"/>
      <c r="AD38" s="627"/>
      <c r="AE38" s="626" t="s">
        <v>339</v>
      </c>
      <c r="AF38" s="627"/>
      <c r="AG38" s="627"/>
      <c r="AH38" s="627"/>
      <c r="AI38" s="627"/>
      <c r="AJ38" s="626" t="s">
        <v>340</v>
      </c>
      <c r="AK38" s="627"/>
      <c r="AL38" s="627"/>
      <c r="AM38" s="627"/>
      <c r="AN38" s="627"/>
      <c r="AO38" s="626" t="s">
        <v>341</v>
      </c>
      <c r="AP38" s="627"/>
      <c r="AQ38" s="627"/>
      <c r="AR38" s="627"/>
      <c r="AS38" s="627"/>
      <c r="AT38" s="626" t="s">
        <v>342</v>
      </c>
      <c r="AU38" s="627"/>
      <c r="AV38" s="627"/>
      <c r="AW38" s="627"/>
      <c r="AX38" s="627"/>
    </row>
    <row r="39" spans="2:54">
      <c r="B39" s="620" t="s">
        <v>536</v>
      </c>
      <c r="C39" s="635" t="s">
        <v>537</v>
      </c>
      <c r="D39" s="638"/>
      <c r="E39" s="616" t="s">
        <v>538</v>
      </c>
      <c r="F39" s="617"/>
      <c r="G39" s="618"/>
      <c r="H39" s="620" t="s">
        <v>440</v>
      </c>
      <c r="I39" s="607" t="s">
        <v>445</v>
      </c>
      <c r="J39" s="608"/>
      <c r="K39" s="609"/>
      <c r="L39" s="610" t="s">
        <v>440</v>
      </c>
      <c r="M39" s="610" t="s">
        <v>441</v>
      </c>
      <c r="N39" s="620"/>
      <c r="O39" s="620" t="s">
        <v>539</v>
      </c>
      <c r="P39" s="616" t="s">
        <v>540</v>
      </c>
      <c r="Q39" s="617"/>
      <c r="R39" s="617"/>
      <c r="S39" s="618"/>
      <c r="T39" s="620" t="s">
        <v>440</v>
      </c>
      <c r="U39" s="616" t="s">
        <v>442</v>
      </c>
      <c r="V39" s="617"/>
      <c r="W39" s="617"/>
      <c r="X39" s="618"/>
      <c r="Y39" s="620" t="s">
        <v>440</v>
      </c>
      <c r="Z39" s="616" t="s">
        <v>442</v>
      </c>
      <c r="AA39" s="617"/>
      <c r="AB39" s="617"/>
      <c r="AC39" s="618"/>
      <c r="AD39" s="620" t="s">
        <v>541</v>
      </c>
      <c r="AE39" s="616" t="s">
        <v>442</v>
      </c>
      <c r="AF39" s="617"/>
      <c r="AG39" s="617"/>
      <c r="AH39" s="618"/>
      <c r="AI39" s="620" t="s">
        <v>440</v>
      </c>
      <c r="AJ39" s="616" t="s">
        <v>442</v>
      </c>
      <c r="AK39" s="617"/>
      <c r="AL39" s="617"/>
      <c r="AM39" s="618"/>
      <c r="AN39" s="620" t="s">
        <v>541</v>
      </c>
      <c r="AO39" s="616" t="s">
        <v>540</v>
      </c>
      <c r="AP39" s="617"/>
      <c r="AQ39" s="617"/>
      <c r="AR39" s="618"/>
      <c r="AS39" s="620" t="s">
        <v>541</v>
      </c>
      <c r="AT39" s="616" t="s">
        <v>540</v>
      </c>
      <c r="AU39" s="617"/>
      <c r="AV39" s="617"/>
      <c r="AW39" s="618"/>
      <c r="AX39" s="620" t="s">
        <v>541</v>
      </c>
    </row>
    <row r="40" spans="2:54">
      <c r="B40" s="621"/>
      <c r="C40" s="636"/>
      <c r="D40" s="639"/>
      <c r="E40" s="616" t="s">
        <v>447</v>
      </c>
      <c r="F40" s="617"/>
      <c r="G40" s="618"/>
      <c r="H40" s="621"/>
      <c r="I40" s="607" t="s">
        <v>447</v>
      </c>
      <c r="J40" s="608"/>
      <c r="K40" s="609"/>
      <c r="L40" s="611"/>
      <c r="M40" s="611"/>
      <c r="N40" s="621"/>
      <c r="O40" s="621"/>
      <c r="P40" s="616" t="s">
        <v>448</v>
      </c>
      <c r="Q40" s="617"/>
      <c r="R40" s="617"/>
      <c r="S40" s="618"/>
      <c r="T40" s="621"/>
      <c r="U40" s="616" t="s">
        <v>542</v>
      </c>
      <c r="V40" s="617"/>
      <c r="W40" s="617"/>
      <c r="X40" s="618"/>
      <c r="Y40" s="621"/>
      <c r="Z40" s="616" t="s">
        <v>542</v>
      </c>
      <c r="AA40" s="617"/>
      <c r="AB40" s="617"/>
      <c r="AC40" s="618"/>
      <c r="AD40" s="621"/>
      <c r="AE40" s="616" t="s">
        <v>448</v>
      </c>
      <c r="AF40" s="617"/>
      <c r="AG40" s="617"/>
      <c r="AH40" s="618"/>
      <c r="AI40" s="621"/>
      <c r="AJ40" s="616" t="s">
        <v>448</v>
      </c>
      <c r="AK40" s="617"/>
      <c r="AL40" s="617"/>
      <c r="AM40" s="618"/>
      <c r="AN40" s="621"/>
      <c r="AO40" s="616" t="s">
        <v>448</v>
      </c>
      <c r="AP40" s="617"/>
      <c r="AQ40" s="617"/>
      <c r="AR40" s="618"/>
      <c r="AS40" s="621"/>
      <c r="AT40" s="616" t="s">
        <v>448</v>
      </c>
      <c r="AU40" s="617"/>
      <c r="AV40" s="617"/>
      <c r="AW40" s="618"/>
      <c r="AX40" s="621"/>
    </row>
    <row r="41" spans="2:54">
      <c r="B41" s="622"/>
      <c r="C41" s="637"/>
      <c r="D41" s="640"/>
      <c r="E41" s="329" t="s">
        <v>449</v>
      </c>
      <c r="F41" s="329" t="s">
        <v>450</v>
      </c>
      <c r="G41" s="329" t="s">
        <v>543</v>
      </c>
      <c r="H41" s="622"/>
      <c r="I41" s="328" t="s">
        <v>449</v>
      </c>
      <c r="J41" s="328" t="s">
        <v>450</v>
      </c>
      <c r="K41" s="328" t="s">
        <v>451</v>
      </c>
      <c r="L41" s="612"/>
      <c r="M41" s="612"/>
      <c r="N41" s="621"/>
      <c r="O41" s="621"/>
      <c r="P41" s="329" t="s">
        <v>449</v>
      </c>
      <c r="Q41" s="329" t="s">
        <v>544</v>
      </c>
      <c r="R41" s="329" t="s">
        <v>451</v>
      </c>
      <c r="S41" s="329" t="s">
        <v>441</v>
      </c>
      <c r="T41" s="622"/>
      <c r="U41" s="329" t="s">
        <v>449</v>
      </c>
      <c r="V41" s="329" t="s">
        <v>450</v>
      </c>
      <c r="W41" s="329" t="s">
        <v>451</v>
      </c>
      <c r="X41" s="329" t="s">
        <v>545</v>
      </c>
      <c r="Y41" s="622"/>
      <c r="Z41" s="329" t="s">
        <v>546</v>
      </c>
      <c r="AA41" s="329" t="s">
        <v>450</v>
      </c>
      <c r="AB41" s="329" t="s">
        <v>451</v>
      </c>
      <c r="AC41" s="329" t="s">
        <v>545</v>
      </c>
      <c r="AD41" s="622"/>
      <c r="AE41" s="329" t="s">
        <v>449</v>
      </c>
      <c r="AF41" s="329" t="s">
        <v>450</v>
      </c>
      <c r="AG41" s="329" t="s">
        <v>451</v>
      </c>
      <c r="AH41" s="329" t="s">
        <v>545</v>
      </c>
      <c r="AI41" s="622"/>
      <c r="AJ41" s="329" t="s">
        <v>546</v>
      </c>
      <c r="AK41" s="329" t="s">
        <v>450</v>
      </c>
      <c r="AL41" s="329" t="s">
        <v>451</v>
      </c>
      <c r="AM41" s="329" t="s">
        <v>441</v>
      </c>
      <c r="AN41" s="622"/>
      <c r="AO41" s="329" t="s">
        <v>546</v>
      </c>
      <c r="AP41" s="329" t="s">
        <v>450</v>
      </c>
      <c r="AQ41" s="329" t="s">
        <v>451</v>
      </c>
      <c r="AR41" s="329" t="s">
        <v>545</v>
      </c>
      <c r="AS41" s="622"/>
      <c r="AT41" s="329" t="s">
        <v>546</v>
      </c>
      <c r="AU41" s="329" t="s">
        <v>450</v>
      </c>
      <c r="AV41" s="329" t="s">
        <v>451</v>
      </c>
      <c r="AW41" s="329" t="s">
        <v>545</v>
      </c>
      <c r="AX41" s="622"/>
    </row>
    <row r="42" spans="2:54">
      <c r="B42" s="641" t="s">
        <v>150</v>
      </c>
      <c r="C42" s="330">
        <v>1</v>
      </c>
      <c r="D42" s="376" t="s">
        <v>361</v>
      </c>
      <c r="E42" s="376">
        <v>4</v>
      </c>
      <c r="F42" s="183">
        <v>2200</v>
      </c>
      <c r="G42" s="183">
        <v>550</v>
      </c>
      <c r="H42" s="628">
        <f>AVERAGE(G42:G71)</f>
        <v>860.96491228070181</v>
      </c>
      <c r="I42" s="200">
        <f>AVERAGE(P42,U42,Z42,AE42,AJ42,AO42,AT42)</f>
        <v>4</v>
      </c>
      <c r="J42" s="200">
        <f>AVERAGE(Q42,V42,AA42,AF42,AK42,AP42,AU42)</f>
        <v>3202.0106060264466</v>
      </c>
      <c r="K42" s="201">
        <f>AVERAGE(R42,W42,AB42,AG42,AL42,AQ42,AV42)</f>
        <v>800.50265150661164</v>
      </c>
      <c r="L42" s="613">
        <f>IFERROR(AVERAGE(K42:K71),"-")</f>
        <v>776.15129637044049</v>
      </c>
      <c r="M42" s="200">
        <f>RANK(K42, K$42:$K$71)</f>
        <v>9</v>
      </c>
      <c r="N42" s="621"/>
      <c r="O42" s="621"/>
      <c r="P42" s="445">
        <v>4</v>
      </c>
      <c r="Q42" s="183">
        <v>3225.8181818181815</v>
      </c>
      <c r="R42" s="183">
        <v>806.45454545454538</v>
      </c>
      <c r="S42" s="330">
        <f t="shared" ref="S42:S71" si="11">RANK(R42, R$42:R$71)</f>
        <v>10</v>
      </c>
      <c r="T42" s="628">
        <f>AVERAGE(R42:R71)</f>
        <v>770.34459393247585</v>
      </c>
      <c r="U42" s="445">
        <v>4</v>
      </c>
      <c r="V42" s="183">
        <v>3163.6363636363631</v>
      </c>
      <c r="W42" s="183">
        <v>790.90909090909076</v>
      </c>
      <c r="X42" s="520">
        <f t="shared" ref="X42:X71" si="12">RANK(W42, W$42:W$71)</f>
        <v>7</v>
      </c>
      <c r="Y42" s="628">
        <f t="shared" ref="Y42" si="13">AVERAGE(W42:W71)</f>
        <v>749.14565185239564</v>
      </c>
      <c r="Z42" s="445">
        <v>4</v>
      </c>
      <c r="AA42" s="183">
        <v>3156.6666666666665</v>
      </c>
      <c r="AB42" s="183">
        <v>789.16666666666663</v>
      </c>
      <c r="AC42" s="520">
        <f t="shared" ref="AC42:AC71" si="14">RANK(AB42, AB$42:AB$71)</f>
        <v>8</v>
      </c>
      <c r="AD42" s="628">
        <f t="shared" ref="AD42" si="15">AVERAGE(AB42:AB71)</f>
        <v>750.12362711179139</v>
      </c>
      <c r="AE42" s="445">
        <v>4</v>
      </c>
      <c r="AF42" s="183">
        <v>3208.7499999999982</v>
      </c>
      <c r="AG42" s="183">
        <v>802.18749999999955</v>
      </c>
      <c r="AH42" s="520">
        <f t="shared" ref="AH42:AH71" si="16">RANK(AG42, AG$42:AG$71)</f>
        <v>11</v>
      </c>
      <c r="AI42" s="628">
        <f t="shared" ref="AI42" si="17">AVERAGE(AG42:AG71)</f>
        <v>805.23881562178667</v>
      </c>
      <c r="AJ42" s="445">
        <v>4</v>
      </c>
      <c r="AK42" s="183">
        <v>3219.1304347826085</v>
      </c>
      <c r="AL42" s="183">
        <v>804.78260869565213</v>
      </c>
      <c r="AM42" s="520">
        <f t="shared" ref="AM42:AM71" si="18">RANK(AL42, AL$42:AL$71)</f>
        <v>9</v>
      </c>
      <c r="AN42" s="628">
        <f t="shared" ref="AN42" si="19">AVERAGE(AL42:AL71)</f>
        <v>785.77990945617876</v>
      </c>
      <c r="AO42" s="445">
        <v>4</v>
      </c>
      <c r="AP42" s="183">
        <v>3264.2105263157891</v>
      </c>
      <c r="AQ42" s="183">
        <v>816.05263157894728</v>
      </c>
      <c r="AR42" s="520">
        <f t="shared" ref="AR42:AR71" si="20">RANK(AQ42, AQ$42:AQ$71)</f>
        <v>9</v>
      </c>
      <c r="AS42" s="628">
        <f t="shared" ref="AS42" si="21">AVERAGE(AQ42:AQ71)</f>
        <v>801.71444830743155</v>
      </c>
      <c r="AT42" s="445">
        <v>4</v>
      </c>
      <c r="AU42" s="183">
        <v>3175.8620689655177</v>
      </c>
      <c r="AV42" s="183">
        <v>793.96551724137942</v>
      </c>
      <c r="AW42" s="520">
        <f t="shared" ref="AW42:AW71" si="22">RANK(AV42, AV$42:AV$71)</f>
        <v>8</v>
      </c>
      <c r="AX42" s="628">
        <f t="shared" ref="AX42" si="23">AVERAGE(AV42:AV71)</f>
        <v>770.712028311023</v>
      </c>
    </row>
    <row r="43" spans="2:54">
      <c r="B43" s="642"/>
      <c r="C43" s="330">
        <v>2</v>
      </c>
      <c r="D43" s="376" t="s">
        <v>362</v>
      </c>
      <c r="E43" s="376">
        <v>3</v>
      </c>
      <c r="F43" s="183">
        <v>2700</v>
      </c>
      <c r="G43" s="183">
        <v>900</v>
      </c>
      <c r="H43" s="629"/>
      <c r="I43" s="200">
        <f t="shared" ref="I43:I60" si="24">AVERAGE(P43,U43,Z43,AE43,AJ43,AO43,AT43)</f>
        <v>3</v>
      </c>
      <c r="J43" s="200">
        <f t="shared" ref="J43:J60" si="25">AVERAGE(Q43,V43,AA43,AF43,AK43,AP43,AU43)</f>
        <v>2793.8340790861803</v>
      </c>
      <c r="K43" s="201">
        <f t="shared" ref="K43:K60" si="26">AVERAGE(R43,W43,AB43,AG43,AL43,AQ43,AV43)</f>
        <v>931.27802636206002</v>
      </c>
      <c r="L43" s="614"/>
      <c r="M43" s="200">
        <f>RANK(K43, K$42:$K$71)</f>
        <v>4</v>
      </c>
      <c r="N43" s="621"/>
      <c r="O43" s="621"/>
      <c r="P43" s="183">
        <v>3</v>
      </c>
      <c r="Q43" s="183">
        <v>2865.0000000000045</v>
      </c>
      <c r="R43" s="183">
        <v>955.00000000000148</v>
      </c>
      <c r="S43" s="330">
        <f t="shared" si="11"/>
        <v>2</v>
      </c>
      <c r="T43" s="629"/>
      <c r="U43" s="183">
        <v>3</v>
      </c>
      <c r="V43" s="183">
        <v>2694.2857142857133</v>
      </c>
      <c r="W43" s="183">
        <v>898.09523809523773</v>
      </c>
      <c r="X43" s="520">
        <f t="shared" si="12"/>
        <v>5</v>
      </c>
      <c r="Y43" s="629"/>
      <c r="Z43" s="183">
        <v>3</v>
      </c>
      <c r="AA43" s="183">
        <v>2677.1428571428564</v>
      </c>
      <c r="AB43" s="183">
        <v>892.38095238095218</v>
      </c>
      <c r="AC43" s="520">
        <f t="shared" si="14"/>
        <v>6</v>
      </c>
      <c r="AD43" s="629"/>
      <c r="AE43" s="183">
        <v>3</v>
      </c>
      <c r="AF43" s="183">
        <v>2826.6666666666706</v>
      </c>
      <c r="AG43" s="183">
        <v>942.22222222222354</v>
      </c>
      <c r="AH43" s="520">
        <f t="shared" si="16"/>
        <v>6</v>
      </c>
      <c r="AI43" s="629"/>
      <c r="AJ43" s="183">
        <v>3</v>
      </c>
      <c r="AK43" s="183">
        <v>2876.4705882352905</v>
      </c>
      <c r="AL43" s="183">
        <v>958.8235294117635</v>
      </c>
      <c r="AM43" s="520">
        <f t="shared" si="18"/>
        <v>5</v>
      </c>
      <c r="AN43" s="629"/>
      <c r="AO43" s="183">
        <v>3</v>
      </c>
      <c r="AP43" s="183">
        <v>2919.9999999999991</v>
      </c>
      <c r="AQ43" s="183">
        <v>973.33333333333303</v>
      </c>
      <c r="AR43" s="520">
        <f t="shared" si="20"/>
        <v>2</v>
      </c>
      <c r="AS43" s="629"/>
      <c r="AT43" s="183">
        <v>3</v>
      </c>
      <c r="AU43" s="183">
        <v>2697.272727272727</v>
      </c>
      <c r="AV43" s="183">
        <v>899.09090909090901</v>
      </c>
      <c r="AW43" s="520">
        <f t="shared" si="22"/>
        <v>5</v>
      </c>
      <c r="AX43" s="629"/>
    </row>
    <row r="44" spans="2:54">
      <c r="B44" s="642"/>
      <c r="C44" s="330">
        <v>3</v>
      </c>
      <c r="D44" s="376" t="s">
        <v>348</v>
      </c>
      <c r="E44" s="376">
        <v>4</v>
      </c>
      <c r="F44" s="183">
        <v>3600</v>
      </c>
      <c r="G44" s="183">
        <v>900</v>
      </c>
      <c r="H44" s="629"/>
      <c r="I44" s="200">
        <f t="shared" si="24"/>
        <v>4</v>
      </c>
      <c r="J44" s="200">
        <f t="shared" si="25"/>
        <v>3234.2260061919455</v>
      </c>
      <c r="K44" s="201">
        <f t="shared" si="26"/>
        <v>808.55650154798639</v>
      </c>
      <c r="L44" s="614"/>
      <c r="M44" s="200">
        <f>RANK(K44, K$42:$K$71)</f>
        <v>8</v>
      </c>
      <c r="N44" s="621"/>
      <c r="O44" s="621"/>
      <c r="P44" s="183">
        <v>4</v>
      </c>
      <c r="Q44" s="183">
        <v>3483.5294117647013</v>
      </c>
      <c r="R44" s="183">
        <v>870.88235294117533</v>
      </c>
      <c r="S44" s="330">
        <f t="shared" si="11"/>
        <v>8</v>
      </c>
      <c r="T44" s="629"/>
      <c r="U44" s="183">
        <v>4</v>
      </c>
      <c r="V44" s="183">
        <v>3161.0526315789321</v>
      </c>
      <c r="W44" s="183">
        <v>790.26315789473301</v>
      </c>
      <c r="X44" s="520">
        <f t="shared" si="12"/>
        <v>8</v>
      </c>
      <c r="Y44" s="629"/>
      <c r="Z44" s="183">
        <v>4</v>
      </c>
      <c r="AA44" s="183">
        <v>2912.9999999999873</v>
      </c>
      <c r="AB44" s="183">
        <v>728.24999999999682</v>
      </c>
      <c r="AC44" s="520">
        <f t="shared" si="14"/>
        <v>11</v>
      </c>
      <c r="AD44" s="629"/>
      <c r="AE44" s="183">
        <v>4</v>
      </c>
      <c r="AF44" s="183">
        <v>3347.9999999999936</v>
      </c>
      <c r="AG44" s="183">
        <v>836.99999999999841</v>
      </c>
      <c r="AH44" s="520">
        <f t="shared" si="16"/>
        <v>9</v>
      </c>
      <c r="AI44" s="629"/>
      <c r="AJ44" s="183">
        <v>4</v>
      </c>
      <c r="AK44" s="183">
        <v>3184.0000000000114</v>
      </c>
      <c r="AL44" s="183">
        <v>796.00000000000284</v>
      </c>
      <c r="AM44" s="520">
        <f t="shared" si="18"/>
        <v>10</v>
      </c>
      <c r="AN44" s="629"/>
      <c r="AO44" s="183">
        <v>4</v>
      </c>
      <c r="AP44" s="183">
        <v>3459.9999999999973</v>
      </c>
      <c r="AQ44" s="183">
        <v>864.99999999999932</v>
      </c>
      <c r="AR44" s="520">
        <f t="shared" si="20"/>
        <v>6</v>
      </c>
      <c r="AS44" s="629"/>
      <c r="AT44" s="183">
        <v>4</v>
      </c>
      <c r="AU44" s="183">
        <v>3089.9999999999986</v>
      </c>
      <c r="AV44" s="183">
        <v>772.49999999999966</v>
      </c>
      <c r="AW44" s="520">
        <f t="shared" si="22"/>
        <v>10</v>
      </c>
      <c r="AX44" s="629"/>
    </row>
    <row r="45" spans="2:54">
      <c r="B45" s="642"/>
      <c r="C45" s="330">
        <v>4</v>
      </c>
      <c r="D45" s="376" t="s">
        <v>364</v>
      </c>
      <c r="E45" s="376">
        <v>3</v>
      </c>
      <c r="F45" s="183">
        <v>3600</v>
      </c>
      <c r="G45" s="183">
        <v>1200</v>
      </c>
      <c r="H45" s="629"/>
      <c r="I45" s="200">
        <f t="shared" si="24"/>
        <v>3</v>
      </c>
      <c r="J45" s="200">
        <f t="shared" si="25"/>
        <v>3164.387755102035</v>
      </c>
      <c r="K45" s="201">
        <f t="shared" si="26"/>
        <v>1054.7959183673449</v>
      </c>
      <c r="L45" s="614"/>
      <c r="M45" s="200">
        <f>RANK(K45, K$42:$K$71)</f>
        <v>1</v>
      </c>
      <c r="N45" s="621"/>
      <c r="O45" s="621"/>
      <c r="P45" s="183">
        <v>3</v>
      </c>
      <c r="Q45" s="183">
        <v>3254.9999999999791</v>
      </c>
      <c r="R45" s="183">
        <v>1084.999999999993</v>
      </c>
      <c r="S45" s="330">
        <f t="shared" si="11"/>
        <v>1</v>
      </c>
      <c r="T45" s="629"/>
      <c r="U45" s="183">
        <v>3</v>
      </c>
      <c r="V45" s="183">
        <v>3202.4999999999795</v>
      </c>
      <c r="W45" s="183">
        <v>1067.4999999999932</v>
      </c>
      <c r="X45" s="520">
        <f t="shared" si="12"/>
        <v>1</v>
      </c>
      <c r="Y45" s="629"/>
      <c r="Z45" s="183">
        <v>3</v>
      </c>
      <c r="AA45" s="183">
        <v>3059.9999999999804</v>
      </c>
      <c r="AB45" s="183">
        <v>1019.9999999999935</v>
      </c>
      <c r="AC45" s="520">
        <f t="shared" si="14"/>
        <v>1</v>
      </c>
      <c r="AD45" s="629"/>
      <c r="AE45" s="183">
        <v>3</v>
      </c>
      <c r="AF45" s="183">
        <v>2905.7142857142962</v>
      </c>
      <c r="AG45" s="183">
        <v>968.57142857143208</v>
      </c>
      <c r="AH45" s="520">
        <f t="shared" si="16"/>
        <v>1</v>
      </c>
      <c r="AI45" s="629"/>
      <c r="AJ45" s="183">
        <v>3</v>
      </c>
      <c r="AK45" s="183">
        <v>3350.0000000000123</v>
      </c>
      <c r="AL45" s="183">
        <v>1116.6666666666708</v>
      </c>
      <c r="AM45" s="520">
        <f t="shared" si="18"/>
        <v>1</v>
      </c>
      <c r="AN45" s="629"/>
      <c r="AO45" s="183">
        <v>3</v>
      </c>
      <c r="AP45" s="183">
        <v>3397.5000000000118</v>
      </c>
      <c r="AQ45" s="183">
        <v>1132.5000000000039</v>
      </c>
      <c r="AR45" s="520">
        <f t="shared" si="20"/>
        <v>1</v>
      </c>
      <c r="AS45" s="629"/>
      <c r="AT45" s="183">
        <v>3</v>
      </c>
      <c r="AU45" s="183">
        <v>2979.9999999999841</v>
      </c>
      <c r="AV45" s="183">
        <v>993.33333333332803</v>
      </c>
      <c r="AW45" s="520">
        <f t="shared" si="22"/>
        <v>1</v>
      </c>
      <c r="AX45" s="629"/>
    </row>
    <row r="46" spans="2:54">
      <c r="B46" s="642"/>
      <c r="C46" s="330">
        <v>5</v>
      </c>
      <c r="D46" s="376" t="s">
        <v>365</v>
      </c>
      <c r="E46" s="376">
        <v>3</v>
      </c>
      <c r="F46" s="183">
        <v>3600</v>
      </c>
      <c r="G46" s="183">
        <v>1200</v>
      </c>
      <c r="H46" s="629"/>
      <c r="I46" s="200">
        <f t="shared" si="24"/>
        <v>4</v>
      </c>
      <c r="J46" s="200">
        <f t="shared" si="25"/>
        <v>3135.2147134611396</v>
      </c>
      <c r="K46" s="201">
        <f t="shared" si="26"/>
        <v>783.8036783652849</v>
      </c>
      <c r="L46" s="614"/>
      <c r="M46" s="200">
        <f>RANK(K46, K$42:$K$71)</f>
        <v>10</v>
      </c>
      <c r="N46" s="621"/>
      <c r="O46" s="621"/>
      <c r="P46" s="183">
        <v>4</v>
      </c>
      <c r="Q46" s="183">
        <v>3174.5454545454504</v>
      </c>
      <c r="R46" s="183">
        <v>793.6363636363626</v>
      </c>
      <c r="S46" s="330">
        <f t="shared" si="11"/>
        <v>11</v>
      </c>
      <c r="T46" s="629"/>
      <c r="U46" s="183">
        <v>4</v>
      </c>
      <c r="V46" s="183">
        <v>2975.9999999999973</v>
      </c>
      <c r="W46" s="183">
        <v>743.99999999999932</v>
      </c>
      <c r="X46" s="520">
        <f t="shared" si="12"/>
        <v>11</v>
      </c>
      <c r="Y46" s="629"/>
      <c r="Z46" s="183">
        <v>4</v>
      </c>
      <c r="AA46" s="183">
        <v>3121.8750000000036</v>
      </c>
      <c r="AB46" s="183">
        <v>780.46875000000091</v>
      </c>
      <c r="AC46" s="520">
        <f t="shared" si="14"/>
        <v>9</v>
      </c>
      <c r="AD46" s="629"/>
      <c r="AE46" s="183">
        <v>4</v>
      </c>
      <c r="AF46" s="183">
        <v>3111.1111111111036</v>
      </c>
      <c r="AG46" s="183">
        <v>777.7777777777759</v>
      </c>
      <c r="AH46" s="520">
        <f t="shared" si="16"/>
        <v>12</v>
      </c>
      <c r="AI46" s="629"/>
      <c r="AJ46" s="183">
        <v>4</v>
      </c>
      <c r="AK46" s="183">
        <v>3302.3999999999905</v>
      </c>
      <c r="AL46" s="183">
        <v>825.59999999999764</v>
      </c>
      <c r="AM46" s="520">
        <f t="shared" si="18"/>
        <v>7</v>
      </c>
      <c r="AN46" s="629"/>
      <c r="AO46" s="183">
        <v>4</v>
      </c>
      <c r="AP46" s="183">
        <v>3116.5714285714257</v>
      </c>
      <c r="AQ46" s="183">
        <v>779.14285714285643</v>
      </c>
      <c r="AR46" s="520">
        <f t="shared" si="20"/>
        <v>13</v>
      </c>
      <c r="AS46" s="629"/>
      <c r="AT46" s="183">
        <v>4</v>
      </c>
      <c r="AU46" s="183">
        <v>3144.0000000000036</v>
      </c>
      <c r="AV46" s="183">
        <v>786.00000000000091</v>
      </c>
      <c r="AW46" s="520">
        <f t="shared" si="22"/>
        <v>9</v>
      </c>
      <c r="AX46" s="629"/>
    </row>
    <row r="47" spans="2:54">
      <c r="B47" s="642"/>
      <c r="C47" s="330">
        <v>6</v>
      </c>
      <c r="D47" s="376" t="s">
        <v>363</v>
      </c>
      <c r="E47" s="376">
        <v>4</v>
      </c>
      <c r="F47" s="183">
        <v>3600</v>
      </c>
      <c r="G47" s="183">
        <v>900</v>
      </c>
      <c r="H47" s="629"/>
      <c r="I47" s="200">
        <f t="shared" si="24"/>
        <v>4</v>
      </c>
      <c r="J47" s="200">
        <f t="shared" si="25"/>
        <v>3357.3783359497634</v>
      </c>
      <c r="K47" s="201">
        <f t="shared" si="26"/>
        <v>839.34458398744084</v>
      </c>
      <c r="L47" s="614"/>
      <c r="M47" s="200">
        <f>RANK(K47, K$42:$K$71)</f>
        <v>7</v>
      </c>
      <c r="N47" s="621"/>
      <c r="O47" s="621"/>
      <c r="P47" s="183">
        <v>4</v>
      </c>
      <c r="Q47" s="183">
        <v>3503.0769230769138</v>
      </c>
      <c r="R47" s="183">
        <v>875.76923076922844</v>
      </c>
      <c r="S47" s="330">
        <f t="shared" si="11"/>
        <v>7</v>
      </c>
      <c r="T47" s="629"/>
      <c r="U47" s="183">
        <v>4</v>
      </c>
      <c r="V47" s="183">
        <v>3155.9999999999945</v>
      </c>
      <c r="W47" s="183">
        <v>788.99999999999864</v>
      </c>
      <c r="X47" s="520">
        <f t="shared" si="12"/>
        <v>9</v>
      </c>
      <c r="Y47" s="629"/>
      <c r="Z47" s="183">
        <v>4</v>
      </c>
      <c r="AA47" s="183">
        <v>3214.2857142857074</v>
      </c>
      <c r="AB47" s="183">
        <v>803.57142857142685</v>
      </c>
      <c r="AC47" s="520">
        <f t="shared" si="14"/>
        <v>7</v>
      </c>
      <c r="AD47" s="629"/>
      <c r="AE47" s="183">
        <v>4</v>
      </c>
      <c r="AF47" s="183">
        <v>3738.0000000000136</v>
      </c>
      <c r="AG47" s="183">
        <v>934.50000000000341</v>
      </c>
      <c r="AH47" s="520">
        <f t="shared" si="16"/>
        <v>7</v>
      </c>
      <c r="AI47" s="629"/>
      <c r="AJ47" s="183">
        <v>4</v>
      </c>
      <c r="AK47" s="183">
        <v>3240.0000000000114</v>
      </c>
      <c r="AL47" s="183">
        <v>810.00000000000284</v>
      </c>
      <c r="AM47" s="520">
        <f t="shared" si="18"/>
        <v>8</v>
      </c>
      <c r="AN47" s="629"/>
      <c r="AO47" s="183">
        <v>4</v>
      </c>
      <c r="AP47" s="183">
        <v>3454.2857142857069</v>
      </c>
      <c r="AQ47" s="183">
        <v>863.57142857142674</v>
      </c>
      <c r="AR47" s="520">
        <f t="shared" si="20"/>
        <v>8</v>
      </c>
      <c r="AS47" s="629"/>
      <c r="AT47" s="183">
        <v>4</v>
      </c>
      <c r="AU47" s="183">
        <v>3195.9999999999945</v>
      </c>
      <c r="AV47" s="183">
        <v>798.99999999999864</v>
      </c>
      <c r="AW47" s="520">
        <f t="shared" si="22"/>
        <v>7</v>
      </c>
      <c r="AX47" s="629"/>
    </row>
    <row r="48" spans="2:54">
      <c r="B48" s="642"/>
      <c r="C48" s="330">
        <v>7</v>
      </c>
      <c r="D48" s="376" t="s">
        <v>615</v>
      </c>
      <c r="E48" s="376">
        <v>4</v>
      </c>
      <c r="F48" s="183">
        <v>3600</v>
      </c>
      <c r="G48" s="183">
        <v>900</v>
      </c>
      <c r="H48" s="629"/>
      <c r="I48" s="200">
        <f t="shared" si="24"/>
        <v>4</v>
      </c>
      <c r="J48" s="200">
        <f t="shared" si="25"/>
        <v>3134.7074829931944</v>
      </c>
      <c r="K48" s="201">
        <f t="shared" si="26"/>
        <v>783.6768707482986</v>
      </c>
      <c r="L48" s="614"/>
      <c r="M48" s="200">
        <f>RANK(K48, K$42:$K$71)</f>
        <v>11</v>
      </c>
      <c r="N48" s="621"/>
      <c r="O48" s="621"/>
      <c r="P48" s="183">
        <v>4</v>
      </c>
      <c r="Q48" s="183">
        <v>3386.6666666666783</v>
      </c>
      <c r="R48" s="183">
        <v>846.66666666666958</v>
      </c>
      <c r="S48" s="330">
        <f t="shared" si="11"/>
        <v>9</v>
      </c>
      <c r="T48" s="629"/>
      <c r="U48" s="183">
        <v>4</v>
      </c>
      <c r="V48" s="183">
        <v>3071.9999999999864</v>
      </c>
      <c r="W48" s="183">
        <v>767.99999999999659</v>
      </c>
      <c r="X48" s="520">
        <f t="shared" si="12"/>
        <v>10</v>
      </c>
      <c r="Y48" s="629"/>
      <c r="Z48" s="183">
        <v>4</v>
      </c>
      <c r="AA48" s="183">
        <v>2909.9999999999873</v>
      </c>
      <c r="AB48" s="183">
        <v>727.49999999999682</v>
      </c>
      <c r="AC48" s="520">
        <f t="shared" si="14"/>
        <v>12</v>
      </c>
      <c r="AD48" s="629"/>
      <c r="AE48" s="183">
        <v>4</v>
      </c>
      <c r="AF48" s="183">
        <v>3308.5714285714403</v>
      </c>
      <c r="AG48" s="183">
        <v>827.14285714286007</v>
      </c>
      <c r="AH48" s="520">
        <f t="shared" si="16"/>
        <v>10</v>
      </c>
      <c r="AI48" s="629"/>
      <c r="AJ48" s="183">
        <v>4</v>
      </c>
      <c r="AK48" s="183">
        <v>3085.7142857142967</v>
      </c>
      <c r="AL48" s="183">
        <v>771.42857142857417</v>
      </c>
      <c r="AM48" s="520">
        <f t="shared" si="18"/>
        <v>11</v>
      </c>
      <c r="AN48" s="629"/>
      <c r="AO48" s="183">
        <v>4</v>
      </c>
      <c r="AP48" s="183">
        <v>3149.9999999999859</v>
      </c>
      <c r="AQ48" s="183">
        <v>787.49999999999648</v>
      </c>
      <c r="AR48" s="520">
        <f t="shared" si="20"/>
        <v>12</v>
      </c>
      <c r="AS48" s="629"/>
      <c r="AT48" s="183">
        <v>4</v>
      </c>
      <c r="AU48" s="183">
        <v>3029.9999999999864</v>
      </c>
      <c r="AV48" s="183">
        <v>757.49999999999659</v>
      </c>
      <c r="AW48" s="520">
        <f t="shared" si="22"/>
        <v>13</v>
      </c>
      <c r="AX48" s="629"/>
    </row>
    <row r="49" spans="2:50">
      <c r="B49" s="642"/>
      <c r="C49" s="330">
        <v>8</v>
      </c>
      <c r="D49" s="376" t="s">
        <v>366</v>
      </c>
      <c r="E49" s="376">
        <v>4</v>
      </c>
      <c r="F49" s="183">
        <v>3300</v>
      </c>
      <c r="G49" s="183">
        <v>825</v>
      </c>
      <c r="H49" s="629"/>
      <c r="I49" s="200">
        <f t="shared" si="24"/>
        <v>4</v>
      </c>
      <c r="J49" s="200">
        <f t="shared" si="25"/>
        <v>2814.2794348508651</v>
      </c>
      <c r="K49" s="201">
        <f t="shared" si="26"/>
        <v>703.56985871271627</v>
      </c>
      <c r="L49" s="614"/>
      <c r="M49" s="200">
        <f>RANK(K49, K$42:$K$71)</f>
        <v>13</v>
      </c>
      <c r="N49" s="621"/>
      <c r="O49" s="621"/>
      <c r="P49" s="183">
        <v>4</v>
      </c>
      <c r="Q49" s="183">
        <v>2640.0000000000027</v>
      </c>
      <c r="R49" s="183">
        <v>660.00000000000068</v>
      </c>
      <c r="S49" s="330">
        <f t="shared" si="11"/>
        <v>15</v>
      </c>
      <c r="T49" s="629"/>
      <c r="U49" s="183">
        <v>4</v>
      </c>
      <c r="V49" s="183">
        <v>2560.0000000000023</v>
      </c>
      <c r="W49" s="183">
        <v>640.00000000000057</v>
      </c>
      <c r="X49" s="520">
        <f t="shared" si="12"/>
        <v>16</v>
      </c>
      <c r="Y49" s="629"/>
      <c r="Z49" s="183">
        <v>4</v>
      </c>
      <c r="AA49" s="183">
        <v>2755.3846153846171</v>
      </c>
      <c r="AB49" s="183">
        <v>688.84615384615427</v>
      </c>
      <c r="AC49" s="520">
        <f t="shared" si="14"/>
        <v>15</v>
      </c>
      <c r="AD49" s="629"/>
      <c r="AE49" s="183">
        <v>4</v>
      </c>
      <c r="AF49" s="183">
        <v>3107.9999999999991</v>
      </c>
      <c r="AG49" s="183">
        <v>776.99999999999977</v>
      </c>
      <c r="AH49" s="520">
        <f t="shared" si="16"/>
        <v>13</v>
      </c>
      <c r="AI49" s="629"/>
      <c r="AJ49" s="183">
        <v>4</v>
      </c>
      <c r="AK49" s="183">
        <v>2957.9999999999991</v>
      </c>
      <c r="AL49" s="183">
        <v>739.49999999999977</v>
      </c>
      <c r="AM49" s="520">
        <f t="shared" si="18"/>
        <v>12</v>
      </c>
      <c r="AN49" s="629"/>
      <c r="AO49" s="183">
        <v>4</v>
      </c>
      <c r="AP49" s="183">
        <v>2884.2857142857165</v>
      </c>
      <c r="AQ49" s="183">
        <v>721.07142857142912</v>
      </c>
      <c r="AR49" s="520">
        <f t="shared" si="20"/>
        <v>15</v>
      </c>
      <c r="AS49" s="629"/>
      <c r="AT49" s="183">
        <v>4</v>
      </c>
      <c r="AU49" s="183">
        <v>2794.2857142857165</v>
      </c>
      <c r="AV49" s="183">
        <v>698.57142857142912</v>
      </c>
      <c r="AW49" s="520">
        <f t="shared" si="22"/>
        <v>17</v>
      </c>
      <c r="AX49" s="629"/>
    </row>
    <row r="50" spans="2:50">
      <c r="B50" s="642"/>
      <c r="C50" s="330">
        <v>9</v>
      </c>
      <c r="D50" s="376" t="s">
        <v>367</v>
      </c>
      <c r="E50" s="376">
        <v>3</v>
      </c>
      <c r="F50" s="183">
        <v>3300</v>
      </c>
      <c r="G50" s="183">
        <v>1100</v>
      </c>
      <c r="H50" s="629"/>
      <c r="I50" s="200">
        <f t="shared" si="24"/>
        <v>3</v>
      </c>
      <c r="J50" s="200">
        <f t="shared" si="25"/>
        <v>2831.028427128429</v>
      </c>
      <c r="K50" s="201">
        <f t="shared" si="26"/>
        <v>943.67614237614293</v>
      </c>
      <c r="L50" s="614"/>
      <c r="M50" s="200">
        <f>RANK(K50, K$42:$K$71)</f>
        <v>2</v>
      </c>
      <c r="N50" s="621"/>
      <c r="O50" s="621"/>
      <c r="P50" s="183">
        <v>3</v>
      </c>
      <c r="Q50" s="183">
        <v>2749.090909090909</v>
      </c>
      <c r="R50" s="183">
        <v>916.36363636363637</v>
      </c>
      <c r="S50" s="330">
        <f t="shared" si="11"/>
        <v>6</v>
      </c>
      <c r="T50" s="629"/>
      <c r="U50" s="183">
        <v>3</v>
      </c>
      <c r="V50" s="183">
        <v>2782.5000000000032</v>
      </c>
      <c r="W50" s="183">
        <v>927.50000000000102</v>
      </c>
      <c r="X50" s="520">
        <f t="shared" si="12"/>
        <v>2</v>
      </c>
      <c r="Y50" s="629"/>
      <c r="Z50" s="183">
        <v>3</v>
      </c>
      <c r="AA50" s="183">
        <v>2760.0000000000032</v>
      </c>
      <c r="AB50" s="183">
        <v>920.00000000000102</v>
      </c>
      <c r="AC50" s="520">
        <f t="shared" si="14"/>
        <v>4</v>
      </c>
      <c r="AD50" s="629"/>
      <c r="AE50" s="183">
        <v>3</v>
      </c>
      <c r="AF50" s="183">
        <v>2904.4444444444416</v>
      </c>
      <c r="AG50" s="183">
        <v>968.14814814814724</v>
      </c>
      <c r="AH50" s="520">
        <f t="shared" si="16"/>
        <v>2</v>
      </c>
      <c r="AI50" s="629"/>
      <c r="AJ50" s="183">
        <v>3</v>
      </c>
      <c r="AK50" s="183">
        <v>3004.8000000000056</v>
      </c>
      <c r="AL50" s="183">
        <v>1001.6000000000018</v>
      </c>
      <c r="AM50" s="520">
        <f t="shared" si="18"/>
        <v>2</v>
      </c>
      <c r="AN50" s="629"/>
      <c r="AO50" s="183">
        <v>3</v>
      </c>
      <c r="AP50" s="183">
        <v>2838.1818181818212</v>
      </c>
      <c r="AQ50" s="183">
        <v>946.06060606060703</v>
      </c>
      <c r="AR50" s="520">
        <f t="shared" si="20"/>
        <v>3</v>
      </c>
      <c r="AS50" s="629"/>
      <c r="AT50" s="183">
        <v>3</v>
      </c>
      <c r="AU50" s="183">
        <v>2778.1818181818185</v>
      </c>
      <c r="AV50" s="183">
        <v>926.06060606060612</v>
      </c>
      <c r="AW50" s="520">
        <f t="shared" si="22"/>
        <v>2</v>
      </c>
      <c r="AX50" s="629"/>
    </row>
    <row r="51" spans="2:50">
      <c r="B51" s="642"/>
      <c r="C51" s="330">
        <v>10</v>
      </c>
      <c r="D51" s="376" t="s">
        <v>368</v>
      </c>
      <c r="E51" s="376">
        <v>3</v>
      </c>
      <c r="F51" s="183">
        <v>3300</v>
      </c>
      <c r="G51" s="183">
        <v>1100</v>
      </c>
      <c r="H51" s="629"/>
      <c r="I51" s="200">
        <f t="shared" si="24"/>
        <v>3</v>
      </c>
      <c r="J51" s="200">
        <f t="shared" si="25"/>
        <v>2809.919872398531</v>
      </c>
      <c r="K51" s="201">
        <f t="shared" si="26"/>
        <v>936.63995746617707</v>
      </c>
      <c r="L51" s="614"/>
      <c r="M51" s="200">
        <f>RANK(K51, K$42:$K$71)</f>
        <v>3</v>
      </c>
      <c r="N51" s="621"/>
      <c r="O51" s="621"/>
      <c r="P51" s="183">
        <v>3</v>
      </c>
      <c r="Q51" s="183">
        <v>2777.3684210526294</v>
      </c>
      <c r="R51" s="183">
        <v>925.78947368420984</v>
      </c>
      <c r="S51" s="330">
        <f t="shared" si="11"/>
        <v>4</v>
      </c>
      <c r="T51" s="629"/>
      <c r="U51" s="183">
        <v>3</v>
      </c>
      <c r="V51" s="183">
        <v>2772.6315789473697</v>
      </c>
      <c r="W51" s="183">
        <v>924.21052631578993</v>
      </c>
      <c r="X51" s="520">
        <f t="shared" si="12"/>
        <v>3</v>
      </c>
      <c r="Y51" s="629"/>
      <c r="Z51" s="183">
        <v>3</v>
      </c>
      <c r="AA51" s="183">
        <v>2774.5945945945959</v>
      </c>
      <c r="AB51" s="183">
        <v>924.86486486486535</v>
      </c>
      <c r="AC51" s="520">
        <f t="shared" si="14"/>
        <v>2</v>
      </c>
      <c r="AD51" s="629"/>
      <c r="AE51" s="183">
        <v>3</v>
      </c>
      <c r="AF51" s="183">
        <v>2840.6249999999995</v>
      </c>
      <c r="AG51" s="183">
        <v>946.87499999999989</v>
      </c>
      <c r="AH51" s="520">
        <f t="shared" si="16"/>
        <v>4</v>
      </c>
      <c r="AI51" s="629"/>
      <c r="AJ51" s="183">
        <v>3</v>
      </c>
      <c r="AK51" s="183">
        <v>2923.9999999999986</v>
      </c>
      <c r="AL51" s="183">
        <v>974.66666666666617</v>
      </c>
      <c r="AM51" s="520">
        <f t="shared" si="18"/>
        <v>3</v>
      </c>
      <c r="AN51" s="629"/>
      <c r="AO51" s="183">
        <v>3</v>
      </c>
      <c r="AP51" s="183">
        <v>2829.0000000000045</v>
      </c>
      <c r="AQ51" s="183">
        <v>943.00000000000148</v>
      </c>
      <c r="AR51" s="520">
        <f t="shared" si="20"/>
        <v>4</v>
      </c>
      <c r="AS51" s="629"/>
      <c r="AT51" s="183">
        <v>3</v>
      </c>
      <c r="AU51" s="183">
        <v>2751.2195121951181</v>
      </c>
      <c r="AV51" s="183">
        <v>917.073170731706</v>
      </c>
      <c r="AW51" s="520">
        <f t="shared" si="22"/>
        <v>4</v>
      </c>
      <c r="AX51" s="629"/>
    </row>
    <row r="52" spans="2:50">
      <c r="B52" s="642"/>
      <c r="C52" s="330">
        <v>11</v>
      </c>
      <c r="D52" s="376" t="s">
        <v>369</v>
      </c>
      <c r="E52" s="376">
        <v>4</v>
      </c>
      <c r="F52" s="183">
        <v>3300</v>
      </c>
      <c r="G52" s="183">
        <v>825</v>
      </c>
      <c r="H52" s="629"/>
      <c r="I52" s="200">
        <f t="shared" si="24"/>
        <v>4</v>
      </c>
      <c r="J52" s="200">
        <f t="shared" si="25"/>
        <v>2800.954523172933</v>
      </c>
      <c r="K52" s="201">
        <f t="shared" si="26"/>
        <v>700.23863079323326</v>
      </c>
      <c r="L52" s="614"/>
      <c r="M52" s="200">
        <f>RANK(K52, K$42:$K$71)</f>
        <v>14</v>
      </c>
      <c r="N52" s="621"/>
      <c r="O52" s="621"/>
      <c r="P52" s="183">
        <v>4</v>
      </c>
      <c r="Q52" s="183">
        <v>2807.7966101694919</v>
      </c>
      <c r="R52" s="183">
        <v>701.94915254237299</v>
      </c>
      <c r="S52" s="330">
        <f t="shared" si="11"/>
        <v>13</v>
      </c>
      <c r="T52" s="629"/>
      <c r="U52" s="183">
        <v>4</v>
      </c>
      <c r="V52" s="183">
        <v>2771.0000000000005</v>
      </c>
      <c r="W52" s="183">
        <v>692.75000000000011</v>
      </c>
      <c r="X52" s="520">
        <f t="shared" si="12"/>
        <v>13</v>
      </c>
      <c r="Y52" s="629"/>
      <c r="Z52" s="183">
        <v>4</v>
      </c>
      <c r="AA52" s="183">
        <v>2773.684210526314</v>
      </c>
      <c r="AB52" s="183">
        <v>693.4210526315785</v>
      </c>
      <c r="AC52" s="520">
        <f t="shared" si="14"/>
        <v>14</v>
      </c>
      <c r="AD52" s="629"/>
      <c r="AE52" s="183">
        <v>4</v>
      </c>
      <c r="AF52" s="183">
        <v>2750.3999999999965</v>
      </c>
      <c r="AG52" s="183">
        <v>687.59999999999911</v>
      </c>
      <c r="AH52" s="520">
        <f t="shared" si="16"/>
        <v>18</v>
      </c>
      <c r="AI52" s="629"/>
      <c r="AJ52" s="183">
        <v>4</v>
      </c>
      <c r="AK52" s="183">
        <v>2903.478260869565</v>
      </c>
      <c r="AL52" s="183">
        <v>725.86956521739125</v>
      </c>
      <c r="AM52" s="520">
        <f t="shared" si="18"/>
        <v>13</v>
      </c>
      <c r="AN52" s="629"/>
      <c r="AO52" s="183">
        <v>4</v>
      </c>
      <c r="AP52" s="183">
        <v>2801.6129032258073</v>
      </c>
      <c r="AQ52" s="183">
        <v>700.40322580645181</v>
      </c>
      <c r="AR52" s="520">
        <f t="shared" si="20"/>
        <v>18</v>
      </c>
      <c r="AS52" s="629"/>
      <c r="AT52" s="183">
        <v>4</v>
      </c>
      <c r="AU52" s="183">
        <v>2798.709677419356</v>
      </c>
      <c r="AV52" s="183">
        <v>699.677419354839</v>
      </c>
      <c r="AW52" s="520">
        <f t="shared" si="22"/>
        <v>16</v>
      </c>
      <c r="AX52" s="629"/>
    </row>
    <row r="53" spans="2:50">
      <c r="B53" s="642"/>
      <c r="C53" s="330">
        <v>12</v>
      </c>
      <c r="D53" s="376" t="s">
        <v>370</v>
      </c>
      <c r="E53" s="376">
        <v>4</v>
      </c>
      <c r="F53" s="183">
        <v>3300</v>
      </c>
      <c r="G53" s="183">
        <v>825</v>
      </c>
      <c r="H53" s="629"/>
      <c r="I53" s="200">
        <f t="shared" si="24"/>
        <v>4</v>
      </c>
      <c r="J53" s="200">
        <f t="shared" si="25"/>
        <v>2800.139828658735</v>
      </c>
      <c r="K53" s="201">
        <f t="shared" si="26"/>
        <v>700.03495716468376</v>
      </c>
      <c r="L53" s="614"/>
      <c r="M53" s="200">
        <f>RANK(K53, K$42:$K$71)</f>
        <v>16</v>
      </c>
      <c r="N53" s="621"/>
      <c r="O53" s="621"/>
      <c r="P53" s="183">
        <v>4</v>
      </c>
      <c r="Q53" s="183">
        <v>2801.8181818181783</v>
      </c>
      <c r="R53" s="183">
        <v>700.45454545454459</v>
      </c>
      <c r="S53" s="330">
        <f t="shared" si="11"/>
        <v>14</v>
      </c>
      <c r="T53" s="629"/>
      <c r="U53" s="183">
        <v>4</v>
      </c>
      <c r="V53" s="183">
        <v>2639.9999999999973</v>
      </c>
      <c r="W53" s="183">
        <v>659.99999999999932</v>
      </c>
      <c r="X53" s="520">
        <f t="shared" si="12"/>
        <v>15</v>
      </c>
      <c r="Y53" s="629"/>
      <c r="Z53" s="183">
        <v>4</v>
      </c>
      <c r="AA53" s="183">
        <v>2793.7499999999995</v>
      </c>
      <c r="AB53" s="183">
        <v>698.43749999999989</v>
      </c>
      <c r="AC53" s="520">
        <f t="shared" si="14"/>
        <v>13</v>
      </c>
      <c r="AD53" s="629"/>
      <c r="AE53" s="183">
        <v>4</v>
      </c>
      <c r="AF53" s="183">
        <v>2810.3571428571449</v>
      </c>
      <c r="AG53" s="183">
        <v>702.58928571428623</v>
      </c>
      <c r="AH53" s="520">
        <f t="shared" si="16"/>
        <v>17</v>
      </c>
      <c r="AI53" s="629"/>
      <c r="AJ53" s="183">
        <v>4</v>
      </c>
      <c r="AK53" s="183">
        <v>2781.8181818181838</v>
      </c>
      <c r="AL53" s="183">
        <v>695.45454545454595</v>
      </c>
      <c r="AM53" s="520">
        <f t="shared" si="18"/>
        <v>16</v>
      </c>
      <c r="AN53" s="629"/>
      <c r="AO53" s="183">
        <v>4</v>
      </c>
      <c r="AP53" s="183">
        <v>2872.9411764705847</v>
      </c>
      <c r="AQ53" s="183">
        <v>718.23529411764616</v>
      </c>
      <c r="AR53" s="520">
        <f t="shared" si="20"/>
        <v>16</v>
      </c>
      <c r="AS53" s="629"/>
      <c r="AT53" s="183">
        <v>4</v>
      </c>
      <c r="AU53" s="183">
        <v>2900.2941176470554</v>
      </c>
      <c r="AV53" s="183">
        <v>725.07352941176384</v>
      </c>
      <c r="AW53" s="520">
        <f t="shared" si="22"/>
        <v>15</v>
      </c>
      <c r="AX53" s="629"/>
    </row>
    <row r="54" spans="2:50">
      <c r="B54" s="642"/>
      <c r="C54" s="330">
        <v>13</v>
      </c>
      <c r="D54" s="376" t="s">
        <v>824</v>
      </c>
      <c r="E54" s="376">
        <v>4</v>
      </c>
      <c r="F54" s="183">
        <v>2800</v>
      </c>
      <c r="G54" s="183">
        <v>700</v>
      </c>
      <c r="H54" s="629"/>
      <c r="I54" s="200">
        <f t="shared" si="24"/>
        <v>4</v>
      </c>
      <c r="J54" s="200">
        <f t="shared" si="25"/>
        <v>2800.5043947844961</v>
      </c>
      <c r="K54" s="201">
        <f t="shared" si="26"/>
        <v>700.12609869612402</v>
      </c>
      <c r="L54" s="614"/>
      <c r="M54" s="200">
        <f>RANK(K54, K$42:$K$71)</f>
        <v>15</v>
      </c>
      <c r="N54" s="621"/>
      <c r="O54" s="621"/>
      <c r="P54" s="183">
        <v>4</v>
      </c>
      <c r="Q54" s="183">
        <v>2848</v>
      </c>
      <c r="R54" s="183">
        <v>712</v>
      </c>
      <c r="S54" s="330">
        <f t="shared" si="11"/>
        <v>12</v>
      </c>
      <c r="T54" s="629"/>
      <c r="U54" s="183">
        <v>4</v>
      </c>
      <c r="V54" s="183">
        <v>2761.304347826092</v>
      </c>
      <c r="W54" s="183">
        <v>690.326086956523</v>
      </c>
      <c r="X54" s="520">
        <f t="shared" si="12"/>
        <v>14</v>
      </c>
      <c r="Y54" s="629"/>
      <c r="Z54" s="183">
        <v>4</v>
      </c>
      <c r="AA54" s="183">
        <v>2745</v>
      </c>
      <c r="AB54" s="183">
        <v>686.25</v>
      </c>
      <c r="AC54" s="520">
        <f t="shared" si="14"/>
        <v>16</v>
      </c>
      <c r="AD54" s="629"/>
      <c r="AE54" s="183">
        <v>4</v>
      </c>
      <c r="AF54" s="183">
        <v>2859.4736842105303</v>
      </c>
      <c r="AG54" s="183">
        <v>714.86842105263258</v>
      </c>
      <c r="AH54" s="520">
        <f t="shared" si="16"/>
        <v>16</v>
      </c>
      <c r="AI54" s="629"/>
      <c r="AJ54" s="183">
        <v>4</v>
      </c>
      <c r="AK54" s="183">
        <v>2837.8378378378357</v>
      </c>
      <c r="AL54" s="183">
        <v>709.45945945945891</v>
      </c>
      <c r="AM54" s="520">
        <f t="shared" si="18"/>
        <v>15</v>
      </c>
      <c r="AN54" s="629"/>
      <c r="AO54" s="183">
        <v>4</v>
      </c>
      <c r="AP54" s="183">
        <v>2807.2340425531875</v>
      </c>
      <c r="AQ54" s="183">
        <v>701.80851063829687</v>
      </c>
      <c r="AR54" s="520">
        <f t="shared" si="20"/>
        <v>17</v>
      </c>
      <c r="AS54" s="629"/>
      <c r="AT54" s="183">
        <v>4</v>
      </c>
      <c r="AU54" s="183">
        <v>2744.6808510638257</v>
      </c>
      <c r="AV54" s="183">
        <v>686.17021276595642</v>
      </c>
      <c r="AW54" s="520">
        <f t="shared" si="22"/>
        <v>18</v>
      </c>
      <c r="AX54" s="629"/>
    </row>
    <row r="55" spans="2:50">
      <c r="B55" s="642"/>
      <c r="C55" s="330">
        <v>14</v>
      </c>
      <c r="D55" s="376" t="s">
        <v>371</v>
      </c>
      <c r="E55" s="376">
        <v>4</v>
      </c>
      <c r="F55" s="183">
        <v>3600</v>
      </c>
      <c r="G55" s="183">
        <v>900</v>
      </c>
      <c r="H55" s="629"/>
      <c r="I55" s="200">
        <f t="shared" si="24"/>
        <v>4</v>
      </c>
      <c r="J55" s="200">
        <f t="shared" si="25"/>
        <v>2765.0816326530544</v>
      </c>
      <c r="K55" s="201">
        <f t="shared" si="26"/>
        <v>691.2704081632636</v>
      </c>
      <c r="L55" s="614"/>
      <c r="M55" s="200">
        <f>RANK(K55, K$42:$K$71)</f>
        <v>18</v>
      </c>
      <c r="N55" s="621"/>
      <c r="O55" s="621"/>
      <c r="P55" s="183">
        <v>4</v>
      </c>
      <c r="Q55" s="183">
        <v>2519.9999999999927</v>
      </c>
      <c r="R55" s="183">
        <v>629.99999999999818</v>
      </c>
      <c r="S55" s="330">
        <f t="shared" si="11"/>
        <v>17</v>
      </c>
      <c r="T55" s="629"/>
      <c r="U55" s="183">
        <v>4</v>
      </c>
      <c r="V55" s="183">
        <v>2464.7999999999929</v>
      </c>
      <c r="W55" s="183">
        <v>616.19999999999823</v>
      </c>
      <c r="X55" s="520">
        <f t="shared" si="12"/>
        <v>18</v>
      </c>
      <c r="Y55" s="629"/>
      <c r="Z55" s="183">
        <v>4</v>
      </c>
      <c r="AA55" s="183">
        <v>2443.199999999993</v>
      </c>
      <c r="AB55" s="183">
        <v>610.79999999999825</v>
      </c>
      <c r="AC55" s="520">
        <f t="shared" si="14"/>
        <v>17</v>
      </c>
      <c r="AD55" s="629"/>
      <c r="AE55" s="183">
        <v>4</v>
      </c>
      <c r="AF55" s="183">
        <v>2993.5714285714221</v>
      </c>
      <c r="AG55" s="183">
        <v>748.39285714285552</v>
      </c>
      <c r="AH55" s="520">
        <f t="shared" si="16"/>
        <v>15</v>
      </c>
      <c r="AI55" s="629"/>
      <c r="AJ55" s="183">
        <v>4</v>
      </c>
      <c r="AK55" s="183">
        <v>2646.0000000000095</v>
      </c>
      <c r="AL55" s="183">
        <v>661.50000000000239</v>
      </c>
      <c r="AM55" s="520">
        <f t="shared" si="18"/>
        <v>17</v>
      </c>
      <c r="AN55" s="629"/>
      <c r="AO55" s="183">
        <v>4</v>
      </c>
      <c r="AP55" s="183">
        <v>3212.9999999999859</v>
      </c>
      <c r="AQ55" s="183">
        <v>803.24999999999648</v>
      </c>
      <c r="AR55" s="520">
        <f t="shared" si="20"/>
        <v>11</v>
      </c>
      <c r="AS55" s="629"/>
      <c r="AT55" s="183">
        <v>4</v>
      </c>
      <c r="AU55" s="183">
        <v>3074.9999999999864</v>
      </c>
      <c r="AV55" s="183">
        <v>768.74999999999659</v>
      </c>
      <c r="AW55" s="520">
        <f t="shared" si="22"/>
        <v>11</v>
      </c>
      <c r="AX55" s="629"/>
    </row>
    <row r="56" spans="2:50">
      <c r="B56" s="642"/>
      <c r="C56" s="330">
        <v>15</v>
      </c>
      <c r="D56" s="376" t="s">
        <v>372</v>
      </c>
      <c r="E56" s="376">
        <v>4</v>
      </c>
      <c r="F56" s="183">
        <v>3600</v>
      </c>
      <c r="G56" s="183">
        <v>900</v>
      </c>
      <c r="H56" s="629"/>
      <c r="I56" s="200">
        <f t="shared" si="24"/>
        <v>4</v>
      </c>
      <c r="J56" s="200">
        <f t="shared" si="25"/>
        <v>2797.5714285714307</v>
      </c>
      <c r="K56" s="201">
        <f t="shared" si="26"/>
        <v>699.39285714285768</v>
      </c>
      <c r="L56" s="614"/>
      <c r="M56" s="200">
        <f>RANK(K56, K$42:$K$71)</f>
        <v>17</v>
      </c>
      <c r="N56" s="621"/>
      <c r="O56" s="621"/>
      <c r="P56" s="183">
        <v>4</v>
      </c>
      <c r="Q56" s="183">
        <v>2532.0000000000091</v>
      </c>
      <c r="R56" s="183">
        <v>633.00000000000227</v>
      </c>
      <c r="S56" s="330">
        <f t="shared" si="11"/>
        <v>16</v>
      </c>
      <c r="T56" s="629"/>
      <c r="U56" s="183">
        <v>4</v>
      </c>
      <c r="V56" s="183">
        <v>2552.0000000000091</v>
      </c>
      <c r="W56" s="183">
        <v>638.00000000000227</v>
      </c>
      <c r="X56" s="520">
        <f t="shared" si="12"/>
        <v>17</v>
      </c>
      <c r="Y56" s="629"/>
      <c r="Z56" s="183">
        <v>4</v>
      </c>
      <c r="AA56" s="183">
        <v>2412.0000000000086</v>
      </c>
      <c r="AB56" s="183">
        <v>603.00000000000216</v>
      </c>
      <c r="AC56" s="520">
        <f t="shared" si="14"/>
        <v>18</v>
      </c>
      <c r="AD56" s="629"/>
      <c r="AE56" s="183">
        <v>4</v>
      </c>
      <c r="AF56" s="183">
        <v>3503.9999999999563</v>
      </c>
      <c r="AG56" s="183">
        <v>875.99999999998909</v>
      </c>
      <c r="AH56" s="520">
        <f t="shared" si="16"/>
        <v>8</v>
      </c>
      <c r="AI56" s="629"/>
      <c r="AJ56" s="183">
        <v>4</v>
      </c>
      <c r="AK56" s="183">
        <v>2288.0000000000082</v>
      </c>
      <c r="AL56" s="183">
        <v>572.00000000000205</v>
      </c>
      <c r="AM56" s="520">
        <f t="shared" si="18"/>
        <v>18</v>
      </c>
      <c r="AN56" s="629"/>
      <c r="AO56" s="183">
        <v>4</v>
      </c>
      <c r="AP56" s="183">
        <v>3255.0000000000114</v>
      </c>
      <c r="AQ56" s="183">
        <v>813.75000000000284</v>
      </c>
      <c r="AR56" s="520">
        <f t="shared" si="20"/>
        <v>10</v>
      </c>
      <c r="AS56" s="629"/>
      <c r="AT56" s="183">
        <v>4</v>
      </c>
      <c r="AU56" s="183">
        <v>3040.0000000000109</v>
      </c>
      <c r="AV56" s="183">
        <v>760.00000000000273</v>
      </c>
      <c r="AW56" s="520">
        <f t="shared" si="22"/>
        <v>12</v>
      </c>
      <c r="AX56" s="629"/>
    </row>
    <row r="57" spans="2:50">
      <c r="B57" s="642"/>
      <c r="C57" s="330">
        <v>16</v>
      </c>
      <c r="D57" s="376" t="s">
        <v>695</v>
      </c>
      <c r="E57" s="376">
        <v>4</v>
      </c>
      <c r="F57" s="183">
        <v>3300</v>
      </c>
      <c r="G57" s="183">
        <v>825</v>
      </c>
      <c r="H57" s="629"/>
      <c r="I57" s="200">
        <f t="shared" si="24"/>
        <v>3</v>
      </c>
      <c r="J57" s="200">
        <f t="shared" si="25"/>
        <v>2790.5350496277929</v>
      </c>
      <c r="K57" s="201">
        <f t="shared" si="26"/>
        <v>930.17834987593119</v>
      </c>
      <c r="L57" s="614"/>
      <c r="M57" s="200">
        <f>RANK(K57, K$42:$K$71)</f>
        <v>5</v>
      </c>
      <c r="N57" s="621"/>
      <c r="O57" s="621"/>
      <c r="P57" s="183">
        <v>3</v>
      </c>
      <c r="Q57" s="183">
        <v>2765.8064516129057</v>
      </c>
      <c r="R57" s="183">
        <v>921.9354838709686</v>
      </c>
      <c r="S57" s="330">
        <f t="shared" si="11"/>
        <v>5</v>
      </c>
      <c r="T57" s="629"/>
      <c r="U57" s="183">
        <v>3</v>
      </c>
      <c r="V57" s="183">
        <v>2718.7499999999964</v>
      </c>
      <c r="W57" s="183">
        <v>906.24999999999875</v>
      </c>
      <c r="X57" s="520">
        <f t="shared" si="12"/>
        <v>4</v>
      </c>
      <c r="Y57" s="629"/>
      <c r="Z57" s="183">
        <v>3</v>
      </c>
      <c r="AA57" s="183">
        <v>2730.9677419354866</v>
      </c>
      <c r="AB57" s="183">
        <v>910.32258064516225</v>
      </c>
      <c r="AC57" s="520">
        <f t="shared" si="14"/>
        <v>5</v>
      </c>
      <c r="AD57" s="629"/>
      <c r="AE57" s="183">
        <v>3</v>
      </c>
      <c r="AF57" s="183">
        <v>2833.8461538461552</v>
      </c>
      <c r="AG57" s="183">
        <v>944.6153846153851</v>
      </c>
      <c r="AH57" s="520">
        <f t="shared" si="16"/>
        <v>5</v>
      </c>
      <c r="AI57" s="629"/>
      <c r="AJ57" s="183">
        <v>3</v>
      </c>
      <c r="AK57" s="183">
        <v>2910.0000000000009</v>
      </c>
      <c r="AL57" s="183">
        <v>970.00000000000034</v>
      </c>
      <c r="AM57" s="520">
        <f t="shared" si="18"/>
        <v>4</v>
      </c>
      <c r="AN57" s="629"/>
      <c r="AO57" s="183">
        <v>3</v>
      </c>
      <c r="AP57" s="183">
        <v>2814.3749999999964</v>
      </c>
      <c r="AQ57" s="183">
        <v>938.12499999999875</v>
      </c>
      <c r="AR57" s="520">
        <f t="shared" si="20"/>
        <v>5</v>
      </c>
      <c r="AS57" s="629"/>
      <c r="AT57" s="183">
        <v>3</v>
      </c>
      <c r="AU57" s="183">
        <v>2760.00000000001</v>
      </c>
      <c r="AV57" s="183">
        <v>920.0000000000033</v>
      </c>
      <c r="AW57" s="520">
        <f t="shared" si="22"/>
        <v>3</v>
      </c>
      <c r="AX57" s="629"/>
    </row>
    <row r="58" spans="2:50">
      <c r="B58" s="642"/>
      <c r="C58" s="330">
        <v>17</v>
      </c>
      <c r="D58" s="376" t="s">
        <v>815</v>
      </c>
      <c r="E58" s="376">
        <v>3</v>
      </c>
      <c r="F58" s="183">
        <v>2800</v>
      </c>
      <c r="G58" s="183">
        <v>933.33333333333337</v>
      </c>
      <c r="H58" s="629"/>
      <c r="I58" s="200">
        <f t="shared" si="24"/>
        <v>3</v>
      </c>
      <c r="J58" s="200">
        <f t="shared" si="25"/>
        <v>2724.571428571428</v>
      </c>
      <c r="K58" s="201">
        <f t="shared" si="26"/>
        <v>908.19047619047615</v>
      </c>
      <c r="L58" s="614"/>
      <c r="M58" s="200">
        <f>RANK(K58, K$42:$K$71)</f>
        <v>6</v>
      </c>
      <c r="N58" s="621"/>
      <c r="O58" s="621"/>
      <c r="P58" s="183">
        <v>3</v>
      </c>
      <c r="Q58" s="183">
        <v>2837.9999999999991</v>
      </c>
      <c r="R58" s="183">
        <v>945.99999999999966</v>
      </c>
      <c r="S58" s="330">
        <f t="shared" si="11"/>
        <v>3</v>
      </c>
      <c r="T58" s="629"/>
      <c r="U58" s="183">
        <v>3</v>
      </c>
      <c r="V58" s="183">
        <v>2553.3333333333335</v>
      </c>
      <c r="W58" s="183">
        <v>851.1111111111112</v>
      </c>
      <c r="X58" s="520">
        <f t="shared" si="12"/>
        <v>6</v>
      </c>
      <c r="Y58" s="629"/>
      <c r="Z58" s="183">
        <v>3</v>
      </c>
      <c r="AA58" s="183">
        <v>2765.9999999999986</v>
      </c>
      <c r="AB58" s="183">
        <v>921.99999999999955</v>
      </c>
      <c r="AC58" s="520">
        <f t="shared" si="14"/>
        <v>3</v>
      </c>
      <c r="AD58" s="629"/>
      <c r="AE58" s="183">
        <v>3</v>
      </c>
      <c r="AF58" s="183">
        <v>2881.3333333333335</v>
      </c>
      <c r="AG58" s="183">
        <v>960.44444444444446</v>
      </c>
      <c r="AH58" s="520">
        <f t="shared" si="16"/>
        <v>3</v>
      </c>
      <c r="AI58" s="629"/>
      <c r="AJ58" s="183">
        <v>3</v>
      </c>
      <c r="AK58" s="183">
        <v>2840</v>
      </c>
      <c r="AL58" s="183">
        <v>946.66666666666663</v>
      </c>
      <c r="AM58" s="520">
        <f t="shared" si="18"/>
        <v>6</v>
      </c>
      <c r="AN58" s="629"/>
      <c r="AO58" s="183">
        <v>3</v>
      </c>
      <c r="AP58" s="183">
        <v>2593.3333333333335</v>
      </c>
      <c r="AQ58" s="183">
        <v>864.44444444444446</v>
      </c>
      <c r="AR58" s="520">
        <f t="shared" si="20"/>
        <v>7</v>
      </c>
      <c r="AS58" s="629"/>
      <c r="AT58" s="183">
        <v>3</v>
      </c>
      <c r="AU58" s="183">
        <v>2600</v>
      </c>
      <c r="AV58" s="183">
        <v>866.66666666666663</v>
      </c>
      <c r="AW58" s="520">
        <f t="shared" si="22"/>
        <v>6</v>
      </c>
      <c r="AX58" s="629"/>
    </row>
    <row r="59" spans="2:50">
      <c r="B59" s="642"/>
      <c r="C59" s="330">
        <v>18</v>
      </c>
      <c r="D59" s="376" t="s">
        <v>890</v>
      </c>
      <c r="E59" s="376">
        <v>4</v>
      </c>
      <c r="F59" s="183">
        <v>3000</v>
      </c>
      <c r="G59" s="183">
        <v>750</v>
      </c>
      <c r="H59" s="629"/>
      <c r="I59" s="200">
        <f t="shared" si="24"/>
        <v>3.1428571428571428</v>
      </c>
      <c r="J59" s="200">
        <f t="shared" si="25"/>
        <v>2198.1081632653063</v>
      </c>
      <c r="K59" s="201">
        <f t="shared" si="26"/>
        <v>707.35450680272095</v>
      </c>
      <c r="L59" s="614"/>
      <c r="M59" s="200">
        <f>RANK(K59, K$42:$K$71)</f>
        <v>12</v>
      </c>
      <c r="N59" s="621"/>
      <c r="O59" s="621"/>
      <c r="P59" s="183">
        <v>4</v>
      </c>
      <c r="Q59" s="183">
        <v>2129.2499999999995</v>
      </c>
      <c r="R59" s="183">
        <v>532.31249999999989</v>
      </c>
      <c r="S59" s="330">
        <f t="shared" si="11"/>
        <v>18</v>
      </c>
      <c r="T59" s="629"/>
      <c r="U59" s="183">
        <v>3</v>
      </c>
      <c r="V59" s="183">
        <v>2141.9999999999945</v>
      </c>
      <c r="W59" s="183">
        <v>713.99999999999818</v>
      </c>
      <c r="X59" s="520">
        <f t="shared" si="12"/>
        <v>12</v>
      </c>
      <c r="Y59" s="629"/>
      <c r="Z59" s="183">
        <v>3</v>
      </c>
      <c r="AA59" s="183">
        <v>2188.0000000000036</v>
      </c>
      <c r="AB59" s="183">
        <v>729.33333333333451</v>
      </c>
      <c r="AC59" s="520">
        <f t="shared" si="14"/>
        <v>10</v>
      </c>
      <c r="AD59" s="629"/>
      <c r="AE59" s="183">
        <v>3</v>
      </c>
      <c r="AF59" s="183">
        <v>2274.8571428571404</v>
      </c>
      <c r="AG59" s="183">
        <v>758.28571428571342</v>
      </c>
      <c r="AH59" s="520">
        <f t="shared" si="16"/>
        <v>14</v>
      </c>
      <c r="AI59" s="629"/>
      <c r="AJ59" s="183">
        <v>3</v>
      </c>
      <c r="AK59" s="183">
        <v>2174.3999999999983</v>
      </c>
      <c r="AL59" s="183">
        <v>724.79999999999939</v>
      </c>
      <c r="AM59" s="520">
        <f t="shared" si="18"/>
        <v>14</v>
      </c>
      <c r="AN59" s="629"/>
      <c r="AO59" s="183">
        <v>3</v>
      </c>
      <c r="AP59" s="183">
        <v>2228.2500000000036</v>
      </c>
      <c r="AQ59" s="183">
        <v>742.75000000000125</v>
      </c>
      <c r="AR59" s="520">
        <f t="shared" si="20"/>
        <v>14</v>
      </c>
      <c r="AS59" s="629"/>
      <c r="AT59" s="183">
        <v>3</v>
      </c>
      <c r="AU59" s="183">
        <v>2250.0000000000036</v>
      </c>
      <c r="AV59" s="183">
        <v>750.00000000000125</v>
      </c>
      <c r="AW59" s="520">
        <f t="shared" si="22"/>
        <v>14</v>
      </c>
      <c r="AX59" s="629"/>
    </row>
    <row r="60" spans="2:50">
      <c r="B60" s="642"/>
      <c r="C60" s="330">
        <v>19</v>
      </c>
      <c r="D60" s="376" t="s">
        <v>833</v>
      </c>
      <c r="E60" s="376">
        <v>12</v>
      </c>
      <c r="F60" s="183">
        <v>1500</v>
      </c>
      <c r="G60" s="183">
        <v>125</v>
      </c>
      <c r="H60" s="629"/>
      <c r="I60" s="200">
        <f t="shared" si="24"/>
        <v>12</v>
      </c>
      <c r="J60" s="200">
        <f t="shared" si="25"/>
        <v>1490.9298812281647</v>
      </c>
      <c r="K60" s="201">
        <f t="shared" si="26"/>
        <v>124.24415676901371</v>
      </c>
      <c r="L60" s="614"/>
      <c r="M60" s="200">
        <f>RANK(K60, K$42:$K$71)</f>
        <v>19</v>
      </c>
      <c r="N60" s="621"/>
      <c r="O60" s="621"/>
      <c r="P60" s="183">
        <v>12</v>
      </c>
      <c r="Q60" s="183">
        <v>1480.0000000000005</v>
      </c>
      <c r="R60" s="183">
        <v>123.33333333333337</v>
      </c>
      <c r="S60" s="330">
        <f t="shared" si="11"/>
        <v>19</v>
      </c>
      <c r="T60" s="629"/>
      <c r="U60" s="183">
        <v>12</v>
      </c>
      <c r="V60" s="183">
        <v>1507.8260869565217</v>
      </c>
      <c r="W60" s="183">
        <v>125.65217391304348</v>
      </c>
      <c r="X60" s="520">
        <f t="shared" si="12"/>
        <v>19</v>
      </c>
      <c r="Y60" s="629"/>
      <c r="Z60" s="183">
        <v>12</v>
      </c>
      <c r="AA60" s="183">
        <v>1484.8275862068963</v>
      </c>
      <c r="AB60" s="183">
        <v>123.73563218390802</v>
      </c>
      <c r="AC60" s="520">
        <f t="shared" si="14"/>
        <v>19</v>
      </c>
      <c r="AD60" s="629"/>
      <c r="AE60" s="183">
        <v>12</v>
      </c>
      <c r="AF60" s="183">
        <v>1503.7974683544296</v>
      </c>
      <c r="AG60" s="183">
        <v>125.31645569620247</v>
      </c>
      <c r="AH60" s="520">
        <f t="shared" si="16"/>
        <v>19</v>
      </c>
      <c r="AI60" s="629"/>
      <c r="AJ60" s="183">
        <v>12</v>
      </c>
      <c r="AK60" s="183">
        <v>1499.9999999999991</v>
      </c>
      <c r="AL60" s="183">
        <v>124.99999999999993</v>
      </c>
      <c r="AM60" s="520">
        <f t="shared" si="18"/>
        <v>19</v>
      </c>
      <c r="AN60" s="629"/>
      <c r="AO60" s="183">
        <v>12</v>
      </c>
      <c r="AP60" s="183">
        <v>1470.9090909090914</v>
      </c>
      <c r="AQ60" s="183">
        <v>122.57575757575762</v>
      </c>
      <c r="AR60" s="520">
        <f t="shared" si="20"/>
        <v>19</v>
      </c>
      <c r="AS60" s="629"/>
      <c r="AT60" s="183">
        <v>12</v>
      </c>
      <c r="AU60" s="183">
        <v>1489.1489361702129</v>
      </c>
      <c r="AV60" s="183">
        <v>124.09574468085107</v>
      </c>
      <c r="AW60" s="520">
        <f t="shared" si="22"/>
        <v>19</v>
      </c>
      <c r="AX60" s="629"/>
    </row>
    <row r="61" spans="2:50">
      <c r="B61" s="642"/>
      <c r="C61" s="330">
        <v>20</v>
      </c>
      <c r="D61" s="376"/>
      <c r="E61" s="376"/>
      <c r="F61" s="183"/>
      <c r="G61" s="183"/>
      <c r="H61" s="629"/>
      <c r="I61" s="443"/>
      <c r="J61" s="443"/>
      <c r="K61" s="201"/>
      <c r="L61" s="614"/>
      <c r="M61" s="200" t="e">
        <f>RANK(K61, K$42:$K$71)</f>
        <v>#N/A</v>
      </c>
      <c r="N61" s="621"/>
      <c r="O61" s="621"/>
      <c r="P61" s="183"/>
      <c r="Q61" s="183"/>
      <c r="R61" s="183"/>
      <c r="S61" s="330" t="e">
        <f t="shared" si="11"/>
        <v>#N/A</v>
      </c>
      <c r="T61" s="629"/>
      <c r="U61" s="183"/>
      <c r="V61" s="183"/>
      <c r="W61" s="183"/>
      <c r="X61" s="520" t="e">
        <f t="shared" si="12"/>
        <v>#N/A</v>
      </c>
      <c r="Y61" s="629"/>
      <c r="Z61" s="183"/>
      <c r="AA61" s="183"/>
      <c r="AB61" s="183"/>
      <c r="AC61" s="520" t="e">
        <f t="shared" si="14"/>
        <v>#N/A</v>
      </c>
      <c r="AD61" s="629"/>
      <c r="AE61" s="183"/>
      <c r="AF61" s="183"/>
      <c r="AG61" s="183"/>
      <c r="AH61" s="520" t="e">
        <f t="shared" si="16"/>
        <v>#N/A</v>
      </c>
      <c r="AI61" s="629"/>
      <c r="AJ61" s="183"/>
      <c r="AK61" s="183"/>
      <c r="AL61" s="183"/>
      <c r="AM61" s="520" t="e">
        <f t="shared" si="18"/>
        <v>#N/A</v>
      </c>
      <c r="AN61" s="629"/>
      <c r="AO61" s="183"/>
      <c r="AP61" s="183"/>
      <c r="AQ61" s="183"/>
      <c r="AR61" s="520" t="e">
        <f t="shared" si="20"/>
        <v>#N/A</v>
      </c>
      <c r="AS61" s="629"/>
      <c r="AT61" s="183"/>
      <c r="AU61" s="183"/>
      <c r="AV61" s="183"/>
      <c r="AW61" s="520" t="e">
        <f t="shared" si="22"/>
        <v>#N/A</v>
      </c>
      <c r="AX61" s="629"/>
    </row>
    <row r="62" spans="2:50">
      <c r="B62" s="642"/>
      <c r="C62" s="330">
        <v>21</v>
      </c>
      <c r="D62" s="376"/>
      <c r="E62" s="376"/>
      <c r="F62" s="183"/>
      <c r="G62" s="183"/>
      <c r="H62" s="629"/>
      <c r="I62" s="443"/>
      <c r="J62" s="443"/>
      <c r="K62" s="201"/>
      <c r="L62" s="614"/>
      <c r="M62" s="200" t="e">
        <f>RANK(K62, K$42:$K$71)</f>
        <v>#N/A</v>
      </c>
      <c r="N62" s="621"/>
      <c r="O62" s="621"/>
      <c r="P62" s="330"/>
      <c r="Q62" s="183"/>
      <c r="R62" s="331"/>
      <c r="S62" s="330" t="e">
        <f t="shared" si="11"/>
        <v>#N/A</v>
      </c>
      <c r="T62" s="629"/>
      <c r="U62" s="520"/>
      <c r="V62" s="183"/>
      <c r="W62" s="521"/>
      <c r="X62" s="520" t="e">
        <f t="shared" si="12"/>
        <v>#N/A</v>
      </c>
      <c r="Y62" s="629"/>
      <c r="Z62" s="520"/>
      <c r="AA62" s="183"/>
      <c r="AB62" s="521"/>
      <c r="AC62" s="520" t="e">
        <f t="shared" si="14"/>
        <v>#N/A</v>
      </c>
      <c r="AD62" s="629"/>
      <c r="AE62" s="520"/>
      <c r="AF62" s="183"/>
      <c r="AG62" s="521"/>
      <c r="AH62" s="520" t="e">
        <f t="shared" si="16"/>
        <v>#N/A</v>
      </c>
      <c r="AI62" s="629"/>
      <c r="AJ62" s="520"/>
      <c r="AK62" s="183"/>
      <c r="AL62" s="521"/>
      <c r="AM62" s="520" t="e">
        <f t="shared" si="18"/>
        <v>#N/A</v>
      </c>
      <c r="AN62" s="629"/>
      <c r="AO62" s="520"/>
      <c r="AP62" s="183"/>
      <c r="AQ62" s="521"/>
      <c r="AR62" s="520" t="e">
        <f t="shared" si="20"/>
        <v>#N/A</v>
      </c>
      <c r="AS62" s="629"/>
      <c r="AT62" s="520"/>
      <c r="AU62" s="183"/>
      <c r="AV62" s="521"/>
      <c r="AW62" s="520" t="e">
        <f t="shared" si="22"/>
        <v>#N/A</v>
      </c>
      <c r="AX62" s="629"/>
    </row>
    <row r="63" spans="2:50">
      <c r="B63" s="642"/>
      <c r="C63" s="330">
        <v>22</v>
      </c>
      <c r="D63" s="376"/>
      <c r="E63" s="376"/>
      <c r="F63" s="183"/>
      <c r="G63" s="183"/>
      <c r="H63" s="629"/>
      <c r="I63" s="443"/>
      <c r="J63" s="443"/>
      <c r="K63" s="201"/>
      <c r="L63" s="614"/>
      <c r="M63" s="200" t="e">
        <f>RANK(K63, K$42:$K$71)</f>
        <v>#N/A</v>
      </c>
      <c r="N63" s="621"/>
      <c r="O63" s="621"/>
      <c r="P63" s="330"/>
      <c r="Q63" s="183"/>
      <c r="R63" s="331"/>
      <c r="S63" s="330" t="e">
        <f t="shared" si="11"/>
        <v>#N/A</v>
      </c>
      <c r="T63" s="629"/>
      <c r="U63" s="520"/>
      <c r="V63" s="183"/>
      <c r="W63" s="521"/>
      <c r="X63" s="520" t="e">
        <f t="shared" si="12"/>
        <v>#N/A</v>
      </c>
      <c r="Y63" s="629"/>
      <c r="Z63" s="520"/>
      <c r="AA63" s="183"/>
      <c r="AB63" s="521"/>
      <c r="AC63" s="520" t="e">
        <f t="shared" si="14"/>
        <v>#N/A</v>
      </c>
      <c r="AD63" s="629"/>
      <c r="AE63" s="520"/>
      <c r="AF63" s="183"/>
      <c r="AG63" s="521"/>
      <c r="AH63" s="520" t="e">
        <f t="shared" si="16"/>
        <v>#N/A</v>
      </c>
      <c r="AI63" s="629"/>
      <c r="AJ63" s="520"/>
      <c r="AK63" s="183"/>
      <c r="AL63" s="521"/>
      <c r="AM63" s="520" t="e">
        <f t="shared" si="18"/>
        <v>#N/A</v>
      </c>
      <c r="AN63" s="629"/>
      <c r="AO63" s="520"/>
      <c r="AP63" s="183"/>
      <c r="AQ63" s="521"/>
      <c r="AR63" s="520" t="e">
        <f t="shared" si="20"/>
        <v>#N/A</v>
      </c>
      <c r="AS63" s="629"/>
      <c r="AT63" s="520"/>
      <c r="AU63" s="183"/>
      <c r="AV63" s="521"/>
      <c r="AW63" s="520" t="e">
        <f t="shared" si="22"/>
        <v>#N/A</v>
      </c>
      <c r="AX63" s="629"/>
    </row>
    <row r="64" spans="2:50">
      <c r="B64" s="642"/>
      <c r="C64" s="330">
        <v>23</v>
      </c>
      <c r="D64" s="376"/>
      <c r="E64" s="376"/>
      <c r="F64" s="183"/>
      <c r="G64" s="183"/>
      <c r="H64" s="629"/>
      <c r="I64" s="443"/>
      <c r="J64" s="443"/>
      <c r="K64" s="201"/>
      <c r="L64" s="614"/>
      <c r="M64" s="200" t="e">
        <f>RANK(K64, K$42:$K$71)</f>
        <v>#N/A</v>
      </c>
      <c r="N64" s="621"/>
      <c r="O64" s="621"/>
      <c r="P64" s="441"/>
      <c r="Q64" s="183"/>
      <c r="R64" s="442"/>
      <c r="S64" s="330" t="e">
        <f t="shared" si="11"/>
        <v>#N/A</v>
      </c>
      <c r="T64" s="629"/>
      <c r="U64" s="520"/>
      <c r="V64" s="183"/>
      <c r="W64" s="521"/>
      <c r="X64" s="520" t="e">
        <f t="shared" si="12"/>
        <v>#N/A</v>
      </c>
      <c r="Y64" s="629"/>
      <c r="Z64" s="520"/>
      <c r="AA64" s="183"/>
      <c r="AB64" s="521"/>
      <c r="AC64" s="520" t="e">
        <f t="shared" si="14"/>
        <v>#N/A</v>
      </c>
      <c r="AD64" s="629"/>
      <c r="AE64" s="520"/>
      <c r="AF64" s="183"/>
      <c r="AG64" s="521"/>
      <c r="AH64" s="520" t="e">
        <f t="shared" si="16"/>
        <v>#N/A</v>
      </c>
      <c r="AI64" s="629"/>
      <c r="AJ64" s="520"/>
      <c r="AK64" s="183"/>
      <c r="AL64" s="521"/>
      <c r="AM64" s="520" t="e">
        <f t="shared" si="18"/>
        <v>#N/A</v>
      </c>
      <c r="AN64" s="629"/>
      <c r="AO64" s="520"/>
      <c r="AP64" s="183"/>
      <c r="AQ64" s="521"/>
      <c r="AR64" s="520" t="e">
        <f t="shared" si="20"/>
        <v>#N/A</v>
      </c>
      <c r="AS64" s="629"/>
      <c r="AT64" s="520"/>
      <c r="AU64" s="183"/>
      <c r="AV64" s="521"/>
      <c r="AW64" s="520" t="e">
        <f t="shared" si="22"/>
        <v>#N/A</v>
      </c>
      <c r="AX64" s="629"/>
    </row>
    <row r="65" spans="2:50">
      <c r="B65" s="642"/>
      <c r="C65" s="330">
        <v>24</v>
      </c>
      <c r="D65" s="376"/>
      <c r="E65" s="376"/>
      <c r="F65" s="183"/>
      <c r="G65" s="183"/>
      <c r="H65" s="629"/>
      <c r="I65" s="443"/>
      <c r="J65" s="443"/>
      <c r="K65" s="201"/>
      <c r="L65" s="614"/>
      <c r="M65" s="200" t="e">
        <f>RANK(K65, K$42:$K$71)</f>
        <v>#N/A</v>
      </c>
      <c r="N65" s="621"/>
      <c r="O65" s="621"/>
      <c r="P65" s="441"/>
      <c r="Q65" s="183"/>
      <c r="R65" s="442"/>
      <c r="S65" s="330" t="e">
        <f t="shared" si="11"/>
        <v>#N/A</v>
      </c>
      <c r="T65" s="629"/>
      <c r="U65" s="520"/>
      <c r="V65" s="183"/>
      <c r="W65" s="521"/>
      <c r="X65" s="520" t="e">
        <f t="shared" si="12"/>
        <v>#N/A</v>
      </c>
      <c r="Y65" s="629"/>
      <c r="Z65" s="520"/>
      <c r="AA65" s="183"/>
      <c r="AB65" s="521"/>
      <c r="AC65" s="520" t="e">
        <f t="shared" si="14"/>
        <v>#N/A</v>
      </c>
      <c r="AD65" s="629"/>
      <c r="AE65" s="520"/>
      <c r="AF65" s="183"/>
      <c r="AG65" s="521"/>
      <c r="AH65" s="520" t="e">
        <f t="shared" si="16"/>
        <v>#N/A</v>
      </c>
      <c r="AI65" s="629"/>
      <c r="AJ65" s="520"/>
      <c r="AK65" s="183"/>
      <c r="AL65" s="521"/>
      <c r="AM65" s="520" t="e">
        <f t="shared" si="18"/>
        <v>#N/A</v>
      </c>
      <c r="AN65" s="629"/>
      <c r="AO65" s="520"/>
      <c r="AP65" s="183"/>
      <c r="AQ65" s="521"/>
      <c r="AR65" s="520" t="e">
        <f t="shared" si="20"/>
        <v>#N/A</v>
      </c>
      <c r="AS65" s="629"/>
      <c r="AT65" s="520"/>
      <c r="AU65" s="183"/>
      <c r="AV65" s="521"/>
      <c r="AW65" s="520" t="e">
        <f t="shared" si="22"/>
        <v>#N/A</v>
      </c>
      <c r="AX65" s="629"/>
    </row>
    <row r="66" spans="2:50">
      <c r="B66" s="642"/>
      <c r="C66" s="330">
        <v>25</v>
      </c>
      <c r="D66" s="376"/>
      <c r="E66" s="376"/>
      <c r="F66" s="183"/>
      <c r="G66" s="183"/>
      <c r="H66" s="629"/>
      <c r="I66" s="203"/>
      <c r="J66" s="203"/>
      <c r="K66" s="203"/>
      <c r="L66" s="614"/>
      <c r="M66" s="200" t="e">
        <f>RANK(K66, K$42:$K$71)</f>
        <v>#N/A</v>
      </c>
      <c r="N66" s="621"/>
      <c r="O66" s="621"/>
      <c r="P66" s="441"/>
      <c r="Q66" s="183"/>
      <c r="R66" s="442"/>
      <c r="S66" s="330" t="e">
        <f t="shared" si="11"/>
        <v>#N/A</v>
      </c>
      <c r="T66" s="629"/>
      <c r="U66" s="520"/>
      <c r="V66" s="183"/>
      <c r="W66" s="521"/>
      <c r="X66" s="520" t="e">
        <f t="shared" si="12"/>
        <v>#N/A</v>
      </c>
      <c r="Y66" s="629"/>
      <c r="Z66" s="520"/>
      <c r="AA66" s="183"/>
      <c r="AB66" s="521"/>
      <c r="AC66" s="520" t="e">
        <f t="shared" si="14"/>
        <v>#N/A</v>
      </c>
      <c r="AD66" s="629"/>
      <c r="AE66" s="520"/>
      <c r="AF66" s="183"/>
      <c r="AG66" s="521"/>
      <c r="AH66" s="520" t="e">
        <f t="shared" si="16"/>
        <v>#N/A</v>
      </c>
      <c r="AI66" s="629"/>
      <c r="AJ66" s="520"/>
      <c r="AK66" s="183"/>
      <c r="AL66" s="521"/>
      <c r="AM66" s="520" t="e">
        <f t="shared" si="18"/>
        <v>#N/A</v>
      </c>
      <c r="AN66" s="629"/>
      <c r="AO66" s="520"/>
      <c r="AP66" s="183"/>
      <c r="AQ66" s="521"/>
      <c r="AR66" s="520" t="e">
        <f t="shared" si="20"/>
        <v>#N/A</v>
      </c>
      <c r="AS66" s="629"/>
      <c r="AT66" s="520"/>
      <c r="AU66" s="183"/>
      <c r="AV66" s="521"/>
      <c r="AW66" s="520" t="e">
        <f t="shared" si="22"/>
        <v>#N/A</v>
      </c>
      <c r="AX66" s="629"/>
    </row>
    <row r="67" spans="2:50">
      <c r="B67" s="642"/>
      <c r="C67" s="330">
        <v>26</v>
      </c>
      <c r="D67" s="376"/>
      <c r="E67" s="376"/>
      <c r="F67" s="183"/>
      <c r="G67" s="183"/>
      <c r="H67" s="629"/>
      <c r="I67" s="203"/>
      <c r="J67" s="203"/>
      <c r="K67" s="203"/>
      <c r="L67" s="614"/>
      <c r="M67" s="200" t="e">
        <f>RANK(K67, K$42:$K$71)</f>
        <v>#N/A</v>
      </c>
      <c r="N67" s="621"/>
      <c r="O67" s="621"/>
      <c r="P67" s="441"/>
      <c r="Q67" s="183"/>
      <c r="R67" s="442"/>
      <c r="S67" s="330" t="e">
        <f t="shared" si="11"/>
        <v>#N/A</v>
      </c>
      <c r="T67" s="629"/>
      <c r="U67" s="520"/>
      <c r="V67" s="183"/>
      <c r="W67" s="521"/>
      <c r="X67" s="520" t="e">
        <f t="shared" si="12"/>
        <v>#N/A</v>
      </c>
      <c r="Y67" s="629"/>
      <c r="Z67" s="520"/>
      <c r="AA67" s="183"/>
      <c r="AB67" s="521"/>
      <c r="AC67" s="520" t="e">
        <f t="shared" si="14"/>
        <v>#N/A</v>
      </c>
      <c r="AD67" s="629"/>
      <c r="AE67" s="520"/>
      <c r="AF67" s="183"/>
      <c r="AG67" s="521"/>
      <c r="AH67" s="520" t="e">
        <f t="shared" si="16"/>
        <v>#N/A</v>
      </c>
      <c r="AI67" s="629"/>
      <c r="AJ67" s="520"/>
      <c r="AK67" s="183"/>
      <c r="AL67" s="521"/>
      <c r="AM67" s="520" t="e">
        <f t="shared" si="18"/>
        <v>#N/A</v>
      </c>
      <c r="AN67" s="629"/>
      <c r="AO67" s="520"/>
      <c r="AP67" s="183"/>
      <c r="AQ67" s="521"/>
      <c r="AR67" s="520" t="e">
        <f t="shared" si="20"/>
        <v>#N/A</v>
      </c>
      <c r="AS67" s="629"/>
      <c r="AT67" s="520"/>
      <c r="AU67" s="183"/>
      <c r="AV67" s="521"/>
      <c r="AW67" s="520" t="e">
        <f t="shared" si="22"/>
        <v>#N/A</v>
      </c>
      <c r="AX67" s="629"/>
    </row>
    <row r="68" spans="2:50">
      <c r="B68" s="642"/>
      <c r="C68" s="330">
        <v>27</v>
      </c>
      <c r="D68" s="376"/>
      <c r="E68" s="376"/>
      <c r="F68" s="183"/>
      <c r="G68" s="183"/>
      <c r="H68" s="629"/>
      <c r="I68" s="203"/>
      <c r="J68" s="203"/>
      <c r="K68" s="203"/>
      <c r="L68" s="614"/>
      <c r="M68" s="200" t="e">
        <f>RANK(K68, K$42:$K$71)</f>
        <v>#N/A</v>
      </c>
      <c r="N68" s="621"/>
      <c r="O68" s="621"/>
      <c r="P68" s="441"/>
      <c r="Q68" s="183"/>
      <c r="R68" s="442"/>
      <c r="S68" s="330" t="e">
        <f t="shared" si="11"/>
        <v>#N/A</v>
      </c>
      <c r="T68" s="629"/>
      <c r="U68" s="520"/>
      <c r="V68" s="183"/>
      <c r="W68" s="521"/>
      <c r="X68" s="520" t="e">
        <f t="shared" si="12"/>
        <v>#N/A</v>
      </c>
      <c r="Y68" s="629"/>
      <c r="Z68" s="520"/>
      <c r="AA68" s="183"/>
      <c r="AB68" s="521"/>
      <c r="AC68" s="520" t="e">
        <f t="shared" si="14"/>
        <v>#N/A</v>
      </c>
      <c r="AD68" s="629"/>
      <c r="AE68" s="520"/>
      <c r="AF68" s="183"/>
      <c r="AG68" s="521"/>
      <c r="AH68" s="520" t="e">
        <f t="shared" si="16"/>
        <v>#N/A</v>
      </c>
      <c r="AI68" s="629"/>
      <c r="AJ68" s="520"/>
      <c r="AK68" s="183"/>
      <c r="AL68" s="521"/>
      <c r="AM68" s="520" t="e">
        <f t="shared" si="18"/>
        <v>#N/A</v>
      </c>
      <c r="AN68" s="629"/>
      <c r="AO68" s="520"/>
      <c r="AP68" s="183"/>
      <c r="AQ68" s="521"/>
      <c r="AR68" s="520" t="e">
        <f t="shared" si="20"/>
        <v>#N/A</v>
      </c>
      <c r="AS68" s="629"/>
      <c r="AT68" s="520"/>
      <c r="AU68" s="183"/>
      <c r="AV68" s="521"/>
      <c r="AW68" s="520" t="e">
        <f t="shared" si="22"/>
        <v>#N/A</v>
      </c>
      <c r="AX68" s="629"/>
    </row>
    <row r="69" spans="2:50">
      <c r="B69" s="642"/>
      <c r="C69" s="330">
        <v>28</v>
      </c>
      <c r="D69" s="376"/>
      <c r="E69" s="376"/>
      <c r="F69" s="183"/>
      <c r="G69" s="183"/>
      <c r="H69" s="629"/>
      <c r="I69" s="203"/>
      <c r="J69" s="203"/>
      <c r="K69" s="203"/>
      <c r="L69" s="614"/>
      <c r="M69" s="200" t="e">
        <f>RANK(K69, K$42:$K$71)</f>
        <v>#N/A</v>
      </c>
      <c r="N69" s="621"/>
      <c r="O69" s="621"/>
      <c r="P69" s="441"/>
      <c r="Q69" s="183"/>
      <c r="R69" s="442"/>
      <c r="S69" s="330" t="e">
        <f t="shared" si="11"/>
        <v>#N/A</v>
      </c>
      <c r="T69" s="629"/>
      <c r="U69" s="520"/>
      <c r="V69" s="183"/>
      <c r="W69" s="521"/>
      <c r="X69" s="520" t="e">
        <f t="shared" si="12"/>
        <v>#N/A</v>
      </c>
      <c r="Y69" s="629"/>
      <c r="Z69" s="520"/>
      <c r="AA69" s="183"/>
      <c r="AB69" s="521"/>
      <c r="AC69" s="520" t="e">
        <f t="shared" si="14"/>
        <v>#N/A</v>
      </c>
      <c r="AD69" s="629"/>
      <c r="AE69" s="520"/>
      <c r="AF69" s="183"/>
      <c r="AG69" s="521"/>
      <c r="AH69" s="520" t="e">
        <f t="shared" si="16"/>
        <v>#N/A</v>
      </c>
      <c r="AI69" s="629"/>
      <c r="AJ69" s="520"/>
      <c r="AK69" s="183"/>
      <c r="AL69" s="521"/>
      <c r="AM69" s="520" t="e">
        <f t="shared" si="18"/>
        <v>#N/A</v>
      </c>
      <c r="AN69" s="629"/>
      <c r="AO69" s="520"/>
      <c r="AP69" s="183"/>
      <c r="AQ69" s="521"/>
      <c r="AR69" s="520" t="e">
        <f t="shared" si="20"/>
        <v>#N/A</v>
      </c>
      <c r="AS69" s="629"/>
      <c r="AT69" s="520"/>
      <c r="AU69" s="183"/>
      <c r="AV69" s="521"/>
      <c r="AW69" s="520" t="e">
        <f t="shared" si="22"/>
        <v>#N/A</v>
      </c>
      <c r="AX69" s="629"/>
    </row>
    <row r="70" spans="2:50">
      <c r="B70" s="642"/>
      <c r="C70" s="330">
        <v>29</v>
      </c>
      <c r="D70" s="376"/>
      <c r="E70" s="376"/>
      <c r="F70" s="183"/>
      <c r="G70" s="183"/>
      <c r="H70" s="629"/>
      <c r="I70" s="203"/>
      <c r="J70" s="203"/>
      <c r="K70" s="203"/>
      <c r="L70" s="614"/>
      <c r="M70" s="200" t="e">
        <f>RANK(K70, K$42:$K$71)</f>
        <v>#N/A</v>
      </c>
      <c r="N70" s="621"/>
      <c r="O70" s="621"/>
      <c r="P70" s="441"/>
      <c r="Q70" s="183"/>
      <c r="R70" s="442"/>
      <c r="S70" s="330" t="e">
        <f t="shared" si="11"/>
        <v>#N/A</v>
      </c>
      <c r="T70" s="629"/>
      <c r="U70" s="520"/>
      <c r="V70" s="183"/>
      <c r="W70" s="521"/>
      <c r="X70" s="520" t="e">
        <f t="shared" si="12"/>
        <v>#N/A</v>
      </c>
      <c r="Y70" s="629"/>
      <c r="Z70" s="520"/>
      <c r="AA70" s="183"/>
      <c r="AB70" s="521"/>
      <c r="AC70" s="520" t="e">
        <f t="shared" si="14"/>
        <v>#N/A</v>
      </c>
      <c r="AD70" s="629"/>
      <c r="AE70" s="520"/>
      <c r="AF70" s="183"/>
      <c r="AG70" s="521"/>
      <c r="AH70" s="520" t="e">
        <f t="shared" si="16"/>
        <v>#N/A</v>
      </c>
      <c r="AI70" s="629"/>
      <c r="AJ70" s="520"/>
      <c r="AK70" s="183"/>
      <c r="AL70" s="521"/>
      <c r="AM70" s="520" t="e">
        <f t="shared" si="18"/>
        <v>#N/A</v>
      </c>
      <c r="AN70" s="629"/>
      <c r="AO70" s="520"/>
      <c r="AP70" s="183"/>
      <c r="AQ70" s="521"/>
      <c r="AR70" s="520" t="e">
        <f t="shared" si="20"/>
        <v>#N/A</v>
      </c>
      <c r="AS70" s="629"/>
      <c r="AT70" s="520"/>
      <c r="AU70" s="183"/>
      <c r="AV70" s="521"/>
      <c r="AW70" s="520" t="e">
        <f t="shared" si="22"/>
        <v>#N/A</v>
      </c>
      <c r="AX70" s="629"/>
    </row>
    <row r="71" spans="2:50">
      <c r="B71" s="643"/>
      <c r="C71" s="330">
        <v>30</v>
      </c>
      <c r="D71" s="376"/>
      <c r="E71" s="376"/>
      <c r="F71" s="183"/>
      <c r="G71" s="183"/>
      <c r="H71" s="630"/>
      <c r="I71" s="203"/>
      <c r="J71" s="203"/>
      <c r="K71" s="203"/>
      <c r="L71" s="615"/>
      <c r="M71" s="200" t="e">
        <f>RANK(K71, K$42:$K$71)</f>
        <v>#N/A</v>
      </c>
      <c r="N71" s="622"/>
      <c r="O71" s="622"/>
      <c r="P71" s="441"/>
      <c r="Q71" s="183"/>
      <c r="R71" s="442"/>
      <c r="S71" s="330" t="e">
        <f t="shared" si="11"/>
        <v>#N/A</v>
      </c>
      <c r="T71" s="630"/>
      <c r="U71" s="520"/>
      <c r="V71" s="183"/>
      <c r="W71" s="521"/>
      <c r="X71" s="520" t="e">
        <f t="shared" si="12"/>
        <v>#N/A</v>
      </c>
      <c r="Y71" s="630"/>
      <c r="Z71" s="520"/>
      <c r="AA71" s="183"/>
      <c r="AB71" s="521"/>
      <c r="AC71" s="520" t="e">
        <f t="shared" si="14"/>
        <v>#N/A</v>
      </c>
      <c r="AD71" s="630"/>
      <c r="AE71" s="520"/>
      <c r="AF71" s="183"/>
      <c r="AG71" s="521"/>
      <c r="AH71" s="520" t="e">
        <f t="shared" si="16"/>
        <v>#N/A</v>
      </c>
      <c r="AI71" s="630"/>
      <c r="AJ71" s="520"/>
      <c r="AK71" s="183"/>
      <c r="AL71" s="521"/>
      <c r="AM71" s="520" t="e">
        <f t="shared" si="18"/>
        <v>#N/A</v>
      </c>
      <c r="AN71" s="630"/>
      <c r="AO71" s="520"/>
      <c r="AP71" s="183"/>
      <c r="AQ71" s="521"/>
      <c r="AR71" s="520" t="e">
        <f t="shared" si="20"/>
        <v>#N/A</v>
      </c>
      <c r="AS71" s="630"/>
      <c r="AT71" s="520"/>
      <c r="AU71" s="183"/>
      <c r="AV71" s="521"/>
      <c r="AW71" s="520" t="e">
        <f t="shared" si="22"/>
        <v>#N/A</v>
      </c>
      <c r="AX71" s="630"/>
    </row>
    <row r="72" spans="2:50" ht="15.5">
      <c r="B72" s="644" t="s">
        <v>163</v>
      </c>
      <c r="C72" s="645"/>
      <c r="D72" s="645"/>
      <c r="E72" s="645"/>
      <c r="F72" s="645"/>
      <c r="G72" s="645"/>
      <c r="H72" s="645"/>
      <c r="I72" s="209"/>
      <c r="J72" s="204"/>
      <c r="K72" s="209"/>
      <c r="L72" s="209"/>
      <c r="M72" s="205"/>
      <c r="N72" s="620" t="s">
        <v>156</v>
      </c>
      <c r="O72" s="620" t="s">
        <v>155</v>
      </c>
      <c r="P72" s="626">
        <f>P37+7</f>
        <v>46000</v>
      </c>
      <c r="Q72" s="627"/>
      <c r="R72" s="627"/>
      <c r="S72" s="627"/>
      <c r="T72" s="627"/>
      <c r="U72" s="623">
        <f>P72+1</f>
        <v>46001</v>
      </c>
      <c r="V72" s="624"/>
      <c r="W72" s="624"/>
      <c r="X72" s="624"/>
      <c r="Y72" s="625"/>
      <c r="Z72" s="623">
        <f>U72+1</f>
        <v>46002</v>
      </c>
      <c r="AA72" s="624"/>
      <c r="AB72" s="624"/>
      <c r="AC72" s="624"/>
      <c r="AD72" s="625"/>
      <c r="AE72" s="623">
        <f>Z72+1</f>
        <v>46003</v>
      </c>
      <c r="AF72" s="624"/>
      <c r="AG72" s="624"/>
      <c r="AH72" s="624"/>
      <c r="AI72" s="625"/>
      <c r="AJ72" s="623">
        <f>AE72+1</f>
        <v>46004</v>
      </c>
      <c r="AK72" s="624"/>
      <c r="AL72" s="624"/>
      <c r="AM72" s="624"/>
      <c r="AN72" s="625"/>
      <c r="AO72" s="623">
        <f>AJ72+1</f>
        <v>46005</v>
      </c>
      <c r="AP72" s="624"/>
      <c r="AQ72" s="624"/>
      <c r="AR72" s="624"/>
      <c r="AS72" s="625"/>
      <c r="AT72" s="623">
        <f>AO72+1</f>
        <v>46006</v>
      </c>
      <c r="AU72" s="624"/>
      <c r="AV72" s="624"/>
      <c r="AW72" s="624"/>
      <c r="AX72" s="625"/>
    </row>
    <row r="73" spans="2:50" ht="15.5">
      <c r="B73" s="634"/>
      <c r="C73" s="634"/>
      <c r="D73" s="634"/>
      <c r="E73" s="634"/>
      <c r="F73" s="634"/>
      <c r="G73" s="634"/>
      <c r="H73" s="634"/>
      <c r="I73" s="206"/>
      <c r="J73" s="206"/>
      <c r="K73" s="206"/>
      <c r="L73" s="206"/>
      <c r="M73" s="207"/>
      <c r="N73" s="622"/>
      <c r="O73" s="622"/>
      <c r="P73" s="626" t="s">
        <v>336</v>
      </c>
      <c r="Q73" s="627"/>
      <c r="R73" s="627"/>
      <c r="S73" s="627"/>
      <c r="T73" s="627"/>
      <c r="U73" s="626" t="s">
        <v>337</v>
      </c>
      <c r="V73" s="627"/>
      <c r="W73" s="627"/>
      <c r="X73" s="627"/>
      <c r="Y73" s="627"/>
      <c r="Z73" s="626" t="s">
        <v>338</v>
      </c>
      <c r="AA73" s="627"/>
      <c r="AB73" s="627"/>
      <c r="AC73" s="627"/>
      <c r="AD73" s="627"/>
      <c r="AE73" s="626" t="s">
        <v>339</v>
      </c>
      <c r="AF73" s="627"/>
      <c r="AG73" s="627"/>
      <c r="AH73" s="627"/>
      <c r="AI73" s="627"/>
      <c r="AJ73" s="626" t="s">
        <v>340</v>
      </c>
      <c r="AK73" s="627"/>
      <c r="AL73" s="627"/>
      <c r="AM73" s="627"/>
      <c r="AN73" s="627"/>
      <c r="AO73" s="626" t="s">
        <v>341</v>
      </c>
      <c r="AP73" s="627"/>
      <c r="AQ73" s="627"/>
      <c r="AR73" s="627"/>
      <c r="AS73" s="627"/>
      <c r="AT73" s="626" t="s">
        <v>342</v>
      </c>
      <c r="AU73" s="627"/>
      <c r="AV73" s="627"/>
      <c r="AW73" s="627"/>
      <c r="AX73" s="627"/>
    </row>
    <row r="74" spans="2:50">
      <c r="B74" s="620" t="s">
        <v>649</v>
      </c>
      <c r="C74" s="635" t="s">
        <v>650</v>
      </c>
      <c r="D74" s="638"/>
      <c r="E74" s="616" t="s">
        <v>651</v>
      </c>
      <c r="F74" s="617"/>
      <c r="G74" s="618"/>
      <c r="H74" s="620" t="s">
        <v>652</v>
      </c>
      <c r="I74" s="607" t="s">
        <v>653</v>
      </c>
      <c r="J74" s="608"/>
      <c r="K74" s="609"/>
      <c r="L74" s="610" t="s">
        <v>652</v>
      </c>
      <c r="M74" s="610" t="s">
        <v>654</v>
      </c>
      <c r="N74" s="620"/>
      <c r="O74" s="620" t="s">
        <v>655</v>
      </c>
      <c r="P74" s="616" t="s">
        <v>656</v>
      </c>
      <c r="Q74" s="617"/>
      <c r="R74" s="617"/>
      <c r="S74" s="618"/>
      <c r="T74" s="620" t="s">
        <v>652</v>
      </c>
      <c r="U74" s="616" t="s">
        <v>656</v>
      </c>
      <c r="V74" s="617"/>
      <c r="W74" s="617"/>
      <c r="X74" s="618"/>
      <c r="Y74" s="620" t="s">
        <v>652</v>
      </c>
      <c r="Z74" s="616" t="s">
        <v>656</v>
      </c>
      <c r="AA74" s="617"/>
      <c r="AB74" s="617"/>
      <c r="AC74" s="618"/>
      <c r="AD74" s="620" t="s">
        <v>652</v>
      </c>
      <c r="AE74" s="616" t="s">
        <v>656</v>
      </c>
      <c r="AF74" s="617"/>
      <c r="AG74" s="617"/>
      <c r="AH74" s="618"/>
      <c r="AI74" s="620" t="s">
        <v>652</v>
      </c>
      <c r="AJ74" s="616" t="s">
        <v>656</v>
      </c>
      <c r="AK74" s="617"/>
      <c r="AL74" s="617"/>
      <c r="AM74" s="618"/>
      <c r="AN74" s="620" t="s">
        <v>652</v>
      </c>
      <c r="AO74" s="616" t="s">
        <v>656</v>
      </c>
      <c r="AP74" s="617"/>
      <c r="AQ74" s="617"/>
      <c r="AR74" s="618"/>
      <c r="AS74" s="620" t="s">
        <v>652</v>
      </c>
      <c r="AT74" s="616" t="s">
        <v>656</v>
      </c>
      <c r="AU74" s="617"/>
      <c r="AV74" s="617"/>
      <c r="AW74" s="618"/>
      <c r="AX74" s="620" t="s">
        <v>652</v>
      </c>
    </row>
    <row r="75" spans="2:50">
      <c r="B75" s="621"/>
      <c r="C75" s="636"/>
      <c r="D75" s="639"/>
      <c r="E75" s="616" t="s">
        <v>657</v>
      </c>
      <c r="F75" s="617"/>
      <c r="G75" s="618"/>
      <c r="H75" s="621"/>
      <c r="I75" s="607" t="s">
        <v>657</v>
      </c>
      <c r="J75" s="608"/>
      <c r="K75" s="609"/>
      <c r="L75" s="611"/>
      <c r="M75" s="611"/>
      <c r="N75" s="621"/>
      <c r="O75" s="621"/>
      <c r="P75" s="616" t="s">
        <v>658</v>
      </c>
      <c r="Q75" s="617"/>
      <c r="R75" s="617"/>
      <c r="S75" s="618"/>
      <c r="T75" s="621"/>
      <c r="U75" s="616" t="s">
        <v>658</v>
      </c>
      <c r="V75" s="617"/>
      <c r="W75" s="617"/>
      <c r="X75" s="618"/>
      <c r="Y75" s="621"/>
      <c r="Z75" s="616" t="s">
        <v>658</v>
      </c>
      <c r="AA75" s="617"/>
      <c r="AB75" s="617"/>
      <c r="AC75" s="618"/>
      <c r="AD75" s="621"/>
      <c r="AE75" s="616" t="s">
        <v>658</v>
      </c>
      <c r="AF75" s="617"/>
      <c r="AG75" s="617"/>
      <c r="AH75" s="618"/>
      <c r="AI75" s="621"/>
      <c r="AJ75" s="616" t="s">
        <v>658</v>
      </c>
      <c r="AK75" s="617"/>
      <c r="AL75" s="617"/>
      <c r="AM75" s="618"/>
      <c r="AN75" s="621"/>
      <c r="AO75" s="616" t="s">
        <v>658</v>
      </c>
      <c r="AP75" s="617"/>
      <c r="AQ75" s="617"/>
      <c r="AR75" s="618"/>
      <c r="AS75" s="621"/>
      <c r="AT75" s="616" t="s">
        <v>658</v>
      </c>
      <c r="AU75" s="617"/>
      <c r="AV75" s="617"/>
      <c r="AW75" s="618"/>
      <c r="AX75" s="621"/>
    </row>
    <row r="76" spans="2:50">
      <c r="B76" s="622"/>
      <c r="C76" s="637"/>
      <c r="D76" s="640"/>
      <c r="E76" s="335" t="s">
        <v>659</v>
      </c>
      <c r="F76" s="335" t="s">
        <v>660</v>
      </c>
      <c r="G76" s="335" t="s">
        <v>661</v>
      </c>
      <c r="H76" s="622"/>
      <c r="I76" s="334" t="s">
        <v>659</v>
      </c>
      <c r="J76" s="334" t="s">
        <v>660</v>
      </c>
      <c r="K76" s="334" t="s">
        <v>661</v>
      </c>
      <c r="L76" s="612"/>
      <c r="M76" s="612"/>
      <c r="N76" s="621"/>
      <c r="O76" s="621"/>
      <c r="P76" s="335" t="s">
        <v>659</v>
      </c>
      <c r="Q76" s="335" t="s">
        <v>660</v>
      </c>
      <c r="R76" s="335" t="s">
        <v>661</v>
      </c>
      <c r="S76" s="335" t="s">
        <v>654</v>
      </c>
      <c r="T76" s="622"/>
      <c r="U76" s="335" t="s">
        <v>659</v>
      </c>
      <c r="V76" s="335" t="s">
        <v>660</v>
      </c>
      <c r="W76" s="335" t="s">
        <v>661</v>
      </c>
      <c r="X76" s="335" t="s">
        <v>654</v>
      </c>
      <c r="Y76" s="622"/>
      <c r="Z76" s="335" t="s">
        <v>659</v>
      </c>
      <c r="AA76" s="335" t="s">
        <v>660</v>
      </c>
      <c r="AB76" s="335" t="s">
        <v>661</v>
      </c>
      <c r="AC76" s="335" t="s">
        <v>654</v>
      </c>
      <c r="AD76" s="622"/>
      <c r="AE76" s="335" t="s">
        <v>659</v>
      </c>
      <c r="AF76" s="335" t="s">
        <v>660</v>
      </c>
      <c r="AG76" s="335" t="s">
        <v>661</v>
      </c>
      <c r="AH76" s="335" t="s">
        <v>654</v>
      </c>
      <c r="AI76" s="622"/>
      <c r="AJ76" s="335" t="s">
        <v>659</v>
      </c>
      <c r="AK76" s="335" t="s">
        <v>660</v>
      </c>
      <c r="AL76" s="335" t="s">
        <v>661</v>
      </c>
      <c r="AM76" s="335" t="s">
        <v>654</v>
      </c>
      <c r="AN76" s="622"/>
      <c r="AO76" s="335" t="s">
        <v>659</v>
      </c>
      <c r="AP76" s="335" t="s">
        <v>660</v>
      </c>
      <c r="AQ76" s="335" t="s">
        <v>661</v>
      </c>
      <c r="AR76" s="335" t="s">
        <v>654</v>
      </c>
      <c r="AS76" s="622"/>
      <c r="AT76" s="335" t="s">
        <v>659</v>
      </c>
      <c r="AU76" s="335" t="s">
        <v>660</v>
      </c>
      <c r="AV76" s="335" t="s">
        <v>661</v>
      </c>
      <c r="AW76" s="335" t="s">
        <v>654</v>
      </c>
      <c r="AX76" s="622"/>
    </row>
    <row r="77" spans="2:50">
      <c r="B77" s="641" t="s">
        <v>150</v>
      </c>
      <c r="C77" s="336">
        <v>1</v>
      </c>
      <c r="D77" s="336" t="s">
        <v>361</v>
      </c>
      <c r="E77" s="336">
        <v>4</v>
      </c>
      <c r="F77" s="336">
        <v>2200</v>
      </c>
      <c r="G77" s="336">
        <v>550</v>
      </c>
      <c r="H77" s="628">
        <f>AVERAGE(G77:G106)</f>
        <v>860.96491228070181</v>
      </c>
      <c r="I77" s="200">
        <f>AVERAGE(P77,U77,Z77,AE77,AJ77,AO77,AT77)</f>
        <v>3</v>
      </c>
      <c r="J77" s="200">
        <f>AVERAGE(Q77,V77,AA77,AF77,AK77,AP77,AU77)</f>
        <v>3166.0783004538421</v>
      </c>
      <c r="K77" s="201">
        <f>AVERAGE(R77,W77,AB77,AG77,AL77,AQ77,AV77)</f>
        <v>1055.3594334846139</v>
      </c>
      <c r="L77" s="613">
        <f>IFERROR(AVERAGE(K77:K106),"-")</f>
        <v>788.19844734859453</v>
      </c>
      <c r="M77" s="200">
        <f>RANK(K77, K$77:$K$106)</f>
        <v>2</v>
      </c>
      <c r="N77" s="621"/>
      <c r="O77" s="621"/>
      <c r="P77" s="183">
        <v>3</v>
      </c>
      <c r="Q77" s="183">
        <v>3166.3157894736864</v>
      </c>
      <c r="R77" s="183">
        <v>1055.4385964912287</v>
      </c>
      <c r="S77" s="336">
        <f>RANK(R77, R$77:R$106)</f>
        <v>2</v>
      </c>
      <c r="T77" s="628">
        <f>AVERAGE(R77:R106)</f>
        <v>789.94169126603515</v>
      </c>
      <c r="U77" s="183">
        <v>3</v>
      </c>
      <c r="V77" s="183">
        <v>3188.7272727272652</v>
      </c>
      <c r="W77" s="183">
        <v>1062.9090909090885</v>
      </c>
      <c r="X77" s="520">
        <f t="shared" ref="X77:X92" si="27">RANK(W77, W$77:W$106)</f>
        <v>2</v>
      </c>
      <c r="Y77" s="628">
        <f t="shared" ref="Y77" si="28">AVERAGE(W77:W106)</f>
        <v>777.92051301414403</v>
      </c>
      <c r="Z77" s="183">
        <v>3</v>
      </c>
      <c r="AA77" s="183">
        <v>3238.8461538461556</v>
      </c>
      <c r="AB77" s="183">
        <v>1079.6153846153852</v>
      </c>
      <c r="AC77" s="520">
        <f t="shared" ref="AC77:AC92" si="29">RANK(AB77, AB$77:AB$106)</f>
        <v>2</v>
      </c>
      <c r="AD77" s="628">
        <f t="shared" ref="AD77" si="30">AVERAGE(AB77:AB106)</f>
        <v>806.654711145188</v>
      </c>
      <c r="AE77" s="183">
        <v>3</v>
      </c>
      <c r="AF77" s="183">
        <v>3254.0425531914898</v>
      </c>
      <c r="AG77" s="183">
        <v>1084.68085106383</v>
      </c>
      <c r="AH77" s="520">
        <f t="shared" ref="AH77:AH92" si="31">RANK(AG77, AG$77:AG$106)</f>
        <v>1</v>
      </c>
      <c r="AI77" s="628">
        <f t="shared" ref="AI77" si="32">AVERAGE(AG77:AG106)</f>
        <v>798.05992714718957</v>
      </c>
      <c r="AJ77" s="183">
        <v>3</v>
      </c>
      <c r="AK77" s="183">
        <v>2973.6000000000008</v>
      </c>
      <c r="AL77" s="183">
        <v>991.20000000000027</v>
      </c>
      <c r="AM77" s="520">
        <f t="shared" ref="AM77:AM92" si="33">RANK(AL77, AL$77:AL$106)</f>
        <v>2</v>
      </c>
      <c r="AN77" s="628">
        <f t="shared" ref="AN77" si="34">AVERAGE(AL77:AL106)</f>
        <v>778.57333135702822</v>
      </c>
      <c r="AO77" s="183">
        <v>3</v>
      </c>
      <c r="AP77" s="183">
        <v>3182.0689655172391</v>
      </c>
      <c r="AQ77" s="183">
        <v>1060.689655172413</v>
      </c>
      <c r="AR77" s="520">
        <f t="shared" ref="AR77:AR92" si="35">RANK(AQ77, AQ$77:AQ$106)</f>
        <v>2</v>
      </c>
      <c r="AS77" s="628">
        <f t="shared" ref="AS77" si="36">AVERAGE(AQ77:AQ106)</f>
        <v>761.77763471753167</v>
      </c>
      <c r="AT77" s="183">
        <v>3</v>
      </c>
      <c r="AU77" s="183">
        <v>3158.9473684210552</v>
      </c>
      <c r="AV77" s="183">
        <v>1052.9824561403518</v>
      </c>
      <c r="AW77" s="520">
        <f t="shared" ref="AW77:AW92" si="37">RANK(AV77, AV$77:AV$106)</f>
        <v>2</v>
      </c>
      <c r="AX77" s="628">
        <f t="shared" ref="AX77" si="38">AVERAGE(AV77:AV106)</f>
        <v>804.46132279304618</v>
      </c>
    </row>
    <row r="78" spans="2:50">
      <c r="B78" s="642"/>
      <c r="C78" s="336">
        <v>2</v>
      </c>
      <c r="D78" s="336" t="s">
        <v>362</v>
      </c>
      <c r="E78" s="336">
        <v>3</v>
      </c>
      <c r="F78" s="336">
        <v>2700</v>
      </c>
      <c r="G78" s="336">
        <v>900</v>
      </c>
      <c r="H78" s="629"/>
      <c r="I78" s="200">
        <f t="shared" ref="I78:I95" si="39">AVERAGE(P78,U78,Z78,AE78,AJ78,AO78,AT78)</f>
        <v>3</v>
      </c>
      <c r="J78" s="200">
        <f t="shared" ref="J78:J95" si="40">AVERAGE(Q78,V78,AA78,AF78,AK78,AP78,AU78)</f>
        <v>2830.1682127396425</v>
      </c>
      <c r="K78" s="201">
        <f t="shared" ref="K78:K95" si="41">AVERAGE(R78,W78,AB78,AG78,AL78,AQ78,AV78)</f>
        <v>943.38940424654754</v>
      </c>
      <c r="L78" s="614"/>
      <c r="M78" s="200">
        <f>RANK(K78, K$77:$K$106)</f>
        <v>4</v>
      </c>
      <c r="N78" s="621"/>
      <c r="O78" s="621"/>
      <c r="P78" s="183">
        <v>3</v>
      </c>
      <c r="Q78" s="183">
        <v>2981.9999999999991</v>
      </c>
      <c r="R78" s="183">
        <v>993.99999999999966</v>
      </c>
      <c r="S78" s="343">
        <f t="shared" ref="S78:S106" si="42">RANK(R78, R$77:R$106)</f>
        <v>3</v>
      </c>
      <c r="T78" s="629"/>
      <c r="U78" s="183">
        <v>3</v>
      </c>
      <c r="V78" s="183">
        <v>2776.3636363636365</v>
      </c>
      <c r="W78" s="183">
        <v>925.4545454545455</v>
      </c>
      <c r="X78" s="520">
        <f t="shared" si="27"/>
        <v>5</v>
      </c>
      <c r="Y78" s="629"/>
      <c r="Z78" s="183">
        <v>3</v>
      </c>
      <c r="AA78" s="183">
        <v>2908.5714285714275</v>
      </c>
      <c r="AB78" s="183">
        <v>969.52380952380918</v>
      </c>
      <c r="AC78" s="520">
        <f t="shared" si="29"/>
        <v>3</v>
      </c>
      <c r="AD78" s="629"/>
      <c r="AE78" s="183">
        <v>3</v>
      </c>
      <c r="AF78" s="183">
        <v>2823.3333333333371</v>
      </c>
      <c r="AG78" s="183">
        <v>941.11111111111234</v>
      </c>
      <c r="AH78" s="520">
        <f t="shared" si="31"/>
        <v>6</v>
      </c>
      <c r="AI78" s="629"/>
      <c r="AJ78" s="183">
        <v>3</v>
      </c>
      <c r="AK78" s="183">
        <v>2730.0000000000036</v>
      </c>
      <c r="AL78" s="183">
        <v>910.00000000000125</v>
      </c>
      <c r="AM78" s="520">
        <f t="shared" si="33"/>
        <v>5</v>
      </c>
      <c r="AN78" s="629"/>
      <c r="AO78" s="183">
        <v>3</v>
      </c>
      <c r="AP78" s="183">
        <v>2852.727272727278</v>
      </c>
      <c r="AQ78" s="183">
        <v>950.9090909090927</v>
      </c>
      <c r="AR78" s="520">
        <f t="shared" si="35"/>
        <v>3</v>
      </c>
      <c r="AS78" s="629"/>
      <c r="AT78" s="183">
        <v>3</v>
      </c>
      <c r="AU78" s="183">
        <v>2738.181818181818</v>
      </c>
      <c r="AV78" s="183">
        <v>912.72727272727263</v>
      </c>
      <c r="AW78" s="520">
        <f t="shared" si="37"/>
        <v>7</v>
      </c>
      <c r="AX78" s="629"/>
    </row>
    <row r="79" spans="2:50">
      <c r="B79" s="642"/>
      <c r="C79" s="336">
        <v>3</v>
      </c>
      <c r="D79" s="336" t="s">
        <v>348</v>
      </c>
      <c r="E79" s="336">
        <v>4</v>
      </c>
      <c r="F79" s="336">
        <v>3600</v>
      </c>
      <c r="G79" s="336">
        <v>900</v>
      </c>
      <c r="H79" s="629"/>
      <c r="I79" s="200">
        <f t="shared" si="39"/>
        <v>4</v>
      </c>
      <c r="J79" s="200">
        <f t="shared" si="40"/>
        <v>3135.3409090909113</v>
      </c>
      <c r="K79" s="201">
        <f t="shared" si="41"/>
        <v>783.83522727272782</v>
      </c>
      <c r="L79" s="614"/>
      <c r="M79" s="200">
        <f>RANK(K79, K$77:$K$106)</f>
        <v>10</v>
      </c>
      <c r="N79" s="621"/>
      <c r="O79" s="621"/>
      <c r="P79" s="183">
        <v>4</v>
      </c>
      <c r="Q79" s="183">
        <v>3369.9999999999891</v>
      </c>
      <c r="R79" s="183">
        <v>842.49999999999727</v>
      </c>
      <c r="S79" s="343">
        <f t="shared" si="42"/>
        <v>8</v>
      </c>
      <c r="T79" s="629"/>
      <c r="U79" s="183">
        <v>4</v>
      </c>
      <c r="V79" s="183">
        <v>2743.6363636363685</v>
      </c>
      <c r="W79" s="183">
        <v>685.90909090909213</v>
      </c>
      <c r="X79" s="520">
        <f t="shared" si="27"/>
        <v>17</v>
      </c>
      <c r="Y79" s="629"/>
      <c r="Z79" s="183">
        <v>4</v>
      </c>
      <c r="AA79" s="183">
        <v>3210.0000000000041</v>
      </c>
      <c r="AB79" s="183">
        <v>802.50000000000102</v>
      </c>
      <c r="AC79" s="520">
        <f t="shared" si="29"/>
        <v>11</v>
      </c>
      <c r="AD79" s="629"/>
      <c r="AE79" s="183">
        <v>4</v>
      </c>
      <c r="AF79" s="183">
        <v>3392.0000000000123</v>
      </c>
      <c r="AG79" s="183">
        <v>848.00000000000307</v>
      </c>
      <c r="AH79" s="520">
        <f t="shared" si="31"/>
        <v>9</v>
      </c>
      <c r="AI79" s="629"/>
      <c r="AJ79" s="183">
        <v>4</v>
      </c>
      <c r="AK79" s="183">
        <v>3048.7499999999959</v>
      </c>
      <c r="AL79" s="183">
        <v>762.18749999999898</v>
      </c>
      <c r="AM79" s="520">
        <f t="shared" si="33"/>
        <v>10</v>
      </c>
      <c r="AN79" s="629"/>
      <c r="AO79" s="183">
        <v>4</v>
      </c>
      <c r="AP79" s="183">
        <v>3117.000000000005</v>
      </c>
      <c r="AQ79" s="183">
        <v>779.25000000000125</v>
      </c>
      <c r="AR79" s="520">
        <f t="shared" si="35"/>
        <v>10</v>
      </c>
      <c r="AS79" s="629"/>
      <c r="AT79" s="183">
        <v>4</v>
      </c>
      <c r="AU79" s="183">
        <v>3066.0000000000045</v>
      </c>
      <c r="AV79" s="183">
        <v>766.50000000000114</v>
      </c>
      <c r="AW79" s="520">
        <f t="shared" si="37"/>
        <v>12</v>
      </c>
      <c r="AX79" s="629"/>
    </row>
    <row r="80" spans="2:50">
      <c r="B80" s="642"/>
      <c r="C80" s="336">
        <v>4</v>
      </c>
      <c r="D80" s="336" t="s">
        <v>364</v>
      </c>
      <c r="E80" s="336">
        <v>3</v>
      </c>
      <c r="F80" s="336">
        <v>3600</v>
      </c>
      <c r="G80" s="336">
        <v>1200</v>
      </c>
      <c r="H80" s="629"/>
      <c r="I80" s="200">
        <f t="shared" si="39"/>
        <v>3</v>
      </c>
      <c r="J80" s="200">
        <f t="shared" si="40"/>
        <v>3197.5847239396148</v>
      </c>
      <c r="K80" s="201">
        <f t="shared" si="41"/>
        <v>1065.8615746465382</v>
      </c>
      <c r="L80" s="614"/>
      <c r="M80" s="200">
        <f>RANK(K80, K$77:$K$106)</f>
        <v>1</v>
      </c>
      <c r="N80" s="621"/>
      <c r="O80" s="621"/>
      <c r="P80" s="183">
        <v>3</v>
      </c>
      <c r="Q80" s="183">
        <v>3252.3076923076942</v>
      </c>
      <c r="R80" s="183">
        <v>1084.1025641025647</v>
      </c>
      <c r="S80" s="343">
        <f t="shared" si="42"/>
        <v>1</v>
      </c>
      <c r="T80" s="629"/>
      <c r="U80" s="183">
        <v>3</v>
      </c>
      <c r="V80" s="183">
        <v>3205.063291139239</v>
      </c>
      <c r="W80" s="183">
        <v>1068.3544303797464</v>
      </c>
      <c r="X80" s="520">
        <f t="shared" si="27"/>
        <v>1</v>
      </c>
      <c r="Y80" s="629"/>
      <c r="Z80" s="183">
        <v>3</v>
      </c>
      <c r="AA80" s="183">
        <v>3290.1369863013706</v>
      </c>
      <c r="AB80" s="183">
        <v>1096.7123287671236</v>
      </c>
      <c r="AC80" s="520">
        <f t="shared" si="29"/>
        <v>1</v>
      </c>
      <c r="AD80" s="629"/>
      <c r="AE80" s="183">
        <v>3</v>
      </c>
      <c r="AF80" s="183">
        <v>3204.9230769230762</v>
      </c>
      <c r="AG80" s="183">
        <v>1068.3076923076922</v>
      </c>
      <c r="AH80" s="520">
        <f t="shared" si="31"/>
        <v>2</v>
      </c>
      <c r="AI80" s="629"/>
      <c r="AJ80" s="183">
        <v>3</v>
      </c>
      <c r="AK80" s="183">
        <v>2922.8571428571431</v>
      </c>
      <c r="AL80" s="183">
        <v>974.28571428571433</v>
      </c>
      <c r="AM80" s="520">
        <f t="shared" si="33"/>
        <v>3</v>
      </c>
      <c r="AN80" s="629"/>
      <c r="AO80" s="183">
        <v>3</v>
      </c>
      <c r="AP80" s="183">
        <v>3320.4878048780474</v>
      </c>
      <c r="AQ80" s="183">
        <v>1106.8292682926824</v>
      </c>
      <c r="AR80" s="520">
        <f t="shared" si="35"/>
        <v>1</v>
      </c>
      <c r="AS80" s="629"/>
      <c r="AT80" s="183">
        <v>3</v>
      </c>
      <c r="AU80" s="183">
        <v>3187.3170731707341</v>
      </c>
      <c r="AV80" s="183">
        <v>1062.4390243902446</v>
      </c>
      <c r="AW80" s="520">
        <f t="shared" si="37"/>
        <v>1</v>
      </c>
      <c r="AX80" s="629"/>
    </row>
    <row r="81" spans="2:50">
      <c r="B81" s="642"/>
      <c r="C81" s="336">
        <v>5</v>
      </c>
      <c r="D81" s="336" t="s">
        <v>365</v>
      </c>
      <c r="E81" s="336">
        <v>3</v>
      </c>
      <c r="F81" s="336">
        <v>3600</v>
      </c>
      <c r="G81" s="336">
        <v>1200</v>
      </c>
      <c r="H81" s="629"/>
      <c r="I81" s="200">
        <f t="shared" si="39"/>
        <v>4</v>
      </c>
      <c r="J81" s="200">
        <f t="shared" si="40"/>
        <v>3100.7375283446713</v>
      </c>
      <c r="K81" s="201">
        <f t="shared" si="41"/>
        <v>775.18438208616783</v>
      </c>
      <c r="L81" s="614"/>
      <c r="M81" s="200">
        <f>RANK(K81, K$77:$K$106)</f>
        <v>11</v>
      </c>
      <c r="N81" s="621"/>
      <c r="O81" s="621"/>
      <c r="P81" s="183">
        <v>4</v>
      </c>
      <c r="Q81" s="183">
        <v>2754.0000000000018</v>
      </c>
      <c r="R81" s="183">
        <v>688.50000000000045</v>
      </c>
      <c r="S81" s="343">
        <f t="shared" si="42"/>
        <v>17</v>
      </c>
      <c r="T81" s="629"/>
      <c r="U81" s="183">
        <v>4</v>
      </c>
      <c r="V81" s="183">
        <v>3130.2857142857183</v>
      </c>
      <c r="W81" s="183">
        <v>782.57142857142958</v>
      </c>
      <c r="X81" s="520">
        <f t="shared" si="27"/>
        <v>8</v>
      </c>
      <c r="Y81" s="629"/>
      <c r="Z81" s="183">
        <v>4</v>
      </c>
      <c r="AA81" s="183">
        <v>3273.7500000000036</v>
      </c>
      <c r="AB81" s="183">
        <v>818.43750000000091</v>
      </c>
      <c r="AC81" s="520">
        <f t="shared" si="29"/>
        <v>10</v>
      </c>
      <c r="AD81" s="629"/>
      <c r="AE81" s="183">
        <v>4</v>
      </c>
      <c r="AF81" s="183">
        <v>3242.2222222222194</v>
      </c>
      <c r="AG81" s="183">
        <v>810.55555555555486</v>
      </c>
      <c r="AH81" s="520">
        <f t="shared" si="31"/>
        <v>10</v>
      </c>
      <c r="AI81" s="629"/>
      <c r="AJ81" s="183">
        <v>4</v>
      </c>
      <c r="AK81" s="183">
        <v>2873.9999999999986</v>
      </c>
      <c r="AL81" s="183">
        <v>718.49999999999966</v>
      </c>
      <c r="AM81" s="520">
        <f t="shared" si="33"/>
        <v>15</v>
      </c>
      <c r="AN81" s="629"/>
      <c r="AO81" s="183">
        <v>4</v>
      </c>
      <c r="AP81" s="183">
        <v>3272.5714285714253</v>
      </c>
      <c r="AQ81" s="183">
        <v>818.14285714285631</v>
      </c>
      <c r="AR81" s="520">
        <f t="shared" si="35"/>
        <v>9</v>
      </c>
      <c r="AS81" s="629"/>
      <c r="AT81" s="183">
        <v>4</v>
      </c>
      <c r="AU81" s="183">
        <v>3158.3333333333312</v>
      </c>
      <c r="AV81" s="183">
        <v>789.5833333333328</v>
      </c>
      <c r="AW81" s="520">
        <f t="shared" si="37"/>
        <v>11</v>
      </c>
      <c r="AX81" s="629"/>
    </row>
    <row r="82" spans="2:50">
      <c r="B82" s="642"/>
      <c r="C82" s="336">
        <v>6</v>
      </c>
      <c r="D82" s="336" t="s">
        <v>363</v>
      </c>
      <c r="E82" s="336">
        <v>4</v>
      </c>
      <c r="F82" s="336">
        <v>3600</v>
      </c>
      <c r="G82" s="336">
        <v>900</v>
      </c>
      <c r="H82" s="629"/>
      <c r="I82" s="200">
        <f t="shared" si="39"/>
        <v>4</v>
      </c>
      <c r="J82" s="200">
        <f t="shared" si="40"/>
        <v>3202.6224489795941</v>
      </c>
      <c r="K82" s="201">
        <f t="shared" si="41"/>
        <v>800.65561224489852</v>
      </c>
      <c r="L82" s="614"/>
      <c r="M82" s="200">
        <f>RANK(K82, K$77:$K$106)</f>
        <v>8</v>
      </c>
      <c r="N82" s="621"/>
      <c r="O82" s="621"/>
      <c r="P82" s="183">
        <v>4</v>
      </c>
      <c r="Q82" s="183">
        <v>3168.0000000000027</v>
      </c>
      <c r="R82" s="183">
        <v>792.00000000000068</v>
      </c>
      <c r="S82" s="343">
        <f t="shared" si="42"/>
        <v>9</v>
      </c>
      <c r="T82" s="629"/>
      <c r="U82" s="183">
        <v>4</v>
      </c>
      <c r="V82" s="183">
        <v>3067.5000000000036</v>
      </c>
      <c r="W82" s="183">
        <v>766.87500000000091</v>
      </c>
      <c r="X82" s="520">
        <f t="shared" si="27"/>
        <v>9</v>
      </c>
      <c r="Y82" s="629"/>
      <c r="Z82" s="183">
        <v>4</v>
      </c>
      <c r="AA82" s="183">
        <v>3402.8571428571454</v>
      </c>
      <c r="AB82" s="183">
        <v>850.71428571428635</v>
      </c>
      <c r="AC82" s="520">
        <f t="shared" si="29"/>
        <v>9</v>
      </c>
      <c r="AD82" s="629"/>
      <c r="AE82" s="183">
        <v>4</v>
      </c>
      <c r="AF82" s="183">
        <v>3230.0000000000009</v>
      </c>
      <c r="AG82" s="183">
        <v>807.50000000000023</v>
      </c>
      <c r="AH82" s="520">
        <f t="shared" si="31"/>
        <v>11</v>
      </c>
      <c r="AI82" s="629"/>
      <c r="AJ82" s="183">
        <v>4</v>
      </c>
      <c r="AK82" s="183">
        <v>3050.0000000000009</v>
      </c>
      <c r="AL82" s="183">
        <v>762.50000000000023</v>
      </c>
      <c r="AM82" s="520">
        <f t="shared" si="33"/>
        <v>9</v>
      </c>
      <c r="AN82" s="629"/>
      <c r="AO82" s="183">
        <v>4</v>
      </c>
      <c r="AP82" s="183">
        <v>3308.0000000000027</v>
      </c>
      <c r="AQ82" s="183">
        <v>827.00000000000068</v>
      </c>
      <c r="AR82" s="520">
        <f t="shared" si="35"/>
        <v>8</v>
      </c>
      <c r="AS82" s="629"/>
      <c r="AT82" s="183">
        <v>4</v>
      </c>
      <c r="AU82" s="183">
        <v>3192.0000000000032</v>
      </c>
      <c r="AV82" s="183">
        <v>798.0000000000008</v>
      </c>
      <c r="AW82" s="520">
        <f t="shared" si="37"/>
        <v>10</v>
      </c>
      <c r="AX82" s="629"/>
    </row>
    <row r="83" spans="2:50">
      <c r="B83" s="642"/>
      <c r="C83" s="336">
        <v>7</v>
      </c>
      <c r="D83" s="336" t="s">
        <v>615</v>
      </c>
      <c r="E83" s="336">
        <v>4</v>
      </c>
      <c r="F83" s="336">
        <v>3600</v>
      </c>
      <c r="G83" s="336">
        <v>900</v>
      </c>
      <c r="H83" s="629"/>
      <c r="I83" s="200">
        <f t="shared" si="39"/>
        <v>4</v>
      </c>
      <c r="J83" s="200">
        <f t="shared" si="40"/>
        <v>3168.8877551020364</v>
      </c>
      <c r="K83" s="201">
        <f t="shared" si="41"/>
        <v>792.2219387755091</v>
      </c>
      <c r="L83" s="614"/>
      <c r="M83" s="200">
        <f>RANK(K83, K$77:$K$106)</f>
        <v>9</v>
      </c>
      <c r="N83" s="621"/>
      <c r="O83" s="621"/>
      <c r="P83" s="183">
        <v>4</v>
      </c>
      <c r="Q83" s="183">
        <v>2958.0000000000105</v>
      </c>
      <c r="R83" s="183">
        <v>739.50000000000261</v>
      </c>
      <c r="S83" s="343">
        <f t="shared" si="42"/>
        <v>10</v>
      </c>
      <c r="T83" s="629"/>
      <c r="U83" s="183">
        <v>4</v>
      </c>
      <c r="V83" s="183">
        <v>3053.9999999999864</v>
      </c>
      <c r="W83" s="183">
        <v>763.49999999999659</v>
      </c>
      <c r="X83" s="520">
        <f t="shared" si="27"/>
        <v>10</v>
      </c>
      <c r="Y83" s="629"/>
      <c r="Z83" s="183">
        <v>4</v>
      </c>
      <c r="AA83" s="183">
        <v>3592.4999999999768</v>
      </c>
      <c r="AB83" s="183">
        <v>898.1249999999942</v>
      </c>
      <c r="AC83" s="520">
        <f t="shared" si="29"/>
        <v>8</v>
      </c>
      <c r="AD83" s="629"/>
      <c r="AE83" s="183">
        <v>4</v>
      </c>
      <c r="AF83" s="183">
        <v>3660.0000000000127</v>
      </c>
      <c r="AG83" s="183">
        <v>915.00000000000318</v>
      </c>
      <c r="AH83" s="520">
        <f t="shared" si="31"/>
        <v>8</v>
      </c>
      <c r="AI83" s="629"/>
      <c r="AJ83" s="183">
        <v>4</v>
      </c>
      <c r="AK83" s="183">
        <v>2965.7142857142962</v>
      </c>
      <c r="AL83" s="183">
        <v>741.42857142857406</v>
      </c>
      <c r="AM83" s="520">
        <f t="shared" si="33"/>
        <v>13</v>
      </c>
      <c r="AN83" s="629"/>
      <c r="AO83" s="183">
        <v>4</v>
      </c>
      <c r="AP83" s="183">
        <v>3053.9999999999864</v>
      </c>
      <c r="AQ83" s="183">
        <v>763.49999999999659</v>
      </c>
      <c r="AR83" s="520">
        <f t="shared" si="35"/>
        <v>11</v>
      </c>
      <c r="AS83" s="629"/>
      <c r="AT83" s="183">
        <v>4</v>
      </c>
      <c r="AU83" s="183">
        <v>2897.9999999999873</v>
      </c>
      <c r="AV83" s="183">
        <v>724.49999999999682</v>
      </c>
      <c r="AW83" s="520">
        <f t="shared" si="37"/>
        <v>13</v>
      </c>
      <c r="AX83" s="629"/>
    </row>
    <row r="84" spans="2:50">
      <c r="B84" s="642"/>
      <c r="C84" s="336">
        <v>8</v>
      </c>
      <c r="D84" s="336" t="s">
        <v>366</v>
      </c>
      <c r="E84" s="336">
        <v>4</v>
      </c>
      <c r="F84" s="336">
        <v>3300</v>
      </c>
      <c r="G84" s="336">
        <v>825</v>
      </c>
      <c r="H84" s="629"/>
      <c r="I84" s="200">
        <f t="shared" si="39"/>
        <v>4</v>
      </c>
      <c r="J84" s="200">
        <f t="shared" si="40"/>
        <v>2816.7110389610411</v>
      </c>
      <c r="K84" s="201">
        <f t="shared" si="41"/>
        <v>704.17775974026029</v>
      </c>
      <c r="L84" s="614"/>
      <c r="M84" s="200">
        <f>RANK(K84, K$77:$K$106)</f>
        <v>16</v>
      </c>
      <c r="N84" s="621"/>
      <c r="O84" s="621"/>
      <c r="P84" s="183">
        <v>4</v>
      </c>
      <c r="Q84" s="183">
        <v>2936.0000000000027</v>
      </c>
      <c r="R84" s="183">
        <v>734.00000000000068</v>
      </c>
      <c r="S84" s="343">
        <f t="shared" si="42"/>
        <v>12</v>
      </c>
      <c r="T84" s="629"/>
      <c r="U84" s="183">
        <v>4</v>
      </c>
      <c r="V84" s="183">
        <v>2771.2500000000032</v>
      </c>
      <c r="W84" s="183">
        <v>692.8125000000008</v>
      </c>
      <c r="X84" s="520">
        <f t="shared" si="27"/>
        <v>15</v>
      </c>
      <c r="Y84" s="629"/>
      <c r="Z84" s="183">
        <v>4</v>
      </c>
      <c r="AA84" s="183">
        <v>2884.0000000000027</v>
      </c>
      <c r="AB84" s="183">
        <v>721.00000000000068</v>
      </c>
      <c r="AC84" s="520">
        <f t="shared" si="29"/>
        <v>14</v>
      </c>
      <c r="AD84" s="629"/>
      <c r="AE84" s="183">
        <v>4</v>
      </c>
      <c r="AF84" s="183">
        <v>2912.727272727273</v>
      </c>
      <c r="AG84" s="183">
        <v>728.18181818181824</v>
      </c>
      <c r="AH84" s="520">
        <f t="shared" si="31"/>
        <v>13</v>
      </c>
      <c r="AI84" s="629"/>
      <c r="AJ84" s="183">
        <v>4</v>
      </c>
      <c r="AK84" s="183">
        <v>2525.0000000000005</v>
      </c>
      <c r="AL84" s="183">
        <v>631.25000000000011</v>
      </c>
      <c r="AM84" s="520">
        <f t="shared" si="33"/>
        <v>18</v>
      </c>
      <c r="AN84" s="629"/>
      <c r="AO84" s="183">
        <v>4</v>
      </c>
      <c r="AP84" s="183">
        <v>2928.0000000000027</v>
      </c>
      <c r="AQ84" s="183">
        <v>732.00000000000068</v>
      </c>
      <c r="AR84" s="520">
        <f t="shared" si="35"/>
        <v>13</v>
      </c>
      <c r="AS84" s="629"/>
      <c r="AT84" s="183">
        <v>4</v>
      </c>
      <c r="AU84" s="183">
        <v>2760.0000000000027</v>
      </c>
      <c r="AV84" s="183">
        <v>690.00000000000068</v>
      </c>
      <c r="AW84" s="520">
        <f t="shared" si="37"/>
        <v>17</v>
      </c>
      <c r="AX84" s="629"/>
    </row>
    <row r="85" spans="2:50">
      <c r="B85" s="642"/>
      <c r="C85" s="336">
        <v>9</v>
      </c>
      <c r="D85" s="336" t="s">
        <v>367</v>
      </c>
      <c r="E85" s="336">
        <v>3</v>
      </c>
      <c r="F85" s="336">
        <v>3300</v>
      </c>
      <c r="G85" s="336">
        <v>1100</v>
      </c>
      <c r="H85" s="629"/>
      <c r="I85" s="200">
        <f t="shared" si="39"/>
        <v>3</v>
      </c>
      <c r="J85" s="200">
        <f t="shared" si="40"/>
        <v>2808.8766339869303</v>
      </c>
      <c r="K85" s="201">
        <f t="shared" si="41"/>
        <v>936.29221132897692</v>
      </c>
      <c r="L85" s="614"/>
      <c r="M85" s="200">
        <f>RANK(K85, K$77:$K$106)</f>
        <v>5</v>
      </c>
      <c r="N85" s="621"/>
      <c r="O85" s="621"/>
      <c r="P85" s="183">
        <v>3</v>
      </c>
      <c r="Q85" s="183">
        <v>2722.9411764705915</v>
      </c>
      <c r="R85" s="183">
        <v>907.64705882353053</v>
      </c>
      <c r="S85" s="343">
        <f t="shared" si="42"/>
        <v>7</v>
      </c>
      <c r="T85" s="629"/>
      <c r="U85" s="183">
        <v>3</v>
      </c>
      <c r="V85" s="183">
        <v>2792.7272727272757</v>
      </c>
      <c r="W85" s="183">
        <v>930.9090909090919</v>
      </c>
      <c r="X85" s="520">
        <f t="shared" si="27"/>
        <v>3</v>
      </c>
      <c r="Y85" s="629"/>
      <c r="Z85" s="183">
        <v>3</v>
      </c>
      <c r="AA85" s="183">
        <v>2821.8750000000032</v>
      </c>
      <c r="AB85" s="183">
        <v>940.62500000000102</v>
      </c>
      <c r="AC85" s="520">
        <f t="shared" si="29"/>
        <v>5</v>
      </c>
      <c r="AD85" s="629"/>
      <c r="AE85" s="183">
        <v>3</v>
      </c>
      <c r="AF85" s="183">
        <v>2891.1111111111086</v>
      </c>
      <c r="AG85" s="183">
        <v>963.7037037037029</v>
      </c>
      <c r="AH85" s="520">
        <f t="shared" si="31"/>
        <v>3</v>
      </c>
      <c r="AI85" s="629"/>
      <c r="AJ85" s="183">
        <v>3</v>
      </c>
      <c r="AK85" s="183">
        <v>2844.4444444444462</v>
      </c>
      <c r="AL85" s="183">
        <v>948.14814814814872</v>
      </c>
      <c r="AM85" s="520">
        <f t="shared" si="33"/>
        <v>4</v>
      </c>
      <c r="AN85" s="629"/>
      <c r="AO85" s="183">
        <v>3</v>
      </c>
      <c r="AP85" s="183">
        <v>2821.7647058823563</v>
      </c>
      <c r="AQ85" s="183">
        <v>940.58823529411882</v>
      </c>
      <c r="AR85" s="520">
        <f t="shared" si="35"/>
        <v>4</v>
      </c>
      <c r="AS85" s="629"/>
      <c r="AT85" s="183">
        <v>3</v>
      </c>
      <c r="AU85" s="183">
        <v>2767.2727272727307</v>
      </c>
      <c r="AV85" s="183">
        <v>922.42424242424352</v>
      </c>
      <c r="AW85" s="520">
        <f t="shared" si="37"/>
        <v>5</v>
      </c>
      <c r="AX85" s="629"/>
    </row>
    <row r="86" spans="2:50">
      <c r="B86" s="642"/>
      <c r="C86" s="336">
        <v>10</v>
      </c>
      <c r="D86" s="336" t="s">
        <v>368</v>
      </c>
      <c r="E86" s="336">
        <v>3</v>
      </c>
      <c r="F86" s="336">
        <v>3300</v>
      </c>
      <c r="G86" s="336">
        <v>1100</v>
      </c>
      <c r="H86" s="629"/>
      <c r="I86" s="200">
        <f t="shared" si="39"/>
        <v>3</v>
      </c>
      <c r="J86" s="200">
        <f t="shared" si="40"/>
        <v>2782.6270002858364</v>
      </c>
      <c r="K86" s="201">
        <f t="shared" si="41"/>
        <v>927.54233342861232</v>
      </c>
      <c r="L86" s="614"/>
      <c r="M86" s="200">
        <f>RANK(K86, K$77:$K$106)</f>
        <v>6</v>
      </c>
      <c r="N86" s="621"/>
      <c r="O86" s="621"/>
      <c r="P86" s="183">
        <v>3</v>
      </c>
      <c r="Q86" s="183">
        <v>2859.4736842105303</v>
      </c>
      <c r="R86" s="183">
        <v>953.15789473684345</v>
      </c>
      <c r="S86" s="343">
        <f t="shared" si="42"/>
        <v>4</v>
      </c>
      <c r="T86" s="629"/>
      <c r="U86" s="183">
        <v>3</v>
      </c>
      <c r="V86" s="183">
        <v>2769.2307692307736</v>
      </c>
      <c r="W86" s="183">
        <v>923.07692307692457</v>
      </c>
      <c r="X86" s="520">
        <f t="shared" si="27"/>
        <v>6</v>
      </c>
      <c r="Y86" s="629"/>
      <c r="Z86" s="183">
        <v>3</v>
      </c>
      <c r="AA86" s="183">
        <v>2854.0540540540551</v>
      </c>
      <c r="AB86" s="183">
        <v>951.3513513513517</v>
      </c>
      <c r="AC86" s="520">
        <f t="shared" si="29"/>
        <v>4</v>
      </c>
      <c r="AD86" s="629"/>
      <c r="AE86" s="183">
        <v>3</v>
      </c>
      <c r="AF86" s="183">
        <v>2885.6249999999991</v>
      </c>
      <c r="AG86" s="183">
        <v>961.87499999999966</v>
      </c>
      <c r="AH86" s="520">
        <f t="shared" si="31"/>
        <v>4</v>
      </c>
      <c r="AI86" s="629"/>
      <c r="AJ86" s="183">
        <v>3</v>
      </c>
      <c r="AK86" s="183">
        <v>2523.428571428572</v>
      </c>
      <c r="AL86" s="183">
        <v>841.14285714285734</v>
      </c>
      <c r="AM86" s="520">
        <f t="shared" si="33"/>
        <v>8</v>
      </c>
      <c r="AN86" s="629"/>
      <c r="AO86" s="183">
        <v>3</v>
      </c>
      <c r="AP86" s="183">
        <v>2803.5000000000014</v>
      </c>
      <c r="AQ86" s="183">
        <v>934.50000000000045</v>
      </c>
      <c r="AR86" s="520">
        <f t="shared" si="35"/>
        <v>5</v>
      </c>
      <c r="AS86" s="629"/>
      <c r="AT86" s="183">
        <v>3</v>
      </c>
      <c r="AU86" s="183">
        <v>2783.076923076927</v>
      </c>
      <c r="AV86" s="183">
        <v>927.69230769230899</v>
      </c>
      <c r="AW86" s="520">
        <f t="shared" si="37"/>
        <v>4</v>
      </c>
      <c r="AX86" s="629"/>
    </row>
    <row r="87" spans="2:50">
      <c r="B87" s="642"/>
      <c r="C87" s="336">
        <v>11</v>
      </c>
      <c r="D87" s="336" t="s">
        <v>369</v>
      </c>
      <c r="E87" s="336">
        <v>4</v>
      </c>
      <c r="F87" s="336">
        <v>3300</v>
      </c>
      <c r="G87" s="336">
        <v>825</v>
      </c>
      <c r="H87" s="629"/>
      <c r="I87" s="200">
        <f t="shared" si="39"/>
        <v>4</v>
      </c>
      <c r="J87" s="200">
        <f t="shared" si="40"/>
        <v>2748.8676737491937</v>
      </c>
      <c r="K87" s="201">
        <f t="shared" si="41"/>
        <v>687.21691843729843</v>
      </c>
      <c r="L87" s="614"/>
      <c r="M87" s="200">
        <f>RANK(K87, K$77:$K$106)</f>
        <v>17</v>
      </c>
      <c r="N87" s="621"/>
      <c r="O87" s="621"/>
      <c r="P87" s="183">
        <v>4</v>
      </c>
      <c r="Q87" s="183">
        <v>2783.0000000000009</v>
      </c>
      <c r="R87" s="183">
        <v>695.75000000000023</v>
      </c>
      <c r="S87" s="343">
        <f t="shared" si="42"/>
        <v>15</v>
      </c>
      <c r="T87" s="629"/>
      <c r="U87" s="183">
        <v>4</v>
      </c>
      <c r="V87" s="183">
        <v>2759.0000000000005</v>
      </c>
      <c r="W87" s="183">
        <v>689.75000000000011</v>
      </c>
      <c r="X87" s="520">
        <f t="shared" si="27"/>
        <v>16</v>
      </c>
      <c r="Y87" s="629"/>
      <c r="Z87" s="183">
        <v>4</v>
      </c>
      <c r="AA87" s="183">
        <v>2807.3684210526317</v>
      </c>
      <c r="AB87" s="183">
        <v>701.84210526315792</v>
      </c>
      <c r="AC87" s="520">
        <f t="shared" si="29"/>
        <v>16</v>
      </c>
      <c r="AD87" s="629"/>
      <c r="AE87" s="183">
        <v>4</v>
      </c>
      <c r="AF87" s="183">
        <v>2763.5999999999963</v>
      </c>
      <c r="AG87" s="183">
        <v>690.89999999999907</v>
      </c>
      <c r="AH87" s="520">
        <f t="shared" si="31"/>
        <v>16</v>
      </c>
      <c r="AI87" s="629"/>
      <c r="AJ87" s="183">
        <v>4</v>
      </c>
      <c r="AK87" s="183">
        <v>2547.1698113207558</v>
      </c>
      <c r="AL87" s="183">
        <v>636.79245283018895</v>
      </c>
      <c r="AM87" s="520">
        <f t="shared" si="33"/>
        <v>17</v>
      </c>
      <c r="AN87" s="629"/>
      <c r="AO87" s="183">
        <v>4</v>
      </c>
      <c r="AP87" s="183">
        <v>2808.3870967741941</v>
      </c>
      <c r="AQ87" s="183">
        <v>702.09677419354853</v>
      </c>
      <c r="AR87" s="520">
        <f t="shared" si="35"/>
        <v>17</v>
      </c>
      <c r="AS87" s="629"/>
      <c r="AT87" s="183">
        <v>4</v>
      </c>
      <c r="AU87" s="183">
        <v>2773.5483870967751</v>
      </c>
      <c r="AV87" s="183">
        <v>693.38709677419376</v>
      </c>
      <c r="AW87" s="520">
        <f t="shared" si="37"/>
        <v>16</v>
      </c>
      <c r="AX87" s="629"/>
    </row>
    <row r="88" spans="2:50">
      <c r="B88" s="642"/>
      <c r="C88" s="336">
        <v>12</v>
      </c>
      <c r="D88" s="336" t="s">
        <v>370</v>
      </c>
      <c r="E88" s="336">
        <v>4</v>
      </c>
      <c r="F88" s="336">
        <v>3300</v>
      </c>
      <c r="G88" s="336">
        <v>825</v>
      </c>
      <c r="H88" s="629"/>
      <c r="I88" s="200">
        <f t="shared" si="39"/>
        <v>4</v>
      </c>
      <c r="J88" s="200">
        <f t="shared" si="40"/>
        <v>2822.3023228124935</v>
      </c>
      <c r="K88" s="201">
        <f t="shared" si="41"/>
        <v>705.57558070312336</v>
      </c>
      <c r="L88" s="614"/>
      <c r="M88" s="200">
        <f>RANK(K88, K$77:$K$106)</f>
        <v>15</v>
      </c>
      <c r="N88" s="621"/>
      <c r="O88" s="621"/>
      <c r="P88" s="183">
        <v>4</v>
      </c>
      <c r="Q88" s="183">
        <v>2829.8507462686534</v>
      </c>
      <c r="R88" s="183">
        <v>707.46268656716336</v>
      </c>
      <c r="S88" s="343">
        <f t="shared" si="42"/>
        <v>13</v>
      </c>
      <c r="T88" s="629"/>
      <c r="U88" s="183">
        <v>4</v>
      </c>
      <c r="V88" s="183">
        <v>2786.4705882352905</v>
      </c>
      <c r="W88" s="183">
        <v>696.61764705882263</v>
      </c>
      <c r="X88" s="520">
        <f t="shared" si="27"/>
        <v>14</v>
      </c>
      <c r="Y88" s="629"/>
      <c r="Z88" s="183">
        <v>4</v>
      </c>
      <c r="AA88" s="183">
        <v>2843.4374999999964</v>
      </c>
      <c r="AB88" s="183">
        <v>710.85937499999909</v>
      </c>
      <c r="AC88" s="520">
        <f t="shared" si="29"/>
        <v>15</v>
      </c>
      <c r="AD88" s="629"/>
      <c r="AE88" s="183">
        <v>4</v>
      </c>
      <c r="AF88" s="183">
        <v>2826.4285714285734</v>
      </c>
      <c r="AG88" s="183">
        <v>706.60714285714334</v>
      </c>
      <c r="AH88" s="520">
        <f t="shared" si="31"/>
        <v>15</v>
      </c>
      <c r="AI88" s="629"/>
      <c r="AJ88" s="183">
        <v>4</v>
      </c>
      <c r="AK88" s="183">
        <v>2848.3636363636383</v>
      </c>
      <c r="AL88" s="183">
        <v>712.09090909090958</v>
      </c>
      <c r="AM88" s="520">
        <f t="shared" si="33"/>
        <v>16</v>
      </c>
      <c r="AN88" s="629"/>
      <c r="AO88" s="183">
        <v>4</v>
      </c>
      <c r="AP88" s="183">
        <v>2832.0000000000005</v>
      </c>
      <c r="AQ88" s="183">
        <v>708.00000000000011</v>
      </c>
      <c r="AR88" s="520">
        <f t="shared" si="35"/>
        <v>15</v>
      </c>
      <c r="AS88" s="629"/>
      <c r="AT88" s="183">
        <v>4</v>
      </c>
      <c r="AU88" s="183">
        <v>2789.5652173913013</v>
      </c>
      <c r="AV88" s="183">
        <v>697.39130434782533</v>
      </c>
      <c r="AW88" s="520">
        <f t="shared" si="37"/>
        <v>14</v>
      </c>
      <c r="AX88" s="629"/>
    </row>
    <row r="89" spans="2:50">
      <c r="B89" s="642"/>
      <c r="C89" s="336">
        <v>13</v>
      </c>
      <c r="D89" s="336" t="s">
        <v>824</v>
      </c>
      <c r="E89" s="336">
        <v>4</v>
      </c>
      <c r="F89" s="336">
        <v>2800</v>
      </c>
      <c r="G89" s="336">
        <v>700</v>
      </c>
      <c r="H89" s="629"/>
      <c r="I89" s="200">
        <f t="shared" si="39"/>
        <v>4</v>
      </c>
      <c r="J89" s="200">
        <f t="shared" si="40"/>
        <v>2847.2162162162158</v>
      </c>
      <c r="K89" s="201">
        <f t="shared" si="41"/>
        <v>711.80405405405395</v>
      </c>
      <c r="L89" s="614"/>
      <c r="M89" s="200">
        <f>RANK(K89, K$77:$K$106)</f>
        <v>14</v>
      </c>
      <c r="N89" s="621"/>
      <c r="O89" s="621"/>
      <c r="P89" s="183">
        <v>4</v>
      </c>
      <c r="Q89" s="183">
        <v>2760</v>
      </c>
      <c r="R89" s="183">
        <v>690</v>
      </c>
      <c r="S89" s="343">
        <f t="shared" si="42"/>
        <v>16</v>
      </c>
      <c r="T89" s="629"/>
      <c r="U89" s="183">
        <v>4</v>
      </c>
      <c r="V89" s="183">
        <v>2797.333333333333</v>
      </c>
      <c r="W89" s="183">
        <v>699.33333333333326</v>
      </c>
      <c r="X89" s="520">
        <f t="shared" si="27"/>
        <v>13</v>
      </c>
      <c r="Y89" s="629"/>
      <c r="Z89" s="183">
        <v>4</v>
      </c>
      <c r="AA89" s="183">
        <v>2936.9999999999991</v>
      </c>
      <c r="AB89" s="183">
        <v>734.24999999999977</v>
      </c>
      <c r="AC89" s="520">
        <f t="shared" si="29"/>
        <v>12</v>
      </c>
      <c r="AD89" s="629"/>
      <c r="AE89" s="183">
        <v>4</v>
      </c>
      <c r="AF89" s="183">
        <v>2873.513513513511</v>
      </c>
      <c r="AG89" s="183">
        <v>718.37837837837776</v>
      </c>
      <c r="AH89" s="520">
        <f t="shared" si="31"/>
        <v>14</v>
      </c>
      <c r="AI89" s="629"/>
      <c r="AJ89" s="183">
        <v>4</v>
      </c>
      <c r="AK89" s="183">
        <v>2951.9999999999973</v>
      </c>
      <c r="AL89" s="183">
        <v>737.99999999999932</v>
      </c>
      <c r="AM89" s="520">
        <f t="shared" si="33"/>
        <v>14</v>
      </c>
      <c r="AN89" s="629"/>
      <c r="AO89" s="183">
        <v>4</v>
      </c>
      <c r="AP89" s="183">
        <v>2824</v>
      </c>
      <c r="AQ89" s="183">
        <v>706</v>
      </c>
      <c r="AR89" s="520">
        <f t="shared" si="35"/>
        <v>16</v>
      </c>
      <c r="AS89" s="629"/>
      <c r="AT89" s="183">
        <v>4</v>
      </c>
      <c r="AU89" s="183">
        <v>2786.6666666666665</v>
      </c>
      <c r="AV89" s="183">
        <v>696.66666666666663</v>
      </c>
      <c r="AW89" s="520">
        <f t="shared" si="37"/>
        <v>15</v>
      </c>
      <c r="AX89" s="629"/>
    </row>
    <row r="90" spans="2:50">
      <c r="B90" s="642"/>
      <c r="C90" s="336">
        <v>14</v>
      </c>
      <c r="D90" s="336" t="s">
        <v>371</v>
      </c>
      <c r="E90" s="336">
        <v>4</v>
      </c>
      <c r="F90" s="336">
        <v>3600</v>
      </c>
      <c r="G90" s="336">
        <v>900</v>
      </c>
      <c r="H90" s="629"/>
      <c r="I90" s="200">
        <f t="shared" si="39"/>
        <v>4</v>
      </c>
      <c r="J90" s="200">
        <f t="shared" si="40"/>
        <v>2354.5766233766158</v>
      </c>
      <c r="K90" s="201">
        <f t="shared" si="41"/>
        <v>588.64415584415394</v>
      </c>
      <c r="L90" s="614"/>
      <c r="M90" s="200">
        <f>RANK(K90, K$77:$K$106)</f>
        <v>18</v>
      </c>
      <c r="N90" s="621"/>
      <c r="O90" s="621"/>
      <c r="P90" s="183">
        <v>4</v>
      </c>
      <c r="Q90" s="183">
        <v>2716.7999999999925</v>
      </c>
      <c r="R90" s="183">
        <v>679.19999999999811</v>
      </c>
      <c r="S90" s="343">
        <f t="shared" si="42"/>
        <v>18</v>
      </c>
      <c r="T90" s="629"/>
      <c r="U90" s="183">
        <v>4</v>
      </c>
      <c r="V90" s="183">
        <v>2714.3999999999924</v>
      </c>
      <c r="W90" s="183">
        <v>678.59999999999809</v>
      </c>
      <c r="X90" s="520">
        <f t="shared" si="27"/>
        <v>18</v>
      </c>
      <c r="Y90" s="629"/>
      <c r="Z90" s="183">
        <v>4</v>
      </c>
      <c r="AA90" s="183">
        <v>2794.9999999999914</v>
      </c>
      <c r="AB90" s="183">
        <v>698.74999999999784</v>
      </c>
      <c r="AC90" s="520">
        <f t="shared" si="29"/>
        <v>17</v>
      </c>
      <c r="AD90" s="629"/>
      <c r="AE90" s="183">
        <v>4</v>
      </c>
      <c r="AF90" s="183">
        <v>2392.7999999999934</v>
      </c>
      <c r="AG90" s="183">
        <v>598.19999999999834</v>
      </c>
      <c r="AH90" s="520">
        <f t="shared" si="31"/>
        <v>17</v>
      </c>
      <c r="AI90" s="629"/>
      <c r="AJ90" s="183">
        <v>4</v>
      </c>
      <c r="AK90" s="183">
        <v>3014.9999999999868</v>
      </c>
      <c r="AL90" s="183">
        <v>753.7499999999967</v>
      </c>
      <c r="AM90" s="520">
        <f t="shared" si="33"/>
        <v>12</v>
      </c>
      <c r="AN90" s="629"/>
      <c r="AO90" s="183">
        <v>4</v>
      </c>
      <c r="AP90" s="183">
        <v>145.6363636363636</v>
      </c>
      <c r="AQ90" s="183">
        <v>36.409090909090899</v>
      </c>
      <c r="AR90" s="520">
        <f t="shared" si="35"/>
        <v>19</v>
      </c>
      <c r="AS90" s="629"/>
      <c r="AT90" s="183">
        <v>4</v>
      </c>
      <c r="AU90" s="183">
        <v>2702.3999999999924</v>
      </c>
      <c r="AV90" s="183">
        <v>675.59999999999809</v>
      </c>
      <c r="AW90" s="520">
        <f t="shared" si="37"/>
        <v>18</v>
      </c>
      <c r="AX90" s="629"/>
    </row>
    <row r="91" spans="2:50">
      <c r="B91" s="642"/>
      <c r="C91" s="336">
        <v>15</v>
      </c>
      <c r="D91" s="336" t="s">
        <v>372</v>
      </c>
      <c r="E91" s="336">
        <v>4</v>
      </c>
      <c r="F91" s="336">
        <v>3600</v>
      </c>
      <c r="G91" s="336">
        <v>900</v>
      </c>
      <c r="H91" s="629"/>
      <c r="I91" s="200">
        <f t="shared" si="39"/>
        <v>4</v>
      </c>
      <c r="J91" s="200">
        <f t="shared" si="40"/>
        <v>2901.4285714285861</v>
      </c>
      <c r="K91" s="201">
        <f t="shared" si="41"/>
        <v>725.35714285714653</v>
      </c>
      <c r="L91" s="614"/>
      <c r="M91" s="200">
        <f>RANK(K91, K$77:$K$106)</f>
        <v>13</v>
      </c>
      <c r="N91" s="621"/>
      <c r="O91" s="621"/>
      <c r="P91" s="183">
        <v>4</v>
      </c>
      <c r="Q91" s="183">
        <v>2812.00000000001</v>
      </c>
      <c r="R91" s="183">
        <v>703.0000000000025</v>
      </c>
      <c r="S91" s="343">
        <f t="shared" si="42"/>
        <v>14</v>
      </c>
      <c r="T91" s="629"/>
      <c r="U91" s="183">
        <v>4</v>
      </c>
      <c r="V91" s="183">
        <v>2800.00000000001</v>
      </c>
      <c r="W91" s="183">
        <v>700.0000000000025</v>
      </c>
      <c r="X91" s="520">
        <f t="shared" si="27"/>
        <v>12</v>
      </c>
      <c r="Y91" s="629"/>
      <c r="Z91" s="183">
        <v>4</v>
      </c>
      <c r="AA91" s="183">
        <v>2651.9999999999809</v>
      </c>
      <c r="AB91" s="183">
        <v>662.99999999999523</v>
      </c>
      <c r="AC91" s="520">
        <f t="shared" si="29"/>
        <v>18</v>
      </c>
      <c r="AD91" s="629"/>
      <c r="AE91" s="183">
        <v>4</v>
      </c>
      <c r="AF91" s="183">
        <v>2128.0000000000073</v>
      </c>
      <c r="AG91" s="183">
        <v>532.00000000000182</v>
      </c>
      <c r="AH91" s="520">
        <f t="shared" si="31"/>
        <v>18</v>
      </c>
      <c r="AI91" s="629"/>
      <c r="AJ91" s="183">
        <v>4</v>
      </c>
      <c r="AK91" s="183">
        <v>3444.0000000000123</v>
      </c>
      <c r="AL91" s="183">
        <v>861.00000000000307</v>
      </c>
      <c r="AM91" s="520">
        <f t="shared" si="33"/>
        <v>7</v>
      </c>
      <c r="AN91" s="629"/>
      <c r="AO91" s="183">
        <v>4</v>
      </c>
      <c r="AP91" s="183">
        <v>2844.00000000001</v>
      </c>
      <c r="AQ91" s="183">
        <v>711.0000000000025</v>
      </c>
      <c r="AR91" s="520">
        <f t="shared" si="35"/>
        <v>14</v>
      </c>
      <c r="AS91" s="629"/>
      <c r="AT91" s="183">
        <v>4</v>
      </c>
      <c r="AU91" s="183">
        <v>3630.0000000000709</v>
      </c>
      <c r="AV91" s="183">
        <v>907.50000000001774</v>
      </c>
      <c r="AW91" s="520">
        <f t="shared" si="37"/>
        <v>8</v>
      </c>
      <c r="AX91" s="629"/>
    </row>
    <row r="92" spans="2:50">
      <c r="B92" s="642"/>
      <c r="C92" s="336">
        <v>16</v>
      </c>
      <c r="D92" s="336" t="s">
        <v>695</v>
      </c>
      <c r="E92" s="336">
        <v>4</v>
      </c>
      <c r="F92" s="336">
        <v>3300</v>
      </c>
      <c r="G92" s="336">
        <v>825</v>
      </c>
      <c r="H92" s="629"/>
      <c r="I92" s="200">
        <f t="shared" si="39"/>
        <v>3</v>
      </c>
      <c r="J92" s="200">
        <f t="shared" si="40"/>
        <v>2757.4920329670304</v>
      </c>
      <c r="K92" s="201">
        <f t="shared" si="41"/>
        <v>919.16401098901008</v>
      </c>
      <c r="L92" s="614"/>
      <c r="M92" s="200">
        <f>RANK(K92, K$77:$K$106)</f>
        <v>7</v>
      </c>
      <c r="N92" s="621"/>
      <c r="O92" s="621"/>
      <c r="P92" s="183">
        <v>3</v>
      </c>
      <c r="Q92" s="183">
        <v>2755.999999999995</v>
      </c>
      <c r="R92" s="183">
        <v>918.66666666666504</v>
      </c>
      <c r="S92" s="343">
        <f t="shared" si="42"/>
        <v>6</v>
      </c>
      <c r="T92" s="629"/>
      <c r="U92" s="183">
        <v>3</v>
      </c>
      <c r="V92" s="183">
        <v>2781.999999999995</v>
      </c>
      <c r="W92" s="183">
        <v>927.33333333333167</v>
      </c>
      <c r="X92" s="520">
        <f t="shared" si="27"/>
        <v>4</v>
      </c>
      <c r="Y92" s="629"/>
      <c r="Z92" s="183">
        <v>3</v>
      </c>
      <c r="AA92" s="183">
        <v>2759.999999999995</v>
      </c>
      <c r="AB92" s="183">
        <v>919.99999999999829</v>
      </c>
      <c r="AC92" s="520">
        <f t="shared" si="29"/>
        <v>7</v>
      </c>
      <c r="AD92" s="629"/>
      <c r="AE92" s="183">
        <v>3</v>
      </c>
      <c r="AF92" s="183">
        <v>2810.7692307692323</v>
      </c>
      <c r="AG92" s="183">
        <v>936.92307692307747</v>
      </c>
      <c r="AH92" s="520">
        <f t="shared" si="31"/>
        <v>7</v>
      </c>
      <c r="AI92" s="629"/>
      <c r="AJ92" s="183">
        <v>3</v>
      </c>
      <c r="AK92" s="183">
        <v>2716.8000000000011</v>
      </c>
      <c r="AL92" s="183">
        <v>905.60000000000036</v>
      </c>
      <c r="AM92" s="520">
        <f t="shared" si="33"/>
        <v>6</v>
      </c>
      <c r="AN92" s="629"/>
      <c r="AO92" s="183">
        <v>3</v>
      </c>
      <c r="AP92" s="183">
        <v>2716.8749999999964</v>
      </c>
      <c r="AQ92" s="183">
        <v>905.62499999999875</v>
      </c>
      <c r="AR92" s="520">
        <f t="shared" si="35"/>
        <v>6</v>
      </c>
      <c r="AS92" s="629"/>
      <c r="AT92" s="183">
        <v>3</v>
      </c>
      <c r="AU92" s="183">
        <v>2759.999999999995</v>
      </c>
      <c r="AV92" s="183">
        <v>919.99999999999829</v>
      </c>
      <c r="AW92" s="520">
        <f t="shared" si="37"/>
        <v>6</v>
      </c>
      <c r="AX92" s="629"/>
    </row>
    <row r="93" spans="2:50">
      <c r="B93" s="642"/>
      <c r="C93" s="336">
        <v>17</v>
      </c>
      <c r="D93" s="336" t="s">
        <v>815</v>
      </c>
      <c r="E93" s="336">
        <v>3</v>
      </c>
      <c r="F93" s="336">
        <v>2800</v>
      </c>
      <c r="G93" s="336">
        <v>933.33333333333337</v>
      </c>
      <c r="H93" s="629"/>
      <c r="I93" s="200">
        <f t="shared" si="39"/>
        <v>3</v>
      </c>
      <c r="J93" s="200">
        <f t="shared" si="40"/>
        <v>2845.9334049409213</v>
      </c>
      <c r="K93" s="201">
        <f t="shared" si="41"/>
        <v>948.64446831364057</v>
      </c>
      <c r="L93" s="614"/>
      <c r="M93" s="200">
        <f>RANK(K93, K$77:$K$106)</f>
        <v>3</v>
      </c>
      <c r="N93" s="621"/>
      <c r="O93" s="621"/>
      <c r="P93" s="183">
        <v>3</v>
      </c>
      <c r="Q93" s="183">
        <v>2812.4999999999991</v>
      </c>
      <c r="R93" s="183">
        <v>937.49999999999966</v>
      </c>
      <c r="S93" s="343">
        <f t="shared" si="42"/>
        <v>5</v>
      </c>
      <c r="T93" s="629"/>
      <c r="U93" s="183">
        <v>3</v>
      </c>
      <c r="V93" s="183">
        <v>2743.4999999999991</v>
      </c>
      <c r="W93" s="183">
        <v>914.49999999999966</v>
      </c>
      <c r="X93" s="520">
        <f t="shared" ref="X93:X106" si="43">RANK(W93, W$77:W$106)</f>
        <v>7</v>
      </c>
      <c r="Y93" s="629"/>
      <c r="Z93" s="183">
        <v>3</v>
      </c>
      <c r="AA93" s="183">
        <v>2782.1052631579046</v>
      </c>
      <c r="AB93" s="183">
        <v>927.36842105263486</v>
      </c>
      <c r="AC93" s="520">
        <f t="shared" ref="AC93:AC106" si="44">RANK(AB93, AB$77:AB$106)</f>
        <v>6</v>
      </c>
      <c r="AD93" s="629"/>
      <c r="AE93" s="183">
        <v>3</v>
      </c>
      <c r="AF93" s="183">
        <v>2862.8571428571399</v>
      </c>
      <c r="AG93" s="183">
        <v>954.28571428571331</v>
      </c>
      <c r="AH93" s="520">
        <f t="shared" ref="AH93:AH106" si="45">RANK(AG93, AG$77:AG$106)</f>
        <v>5</v>
      </c>
      <c r="AI93" s="629"/>
      <c r="AJ93" s="183">
        <v>3</v>
      </c>
      <c r="AK93" s="183">
        <v>2994.8571428571395</v>
      </c>
      <c r="AL93" s="183">
        <v>998.2857142857132</v>
      </c>
      <c r="AM93" s="520">
        <f t="shared" ref="AM93:AM106" si="46">RANK(AL93, AL$77:AL$106)</f>
        <v>1</v>
      </c>
      <c r="AN93" s="629"/>
      <c r="AO93" s="183">
        <v>3</v>
      </c>
      <c r="AP93" s="183">
        <v>2687.9999999999991</v>
      </c>
      <c r="AQ93" s="183">
        <v>895.99999999999966</v>
      </c>
      <c r="AR93" s="520">
        <f t="shared" ref="AR93:AR106" si="47">RANK(AQ93, AQ$77:AQ$106)</f>
        <v>7</v>
      </c>
      <c r="AS93" s="629"/>
      <c r="AT93" s="183">
        <v>3</v>
      </c>
      <c r="AU93" s="183">
        <v>3037.7142857142685</v>
      </c>
      <c r="AV93" s="183">
        <v>1012.5714285714229</v>
      </c>
      <c r="AW93" s="520">
        <f t="shared" ref="AW93:AW106" si="48">RANK(AV93, AV$77:AV$106)</f>
        <v>3</v>
      </c>
      <c r="AX93" s="629"/>
    </row>
    <row r="94" spans="2:50">
      <c r="B94" s="642"/>
      <c r="C94" s="336">
        <v>18</v>
      </c>
      <c r="D94" s="336" t="s">
        <v>890</v>
      </c>
      <c r="E94" s="336">
        <v>4</v>
      </c>
      <c r="F94" s="336">
        <v>3000</v>
      </c>
      <c r="G94" s="336">
        <v>750</v>
      </c>
      <c r="H94" s="629"/>
      <c r="I94" s="200">
        <f t="shared" si="39"/>
        <v>3</v>
      </c>
      <c r="J94" s="200">
        <f t="shared" si="40"/>
        <v>2280.3411196911215</v>
      </c>
      <c r="K94" s="201">
        <f t="shared" si="41"/>
        <v>760.1137065637073</v>
      </c>
      <c r="L94" s="614"/>
      <c r="M94" s="200">
        <f>RANK(K94, K$77:$K$106)</f>
        <v>12</v>
      </c>
      <c r="N94" s="621"/>
      <c r="O94" s="621"/>
      <c r="P94" s="183">
        <v>3</v>
      </c>
      <c r="Q94" s="183">
        <v>2202.0000000000036</v>
      </c>
      <c r="R94" s="183">
        <v>734.00000000000125</v>
      </c>
      <c r="S94" s="343">
        <f t="shared" si="42"/>
        <v>11</v>
      </c>
      <c r="T94" s="629"/>
      <c r="U94" s="183">
        <v>3</v>
      </c>
      <c r="V94" s="183">
        <v>2163.7499999999945</v>
      </c>
      <c r="W94" s="183">
        <v>721.24999999999818</v>
      </c>
      <c r="X94" s="520">
        <f t="shared" si="43"/>
        <v>11</v>
      </c>
      <c r="Y94" s="629"/>
      <c r="Z94" s="183">
        <v>3</v>
      </c>
      <c r="AA94" s="183">
        <v>2177.8378378378411</v>
      </c>
      <c r="AB94" s="183">
        <v>725.94594594594707</v>
      </c>
      <c r="AC94" s="520">
        <f t="shared" si="44"/>
        <v>13</v>
      </c>
      <c r="AD94" s="629"/>
      <c r="AE94" s="183">
        <v>3</v>
      </c>
      <c r="AF94" s="183">
        <v>2254.2857142857169</v>
      </c>
      <c r="AG94" s="183">
        <v>751.42857142857235</v>
      </c>
      <c r="AH94" s="520">
        <f t="shared" si="45"/>
        <v>12</v>
      </c>
      <c r="AI94" s="629"/>
      <c r="AJ94" s="183">
        <v>3</v>
      </c>
      <c r="AK94" s="183">
        <v>2263.7142857142885</v>
      </c>
      <c r="AL94" s="183">
        <v>754.57142857142946</v>
      </c>
      <c r="AM94" s="520">
        <f t="shared" si="46"/>
        <v>11</v>
      </c>
      <c r="AN94" s="629"/>
      <c r="AO94" s="183">
        <v>3</v>
      </c>
      <c r="AP94" s="183">
        <v>2244.8000000000034</v>
      </c>
      <c r="AQ94" s="183">
        <v>748.26666666666779</v>
      </c>
      <c r="AR94" s="520">
        <f t="shared" si="47"/>
        <v>12</v>
      </c>
      <c r="AS94" s="629"/>
      <c r="AT94" s="183">
        <v>3</v>
      </c>
      <c r="AU94" s="183">
        <v>2656.0000000000027</v>
      </c>
      <c r="AV94" s="183">
        <v>885.33333333333428</v>
      </c>
      <c r="AW94" s="520">
        <f t="shared" si="48"/>
        <v>9</v>
      </c>
      <c r="AX94" s="629"/>
    </row>
    <row r="95" spans="2:50">
      <c r="B95" s="642"/>
      <c r="C95" s="336">
        <v>19</v>
      </c>
      <c r="D95" s="336" t="s">
        <v>833</v>
      </c>
      <c r="E95" s="336">
        <v>12</v>
      </c>
      <c r="F95" s="336">
        <v>1500</v>
      </c>
      <c r="G95" s="336">
        <v>125</v>
      </c>
      <c r="H95" s="629"/>
      <c r="I95" s="200">
        <f t="shared" si="39"/>
        <v>10.428571428571429</v>
      </c>
      <c r="J95" s="200">
        <f t="shared" si="40"/>
        <v>1496.9425622880733</v>
      </c>
      <c r="K95" s="201">
        <f t="shared" si="41"/>
        <v>144.73058460631222</v>
      </c>
      <c r="L95" s="614"/>
      <c r="M95" s="200">
        <f>RANK(K95, K$77:$K$106)</f>
        <v>19</v>
      </c>
      <c r="N95" s="621"/>
      <c r="O95" s="621"/>
      <c r="P95" s="183">
        <v>10</v>
      </c>
      <c r="Q95" s="183">
        <v>1524.6666666666667</v>
      </c>
      <c r="R95" s="183">
        <v>152.46666666666667</v>
      </c>
      <c r="S95" s="343">
        <f t="shared" si="42"/>
        <v>19</v>
      </c>
      <c r="T95" s="629"/>
      <c r="U95" s="183">
        <v>10</v>
      </c>
      <c r="V95" s="183">
        <v>1507.3333333333335</v>
      </c>
      <c r="W95" s="183">
        <v>150.73333333333335</v>
      </c>
      <c r="X95" s="520">
        <f t="shared" si="43"/>
        <v>19</v>
      </c>
      <c r="Y95" s="629"/>
      <c r="Z95" s="183">
        <v>13</v>
      </c>
      <c r="AA95" s="183">
        <v>1505.6470588235304</v>
      </c>
      <c r="AB95" s="183">
        <v>115.81900452488695</v>
      </c>
      <c r="AC95" s="520">
        <f t="shared" si="44"/>
        <v>19</v>
      </c>
      <c r="AD95" s="629"/>
      <c r="AE95" s="183">
        <v>10</v>
      </c>
      <c r="AF95" s="183">
        <v>1455.0000000000009</v>
      </c>
      <c r="AG95" s="183">
        <v>145.50000000000009</v>
      </c>
      <c r="AH95" s="520">
        <f t="shared" si="45"/>
        <v>19</v>
      </c>
      <c r="AI95" s="629"/>
      <c r="AJ95" s="183">
        <v>10</v>
      </c>
      <c r="AK95" s="183">
        <v>1521.6000000000006</v>
      </c>
      <c r="AL95" s="183">
        <v>152.16000000000005</v>
      </c>
      <c r="AM95" s="520">
        <f t="shared" si="46"/>
        <v>19</v>
      </c>
      <c r="AN95" s="629"/>
      <c r="AO95" s="183">
        <v>10</v>
      </c>
      <c r="AP95" s="183">
        <v>1469.6842105263158</v>
      </c>
      <c r="AQ95" s="183">
        <v>146.96842105263158</v>
      </c>
      <c r="AR95" s="520">
        <f t="shared" si="47"/>
        <v>18</v>
      </c>
      <c r="AS95" s="629"/>
      <c r="AT95" s="183">
        <v>10</v>
      </c>
      <c r="AU95" s="183">
        <v>1494.6666666666667</v>
      </c>
      <c r="AV95" s="183">
        <v>149.46666666666667</v>
      </c>
      <c r="AW95" s="520">
        <f t="shared" si="48"/>
        <v>19</v>
      </c>
      <c r="AX95" s="629"/>
    </row>
    <row r="96" spans="2:50">
      <c r="B96" s="642"/>
      <c r="C96" s="336">
        <v>20</v>
      </c>
      <c r="D96" s="336"/>
      <c r="E96" s="336"/>
      <c r="F96" s="336"/>
      <c r="G96" s="336"/>
      <c r="H96" s="629"/>
      <c r="I96" s="200"/>
      <c r="J96" s="200"/>
      <c r="K96" s="201"/>
      <c r="L96" s="614"/>
      <c r="M96" s="200" t="e">
        <f>RANK(K96, K$77:$K$106)</f>
        <v>#N/A</v>
      </c>
      <c r="N96" s="621"/>
      <c r="O96" s="621"/>
      <c r="P96" s="183"/>
      <c r="Q96" s="183"/>
      <c r="R96" s="183"/>
      <c r="S96" s="343" t="e">
        <f t="shared" si="42"/>
        <v>#N/A</v>
      </c>
      <c r="T96" s="629"/>
      <c r="U96" s="183"/>
      <c r="V96" s="183"/>
      <c r="W96" s="183"/>
      <c r="X96" s="520" t="e">
        <f t="shared" si="43"/>
        <v>#N/A</v>
      </c>
      <c r="Y96" s="629"/>
      <c r="Z96" s="183"/>
      <c r="AA96" s="183"/>
      <c r="AB96" s="183"/>
      <c r="AC96" s="520" t="e">
        <f t="shared" si="44"/>
        <v>#N/A</v>
      </c>
      <c r="AD96" s="629"/>
      <c r="AE96" s="183"/>
      <c r="AF96" s="183"/>
      <c r="AG96" s="183"/>
      <c r="AH96" s="520" t="e">
        <f t="shared" si="45"/>
        <v>#N/A</v>
      </c>
      <c r="AI96" s="629"/>
      <c r="AJ96" s="183"/>
      <c r="AK96" s="183"/>
      <c r="AL96" s="183"/>
      <c r="AM96" s="520" t="e">
        <f t="shared" si="46"/>
        <v>#N/A</v>
      </c>
      <c r="AN96" s="629"/>
      <c r="AO96" s="183"/>
      <c r="AP96" s="183"/>
      <c r="AQ96" s="183"/>
      <c r="AR96" s="520" t="e">
        <f t="shared" si="47"/>
        <v>#N/A</v>
      </c>
      <c r="AS96" s="629"/>
      <c r="AT96" s="183"/>
      <c r="AU96" s="183"/>
      <c r="AV96" s="183"/>
      <c r="AW96" s="520" t="e">
        <f t="shared" si="48"/>
        <v>#N/A</v>
      </c>
      <c r="AX96" s="629"/>
    </row>
    <row r="97" spans="2:50">
      <c r="B97" s="642"/>
      <c r="C97" s="336">
        <v>21</v>
      </c>
      <c r="D97" s="336"/>
      <c r="E97" s="336"/>
      <c r="F97" s="336"/>
      <c r="G97" s="336"/>
      <c r="H97" s="629"/>
      <c r="I97" s="200"/>
      <c r="J97" s="200"/>
      <c r="K97" s="201"/>
      <c r="L97" s="614"/>
      <c r="M97" s="200" t="e">
        <f>RANK(K97, K$77:$K$106)</f>
        <v>#N/A</v>
      </c>
      <c r="N97" s="621"/>
      <c r="O97" s="621"/>
      <c r="P97" s="376"/>
      <c r="Q97" s="183"/>
      <c r="R97" s="377"/>
      <c r="S97" s="343" t="e">
        <f t="shared" si="42"/>
        <v>#N/A</v>
      </c>
      <c r="T97" s="629"/>
      <c r="U97" s="520"/>
      <c r="V97" s="183"/>
      <c r="W97" s="521"/>
      <c r="X97" s="520" t="e">
        <f t="shared" si="43"/>
        <v>#N/A</v>
      </c>
      <c r="Y97" s="629"/>
      <c r="Z97" s="520"/>
      <c r="AA97" s="183"/>
      <c r="AB97" s="521"/>
      <c r="AC97" s="520" t="e">
        <f t="shared" si="44"/>
        <v>#N/A</v>
      </c>
      <c r="AD97" s="629"/>
      <c r="AE97" s="520"/>
      <c r="AF97" s="183"/>
      <c r="AG97" s="521"/>
      <c r="AH97" s="520" t="e">
        <f t="shared" si="45"/>
        <v>#N/A</v>
      </c>
      <c r="AI97" s="629"/>
      <c r="AJ97" s="520"/>
      <c r="AK97" s="183"/>
      <c r="AL97" s="521"/>
      <c r="AM97" s="520" t="e">
        <f t="shared" si="46"/>
        <v>#N/A</v>
      </c>
      <c r="AN97" s="629"/>
      <c r="AO97" s="520"/>
      <c r="AP97" s="183"/>
      <c r="AQ97" s="521"/>
      <c r="AR97" s="520" t="e">
        <f t="shared" si="47"/>
        <v>#N/A</v>
      </c>
      <c r="AS97" s="629"/>
      <c r="AT97" s="520"/>
      <c r="AU97" s="183"/>
      <c r="AV97" s="521"/>
      <c r="AW97" s="520" t="e">
        <f t="shared" si="48"/>
        <v>#N/A</v>
      </c>
      <c r="AX97" s="629"/>
    </row>
    <row r="98" spans="2:50">
      <c r="B98" s="642"/>
      <c r="C98" s="336">
        <v>22</v>
      </c>
      <c r="D98" s="336"/>
      <c r="E98" s="336"/>
      <c r="F98" s="336"/>
      <c r="G98" s="336"/>
      <c r="H98" s="629"/>
      <c r="I98" s="200"/>
      <c r="J98" s="200"/>
      <c r="K98" s="201"/>
      <c r="L98" s="614"/>
      <c r="M98" s="200" t="e">
        <f>RANK(K98, K$77:$K$106)</f>
        <v>#N/A</v>
      </c>
      <c r="N98" s="621"/>
      <c r="O98" s="621"/>
      <c r="P98" s="376"/>
      <c r="Q98" s="183"/>
      <c r="R98" s="377"/>
      <c r="S98" s="343" t="e">
        <f t="shared" si="42"/>
        <v>#N/A</v>
      </c>
      <c r="T98" s="629"/>
      <c r="U98" s="520"/>
      <c r="V98" s="183"/>
      <c r="W98" s="521"/>
      <c r="X98" s="520" t="e">
        <f t="shared" si="43"/>
        <v>#N/A</v>
      </c>
      <c r="Y98" s="629"/>
      <c r="Z98" s="520"/>
      <c r="AA98" s="183"/>
      <c r="AB98" s="521"/>
      <c r="AC98" s="520" t="e">
        <f t="shared" si="44"/>
        <v>#N/A</v>
      </c>
      <c r="AD98" s="629"/>
      <c r="AE98" s="520"/>
      <c r="AF98" s="183"/>
      <c r="AG98" s="521"/>
      <c r="AH98" s="520" t="e">
        <f t="shared" si="45"/>
        <v>#N/A</v>
      </c>
      <c r="AI98" s="629"/>
      <c r="AJ98" s="520"/>
      <c r="AK98" s="183"/>
      <c r="AL98" s="521"/>
      <c r="AM98" s="520" t="e">
        <f t="shared" si="46"/>
        <v>#N/A</v>
      </c>
      <c r="AN98" s="629"/>
      <c r="AO98" s="520"/>
      <c r="AP98" s="183"/>
      <c r="AQ98" s="521"/>
      <c r="AR98" s="520" t="e">
        <f t="shared" si="47"/>
        <v>#N/A</v>
      </c>
      <c r="AS98" s="629"/>
      <c r="AT98" s="520"/>
      <c r="AU98" s="183"/>
      <c r="AV98" s="521"/>
      <c r="AW98" s="520" t="e">
        <f t="shared" si="48"/>
        <v>#N/A</v>
      </c>
      <c r="AX98" s="629"/>
    </row>
    <row r="99" spans="2:50">
      <c r="B99" s="642"/>
      <c r="C99" s="336">
        <v>23</v>
      </c>
      <c r="D99" s="336"/>
      <c r="E99" s="336"/>
      <c r="F99" s="336"/>
      <c r="G99" s="336"/>
      <c r="H99" s="629"/>
      <c r="I99" s="447"/>
      <c r="J99" s="447"/>
      <c r="K99" s="201"/>
      <c r="L99" s="614"/>
      <c r="M99" s="200" t="e">
        <f>RANK(K99, K$77:$K$106)</f>
        <v>#N/A</v>
      </c>
      <c r="N99" s="621"/>
      <c r="O99" s="621"/>
      <c r="P99" s="376"/>
      <c r="Q99" s="376"/>
      <c r="R99" s="377"/>
      <c r="S99" s="343" t="e">
        <f t="shared" si="42"/>
        <v>#N/A</v>
      </c>
      <c r="T99" s="629"/>
      <c r="U99" s="520"/>
      <c r="V99" s="520"/>
      <c r="W99" s="521"/>
      <c r="X99" s="520" t="e">
        <f t="shared" si="43"/>
        <v>#N/A</v>
      </c>
      <c r="Y99" s="629"/>
      <c r="Z99" s="520"/>
      <c r="AA99" s="520"/>
      <c r="AB99" s="521"/>
      <c r="AC99" s="520" t="e">
        <f t="shared" si="44"/>
        <v>#N/A</v>
      </c>
      <c r="AD99" s="629"/>
      <c r="AE99" s="520"/>
      <c r="AF99" s="520"/>
      <c r="AG99" s="521"/>
      <c r="AH99" s="520" t="e">
        <f t="shared" si="45"/>
        <v>#N/A</v>
      </c>
      <c r="AI99" s="629"/>
      <c r="AJ99" s="520"/>
      <c r="AK99" s="520"/>
      <c r="AL99" s="521"/>
      <c r="AM99" s="520" t="e">
        <f t="shared" si="46"/>
        <v>#N/A</v>
      </c>
      <c r="AN99" s="629"/>
      <c r="AO99" s="520"/>
      <c r="AP99" s="520"/>
      <c r="AQ99" s="521"/>
      <c r="AR99" s="520" t="e">
        <f t="shared" si="47"/>
        <v>#N/A</v>
      </c>
      <c r="AS99" s="629"/>
      <c r="AT99" s="520"/>
      <c r="AU99" s="520"/>
      <c r="AV99" s="521"/>
      <c r="AW99" s="520" t="e">
        <f t="shared" si="48"/>
        <v>#N/A</v>
      </c>
      <c r="AX99" s="629"/>
    </row>
    <row r="100" spans="2:50">
      <c r="B100" s="642"/>
      <c r="C100" s="336">
        <v>24</v>
      </c>
      <c r="D100" s="336"/>
      <c r="E100" s="336"/>
      <c r="F100" s="336"/>
      <c r="G100" s="336"/>
      <c r="H100" s="629"/>
      <c r="I100" s="447"/>
      <c r="J100" s="447"/>
      <c r="K100" s="201"/>
      <c r="L100" s="614"/>
      <c r="M100" s="200" t="e">
        <f>RANK(K100, K$77:$K$106)</f>
        <v>#N/A</v>
      </c>
      <c r="N100" s="621"/>
      <c r="O100" s="621"/>
      <c r="P100" s="376"/>
      <c r="Q100" s="376"/>
      <c r="R100" s="376"/>
      <c r="S100" s="343" t="e">
        <f t="shared" si="42"/>
        <v>#N/A</v>
      </c>
      <c r="T100" s="629"/>
      <c r="U100" s="520"/>
      <c r="V100" s="520"/>
      <c r="W100" s="520"/>
      <c r="X100" s="520" t="e">
        <f t="shared" si="43"/>
        <v>#N/A</v>
      </c>
      <c r="Y100" s="629"/>
      <c r="Z100" s="520"/>
      <c r="AA100" s="520"/>
      <c r="AB100" s="520"/>
      <c r="AC100" s="520" t="e">
        <f t="shared" si="44"/>
        <v>#N/A</v>
      </c>
      <c r="AD100" s="629"/>
      <c r="AE100" s="520"/>
      <c r="AF100" s="520"/>
      <c r="AG100" s="520"/>
      <c r="AH100" s="520" t="e">
        <f t="shared" si="45"/>
        <v>#N/A</v>
      </c>
      <c r="AI100" s="629"/>
      <c r="AJ100" s="520"/>
      <c r="AK100" s="520"/>
      <c r="AL100" s="520"/>
      <c r="AM100" s="520" t="e">
        <f t="shared" si="46"/>
        <v>#N/A</v>
      </c>
      <c r="AN100" s="629"/>
      <c r="AO100" s="520"/>
      <c r="AP100" s="520"/>
      <c r="AQ100" s="520"/>
      <c r="AR100" s="520" t="e">
        <f t="shared" si="47"/>
        <v>#N/A</v>
      </c>
      <c r="AS100" s="629"/>
      <c r="AT100" s="520"/>
      <c r="AU100" s="520"/>
      <c r="AV100" s="520"/>
      <c r="AW100" s="520" t="e">
        <f t="shared" si="48"/>
        <v>#N/A</v>
      </c>
      <c r="AX100" s="629"/>
    </row>
    <row r="101" spans="2:50">
      <c r="B101" s="642"/>
      <c r="C101" s="336">
        <v>25</v>
      </c>
      <c r="D101" s="336"/>
      <c r="E101" s="336"/>
      <c r="F101" s="336"/>
      <c r="G101" s="336"/>
      <c r="H101" s="629"/>
      <c r="I101" s="203"/>
      <c r="J101" s="203"/>
      <c r="K101" s="203"/>
      <c r="L101" s="614"/>
      <c r="M101" s="200" t="e">
        <f>RANK(K101, K$77:$K$106)</f>
        <v>#N/A</v>
      </c>
      <c r="N101" s="621"/>
      <c r="O101" s="621"/>
      <c r="P101" s="376"/>
      <c r="Q101" s="376"/>
      <c r="R101" s="376"/>
      <c r="S101" s="343" t="e">
        <f t="shared" si="42"/>
        <v>#N/A</v>
      </c>
      <c r="T101" s="629"/>
      <c r="U101" s="520"/>
      <c r="V101" s="520"/>
      <c r="W101" s="520"/>
      <c r="X101" s="520" t="e">
        <f t="shared" si="43"/>
        <v>#N/A</v>
      </c>
      <c r="Y101" s="629"/>
      <c r="Z101" s="520"/>
      <c r="AA101" s="520"/>
      <c r="AB101" s="520"/>
      <c r="AC101" s="520" t="e">
        <f t="shared" si="44"/>
        <v>#N/A</v>
      </c>
      <c r="AD101" s="629"/>
      <c r="AE101" s="520"/>
      <c r="AF101" s="520"/>
      <c r="AG101" s="520"/>
      <c r="AH101" s="520" t="e">
        <f t="shared" si="45"/>
        <v>#N/A</v>
      </c>
      <c r="AI101" s="629"/>
      <c r="AJ101" s="520"/>
      <c r="AK101" s="520"/>
      <c r="AL101" s="520"/>
      <c r="AM101" s="520" t="e">
        <f t="shared" si="46"/>
        <v>#N/A</v>
      </c>
      <c r="AN101" s="629"/>
      <c r="AO101" s="520"/>
      <c r="AP101" s="520"/>
      <c r="AQ101" s="520"/>
      <c r="AR101" s="520" t="e">
        <f t="shared" si="47"/>
        <v>#N/A</v>
      </c>
      <c r="AS101" s="629"/>
      <c r="AT101" s="520"/>
      <c r="AU101" s="520"/>
      <c r="AV101" s="520"/>
      <c r="AW101" s="520" t="e">
        <f t="shared" si="48"/>
        <v>#N/A</v>
      </c>
      <c r="AX101" s="629"/>
    </row>
    <row r="102" spans="2:50">
      <c r="B102" s="642"/>
      <c r="C102" s="336">
        <v>26</v>
      </c>
      <c r="D102" s="336"/>
      <c r="E102" s="336"/>
      <c r="F102" s="336"/>
      <c r="G102" s="336"/>
      <c r="H102" s="629"/>
      <c r="I102" s="203"/>
      <c r="J102" s="203"/>
      <c r="K102" s="203"/>
      <c r="L102" s="614"/>
      <c r="M102" s="200" t="e">
        <f>RANK(K102, K$77:$K$106)</f>
        <v>#N/A</v>
      </c>
      <c r="N102" s="621"/>
      <c r="O102" s="621"/>
      <c r="P102" s="376"/>
      <c r="Q102" s="376"/>
      <c r="R102" s="376"/>
      <c r="S102" s="343" t="e">
        <f t="shared" si="42"/>
        <v>#N/A</v>
      </c>
      <c r="T102" s="629"/>
      <c r="U102" s="520"/>
      <c r="V102" s="520"/>
      <c r="W102" s="520"/>
      <c r="X102" s="520" t="e">
        <f t="shared" si="43"/>
        <v>#N/A</v>
      </c>
      <c r="Y102" s="629"/>
      <c r="Z102" s="520"/>
      <c r="AA102" s="520"/>
      <c r="AB102" s="520"/>
      <c r="AC102" s="520" t="e">
        <f t="shared" si="44"/>
        <v>#N/A</v>
      </c>
      <c r="AD102" s="629"/>
      <c r="AE102" s="520"/>
      <c r="AF102" s="520"/>
      <c r="AG102" s="520"/>
      <c r="AH102" s="520" t="e">
        <f t="shared" si="45"/>
        <v>#N/A</v>
      </c>
      <c r="AI102" s="629"/>
      <c r="AJ102" s="520"/>
      <c r="AK102" s="520"/>
      <c r="AL102" s="520"/>
      <c r="AM102" s="520" t="e">
        <f t="shared" si="46"/>
        <v>#N/A</v>
      </c>
      <c r="AN102" s="629"/>
      <c r="AO102" s="520"/>
      <c r="AP102" s="520"/>
      <c r="AQ102" s="520"/>
      <c r="AR102" s="520" t="e">
        <f t="shared" si="47"/>
        <v>#N/A</v>
      </c>
      <c r="AS102" s="629"/>
      <c r="AT102" s="520"/>
      <c r="AU102" s="520"/>
      <c r="AV102" s="520"/>
      <c r="AW102" s="520" t="e">
        <f t="shared" si="48"/>
        <v>#N/A</v>
      </c>
      <c r="AX102" s="629"/>
    </row>
    <row r="103" spans="2:50">
      <c r="B103" s="642"/>
      <c r="C103" s="336">
        <v>27</v>
      </c>
      <c r="D103" s="336"/>
      <c r="E103" s="336"/>
      <c r="F103" s="336"/>
      <c r="G103" s="336"/>
      <c r="H103" s="629"/>
      <c r="I103" s="203"/>
      <c r="J103" s="203"/>
      <c r="K103" s="203"/>
      <c r="L103" s="614"/>
      <c r="M103" s="200" t="e">
        <f>RANK(K103, K$77:$K$106)</f>
        <v>#N/A</v>
      </c>
      <c r="N103" s="621"/>
      <c r="O103" s="621"/>
      <c r="P103" s="376"/>
      <c r="Q103" s="376"/>
      <c r="R103" s="376"/>
      <c r="S103" s="343" t="e">
        <f t="shared" si="42"/>
        <v>#N/A</v>
      </c>
      <c r="T103" s="629"/>
      <c r="U103" s="520"/>
      <c r="V103" s="520"/>
      <c r="W103" s="520"/>
      <c r="X103" s="520" t="e">
        <f t="shared" si="43"/>
        <v>#N/A</v>
      </c>
      <c r="Y103" s="629"/>
      <c r="Z103" s="520"/>
      <c r="AA103" s="520"/>
      <c r="AB103" s="520"/>
      <c r="AC103" s="520" t="e">
        <f t="shared" si="44"/>
        <v>#N/A</v>
      </c>
      <c r="AD103" s="629"/>
      <c r="AE103" s="520"/>
      <c r="AF103" s="520"/>
      <c r="AG103" s="520"/>
      <c r="AH103" s="520" t="e">
        <f t="shared" si="45"/>
        <v>#N/A</v>
      </c>
      <c r="AI103" s="629"/>
      <c r="AJ103" s="520"/>
      <c r="AK103" s="520"/>
      <c r="AL103" s="520"/>
      <c r="AM103" s="520" t="e">
        <f t="shared" si="46"/>
        <v>#N/A</v>
      </c>
      <c r="AN103" s="629"/>
      <c r="AO103" s="520"/>
      <c r="AP103" s="520"/>
      <c r="AQ103" s="520"/>
      <c r="AR103" s="520" t="e">
        <f t="shared" si="47"/>
        <v>#N/A</v>
      </c>
      <c r="AS103" s="629"/>
      <c r="AT103" s="520"/>
      <c r="AU103" s="520"/>
      <c r="AV103" s="520"/>
      <c r="AW103" s="520" t="e">
        <f t="shared" si="48"/>
        <v>#N/A</v>
      </c>
      <c r="AX103" s="629"/>
    </row>
    <row r="104" spans="2:50">
      <c r="B104" s="642"/>
      <c r="C104" s="336">
        <v>28</v>
      </c>
      <c r="D104" s="336"/>
      <c r="E104" s="336"/>
      <c r="F104" s="336"/>
      <c r="G104" s="336"/>
      <c r="H104" s="629"/>
      <c r="I104" s="203"/>
      <c r="J104" s="203"/>
      <c r="K104" s="203"/>
      <c r="L104" s="614"/>
      <c r="M104" s="200" t="e">
        <f>RANK(K104, K$77:$K$106)</f>
        <v>#N/A</v>
      </c>
      <c r="N104" s="621"/>
      <c r="O104" s="621"/>
      <c r="P104" s="376"/>
      <c r="Q104" s="376"/>
      <c r="R104" s="376"/>
      <c r="S104" s="343" t="e">
        <f t="shared" si="42"/>
        <v>#N/A</v>
      </c>
      <c r="T104" s="629"/>
      <c r="U104" s="520"/>
      <c r="V104" s="520"/>
      <c r="W104" s="520"/>
      <c r="X104" s="520" t="e">
        <f t="shared" si="43"/>
        <v>#N/A</v>
      </c>
      <c r="Y104" s="629"/>
      <c r="Z104" s="520"/>
      <c r="AA104" s="520"/>
      <c r="AB104" s="520"/>
      <c r="AC104" s="520" t="e">
        <f t="shared" si="44"/>
        <v>#N/A</v>
      </c>
      <c r="AD104" s="629"/>
      <c r="AE104" s="520"/>
      <c r="AF104" s="520"/>
      <c r="AG104" s="520"/>
      <c r="AH104" s="520" t="e">
        <f t="shared" si="45"/>
        <v>#N/A</v>
      </c>
      <c r="AI104" s="629"/>
      <c r="AJ104" s="520"/>
      <c r="AK104" s="520"/>
      <c r="AL104" s="520"/>
      <c r="AM104" s="520" t="e">
        <f t="shared" si="46"/>
        <v>#N/A</v>
      </c>
      <c r="AN104" s="629"/>
      <c r="AO104" s="520"/>
      <c r="AP104" s="520"/>
      <c r="AQ104" s="520"/>
      <c r="AR104" s="520" t="e">
        <f t="shared" si="47"/>
        <v>#N/A</v>
      </c>
      <c r="AS104" s="629"/>
      <c r="AT104" s="520"/>
      <c r="AU104" s="520"/>
      <c r="AV104" s="520"/>
      <c r="AW104" s="520" t="e">
        <f t="shared" si="48"/>
        <v>#N/A</v>
      </c>
      <c r="AX104" s="629"/>
    </row>
    <row r="105" spans="2:50">
      <c r="B105" s="642"/>
      <c r="C105" s="336">
        <v>29</v>
      </c>
      <c r="D105" s="336"/>
      <c r="E105" s="336"/>
      <c r="F105" s="336"/>
      <c r="G105" s="336"/>
      <c r="H105" s="629"/>
      <c r="I105" s="203"/>
      <c r="J105" s="203"/>
      <c r="K105" s="203"/>
      <c r="L105" s="614"/>
      <c r="M105" s="200" t="e">
        <f>RANK(K105, K$77:$K$106)</f>
        <v>#N/A</v>
      </c>
      <c r="N105" s="621"/>
      <c r="O105" s="621"/>
      <c r="P105" s="376"/>
      <c r="Q105" s="376"/>
      <c r="R105" s="376"/>
      <c r="S105" s="343" t="e">
        <f t="shared" si="42"/>
        <v>#N/A</v>
      </c>
      <c r="T105" s="629"/>
      <c r="U105" s="520"/>
      <c r="V105" s="520"/>
      <c r="W105" s="520"/>
      <c r="X105" s="520" t="e">
        <f t="shared" si="43"/>
        <v>#N/A</v>
      </c>
      <c r="Y105" s="629"/>
      <c r="Z105" s="520"/>
      <c r="AA105" s="520"/>
      <c r="AB105" s="520"/>
      <c r="AC105" s="520" t="e">
        <f t="shared" si="44"/>
        <v>#N/A</v>
      </c>
      <c r="AD105" s="629"/>
      <c r="AE105" s="520"/>
      <c r="AF105" s="520"/>
      <c r="AG105" s="520"/>
      <c r="AH105" s="520" t="e">
        <f t="shared" si="45"/>
        <v>#N/A</v>
      </c>
      <c r="AI105" s="629"/>
      <c r="AJ105" s="520"/>
      <c r="AK105" s="520"/>
      <c r="AL105" s="520"/>
      <c r="AM105" s="520" t="e">
        <f t="shared" si="46"/>
        <v>#N/A</v>
      </c>
      <c r="AN105" s="629"/>
      <c r="AO105" s="520"/>
      <c r="AP105" s="520"/>
      <c r="AQ105" s="520"/>
      <c r="AR105" s="520" t="e">
        <f t="shared" si="47"/>
        <v>#N/A</v>
      </c>
      <c r="AS105" s="629"/>
      <c r="AT105" s="520"/>
      <c r="AU105" s="520"/>
      <c r="AV105" s="520"/>
      <c r="AW105" s="520" t="e">
        <f t="shared" si="48"/>
        <v>#N/A</v>
      </c>
      <c r="AX105" s="629"/>
    </row>
    <row r="106" spans="2:50">
      <c r="B106" s="643"/>
      <c r="C106" s="336">
        <v>30</v>
      </c>
      <c r="D106" s="336"/>
      <c r="E106" s="336"/>
      <c r="F106" s="336"/>
      <c r="G106" s="336"/>
      <c r="H106" s="630"/>
      <c r="I106" s="203"/>
      <c r="J106" s="203"/>
      <c r="K106" s="203"/>
      <c r="L106" s="615"/>
      <c r="M106" s="200" t="e">
        <f>RANK(K106, K$77:$K$106)</f>
        <v>#N/A</v>
      </c>
      <c r="N106" s="622"/>
      <c r="O106" s="622"/>
      <c r="P106" s="376"/>
      <c r="Q106" s="376"/>
      <c r="R106" s="376"/>
      <c r="S106" s="343" t="e">
        <f t="shared" si="42"/>
        <v>#N/A</v>
      </c>
      <c r="T106" s="630"/>
      <c r="U106" s="520"/>
      <c r="V106" s="520"/>
      <c r="W106" s="520"/>
      <c r="X106" s="520" t="e">
        <f t="shared" si="43"/>
        <v>#N/A</v>
      </c>
      <c r="Y106" s="630"/>
      <c r="Z106" s="520"/>
      <c r="AA106" s="520"/>
      <c r="AB106" s="520"/>
      <c r="AC106" s="520" t="e">
        <f t="shared" si="44"/>
        <v>#N/A</v>
      </c>
      <c r="AD106" s="630"/>
      <c r="AE106" s="520"/>
      <c r="AF106" s="520"/>
      <c r="AG106" s="520"/>
      <c r="AH106" s="520" t="e">
        <f t="shared" si="45"/>
        <v>#N/A</v>
      </c>
      <c r="AI106" s="630"/>
      <c r="AJ106" s="520"/>
      <c r="AK106" s="520"/>
      <c r="AL106" s="520"/>
      <c r="AM106" s="520" t="e">
        <f t="shared" si="46"/>
        <v>#N/A</v>
      </c>
      <c r="AN106" s="630"/>
      <c r="AO106" s="520"/>
      <c r="AP106" s="520"/>
      <c r="AQ106" s="520"/>
      <c r="AR106" s="520" t="e">
        <f t="shared" si="47"/>
        <v>#N/A</v>
      </c>
      <c r="AS106" s="630"/>
      <c r="AT106" s="520"/>
      <c r="AU106" s="520"/>
      <c r="AV106" s="520"/>
      <c r="AW106" s="520" t="e">
        <f t="shared" si="48"/>
        <v>#N/A</v>
      </c>
      <c r="AX106" s="630"/>
    </row>
    <row r="107" spans="2:50" ht="15.5">
      <c r="B107" s="631" t="s">
        <v>163</v>
      </c>
      <c r="C107" s="632"/>
      <c r="D107" s="632"/>
      <c r="E107" s="632"/>
      <c r="F107" s="632"/>
      <c r="G107" s="632"/>
      <c r="H107" s="633"/>
      <c r="I107" s="209"/>
      <c r="J107" s="209"/>
      <c r="K107" s="209"/>
      <c r="L107" s="209"/>
      <c r="M107" s="208"/>
      <c r="N107" s="620" t="s">
        <v>156</v>
      </c>
      <c r="O107" s="620" t="s">
        <v>155</v>
      </c>
      <c r="P107" s="626">
        <f>P72+7</f>
        <v>46007</v>
      </c>
      <c r="Q107" s="627"/>
      <c r="R107" s="627"/>
      <c r="S107" s="627"/>
      <c r="T107" s="627"/>
      <c r="U107" s="623">
        <f>P107+1</f>
        <v>46008</v>
      </c>
      <c r="V107" s="624"/>
      <c r="W107" s="624"/>
      <c r="X107" s="624"/>
      <c r="Y107" s="625"/>
      <c r="Z107" s="623">
        <f>U107+1</f>
        <v>46009</v>
      </c>
      <c r="AA107" s="624"/>
      <c r="AB107" s="624"/>
      <c r="AC107" s="624"/>
      <c r="AD107" s="625"/>
      <c r="AE107" s="623">
        <f>Z107+1</f>
        <v>46010</v>
      </c>
      <c r="AF107" s="624"/>
      <c r="AG107" s="624"/>
      <c r="AH107" s="624"/>
      <c r="AI107" s="625"/>
      <c r="AJ107" s="623">
        <f>AE107+1</f>
        <v>46011</v>
      </c>
      <c r="AK107" s="624"/>
      <c r="AL107" s="624"/>
      <c r="AM107" s="624"/>
      <c r="AN107" s="625"/>
      <c r="AO107" s="623">
        <f>AJ107+1</f>
        <v>46012</v>
      </c>
      <c r="AP107" s="624"/>
      <c r="AQ107" s="624"/>
      <c r="AR107" s="624"/>
      <c r="AS107" s="625"/>
      <c r="AT107" s="623">
        <f>AO107+1</f>
        <v>46013</v>
      </c>
      <c r="AU107" s="624"/>
      <c r="AV107" s="624"/>
      <c r="AW107" s="624"/>
      <c r="AX107" s="625"/>
    </row>
    <row r="108" spans="2:50" ht="15.5">
      <c r="B108" s="634"/>
      <c r="C108" s="634"/>
      <c r="D108" s="634"/>
      <c r="E108" s="634"/>
      <c r="F108" s="634"/>
      <c r="G108" s="634"/>
      <c r="H108" s="634"/>
      <c r="I108" s="206"/>
      <c r="J108" s="206"/>
      <c r="K108" s="206"/>
      <c r="L108" s="206"/>
      <c r="M108" s="207"/>
      <c r="N108" s="622"/>
      <c r="O108" s="622"/>
      <c r="P108" s="626" t="s">
        <v>336</v>
      </c>
      <c r="Q108" s="627"/>
      <c r="R108" s="627"/>
      <c r="S108" s="627"/>
      <c r="T108" s="627"/>
      <c r="U108" s="626" t="s">
        <v>337</v>
      </c>
      <c r="V108" s="627"/>
      <c r="W108" s="627"/>
      <c r="X108" s="627"/>
      <c r="Y108" s="627"/>
      <c r="Z108" s="626" t="s">
        <v>338</v>
      </c>
      <c r="AA108" s="627"/>
      <c r="AB108" s="627"/>
      <c r="AC108" s="627"/>
      <c r="AD108" s="627"/>
      <c r="AE108" s="626" t="s">
        <v>339</v>
      </c>
      <c r="AF108" s="627"/>
      <c r="AG108" s="627"/>
      <c r="AH108" s="627"/>
      <c r="AI108" s="627"/>
      <c r="AJ108" s="626" t="s">
        <v>340</v>
      </c>
      <c r="AK108" s="627"/>
      <c r="AL108" s="627"/>
      <c r="AM108" s="627"/>
      <c r="AN108" s="627"/>
      <c r="AO108" s="626" t="s">
        <v>341</v>
      </c>
      <c r="AP108" s="627"/>
      <c r="AQ108" s="627"/>
      <c r="AR108" s="627"/>
      <c r="AS108" s="627"/>
      <c r="AT108" s="626" t="s">
        <v>342</v>
      </c>
      <c r="AU108" s="627"/>
      <c r="AV108" s="627"/>
      <c r="AW108" s="627"/>
      <c r="AX108" s="627"/>
    </row>
    <row r="109" spans="2:50">
      <c r="B109" s="619" t="s">
        <v>443</v>
      </c>
      <c r="C109" s="619" t="s">
        <v>453</v>
      </c>
      <c r="D109" s="619"/>
      <c r="E109" s="619" t="s">
        <v>444</v>
      </c>
      <c r="F109" s="619"/>
      <c r="G109" s="619"/>
      <c r="H109" s="635" t="s">
        <v>440</v>
      </c>
      <c r="I109" s="603" t="s">
        <v>445</v>
      </c>
      <c r="J109" s="603"/>
      <c r="K109" s="603"/>
      <c r="L109" s="604" t="s">
        <v>440</v>
      </c>
      <c r="M109" s="610" t="s">
        <v>441</v>
      </c>
      <c r="N109" s="619"/>
      <c r="O109" s="619" t="s">
        <v>446</v>
      </c>
      <c r="P109" s="616" t="s">
        <v>442</v>
      </c>
      <c r="Q109" s="617"/>
      <c r="R109" s="617"/>
      <c r="S109" s="618"/>
      <c r="T109" s="619" t="s">
        <v>440</v>
      </c>
      <c r="U109" s="616" t="s">
        <v>442</v>
      </c>
      <c r="V109" s="617"/>
      <c r="W109" s="617"/>
      <c r="X109" s="618"/>
      <c r="Y109" s="619" t="s">
        <v>440</v>
      </c>
      <c r="Z109" s="616" t="s">
        <v>442</v>
      </c>
      <c r="AA109" s="617"/>
      <c r="AB109" s="617"/>
      <c r="AC109" s="618"/>
      <c r="AD109" s="619" t="s">
        <v>440</v>
      </c>
      <c r="AE109" s="616" t="s">
        <v>442</v>
      </c>
      <c r="AF109" s="617"/>
      <c r="AG109" s="617"/>
      <c r="AH109" s="618"/>
      <c r="AI109" s="619" t="s">
        <v>440</v>
      </c>
      <c r="AJ109" s="616" t="s">
        <v>442</v>
      </c>
      <c r="AK109" s="617"/>
      <c r="AL109" s="617"/>
      <c r="AM109" s="618"/>
      <c r="AN109" s="619" t="s">
        <v>440</v>
      </c>
      <c r="AO109" s="616" t="s">
        <v>442</v>
      </c>
      <c r="AP109" s="617"/>
      <c r="AQ109" s="617"/>
      <c r="AR109" s="618"/>
      <c r="AS109" s="619" t="s">
        <v>440</v>
      </c>
      <c r="AT109" s="616" t="s">
        <v>442</v>
      </c>
      <c r="AU109" s="617"/>
      <c r="AV109" s="617"/>
      <c r="AW109" s="618"/>
      <c r="AX109" s="619" t="s">
        <v>440</v>
      </c>
    </row>
    <row r="110" spans="2:50">
      <c r="B110" s="619"/>
      <c r="C110" s="619"/>
      <c r="D110" s="619"/>
      <c r="E110" s="619" t="s">
        <v>447</v>
      </c>
      <c r="F110" s="619"/>
      <c r="G110" s="619"/>
      <c r="H110" s="636"/>
      <c r="I110" s="603" t="s">
        <v>447</v>
      </c>
      <c r="J110" s="603"/>
      <c r="K110" s="603"/>
      <c r="L110" s="605"/>
      <c r="M110" s="611"/>
      <c r="N110" s="619"/>
      <c r="O110" s="619"/>
      <c r="P110" s="616" t="s">
        <v>448</v>
      </c>
      <c r="Q110" s="617"/>
      <c r="R110" s="617"/>
      <c r="S110" s="618"/>
      <c r="T110" s="619"/>
      <c r="U110" s="616" t="s">
        <v>448</v>
      </c>
      <c r="V110" s="617"/>
      <c r="W110" s="617"/>
      <c r="X110" s="618"/>
      <c r="Y110" s="619"/>
      <c r="Z110" s="616" t="s">
        <v>448</v>
      </c>
      <c r="AA110" s="617"/>
      <c r="AB110" s="617"/>
      <c r="AC110" s="618"/>
      <c r="AD110" s="619"/>
      <c r="AE110" s="616" t="s">
        <v>448</v>
      </c>
      <c r="AF110" s="617"/>
      <c r="AG110" s="617"/>
      <c r="AH110" s="618"/>
      <c r="AI110" s="619"/>
      <c r="AJ110" s="616" t="s">
        <v>448</v>
      </c>
      <c r="AK110" s="617"/>
      <c r="AL110" s="617"/>
      <c r="AM110" s="618"/>
      <c r="AN110" s="619"/>
      <c r="AO110" s="616" t="s">
        <v>448</v>
      </c>
      <c r="AP110" s="617"/>
      <c r="AQ110" s="617"/>
      <c r="AR110" s="618"/>
      <c r="AS110" s="619"/>
      <c r="AT110" s="616" t="s">
        <v>448</v>
      </c>
      <c r="AU110" s="617"/>
      <c r="AV110" s="617"/>
      <c r="AW110" s="618"/>
      <c r="AX110" s="619"/>
    </row>
    <row r="111" spans="2:50">
      <c r="B111" s="619"/>
      <c r="C111" s="619"/>
      <c r="D111" s="619"/>
      <c r="E111" s="316" t="s">
        <v>449</v>
      </c>
      <c r="F111" s="316" t="s">
        <v>450</v>
      </c>
      <c r="G111" s="316" t="s">
        <v>451</v>
      </c>
      <c r="H111" s="637"/>
      <c r="I111" s="315" t="s">
        <v>449</v>
      </c>
      <c r="J111" s="315" t="s">
        <v>450</v>
      </c>
      <c r="K111" s="315" t="s">
        <v>451</v>
      </c>
      <c r="L111" s="606"/>
      <c r="M111" s="612"/>
      <c r="N111" s="619"/>
      <c r="O111" s="619"/>
      <c r="P111" s="316" t="s">
        <v>449</v>
      </c>
      <c r="Q111" s="316" t="s">
        <v>450</v>
      </c>
      <c r="R111" s="316" t="s">
        <v>451</v>
      </c>
      <c r="S111" s="316" t="s">
        <v>441</v>
      </c>
      <c r="T111" s="619"/>
      <c r="U111" s="316" t="s">
        <v>449</v>
      </c>
      <c r="V111" s="316" t="s">
        <v>450</v>
      </c>
      <c r="W111" s="316" t="s">
        <v>451</v>
      </c>
      <c r="X111" s="316" t="s">
        <v>441</v>
      </c>
      <c r="Y111" s="619"/>
      <c r="Z111" s="316" t="s">
        <v>449</v>
      </c>
      <c r="AA111" s="316" t="s">
        <v>450</v>
      </c>
      <c r="AB111" s="316" t="s">
        <v>451</v>
      </c>
      <c r="AC111" s="316" t="s">
        <v>441</v>
      </c>
      <c r="AD111" s="619"/>
      <c r="AE111" s="316" t="s">
        <v>449</v>
      </c>
      <c r="AF111" s="316" t="s">
        <v>450</v>
      </c>
      <c r="AG111" s="316" t="s">
        <v>451</v>
      </c>
      <c r="AH111" s="316" t="s">
        <v>441</v>
      </c>
      <c r="AI111" s="619"/>
      <c r="AJ111" s="316" t="s">
        <v>449</v>
      </c>
      <c r="AK111" s="316" t="s">
        <v>450</v>
      </c>
      <c r="AL111" s="316" t="s">
        <v>451</v>
      </c>
      <c r="AM111" s="316" t="s">
        <v>441</v>
      </c>
      <c r="AN111" s="619"/>
      <c r="AO111" s="316" t="s">
        <v>449</v>
      </c>
      <c r="AP111" s="316" t="s">
        <v>450</v>
      </c>
      <c r="AQ111" s="316" t="s">
        <v>451</v>
      </c>
      <c r="AR111" s="316" t="s">
        <v>441</v>
      </c>
      <c r="AS111" s="619"/>
      <c r="AT111" s="316" t="s">
        <v>449</v>
      </c>
      <c r="AU111" s="316" t="s">
        <v>450</v>
      </c>
      <c r="AV111" s="316" t="s">
        <v>451</v>
      </c>
      <c r="AW111" s="316" t="s">
        <v>441</v>
      </c>
      <c r="AX111" s="619"/>
    </row>
    <row r="112" spans="2:50">
      <c r="B112" s="627" t="s">
        <v>150</v>
      </c>
      <c r="C112" s="317">
        <v>1</v>
      </c>
      <c r="D112" s="317"/>
      <c r="E112" s="317"/>
      <c r="F112" s="317"/>
      <c r="G112" s="317"/>
      <c r="H112" s="628" t="e">
        <f>AVERAGE(G112:G141)</f>
        <v>#DIV/0!</v>
      </c>
      <c r="I112" s="200" t="e">
        <f>AVERAGE(P112,U112,Z112,AE112,AJ112,AO112,AT112)</f>
        <v>#DIV/0!</v>
      </c>
      <c r="J112" s="200" t="e">
        <f>AVERAGE(Q112,V112,AA112,AF112,AK112,AP112,AU112)</f>
        <v>#DIV/0!</v>
      </c>
      <c r="K112" s="201" t="e">
        <f>AVERAGE(R112,W112,AB112,AG112,AL112,AQ112,AV112)</f>
        <v>#DIV/0!</v>
      </c>
      <c r="L112" s="600" t="str">
        <f>IFERROR(AVERAGE(K112:K141),"-")</f>
        <v>-</v>
      </c>
      <c r="M112" s="200" t="e">
        <f>RANK(K112, K$112:$K$141)</f>
        <v>#DIV/0!</v>
      </c>
      <c r="N112" s="619"/>
      <c r="O112" s="619"/>
      <c r="P112" s="183"/>
      <c r="Q112" s="183"/>
      <c r="R112" s="183"/>
      <c r="S112" s="317" t="e">
        <f>RANK(R112, R$112:R$141)</f>
        <v>#N/A</v>
      </c>
      <c r="T112" s="628" t="e">
        <f>AVERAGE(R112:R141)</f>
        <v>#DIV/0!</v>
      </c>
      <c r="U112" s="183"/>
      <c r="V112" s="183"/>
      <c r="W112" s="183"/>
      <c r="X112" s="520" t="e">
        <f t="shared" ref="X112:X127" si="49">RANK(W112, W$112:W$141)</f>
        <v>#N/A</v>
      </c>
      <c r="Y112" s="628" t="e">
        <f t="shared" ref="Y112" si="50">AVERAGE(W112:W141)</f>
        <v>#DIV/0!</v>
      </c>
      <c r="Z112" s="183"/>
      <c r="AA112" s="183"/>
      <c r="AB112" s="183"/>
      <c r="AC112" s="520" t="e">
        <f t="shared" ref="AC112:AC127" si="51">RANK(AB112, AB$112:AB$141)</f>
        <v>#N/A</v>
      </c>
      <c r="AD112" s="628" t="e">
        <f t="shared" ref="AD112" si="52">AVERAGE(AB112:AB141)</f>
        <v>#DIV/0!</v>
      </c>
      <c r="AE112" s="183"/>
      <c r="AF112" s="183"/>
      <c r="AG112" s="183"/>
      <c r="AH112" s="520" t="e">
        <f t="shared" ref="AH112:AH127" si="53">RANK(AG112, AG$112:AG$141)</f>
        <v>#N/A</v>
      </c>
      <c r="AI112" s="628" t="e">
        <f t="shared" ref="AI112" si="54">AVERAGE(AG112:AG141)</f>
        <v>#DIV/0!</v>
      </c>
      <c r="AJ112" s="183"/>
      <c r="AK112" s="183"/>
      <c r="AL112" s="183"/>
      <c r="AM112" s="520" t="e">
        <f t="shared" ref="AM112:AM127" si="55">RANK(AL112, AL$112:AL$141)</f>
        <v>#N/A</v>
      </c>
      <c r="AN112" s="628" t="e">
        <f t="shared" ref="AN112" si="56">AVERAGE(AL112:AL141)</f>
        <v>#DIV/0!</v>
      </c>
      <c r="AO112" s="183"/>
      <c r="AP112" s="183"/>
      <c r="AQ112" s="183"/>
      <c r="AR112" s="520" t="e">
        <f t="shared" ref="AR112:AR127" si="57">RANK(AQ112, AQ$112:AQ$141)</f>
        <v>#N/A</v>
      </c>
      <c r="AS112" s="628" t="e">
        <f t="shared" ref="AS112" si="58">AVERAGE(AQ112:AQ141)</f>
        <v>#DIV/0!</v>
      </c>
      <c r="AT112" s="183"/>
      <c r="AU112" s="183"/>
      <c r="AV112" s="183"/>
      <c r="AW112" s="520" t="e">
        <f t="shared" ref="AW112:AW127" si="59">RANK(AV112, AV$112:AV$141)</f>
        <v>#N/A</v>
      </c>
      <c r="AX112" s="628" t="e">
        <f t="shared" ref="AX112" si="60">AVERAGE(AV112:AV141)</f>
        <v>#DIV/0!</v>
      </c>
    </row>
    <row r="113" spans="2:50">
      <c r="B113" s="627"/>
      <c r="C113" s="317">
        <v>2</v>
      </c>
      <c r="D113" s="317"/>
      <c r="E113" s="317"/>
      <c r="F113" s="317"/>
      <c r="G113" s="317"/>
      <c r="H113" s="629"/>
      <c r="I113" s="200" t="e">
        <f t="shared" ref="I113:I131" si="61">AVERAGE(P113,U113,Z113,AE113,AJ113,AO113,AT113)</f>
        <v>#DIV/0!</v>
      </c>
      <c r="J113" s="200" t="e">
        <f t="shared" ref="J113:J131" si="62">AVERAGE(Q113,V113,AA113,AF113,AK113,AP113,AU113)</f>
        <v>#DIV/0!</v>
      </c>
      <c r="K113" s="201" t="e">
        <f t="shared" ref="K113:K131" si="63">AVERAGE(R113,W113,AB113,AG113,AL113,AQ113,AV113)</f>
        <v>#DIV/0!</v>
      </c>
      <c r="L113" s="601"/>
      <c r="M113" s="200" t="e">
        <f>RANK(K113, K$112:$K$141)</f>
        <v>#DIV/0!</v>
      </c>
      <c r="N113" s="619"/>
      <c r="O113" s="619"/>
      <c r="P113" s="183"/>
      <c r="Q113" s="183"/>
      <c r="R113" s="183"/>
      <c r="S113" s="349" t="e">
        <f t="shared" ref="S113:S141" si="64">RANK(R113, R$112:R$141)</f>
        <v>#N/A</v>
      </c>
      <c r="T113" s="629"/>
      <c r="U113" s="183"/>
      <c r="V113" s="183"/>
      <c r="W113" s="183"/>
      <c r="X113" s="520" t="e">
        <f t="shared" si="49"/>
        <v>#N/A</v>
      </c>
      <c r="Y113" s="629"/>
      <c r="Z113" s="183"/>
      <c r="AA113" s="183"/>
      <c r="AB113" s="183"/>
      <c r="AC113" s="520" t="e">
        <f t="shared" si="51"/>
        <v>#N/A</v>
      </c>
      <c r="AD113" s="629"/>
      <c r="AE113" s="183"/>
      <c r="AF113" s="183"/>
      <c r="AG113" s="183"/>
      <c r="AH113" s="520" t="e">
        <f t="shared" si="53"/>
        <v>#N/A</v>
      </c>
      <c r="AI113" s="629"/>
      <c r="AJ113" s="183"/>
      <c r="AK113" s="183"/>
      <c r="AL113" s="183"/>
      <c r="AM113" s="520" t="e">
        <f t="shared" si="55"/>
        <v>#N/A</v>
      </c>
      <c r="AN113" s="629"/>
      <c r="AO113" s="183"/>
      <c r="AP113" s="183"/>
      <c r="AQ113" s="183"/>
      <c r="AR113" s="520" t="e">
        <f t="shared" si="57"/>
        <v>#N/A</v>
      </c>
      <c r="AS113" s="629"/>
      <c r="AT113" s="183"/>
      <c r="AU113" s="183"/>
      <c r="AV113" s="183"/>
      <c r="AW113" s="520" t="e">
        <f t="shared" si="59"/>
        <v>#N/A</v>
      </c>
      <c r="AX113" s="629"/>
    </row>
    <row r="114" spans="2:50">
      <c r="B114" s="627"/>
      <c r="C114" s="317">
        <v>3</v>
      </c>
      <c r="D114" s="317"/>
      <c r="E114" s="317"/>
      <c r="F114" s="317"/>
      <c r="G114" s="317"/>
      <c r="H114" s="629"/>
      <c r="I114" s="200" t="e">
        <f t="shared" si="61"/>
        <v>#DIV/0!</v>
      </c>
      <c r="J114" s="200" t="e">
        <f t="shared" si="62"/>
        <v>#DIV/0!</v>
      </c>
      <c r="K114" s="201" t="e">
        <f t="shared" si="63"/>
        <v>#DIV/0!</v>
      </c>
      <c r="L114" s="601"/>
      <c r="M114" s="200" t="e">
        <f>RANK(K114, K$112:$K$141)</f>
        <v>#DIV/0!</v>
      </c>
      <c r="N114" s="619"/>
      <c r="O114" s="619"/>
      <c r="P114" s="183"/>
      <c r="Q114" s="183"/>
      <c r="R114" s="183"/>
      <c r="S114" s="349" t="e">
        <f t="shared" si="64"/>
        <v>#N/A</v>
      </c>
      <c r="T114" s="629"/>
      <c r="U114" s="183"/>
      <c r="V114" s="183"/>
      <c r="W114" s="183"/>
      <c r="X114" s="520" t="e">
        <f t="shared" si="49"/>
        <v>#N/A</v>
      </c>
      <c r="Y114" s="629"/>
      <c r="Z114" s="183"/>
      <c r="AA114" s="183"/>
      <c r="AB114" s="183"/>
      <c r="AC114" s="520" t="e">
        <f t="shared" si="51"/>
        <v>#N/A</v>
      </c>
      <c r="AD114" s="629"/>
      <c r="AE114" s="183"/>
      <c r="AF114" s="183"/>
      <c r="AG114" s="183"/>
      <c r="AH114" s="520" t="e">
        <f t="shared" si="53"/>
        <v>#N/A</v>
      </c>
      <c r="AI114" s="629"/>
      <c r="AJ114" s="183"/>
      <c r="AK114" s="183"/>
      <c r="AL114" s="183"/>
      <c r="AM114" s="520" t="e">
        <f t="shared" si="55"/>
        <v>#N/A</v>
      </c>
      <c r="AN114" s="629"/>
      <c r="AO114" s="183"/>
      <c r="AP114" s="183"/>
      <c r="AQ114" s="183"/>
      <c r="AR114" s="520" t="e">
        <f t="shared" si="57"/>
        <v>#N/A</v>
      </c>
      <c r="AS114" s="629"/>
      <c r="AT114" s="183"/>
      <c r="AU114" s="183"/>
      <c r="AV114" s="183"/>
      <c r="AW114" s="520" t="e">
        <f t="shared" si="59"/>
        <v>#N/A</v>
      </c>
      <c r="AX114" s="629"/>
    </row>
    <row r="115" spans="2:50">
      <c r="B115" s="627"/>
      <c r="C115" s="317">
        <v>4</v>
      </c>
      <c r="D115" s="317"/>
      <c r="E115" s="317"/>
      <c r="F115" s="317"/>
      <c r="G115" s="317"/>
      <c r="H115" s="629"/>
      <c r="I115" s="200" t="e">
        <f t="shared" si="61"/>
        <v>#DIV/0!</v>
      </c>
      <c r="J115" s="200" t="e">
        <f t="shared" si="62"/>
        <v>#DIV/0!</v>
      </c>
      <c r="K115" s="201" t="e">
        <f t="shared" si="63"/>
        <v>#DIV/0!</v>
      </c>
      <c r="L115" s="601"/>
      <c r="M115" s="200" t="e">
        <f>RANK(K115, K$112:$K$141)</f>
        <v>#DIV/0!</v>
      </c>
      <c r="N115" s="619"/>
      <c r="O115" s="619"/>
      <c r="P115" s="183"/>
      <c r="Q115" s="183"/>
      <c r="R115" s="183"/>
      <c r="S115" s="349" t="e">
        <f t="shared" si="64"/>
        <v>#N/A</v>
      </c>
      <c r="T115" s="629"/>
      <c r="U115" s="183"/>
      <c r="V115" s="183"/>
      <c r="W115" s="183"/>
      <c r="X115" s="520" t="e">
        <f t="shared" si="49"/>
        <v>#N/A</v>
      </c>
      <c r="Y115" s="629"/>
      <c r="Z115" s="183"/>
      <c r="AA115" s="183"/>
      <c r="AB115" s="183"/>
      <c r="AC115" s="520" t="e">
        <f t="shared" si="51"/>
        <v>#N/A</v>
      </c>
      <c r="AD115" s="629"/>
      <c r="AE115" s="183"/>
      <c r="AF115" s="183"/>
      <c r="AG115" s="183"/>
      <c r="AH115" s="520" t="e">
        <f t="shared" si="53"/>
        <v>#N/A</v>
      </c>
      <c r="AI115" s="629"/>
      <c r="AJ115" s="183"/>
      <c r="AK115" s="183"/>
      <c r="AL115" s="183"/>
      <c r="AM115" s="520" t="e">
        <f t="shared" si="55"/>
        <v>#N/A</v>
      </c>
      <c r="AN115" s="629"/>
      <c r="AO115" s="183"/>
      <c r="AP115" s="183"/>
      <c r="AQ115" s="183"/>
      <c r="AR115" s="520" t="e">
        <f t="shared" si="57"/>
        <v>#N/A</v>
      </c>
      <c r="AS115" s="629"/>
      <c r="AT115" s="183"/>
      <c r="AU115" s="183"/>
      <c r="AV115" s="183"/>
      <c r="AW115" s="520" t="e">
        <f t="shared" si="59"/>
        <v>#N/A</v>
      </c>
      <c r="AX115" s="629"/>
    </row>
    <row r="116" spans="2:50">
      <c r="B116" s="627"/>
      <c r="C116" s="317">
        <v>5</v>
      </c>
      <c r="D116" s="317"/>
      <c r="E116" s="317"/>
      <c r="F116" s="317"/>
      <c r="G116" s="317"/>
      <c r="H116" s="629"/>
      <c r="I116" s="200" t="e">
        <f t="shared" si="61"/>
        <v>#DIV/0!</v>
      </c>
      <c r="J116" s="200" t="e">
        <f t="shared" si="62"/>
        <v>#DIV/0!</v>
      </c>
      <c r="K116" s="201" t="e">
        <f t="shared" si="63"/>
        <v>#DIV/0!</v>
      </c>
      <c r="L116" s="601"/>
      <c r="M116" s="200" t="e">
        <f>RANK(K116, K$112:$K$141)</f>
        <v>#DIV/0!</v>
      </c>
      <c r="N116" s="619"/>
      <c r="O116" s="619"/>
      <c r="P116" s="183"/>
      <c r="Q116" s="183"/>
      <c r="R116" s="183"/>
      <c r="S116" s="349" t="e">
        <f t="shared" si="64"/>
        <v>#N/A</v>
      </c>
      <c r="T116" s="629"/>
      <c r="U116" s="183"/>
      <c r="V116" s="183"/>
      <c r="W116" s="183"/>
      <c r="X116" s="520" t="e">
        <f t="shared" si="49"/>
        <v>#N/A</v>
      </c>
      <c r="Y116" s="629"/>
      <c r="Z116" s="183"/>
      <c r="AA116" s="183"/>
      <c r="AB116" s="183"/>
      <c r="AC116" s="520" t="e">
        <f t="shared" si="51"/>
        <v>#N/A</v>
      </c>
      <c r="AD116" s="629"/>
      <c r="AE116" s="183"/>
      <c r="AF116" s="183"/>
      <c r="AG116" s="183"/>
      <c r="AH116" s="520" t="e">
        <f t="shared" si="53"/>
        <v>#N/A</v>
      </c>
      <c r="AI116" s="629"/>
      <c r="AJ116" s="183"/>
      <c r="AK116" s="183"/>
      <c r="AL116" s="183"/>
      <c r="AM116" s="520" t="e">
        <f t="shared" si="55"/>
        <v>#N/A</v>
      </c>
      <c r="AN116" s="629"/>
      <c r="AO116" s="183"/>
      <c r="AP116" s="183"/>
      <c r="AQ116" s="183"/>
      <c r="AR116" s="520" t="e">
        <f t="shared" si="57"/>
        <v>#N/A</v>
      </c>
      <c r="AS116" s="629"/>
      <c r="AT116" s="183"/>
      <c r="AU116" s="183"/>
      <c r="AV116" s="183"/>
      <c r="AW116" s="520" t="e">
        <f t="shared" si="59"/>
        <v>#N/A</v>
      </c>
      <c r="AX116" s="629"/>
    </row>
    <row r="117" spans="2:50">
      <c r="B117" s="627"/>
      <c r="C117" s="317">
        <v>6</v>
      </c>
      <c r="D117" s="317"/>
      <c r="E117" s="317"/>
      <c r="F117" s="317"/>
      <c r="G117" s="317"/>
      <c r="H117" s="629"/>
      <c r="I117" s="200" t="e">
        <f t="shared" si="61"/>
        <v>#DIV/0!</v>
      </c>
      <c r="J117" s="200" t="e">
        <f t="shared" si="62"/>
        <v>#DIV/0!</v>
      </c>
      <c r="K117" s="201" t="e">
        <f t="shared" si="63"/>
        <v>#DIV/0!</v>
      </c>
      <c r="L117" s="601"/>
      <c r="M117" s="200" t="e">
        <f>RANK(K117, K$112:$K$141)</f>
        <v>#DIV/0!</v>
      </c>
      <c r="N117" s="619"/>
      <c r="O117" s="619"/>
      <c r="P117" s="183"/>
      <c r="Q117" s="183"/>
      <c r="R117" s="183"/>
      <c r="S117" s="349" t="e">
        <f t="shared" si="64"/>
        <v>#N/A</v>
      </c>
      <c r="T117" s="629"/>
      <c r="U117" s="183"/>
      <c r="V117" s="183"/>
      <c r="W117" s="183"/>
      <c r="X117" s="520" t="e">
        <f t="shared" si="49"/>
        <v>#N/A</v>
      </c>
      <c r="Y117" s="629"/>
      <c r="Z117" s="183"/>
      <c r="AA117" s="183"/>
      <c r="AB117" s="183"/>
      <c r="AC117" s="520" t="e">
        <f t="shared" si="51"/>
        <v>#N/A</v>
      </c>
      <c r="AD117" s="629"/>
      <c r="AE117" s="183"/>
      <c r="AF117" s="183"/>
      <c r="AG117" s="183"/>
      <c r="AH117" s="520" t="e">
        <f t="shared" si="53"/>
        <v>#N/A</v>
      </c>
      <c r="AI117" s="629"/>
      <c r="AJ117" s="183"/>
      <c r="AK117" s="183"/>
      <c r="AL117" s="183"/>
      <c r="AM117" s="520" t="e">
        <f t="shared" si="55"/>
        <v>#N/A</v>
      </c>
      <c r="AN117" s="629"/>
      <c r="AO117" s="183"/>
      <c r="AP117" s="183"/>
      <c r="AQ117" s="183"/>
      <c r="AR117" s="520" t="e">
        <f t="shared" si="57"/>
        <v>#N/A</v>
      </c>
      <c r="AS117" s="629"/>
      <c r="AT117" s="183"/>
      <c r="AU117" s="183"/>
      <c r="AV117" s="183"/>
      <c r="AW117" s="520" t="e">
        <f t="shared" si="59"/>
        <v>#N/A</v>
      </c>
      <c r="AX117" s="629"/>
    </row>
    <row r="118" spans="2:50">
      <c r="B118" s="627"/>
      <c r="C118" s="317">
        <v>7</v>
      </c>
      <c r="D118" s="317"/>
      <c r="E118" s="317"/>
      <c r="F118" s="317"/>
      <c r="G118" s="317"/>
      <c r="H118" s="629"/>
      <c r="I118" s="200" t="e">
        <f t="shared" si="61"/>
        <v>#DIV/0!</v>
      </c>
      <c r="J118" s="200" t="e">
        <f t="shared" si="62"/>
        <v>#DIV/0!</v>
      </c>
      <c r="K118" s="201" t="e">
        <f t="shared" si="63"/>
        <v>#DIV/0!</v>
      </c>
      <c r="L118" s="601"/>
      <c r="M118" s="200" t="e">
        <f>RANK(K118, K$112:$K$141)</f>
        <v>#DIV/0!</v>
      </c>
      <c r="N118" s="619"/>
      <c r="O118" s="619"/>
      <c r="P118" s="183"/>
      <c r="Q118" s="183"/>
      <c r="R118" s="183"/>
      <c r="S118" s="349" t="e">
        <f t="shared" si="64"/>
        <v>#N/A</v>
      </c>
      <c r="T118" s="629"/>
      <c r="U118" s="183"/>
      <c r="V118" s="183"/>
      <c r="W118" s="183"/>
      <c r="X118" s="520" t="e">
        <f t="shared" si="49"/>
        <v>#N/A</v>
      </c>
      <c r="Y118" s="629"/>
      <c r="Z118" s="183"/>
      <c r="AA118" s="183"/>
      <c r="AB118" s="183"/>
      <c r="AC118" s="520" t="e">
        <f t="shared" si="51"/>
        <v>#N/A</v>
      </c>
      <c r="AD118" s="629"/>
      <c r="AE118" s="183"/>
      <c r="AF118" s="183"/>
      <c r="AG118" s="183"/>
      <c r="AH118" s="520" t="e">
        <f t="shared" si="53"/>
        <v>#N/A</v>
      </c>
      <c r="AI118" s="629"/>
      <c r="AJ118" s="183"/>
      <c r="AK118" s="183"/>
      <c r="AL118" s="183"/>
      <c r="AM118" s="520" t="e">
        <f t="shared" si="55"/>
        <v>#N/A</v>
      </c>
      <c r="AN118" s="629"/>
      <c r="AO118" s="183"/>
      <c r="AP118" s="183"/>
      <c r="AQ118" s="183"/>
      <c r="AR118" s="520" t="e">
        <f t="shared" si="57"/>
        <v>#N/A</v>
      </c>
      <c r="AS118" s="629"/>
      <c r="AT118" s="183"/>
      <c r="AU118" s="183"/>
      <c r="AV118" s="183"/>
      <c r="AW118" s="520" t="e">
        <f t="shared" si="59"/>
        <v>#N/A</v>
      </c>
      <c r="AX118" s="629"/>
    </row>
    <row r="119" spans="2:50">
      <c r="B119" s="627"/>
      <c r="C119" s="317">
        <v>8</v>
      </c>
      <c r="D119" s="317"/>
      <c r="E119" s="317"/>
      <c r="F119" s="317"/>
      <c r="G119" s="317"/>
      <c r="H119" s="629"/>
      <c r="I119" s="200" t="e">
        <f t="shared" si="61"/>
        <v>#DIV/0!</v>
      </c>
      <c r="J119" s="200" t="e">
        <f t="shared" si="62"/>
        <v>#DIV/0!</v>
      </c>
      <c r="K119" s="201" t="e">
        <f t="shared" si="63"/>
        <v>#DIV/0!</v>
      </c>
      <c r="L119" s="601"/>
      <c r="M119" s="200" t="e">
        <f>RANK(K119, K$112:$K$141)</f>
        <v>#DIV/0!</v>
      </c>
      <c r="N119" s="619"/>
      <c r="O119" s="619"/>
      <c r="P119" s="183"/>
      <c r="Q119" s="183"/>
      <c r="R119" s="183"/>
      <c r="S119" s="349" t="e">
        <f t="shared" si="64"/>
        <v>#N/A</v>
      </c>
      <c r="T119" s="629"/>
      <c r="U119" s="183"/>
      <c r="V119" s="183"/>
      <c r="W119" s="183"/>
      <c r="X119" s="520" t="e">
        <f t="shared" si="49"/>
        <v>#N/A</v>
      </c>
      <c r="Y119" s="629"/>
      <c r="Z119" s="183"/>
      <c r="AA119" s="183"/>
      <c r="AB119" s="183"/>
      <c r="AC119" s="520" t="e">
        <f t="shared" si="51"/>
        <v>#N/A</v>
      </c>
      <c r="AD119" s="629"/>
      <c r="AE119" s="183"/>
      <c r="AF119" s="183"/>
      <c r="AG119" s="183"/>
      <c r="AH119" s="520" t="e">
        <f t="shared" si="53"/>
        <v>#N/A</v>
      </c>
      <c r="AI119" s="629"/>
      <c r="AJ119" s="183"/>
      <c r="AK119" s="183"/>
      <c r="AL119" s="183"/>
      <c r="AM119" s="520" t="e">
        <f t="shared" si="55"/>
        <v>#N/A</v>
      </c>
      <c r="AN119" s="629"/>
      <c r="AO119" s="183"/>
      <c r="AP119" s="183"/>
      <c r="AQ119" s="183"/>
      <c r="AR119" s="520" t="e">
        <f t="shared" si="57"/>
        <v>#N/A</v>
      </c>
      <c r="AS119" s="629"/>
      <c r="AT119" s="183"/>
      <c r="AU119" s="183"/>
      <c r="AV119" s="183"/>
      <c r="AW119" s="520" t="e">
        <f t="shared" si="59"/>
        <v>#N/A</v>
      </c>
      <c r="AX119" s="629"/>
    </row>
    <row r="120" spans="2:50">
      <c r="B120" s="627"/>
      <c r="C120" s="317">
        <v>9</v>
      </c>
      <c r="D120" s="317"/>
      <c r="E120" s="317"/>
      <c r="F120" s="317"/>
      <c r="G120" s="317"/>
      <c r="H120" s="629"/>
      <c r="I120" s="200" t="e">
        <f t="shared" si="61"/>
        <v>#DIV/0!</v>
      </c>
      <c r="J120" s="200" t="e">
        <f t="shared" si="62"/>
        <v>#DIV/0!</v>
      </c>
      <c r="K120" s="201" t="e">
        <f t="shared" si="63"/>
        <v>#DIV/0!</v>
      </c>
      <c r="L120" s="601"/>
      <c r="M120" s="200" t="e">
        <f>RANK(K120, K$112:$K$141)</f>
        <v>#DIV/0!</v>
      </c>
      <c r="N120" s="619"/>
      <c r="O120" s="619"/>
      <c r="P120" s="183"/>
      <c r="Q120" s="183"/>
      <c r="R120" s="183"/>
      <c r="S120" s="349" t="e">
        <f t="shared" si="64"/>
        <v>#N/A</v>
      </c>
      <c r="T120" s="629"/>
      <c r="U120" s="183"/>
      <c r="V120" s="183"/>
      <c r="W120" s="183"/>
      <c r="X120" s="520" t="e">
        <f t="shared" si="49"/>
        <v>#N/A</v>
      </c>
      <c r="Y120" s="629"/>
      <c r="Z120" s="183"/>
      <c r="AA120" s="183"/>
      <c r="AB120" s="183"/>
      <c r="AC120" s="520" t="e">
        <f t="shared" si="51"/>
        <v>#N/A</v>
      </c>
      <c r="AD120" s="629"/>
      <c r="AE120" s="183"/>
      <c r="AF120" s="183"/>
      <c r="AG120" s="183"/>
      <c r="AH120" s="520" t="e">
        <f t="shared" si="53"/>
        <v>#N/A</v>
      </c>
      <c r="AI120" s="629"/>
      <c r="AJ120" s="183"/>
      <c r="AK120" s="183"/>
      <c r="AL120" s="183"/>
      <c r="AM120" s="520" t="e">
        <f t="shared" si="55"/>
        <v>#N/A</v>
      </c>
      <c r="AN120" s="629"/>
      <c r="AO120" s="183"/>
      <c r="AP120" s="183"/>
      <c r="AQ120" s="183"/>
      <c r="AR120" s="520" t="e">
        <f t="shared" si="57"/>
        <v>#N/A</v>
      </c>
      <c r="AS120" s="629"/>
      <c r="AT120" s="183"/>
      <c r="AU120" s="183"/>
      <c r="AV120" s="183"/>
      <c r="AW120" s="520" t="e">
        <f t="shared" si="59"/>
        <v>#N/A</v>
      </c>
      <c r="AX120" s="629"/>
    </row>
    <row r="121" spans="2:50">
      <c r="B121" s="627"/>
      <c r="C121" s="317">
        <v>10</v>
      </c>
      <c r="D121" s="317"/>
      <c r="E121" s="317"/>
      <c r="F121" s="317"/>
      <c r="G121" s="317"/>
      <c r="H121" s="629"/>
      <c r="I121" s="200" t="e">
        <f t="shared" si="61"/>
        <v>#DIV/0!</v>
      </c>
      <c r="J121" s="200" t="e">
        <f t="shared" si="62"/>
        <v>#DIV/0!</v>
      </c>
      <c r="K121" s="201" t="e">
        <f t="shared" si="63"/>
        <v>#DIV/0!</v>
      </c>
      <c r="L121" s="601"/>
      <c r="M121" s="200" t="e">
        <f>RANK(K121, K$112:$K$141)</f>
        <v>#DIV/0!</v>
      </c>
      <c r="N121" s="619"/>
      <c r="O121" s="619"/>
      <c r="P121" s="183"/>
      <c r="Q121" s="183"/>
      <c r="R121" s="183"/>
      <c r="S121" s="349" t="e">
        <f t="shared" si="64"/>
        <v>#N/A</v>
      </c>
      <c r="T121" s="629"/>
      <c r="U121" s="183"/>
      <c r="V121" s="183"/>
      <c r="W121" s="183"/>
      <c r="X121" s="520" t="e">
        <f t="shared" si="49"/>
        <v>#N/A</v>
      </c>
      <c r="Y121" s="629"/>
      <c r="Z121" s="183"/>
      <c r="AA121" s="183"/>
      <c r="AB121" s="183"/>
      <c r="AC121" s="520" t="e">
        <f t="shared" si="51"/>
        <v>#N/A</v>
      </c>
      <c r="AD121" s="629"/>
      <c r="AE121" s="183"/>
      <c r="AF121" s="183"/>
      <c r="AG121" s="183"/>
      <c r="AH121" s="520" t="e">
        <f t="shared" si="53"/>
        <v>#N/A</v>
      </c>
      <c r="AI121" s="629"/>
      <c r="AJ121" s="183"/>
      <c r="AK121" s="183"/>
      <c r="AL121" s="183"/>
      <c r="AM121" s="520" t="e">
        <f t="shared" si="55"/>
        <v>#N/A</v>
      </c>
      <c r="AN121" s="629"/>
      <c r="AO121" s="183"/>
      <c r="AP121" s="183"/>
      <c r="AQ121" s="183"/>
      <c r="AR121" s="520" t="e">
        <f t="shared" si="57"/>
        <v>#N/A</v>
      </c>
      <c r="AS121" s="629"/>
      <c r="AT121" s="183"/>
      <c r="AU121" s="183"/>
      <c r="AV121" s="183"/>
      <c r="AW121" s="520" t="e">
        <f t="shared" si="59"/>
        <v>#N/A</v>
      </c>
      <c r="AX121" s="629"/>
    </row>
    <row r="122" spans="2:50">
      <c r="B122" s="627"/>
      <c r="C122" s="317">
        <v>11</v>
      </c>
      <c r="D122" s="317"/>
      <c r="E122" s="317"/>
      <c r="F122" s="317"/>
      <c r="G122" s="317"/>
      <c r="H122" s="629"/>
      <c r="I122" s="200" t="e">
        <f t="shared" si="61"/>
        <v>#DIV/0!</v>
      </c>
      <c r="J122" s="200" t="e">
        <f t="shared" si="62"/>
        <v>#DIV/0!</v>
      </c>
      <c r="K122" s="201" t="e">
        <f t="shared" si="63"/>
        <v>#DIV/0!</v>
      </c>
      <c r="L122" s="601"/>
      <c r="M122" s="200" t="e">
        <f>RANK(K122, K$112:$K$141)</f>
        <v>#DIV/0!</v>
      </c>
      <c r="N122" s="619"/>
      <c r="O122" s="619"/>
      <c r="P122" s="183"/>
      <c r="Q122" s="183"/>
      <c r="R122" s="183"/>
      <c r="S122" s="349" t="e">
        <f t="shared" si="64"/>
        <v>#N/A</v>
      </c>
      <c r="T122" s="629"/>
      <c r="U122" s="183"/>
      <c r="V122" s="183"/>
      <c r="W122" s="183"/>
      <c r="X122" s="520" t="e">
        <f t="shared" si="49"/>
        <v>#N/A</v>
      </c>
      <c r="Y122" s="629"/>
      <c r="Z122" s="183"/>
      <c r="AA122" s="183"/>
      <c r="AB122" s="183"/>
      <c r="AC122" s="520" t="e">
        <f t="shared" si="51"/>
        <v>#N/A</v>
      </c>
      <c r="AD122" s="629"/>
      <c r="AE122" s="183"/>
      <c r="AF122" s="183"/>
      <c r="AG122" s="183"/>
      <c r="AH122" s="520" t="e">
        <f t="shared" si="53"/>
        <v>#N/A</v>
      </c>
      <c r="AI122" s="629"/>
      <c r="AJ122" s="183"/>
      <c r="AK122" s="183"/>
      <c r="AL122" s="183"/>
      <c r="AM122" s="520" t="e">
        <f t="shared" si="55"/>
        <v>#N/A</v>
      </c>
      <c r="AN122" s="629"/>
      <c r="AO122" s="183"/>
      <c r="AP122" s="183"/>
      <c r="AQ122" s="183"/>
      <c r="AR122" s="520" t="e">
        <f t="shared" si="57"/>
        <v>#N/A</v>
      </c>
      <c r="AS122" s="629"/>
      <c r="AT122" s="183"/>
      <c r="AU122" s="183"/>
      <c r="AV122" s="183"/>
      <c r="AW122" s="520" t="e">
        <f t="shared" si="59"/>
        <v>#N/A</v>
      </c>
      <c r="AX122" s="629"/>
    </row>
    <row r="123" spans="2:50">
      <c r="B123" s="627"/>
      <c r="C123" s="317">
        <v>12</v>
      </c>
      <c r="D123" s="317"/>
      <c r="E123" s="317"/>
      <c r="F123" s="317"/>
      <c r="G123" s="317"/>
      <c r="H123" s="629"/>
      <c r="I123" s="200" t="e">
        <f t="shared" si="61"/>
        <v>#DIV/0!</v>
      </c>
      <c r="J123" s="200" t="e">
        <f t="shared" si="62"/>
        <v>#DIV/0!</v>
      </c>
      <c r="K123" s="201" t="e">
        <f t="shared" si="63"/>
        <v>#DIV/0!</v>
      </c>
      <c r="L123" s="601"/>
      <c r="M123" s="200" t="e">
        <f>RANK(K123, K$112:$K$141)</f>
        <v>#DIV/0!</v>
      </c>
      <c r="N123" s="619"/>
      <c r="O123" s="619"/>
      <c r="P123" s="183"/>
      <c r="Q123" s="183"/>
      <c r="R123" s="183"/>
      <c r="S123" s="349" t="e">
        <f t="shared" si="64"/>
        <v>#N/A</v>
      </c>
      <c r="T123" s="629"/>
      <c r="U123" s="183"/>
      <c r="V123" s="183"/>
      <c r="W123" s="183"/>
      <c r="X123" s="520" t="e">
        <f t="shared" si="49"/>
        <v>#N/A</v>
      </c>
      <c r="Y123" s="629"/>
      <c r="Z123" s="183"/>
      <c r="AA123" s="183"/>
      <c r="AB123" s="183"/>
      <c r="AC123" s="520" t="e">
        <f t="shared" si="51"/>
        <v>#N/A</v>
      </c>
      <c r="AD123" s="629"/>
      <c r="AE123" s="183"/>
      <c r="AF123" s="183"/>
      <c r="AG123" s="183"/>
      <c r="AH123" s="520" t="e">
        <f t="shared" si="53"/>
        <v>#N/A</v>
      </c>
      <c r="AI123" s="629"/>
      <c r="AJ123" s="183"/>
      <c r="AK123" s="183"/>
      <c r="AL123" s="183"/>
      <c r="AM123" s="520" t="e">
        <f t="shared" si="55"/>
        <v>#N/A</v>
      </c>
      <c r="AN123" s="629"/>
      <c r="AO123" s="183"/>
      <c r="AP123" s="183"/>
      <c r="AQ123" s="183"/>
      <c r="AR123" s="520" t="e">
        <f t="shared" si="57"/>
        <v>#N/A</v>
      </c>
      <c r="AS123" s="629"/>
      <c r="AT123" s="183"/>
      <c r="AU123" s="183"/>
      <c r="AV123" s="183"/>
      <c r="AW123" s="520" t="e">
        <f t="shared" si="59"/>
        <v>#N/A</v>
      </c>
      <c r="AX123" s="629"/>
    </row>
    <row r="124" spans="2:50">
      <c r="B124" s="627"/>
      <c r="C124" s="317">
        <v>13</v>
      </c>
      <c r="D124" s="317"/>
      <c r="E124" s="317"/>
      <c r="F124" s="317"/>
      <c r="G124" s="317"/>
      <c r="H124" s="629"/>
      <c r="I124" s="200" t="e">
        <f t="shared" si="61"/>
        <v>#DIV/0!</v>
      </c>
      <c r="J124" s="200" t="e">
        <f t="shared" si="62"/>
        <v>#DIV/0!</v>
      </c>
      <c r="K124" s="201" t="e">
        <f t="shared" si="63"/>
        <v>#DIV/0!</v>
      </c>
      <c r="L124" s="601"/>
      <c r="M124" s="200" t="e">
        <f>RANK(K124, K$112:$K$141)</f>
        <v>#DIV/0!</v>
      </c>
      <c r="N124" s="619"/>
      <c r="O124" s="619"/>
      <c r="P124" s="183"/>
      <c r="Q124" s="183"/>
      <c r="R124" s="183"/>
      <c r="S124" s="349" t="e">
        <f t="shared" si="64"/>
        <v>#N/A</v>
      </c>
      <c r="T124" s="629"/>
      <c r="U124" s="183"/>
      <c r="V124" s="183"/>
      <c r="W124" s="183"/>
      <c r="X124" s="520" t="e">
        <f t="shared" si="49"/>
        <v>#N/A</v>
      </c>
      <c r="Y124" s="629"/>
      <c r="Z124" s="183"/>
      <c r="AA124" s="183"/>
      <c r="AB124" s="183"/>
      <c r="AC124" s="520" t="e">
        <f t="shared" si="51"/>
        <v>#N/A</v>
      </c>
      <c r="AD124" s="629"/>
      <c r="AE124" s="183"/>
      <c r="AF124" s="183"/>
      <c r="AG124" s="183"/>
      <c r="AH124" s="520" t="e">
        <f t="shared" si="53"/>
        <v>#N/A</v>
      </c>
      <c r="AI124" s="629"/>
      <c r="AJ124" s="183"/>
      <c r="AK124" s="183"/>
      <c r="AL124" s="183"/>
      <c r="AM124" s="520" t="e">
        <f t="shared" si="55"/>
        <v>#N/A</v>
      </c>
      <c r="AN124" s="629"/>
      <c r="AO124" s="183"/>
      <c r="AP124" s="183"/>
      <c r="AQ124" s="183"/>
      <c r="AR124" s="520" t="e">
        <f t="shared" si="57"/>
        <v>#N/A</v>
      </c>
      <c r="AS124" s="629"/>
      <c r="AT124" s="183"/>
      <c r="AU124" s="183"/>
      <c r="AV124" s="183"/>
      <c r="AW124" s="520" t="e">
        <f t="shared" si="59"/>
        <v>#N/A</v>
      </c>
      <c r="AX124" s="629"/>
    </row>
    <row r="125" spans="2:50">
      <c r="B125" s="627"/>
      <c r="C125" s="317">
        <v>14</v>
      </c>
      <c r="D125" s="317"/>
      <c r="E125" s="317"/>
      <c r="F125" s="317"/>
      <c r="G125" s="317"/>
      <c r="H125" s="629"/>
      <c r="I125" s="200" t="e">
        <f t="shared" si="61"/>
        <v>#DIV/0!</v>
      </c>
      <c r="J125" s="200" t="e">
        <f t="shared" si="62"/>
        <v>#DIV/0!</v>
      </c>
      <c r="K125" s="201" t="e">
        <f t="shared" si="63"/>
        <v>#DIV/0!</v>
      </c>
      <c r="L125" s="601"/>
      <c r="M125" s="200" t="e">
        <f>RANK(K125, K$112:$K$141)</f>
        <v>#DIV/0!</v>
      </c>
      <c r="N125" s="619"/>
      <c r="O125" s="619"/>
      <c r="P125" s="183"/>
      <c r="Q125" s="183"/>
      <c r="R125" s="183"/>
      <c r="S125" s="349" t="e">
        <f t="shared" si="64"/>
        <v>#N/A</v>
      </c>
      <c r="T125" s="629"/>
      <c r="U125" s="183"/>
      <c r="V125" s="183"/>
      <c r="W125" s="183"/>
      <c r="X125" s="520" t="e">
        <f t="shared" si="49"/>
        <v>#N/A</v>
      </c>
      <c r="Y125" s="629"/>
      <c r="Z125" s="183"/>
      <c r="AA125" s="183"/>
      <c r="AB125" s="183"/>
      <c r="AC125" s="520" t="e">
        <f t="shared" si="51"/>
        <v>#N/A</v>
      </c>
      <c r="AD125" s="629"/>
      <c r="AE125" s="183"/>
      <c r="AF125" s="183"/>
      <c r="AG125" s="183"/>
      <c r="AH125" s="520" t="e">
        <f t="shared" si="53"/>
        <v>#N/A</v>
      </c>
      <c r="AI125" s="629"/>
      <c r="AJ125" s="183"/>
      <c r="AK125" s="183"/>
      <c r="AL125" s="183"/>
      <c r="AM125" s="520" t="e">
        <f t="shared" si="55"/>
        <v>#N/A</v>
      </c>
      <c r="AN125" s="629"/>
      <c r="AO125" s="183"/>
      <c r="AP125" s="183"/>
      <c r="AQ125" s="183"/>
      <c r="AR125" s="520" t="e">
        <f t="shared" si="57"/>
        <v>#N/A</v>
      </c>
      <c r="AS125" s="629"/>
      <c r="AT125" s="183"/>
      <c r="AU125" s="183"/>
      <c r="AV125" s="183"/>
      <c r="AW125" s="520" t="e">
        <f t="shared" si="59"/>
        <v>#N/A</v>
      </c>
      <c r="AX125" s="629"/>
    </row>
    <row r="126" spans="2:50">
      <c r="B126" s="627"/>
      <c r="C126" s="317">
        <v>15</v>
      </c>
      <c r="D126" s="317"/>
      <c r="E126" s="317"/>
      <c r="F126" s="317"/>
      <c r="G126" s="317"/>
      <c r="H126" s="629"/>
      <c r="I126" s="200" t="e">
        <f t="shared" si="61"/>
        <v>#DIV/0!</v>
      </c>
      <c r="J126" s="200" t="e">
        <f t="shared" si="62"/>
        <v>#DIV/0!</v>
      </c>
      <c r="K126" s="201" t="e">
        <f t="shared" si="63"/>
        <v>#DIV/0!</v>
      </c>
      <c r="L126" s="601"/>
      <c r="M126" s="200" t="e">
        <f>RANK(K126, K$112:$K$141)</f>
        <v>#DIV/0!</v>
      </c>
      <c r="N126" s="619"/>
      <c r="O126" s="619"/>
      <c r="P126" s="183"/>
      <c r="Q126" s="183"/>
      <c r="R126" s="183"/>
      <c r="S126" s="349" t="e">
        <f t="shared" si="64"/>
        <v>#N/A</v>
      </c>
      <c r="T126" s="629"/>
      <c r="U126" s="183"/>
      <c r="V126" s="183"/>
      <c r="W126" s="183"/>
      <c r="X126" s="520" t="e">
        <f t="shared" si="49"/>
        <v>#N/A</v>
      </c>
      <c r="Y126" s="629"/>
      <c r="Z126" s="183"/>
      <c r="AA126" s="183"/>
      <c r="AB126" s="183"/>
      <c r="AC126" s="520" t="e">
        <f t="shared" si="51"/>
        <v>#N/A</v>
      </c>
      <c r="AD126" s="629"/>
      <c r="AE126" s="183"/>
      <c r="AF126" s="183"/>
      <c r="AG126" s="183"/>
      <c r="AH126" s="520" t="e">
        <f t="shared" si="53"/>
        <v>#N/A</v>
      </c>
      <c r="AI126" s="629"/>
      <c r="AJ126" s="183"/>
      <c r="AK126" s="183"/>
      <c r="AL126" s="183"/>
      <c r="AM126" s="520" t="e">
        <f t="shared" si="55"/>
        <v>#N/A</v>
      </c>
      <c r="AN126" s="629"/>
      <c r="AO126" s="183"/>
      <c r="AP126" s="183"/>
      <c r="AQ126" s="183"/>
      <c r="AR126" s="520" t="e">
        <f t="shared" si="57"/>
        <v>#N/A</v>
      </c>
      <c r="AS126" s="629"/>
      <c r="AT126" s="183"/>
      <c r="AU126" s="183"/>
      <c r="AV126" s="183"/>
      <c r="AW126" s="520" t="e">
        <f t="shared" si="59"/>
        <v>#N/A</v>
      </c>
      <c r="AX126" s="629"/>
    </row>
    <row r="127" spans="2:50">
      <c r="B127" s="627"/>
      <c r="C127" s="317">
        <v>16</v>
      </c>
      <c r="D127" s="317"/>
      <c r="E127" s="317"/>
      <c r="F127" s="317"/>
      <c r="G127" s="317"/>
      <c r="H127" s="629"/>
      <c r="I127" s="200" t="e">
        <f t="shared" si="61"/>
        <v>#DIV/0!</v>
      </c>
      <c r="J127" s="200" t="e">
        <f t="shared" si="62"/>
        <v>#DIV/0!</v>
      </c>
      <c r="K127" s="201" t="e">
        <f t="shared" si="63"/>
        <v>#DIV/0!</v>
      </c>
      <c r="L127" s="601"/>
      <c r="M127" s="200" t="e">
        <f>RANK(K127, K$112:$K$141)</f>
        <v>#DIV/0!</v>
      </c>
      <c r="N127" s="619"/>
      <c r="O127" s="619"/>
      <c r="P127" s="183"/>
      <c r="Q127" s="183"/>
      <c r="R127" s="183"/>
      <c r="S127" s="349" t="e">
        <f t="shared" si="64"/>
        <v>#N/A</v>
      </c>
      <c r="T127" s="629"/>
      <c r="U127" s="183"/>
      <c r="V127" s="183"/>
      <c r="W127" s="183"/>
      <c r="X127" s="520" t="e">
        <f t="shared" si="49"/>
        <v>#N/A</v>
      </c>
      <c r="Y127" s="629"/>
      <c r="Z127" s="183"/>
      <c r="AA127" s="183"/>
      <c r="AB127" s="183"/>
      <c r="AC127" s="520" t="e">
        <f t="shared" si="51"/>
        <v>#N/A</v>
      </c>
      <c r="AD127" s="629"/>
      <c r="AE127" s="183"/>
      <c r="AF127" s="183"/>
      <c r="AG127" s="183"/>
      <c r="AH127" s="520" t="e">
        <f t="shared" si="53"/>
        <v>#N/A</v>
      </c>
      <c r="AI127" s="629"/>
      <c r="AJ127" s="183"/>
      <c r="AK127" s="183"/>
      <c r="AL127" s="183"/>
      <c r="AM127" s="520" t="e">
        <f t="shared" si="55"/>
        <v>#N/A</v>
      </c>
      <c r="AN127" s="629"/>
      <c r="AO127" s="183"/>
      <c r="AP127" s="183"/>
      <c r="AQ127" s="183"/>
      <c r="AR127" s="520" t="e">
        <f t="shared" si="57"/>
        <v>#N/A</v>
      </c>
      <c r="AS127" s="629"/>
      <c r="AT127" s="183"/>
      <c r="AU127" s="183"/>
      <c r="AV127" s="183"/>
      <c r="AW127" s="520" t="e">
        <f t="shared" si="59"/>
        <v>#N/A</v>
      </c>
      <c r="AX127" s="629"/>
    </row>
    <row r="128" spans="2:50">
      <c r="B128" s="627"/>
      <c r="C128" s="317">
        <v>17</v>
      </c>
      <c r="D128" s="317"/>
      <c r="E128" s="317"/>
      <c r="F128" s="317"/>
      <c r="G128" s="317"/>
      <c r="H128" s="629"/>
      <c r="I128" s="200" t="e">
        <f t="shared" si="61"/>
        <v>#DIV/0!</v>
      </c>
      <c r="J128" s="200" t="e">
        <f t="shared" si="62"/>
        <v>#DIV/0!</v>
      </c>
      <c r="K128" s="201" t="e">
        <f t="shared" si="63"/>
        <v>#DIV/0!</v>
      </c>
      <c r="L128" s="601"/>
      <c r="M128" s="200" t="e">
        <f>RANK(K128, K$112:$K$141)</f>
        <v>#DIV/0!</v>
      </c>
      <c r="N128" s="619"/>
      <c r="O128" s="619"/>
      <c r="P128" s="183"/>
      <c r="Q128" s="183"/>
      <c r="R128" s="183"/>
      <c r="S128" s="349" t="e">
        <f t="shared" si="64"/>
        <v>#N/A</v>
      </c>
      <c r="T128" s="629"/>
      <c r="U128" s="183"/>
      <c r="V128" s="183"/>
      <c r="W128" s="183"/>
      <c r="X128" s="520" t="e">
        <f t="shared" ref="X128:X141" si="65">RANK(W128, W$112:W$141)</f>
        <v>#N/A</v>
      </c>
      <c r="Y128" s="629"/>
      <c r="Z128" s="183"/>
      <c r="AA128" s="183"/>
      <c r="AB128" s="183"/>
      <c r="AC128" s="520" t="e">
        <f t="shared" ref="AC128:AC141" si="66">RANK(AB128, AB$112:AB$141)</f>
        <v>#N/A</v>
      </c>
      <c r="AD128" s="629"/>
      <c r="AE128" s="183"/>
      <c r="AF128" s="183"/>
      <c r="AG128" s="183"/>
      <c r="AH128" s="520" t="e">
        <f t="shared" ref="AH128:AH141" si="67">RANK(AG128, AG$112:AG$141)</f>
        <v>#N/A</v>
      </c>
      <c r="AI128" s="629"/>
      <c r="AJ128" s="183"/>
      <c r="AK128" s="183"/>
      <c r="AL128" s="183"/>
      <c r="AM128" s="520" t="e">
        <f t="shared" ref="AM128:AM141" si="68">RANK(AL128, AL$112:AL$141)</f>
        <v>#N/A</v>
      </c>
      <c r="AN128" s="629"/>
      <c r="AO128" s="183"/>
      <c r="AP128" s="183"/>
      <c r="AQ128" s="183"/>
      <c r="AR128" s="520" t="e">
        <f t="shared" ref="AR128:AR141" si="69">RANK(AQ128, AQ$112:AQ$141)</f>
        <v>#N/A</v>
      </c>
      <c r="AS128" s="629"/>
      <c r="AT128" s="183"/>
      <c r="AU128" s="183"/>
      <c r="AV128" s="183"/>
      <c r="AW128" s="520" t="e">
        <f t="shared" ref="AW128:AW141" si="70">RANK(AV128, AV$112:AV$141)</f>
        <v>#N/A</v>
      </c>
      <c r="AX128" s="629"/>
    </row>
    <row r="129" spans="2:50">
      <c r="B129" s="627"/>
      <c r="C129" s="317">
        <v>18</v>
      </c>
      <c r="D129" s="317"/>
      <c r="E129" s="317"/>
      <c r="F129" s="317"/>
      <c r="G129" s="317"/>
      <c r="H129" s="629"/>
      <c r="I129" s="200" t="e">
        <f t="shared" si="61"/>
        <v>#DIV/0!</v>
      </c>
      <c r="J129" s="200" t="e">
        <f t="shared" si="62"/>
        <v>#DIV/0!</v>
      </c>
      <c r="K129" s="201" t="e">
        <f t="shared" si="63"/>
        <v>#DIV/0!</v>
      </c>
      <c r="L129" s="601"/>
      <c r="M129" s="200" t="e">
        <f>RANK(K129, K$112:$K$141)</f>
        <v>#DIV/0!</v>
      </c>
      <c r="N129" s="619"/>
      <c r="O129" s="619"/>
      <c r="P129" s="183"/>
      <c r="Q129" s="183"/>
      <c r="R129" s="183"/>
      <c r="S129" s="349" t="e">
        <f t="shared" si="64"/>
        <v>#N/A</v>
      </c>
      <c r="T129" s="629"/>
      <c r="U129" s="183"/>
      <c r="V129" s="183"/>
      <c r="W129" s="183"/>
      <c r="X129" s="520" t="e">
        <f t="shared" si="65"/>
        <v>#N/A</v>
      </c>
      <c r="Y129" s="629"/>
      <c r="Z129" s="183"/>
      <c r="AA129" s="183"/>
      <c r="AB129" s="183"/>
      <c r="AC129" s="520" t="e">
        <f t="shared" si="66"/>
        <v>#N/A</v>
      </c>
      <c r="AD129" s="629"/>
      <c r="AE129" s="183"/>
      <c r="AF129" s="183"/>
      <c r="AG129" s="183"/>
      <c r="AH129" s="520" t="e">
        <f t="shared" si="67"/>
        <v>#N/A</v>
      </c>
      <c r="AI129" s="629"/>
      <c r="AJ129" s="183"/>
      <c r="AK129" s="183"/>
      <c r="AL129" s="183"/>
      <c r="AM129" s="520" t="e">
        <f t="shared" si="68"/>
        <v>#N/A</v>
      </c>
      <c r="AN129" s="629"/>
      <c r="AO129" s="183"/>
      <c r="AP129" s="183"/>
      <c r="AQ129" s="183"/>
      <c r="AR129" s="520" t="e">
        <f t="shared" si="69"/>
        <v>#N/A</v>
      </c>
      <c r="AS129" s="629"/>
      <c r="AT129" s="183"/>
      <c r="AU129" s="183"/>
      <c r="AV129" s="183"/>
      <c r="AW129" s="520" t="e">
        <f t="shared" si="70"/>
        <v>#N/A</v>
      </c>
      <c r="AX129" s="629"/>
    </row>
    <row r="130" spans="2:50">
      <c r="B130" s="627"/>
      <c r="C130" s="317">
        <v>19</v>
      </c>
      <c r="D130" s="317"/>
      <c r="E130" s="317"/>
      <c r="F130" s="317"/>
      <c r="G130" s="317"/>
      <c r="H130" s="629"/>
      <c r="I130" s="200" t="e">
        <f t="shared" si="61"/>
        <v>#DIV/0!</v>
      </c>
      <c r="J130" s="200" t="e">
        <f t="shared" si="62"/>
        <v>#DIV/0!</v>
      </c>
      <c r="K130" s="201" t="e">
        <f t="shared" si="63"/>
        <v>#DIV/0!</v>
      </c>
      <c r="L130" s="601"/>
      <c r="M130" s="200" t="e">
        <f>RANK(K130, K$112:$K$141)</f>
        <v>#DIV/0!</v>
      </c>
      <c r="N130" s="619"/>
      <c r="O130" s="619"/>
      <c r="P130" s="183"/>
      <c r="Q130" s="183"/>
      <c r="R130" s="183"/>
      <c r="S130" s="349" t="e">
        <f t="shared" si="64"/>
        <v>#N/A</v>
      </c>
      <c r="T130" s="629"/>
      <c r="U130" s="183"/>
      <c r="V130" s="183"/>
      <c r="W130" s="183"/>
      <c r="X130" s="520" t="e">
        <f t="shared" si="65"/>
        <v>#N/A</v>
      </c>
      <c r="Y130" s="629"/>
      <c r="Z130" s="183"/>
      <c r="AA130" s="183"/>
      <c r="AB130" s="183"/>
      <c r="AC130" s="520" t="e">
        <f t="shared" si="66"/>
        <v>#N/A</v>
      </c>
      <c r="AD130" s="629"/>
      <c r="AE130" s="183"/>
      <c r="AF130" s="183"/>
      <c r="AG130" s="183"/>
      <c r="AH130" s="520" t="e">
        <f t="shared" si="67"/>
        <v>#N/A</v>
      </c>
      <c r="AI130" s="629"/>
      <c r="AJ130" s="183"/>
      <c r="AK130" s="183"/>
      <c r="AL130" s="183"/>
      <c r="AM130" s="520" t="e">
        <f t="shared" si="68"/>
        <v>#N/A</v>
      </c>
      <c r="AN130" s="629"/>
      <c r="AO130" s="183"/>
      <c r="AP130" s="183"/>
      <c r="AQ130" s="183"/>
      <c r="AR130" s="520" t="e">
        <f t="shared" si="69"/>
        <v>#N/A</v>
      </c>
      <c r="AS130" s="629"/>
      <c r="AT130" s="183"/>
      <c r="AU130" s="183"/>
      <c r="AV130" s="183"/>
      <c r="AW130" s="520" t="e">
        <f t="shared" si="70"/>
        <v>#N/A</v>
      </c>
      <c r="AX130" s="629"/>
    </row>
    <row r="131" spans="2:50">
      <c r="B131" s="627"/>
      <c r="C131" s="317">
        <v>20</v>
      </c>
      <c r="D131" s="317"/>
      <c r="E131" s="317"/>
      <c r="F131" s="317"/>
      <c r="G131" s="317"/>
      <c r="H131" s="629"/>
      <c r="I131" s="200" t="e">
        <f t="shared" si="61"/>
        <v>#DIV/0!</v>
      </c>
      <c r="J131" s="200" t="e">
        <f t="shared" si="62"/>
        <v>#DIV/0!</v>
      </c>
      <c r="K131" s="201" t="e">
        <f t="shared" si="63"/>
        <v>#DIV/0!</v>
      </c>
      <c r="L131" s="601"/>
      <c r="M131" s="200" t="e">
        <f>RANK(K131, K$112:$K$141)</f>
        <v>#DIV/0!</v>
      </c>
      <c r="N131" s="619"/>
      <c r="O131" s="619"/>
      <c r="P131" s="183"/>
      <c r="Q131" s="183"/>
      <c r="R131" s="183"/>
      <c r="S131" s="349" t="e">
        <f t="shared" si="64"/>
        <v>#N/A</v>
      </c>
      <c r="T131" s="629"/>
      <c r="U131" s="183"/>
      <c r="V131" s="183"/>
      <c r="W131" s="183"/>
      <c r="X131" s="520" t="e">
        <f t="shared" si="65"/>
        <v>#N/A</v>
      </c>
      <c r="Y131" s="629"/>
      <c r="Z131" s="183"/>
      <c r="AA131" s="183"/>
      <c r="AB131" s="183"/>
      <c r="AC131" s="520" t="e">
        <f t="shared" si="66"/>
        <v>#N/A</v>
      </c>
      <c r="AD131" s="629"/>
      <c r="AE131" s="183"/>
      <c r="AF131" s="183"/>
      <c r="AG131" s="183"/>
      <c r="AH131" s="520" t="e">
        <f t="shared" si="67"/>
        <v>#N/A</v>
      </c>
      <c r="AI131" s="629"/>
      <c r="AJ131" s="183"/>
      <c r="AK131" s="183"/>
      <c r="AL131" s="183"/>
      <c r="AM131" s="520" t="e">
        <f t="shared" si="68"/>
        <v>#N/A</v>
      </c>
      <c r="AN131" s="629"/>
      <c r="AO131" s="183"/>
      <c r="AP131" s="183"/>
      <c r="AQ131" s="183"/>
      <c r="AR131" s="520" t="e">
        <f t="shared" si="69"/>
        <v>#N/A</v>
      </c>
      <c r="AS131" s="629"/>
      <c r="AT131" s="183"/>
      <c r="AU131" s="183"/>
      <c r="AV131" s="183"/>
      <c r="AW131" s="520" t="e">
        <f t="shared" si="70"/>
        <v>#N/A</v>
      </c>
      <c r="AX131" s="629"/>
    </row>
    <row r="132" spans="2:50">
      <c r="B132" s="627"/>
      <c r="C132" s="317">
        <v>21</v>
      </c>
      <c r="D132" s="317"/>
      <c r="E132" s="317"/>
      <c r="F132" s="317"/>
      <c r="G132" s="317"/>
      <c r="H132" s="629"/>
      <c r="I132" s="200" t="e">
        <f t="shared" ref="I132:K132" si="71">AVERAGE(P132,U132,Z132,AE132,AJ132,AO132,AT132)</f>
        <v>#DIV/0!</v>
      </c>
      <c r="J132" s="200" t="e">
        <f t="shared" si="71"/>
        <v>#DIV/0!</v>
      </c>
      <c r="K132" s="201" t="e">
        <f t="shared" si="71"/>
        <v>#DIV/0!</v>
      </c>
      <c r="L132" s="601"/>
      <c r="M132" s="200" t="e">
        <f>RANK(K132, K$112:$K$141)</f>
        <v>#DIV/0!</v>
      </c>
      <c r="N132" s="619"/>
      <c r="O132" s="619"/>
      <c r="P132" s="376"/>
      <c r="Q132" s="183"/>
      <c r="R132" s="377"/>
      <c r="S132" s="349" t="e">
        <f t="shared" si="64"/>
        <v>#N/A</v>
      </c>
      <c r="T132" s="629"/>
      <c r="U132" s="520"/>
      <c r="V132" s="183"/>
      <c r="W132" s="521"/>
      <c r="X132" s="520" t="e">
        <f t="shared" si="65"/>
        <v>#N/A</v>
      </c>
      <c r="Y132" s="629"/>
      <c r="Z132" s="520"/>
      <c r="AA132" s="183"/>
      <c r="AB132" s="521"/>
      <c r="AC132" s="520" t="e">
        <f t="shared" si="66"/>
        <v>#N/A</v>
      </c>
      <c r="AD132" s="629"/>
      <c r="AE132" s="520"/>
      <c r="AF132" s="183"/>
      <c r="AG132" s="521"/>
      <c r="AH132" s="520" t="e">
        <f t="shared" si="67"/>
        <v>#N/A</v>
      </c>
      <c r="AI132" s="629"/>
      <c r="AJ132" s="520"/>
      <c r="AK132" s="183"/>
      <c r="AL132" s="521"/>
      <c r="AM132" s="520" t="e">
        <f t="shared" si="68"/>
        <v>#N/A</v>
      </c>
      <c r="AN132" s="629"/>
      <c r="AO132" s="520"/>
      <c r="AP132" s="183"/>
      <c r="AQ132" s="521"/>
      <c r="AR132" s="520" t="e">
        <f t="shared" si="69"/>
        <v>#N/A</v>
      </c>
      <c r="AS132" s="629"/>
      <c r="AT132" s="520"/>
      <c r="AU132" s="183"/>
      <c r="AV132" s="521"/>
      <c r="AW132" s="520" t="e">
        <f t="shared" si="70"/>
        <v>#N/A</v>
      </c>
      <c r="AX132" s="629"/>
    </row>
    <row r="133" spans="2:50">
      <c r="B133" s="627"/>
      <c r="C133" s="317">
        <v>22</v>
      </c>
      <c r="D133" s="317"/>
      <c r="E133" s="317"/>
      <c r="F133" s="317"/>
      <c r="G133" s="317"/>
      <c r="H133" s="629"/>
      <c r="I133" s="200"/>
      <c r="J133" s="200"/>
      <c r="K133" s="201"/>
      <c r="L133" s="601"/>
      <c r="M133" s="200" t="e">
        <f>RANK(K133, K$112:$K$141)</f>
        <v>#DIV/0!</v>
      </c>
      <c r="N133" s="619"/>
      <c r="O133" s="619"/>
      <c r="P133" s="376"/>
      <c r="Q133" s="183"/>
      <c r="R133" s="377"/>
      <c r="S133" s="349" t="e">
        <f t="shared" si="64"/>
        <v>#N/A</v>
      </c>
      <c r="T133" s="629"/>
      <c r="U133" s="520"/>
      <c r="V133" s="183"/>
      <c r="W133" s="521"/>
      <c r="X133" s="520" t="e">
        <f t="shared" si="65"/>
        <v>#N/A</v>
      </c>
      <c r="Y133" s="629"/>
      <c r="Z133" s="520"/>
      <c r="AA133" s="183"/>
      <c r="AB133" s="521"/>
      <c r="AC133" s="520" t="e">
        <f t="shared" si="66"/>
        <v>#N/A</v>
      </c>
      <c r="AD133" s="629"/>
      <c r="AE133" s="520"/>
      <c r="AF133" s="183"/>
      <c r="AG133" s="521"/>
      <c r="AH133" s="520" t="e">
        <f t="shared" si="67"/>
        <v>#N/A</v>
      </c>
      <c r="AI133" s="629"/>
      <c r="AJ133" s="520"/>
      <c r="AK133" s="183"/>
      <c r="AL133" s="521"/>
      <c r="AM133" s="520" t="e">
        <f t="shared" si="68"/>
        <v>#N/A</v>
      </c>
      <c r="AN133" s="629"/>
      <c r="AO133" s="520"/>
      <c r="AP133" s="183"/>
      <c r="AQ133" s="521"/>
      <c r="AR133" s="520" t="e">
        <f t="shared" si="69"/>
        <v>#N/A</v>
      </c>
      <c r="AS133" s="629"/>
      <c r="AT133" s="520"/>
      <c r="AU133" s="183"/>
      <c r="AV133" s="521"/>
      <c r="AW133" s="520" t="e">
        <f t="shared" si="70"/>
        <v>#N/A</v>
      </c>
      <c r="AX133" s="629"/>
    </row>
    <row r="134" spans="2:50">
      <c r="B134" s="627"/>
      <c r="C134" s="317">
        <v>23</v>
      </c>
      <c r="D134" s="317"/>
      <c r="E134" s="317"/>
      <c r="F134" s="317"/>
      <c r="G134" s="317"/>
      <c r="H134" s="629"/>
      <c r="I134" s="200"/>
      <c r="J134" s="200"/>
      <c r="K134" s="201"/>
      <c r="L134" s="601"/>
      <c r="M134" s="200" t="e">
        <f>RANK(K134, K$112:$K$141)</f>
        <v>#DIV/0!</v>
      </c>
      <c r="N134" s="619"/>
      <c r="O134" s="619"/>
      <c r="P134" s="376"/>
      <c r="Q134" s="376"/>
      <c r="R134" s="377"/>
      <c r="S134" s="349" t="e">
        <f t="shared" si="64"/>
        <v>#N/A</v>
      </c>
      <c r="T134" s="629"/>
      <c r="U134" s="520"/>
      <c r="V134" s="520"/>
      <c r="W134" s="521"/>
      <c r="X134" s="520" t="e">
        <f t="shared" si="65"/>
        <v>#N/A</v>
      </c>
      <c r="Y134" s="629"/>
      <c r="Z134" s="520"/>
      <c r="AA134" s="520"/>
      <c r="AB134" s="521"/>
      <c r="AC134" s="520" t="e">
        <f t="shared" si="66"/>
        <v>#N/A</v>
      </c>
      <c r="AD134" s="629"/>
      <c r="AE134" s="520"/>
      <c r="AF134" s="520"/>
      <c r="AG134" s="521"/>
      <c r="AH134" s="520" t="e">
        <f t="shared" si="67"/>
        <v>#N/A</v>
      </c>
      <c r="AI134" s="629"/>
      <c r="AJ134" s="520"/>
      <c r="AK134" s="520"/>
      <c r="AL134" s="521"/>
      <c r="AM134" s="520" t="e">
        <f t="shared" si="68"/>
        <v>#N/A</v>
      </c>
      <c r="AN134" s="629"/>
      <c r="AO134" s="520"/>
      <c r="AP134" s="520"/>
      <c r="AQ134" s="521"/>
      <c r="AR134" s="520" t="e">
        <f t="shared" si="69"/>
        <v>#N/A</v>
      </c>
      <c r="AS134" s="629"/>
      <c r="AT134" s="520"/>
      <c r="AU134" s="520"/>
      <c r="AV134" s="521"/>
      <c r="AW134" s="520" t="e">
        <f t="shared" si="70"/>
        <v>#N/A</v>
      </c>
      <c r="AX134" s="629"/>
    </row>
    <row r="135" spans="2:50">
      <c r="B135" s="627"/>
      <c r="C135" s="317">
        <v>24</v>
      </c>
      <c r="D135" s="317"/>
      <c r="E135" s="317"/>
      <c r="F135" s="317"/>
      <c r="G135" s="317"/>
      <c r="H135" s="629"/>
      <c r="I135" s="203"/>
      <c r="J135" s="203"/>
      <c r="K135" s="203"/>
      <c r="L135" s="601"/>
      <c r="M135" s="200" t="e">
        <f>RANK(K135, K$112:$K$141)</f>
        <v>#DIV/0!</v>
      </c>
      <c r="N135" s="619"/>
      <c r="O135" s="619"/>
      <c r="P135" s="376"/>
      <c r="Q135" s="376"/>
      <c r="R135" s="376"/>
      <c r="S135" s="349" t="e">
        <f t="shared" si="64"/>
        <v>#N/A</v>
      </c>
      <c r="T135" s="629"/>
      <c r="U135" s="520"/>
      <c r="V135" s="520"/>
      <c r="W135" s="520"/>
      <c r="X135" s="520" t="e">
        <f t="shared" si="65"/>
        <v>#N/A</v>
      </c>
      <c r="Y135" s="629"/>
      <c r="Z135" s="520"/>
      <c r="AA135" s="520"/>
      <c r="AB135" s="520"/>
      <c r="AC135" s="520" t="e">
        <f t="shared" si="66"/>
        <v>#N/A</v>
      </c>
      <c r="AD135" s="629"/>
      <c r="AE135" s="520"/>
      <c r="AF135" s="520"/>
      <c r="AG135" s="520"/>
      <c r="AH135" s="520" t="e">
        <f t="shared" si="67"/>
        <v>#N/A</v>
      </c>
      <c r="AI135" s="629"/>
      <c r="AJ135" s="520"/>
      <c r="AK135" s="520"/>
      <c r="AL135" s="520"/>
      <c r="AM135" s="520" t="e">
        <f t="shared" si="68"/>
        <v>#N/A</v>
      </c>
      <c r="AN135" s="629"/>
      <c r="AO135" s="520"/>
      <c r="AP135" s="520"/>
      <c r="AQ135" s="520"/>
      <c r="AR135" s="520" t="e">
        <f t="shared" si="69"/>
        <v>#N/A</v>
      </c>
      <c r="AS135" s="629"/>
      <c r="AT135" s="520"/>
      <c r="AU135" s="520"/>
      <c r="AV135" s="520"/>
      <c r="AW135" s="520" t="e">
        <f t="shared" si="70"/>
        <v>#N/A</v>
      </c>
      <c r="AX135" s="629"/>
    </row>
    <row r="136" spans="2:50">
      <c r="B136" s="627"/>
      <c r="C136" s="317">
        <v>25</v>
      </c>
      <c r="D136" s="317"/>
      <c r="E136" s="317"/>
      <c r="F136" s="317"/>
      <c r="G136" s="317"/>
      <c r="H136" s="629"/>
      <c r="I136" s="203"/>
      <c r="J136" s="203"/>
      <c r="K136" s="203"/>
      <c r="L136" s="601"/>
      <c r="M136" s="200" t="e">
        <f>RANK(K136, K$112:$K$141)</f>
        <v>#DIV/0!</v>
      </c>
      <c r="N136" s="619"/>
      <c r="O136" s="619"/>
      <c r="P136" s="376"/>
      <c r="Q136" s="376"/>
      <c r="R136" s="376"/>
      <c r="S136" s="349" t="e">
        <f t="shared" si="64"/>
        <v>#N/A</v>
      </c>
      <c r="T136" s="629"/>
      <c r="U136" s="520"/>
      <c r="V136" s="520"/>
      <c r="W136" s="520"/>
      <c r="X136" s="520" t="e">
        <f t="shared" si="65"/>
        <v>#N/A</v>
      </c>
      <c r="Y136" s="629"/>
      <c r="Z136" s="520"/>
      <c r="AA136" s="520"/>
      <c r="AB136" s="520"/>
      <c r="AC136" s="520" t="e">
        <f t="shared" si="66"/>
        <v>#N/A</v>
      </c>
      <c r="AD136" s="629"/>
      <c r="AE136" s="520"/>
      <c r="AF136" s="520"/>
      <c r="AG136" s="520"/>
      <c r="AH136" s="520" t="e">
        <f t="shared" si="67"/>
        <v>#N/A</v>
      </c>
      <c r="AI136" s="629"/>
      <c r="AJ136" s="520"/>
      <c r="AK136" s="520"/>
      <c r="AL136" s="520"/>
      <c r="AM136" s="520" t="e">
        <f t="shared" si="68"/>
        <v>#N/A</v>
      </c>
      <c r="AN136" s="629"/>
      <c r="AO136" s="520"/>
      <c r="AP136" s="520"/>
      <c r="AQ136" s="520"/>
      <c r="AR136" s="520" t="e">
        <f t="shared" si="69"/>
        <v>#N/A</v>
      </c>
      <c r="AS136" s="629"/>
      <c r="AT136" s="520"/>
      <c r="AU136" s="520"/>
      <c r="AV136" s="520"/>
      <c r="AW136" s="520" t="e">
        <f t="shared" si="70"/>
        <v>#N/A</v>
      </c>
      <c r="AX136" s="629"/>
    </row>
    <row r="137" spans="2:50">
      <c r="B137" s="627"/>
      <c r="C137" s="317">
        <v>26</v>
      </c>
      <c r="D137" s="317"/>
      <c r="E137" s="317"/>
      <c r="F137" s="317"/>
      <c r="G137" s="317"/>
      <c r="H137" s="629"/>
      <c r="I137" s="203"/>
      <c r="J137" s="203"/>
      <c r="K137" s="203"/>
      <c r="L137" s="601"/>
      <c r="M137" s="200" t="e">
        <f>RANK(K137, K$112:$K$141)</f>
        <v>#DIV/0!</v>
      </c>
      <c r="N137" s="619"/>
      <c r="O137" s="619"/>
      <c r="P137" s="376"/>
      <c r="Q137" s="376"/>
      <c r="R137" s="376"/>
      <c r="S137" s="349" t="e">
        <f t="shared" si="64"/>
        <v>#N/A</v>
      </c>
      <c r="T137" s="629"/>
      <c r="U137" s="520"/>
      <c r="V137" s="520"/>
      <c r="W137" s="520"/>
      <c r="X137" s="520" t="e">
        <f t="shared" si="65"/>
        <v>#N/A</v>
      </c>
      <c r="Y137" s="629"/>
      <c r="Z137" s="520"/>
      <c r="AA137" s="520"/>
      <c r="AB137" s="520"/>
      <c r="AC137" s="520" t="e">
        <f t="shared" si="66"/>
        <v>#N/A</v>
      </c>
      <c r="AD137" s="629"/>
      <c r="AE137" s="520"/>
      <c r="AF137" s="520"/>
      <c r="AG137" s="520"/>
      <c r="AH137" s="520" t="e">
        <f t="shared" si="67"/>
        <v>#N/A</v>
      </c>
      <c r="AI137" s="629"/>
      <c r="AJ137" s="520"/>
      <c r="AK137" s="520"/>
      <c r="AL137" s="520"/>
      <c r="AM137" s="520" t="e">
        <f t="shared" si="68"/>
        <v>#N/A</v>
      </c>
      <c r="AN137" s="629"/>
      <c r="AO137" s="520"/>
      <c r="AP137" s="520"/>
      <c r="AQ137" s="520"/>
      <c r="AR137" s="520" t="e">
        <f t="shared" si="69"/>
        <v>#N/A</v>
      </c>
      <c r="AS137" s="629"/>
      <c r="AT137" s="520"/>
      <c r="AU137" s="520"/>
      <c r="AV137" s="520"/>
      <c r="AW137" s="520" t="e">
        <f t="shared" si="70"/>
        <v>#N/A</v>
      </c>
      <c r="AX137" s="629"/>
    </row>
    <row r="138" spans="2:50">
      <c r="B138" s="627"/>
      <c r="C138" s="317">
        <v>27</v>
      </c>
      <c r="D138" s="317"/>
      <c r="E138" s="317"/>
      <c r="F138" s="317"/>
      <c r="G138" s="317"/>
      <c r="H138" s="629"/>
      <c r="I138" s="203"/>
      <c r="J138" s="203"/>
      <c r="K138" s="203"/>
      <c r="L138" s="601"/>
      <c r="M138" s="200" t="e">
        <f>RANK(K138, K$112:$K$141)</f>
        <v>#DIV/0!</v>
      </c>
      <c r="N138" s="619"/>
      <c r="O138" s="619"/>
      <c r="P138" s="376"/>
      <c r="Q138" s="376"/>
      <c r="R138" s="376"/>
      <c r="S138" s="349" t="e">
        <f t="shared" si="64"/>
        <v>#N/A</v>
      </c>
      <c r="T138" s="629"/>
      <c r="U138" s="520"/>
      <c r="V138" s="520"/>
      <c r="W138" s="520"/>
      <c r="X138" s="520" t="e">
        <f t="shared" si="65"/>
        <v>#N/A</v>
      </c>
      <c r="Y138" s="629"/>
      <c r="Z138" s="520"/>
      <c r="AA138" s="520"/>
      <c r="AB138" s="520"/>
      <c r="AC138" s="520" t="e">
        <f t="shared" si="66"/>
        <v>#N/A</v>
      </c>
      <c r="AD138" s="629"/>
      <c r="AE138" s="520"/>
      <c r="AF138" s="520"/>
      <c r="AG138" s="520"/>
      <c r="AH138" s="520" t="e">
        <f t="shared" si="67"/>
        <v>#N/A</v>
      </c>
      <c r="AI138" s="629"/>
      <c r="AJ138" s="520"/>
      <c r="AK138" s="520"/>
      <c r="AL138" s="520"/>
      <c r="AM138" s="520" t="e">
        <f t="shared" si="68"/>
        <v>#N/A</v>
      </c>
      <c r="AN138" s="629"/>
      <c r="AO138" s="520"/>
      <c r="AP138" s="520"/>
      <c r="AQ138" s="520"/>
      <c r="AR138" s="520" t="e">
        <f t="shared" si="69"/>
        <v>#N/A</v>
      </c>
      <c r="AS138" s="629"/>
      <c r="AT138" s="520"/>
      <c r="AU138" s="520"/>
      <c r="AV138" s="520"/>
      <c r="AW138" s="520" t="e">
        <f t="shared" si="70"/>
        <v>#N/A</v>
      </c>
      <c r="AX138" s="629"/>
    </row>
    <row r="139" spans="2:50">
      <c r="B139" s="627"/>
      <c r="C139" s="317">
        <v>28</v>
      </c>
      <c r="D139" s="317"/>
      <c r="E139" s="317"/>
      <c r="F139" s="317"/>
      <c r="G139" s="317"/>
      <c r="H139" s="629"/>
      <c r="I139" s="203"/>
      <c r="J139" s="203"/>
      <c r="K139" s="203"/>
      <c r="L139" s="601"/>
      <c r="M139" s="200" t="e">
        <f>RANK(K139, K$112:$K$141)</f>
        <v>#DIV/0!</v>
      </c>
      <c r="N139" s="619"/>
      <c r="O139" s="619"/>
      <c r="P139" s="376"/>
      <c r="Q139" s="376"/>
      <c r="R139" s="376"/>
      <c r="S139" s="349" t="e">
        <f t="shared" si="64"/>
        <v>#N/A</v>
      </c>
      <c r="T139" s="629"/>
      <c r="U139" s="520"/>
      <c r="V139" s="520"/>
      <c r="W139" s="520"/>
      <c r="X139" s="520" t="e">
        <f t="shared" si="65"/>
        <v>#N/A</v>
      </c>
      <c r="Y139" s="629"/>
      <c r="Z139" s="520"/>
      <c r="AA139" s="520"/>
      <c r="AB139" s="520"/>
      <c r="AC139" s="520" t="e">
        <f t="shared" si="66"/>
        <v>#N/A</v>
      </c>
      <c r="AD139" s="629"/>
      <c r="AE139" s="520"/>
      <c r="AF139" s="520"/>
      <c r="AG139" s="520"/>
      <c r="AH139" s="520" t="e">
        <f t="shared" si="67"/>
        <v>#N/A</v>
      </c>
      <c r="AI139" s="629"/>
      <c r="AJ139" s="520"/>
      <c r="AK139" s="520"/>
      <c r="AL139" s="520"/>
      <c r="AM139" s="520" t="e">
        <f t="shared" si="68"/>
        <v>#N/A</v>
      </c>
      <c r="AN139" s="629"/>
      <c r="AO139" s="520"/>
      <c r="AP139" s="520"/>
      <c r="AQ139" s="520"/>
      <c r="AR139" s="520" t="e">
        <f t="shared" si="69"/>
        <v>#N/A</v>
      </c>
      <c r="AS139" s="629"/>
      <c r="AT139" s="520"/>
      <c r="AU139" s="520"/>
      <c r="AV139" s="520"/>
      <c r="AW139" s="520" t="e">
        <f t="shared" si="70"/>
        <v>#N/A</v>
      </c>
      <c r="AX139" s="629"/>
    </row>
    <row r="140" spans="2:50">
      <c r="B140" s="627"/>
      <c r="C140" s="317">
        <v>29</v>
      </c>
      <c r="D140" s="317"/>
      <c r="E140" s="317"/>
      <c r="F140" s="317"/>
      <c r="G140" s="317"/>
      <c r="H140" s="629"/>
      <c r="I140" s="203"/>
      <c r="J140" s="203"/>
      <c r="K140" s="203"/>
      <c r="L140" s="601"/>
      <c r="M140" s="200" t="e">
        <f>RANK(K140, K$112:$K$141)</f>
        <v>#DIV/0!</v>
      </c>
      <c r="N140" s="619"/>
      <c r="O140" s="619"/>
      <c r="P140" s="376"/>
      <c r="Q140" s="376"/>
      <c r="R140" s="376"/>
      <c r="S140" s="349" t="e">
        <f t="shared" si="64"/>
        <v>#N/A</v>
      </c>
      <c r="T140" s="629"/>
      <c r="U140" s="520"/>
      <c r="V140" s="520"/>
      <c r="W140" s="520"/>
      <c r="X140" s="520" t="e">
        <f t="shared" si="65"/>
        <v>#N/A</v>
      </c>
      <c r="Y140" s="629"/>
      <c r="Z140" s="520"/>
      <c r="AA140" s="520"/>
      <c r="AB140" s="520"/>
      <c r="AC140" s="520" t="e">
        <f t="shared" si="66"/>
        <v>#N/A</v>
      </c>
      <c r="AD140" s="629"/>
      <c r="AE140" s="520"/>
      <c r="AF140" s="520"/>
      <c r="AG140" s="520"/>
      <c r="AH140" s="520" t="e">
        <f t="shared" si="67"/>
        <v>#N/A</v>
      </c>
      <c r="AI140" s="629"/>
      <c r="AJ140" s="520"/>
      <c r="AK140" s="520"/>
      <c r="AL140" s="520"/>
      <c r="AM140" s="520" t="e">
        <f t="shared" si="68"/>
        <v>#N/A</v>
      </c>
      <c r="AN140" s="629"/>
      <c r="AO140" s="520"/>
      <c r="AP140" s="520"/>
      <c r="AQ140" s="520"/>
      <c r="AR140" s="520" t="e">
        <f t="shared" si="69"/>
        <v>#N/A</v>
      </c>
      <c r="AS140" s="629"/>
      <c r="AT140" s="520"/>
      <c r="AU140" s="520"/>
      <c r="AV140" s="520"/>
      <c r="AW140" s="520" t="e">
        <f t="shared" si="70"/>
        <v>#N/A</v>
      </c>
      <c r="AX140" s="629"/>
    </row>
    <row r="141" spans="2:50">
      <c r="B141" s="627"/>
      <c r="C141" s="317">
        <v>30</v>
      </c>
      <c r="D141" s="317"/>
      <c r="E141" s="317"/>
      <c r="F141" s="317"/>
      <c r="G141" s="317"/>
      <c r="H141" s="630"/>
      <c r="I141" s="203"/>
      <c r="J141" s="203"/>
      <c r="K141" s="203"/>
      <c r="L141" s="602"/>
      <c r="M141" s="200" t="e">
        <f>RANK(K141, K$112:$K$141)</f>
        <v>#DIV/0!</v>
      </c>
      <c r="N141" s="619"/>
      <c r="O141" s="619"/>
      <c r="P141" s="376"/>
      <c r="Q141" s="376"/>
      <c r="R141" s="376"/>
      <c r="S141" s="349" t="e">
        <f t="shared" si="64"/>
        <v>#N/A</v>
      </c>
      <c r="T141" s="630"/>
      <c r="U141" s="520"/>
      <c r="V141" s="520"/>
      <c r="W141" s="520"/>
      <c r="X141" s="520" t="e">
        <f t="shared" si="65"/>
        <v>#N/A</v>
      </c>
      <c r="Y141" s="630"/>
      <c r="Z141" s="520"/>
      <c r="AA141" s="520"/>
      <c r="AB141" s="520"/>
      <c r="AC141" s="520" t="e">
        <f t="shared" si="66"/>
        <v>#N/A</v>
      </c>
      <c r="AD141" s="630"/>
      <c r="AE141" s="520"/>
      <c r="AF141" s="520"/>
      <c r="AG141" s="520"/>
      <c r="AH141" s="520" t="e">
        <f t="shared" si="67"/>
        <v>#N/A</v>
      </c>
      <c r="AI141" s="630"/>
      <c r="AJ141" s="520"/>
      <c r="AK141" s="520"/>
      <c r="AL141" s="520"/>
      <c r="AM141" s="520" t="e">
        <f t="shared" si="68"/>
        <v>#N/A</v>
      </c>
      <c r="AN141" s="630"/>
      <c r="AO141" s="520"/>
      <c r="AP141" s="520"/>
      <c r="AQ141" s="520"/>
      <c r="AR141" s="520" t="e">
        <f t="shared" si="69"/>
        <v>#N/A</v>
      </c>
      <c r="AS141" s="630"/>
      <c r="AT141" s="520"/>
      <c r="AU141" s="520"/>
      <c r="AV141" s="520"/>
      <c r="AW141" s="520" t="e">
        <f t="shared" si="70"/>
        <v>#N/A</v>
      </c>
      <c r="AX141" s="630"/>
    </row>
    <row r="142" spans="2:50" ht="15.5">
      <c r="B142" s="631" t="s">
        <v>163</v>
      </c>
      <c r="C142" s="632"/>
      <c r="D142" s="632"/>
      <c r="E142" s="632"/>
      <c r="F142" s="632"/>
      <c r="G142" s="632"/>
      <c r="H142" s="633"/>
      <c r="I142" s="209"/>
      <c r="J142" s="209"/>
      <c r="K142" s="209"/>
      <c r="L142" s="209"/>
      <c r="M142" s="208"/>
      <c r="N142" s="620" t="s">
        <v>156</v>
      </c>
      <c r="O142" s="620" t="s">
        <v>155</v>
      </c>
      <c r="P142" s="626">
        <f>P107+7</f>
        <v>46014</v>
      </c>
      <c r="Q142" s="627"/>
      <c r="R142" s="627"/>
      <c r="S142" s="627"/>
      <c r="T142" s="627"/>
      <c r="U142" s="623">
        <f>P142+1</f>
        <v>46015</v>
      </c>
      <c r="V142" s="624"/>
      <c r="W142" s="624"/>
      <c r="X142" s="624"/>
      <c r="Y142" s="625"/>
      <c r="Z142" s="623">
        <f>U142+1</f>
        <v>46016</v>
      </c>
      <c r="AA142" s="624"/>
      <c r="AB142" s="624"/>
      <c r="AC142" s="624"/>
      <c r="AD142" s="625"/>
      <c r="AE142" s="623">
        <f>Z142+1</f>
        <v>46017</v>
      </c>
      <c r="AF142" s="624"/>
      <c r="AG142" s="624"/>
      <c r="AH142" s="624"/>
      <c r="AI142" s="625"/>
      <c r="AJ142" s="623">
        <f>AE142+1</f>
        <v>46018</v>
      </c>
      <c r="AK142" s="624"/>
      <c r="AL142" s="624"/>
      <c r="AM142" s="624"/>
      <c r="AN142" s="625"/>
      <c r="AO142" s="623">
        <f>AJ142+1</f>
        <v>46019</v>
      </c>
      <c r="AP142" s="624"/>
      <c r="AQ142" s="624"/>
      <c r="AR142" s="624"/>
      <c r="AS142" s="625"/>
      <c r="AT142" s="623">
        <f>AO142+1</f>
        <v>46020</v>
      </c>
      <c r="AU142" s="624"/>
      <c r="AV142" s="624"/>
      <c r="AW142" s="624"/>
      <c r="AX142" s="625"/>
    </row>
    <row r="143" spans="2:50" ht="15.5">
      <c r="B143" s="634"/>
      <c r="C143" s="634"/>
      <c r="D143" s="634"/>
      <c r="E143" s="634"/>
      <c r="F143" s="634"/>
      <c r="G143" s="634"/>
      <c r="H143" s="634"/>
      <c r="I143" s="206"/>
      <c r="J143" s="206"/>
      <c r="K143" s="206"/>
      <c r="L143" s="206"/>
      <c r="M143" s="207"/>
      <c r="N143" s="622"/>
      <c r="O143" s="622"/>
      <c r="P143" s="626" t="s">
        <v>336</v>
      </c>
      <c r="Q143" s="627"/>
      <c r="R143" s="627"/>
      <c r="S143" s="627"/>
      <c r="T143" s="627"/>
      <c r="U143" s="626" t="s">
        <v>337</v>
      </c>
      <c r="V143" s="627"/>
      <c r="W143" s="627"/>
      <c r="X143" s="627"/>
      <c r="Y143" s="627"/>
      <c r="Z143" s="626" t="s">
        <v>338</v>
      </c>
      <c r="AA143" s="627"/>
      <c r="AB143" s="627"/>
      <c r="AC143" s="627"/>
      <c r="AD143" s="627"/>
      <c r="AE143" s="626" t="s">
        <v>339</v>
      </c>
      <c r="AF143" s="627"/>
      <c r="AG143" s="627"/>
      <c r="AH143" s="627"/>
      <c r="AI143" s="627"/>
      <c r="AJ143" s="626" t="s">
        <v>340</v>
      </c>
      <c r="AK143" s="627"/>
      <c r="AL143" s="627"/>
      <c r="AM143" s="627"/>
      <c r="AN143" s="627"/>
      <c r="AO143" s="626" t="s">
        <v>341</v>
      </c>
      <c r="AP143" s="627"/>
      <c r="AQ143" s="627"/>
      <c r="AR143" s="627"/>
      <c r="AS143" s="627"/>
      <c r="AT143" s="626" t="s">
        <v>342</v>
      </c>
      <c r="AU143" s="627"/>
      <c r="AV143" s="627"/>
      <c r="AW143" s="627"/>
      <c r="AX143" s="627"/>
    </row>
    <row r="144" spans="2:50">
      <c r="B144" s="619" t="s">
        <v>484</v>
      </c>
      <c r="C144" s="619" t="s">
        <v>485</v>
      </c>
      <c r="D144" s="619"/>
      <c r="E144" s="619" t="s">
        <v>486</v>
      </c>
      <c r="F144" s="619"/>
      <c r="G144" s="619"/>
      <c r="H144" s="635" t="s">
        <v>487</v>
      </c>
      <c r="I144" s="603" t="s">
        <v>488</v>
      </c>
      <c r="J144" s="603"/>
      <c r="K144" s="603"/>
      <c r="L144" s="604" t="s">
        <v>487</v>
      </c>
      <c r="M144" s="610" t="s">
        <v>489</v>
      </c>
      <c r="N144" s="619"/>
      <c r="O144" s="619" t="s">
        <v>490</v>
      </c>
      <c r="P144" s="616" t="s">
        <v>491</v>
      </c>
      <c r="Q144" s="617"/>
      <c r="R144" s="617"/>
      <c r="S144" s="618"/>
      <c r="T144" s="619" t="s">
        <v>487</v>
      </c>
      <c r="U144" s="616" t="s">
        <v>491</v>
      </c>
      <c r="V144" s="617"/>
      <c r="W144" s="617"/>
      <c r="X144" s="618"/>
      <c r="Y144" s="619" t="s">
        <v>487</v>
      </c>
      <c r="Z144" s="616" t="s">
        <v>491</v>
      </c>
      <c r="AA144" s="617"/>
      <c r="AB144" s="617"/>
      <c r="AC144" s="618"/>
      <c r="AD144" s="619" t="s">
        <v>487</v>
      </c>
      <c r="AE144" s="616" t="s">
        <v>491</v>
      </c>
      <c r="AF144" s="617"/>
      <c r="AG144" s="617"/>
      <c r="AH144" s="618"/>
      <c r="AI144" s="619" t="s">
        <v>487</v>
      </c>
      <c r="AJ144" s="616" t="s">
        <v>491</v>
      </c>
      <c r="AK144" s="617"/>
      <c r="AL144" s="617"/>
      <c r="AM144" s="618"/>
      <c r="AN144" s="619" t="s">
        <v>487</v>
      </c>
      <c r="AO144" s="616" t="s">
        <v>491</v>
      </c>
      <c r="AP144" s="617"/>
      <c r="AQ144" s="617"/>
      <c r="AR144" s="618"/>
      <c r="AS144" s="619" t="s">
        <v>487</v>
      </c>
      <c r="AT144" s="616" t="s">
        <v>491</v>
      </c>
      <c r="AU144" s="617"/>
      <c r="AV144" s="617"/>
      <c r="AW144" s="618"/>
      <c r="AX144" s="619" t="s">
        <v>487</v>
      </c>
    </row>
    <row r="145" spans="2:50">
      <c r="B145" s="619"/>
      <c r="C145" s="619"/>
      <c r="D145" s="619"/>
      <c r="E145" s="619" t="s">
        <v>492</v>
      </c>
      <c r="F145" s="619"/>
      <c r="G145" s="619"/>
      <c r="H145" s="636"/>
      <c r="I145" s="603" t="s">
        <v>492</v>
      </c>
      <c r="J145" s="603"/>
      <c r="K145" s="603"/>
      <c r="L145" s="605"/>
      <c r="M145" s="611"/>
      <c r="N145" s="619"/>
      <c r="O145" s="619"/>
      <c r="P145" s="616" t="s">
        <v>493</v>
      </c>
      <c r="Q145" s="617"/>
      <c r="R145" s="617"/>
      <c r="S145" s="618"/>
      <c r="T145" s="619"/>
      <c r="U145" s="616" t="s">
        <v>493</v>
      </c>
      <c r="V145" s="617"/>
      <c r="W145" s="617"/>
      <c r="X145" s="618"/>
      <c r="Y145" s="619"/>
      <c r="Z145" s="616" t="s">
        <v>493</v>
      </c>
      <c r="AA145" s="617"/>
      <c r="AB145" s="617"/>
      <c r="AC145" s="618"/>
      <c r="AD145" s="619"/>
      <c r="AE145" s="616" t="s">
        <v>493</v>
      </c>
      <c r="AF145" s="617"/>
      <c r="AG145" s="617"/>
      <c r="AH145" s="618"/>
      <c r="AI145" s="619"/>
      <c r="AJ145" s="616" t="s">
        <v>493</v>
      </c>
      <c r="AK145" s="617"/>
      <c r="AL145" s="617"/>
      <c r="AM145" s="618"/>
      <c r="AN145" s="619"/>
      <c r="AO145" s="616" t="s">
        <v>493</v>
      </c>
      <c r="AP145" s="617"/>
      <c r="AQ145" s="617"/>
      <c r="AR145" s="618"/>
      <c r="AS145" s="619"/>
      <c r="AT145" s="616" t="s">
        <v>493</v>
      </c>
      <c r="AU145" s="617"/>
      <c r="AV145" s="617"/>
      <c r="AW145" s="618"/>
      <c r="AX145" s="619"/>
    </row>
    <row r="146" spans="2:50">
      <c r="B146" s="619"/>
      <c r="C146" s="619"/>
      <c r="D146" s="619"/>
      <c r="E146" s="307" t="s">
        <v>494</v>
      </c>
      <c r="F146" s="307" t="s">
        <v>495</v>
      </c>
      <c r="G146" s="307" t="s">
        <v>496</v>
      </c>
      <c r="H146" s="637"/>
      <c r="I146" s="308" t="s">
        <v>494</v>
      </c>
      <c r="J146" s="308" t="s">
        <v>495</v>
      </c>
      <c r="K146" s="308" t="s">
        <v>496</v>
      </c>
      <c r="L146" s="606"/>
      <c r="M146" s="612"/>
      <c r="N146" s="619"/>
      <c r="O146" s="619"/>
      <c r="P146" s="307" t="s">
        <v>494</v>
      </c>
      <c r="Q146" s="307" t="s">
        <v>495</v>
      </c>
      <c r="R146" s="307" t="s">
        <v>496</v>
      </c>
      <c r="S146" s="307" t="s">
        <v>489</v>
      </c>
      <c r="T146" s="619"/>
      <c r="U146" s="307" t="s">
        <v>494</v>
      </c>
      <c r="V146" s="307" t="s">
        <v>495</v>
      </c>
      <c r="W146" s="307" t="s">
        <v>496</v>
      </c>
      <c r="X146" s="307" t="s">
        <v>489</v>
      </c>
      <c r="Y146" s="619"/>
      <c r="Z146" s="307" t="s">
        <v>494</v>
      </c>
      <c r="AA146" s="307" t="s">
        <v>495</v>
      </c>
      <c r="AB146" s="307" t="s">
        <v>496</v>
      </c>
      <c r="AC146" s="307" t="s">
        <v>489</v>
      </c>
      <c r="AD146" s="619"/>
      <c r="AE146" s="307" t="s">
        <v>494</v>
      </c>
      <c r="AF146" s="307" t="s">
        <v>495</v>
      </c>
      <c r="AG146" s="307" t="s">
        <v>496</v>
      </c>
      <c r="AH146" s="307" t="s">
        <v>489</v>
      </c>
      <c r="AI146" s="619"/>
      <c r="AJ146" s="307" t="s">
        <v>494</v>
      </c>
      <c r="AK146" s="307" t="s">
        <v>495</v>
      </c>
      <c r="AL146" s="307" t="s">
        <v>496</v>
      </c>
      <c r="AM146" s="307" t="s">
        <v>489</v>
      </c>
      <c r="AN146" s="619"/>
      <c r="AO146" s="307" t="s">
        <v>494</v>
      </c>
      <c r="AP146" s="307" t="s">
        <v>495</v>
      </c>
      <c r="AQ146" s="307" t="s">
        <v>496</v>
      </c>
      <c r="AR146" s="307" t="s">
        <v>489</v>
      </c>
      <c r="AS146" s="619"/>
      <c r="AT146" s="307" t="s">
        <v>494</v>
      </c>
      <c r="AU146" s="307" t="s">
        <v>495</v>
      </c>
      <c r="AV146" s="307" t="s">
        <v>496</v>
      </c>
      <c r="AW146" s="307" t="s">
        <v>489</v>
      </c>
      <c r="AX146" s="619"/>
    </row>
    <row r="147" spans="2:50">
      <c r="B147" s="627" t="s">
        <v>150</v>
      </c>
      <c r="C147" s="306">
        <v>1</v>
      </c>
      <c r="D147" s="306"/>
      <c r="E147" s="306"/>
      <c r="F147" s="306"/>
      <c r="G147" s="306"/>
      <c r="H147" s="628" t="e">
        <f>AVERAGE(G147:G176)</f>
        <v>#DIV/0!</v>
      </c>
      <c r="I147" s="200" t="e">
        <f>AVERAGE(P147,U147,Z147,AE147,AJ147,AO147,AT147)</f>
        <v>#DIV/0!</v>
      </c>
      <c r="J147" s="200" t="e">
        <f>AVERAGE(Q147,V147,AA147,AF147,AK147,AP147,AU147)</f>
        <v>#DIV/0!</v>
      </c>
      <c r="K147" s="201" t="e">
        <f>AVERAGE(R147,W147,AB147,AG147,AL147,AQ147,AV147)</f>
        <v>#DIV/0!</v>
      </c>
      <c r="L147" s="600" t="str">
        <f>IFERROR(AVERAGE(K147:K176),"-")</f>
        <v>-</v>
      </c>
      <c r="M147" s="200" t="e">
        <f>RANK(K147, K$147:$K$176)</f>
        <v>#DIV/0!</v>
      </c>
      <c r="N147" s="619"/>
      <c r="O147" s="619"/>
      <c r="P147" s="183"/>
      <c r="Q147" s="183"/>
      <c r="R147" s="183"/>
      <c r="S147" s="306" t="e">
        <f>RANK(R147, R$147:R$176)</f>
        <v>#N/A</v>
      </c>
      <c r="T147" s="628" t="e">
        <f>AVERAGE(R147:R176)</f>
        <v>#DIV/0!</v>
      </c>
      <c r="U147" s="183"/>
      <c r="V147" s="183"/>
      <c r="W147" s="183"/>
      <c r="X147" s="520" t="e">
        <f t="shared" ref="X147:X162" si="72">RANK(W147, W$147:W$176)</f>
        <v>#N/A</v>
      </c>
      <c r="Y147" s="628" t="e">
        <f t="shared" ref="Y147" si="73">AVERAGE(W147:W176)</f>
        <v>#DIV/0!</v>
      </c>
      <c r="Z147" s="183"/>
      <c r="AA147" s="183"/>
      <c r="AB147" s="183"/>
      <c r="AC147" s="520" t="e">
        <f t="shared" ref="AC147:AC162" si="74">RANK(AB147, AB$147:AB$176)</f>
        <v>#N/A</v>
      </c>
      <c r="AD147" s="628" t="e">
        <f t="shared" ref="AD147" si="75">AVERAGE(AB147:AB176)</f>
        <v>#DIV/0!</v>
      </c>
      <c r="AE147" s="183"/>
      <c r="AF147" s="183"/>
      <c r="AG147" s="183"/>
      <c r="AH147" s="520" t="e">
        <f t="shared" ref="AH147:AH162" si="76">RANK(AG147, AG$147:AG$176)</f>
        <v>#N/A</v>
      </c>
      <c r="AI147" s="628" t="e">
        <f t="shared" ref="AI147" si="77">AVERAGE(AG147:AG176)</f>
        <v>#DIV/0!</v>
      </c>
      <c r="AJ147" s="183"/>
      <c r="AK147" s="183"/>
      <c r="AL147" s="183"/>
      <c r="AM147" s="520" t="e">
        <f t="shared" ref="AM147:AM162" si="78">RANK(AL147, AL$147:AL$176)</f>
        <v>#N/A</v>
      </c>
      <c r="AN147" s="628" t="e">
        <f t="shared" ref="AN147" si="79">AVERAGE(AL147:AL176)</f>
        <v>#DIV/0!</v>
      </c>
      <c r="AO147" s="183"/>
      <c r="AP147" s="183"/>
      <c r="AQ147" s="183"/>
      <c r="AR147" s="520" t="e">
        <f t="shared" ref="AR147:AR162" si="80">RANK(AQ147, AQ$147:AQ$176)</f>
        <v>#N/A</v>
      </c>
      <c r="AS147" s="628" t="e">
        <f t="shared" ref="AS147" si="81">AVERAGE(AQ147:AQ176)</f>
        <v>#DIV/0!</v>
      </c>
      <c r="AT147" s="183"/>
      <c r="AU147" s="183"/>
      <c r="AV147" s="183"/>
      <c r="AW147" s="520" t="e">
        <f t="shared" ref="AW147:AW162" si="82">RANK(AV147, AV$147:AV$176)</f>
        <v>#N/A</v>
      </c>
      <c r="AX147" s="628" t="e">
        <f t="shared" ref="AX147" si="83">AVERAGE(AV147:AV176)</f>
        <v>#DIV/0!</v>
      </c>
    </row>
    <row r="148" spans="2:50">
      <c r="B148" s="627"/>
      <c r="C148" s="306">
        <v>2</v>
      </c>
      <c r="D148" s="306"/>
      <c r="E148" s="306"/>
      <c r="F148" s="306"/>
      <c r="G148" s="306"/>
      <c r="H148" s="629"/>
      <c r="I148" s="200" t="e">
        <f t="shared" ref="I148:I156" si="84">AVERAGE(P148,U148,Z148,AE148,AJ148,AO148,AT148)</f>
        <v>#DIV/0!</v>
      </c>
      <c r="J148" s="200" t="e">
        <f t="shared" ref="J148:J156" si="85">AVERAGE(Q148,V148,AA148,AF148,AK148,AP148,AU148)</f>
        <v>#DIV/0!</v>
      </c>
      <c r="K148" s="201" t="e">
        <f t="shared" ref="K148:K156" si="86">AVERAGE(R148,W148,AB148,AG148,AL148,AQ148,AV148)</f>
        <v>#DIV/0!</v>
      </c>
      <c r="L148" s="601"/>
      <c r="M148" s="200" t="e">
        <f>RANK(K148, K$147:$K$176)</f>
        <v>#DIV/0!</v>
      </c>
      <c r="N148" s="619"/>
      <c r="O148" s="619"/>
      <c r="P148" s="183"/>
      <c r="Q148" s="183"/>
      <c r="R148" s="183"/>
      <c r="S148" s="306" t="e">
        <f t="shared" ref="S148:S176" si="87">RANK(R148, R$147:R$176)</f>
        <v>#N/A</v>
      </c>
      <c r="T148" s="629"/>
      <c r="U148" s="183"/>
      <c r="V148" s="183"/>
      <c r="W148" s="183"/>
      <c r="X148" s="520" t="e">
        <f t="shared" si="72"/>
        <v>#N/A</v>
      </c>
      <c r="Y148" s="629"/>
      <c r="Z148" s="183"/>
      <c r="AA148" s="183"/>
      <c r="AB148" s="183"/>
      <c r="AC148" s="520" t="e">
        <f t="shared" si="74"/>
        <v>#N/A</v>
      </c>
      <c r="AD148" s="629"/>
      <c r="AE148" s="183"/>
      <c r="AF148" s="183"/>
      <c r="AG148" s="183"/>
      <c r="AH148" s="520" t="e">
        <f t="shared" si="76"/>
        <v>#N/A</v>
      </c>
      <c r="AI148" s="629"/>
      <c r="AJ148" s="183"/>
      <c r="AK148" s="183"/>
      <c r="AL148" s="183"/>
      <c r="AM148" s="520" t="e">
        <f t="shared" si="78"/>
        <v>#N/A</v>
      </c>
      <c r="AN148" s="629"/>
      <c r="AO148" s="183"/>
      <c r="AP148" s="183"/>
      <c r="AQ148" s="183"/>
      <c r="AR148" s="520" t="e">
        <f t="shared" si="80"/>
        <v>#N/A</v>
      </c>
      <c r="AS148" s="629"/>
      <c r="AT148" s="183"/>
      <c r="AU148" s="183"/>
      <c r="AV148" s="183"/>
      <c r="AW148" s="520" t="e">
        <f t="shared" si="82"/>
        <v>#N/A</v>
      </c>
      <c r="AX148" s="629"/>
    </row>
    <row r="149" spans="2:50">
      <c r="B149" s="627"/>
      <c r="C149" s="306">
        <v>3</v>
      </c>
      <c r="D149" s="306"/>
      <c r="E149" s="306"/>
      <c r="F149" s="306"/>
      <c r="G149" s="306"/>
      <c r="H149" s="629"/>
      <c r="I149" s="200" t="e">
        <f t="shared" si="84"/>
        <v>#DIV/0!</v>
      </c>
      <c r="J149" s="200" t="e">
        <f t="shared" si="85"/>
        <v>#DIV/0!</v>
      </c>
      <c r="K149" s="201" t="e">
        <f t="shared" si="86"/>
        <v>#DIV/0!</v>
      </c>
      <c r="L149" s="601"/>
      <c r="M149" s="200" t="e">
        <f>RANK(K149, K$147:$K$176)</f>
        <v>#DIV/0!</v>
      </c>
      <c r="N149" s="619"/>
      <c r="O149" s="619"/>
      <c r="P149" s="183"/>
      <c r="Q149" s="183"/>
      <c r="R149" s="183"/>
      <c r="S149" s="306" t="e">
        <f t="shared" si="87"/>
        <v>#N/A</v>
      </c>
      <c r="T149" s="629"/>
      <c r="U149" s="183"/>
      <c r="V149" s="183"/>
      <c r="W149" s="183"/>
      <c r="X149" s="520" t="e">
        <f t="shared" si="72"/>
        <v>#N/A</v>
      </c>
      <c r="Y149" s="629"/>
      <c r="Z149" s="183"/>
      <c r="AA149" s="183"/>
      <c r="AB149" s="183"/>
      <c r="AC149" s="520" t="e">
        <f t="shared" si="74"/>
        <v>#N/A</v>
      </c>
      <c r="AD149" s="629"/>
      <c r="AE149" s="183"/>
      <c r="AF149" s="183"/>
      <c r="AG149" s="183"/>
      <c r="AH149" s="520" t="e">
        <f t="shared" si="76"/>
        <v>#N/A</v>
      </c>
      <c r="AI149" s="629"/>
      <c r="AJ149" s="183"/>
      <c r="AK149" s="183"/>
      <c r="AL149" s="183"/>
      <c r="AM149" s="520" t="e">
        <f t="shared" si="78"/>
        <v>#N/A</v>
      </c>
      <c r="AN149" s="629"/>
      <c r="AO149" s="183"/>
      <c r="AP149" s="183"/>
      <c r="AQ149" s="183"/>
      <c r="AR149" s="520" t="e">
        <f t="shared" si="80"/>
        <v>#N/A</v>
      </c>
      <c r="AS149" s="629"/>
      <c r="AT149" s="183"/>
      <c r="AU149" s="183"/>
      <c r="AV149" s="183"/>
      <c r="AW149" s="520" t="e">
        <f t="shared" si="82"/>
        <v>#N/A</v>
      </c>
      <c r="AX149" s="629"/>
    </row>
    <row r="150" spans="2:50">
      <c r="B150" s="627"/>
      <c r="C150" s="306">
        <v>4</v>
      </c>
      <c r="D150" s="306"/>
      <c r="E150" s="306"/>
      <c r="F150" s="306"/>
      <c r="G150" s="306"/>
      <c r="H150" s="629"/>
      <c r="I150" s="200" t="e">
        <f t="shared" si="84"/>
        <v>#DIV/0!</v>
      </c>
      <c r="J150" s="200" t="e">
        <f t="shared" si="85"/>
        <v>#DIV/0!</v>
      </c>
      <c r="K150" s="201" t="e">
        <f t="shared" si="86"/>
        <v>#DIV/0!</v>
      </c>
      <c r="L150" s="601"/>
      <c r="M150" s="200" t="e">
        <f>RANK(K150, K$147:$K$176)</f>
        <v>#DIV/0!</v>
      </c>
      <c r="N150" s="619"/>
      <c r="O150" s="619"/>
      <c r="P150" s="183"/>
      <c r="Q150" s="183"/>
      <c r="R150" s="183"/>
      <c r="S150" s="306" t="e">
        <f t="shared" si="87"/>
        <v>#N/A</v>
      </c>
      <c r="T150" s="629"/>
      <c r="U150" s="183"/>
      <c r="V150" s="183"/>
      <c r="W150" s="183"/>
      <c r="X150" s="520" t="e">
        <f t="shared" si="72"/>
        <v>#N/A</v>
      </c>
      <c r="Y150" s="629"/>
      <c r="Z150" s="183"/>
      <c r="AA150" s="183"/>
      <c r="AB150" s="183"/>
      <c r="AC150" s="520" t="e">
        <f t="shared" si="74"/>
        <v>#N/A</v>
      </c>
      <c r="AD150" s="629"/>
      <c r="AE150" s="183"/>
      <c r="AF150" s="183"/>
      <c r="AG150" s="183"/>
      <c r="AH150" s="520" t="e">
        <f t="shared" si="76"/>
        <v>#N/A</v>
      </c>
      <c r="AI150" s="629"/>
      <c r="AJ150" s="183"/>
      <c r="AK150" s="183"/>
      <c r="AL150" s="183"/>
      <c r="AM150" s="520" t="e">
        <f t="shared" si="78"/>
        <v>#N/A</v>
      </c>
      <c r="AN150" s="629"/>
      <c r="AO150" s="183"/>
      <c r="AP150" s="183"/>
      <c r="AQ150" s="183"/>
      <c r="AR150" s="520" t="e">
        <f t="shared" si="80"/>
        <v>#N/A</v>
      </c>
      <c r="AS150" s="629"/>
      <c r="AT150" s="183"/>
      <c r="AU150" s="183"/>
      <c r="AV150" s="183"/>
      <c r="AW150" s="520" t="e">
        <f t="shared" si="82"/>
        <v>#N/A</v>
      </c>
      <c r="AX150" s="629"/>
    </row>
    <row r="151" spans="2:50">
      <c r="B151" s="627"/>
      <c r="C151" s="306">
        <v>5</v>
      </c>
      <c r="D151" s="306"/>
      <c r="E151" s="306"/>
      <c r="F151" s="306"/>
      <c r="G151" s="306"/>
      <c r="H151" s="629"/>
      <c r="I151" s="200" t="e">
        <f t="shared" si="84"/>
        <v>#DIV/0!</v>
      </c>
      <c r="J151" s="200" t="e">
        <f t="shared" si="85"/>
        <v>#DIV/0!</v>
      </c>
      <c r="K151" s="201" t="e">
        <f t="shared" si="86"/>
        <v>#DIV/0!</v>
      </c>
      <c r="L151" s="601"/>
      <c r="M151" s="200" t="e">
        <f>RANK(K151, K$147:$K$176)</f>
        <v>#DIV/0!</v>
      </c>
      <c r="N151" s="619"/>
      <c r="O151" s="619"/>
      <c r="P151" s="183"/>
      <c r="Q151" s="183"/>
      <c r="R151" s="183"/>
      <c r="S151" s="306" t="e">
        <f t="shared" si="87"/>
        <v>#N/A</v>
      </c>
      <c r="T151" s="629"/>
      <c r="U151" s="183"/>
      <c r="V151" s="183"/>
      <c r="W151" s="183"/>
      <c r="X151" s="520" t="e">
        <f t="shared" si="72"/>
        <v>#N/A</v>
      </c>
      <c r="Y151" s="629"/>
      <c r="Z151" s="183"/>
      <c r="AA151" s="183"/>
      <c r="AB151" s="183"/>
      <c r="AC151" s="520" t="e">
        <f t="shared" si="74"/>
        <v>#N/A</v>
      </c>
      <c r="AD151" s="629"/>
      <c r="AE151" s="183"/>
      <c r="AF151" s="183"/>
      <c r="AG151" s="183"/>
      <c r="AH151" s="520" t="e">
        <f t="shared" si="76"/>
        <v>#N/A</v>
      </c>
      <c r="AI151" s="629"/>
      <c r="AJ151" s="183"/>
      <c r="AK151" s="183"/>
      <c r="AL151" s="183"/>
      <c r="AM151" s="520" t="e">
        <f t="shared" si="78"/>
        <v>#N/A</v>
      </c>
      <c r="AN151" s="629"/>
      <c r="AO151" s="183"/>
      <c r="AP151" s="183"/>
      <c r="AQ151" s="183"/>
      <c r="AR151" s="520" t="e">
        <f t="shared" si="80"/>
        <v>#N/A</v>
      </c>
      <c r="AS151" s="629"/>
      <c r="AT151" s="183"/>
      <c r="AU151" s="183"/>
      <c r="AV151" s="183"/>
      <c r="AW151" s="520" t="e">
        <f t="shared" si="82"/>
        <v>#N/A</v>
      </c>
      <c r="AX151" s="629"/>
    </row>
    <row r="152" spans="2:50">
      <c r="B152" s="627"/>
      <c r="C152" s="306">
        <v>6</v>
      </c>
      <c r="D152" s="306"/>
      <c r="E152" s="306"/>
      <c r="F152" s="306"/>
      <c r="G152" s="306"/>
      <c r="H152" s="629"/>
      <c r="I152" s="200" t="e">
        <f t="shared" si="84"/>
        <v>#DIV/0!</v>
      </c>
      <c r="J152" s="200" t="e">
        <f t="shared" si="85"/>
        <v>#DIV/0!</v>
      </c>
      <c r="K152" s="201" t="e">
        <f t="shared" si="86"/>
        <v>#DIV/0!</v>
      </c>
      <c r="L152" s="601"/>
      <c r="M152" s="200" t="e">
        <f>RANK(K152, K$147:$K$176)</f>
        <v>#DIV/0!</v>
      </c>
      <c r="N152" s="619"/>
      <c r="O152" s="619"/>
      <c r="P152" s="183"/>
      <c r="Q152" s="183"/>
      <c r="R152" s="183"/>
      <c r="S152" s="306" t="e">
        <f t="shared" si="87"/>
        <v>#N/A</v>
      </c>
      <c r="T152" s="629"/>
      <c r="U152" s="183"/>
      <c r="V152" s="183"/>
      <c r="W152" s="183"/>
      <c r="X152" s="520" t="e">
        <f t="shared" si="72"/>
        <v>#N/A</v>
      </c>
      <c r="Y152" s="629"/>
      <c r="Z152" s="183"/>
      <c r="AA152" s="183"/>
      <c r="AB152" s="183"/>
      <c r="AC152" s="520" t="e">
        <f t="shared" si="74"/>
        <v>#N/A</v>
      </c>
      <c r="AD152" s="629"/>
      <c r="AE152" s="183"/>
      <c r="AF152" s="183"/>
      <c r="AG152" s="183"/>
      <c r="AH152" s="520" t="e">
        <f t="shared" si="76"/>
        <v>#N/A</v>
      </c>
      <c r="AI152" s="629"/>
      <c r="AJ152" s="183"/>
      <c r="AK152" s="183"/>
      <c r="AL152" s="183"/>
      <c r="AM152" s="520" t="e">
        <f t="shared" si="78"/>
        <v>#N/A</v>
      </c>
      <c r="AN152" s="629"/>
      <c r="AO152" s="183"/>
      <c r="AP152" s="183"/>
      <c r="AQ152" s="183"/>
      <c r="AR152" s="520" t="e">
        <f t="shared" si="80"/>
        <v>#N/A</v>
      </c>
      <c r="AS152" s="629"/>
      <c r="AT152" s="183"/>
      <c r="AU152" s="183"/>
      <c r="AV152" s="183"/>
      <c r="AW152" s="520" t="e">
        <f t="shared" si="82"/>
        <v>#N/A</v>
      </c>
      <c r="AX152" s="629"/>
    </row>
    <row r="153" spans="2:50">
      <c r="B153" s="627"/>
      <c r="C153" s="306">
        <v>7</v>
      </c>
      <c r="D153" s="306"/>
      <c r="E153" s="306"/>
      <c r="F153" s="306"/>
      <c r="G153" s="306"/>
      <c r="H153" s="629"/>
      <c r="I153" s="200" t="e">
        <f t="shared" si="84"/>
        <v>#DIV/0!</v>
      </c>
      <c r="J153" s="200" t="e">
        <f t="shared" si="85"/>
        <v>#DIV/0!</v>
      </c>
      <c r="K153" s="201" t="e">
        <f t="shared" si="86"/>
        <v>#DIV/0!</v>
      </c>
      <c r="L153" s="601"/>
      <c r="M153" s="200" t="e">
        <f>RANK(K153, K$147:$K$176)</f>
        <v>#DIV/0!</v>
      </c>
      <c r="N153" s="619"/>
      <c r="O153" s="619"/>
      <c r="P153" s="183"/>
      <c r="Q153" s="183"/>
      <c r="R153" s="183"/>
      <c r="S153" s="306" t="e">
        <f t="shared" si="87"/>
        <v>#N/A</v>
      </c>
      <c r="T153" s="629"/>
      <c r="U153" s="183"/>
      <c r="V153" s="183"/>
      <c r="W153" s="183"/>
      <c r="X153" s="520" t="e">
        <f t="shared" si="72"/>
        <v>#N/A</v>
      </c>
      <c r="Y153" s="629"/>
      <c r="Z153" s="183"/>
      <c r="AA153" s="183"/>
      <c r="AB153" s="183"/>
      <c r="AC153" s="520" t="e">
        <f t="shared" si="74"/>
        <v>#N/A</v>
      </c>
      <c r="AD153" s="629"/>
      <c r="AE153" s="183"/>
      <c r="AF153" s="183"/>
      <c r="AG153" s="183"/>
      <c r="AH153" s="520" t="e">
        <f t="shared" si="76"/>
        <v>#N/A</v>
      </c>
      <c r="AI153" s="629"/>
      <c r="AJ153" s="183"/>
      <c r="AK153" s="183"/>
      <c r="AL153" s="183"/>
      <c r="AM153" s="520" t="e">
        <f t="shared" si="78"/>
        <v>#N/A</v>
      </c>
      <c r="AN153" s="629"/>
      <c r="AO153" s="183"/>
      <c r="AP153" s="183"/>
      <c r="AQ153" s="183"/>
      <c r="AR153" s="520" t="e">
        <f t="shared" si="80"/>
        <v>#N/A</v>
      </c>
      <c r="AS153" s="629"/>
      <c r="AT153" s="183"/>
      <c r="AU153" s="183"/>
      <c r="AV153" s="183"/>
      <c r="AW153" s="520" t="e">
        <f t="shared" si="82"/>
        <v>#N/A</v>
      </c>
      <c r="AX153" s="629"/>
    </row>
    <row r="154" spans="2:50">
      <c r="B154" s="627"/>
      <c r="C154" s="306">
        <v>8</v>
      </c>
      <c r="D154" s="306"/>
      <c r="E154" s="306"/>
      <c r="F154" s="306"/>
      <c r="G154" s="306"/>
      <c r="H154" s="629"/>
      <c r="I154" s="200" t="e">
        <f t="shared" si="84"/>
        <v>#DIV/0!</v>
      </c>
      <c r="J154" s="200" t="e">
        <f t="shared" si="85"/>
        <v>#DIV/0!</v>
      </c>
      <c r="K154" s="201" t="e">
        <f t="shared" si="86"/>
        <v>#DIV/0!</v>
      </c>
      <c r="L154" s="601"/>
      <c r="M154" s="200" t="e">
        <f>RANK(K154, K$147:$K$176)</f>
        <v>#DIV/0!</v>
      </c>
      <c r="N154" s="619"/>
      <c r="O154" s="619"/>
      <c r="P154" s="183"/>
      <c r="Q154" s="183"/>
      <c r="R154" s="183"/>
      <c r="S154" s="306" t="e">
        <f t="shared" si="87"/>
        <v>#N/A</v>
      </c>
      <c r="T154" s="629"/>
      <c r="U154" s="183"/>
      <c r="V154" s="183"/>
      <c r="W154" s="183"/>
      <c r="X154" s="520" t="e">
        <f t="shared" si="72"/>
        <v>#N/A</v>
      </c>
      <c r="Y154" s="629"/>
      <c r="Z154" s="183"/>
      <c r="AA154" s="183"/>
      <c r="AB154" s="183"/>
      <c r="AC154" s="520" t="e">
        <f t="shared" si="74"/>
        <v>#N/A</v>
      </c>
      <c r="AD154" s="629"/>
      <c r="AE154" s="183"/>
      <c r="AF154" s="183"/>
      <c r="AG154" s="183"/>
      <c r="AH154" s="520" t="e">
        <f t="shared" si="76"/>
        <v>#N/A</v>
      </c>
      <c r="AI154" s="629"/>
      <c r="AJ154" s="183"/>
      <c r="AK154" s="183"/>
      <c r="AL154" s="183"/>
      <c r="AM154" s="520" t="e">
        <f t="shared" si="78"/>
        <v>#N/A</v>
      </c>
      <c r="AN154" s="629"/>
      <c r="AO154" s="183"/>
      <c r="AP154" s="183"/>
      <c r="AQ154" s="183"/>
      <c r="AR154" s="520" t="e">
        <f t="shared" si="80"/>
        <v>#N/A</v>
      </c>
      <c r="AS154" s="629"/>
      <c r="AT154" s="183"/>
      <c r="AU154" s="183"/>
      <c r="AV154" s="183"/>
      <c r="AW154" s="520" t="e">
        <f t="shared" si="82"/>
        <v>#N/A</v>
      </c>
      <c r="AX154" s="629"/>
    </row>
    <row r="155" spans="2:50">
      <c r="B155" s="627"/>
      <c r="C155" s="306">
        <v>9</v>
      </c>
      <c r="D155" s="306"/>
      <c r="E155" s="306"/>
      <c r="F155" s="306"/>
      <c r="G155" s="306"/>
      <c r="H155" s="629"/>
      <c r="I155" s="200" t="e">
        <f t="shared" si="84"/>
        <v>#DIV/0!</v>
      </c>
      <c r="J155" s="200" t="e">
        <f t="shared" si="85"/>
        <v>#DIV/0!</v>
      </c>
      <c r="K155" s="201" t="e">
        <f t="shared" si="86"/>
        <v>#DIV/0!</v>
      </c>
      <c r="L155" s="601"/>
      <c r="M155" s="200" t="e">
        <f>RANK(K155, K$147:$K$176)</f>
        <v>#DIV/0!</v>
      </c>
      <c r="N155" s="619"/>
      <c r="O155" s="619"/>
      <c r="P155" s="183"/>
      <c r="Q155" s="183"/>
      <c r="R155" s="183"/>
      <c r="S155" s="306" t="e">
        <f t="shared" si="87"/>
        <v>#N/A</v>
      </c>
      <c r="T155" s="629"/>
      <c r="U155" s="183"/>
      <c r="V155" s="183"/>
      <c r="W155" s="183"/>
      <c r="X155" s="520" t="e">
        <f t="shared" si="72"/>
        <v>#N/A</v>
      </c>
      <c r="Y155" s="629"/>
      <c r="Z155" s="183"/>
      <c r="AA155" s="183"/>
      <c r="AB155" s="183"/>
      <c r="AC155" s="520" t="e">
        <f t="shared" si="74"/>
        <v>#N/A</v>
      </c>
      <c r="AD155" s="629"/>
      <c r="AE155" s="183"/>
      <c r="AF155" s="183"/>
      <c r="AG155" s="183"/>
      <c r="AH155" s="520" t="e">
        <f t="shared" si="76"/>
        <v>#N/A</v>
      </c>
      <c r="AI155" s="629"/>
      <c r="AJ155" s="183"/>
      <c r="AK155" s="183"/>
      <c r="AL155" s="183"/>
      <c r="AM155" s="520" t="e">
        <f t="shared" si="78"/>
        <v>#N/A</v>
      </c>
      <c r="AN155" s="629"/>
      <c r="AO155" s="183"/>
      <c r="AP155" s="183"/>
      <c r="AQ155" s="183"/>
      <c r="AR155" s="520" t="e">
        <f t="shared" si="80"/>
        <v>#N/A</v>
      </c>
      <c r="AS155" s="629"/>
      <c r="AT155" s="183"/>
      <c r="AU155" s="183"/>
      <c r="AV155" s="183"/>
      <c r="AW155" s="520" t="e">
        <f t="shared" si="82"/>
        <v>#N/A</v>
      </c>
      <c r="AX155" s="629"/>
    </row>
    <row r="156" spans="2:50">
      <c r="B156" s="627"/>
      <c r="C156" s="306">
        <v>10</v>
      </c>
      <c r="D156" s="306"/>
      <c r="E156" s="306"/>
      <c r="F156" s="306"/>
      <c r="G156" s="306"/>
      <c r="H156" s="629"/>
      <c r="I156" s="200" t="e">
        <f t="shared" si="84"/>
        <v>#DIV/0!</v>
      </c>
      <c r="J156" s="200" t="e">
        <f t="shared" si="85"/>
        <v>#DIV/0!</v>
      </c>
      <c r="K156" s="201" t="e">
        <f t="shared" si="86"/>
        <v>#DIV/0!</v>
      </c>
      <c r="L156" s="601"/>
      <c r="M156" s="200" t="e">
        <f>RANK(K156, K$147:$K$176)</f>
        <v>#DIV/0!</v>
      </c>
      <c r="N156" s="619"/>
      <c r="O156" s="619"/>
      <c r="P156" s="183"/>
      <c r="Q156" s="183"/>
      <c r="R156" s="183"/>
      <c r="S156" s="306" t="e">
        <f t="shared" si="87"/>
        <v>#N/A</v>
      </c>
      <c r="T156" s="629"/>
      <c r="U156" s="183"/>
      <c r="V156" s="183"/>
      <c r="W156" s="183"/>
      <c r="X156" s="520" t="e">
        <f t="shared" si="72"/>
        <v>#N/A</v>
      </c>
      <c r="Y156" s="629"/>
      <c r="Z156" s="183"/>
      <c r="AA156" s="183"/>
      <c r="AB156" s="183"/>
      <c r="AC156" s="520" t="e">
        <f t="shared" si="74"/>
        <v>#N/A</v>
      </c>
      <c r="AD156" s="629"/>
      <c r="AE156" s="183"/>
      <c r="AF156" s="183"/>
      <c r="AG156" s="183"/>
      <c r="AH156" s="520" t="e">
        <f t="shared" si="76"/>
        <v>#N/A</v>
      </c>
      <c r="AI156" s="629"/>
      <c r="AJ156" s="183"/>
      <c r="AK156" s="183"/>
      <c r="AL156" s="183"/>
      <c r="AM156" s="520" t="e">
        <f t="shared" si="78"/>
        <v>#N/A</v>
      </c>
      <c r="AN156" s="629"/>
      <c r="AO156" s="183"/>
      <c r="AP156" s="183"/>
      <c r="AQ156" s="183"/>
      <c r="AR156" s="520" t="e">
        <f t="shared" si="80"/>
        <v>#N/A</v>
      </c>
      <c r="AS156" s="629"/>
      <c r="AT156" s="183"/>
      <c r="AU156" s="183"/>
      <c r="AV156" s="183"/>
      <c r="AW156" s="520" t="e">
        <f t="shared" si="82"/>
        <v>#N/A</v>
      </c>
      <c r="AX156" s="629"/>
    </row>
    <row r="157" spans="2:50">
      <c r="B157" s="627"/>
      <c r="C157" s="306">
        <v>11</v>
      </c>
      <c r="D157" s="306"/>
      <c r="E157" s="306"/>
      <c r="F157" s="306"/>
      <c r="G157" s="306"/>
      <c r="H157" s="629"/>
      <c r="I157" s="200" t="e">
        <f t="shared" ref="I157:I166" si="88">AVERAGE(P157,U157,Z157,AE157,AJ157,AO157,AT157)</f>
        <v>#DIV/0!</v>
      </c>
      <c r="J157" s="200" t="e">
        <f t="shared" ref="J157:J166" si="89">AVERAGE(Q157,V157,AA157,AF157,AK157,AP157,AU157)</f>
        <v>#DIV/0!</v>
      </c>
      <c r="K157" s="201" t="e">
        <f t="shared" ref="K157:K166" si="90">AVERAGE(R157,W157,AB157,AG157,AL157,AQ157,AV157)</f>
        <v>#DIV/0!</v>
      </c>
      <c r="L157" s="601"/>
      <c r="M157" s="200" t="e">
        <f>RANK(K157, K$147:$K$176)</f>
        <v>#DIV/0!</v>
      </c>
      <c r="N157" s="619"/>
      <c r="O157" s="619"/>
      <c r="P157" s="183"/>
      <c r="Q157" s="183"/>
      <c r="R157" s="183"/>
      <c r="S157" s="306" t="e">
        <f t="shared" si="87"/>
        <v>#N/A</v>
      </c>
      <c r="T157" s="629"/>
      <c r="U157" s="183"/>
      <c r="V157" s="183"/>
      <c r="W157" s="183"/>
      <c r="X157" s="520" t="e">
        <f t="shared" si="72"/>
        <v>#N/A</v>
      </c>
      <c r="Y157" s="629"/>
      <c r="Z157" s="183"/>
      <c r="AA157" s="183"/>
      <c r="AB157" s="183"/>
      <c r="AC157" s="520" t="e">
        <f t="shared" si="74"/>
        <v>#N/A</v>
      </c>
      <c r="AD157" s="629"/>
      <c r="AE157" s="183"/>
      <c r="AF157" s="183"/>
      <c r="AG157" s="183"/>
      <c r="AH157" s="520" t="e">
        <f t="shared" si="76"/>
        <v>#N/A</v>
      </c>
      <c r="AI157" s="629"/>
      <c r="AJ157" s="183"/>
      <c r="AK157" s="183"/>
      <c r="AL157" s="183"/>
      <c r="AM157" s="520" t="e">
        <f t="shared" si="78"/>
        <v>#N/A</v>
      </c>
      <c r="AN157" s="629"/>
      <c r="AO157" s="183"/>
      <c r="AP157" s="183"/>
      <c r="AQ157" s="183"/>
      <c r="AR157" s="520" t="e">
        <f t="shared" si="80"/>
        <v>#N/A</v>
      </c>
      <c r="AS157" s="629"/>
      <c r="AT157" s="183"/>
      <c r="AU157" s="183"/>
      <c r="AV157" s="183"/>
      <c r="AW157" s="520" t="e">
        <f t="shared" si="82"/>
        <v>#N/A</v>
      </c>
      <c r="AX157" s="629"/>
    </row>
    <row r="158" spans="2:50">
      <c r="B158" s="627"/>
      <c r="C158" s="306">
        <v>12</v>
      </c>
      <c r="D158" s="306"/>
      <c r="E158" s="306"/>
      <c r="F158" s="306"/>
      <c r="G158" s="306"/>
      <c r="H158" s="629"/>
      <c r="I158" s="200" t="e">
        <f t="shared" si="88"/>
        <v>#DIV/0!</v>
      </c>
      <c r="J158" s="200" t="e">
        <f t="shared" si="89"/>
        <v>#DIV/0!</v>
      </c>
      <c r="K158" s="201" t="e">
        <f t="shared" si="90"/>
        <v>#DIV/0!</v>
      </c>
      <c r="L158" s="601"/>
      <c r="M158" s="200" t="e">
        <f>RANK(K158, K$147:$K$176)</f>
        <v>#DIV/0!</v>
      </c>
      <c r="N158" s="619"/>
      <c r="O158" s="619"/>
      <c r="P158" s="183"/>
      <c r="Q158" s="183"/>
      <c r="R158" s="183"/>
      <c r="S158" s="306" t="e">
        <f t="shared" si="87"/>
        <v>#N/A</v>
      </c>
      <c r="T158" s="629"/>
      <c r="U158" s="183"/>
      <c r="V158" s="183"/>
      <c r="W158" s="183"/>
      <c r="X158" s="520" t="e">
        <f t="shared" si="72"/>
        <v>#N/A</v>
      </c>
      <c r="Y158" s="629"/>
      <c r="Z158" s="183"/>
      <c r="AA158" s="183"/>
      <c r="AB158" s="183"/>
      <c r="AC158" s="520" t="e">
        <f t="shared" si="74"/>
        <v>#N/A</v>
      </c>
      <c r="AD158" s="629"/>
      <c r="AE158" s="183"/>
      <c r="AF158" s="183"/>
      <c r="AG158" s="183"/>
      <c r="AH158" s="520" t="e">
        <f t="shared" si="76"/>
        <v>#N/A</v>
      </c>
      <c r="AI158" s="629"/>
      <c r="AJ158" s="183"/>
      <c r="AK158" s="183"/>
      <c r="AL158" s="183"/>
      <c r="AM158" s="520" t="e">
        <f t="shared" si="78"/>
        <v>#N/A</v>
      </c>
      <c r="AN158" s="629"/>
      <c r="AO158" s="183"/>
      <c r="AP158" s="183"/>
      <c r="AQ158" s="183"/>
      <c r="AR158" s="520" t="e">
        <f t="shared" si="80"/>
        <v>#N/A</v>
      </c>
      <c r="AS158" s="629"/>
      <c r="AT158" s="183"/>
      <c r="AU158" s="183"/>
      <c r="AV158" s="183"/>
      <c r="AW158" s="520" t="e">
        <f t="shared" si="82"/>
        <v>#N/A</v>
      </c>
      <c r="AX158" s="629"/>
    </row>
    <row r="159" spans="2:50">
      <c r="B159" s="627"/>
      <c r="C159" s="306">
        <v>13</v>
      </c>
      <c r="D159" s="306"/>
      <c r="E159" s="306"/>
      <c r="F159" s="306"/>
      <c r="G159" s="306"/>
      <c r="H159" s="629"/>
      <c r="I159" s="200" t="e">
        <f t="shared" si="88"/>
        <v>#DIV/0!</v>
      </c>
      <c r="J159" s="200" t="e">
        <f t="shared" si="89"/>
        <v>#DIV/0!</v>
      </c>
      <c r="K159" s="201" t="e">
        <f t="shared" si="90"/>
        <v>#DIV/0!</v>
      </c>
      <c r="L159" s="601"/>
      <c r="M159" s="200" t="e">
        <f>RANK(K159, K$147:$K$176)</f>
        <v>#DIV/0!</v>
      </c>
      <c r="N159" s="619"/>
      <c r="O159" s="619"/>
      <c r="P159" s="183"/>
      <c r="Q159" s="183"/>
      <c r="R159" s="183"/>
      <c r="S159" s="306" t="e">
        <f t="shared" si="87"/>
        <v>#N/A</v>
      </c>
      <c r="T159" s="629"/>
      <c r="U159" s="183"/>
      <c r="V159" s="183"/>
      <c r="W159" s="183"/>
      <c r="X159" s="520" t="e">
        <f t="shared" si="72"/>
        <v>#N/A</v>
      </c>
      <c r="Y159" s="629"/>
      <c r="Z159" s="183"/>
      <c r="AA159" s="183"/>
      <c r="AB159" s="183"/>
      <c r="AC159" s="520" t="e">
        <f t="shared" si="74"/>
        <v>#N/A</v>
      </c>
      <c r="AD159" s="629"/>
      <c r="AE159" s="183"/>
      <c r="AF159" s="183"/>
      <c r="AG159" s="183"/>
      <c r="AH159" s="520" t="e">
        <f t="shared" si="76"/>
        <v>#N/A</v>
      </c>
      <c r="AI159" s="629"/>
      <c r="AJ159" s="183"/>
      <c r="AK159" s="183"/>
      <c r="AL159" s="183"/>
      <c r="AM159" s="520" t="e">
        <f t="shared" si="78"/>
        <v>#N/A</v>
      </c>
      <c r="AN159" s="629"/>
      <c r="AO159" s="183"/>
      <c r="AP159" s="183"/>
      <c r="AQ159" s="183"/>
      <c r="AR159" s="520" t="e">
        <f t="shared" si="80"/>
        <v>#N/A</v>
      </c>
      <c r="AS159" s="629"/>
      <c r="AT159" s="183"/>
      <c r="AU159" s="183"/>
      <c r="AV159" s="183"/>
      <c r="AW159" s="520" t="e">
        <f t="shared" si="82"/>
        <v>#N/A</v>
      </c>
      <c r="AX159" s="629"/>
    </row>
    <row r="160" spans="2:50">
      <c r="B160" s="627"/>
      <c r="C160" s="306">
        <v>14</v>
      </c>
      <c r="D160" s="306"/>
      <c r="E160" s="306"/>
      <c r="F160" s="306"/>
      <c r="G160" s="306"/>
      <c r="H160" s="629"/>
      <c r="I160" s="200" t="e">
        <f t="shared" si="88"/>
        <v>#DIV/0!</v>
      </c>
      <c r="J160" s="200" t="e">
        <f t="shared" si="89"/>
        <v>#DIV/0!</v>
      </c>
      <c r="K160" s="201" t="e">
        <f t="shared" si="90"/>
        <v>#DIV/0!</v>
      </c>
      <c r="L160" s="601"/>
      <c r="M160" s="200" t="e">
        <f>RANK(K160, K$147:$K$176)</f>
        <v>#DIV/0!</v>
      </c>
      <c r="N160" s="619"/>
      <c r="O160" s="619"/>
      <c r="P160" s="183"/>
      <c r="Q160" s="183"/>
      <c r="R160" s="183"/>
      <c r="S160" s="306" t="e">
        <f t="shared" si="87"/>
        <v>#N/A</v>
      </c>
      <c r="T160" s="629"/>
      <c r="U160" s="183"/>
      <c r="V160" s="183"/>
      <c r="W160" s="183"/>
      <c r="X160" s="520" t="e">
        <f t="shared" si="72"/>
        <v>#N/A</v>
      </c>
      <c r="Y160" s="629"/>
      <c r="Z160" s="183"/>
      <c r="AA160" s="183"/>
      <c r="AB160" s="183"/>
      <c r="AC160" s="520" t="e">
        <f t="shared" si="74"/>
        <v>#N/A</v>
      </c>
      <c r="AD160" s="629"/>
      <c r="AE160" s="183"/>
      <c r="AF160" s="183"/>
      <c r="AG160" s="183"/>
      <c r="AH160" s="520" t="e">
        <f t="shared" si="76"/>
        <v>#N/A</v>
      </c>
      <c r="AI160" s="629"/>
      <c r="AJ160" s="183"/>
      <c r="AK160" s="183"/>
      <c r="AL160" s="183"/>
      <c r="AM160" s="520" t="e">
        <f t="shared" si="78"/>
        <v>#N/A</v>
      </c>
      <c r="AN160" s="629"/>
      <c r="AO160" s="183"/>
      <c r="AP160" s="183"/>
      <c r="AQ160" s="183"/>
      <c r="AR160" s="520" t="e">
        <f t="shared" si="80"/>
        <v>#N/A</v>
      </c>
      <c r="AS160" s="629"/>
      <c r="AT160" s="183"/>
      <c r="AU160" s="183"/>
      <c r="AV160" s="183"/>
      <c r="AW160" s="520" t="e">
        <f t="shared" si="82"/>
        <v>#N/A</v>
      </c>
      <c r="AX160" s="629"/>
    </row>
    <row r="161" spans="2:50">
      <c r="B161" s="627"/>
      <c r="C161" s="306">
        <v>15</v>
      </c>
      <c r="D161" s="306"/>
      <c r="E161" s="306"/>
      <c r="F161" s="306"/>
      <c r="G161" s="306"/>
      <c r="H161" s="629"/>
      <c r="I161" s="200" t="e">
        <f t="shared" si="88"/>
        <v>#DIV/0!</v>
      </c>
      <c r="J161" s="200" t="e">
        <f t="shared" si="89"/>
        <v>#DIV/0!</v>
      </c>
      <c r="K161" s="201" t="e">
        <f t="shared" si="90"/>
        <v>#DIV/0!</v>
      </c>
      <c r="L161" s="601"/>
      <c r="M161" s="200" t="e">
        <f>RANK(K161, K$147:$K$176)</f>
        <v>#DIV/0!</v>
      </c>
      <c r="N161" s="619"/>
      <c r="O161" s="619"/>
      <c r="P161" s="183"/>
      <c r="Q161" s="183"/>
      <c r="R161" s="183"/>
      <c r="S161" s="306" t="e">
        <f t="shared" ref="S161:S175" si="91">RANK(R161, R$147:R$176)</f>
        <v>#N/A</v>
      </c>
      <c r="T161" s="629"/>
      <c r="U161" s="183"/>
      <c r="V161" s="183"/>
      <c r="W161" s="183"/>
      <c r="X161" s="520" t="e">
        <f t="shared" si="72"/>
        <v>#N/A</v>
      </c>
      <c r="Y161" s="629"/>
      <c r="Z161" s="183"/>
      <c r="AA161" s="183"/>
      <c r="AB161" s="183"/>
      <c r="AC161" s="520" t="e">
        <f t="shared" si="74"/>
        <v>#N/A</v>
      </c>
      <c r="AD161" s="629"/>
      <c r="AE161" s="183"/>
      <c r="AF161" s="183"/>
      <c r="AG161" s="183"/>
      <c r="AH161" s="520" t="e">
        <f t="shared" si="76"/>
        <v>#N/A</v>
      </c>
      <c r="AI161" s="629"/>
      <c r="AJ161" s="183"/>
      <c r="AK161" s="183"/>
      <c r="AL161" s="183"/>
      <c r="AM161" s="520" t="e">
        <f t="shared" si="78"/>
        <v>#N/A</v>
      </c>
      <c r="AN161" s="629"/>
      <c r="AO161" s="183"/>
      <c r="AP161" s="183"/>
      <c r="AQ161" s="183"/>
      <c r="AR161" s="520" t="e">
        <f t="shared" si="80"/>
        <v>#N/A</v>
      </c>
      <c r="AS161" s="629"/>
      <c r="AT161" s="183"/>
      <c r="AU161" s="183"/>
      <c r="AV161" s="183"/>
      <c r="AW161" s="520" t="e">
        <f t="shared" si="82"/>
        <v>#N/A</v>
      </c>
      <c r="AX161" s="629"/>
    </row>
    <row r="162" spans="2:50">
      <c r="B162" s="627"/>
      <c r="C162" s="306">
        <v>16</v>
      </c>
      <c r="D162" s="306"/>
      <c r="E162" s="306"/>
      <c r="F162" s="306"/>
      <c r="G162" s="306"/>
      <c r="H162" s="629"/>
      <c r="I162" s="200" t="e">
        <f t="shared" si="88"/>
        <v>#DIV/0!</v>
      </c>
      <c r="J162" s="200" t="e">
        <f t="shared" si="89"/>
        <v>#DIV/0!</v>
      </c>
      <c r="K162" s="201" t="e">
        <f t="shared" si="90"/>
        <v>#DIV/0!</v>
      </c>
      <c r="L162" s="601"/>
      <c r="M162" s="200" t="e">
        <f>RANK(K162, K$147:$K$176)</f>
        <v>#DIV/0!</v>
      </c>
      <c r="N162" s="619"/>
      <c r="O162" s="619"/>
      <c r="P162" s="183"/>
      <c r="Q162" s="183"/>
      <c r="R162" s="183"/>
      <c r="S162" s="306" t="e">
        <f t="shared" si="91"/>
        <v>#N/A</v>
      </c>
      <c r="T162" s="629"/>
      <c r="U162" s="183"/>
      <c r="V162" s="183"/>
      <c r="W162" s="183"/>
      <c r="X162" s="520" t="e">
        <f t="shared" si="72"/>
        <v>#N/A</v>
      </c>
      <c r="Y162" s="629"/>
      <c r="Z162" s="183"/>
      <c r="AA162" s="183"/>
      <c r="AB162" s="183"/>
      <c r="AC162" s="520" t="e">
        <f t="shared" si="74"/>
        <v>#N/A</v>
      </c>
      <c r="AD162" s="629"/>
      <c r="AE162" s="183"/>
      <c r="AF162" s="183"/>
      <c r="AG162" s="183"/>
      <c r="AH162" s="520" t="e">
        <f t="shared" si="76"/>
        <v>#N/A</v>
      </c>
      <c r="AI162" s="629"/>
      <c r="AJ162" s="183"/>
      <c r="AK162" s="183"/>
      <c r="AL162" s="183"/>
      <c r="AM162" s="520" t="e">
        <f t="shared" si="78"/>
        <v>#N/A</v>
      </c>
      <c r="AN162" s="629"/>
      <c r="AO162" s="183"/>
      <c r="AP162" s="183"/>
      <c r="AQ162" s="183"/>
      <c r="AR162" s="520" t="e">
        <f t="shared" si="80"/>
        <v>#N/A</v>
      </c>
      <c r="AS162" s="629"/>
      <c r="AT162" s="183"/>
      <c r="AU162" s="183"/>
      <c r="AV162" s="183"/>
      <c r="AW162" s="520" t="e">
        <f t="shared" si="82"/>
        <v>#N/A</v>
      </c>
      <c r="AX162" s="629"/>
    </row>
    <row r="163" spans="2:50">
      <c r="B163" s="627"/>
      <c r="C163" s="306">
        <v>17</v>
      </c>
      <c r="D163" s="306"/>
      <c r="E163" s="306"/>
      <c r="F163" s="306"/>
      <c r="G163" s="306"/>
      <c r="H163" s="629"/>
      <c r="I163" s="200" t="e">
        <f t="shared" si="88"/>
        <v>#DIV/0!</v>
      </c>
      <c r="J163" s="200" t="e">
        <f t="shared" si="89"/>
        <v>#DIV/0!</v>
      </c>
      <c r="K163" s="201" t="e">
        <f t="shared" si="90"/>
        <v>#DIV/0!</v>
      </c>
      <c r="L163" s="601"/>
      <c r="M163" s="200" t="e">
        <f>RANK(K163, K$147:$K$176)</f>
        <v>#DIV/0!</v>
      </c>
      <c r="N163" s="619"/>
      <c r="O163" s="619"/>
      <c r="P163" s="183"/>
      <c r="Q163" s="183"/>
      <c r="R163" s="183"/>
      <c r="S163" s="306" t="e">
        <f t="shared" si="91"/>
        <v>#N/A</v>
      </c>
      <c r="T163" s="629"/>
      <c r="U163" s="183"/>
      <c r="V163" s="183"/>
      <c r="W163" s="183"/>
      <c r="X163" s="520" t="e">
        <f t="shared" ref="X163:X176" si="92">RANK(W163, W$147:W$176)</f>
        <v>#N/A</v>
      </c>
      <c r="Y163" s="629"/>
      <c r="Z163" s="183"/>
      <c r="AA163" s="183"/>
      <c r="AB163" s="183"/>
      <c r="AC163" s="520" t="e">
        <f t="shared" ref="AC163:AC176" si="93">RANK(AB163, AB$147:AB$176)</f>
        <v>#N/A</v>
      </c>
      <c r="AD163" s="629"/>
      <c r="AE163" s="183"/>
      <c r="AF163" s="183"/>
      <c r="AG163" s="183"/>
      <c r="AH163" s="520" t="e">
        <f t="shared" ref="AH163:AH176" si="94">RANK(AG163, AG$147:AG$176)</f>
        <v>#N/A</v>
      </c>
      <c r="AI163" s="629"/>
      <c r="AJ163" s="183"/>
      <c r="AK163" s="183"/>
      <c r="AL163" s="183"/>
      <c r="AM163" s="520" t="e">
        <f t="shared" ref="AM163:AM176" si="95">RANK(AL163, AL$147:AL$176)</f>
        <v>#N/A</v>
      </c>
      <c r="AN163" s="629"/>
      <c r="AO163" s="183"/>
      <c r="AP163" s="183"/>
      <c r="AQ163" s="183"/>
      <c r="AR163" s="520" t="e">
        <f t="shared" ref="AR163:AR176" si="96">RANK(AQ163, AQ$147:AQ$176)</f>
        <v>#N/A</v>
      </c>
      <c r="AS163" s="629"/>
      <c r="AT163" s="183"/>
      <c r="AU163" s="183"/>
      <c r="AV163" s="183"/>
      <c r="AW163" s="520" t="e">
        <f t="shared" ref="AW163:AW176" si="97">RANK(AV163, AV$147:AV$176)</f>
        <v>#N/A</v>
      </c>
      <c r="AX163" s="629"/>
    </row>
    <row r="164" spans="2:50">
      <c r="B164" s="627"/>
      <c r="C164" s="306">
        <v>18</v>
      </c>
      <c r="D164" s="306"/>
      <c r="E164" s="306"/>
      <c r="F164" s="306"/>
      <c r="G164" s="306"/>
      <c r="H164" s="629"/>
      <c r="I164" s="200" t="e">
        <f t="shared" si="88"/>
        <v>#DIV/0!</v>
      </c>
      <c r="J164" s="200" t="e">
        <f t="shared" si="89"/>
        <v>#DIV/0!</v>
      </c>
      <c r="K164" s="201" t="e">
        <f t="shared" si="90"/>
        <v>#DIV/0!</v>
      </c>
      <c r="L164" s="601"/>
      <c r="M164" s="200" t="e">
        <f>RANK(K164, K$147:$K$176)</f>
        <v>#DIV/0!</v>
      </c>
      <c r="N164" s="619"/>
      <c r="O164" s="619"/>
      <c r="P164" s="183"/>
      <c r="Q164" s="183"/>
      <c r="R164" s="183"/>
      <c r="S164" s="306" t="e">
        <f t="shared" si="91"/>
        <v>#N/A</v>
      </c>
      <c r="T164" s="629"/>
      <c r="U164" s="183"/>
      <c r="V164" s="183"/>
      <c r="W164" s="183"/>
      <c r="X164" s="520" t="e">
        <f t="shared" si="92"/>
        <v>#N/A</v>
      </c>
      <c r="Y164" s="629"/>
      <c r="Z164" s="183"/>
      <c r="AA164" s="183"/>
      <c r="AB164" s="183"/>
      <c r="AC164" s="520" t="e">
        <f t="shared" si="93"/>
        <v>#N/A</v>
      </c>
      <c r="AD164" s="629"/>
      <c r="AE164" s="183"/>
      <c r="AF164" s="183"/>
      <c r="AG164" s="183"/>
      <c r="AH164" s="520" t="e">
        <f t="shared" si="94"/>
        <v>#N/A</v>
      </c>
      <c r="AI164" s="629"/>
      <c r="AJ164" s="183"/>
      <c r="AK164" s="183"/>
      <c r="AL164" s="183"/>
      <c r="AM164" s="520" t="e">
        <f t="shared" si="95"/>
        <v>#N/A</v>
      </c>
      <c r="AN164" s="629"/>
      <c r="AO164" s="183"/>
      <c r="AP164" s="183"/>
      <c r="AQ164" s="183"/>
      <c r="AR164" s="520" t="e">
        <f t="shared" si="96"/>
        <v>#N/A</v>
      </c>
      <c r="AS164" s="629"/>
      <c r="AT164" s="183"/>
      <c r="AU164" s="183"/>
      <c r="AV164" s="183"/>
      <c r="AW164" s="520" t="e">
        <f t="shared" si="97"/>
        <v>#N/A</v>
      </c>
      <c r="AX164" s="629"/>
    </row>
    <row r="165" spans="2:50">
      <c r="B165" s="627"/>
      <c r="C165" s="306">
        <v>19</v>
      </c>
      <c r="D165" s="306"/>
      <c r="E165" s="306"/>
      <c r="F165" s="306"/>
      <c r="G165" s="306"/>
      <c r="H165" s="629"/>
      <c r="I165" s="200" t="e">
        <f t="shared" si="88"/>
        <v>#DIV/0!</v>
      </c>
      <c r="J165" s="200" t="e">
        <f t="shared" si="89"/>
        <v>#DIV/0!</v>
      </c>
      <c r="K165" s="201" t="e">
        <f t="shared" si="90"/>
        <v>#DIV/0!</v>
      </c>
      <c r="L165" s="601"/>
      <c r="M165" s="200" t="e">
        <f>RANK(K165, K$147:$K$176)</f>
        <v>#DIV/0!</v>
      </c>
      <c r="N165" s="619"/>
      <c r="O165" s="619"/>
      <c r="P165" s="183"/>
      <c r="Q165" s="183"/>
      <c r="R165" s="183"/>
      <c r="S165" s="306" t="e">
        <f t="shared" si="91"/>
        <v>#N/A</v>
      </c>
      <c r="T165" s="629"/>
      <c r="U165" s="183"/>
      <c r="V165" s="183"/>
      <c r="W165" s="183"/>
      <c r="X165" s="520" t="e">
        <f t="shared" si="92"/>
        <v>#N/A</v>
      </c>
      <c r="Y165" s="629"/>
      <c r="Z165" s="183"/>
      <c r="AA165" s="183"/>
      <c r="AB165" s="183"/>
      <c r="AC165" s="520" t="e">
        <f t="shared" si="93"/>
        <v>#N/A</v>
      </c>
      <c r="AD165" s="629"/>
      <c r="AE165" s="183"/>
      <c r="AF165" s="183"/>
      <c r="AG165" s="183"/>
      <c r="AH165" s="520" t="e">
        <f t="shared" si="94"/>
        <v>#N/A</v>
      </c>
      <c r="AI165" s="629"/>
      <c r="AJ165" s="183"/>
      <c r="AK165" s="183"/>
      <c r="AL165" s="183"/>
      <c r="AM165" s="520" t="e">
        <f t="shared" si="95"/>
        <v>#N/A</v>
      </c>
      <c r="AN165" s="629"/>
      <c r="AO165" s="183"/>
      <c r="AP165" s="183"/>
      <c r="AQ165" s="183"/>
      <c r="AR165" s="520" t="e">
        <f t="shared" si="96"/>
        <v>#N/A</v>
      </c>
      <c r="AS165" s="629"/>
      <c r="AT165" s="183"/>
      <c r="AU165" s="183"/>
      <c r="AV165" s="183"/>
      <c r="AW165" s="520" t="e">
        <f t="shared" si="97"/>
        <v>#N/A</v>
      </c>
      <c r="AX165" s="629"/>
    </row>
    <row r="166" spans="2:50">
      <c r="B166" s="627"/>
      <c r="C166" s="306">
        <v>20</v>
      </c>
      <c r="D166" s="306"/>
      <c r="E166" s="306"/>
      <c r="F166" s="306"/>
      <c r="G166" s="306"/>
      <c r="H166" s="629"/>
      <c r="I166" s="200" t="e">
        <f t="shared" si="88"/>
        <v>#DIV/0!</v>
      </c>
      <c r="J166" s="200" t="e">
        <f t="shared" si="89"/>
        <v>#DIV/0!</v>
      </c>
      <c r="K166" s="201" t="e">
        <f t="shared" si="90"/>
        <v>#DIV/0!</v>
      </c>
      <c r="L166" s="601"/>
      <c r="M166" s="200" t="e">
        <f>RANK(K166, K$147:$K$176)</f>
        <v>#DIV/0!</v>
      </c>
      <c r="N166" s="619"/>
      <c r="O166" s="619"/>
      <c r="P166" s="183"/>
      <c r="Q166" s="183"/>
      <c r="R166" s="183"/>
      <c r="S166" s="306" t="e">
        <f t="shared" si="91"/>
        <v>#N/A</v>
      </c>
      <c r="T166" s="629"/>
      <c r="U166" s="183"/>
      <c r="V166" s="183"/>
      <c r="W166" s="183"/>
      <c r="X166" s="520" t="e">
        <f t="shared" si="92"/>
        <v>#N/A</v>
      </c>
      <c r="Y166" s="629"/>
      <c r="Z166" s="183"/>
      <c r="AA166" s="183"/>
      <c r="AB166" s="183"/>
      <c r="AC166" s="520" t="e">
        <f t="shared" si="93"/>
        <v>#N/A</v>
      </c>
      <c r="AD166" s="629"/>
      <c r="AE166" s="183"/>
      <c r="AF166" s="183"/>
      <c r="AG166" s="183"/>
      <c r="AH166" s="520" t="e">
        <f t="shared" si="94"/>
        <v>#N/A</v>
      </c>
      <c r="AI166" s="629"/>
      <c r="AJ166" s="183"/>
      <c r="AK166" s="183"/>
      <c r="AL166" s="183"/>
      <c r="AM166" s="520" t="e">
        <f t="shared" si="95"/>
        <v>#N/A</v>
      </c>
      <c r="AN166" s="629"/>
      <c r="AO166" s="183"/>
      <c r="AP166" s="183"/>
      <c r="AQ166" s="183"/>
      <c r="AR166" s="520" t="e">
        <f t="shared" si="96"/>
        <v>#N/A</v>
      </c>
      <c r="AS166" s="629"/>
      <c r="AT166" s="183"/>
      <c r="AU166" s="183"/>
      <c r="AV166" s="183"/>
      <c r="AW166" s="520" t="e">
        <f t="shared" si="97"/>
        <v>#N/A</v>
      </c>
      <c r="AX166" s="629"/>
    </row>
    <row r="167" spans="2:50">
      <c r="B167" s="627"/>
      <c r="C167" s="306">
        <v>21</v>
      </c>
      <c r="D167" s="306"/>
      <c r="E167" s="306"/>
      <c r="F167" s="306"/>
      <c r="G167" s="306"/>
      <c r="H167" s="629"/>
      <c r="I167" s="200" t="e">
        <f t="shared" ref="I167" si="98">AVERAGE(P167,U167,Z167,AE167,AJ167,AO167,AT167)</f>
        <v>#DIV/0!</v>
      </c>
      <c r="J167" s="200" t="e">
        <f t="shared" ref="J167" si="99">AVERAGE(Q167,V167,AA167,AF167,AK167,AP167,AU167)</f>
        <v>#DIV/0!</v>
      </c>
      <c r="K167" s="201" t="e">
        <f t="shared" ref="K167" si="100">AVERAGE(R167,W167,AB167,AG167,AL167,AQ167,AV167)</f>
        <v>#DIV/0!</v>
      </c>
      <c r="L167" s="601"/>
      <c r="M167" s="200" t="e">
        <f>RANK(K167, K$147:$K$176)</f>
        <v>#DIV/0!</v>
      </c>
      <c r="N167" s="619"/>
      <c r="O167" s="619"/>
      <c r="P167" s="183"/>
      <c r="Q167" s="183"/>
      <c r="R167" s="183"/>
      <c r="S167" s="306" t="e">
        <f t="shared" si="91"/>
        <v>#N/A</v>
      </c>
      <c r="T167" s="629"/>
      <c r="U167" s="183"/>
      <c r="V167" s="183"/>
      <c r="W167" s="183"/>
      <c r="X167" s="520" t="e">
        <f t="shared" si="92"/>
        <v>#N/A</v>
      </c>
      <c r="Y167" s="629"/>
      <c r="Z167" s="183"/>
      <c r="AA167" s="183"/>
      <c r="AB167" s="183"/>
      <c r="AC167" s="520" t="e">
        <f t="shared" si="93"/>
        <v>#N/A</v>
      </c>
      <c r="AD167" s="629"/>
      <c r="AE167" s="183"/>
      <c r="AF167" s="183"/>
      <c r="AG167" s="183"/>
      <c r="AH167" s="520" t="e">
        <f t="shared" si="94"/>
        <v>#N/A</v>
      </c>
      <c r="AI167" s="629"/>
      <c r="AJ167" s="183"/>
      <c r="AK167" s="183"/>
      <c r="AL167" s="183"/>
      <c r="AM167" s="520" t="e">
        <f t="shared" si="95"/>
        <v>#N/A</v>
      </c>
      <c r="AN167" s="629"/>
      <c r="AO167" s="183"/>
      <c r="AP167" s="183"/>
      <c r="AQ167" s="183"/>
      <c r="AR167" s="520" t="e">
        <f t="shared" si="96"/>
        <v>#N/A</v>
      </c>
      <c r="AS167" s="629"/>
      <c r="AT167" s="183"/>
      <c r="AU167" s="183"/>
      <c r="AV167" s="183"/>
      <c r="AW167" s="520" t="e">
        <f t="shared" si="97"/>
        <v>#N/A</v>
      </c>
      <c r="AX167" s="629"/>
    </row>
    <row r="168" spans="2:50">
      <c r="B168" s="627"/>
      <c r="C168" s="306">
        <v>22</v>
      </c>
      <c r="D168" s="306"/>
      <c r="E168" s="306"/>
      <c r="F168" s="306"/>
      <c r="G168" s="306"/>
      <c r="H168" s="629"/>
      <c r="I168" s="200"/>
      <c r="J168" s="200"/>
      <c r="K168" s="201"/>
      <c r="L168" s="601"/>
      <c r="M168" s="200" t="e">
        <f>RANK(K168, K$147:$K$176)</f>
        <v>#DIV/0!</v>
      </c>
      <c r="N168" s="619"/>
      <c r="O168" s="619"/>
      <c r="P168" s="183"/>
      <c r="Q168" s="183"/>
      <c r="R168" s="183"/>
      <c r="S168" s="306" t="e">
        <f t="shared" si="91"/>
        <v>#N/A</v>
      </c>
      <c r="T168" s="629"/>
      <c r="U168" s="183"/>
      <c r="V168" s="183"/>
      <c r="W168" s="183"/>
      <c r="X168" s="520" t="e">
        <f t="shared" si="92"/>
        <v>#N/A</v>
      </c>
      <c r="Y168" s="629"/>
      <c r="Z168" s="183"/>
      <c r="AA168" s="183"/>
      <c r="AB168" s="183"/>
      <c r="AC168" s="520" t="e">
        <f t="shared" si="93"/>
        <v>#N/A</v>
      </c>
      <c r="AD168" s="629"/>
      <c r="AE168" s="183"/>
      <c r="AF168" s="183"/>
      <c r="AG168" s="183"/>
      <c r="AH168" s="520" t="e">
        <f t="shared" si="94"/>
        <v>#N/A</v>
      </c>
      <c r="AI168" s="629"/>
      <c r="AJ168" s="183"/>
      <c r="AK168" s="183"/>
      <c r="AL168" s="183"/>
      <c r="AM168" s="520" t="e">
        <f t="shared" si="95"/>
        <v>#N/A</v>
      </c>
      <c r="AN168" s="629"/>
      <c r="AO168" s="183"/>
      <c r="AP168" s="183"/>
      <c r="AQ168" s="183"/>
      <c r="AR168" s="520" t="e">
        <f t="shared" si="96"/>
        <v>#N/A</v>
      </c>
      <c r="AS168" s="629"/>
      <c r="AT168" s="183"/>
      <c r="AU168" s="183"/>
      <c r="AV168" s="183"/>
      <c r="AW168" s="520" t="e">
        <f t="shared" si="97"/>
        <v>#N/A</v>
      </c>
      <c r="AX168" s="629"/>
    </row>
    <row r="169" spans="2:50">
      <c r="B169" s="627"/>
      <c r="C169" s="306">
        <v>23</v>
      </c>
      <c r="D169" s="306"/>
      <c r="E169" s="306"/>
      <c r="F169" s="306"/>
      <c r="G169" s="306"/>
      <c r="H169" s="629"/>
      <c r="I169" s="200"/>
      <c r="J169" s="200"/>
      <c r="K169" s="201"/>
      <c r="L169" s="601"/>
      <c r="M169" s="200" t="e">
        <f>RANK(K169, K$147:$K$176)</f>
        <v>#DIV/0!</v>
      </c>
      <c r="N169" s="619"/>
      <c r="O169" s="619"/>
      <c r="P169" s="183"/>
      <c r="Q169" s="183"/>
      <c r="R169" s="183"/>
      <c r="S169" s="306" t="e">
        <f t="shared" si="91"/>
        <v>#N/A</v>
      </c>
      <c r="T169" s="629"/>
      <c r="U169" s="183"/>
      <c r="V169" s="183"/>
      <c r="W169" s="183"/>
      <c r="X169" s="520" t="e">
        <f t="shared" si="92"/>
        <v>#N/A</v>
      </c>
      <c r="Y169" s="629"/>
      <c r="Z169" s="183"/>
      <c r="AA169" s="183"/>
      <c r="AB169" s="183"/>
      <c r="AC169" s="520" t="e">
        <f t="shared" si="93"/>
        <v>#N/A</v>
      </c>
      <c r="AD169" s="629"/>
      <c r="AE169" s="183"/>
      <c r="AF169" s="183"/>
      <c r="AG169" s="183"/>
      <c r="AH169" s="520" t="e">
        <f t="shared" si="94"/>
        <v>#N/A</v>
      </c>
      <c r="AI169" s="629"/>
      <c r="AJ169" s="183"/>
      <c r="AK169" s="183"/>
      <c r="AL169" s="183"/>
      <c r="AM169" s="520" t="e">
        <f t="shared" si="95"/>
        <v>#N/A</v>
      </c>
      <c r="AN169" s="629"/>
      <c r="AO169" s="183"/>
      <c r="AP169" s="183"/>
      <c r="AQ169" s="183"/>
      <c r="AR169" s="520" t="e">
        <f t="shared" si="96"/>
        <v>#N/A</v>
      </c>
      <c r="AS169" s="629"/>
      <c r="AT169" s="183"/>
      <c r="AU169" s="183"/>
      <c r="AV169" s="183"/>
      <c r="AW169" s="520" t="e">
        <f t="shared" si="97"/>
        <v>#N/A</v>
      </c>
      <c r="AX169" s="629"/>
    </row>
    <row r="170" spans="2:50">
      <c r="B170" s="627"/>
      <c r="C170" s="306">
        <v>24</v>
      </c>
      <c r="D170" s="306"/>
      <c r="E170" s="306"/>
      <c r="F170" s="306"/>
      <c r="G170" s="306"/>
      <c r="H170" s="629"/>
      <c r="I170" s="466"/>
      <c r="J170" s="466"/>
      <c r="K170" s="201"/>
      <c r="L170" s="601"/>
      <c r="M170" s="200" t="e">
        <f>RANK(K170, K$147:$K$176)</f>
        <v>#DIV/0!</v>
      </c>
      <c r="N170" s="619"/>
      <c r="O170" s="619"/>
      <c r="P170" s="183"/>
      <c r="Q170" s="183"/>
      <c r="R170" s="183"/>
      <c r="S170" s="306" t="e">
        <f t="shared" si="91"/>
        <v>#N/A</v>
      </c>
      <c r="T170" s="629"/>
      <c r="U170" s="183"/>
      <c r="V170" s="183"/>
      <c r="W170" s="183"/>
      <c r="X170" s="520" t="e">
        <f t="shared" si="92"/>
        <v>#N/A</v>
      </c>
      <c r="Y170" s="629"/>
      <c r="Z170" s="183"/>
      <c r="AA170" s="183"/>
      <c r="AB170" s="183"/>
      <c r="AC170" s="520" t="e">
        <f t="shared" si="93"/>
        <v>#N/A</v>
      </c>
      <c r="AD170" s="629"/>
      <c r="AE170" s="183"/>
      <c r="AF170" s="183"/>
      <c r="AG170" s="183"/>
      <c r="AH170" s="520" t="e">
        <f t="shared" si="94"/>
        <v>#N/A</v>
      </c>
      <c r="AI170" s="629"/>
      <c r="AJ170" s="183"/>
      <c r="AK170" s="183"/>
      <c r="AL170" s="183"/>
      <c r="AM170" s="520" t="e">
        <f t="shared" si="95"/>
        <v>#N/A</v>
      </c>
      <c r="AN170" s="629"/>
      <c r="AO170" s="183"/>
      <c r="AP170" s="183"/>
      <c r="AQ170" s="183"/>
      <c r="AR170" s="520" t="e">
        <f t="shared" si="96"/>
        <v>#N/A</v>
      </c>
      <c r="AS170" s="629"/>
      <c r="AT170" s="183"/>
      <c r="AU170" s="183"/>
      <c r="AV170" s="183"/>
      <c r="AW170" s="520" t="e">
        <f t="shared" si="97"/>
        <v>#N/A</v>
      </c>
      <c r="AX170" s="629"/>
    </row>
    <row r="171" spans="2:50">
      <c r="B171" s="627"/>
      <c r="C171" s="306">
        <v>25</v>
      </c>
      <c r="D171" s="306"/>
      <c r="E171" s="306"/>
      <c r="F171" s="306"/>
      <c r="G171" s="306"/>
      <c r="H171" s="629"/>
      <c r="I171" s="203"/>
      <c r="J171" s="203"/>
      <c r="K171" s="203"/>
      <c r="L171" s="601"/>
      <c r="M171" s="200" t="e">
        <f>RANK(K171, K$147:$K$176)</f>
        <v>#DIV/0!</v>
      </c>
      <c r="N171" s="619"/>
      <c r="O171" s="619"/>
      <c r="P171" s="376"/>
      <c r="Q171" s="376"/>
      <c r="R171" s="376"/>
      <c r="S171" s="306" t="e">
        <f t="shared" si="91"/>
        <v>#N/A</v>
      </c>
      <c r="T171" s="629"/>
      <c r="U171" s="520"/>
      <c r="V171" s="520"/>
      <c r="W171" s="520"/>
      <c r="X171" s="520" t="e">
        <f t="shared" si="92"/>
        <v>#N/A</v>
      </c>
      <c r="Y171" s="629"/>
      <c r="Z171" s="520"/>
      <c r="AA171" s="520"/>
      <c r="AB171" s="520"/>
      <c r="AC171" s="520" t="e">
        <f t="shared" si="93"/>
        <v>#N/A</v>
      </c>
      <c r="AD171" s="629"/>
      <c r="AE171" s="520"/>
      <c r="AF171" s="520"/>
      <c r="AG171" s="520"/>
      <c r="AH171" s="520" t="e">
        <f t="shared" si="94"/>
        <v>#N/A</v>
      </c>
      <c r="AI171" s="629"/>
      <c r="AJ171" s="520"/>
      <c r="AK171" s="520"/>
      <c r="AL171" s="520"/>
      <c r="AM171" s="520" t="e">
        <f t="shared" si="95"/>
        <v>#N/A</v>
      </c>
      <c r="AN171" s="629"/>
      <c r="AO171" s="520"/>
      <c r="AP171" s="520"/>
      <c r="AQ171" s="520"/>
      <c r="AR171" s="520" t="e">
        <f t="shared" si="96"/>
        <v>#N/A</v>
      </c>
      <c r="AS171" s="629"/>
      <c r="AT171" s="520"/>
      <c r="AU171" s="520"/>
      <c r="AV171" s="520"/>
      <c r="AW171" s="520" t="e">
        <f t="shared" si="97"/>
        <v>#N/A</v>
      </c>
      <c r="AX171" s="629"/>
    </row>
    <row r="172" spans="2:50">
      <c r="B172" s="627"/>
      <c r="C172" s="306">
        <v>26</v>
      </c>
      <c r="D172" s="306"/>
      <c r="E172" s="306"/>
      <c r="F172" s="306"/>
      <c r="G172" s="306"/>
      <c r="H172" s="629"/>
      <c r="I172" s="203"/>
      <c r="J172" s="203"/>
      <c r="K172" s="203"/>
      <c r="L172" s="601"/>
      <c r="M172" s="200" t="e">
        <f>RANK(K172, K$147:$K$176)</f>
        <v>#DIV/0!</v>
      </c>
      <c r="N172" s="619"/>
      <c r="O172" s="619"/>
      <c r="P172" s="376"/>
      <c r="Q172" s="376"/>
      <c r="R172" s="376"/>
      <c r="S172" s="306" t="e">
        <f t="shared" si="91"/>
        <v>#N/A</v>
      </c>
      <c r="T172" s="629"/>
      <c r="U172" s="520"/>
      <c r="V172" s="520"/>
      <c r="W172" s="520"/>
      <c r="X172" s="520" t="e">
        <f t="shared" si="92"/>
        <v>#N/A</v>
      </c>
      <c r="Y172" s="629"/>
      <c r="Z172" s="520"/>
      <c r="AA172" s="520"/>
      <c r="AB172" s="520"/>
      <c r="AC172" s="520" t="e">
        <f t="shared" si="93"/>
        <v>#N/A</v>
      </c>
      <c r="AD172" s="629"/>
      <c r="AE172" s="520"/>
      <c r="AF172" s="520"/>
      <c r="AG172" s="520"/>
      <c r="AH172" s="520" t="e">
        <f t="shared" si="94"/>
        <v>#N/A</v>
      </c>
      <c r="AI172" s="629"/>
      <c r="AJ172" s="520"/>
      <c r="AK172" s="520"/>
      <c r="AL172" s="520"/>
      <c r="AM172" s="520" t="e">
        <f t="shared" si="95"/>
        <v>#N/A</v>
      </c>
      <c r="AN172" s="629"/>
      <c r="AO172" s="520"/>
      <c r="AP172" s="520"/>
      <c r="AQ172" s="520"/>
      <c r="AR172" s="520" t="e">
        <f t="shared" si="96"/>
        <v>#N/A</v>
      </c>
      <c r="AS172" s="629"/>
      <c r="AT172" s="520"/>
      <c r="AU172" s="520"/>
      <c r="AV172" s="520"/>
      <c r="AW172" s="520" t="e">
        <f t="shared" si="97"/>
        <v>#N/A</v>
      </c>
      <c r="AX172" s="629"/>
    </row>
    <row r="173" spans="2:50">
      <c r="B173" s="627"/>
      <c r="C173" s="306">
        <v>27</v>
      </c>
      <c r="D173" s="306"/>
      <c r="E173" s="306"/>
      <c r="F173" s="306"/>
      <c r="G173" s="306"/>
      <c r="H173" s="629"/>
      <c r="I173" s="203"/>
      <c r="J173" s="203"/>
      <c r="K173" s="203"/>
      <c r="L173" s="601"/>
      <c r="M173" s="200" t="e">
        <f>RANK(K173, K$147:$K$176)</f>
        <v>#DIV/0!</v>
      </c>
      <c r="N173" s="619"/>
      <c r="O173" s="619"/>
      <c r="P173" s="376"/>
      <c r="Q173" s="376"/>
      <c r="R173" s="376"/>
      <c r="S173" s="306" t="e">
        <f t="shared" si="91"/>
        <v>#N/A</v>
      </c>
      <c r="T173" s="629"/>
      <c r="U173" s="520"/>
      <c r="V173" s="520"/>
      <c r="W173" s="520"/>
      <c r="X173" s="520" t="e">
        <f t="shared" si="92"/>
        <v>#N/A</v>
      </c>
      <c r="Y173" s="629"/>
      <c r="Z173" s="520"/>
      <c r="AA173" s="520"/>
      <c r="AB173" s="520"/>
      <c r="AC173" s="520" t="e">
        <f t="shared" si="93"/>
        <v>#N/A</v>
      </c>
      <c r="AD173" s="629"/>
      <c r="AE173" s="520"/>
      <c r="AF173" s="520"/>
      <c r="AG173" s="520"/>
      <c r="AH173" s="520" t="e">
        <f t="shared" si="94"/>
        <v>#N/A</v>
      </c>
      <c r="AI173" s="629"/>
      <c r="AJ173" s="520"/>
      <c r="AK173" s="520"/>
      <c r="AL173" s="520"/>
      <c r="AM173" s="520" t="e">
        <f t="shared" si="95"/>
        <v>#N/A</v>
      </c>
      <c r="AN173" s="629"/>
      <c r="AO173" s="520"/>
      <c r="AP173" s="520"/>
      <c r="AQ173" s="520"/>
      <c r="AR173" s="520" t="e">
        <f t="shared" si="96"/>
        <v>#N/A</v>
      </c>
      <c r="AS173" s="629"/>
      <c r="AT173" s="520"/>
      <c r="AU173" s="520"/>
      <c r="AV173" s="520"/>
      <c r="AW173" s="520" t="e">
        <f t="shared" si="97"/>
        <v>#N/A</v>
      </c>
      <c r="AX173" s="629"/>
    </row>
    <row r="174" spans="2:50">
      <c r="B174" s="627"/>
      <c r="C174" s="306">
        <v>28</v>
      </c>
      <c r="D174" s="306"/>
      <c r="E174" s="306"/>
      <c r="F174" s="306"/>
      <c r="G174" s="306"/>
      <c r="H174" s="629"/>
      <c r="I174" s="203"/>
      <c r="J174" s="203"/>
      <c r="K174" s="203"/>
      <c r="L174" s="601"/>
      <c r="M174" s="200" t="e">
        <f>RANK(K174, K$147:$K$176)</f>
        <v>#DIV/0!</v>
      </c>
      <c r="N174" s="619"/>
      <c r="O174" s="619"/>
      <c r="P174" s="376"/>
      <c r="Q174" s="376"/>
      <c r="R174" s="376"/>
      <c r="S174" s="306" t="e">
        <f t="shared" si="91"/>
        <v>#N/A</v>
      </c>
      <c r="T174" s="629"/>
      <c r="U174" s="520"/>
      <c r="V174" s="520"/>
      <c r="W174" s="520"/>
      <c r="X174" s="520" t="e">
        <f t="shared" si="92"/>
        <v>#N/A</v>
      </c>
      <c r="Y174" s="629"/>
      <c r="Z174" s="520"/>
      <c r="AA174" s="520"/>
      <c r="AB174" s="520"/>
      <c r="AC174" s="520" t="e">
        <f t="shared" si="93"/>
        <v>#N/A</v>
      </c>
      <c r="AD174" s="629"/>
      <c r="AE174" s="520"/>
      <c r="AF174" s="520"/>
      <c r="AG174" s="520"/>
      <c r="AH174" s="520" t="e">
        <f t="shared" si="94"/>
        <v>#N/A</v>
      </c>
      <c r="AI174" s="629"/>
      <c r="AJ174" s="520"/>
      <c r="AK174" s="520"/>
      <c r="AL174" s="520"/>
      <c r="AM174" s="520" t="e">
        <f t="shared" si="95"/>
        <v>#N/A</v>
      </c>
      <c r="AN174" s="629"/>
      <c r="AO174" s="520"/>
      <c r="AP174" s="520"/>
      <c r="AQ174" s="520"/>
      <c r="AR174" s="520" t="e">
        <f t="shared" si="96"/>
        <v>#N/A</v>
      </c>
      <c r="AS174" s="629"/>
      <c r="AT174" s="520"/>
      <c r="AU174" s="520"/>
      <c r="AV174" s="520"/>
      <c r="AW174" s="520" t="e">
        <f t="shared" si="97"/>
        <v>#N/A</v>
      </c>
      <c r="AX174" s="629"/>
    </row>
    <row r="175" spans="2:50">
      <c r="B175" s="627"/>
      <c r="C175" s="306">
        <v>29</v>
      </c>
      <c r="D175" s="306"/>
      <c r="E175" s="306"/>
      <c r="F175" s="306"/>
      <c r="G175" s="306"/>
      <c r="H175" s="629"/>
      <c r="I175" s="203"/>
      <c r="J175" s="203"/>
      <c r="K175" s="203"/>
      <c r="L175" s="601"/>
      <c r="M175" s="200" t="e">
        <f>RANK(K175, K$147:$K$176)</f>
        <v>#DIV/0!</v>
      </c>
      <c r="N175" s="619"/>
      <c r="O175" s="619"/>
      <c r="P175" s="376"/>
      <c r="Q175" s="376"/>
      <c r="R175" s="376"/>
      <c r="S175" s="306" t="e">
        <f t="shared" si="91"/>
        <v>#N/A</v>
      </c>
      <c r="T175" s="629"/>
      <c r="U175" s="520"/>
      <c r="V175" s="520"/>
      <c r="W175" s="520"/>
      <c r="X175" s="520" t="e">
        <f t="shared" si="92"/>
        <v>#N/A</v>
      </c>
      <c r="Y175" s="629"/>
      <c r="Z175" s="520"/>
      <c r="AA175" s="520"/>
      <c r="AB175" s="520"/>
      <c r="AC175" s="520" t="e">
        <f t="shared" si="93"/>
        <v>#N/A</v>
      </c>
      <c r="AD175" s="629"/>
      <c r="AE175" s="520"/>
      <c r="AF175" s="520"/>
      <c r="AG175" s="520"/>
      <c r="AH175" s="520" t="e">
        <f t="shared" si="94"/>
        <v>#N/A</v>
      </c>
      <c r="AI175" s="629"/>
      <c r="AJ175" s="520"/>
      <c r="AK175" s="520"/>
      <c r="AL175" s="520"/>
      <c r="AM175" s="520" t="e">
        <f t="shared" si="95"/>
        <v>#N/A</v>
      </c>
      <c r="AN175" s="629"/>
      <c r="AO175" s="520"/>
      <c r="AP175" s="520"/>
      <c r="AQ175" s="520"/>
      <c r="AR175" s="520" t="e">
        <f t="shared" si="96"/>
        <v>#N/A</v>
      </c>
      <c r="AS175" s="629"/>
      <c r="AT175" s="520"/>
      <c r="AU175" s="520"/>
      <c r="AV175" s="520"/>
      <c r="AW175" s="520" t="e">
        <f t="shared" si="97"/>
        <v>#N/A</v>
      </c>
      <c r="AX175" s="629"/>
    </row>
    <row r="176" spans="2:50">
      <c r="B176" s="627"/>
      <c r="C176" s="306">
        <v>30</v>
      </c>
      <c r="D176" s="306"/>
      <c r="E176" s="306"/>
      <c r="F176" s="306"/>
      <c r="G176" s="306"/>
      <c r="H176" s="630"/>
      <c r="I176" s="203"/>
      <c r="J176" s="203"/>
      <c r="K176" s="203"/>
      <c r="L176" s="602"/>
      <c r="M176" s="200" t="e">
        <f>RANK(K176, K$147:$K$176)</f>
        <v>#DIV/0!</v>
      </c>
      <c r="N176" s="619"/>
      <c r="O176" s="619"/>
      <c r="P176" s="376"/>
      <c r="Q176" s="376"/>
      <c r="R176" s="376"/>
      <c r="S176" s="306" t="e">
        <f t="shared" si="87"/>
        <v>#N/A</v>
      </c>
      <c r="T176" s="630"/>
      <c r="U176" s="520"/>
      <c r="V176" s="520"/>
      <c r="W176" s="520"/>
      <c r="X176" s="520" t="e">
        <f t="shared" si="92"/>
        <v>#N/A</v>
      </c>
      <c r="Y176" s="630"/>
      <c r="Z176" s="520"/>
      <c r="AA176" s="520"/>
      <c r="AB176" s="520"/>
      <c r="AC176" s="520" t="e">
        <f t="shared" si="93"/>
        <v>#N/A</v>
      </c>
      <c r="AD176" s="630"/>
      <c r="AE176" s="520"/>
      <c r="AF176" s="520"/>
      <c r="AG176" s="520"/>
      <c r="AH176" s="520" t="e">
        <f t="shared" si="94"/>
        <v>#N/A</v>
      </c>
      <c r="AI176" s="630"/>
      <c r="AJ176" s="520"/>
      <c r="AK176" s="520"/>
      <c r="AL176" s="520"/>
      <c r="AM176" s="520" t="e">
        <f t="shared" si="95"/>
        <v>#N/A</v>
      </c>
      <c r="AN176" s="630"/>
      <c r="AO176" s="520"/>
      <c r="AP176" s="520"/>
      <c r="AQ176" s="520"/>
      <c r="AR176" s="520" t="e">
        <f t="shared" si="96"/>
        <v>#N/A</v>
      </c>
      <c r="AS176" s="630"/>
      <c r="AT176" s="520"/>
      <c r="AU176" s="520"/>
      <c r="AV176" s="520"/>
      <c r="AW176" s="520" t="e">
        <f t="shared" si="97"/>
        <v>#N/A</v>
      </c>
      <c r="AX176" s="630"/>
    </row>
    <row r="177" spans="2:50" ht="15.5">
      <c r="B177" s="631" t="s">
        <v>163</v>
      </c>
      <c r="C177" s="632"/>
      <c r="D177" s="632"/>
      <c r="E177" s="632"/>
      <c r="F177" s="632"/>
      <c r="G177" s="632"/>
      <c r="H177" s="633"/>
      <c r="I177" s="209"/>
      <c r="J177" s="209"/>
      <c r="K177" s="209"/>
      <c r="L177" s="209"/>
      <c r="M177" s="208"/>
      <c r="N177" s="620" t="s">
        <v>156</v>
      </c>
      <c r="O177" s="620" t="s">
        <v>105</v>
      </c>
      <c r="P177" s="626">
        <f>P142+7</f>
        <v>46021</v>
      </c>
      <c r="Q177" s="627"/>
      <c r="R177" s="627"/>
      <c r="S177" s="627"/>
      <c r="T177" s="627"/>
      <c r="U177" s="623">
        <f>P177+1</f>
        <v>46022</v>
      </c>
      <c r="V177" s="624"/>
      <c r="W177" s="624"/>
      <c r="X177" s="624"/>
      <c r="Y177" s="625"/>
      <c r="Z177" s="623">
        <f>U177+1</f>
        <v>46023</v>
      </c>
      <c r="AA177" s="624"/>
      <c r="AB177" s="624"/>
      <c r="AC177" s="624"/>
      <c r="AD177" s="625"/>
      <c r="AE177" s="623">
        <f>Z177+1</f>
        <v>46024</v>
      </c>
      <c r="AF177" s="624"/>
      <c r="AG177" s="624"/>
      <c r="AH177" s="624"/>
      <c r="AI177" s="625"/>
      <c r="AJ177" s="623">
        <f>AE177+1</f>
        <v>46025</v>
      </c>
      <c r="AK177" s="624"/>
      <c r="AL177" s="624"/>
      <c r="AM177" s="624"/>
      <c r="AN177" s="625"/>
      <c r="AO177" s="623">
        <f>AJ177+1</f>
        <v>46026</v>
      </c>
      <c r="AP177" s="624"/>
      <c r="AQ177" s="624"/>
      <c r="AR177" s="624"/>
      <c r="AS177" s="625"/>
      <c r="AT177" s="623">
        <f>AO177+1</f>
        <v>46027</v>
      </c>
      <c r="AU177" s="624"/>
      <c r="AV177" s="624"/>
      <c r="AW177" s="624"/>
      <c r="AX177" s="625"/>
    </row>
    <row r="178" spans="2:50" ht="15.5">
      <c r="B178" s="634"/>
      <c r="C178" s="634"/>
      <c r="D178" s="634"/>
      <c r="E178" s="634"/>
      <c r="F178" s="634"/>
      <c r="G178" s="634"/>
      <c r="H178" s="634"/>
      <c r="I178" s="206"/>
      <c r="J178" s="206"/>
      <c r="K178" s="206"/>
      <c r="L178" s="206"/>
      <c r="M178" s="207"/>
      <c r="N178" s="622"/>
      <c r="O178" s="622"/>
      <c r="P178" s="626" t="s">
        <v>158</v>
      </c>
      <c r="Q178" s="627"/>
      <c r="R178" s="627"/>
      <c r="S178" s="627"/>
      <c r="T178" s="627"/>
      <c r="U178" s="626" t="s">
        <v>114</v>
      </c>
      <c r="V178" s="627"/>
      <c r="W178" s="627"/>
      <c r="X178" s="627"/>
      <c r="Y178" s="627"/>
      <c r="Z178" s="626" t="s">
        <v>159</v>
      </c>
      <c r="AA178" s="627"/>
      <c r="AB178" s="627"/>
      <c r="AC178" s="627"/>
      <c r="AD178" s="627"/>
      <c r="AE178" s="626" t="s">
        <v>157</v>
      </c>
      <c r="AF178" s="627"/>
      <c r="AG178" s="627"/>
      <c r="AH178" s="627"/>
      <c r="AI178" s="627"/>
      <c r="AJ178" s="626" t="s">
        <v>160</v>
      </c>
      <c r="AK178" s="627"/>
      <c r="AL178" s="627"/>
      <c r="AM178" s="627"/>
      <c r="AN178" s="627"/>
      <c r="AO178" s="626" t="s">
        <v>115</v>
      </c>
      <c r="AP178" s="627"/>
      <c r="AQ178" s="627"/>
      <c r="AR178" s="627"/>
      <c r="AS178" s="627"/>
      <c r="AT178" s="626" t="s">
        <v>162</v>
      </c>
      <c r="AU178" s="627"/>
      <c r="AV178" s="627"/>
      <c r="AW178" s="627"/>
      <c r="AX178" s="627"/>
    </row>
    <row r="179" spans="2:50">
      <c r="B179" s="619" t="s">
        <v>154</v>
      </c>
      <c r="C179" s="619" t="s">
        <v>453</v>
      </c>
      <c r="D179" s="619"/>
      <c r="E179" s="619" t="s">
        <v>444</v>
      </c>
      <c r="F179" s="619"/>
      <c r="G179" s="619"/>
      <c r="H179" s="635" t="s">
        <v>440</v>
      </c>
      <c r="I179" s="603" t="s">
        <v>445</v>
      </c>
      <c r="J179" s="603"/>
      <c r="K179" s="603"/>
      <c r="L179" s="604" t="s">
        <v>440</v>
      </c>
      <c r="M179" s="610" t="s">
        <v>441</v>
      </c>
      <c r="N179" s="619"/>
      <c r="O179" s="619" t="s">
        <v>446</v>
      </c>
      <c r="P179" s="616" t="s">
        <v>442</v>
      </c>
      <c r="Q179" s="617"/>
      <c r="R179" s="617"/>
      <c r="S179" s="618"/>
      <c r="T179" s="619" t="s">
        <v>440</v>
      </c>
      <c r="U179" s="616" t="s">
        <v>442</v>
      </c>
      <c r="V179" s="617"/>
      <c r="W179" s="617"/>
      <c r="X179" s="618"/>
      <c r="Y179" s="619" t="s">
        <v>440</v>
      </c>
      <c r="Z179" s="616" t="s">
        <v>442</v>
      </c>
      <c r="AA179" s="617"/>
      <c r="AB179" s="617"/>
      <c r="AC179" s="618"/>
      <c r="AD179" s="619" t="s">
        <v>440</v>
      </c>
      <c r="AE179" s="616" t="s">
        <v>442</v>
      </c>
      <c r="AF179" s="617"/>
      <c r="AG179" s="617"/>
      <c r="AH179" s="618"/>
      <c r="AI179" s="619" t="s">
        <v>440</v>
      </c>
      <c r="AJ179" s="616" t="s">
        <v>442</v>
      </c>
      <c r="AK179" s="617"/>
      <c r="AL179" s="617"/>
      <c r="AM179" s="618"/>
      <c r="AN179" s="619" t="s">
        <v>440</v>
      </c>
      <c r="AO179" s="616" t="s">
        <v>442</v>
      </c>
      <c r="AP179" s="617"/>
      <c r="AQ179" s="617"/>
      <c r="AR179" s="618"/>
      <c r="AS179" s="619" t="s">
        <v>440</v>
      </c>
      <c r="AT179" s="616" t="s">
        <v>442</v>
      </c>
      <c r="AU179" s="617"/>
      <c r="AV179" s="617"/>
      <c r="AW179" s="618"/>
      <c r="AX179" s="619" t="s">
        <v>440</v>
      </c>
    </row>
    <row r="180" spans="2:50">
      <c r="B180" s="619"/>
      <c r="C180" s="619"/>
      <c r="D180" s="619"/>
      <c r="E180" s="619" t="s">
        <v>447</v>
      </c>
      <c r="F180" s="619"/>
      <c r="G180" s="619"/>
      <c r="H180" s="636"/>
      <c r="I180" s="603" t="s">
        <v>447</v>
      </c>
      <c r="J180" s="603"/>
      <c r="K180" s="603"/>
      <c r="L180" s="605"/>
      <c r="M180" s="611"/>
      <c r="N180" s="619"/>
      <c r="O180" s="619"/>
      <c r="P180" s="616" t="s">
        <v>448</v>
      </c>
      <c r="Q180" s="617"/>
      <c r="R180" s="617"/>
      <c r="S180" s="618"/>
      <c r="T180" s="619"/>
      <c r="U180" s="616" t="s">
        <v>448</v>
      </c>
      <c r="V180" s="617"/>
      <c r="W180" s="617"/>
      <c r="X180" s="618"/>
      <c r="Y180" s="619"/>
      <c r="Z180" s="616" t="s">
        <v>448</v>
      </c>
      <c r="AA180" s="617"/>
      <c r="AB180" s="617"/>
      <c r="AC180" s="618"/>
      <c r="AD180" s="619"/>
      <c r="AE180" s="616" t="s">
        <v>448</v>
      </c>
      <c r="AF180" s="617"/>
      <c r="AG180" s="617"/>
      <c r="AH180" s="618"/>
      <c r="AI180" s="619"/>
      <c r="AJ180" s="616" t="s">
        <v>448</v>
      </c>
      <c r="AK180" s="617"/>
      <c r="AL180" s="617"/>
      <c r="AM180" s="618"/>
      <c r="AN180" s="619"/>
      <c r="AO180" s="616" t="s">
        <v>448</v>
      </c>
      <c r="AP180" s="617"/>
      <c r="AQ180" s="617"/>
      <c r="AR180" s="618"/>
      <c r="AS180" s="619"/>
      <c r="AT180" s="616" t="s">
        <v>448</v>
      </c>
      <c r="AU180" s="617"/>
      <c r="AV180" s="617"/>
      <c r="AW180" s="618"/>
      <c r="AX180" s="619"/>
    </row>
    <row r="181" spans="2:50">
      <c r="B181" s="619"/>
      <c r="C181" s="619"/>
      <c r="D181" s="619"/>
      <c r="E181" s="357" t="s">
        <v>449</v>
      </c>
      <c r="F181" s="357" t="s">
        <v>450</v>
      </c>
      <c r="G181" s="357" t="s">
        <v>451</v>
      </c>
      <c r="H181" s="637"/>
      <c r="I181" s="358" t="s">
        <v>449</v>
      </c>
      <c r="J181" s="358" t="s">
        <v>450</v>
      </c>
      <c r="K181" s="358" t="s">
        <v>451</v>
      </c>
      <c r="L181" s="606"/>
      <c r="M181" s="612"/>
      <c r="N181" s="619"/>
      <c r="O181" s="619"/>
      <c r="P181" s="357" t="s">
        <v>449</v>
      </c>
      <c r="Q181" s="357" t="s">
        <v>450</v>
      </c>
      <c r="R181" s="357" t="s">
        <v>451</v>
      </c>
      <c r="S181" s="357" t="s">
        <v>441</v>
      </c>
      <c r="T181" s="619"/>
      <c r="U181" s="357" t="s">
        <v>449</v>
      </c>
      <c r="V181" s="357" t="s">
        <v>450</v>
      </c>
      <c r="W181" s="357" t="s">
        <v>451</v>
      </c>
      <c r="X181" s="357" t="s">
        <v>441</v>
      </c>
      <c r="Y181" s="619"/>
      <c r="Z181" s="357" t="s">
        <v>449</v>
      </c>
      <c r="AA181" s="357" t="s">
        <v>450</v>
      </c>
      <c r="AB181" s="357" t="s">
        <v>451</v>
      </c>
      <c r="AC181" s="357" t="s">
        <v>441</v>
      </c>
      <c r="AD181" s="619"/>
      <c r="AE181" s="357" t="s">
        <v>449</v>
      </c>
      <c r="AF181" s="357" t="s">
        <v>450</v>
      </c>
      <c r="AG181" s="357" t="s">
        <v>451</v>
      </c>
      <c r="AH181" s="357" t="s">
        <v>441</v>
      </c>
      <c r="AI181" s="619"/>
      <c r="AJ181" s="357" t="s">
        <v>449</v>
      </c>
      <c r="AK181" s="357" t="s">
        <v>450</v>
      </c>
      <c r="AL181" s="357" t="s">
        <v>451</v>
      </c>
      <c r="AM181" s="357" t="s">
        <v>441</v>
      </c>
      <c r="AN181" s="619"/>
      <c r="AO181" s="357" t="s">
        <v>449</v>
      </c>
      <c r="AP181" s="357" t="s">
        <v>450</v>
      </c>
      <c r="AQ181" s="357" t="s">
        <v>451</v>
      </c>
      <c r="AR181" s="357" t="s">
        <v>441</v>
      </c>
      <c r="AS181" s="619"/>
      <c r="AT181" s="357" t="s">
        <v>449</v>
      </c>
      <c r="AU181" s="357" t="s">
        <v>450</v>
      </c>
      <c r="AV181" s="357" t="s">
        <v>451</v>
      </c>
      <c r="AW181" s="357" t="s">
        <v>441</v>
      </c>
      <c r="AX181" s="619"/>
    </row>
    <row r="182" spans="2:50">
      <c r="B182" s="627" t="s">
        <v>150</v>
      </c>
      <c r="C182" s="356">
        <v>1</v>
      </c>
      <c r="D182" s="356"/>
      <c r="E182" s="356"/>
      <c r="F182" s="356"/>
      <c r="G182" s="356"/>
      <c r="H182" s="628" t="e">
        <f>AVERAGE(G182:G211)</f>
        <v>#DIV/0!</v>
      </c>
      <c r="I182" s="200" t="e">
        <f>AVERAGE(P182,U182,Z182,AE182,AJ182,AO182,AT182)</f>
        <v>#DIV/0!</v>
      </c>
      <c r="J182" s="200" t="e">
        <f>AVERAGE(Q182,V182,AA182,AF182,AK182,AP182,AU182)</f>
        <v>#DIV/0!</v>
      </c>
      <c r="K182" s="201" t="e">
        <f>AVERAGE(R182,W182,AB182,AG182,AL182,AQ182,AV182)</f>
        <v>#DIV/0!</v>
      </c>
      <c r="L182" s="600" t="str">
        <f>IFERROR(AVERAGE(K182:K211),"-")</f>
        <v>-</v>
      </c>
      <c r="M182" s="200" t="e">
        <f>RANK(K182, K$182:$K$211)</f>
        <v>#DIV/0!</v>
      </c>
      <c r="N182" s="619"/>
      <c r="O182" s="619"/>
      <c r="P182" s="183"/>
      <c r="Q182" s="183"/>
      <c r="R182" s="359"/>
      <c r="S182" s="356" t="e">
        <f>RANK(R182, R$182:R$211)</f>
        <v>#N/A</v>
      </c>
      <c r="T182" s="628" t="e">
        <f>AVERAGE(R182:R211)</f>
        <v>#DIV/0!</v>
      </c>
      <c r="U182" s="183"/>
      <c r="V182" s="183"/>
      <c r="W182" s="359"/>
      <c r="X182" s="376" t="e">
        <f>RANK(W182, W$182:W$211)</f>
        <v>#N/A</v>
      </c>
      <c r="Y182" s="628" t="e">
        <f>AVERAGE(W182:W211)</f>
        <v>#DIV/0!</v>
      </c>
      <c r="Z182" s="183"/>
      <c r="AA182" s="183"/>
      <c r="AB182" s="377"/>
      <c r="AC182" s="376" t="e">
        <f>RANK(AB182, AB$182:AB$211)</f>
        <v>#N/A</v>
      </c>
      <c r="AD182" s="628" t="e">
        <f>AVERAGE(AB182:AB211)</f>
        <v>#DIV/0!</v>
      </c>
      <c r="AE182" s="183"/>
      <c r="AF182" s="183"/>
      <c r="AG182" s="377"/>
      <c r="AH182" s="376" t="e">
        <f>RANK(AG182, AG$182:AG$211)</f>
        <v>#N/A</v>
      </c>
      <c r="AI182" s="628" t="e">
        <f>AVERAGE(AG182:AG211)</f>
        <v>#DIV/0!</v>
      </c>
      <c r="AJ182" s="183"/>
      <c r="AK182" s="183"/>
      <c r="AL182" s="377"/>
      <c r="AM182" s="376" t="e">
        <f>RANK(AL182, AL$182:AL$211)</f>
        <v>#N/A</v>
      </c>
      <c r="AN182" s="628" t="e">
        <f>AVERAGE(AL182:AL211)</f>
        <v>#DIV/0!</v>
      </c>
      <c r="AO182" s="183"/>
      <c r="AP182" s="183"/>
      <c r="AQ182" s="377"/>
      <c r="AR182" s="376" t="e">
        <f>RANK(AQ182, AQ$182:AQ$211)</f>
        <v>#N/A</v>
      </c>
      <c r="AS182" s="628" t="e">
        <f>AVERAGE(AQ182:AQ211)</f>
        <v>#DIV/0!</v>
      </c>
      <c r="AT182" s="183"/>
      <c r="AU182" s="183"/>
      <c r="AV182" s="377"/>
      <c r="AW182" s="376" t="e">
        <f>RANK(AV182, AV$182:AV$211)</f>
        <v>#N/A</v>
      </c>
      <c r="AX182" s="628" t="e">
        <f>AVERAGE(AV182:AV211)</f>
        <v>#DIV/0!</v>
      </c>
    </row>
    <row r="183" spans="2:50">
      <c r="B183" s="627"/>
      <c r="C183" s="356">
        <v>2</v>
      </c>
      <c r="D183" s="356"/>
      <c r="E183" s="356"/>
      <c r="F183" s="356"/>
      <c r="G183" s="356"/>
      <c r="H183" s="629"/>
      <c r="I183" s="200" t="e">
        <f t="shared" ref="I183:I204" si="101">AVERAGE(P183,U183,Z183,AE183,AJ183,AO183,AT183)</f>
        <v>#DIV/0!</v>
      </c>
      <c r="J183" s="200" t="e">
        <f t="shared" ref="J183:J204" si="102">AVERAGE(Q183,V183,AA183,AF183,AK183,AP183,AU183)</f>
        <v>#DIV/0!</v>
      </c>
      <c r="K183" s="201" t="e">
        <f t="shared" ref="K183:K204" si="103">AVERAGE(R183,W183,AB183,AG183,AL183,AQ183,AV183)</f>
        <v>#DIV/0!</v>
      </c>
      <c r="L183" s="601"/>
      <c r="M183" s="200" t="e">
        <f>RANK(K183, K$182:$K$211)</f>
        <v>#DIV/0!</v>
      </c>
      <c r="N183" s="619"/>
      <c r="O183" s="619"/>
      <c r="P183" s="356"/>
      <c r="Q183" s="183"/>
      <c r="R183" s="359"/>
      <c r="S183" s="376" t="e">
        <f t="shared" ref="S183:S211" si="104">RANK(R183, R$182:R$211)</f>
        <v>#N/A</v>
      </c>
      <c r="T183" s="629"/>
      <c r="U183" s="356"/>
      <c r="V183" s="183"/>
      <c r="W183" s="359"/>
      <c r="X183" s="376" t="e">
        <f t="shared" ref="X183:X211" si="105">RANK(W183, W$182:W$211)</f>
        <v>#N/A</v>
      </c>
      <c r="Y183" s="629"/>
      <c r="Z183" s="376"/>
      <c r="AA183" s="183"/>
      <c r="AB183" s="377"/>
      <c r="AC183" s="376" t="e">
        <f t="shared" ref="AC183:AC211" si="106">RANK(AB183, AB$182:AB$211)</f>
        <v>#N/A</v>
      </c>
      <c r="AD183" s="629"/>
      <c r="AE183" s="376"/>
      <c r="AF183" s="183"/>
      <c r="AG183" s="377"/>
      <c r="AH183" s="376" t="e">
        <f t="shared" ref="AH183:AH211" si="107">RANK(AG183, AG$182:AG$211)</f>
        <v>#N/A</v>
      </c>
      <c r="AI183" s="629"/>
      <c r="AJ183" s="376"/>
      <c r="AK183" s="183"/>
      <c r="AL183" s="377"/>
      <c r="AM183" s="376" t="e">
        <f t="shared" ref="AM183:AM211" si="108">RANK(AL183, AL$182:AL$211)</f>
        <v>#N/A</v>
      </c>
      <c r="AN183" s="629"/>
      <c r="AO183" s="376"/>
      <c r="AP183" s="183"/>
      <c r="AQ183" s="377"/>
      <c r="AR183" s="376" t="e">
        <f t="shared" ref="AR183:AR211" si="109">RANK(AQ183, AQ$182:AQ$211)</f>
        <v>#N/A</v>
      </c>
      <c r="AS183" s="629"/>
      <c r="AT183" s="376"/>
      <c r="AU183" s="183"/>
      <c r="AV183" s="377"/>
      <c r="AW183" s="376" t="e">
        <f t="shared" ref="AW183:AW211" si="110">RANK(AV183, AV$182:AV$211)</f>
        <v>#N/A</v>
      </c>
      <c r="AX183" s="629"/>
    </row>
    <row r="184" spans="2:50">
      <c r="B184" s="627"/>
      <c r="C184" s="356">
        <v>3</v>
      </c>
      <c r="D184" s="356"/>
      <c r="E184" s="356"/>
      <c r="F184" s="356"/>
      <c r="G184" s="356"/>
      <c r="H184" s="629"/>
      <c r="I184" s="200" t="e">
        <f t="shared" si="101"/>
        <v>#DIV/0!</v>
      </c>
      <c r="J184" s="200" t="e">
        <f t="shared" si="102"/>
        <v>#DIV/0!</v>
      </c>
      <c r="K184" s="201" t="e">
        <f t="shared" si="103"/>
        <v>#DIV/0!</v>
      </c>
      <c r="L184" s="601"/>
      <c r="M184" s="200" t="e">
        <f>RANK(K184, K$182:$K$211)</f>
        <v>#DIV/0!</v>
      </c>
      <c r="N184" s="619"/>
      <c r="O184" s="619"/>
      <c r="P184" s="356"/>
      <c r="Q184" s="183"/>
      <c r="R184" s="359"/>
      <c r="S184" s="376" t="e">
        <f t="shared" si="104"/>
        <v>#N/A</v>
      </c>
      <c r="T184" s="629"/>
      <c r="U184" s="356"/>
      <c r="V184" s="183"/>
      <c r="W184" s="359"/>
      <c r="X184" s="376" t="e">
        <f t="shared" si="105"/>
        <v>#N/A</v>
      </c>
      <c r="Y184" s="629"/>
      <c r="Z184" s="376"/>
      <c r="AA184" s="183"/>
      <c r="AB184" s="377"/>
      <c r="AC184" s="376" t="e">
        <f t="shared" si="106"/>
        <v>#N/A</v>
      </c>
      <c r="AD184" s="629"/>
      <c r="AE184" s="376"/>
      <c r="AF184" s="183"/>
      <c r="AG184" s="377"/>
      <c r="AH184" s="376" t="e">
        <f t="shared" si="107"/>
        <v>#N/A</v>
      </c>
      <c r="AI184" s="629"/>
      <c r="AJ184" s="376"/>
      <c r="AK184" s="183"/>
      <c r="AL184" s="377"/>
      <c r="AM184" s="376" t="e">
        <f t="shared" si="108"/>
        <v>#N/A</v>
      </c>
      <c r="AN184" s="629"/>
      <c r="AO184" s="376"/>
      <c r="AP184" s="183"/>
      <c r="AQ184" s="377"/>
      <c r="AR184" s="376" t="e">
        <f t="shared" si="109"/>
        <v>#N/A</v>
      </c>
      <c r="AS184" s="629"/>
      <c r="AT184" s="376"/>
      <c r="AU184" s="183"/>
      <c r="AV184" s="377"/>
      <c r="AW184" s="376" t="e">
        <f t="shared" si="110"/>
        <v>#N/A</v>
      </c>
      <c r="AX184" s="629"/>
    </row>
    <row r="185" spans="2:50">
      <c r="B185" s="627"/>
      <c r="C185" s="356">
        <v>4</v>
      </c>
      <c r="D185" s="356"/>
      <c r="E185" s="356"/>
      <c r="F185" s="356"/>
      <c r="G185" s="356"/>
      <c r="H185" s="629"/>
      <c r="I185" s="200" t="e">
        <f t="shared" si="101"/>
        <v>#DIV/0!</v>
      </c>
      <c r="J185" s="200" t="e">
        <f t="shared" si="102"/>
        <v>#DIV/0!</v>
      </c>
      <c r="K185" s="201" t="e">
        <f t="shared" si="103"/>
        <v>#DIV/0!</v>
      </c>
      <c r="L185" s="601"/>
      <c r="M185" s="200" t="e">
        <f>RANK(K185, K$182:$K$211)</f>
        <v>#DIV/0!</v>
      </c>
      <c r="N185" s="619"/>
      <c r="O185" s="619"/>
      <c r="P185" s="356"/>
      <c r="Q185" s="183"/>
      <c r="R185" s="359"/>
      <c r="S185" s="376" t="e">
        <f t="shared" si="104"/>
        <v>#N/A</v>
      </c>
      <c r="T185" s="629"/>
      <c r="U185" s="356"/>
      <c r="V185" s="183"/>
      <c r="W185" s="359"/>
      <c r="X185" s="376" t="e">
        <f t="shared" si="105"/>
        <v>#N/A</v>
      </c>
      <c r="Y185" s="629"/>
      <c r="Z185" s="376"/>
      <c r="AA185" s="183"/>
      <c r="AB185" s="377"/>
      <c r="AC185" s="376" t="e">
        <f t="shared" si="106"/>
        <v>#N/A</v>
      </c>
      <c r="AD185" s="629"/>
      <c r="AE185" s="376"/>
      <c r="AF185" s="183"/>
      <c r="AG185" s="377"/>
      <c r="AH185" s="376" t="e">
        <f t="shared" si="107"/>
        <v>#N/A</v>
      </c>
      <c r="AI185" s="629"/>
      <c r="AJ185" s="376"/>
      <c r="AK185" s="183"/>
      <c r="AL185" s="377"/>
      <c r="AM185" s="376" t="e">
        <f t="shared" si="108"/>
        <v>#N/A</v>
      </c>
      <c r="AN185" s="629"/>
      <c r="AO185" s="376"/>
      <c r="AP185" s="183"/>
      <c r="AQ185" s="377"/>
      <c r="AR185" s="376" t="e">
        <f t="shared" si="109"/>
        <v>#N/A</v>
      </c>
      <c r="AS185" s="629"/>
      <c r="AT185" s="376"/>
      <c r="AU185" s="183"/>
      <c r="AV185" s="377"/>
      <c r="AW185" s="376" t="e">
        <f t="shared" si="110"/>
        <v>#N/A</v>
      </c>
      <c r="AX185" s="629"/>
    </row>
    <row r="186" spans="2:50">
      <c r="B186" s="627"/>
      <c r="C186" s="356">
        <v>5</v>
      </c>
      <c r="D186" s="356"/>
      <c r="E186" s="356"/>
      <c r="F186" s="356"/>
      <c r="G186" s="356"/>
      <c r="H186" s="629"/>
      <c r="I186" s="200" t="e">
        <f t="shared" si="101"/>
        <v>#DIV/0!</v>
      </c>
      <c r="J186" s="200" t="e">
        <f t="shared" si="102"/>
        <v>#DIV/0!</v>
      </c>
      <c r="K186" s="201" t="e">
        <f t="shared" si="103"/>
        <v>#DIV/0!</v>
      </c>
      <c r="L186" s="601"/>
      <c r="M186" s="200" t="e">
        <f>RANK(K186, K$182:$K$211)</f>
        <v>#DIV/0!</v>
      </c>
      <c r="N186" s="619"/>
      <c r="O186" s="619"/>
      <c r="P186" s="356"/>
      <c r="Q186" s="183"/>
      <c r="R186" s="359"/>
      <c r="S186" s="376" t="e">
        <f t="shared" si="104"/>
        <v>#N/A</v>
      </c>
      <c r="T186" s="629"/>
      <c r="U186" s="356"/>
      <c r="V186" s="183"/>
      <c r="W186" s="359"/>
      <c r="X186" s="376" t="e">
        <f t="shared" si="105"/>
        <v>#N/A</v>
      </c>
      <c r="Y186" s="629"/>
      <c r="Z186" s="376"/>
      <c r="AA186" s="183"/>
      <c r="AB186" s="377"/>
      <c r="AC186" s="376" t="e">
        <f t="shared" si="106"/>
        <v>#N/A</v>
      </c>
      <c r="AD186" s="629"/>
      <c r="AE186" s="376"/>
      <c r="AF186" s="183"/>
      <c r="AG186" s="377"/>
      <c r="AH186" s="376" t="e">
        <f t="shared" si="107"/>
        <v>#N/A</v>
      </c>
      <c r="AI186" s="629"/>
      <c r="AJ186" s="376"/>
      <c r="AK186" s="183"/>
      <c r="AL186" s="377"/>
      <c r="AM186" s="376" t="e">
        <f t="shared" si="108"/>
        <v>#N/A</v>
      </c>
      <c r="AN186" s="629"/>
      <c r="AO186" s="376"/>
      <c r="AP186" s="183"/>
      <c r="AQ186" s="377"/>
      <c r="AR186" s="376" t="e">
        <f t="shared" si="109"/>
        <v>#N/A</v>
      </c>
      <c r="AS186" s="629"/>
      <c r="AT186" s="376"/>
      <c r="AU186" s="183"/>
      <c r="AV186" s="377"/>
      <c r="AW186" s="376" t="e">
        <f t="shared" si="110"/>
        <v>#N/A</v>
      </c>
      <c r="AX186" s="629"/>
    </row>
    <row r="187" spans="2:50">
      <c r="B187" s="627"/>
      <c r="C187" s="356">
        <v>6</v>
      </c>
      <c r="D187" s="356"/>
      <c r="E187" s="356"/>
      <c r="F187" s="356"/>
      <c r="G187" s="356"/>
      <c r="H187" s="629"/>
      <c r="I187" s="200" t="e">
        <f t="shared" si="101"/>
        <v>#DIV/0!</v>
      </c>
      <c r="J187" s="200" t="e">
        <f t="shared" si="102"/>
        <v>#DIV/0!</v>
      </c>
      <c r="K187" s="201" t="e">
        <f t="shared" si="103"/>
        <v>#DIV/0!</v>
      </c>
      <c r="L187" s="601"/>
      <c r="M187" s="200" t="e">
        <f>RANK(K187, K$182:$K$211)</f>
        <v>#DIV/0!</v>
      </c>
      <c r="N187" s="619"/>
      <c r="O187" s="619"/>
      <c r="P187" s="356"/>
      <c r="Q187" s="183"/>
      <c r="R187" s="359"/>
      <c r="S187" s="376" t="e">
        <f t="shared" si="104"/>
        <v>#N/A</v>
      </c>
      <c r="T187" s="629"/>
      <c r="U187" s="356"/>
      <c r="V187" s="183"/>
      <c r="W187" s="359"/>
      <c r="X187" s="376" t="e">
        <f t="shared" si="105"/>
        <v>#N/A</v>
      </c>
      <c r="Y187" s="629"/>
      <c r="Z187" s="376"/>
      <c r="AA187" s="183"/>
      <c r="AB187" s="377"/>
      <c r="AC187" s="376" t="e">
        <f t="shared" si="106"/>
        <v>#N/A</v>
      </c>
      <c r="AD187" s="629"/>
      <c r="AE187" s="376"/>
      <c r="AF187" s="183"/>
      <c r="AG187" s="377"/>
      <c r="AH187" s="376" t="e">
        <f t="shared" si="107"/>
        <v>#N/A</v>
      </c>
      <c r="AI187" s="629"/>
      <c r="AJ187" s="376"/>
      <c r="AK187" s="183"/>
      <c r="AL187" s="377"/>
      <c r="AM187" s="376" t="e">
        <f t="shared" si="108"/>
        <v>#N/A</v>
      </c>
      <c r="AN187" s="629"/>
      <c r="AO187" s="376"/>
      <c r="AP187" s="183"/>
      <c r="AQ187" s="377"/>
      <c r="AR187" s="376" t="e">
        <f t="shared" si="109"/>
        <v>#N/A</v>
      </c>
      <c r="AS187" s="629"/>
      <c r="AT187" s="376"/>
      <c r="AU187" s="183"/>
      <c r="AV187" s="377"/>
      <c r="AW187" s="376" t="e">
        <f t="shared" si="110"/>
        <v>#N/A</v>
      </c>
      <c r="AX187" s="629"/>
    </row>
    <row r="188" spans="2:50">
      <c r="B188" s="627"/>
      <c r="C188" s="356">
        <v>7</v>
      </c>
      <c r="D188" s="356"/>
      <c r="E188" s="356"/>
      <c r="F188" s="356"/>
      <c r="G188" s="356"/>
      <c r="H188" s="629"/>
      <c r="I188" s="200" t="e">
        <f t="shared" si="101"/>
        <v>#DIV/0!</v>
      </c>
      <c r="J188" s="200" t="e">
        <f t="shared" si="102"/>
        <v>#DIV/0!</v>
      </c>
      <c r="K188" s="201" t="e">
        <f t="shared" si="103"/>
        <v>#DIV/0!</v>
      </c>
      <c r="L188" s="601"/>
      <c r="M188" s="200" t="e">
        <f>RANK(K188, K$182:$K$211)</f>
        <v>#DIV/0!</v>
      </c>
      <c r="N188" s="619"/>
      <c r="O188" s="619"/>
      <c r="P188" s="356"/>
      <c r="Q188" s="183"/>
      <c r="R188" s="359"/>
      <c r="S188" s="376" t="e">
        <f t="shared" si="104"/>
        <v>#N/A</v>
      </c>
      <c r="T188" s="629"/>
      <c r="U188" s="356"/>
      <c r="V188" s="183"/>
      <c r="W188" s="359"/>
      <c r="X188" s="376" t="e">
        <f t="shared" si="105"/>
        <v>#N/A</v>
      </c>
      <c r="Y188" s="629"/>
      <c r="Z188" s="376"/>
      <c r="AA188" s="183"/>
      <c r="AB188" s="377"/>
      <c r="AC188" s="376" t="e">
        <f t="shared" si="106"/>
        <v>#N/A</v>
      </c>
      <c r="AD188" s="629"/>
      <c r="AE188" s="376"/>
      <c r="AF188" s="183"/>
      <c r="AG188" s="377"/>
      <c r="AH188" s="376" t="e">
        <f t="shared" si="107"/>
        <v>#N/A</v>
      </c>
      <c r="AI188" s="629"/>
      <c r="AJ188" s="376"/>
      <c r="AK188" s="183"/>
      <c r="AL188" s="377"/>
      <c r="AM188" s="376" t="e">
        <f t="shared" si="108"/>
        <v>#N/A</v>
      </c>
      <c r="AN188" s="629"/>
      <c r="AO188" s="376"/>
      <c r="AP188" s="183"/>
      <c r="AQ188" s="377"/>
      <c r="AR188" s="376" t="e">
        <f t="shared" si="109"/>
        <v>#N/A</v>
      </c>
      <c r="AS188" s="629"/>
      <c r="AT188" s="376"/>
      <c r="AU188" s="183"/>
      <c r="AV188" s="377"/>
      <c r="AW188" s="376" t="e">
        <f t="shared" si="110"/>
        <v>#N/A</v>
      </c>
      <c r="AX188" s="629"/>
    </row>
    <row r="189" spans="2:50">
      <c r="B189" s="627"/>
      <c r="C189" s="356">
        <v>8</v>
      </c>
      <c r="D189" s="356"/>
      <c r="E189" s="356"/>
      <c r="F189" s="356"/>
      <c r="G189" s="356"/>
      <c r="H189" s="629"/>
      <c r="I189" s="200" t="e">
        <f t="shared" si="101"/>
        <v>#DIV/0!</v>
      </c>
      <c r="J189" s="200" t="e">
        <f t="shared" si="102"/>
        <v>#DIV/0!</v>
      </c>
      <c r="K189" s="201" t="e">
        <f t="shared" si="103"/>
        <v>#DIV/0!</v>
      </c>
      <c r="L189" s="601"/>
      <c r="M189" s="200" t="e">
        <f>RANK(K189, K$182:$K$211)</f>
        <v>#DIV/0!</v>
      </c>
      <c r="N189" s="619"/>
      <c r="O189" s="619"/>
      <c r="P189" s="356"/>
      <c r="Q189" s="183"/>
      <c r="R189" s="359"/>
      <c r="S189" s="376" t="e">
        <f t="shared" si="104"/>
        <v>#N/A</v>
      </c>
      <c r="T189" s="629"/>
      <c r="U189" s="356"/>
      <c r="V189" s="183"/>
      <c r="W189" s="359"/>
      <c r="X189" s="376" t="e">
        <f t="shared" si="105"/>
        <v>#N/A</v>
      </c>
      <c r="Y189" s="629"/>
      <c r="Z189" s="376"/>
      <c r="AA189" s="183"/>
      <c r="AB189" s="377"/>
      <c r="AC189" s="376" t="e">
        <f t="shared" si="106"/>
        <v>#N/A</v>
      </c>
      <c r="AD189" s="629"/>
      <c r="AE189" s="376"/>
      <c r="AF189" s="183"/>
      <c r="AG189" s="377"/>
      <c r="AH189" s="376" t="e">
        <f t="shared" si="107"/>
        <v>#N/A</v>
      </c>
      <c r="AI189" s="629"/>
      <c r="AJ189" s="376"/>
      <c r="AK189" s="183"/>
      <c r="AL189" s="377"/>
      <c r="AM189" s="376" t="e">
        <f t="shared" si="108"/>
        <v>#N/A</v>
      </c>
      <c r="AN189" s="629"/>
      <c r="AO189" s="376"/>
      <c r="AP189" s="183"/>
      <c r="AQ189" s="377"/>
      <c r="AR189" s="376" t="e">
        <f t="shared" si="109"/>
        <v>#N/A</v>
      </c>
      <c r="AS189" s="629"/>
      <c r="AT189" s="376"/>
      <c r="AU189" s="183"/>
      <c r="AV189" s="377"/>
      <c r="AW189" s="376" t="e">
        <f t="shared" si="110"/>
        <v>#N/A</v>
      </c>
      <c r="AX189" s="629"/>
    </row>
    <row r="190" spans="2:50">
      <c r="B190" s="627"/>
      <c r="C190" s="356">
        <v>9</v>
      </c>
      <c r="D190" s="356"/>
      <c r="E190" s="356"/>
      <c r="F190" s="356"/>
      <c r="G190" s="356"/>
      <c r="H190" s="629"/>
      <c r="I190" s="200" t="e">
        <f t="shared" si="101"/>
        <v>#DIV/0!</v>
      </c>
      <c r="J190" s="200" t="e">
        <f t="shared" si="102"/>
        <v>#DIV/0!</v>
      </c>
      <c r="K190" s="201" t="e">
        <f t="shared" si="103"/>
        <v>#DIV/0!</v>
      </c>
      <c r="L190" s="601"/>
      <c r="M190" s="200" t="e">
        <f>RANK(K190, K$182:$K$211)</f>
        <v>#DIV/0!</v>
      </c>
      <c r="N190" s="619"/>
      <c r="O190" s="619"/>
      <c r="P190" s="356"/>
      <c r="Q190" s="183"/>
      <c r="R190" s="359"/>
      <c r="S190" s="376" t="e">
        <f t="shared" si="104"/>
        <v>#N/A</v>
      </c>
      <c r="T190" s="629"/>
      <c r="U190" s="356"/>
      <c r="V190" s="183"/>
      <c r="W190" s="359"/>
      <c r="X190" s="376" t="e">
        <f t="shared" si="105"/>
        <v>#N/A</v>
      </c>
      <c r="Y190" s="629"/>
      <c r="Z190" s="376"/>
      <c r="AA190" s="183"/>
      <c r="AB190" s="377"/>
      <c r="AC190" s="376" t="e">
        <f t="shared" si="106"/>
        <v>#N/A</v>
      </c>
      <c r="AD190" s="629"/>
      <c r="AE190" s="376"/>
      <c r="AF190" s="183"/>
      <c r="AG190" s="377"/>
      <c r="AH190" s="376" t="e">
        <f t="shared" si="107"/>
        <v>#N/A</v>
      </c>
      <c r="AI190" s="629"/>
      <c r="AJ190" s="376"/>
      <c r="AK190" s="183"/>
      <c r="AL190" s="377"/>
      <c r="AM190" s="376" t="e">
        <f t="shared" si="108"/>
        <v>#N/A</v>
      </c>
      <c r="AN190" s="629"/>
      <c r="AO190" s="376"/>
      <c r="AP190" s="183"/>
      <c r="AQ190" s="377"/>
      <c r="AR190" s="376" t="e">
        <f t="shared" si="109"/>
        <v>#N/A</v>
      </c>
      <c r="AS190" s="629"/>
      <c r="AT190" s="376"/>
      <c r="AU190" s="183"/>
      <c r="AV190" s="377"/>
      <c r="AW190" s="376" t="e">
        <f t="shared" si="110"/>
        <v>#N/A</v>
      </c>
      <c r="AX190" s="629"/>
    </row>
    <row r="191" spans="2:50">
      <c r="B191" s="627"/>
      <c r="C191" s="356">
        <v>10</v>
      </c>
      <c r="D191" s="356"/>
      <c r="E191" s="356"/>
      <c r="F191" s="356"/>
      <c r="G191" s="356"/>
      <c r="H191" s="629"/>
      <c r="I191" s="200" t="e">
        <f t="shared" si="101"/>
        <v>#DIV/0!</v>
      </c>
      <c r="J191" s="200" t="e">
        <f t="shared" si="102"/>
        <v>#DIV/0!</v>
      </c>
      <c r="K191" s="201" t="e">
        <f t="shared" si="103"/>
        <v>#DIV/0!</v>
      </c>
      <c r="L191" s="601"/>
      <c r="M191" s="200" t="e">
        <f>RANK(K191, K$182:$K$211)</f>
        <v>#DIV/0!</v>
      </c>
      <c r="N191" s="619"/>
      <c r="O191" s="619"/>
      <c r="P191" s="356"/>
      <c r="Q191" s="183"/>
      <c r="R191" s="359"/>
      <c r="S191" s="376" t="e">
        <f t="shared" si="104"/>
        <v>#N/A</v>
      </c>
      <c r="T191" s="629"/>
      <c r="U191" s="356"/>
      <c r="V191" s="183"/>
      <c r="W191" s="359"/>
      <c r="X191" s="376" t="e">
        <f t="shared" si="105"/>
        <v>#N/A</v>
      </c>
      <c r="Y191" s="629"/>
      <c r="Z191" s="376"/>
      <c r="AA191" s="183"/>
      <c r="AB191" s="377"/>
      <c r="AC191" s="376" t="e">
        <f t="shared" si="106"/>
        <v>#N/A</v>
      </c>
      <c r="AD191" s="629"/>
      <c r="AE191" s="376"/>
      <c r="AF191" s="183"/>
      <c r="AG191" s="377"/>
      <c r="AH191" s="376" t="e">
        <f t="shared" si="107"/>
        <v>#N/A</v>
      </c>
      <c r="AI191" s="629"/>
      <c r="AJ191" s="376"/>
      <c r="AK191" s="183"/>
      <c r="AL191" s="377"/>
      <c r="AM191" s="376" t="e">
        <f t="shared" si="108"/>
        <v>#N/A</v>
      </c>
      <c r="AN191" s="629"/>
      <c r="AO191" s="376"/>
      <c r="AP191" s="183"/>
      <c r="AQ191" s="377"/>
      <c r="AR191" s="376" t="e">
        <f t="shared" si="109"/>
        <v>#N/A</v>
      </c>
      <c r="AS191" s="629"/>
      <c r="AT191" s="376"/>
      <c r="AU191" s="183"/>
      <c r="AV191" s="377"/>
      <c r="AW191" s="376" t="e">
        <f t="shared" si="110"/>
        <v>#N/A</v>
      </c>
      <c r="AX191" s="629"/>
    </row>
    <row r="192" spans="2:50">
      <c r="B192" s="627"/>
      <c r="C192" s="356">
        <v>11</v>
      </c>
      <c r="D192" s="356"/>
      <c r="E192" s="356"/>
      <c r="F192" s="356"/>
      <c r="G192" s="356"/>
      <c r="H192" s="629"/>
      <c r="I192" s="200" t="e">
        <f t="shared" si="101"/>
        <v>#DIV/0!</v>
      </c>
      <c r="J192" s="200" t="e">
        <f t="shared" si="102"/>
        <v>#DIV/0!</v>
      </c>
      <c r="K192" s="201" t="e">
        <f t="shared" si="103"/>
        <v>#DIV/0!</v>
      </c>
      <c r="L192" s="601"/>
      <c r="M192" s="200" t="e">
        <f>RANK(K192, K$182:$K$211)</f>
        <v>#DIV/0!</v>
      </c>
      <c r="N192" s="619"/>
      <c r="O192" s="619"/>
      <c r="P192" s="356"/>
      <c r="Q192" s="183"/>
      <c r="R192" s="359"/>
      <c r="S192" s="376" t="e">
        <f t="shared" si="104"/>
        <v>#N/A</v>
      </c>
      <c r="T192" s="629"/>
      <c r="U192" s="356"/>
      <c r="V192" s="183"/>
      <c r="W192" s="359"/>
      <c r="X192" s="376" t="e">
        <f t="shared" si="105"/>
        <v>#N/A</v>
      </c>
      <c r="Y192" s="629"/>
      <c r="Z192" s="376"/>
      <c r="AA192" s="183"/>
      <c r="AB192" s="377"/>
      <c r="AC192" s="376" t="e">
        <f t="shared" si="106"/>
        <v>#N/A</v>
      </c>
      <c r="AD192" s="629"/>
      <c r="AE192" s="376"/>
      <c r="AF192" s="183"/>
      <c r="AG192" s="377"/>
      <c r="AH192" s="376" t="e">
        <f t="shared" si="107"/>
        <v>#N/A</v>
      </c>
      <c r="AI192" s="629"/>
      <c r="AJ192" s="376"/>
      <c r="AK192" s="183"/>
      <c r="AL192" s="377"/>
      <c r="AM192" s="376" t="e">
        <f t="shared" si="108"/>
        <v>#N/A</v>
      </c>
      <c r="AN192" s="629"/>
      <c r="AO192" s="376"/>
      <c r="AP192" s="183"/>
      <c r="AQ192" s="377"/>
      <c r="AR192" s="376" t="e">
        <f t="shared" si="109"/>
        <v>#N/A</v>
      </c>
      <c r="AS192" s="629"/>
      <c r="AT192" s="376"/>
      <c r="AU192" s="183"/>
      <c r="AV192" s="377"/>
      <c r="AW192" s="376" t="e">
        <f t="shared" si="110"/>
        <v>#N/A</v>
      </c>
      <c r="AX192" s="629"/>
    </row>
    <row r="193" spans="2:50">
      <c r="B193" s="627"/>
      <c r="C193" s="356">
        <v>12</v>
      </c>
      <c r="D193" s="356"/>
      <c r="E193" s="356"/>
      <c r="F193" s="356"/>
      <c r="G193" s="356"/>
      <c r="H193" s="629"/>
      <c r="I193" s="200" t="e">
        <f t="shared" si="101"/>
        <v>#DIV/0!</v>
      </c>
      <c r="J193" s="200" t="e">
        <f t="shared" si="102"/>
        <v>#DIV/0!</v>
      </c>
      <c r="K193" s="201" t="e">
        <f t="shared" si="103"/>
        <v>#DIV/0!</v>
      </c>
      <c r="L193" s="601"/>
      <c r="M193" s="200" t="e">
        <f>RANK(K193, K$182:$K$211)</f>
        <v>#DIV/0!</v>
      </c>
      <c r="N193" s="619"/>
      <c r="O193" s="619"/>
      <c r="P193" s="356"/>
      <c r="Q193" s="183"/>
      <c r="R193" s="359"/>
      <c r="S193" s="376" t="e">
        <f t="shared" si="104"/>
        <v>#N/A</v>
      </c>
      <c r="T193" s="629"/>
      <c r="U193" s="356"/>
      <c r="V193" s="183"/>
      <c r="W193" s="359"/>
      <c r="X193" s="376" t="e">
        <f t="shared" si="105"/>
        <v>#N/A</v>
      </c>
      <c r="Y193" s="629"/>
      <c r="Z193" s="376"/>
      <c r="AA193" s="183"/>
      <c r="AB193" s="377"/>
      <c r="AC193" s="376" t="e">
        <f t="shared" si="106"/>
        <v>#N/A</v>
      </c>
      <c r="AD193" s="629"/>
      <c r="AE193" s="376"/>
      <c r="AF193" s="183"/>
      <c r="AG193" s="377"/>
      <c r="AH193" s="376" t="e">
        <f t="shared" si="107"/>
        <v>#N/A</v>
      </c>
      <c r="AI193" s="629"/>
      <c r="AJ193" s="376"/>
      <c r="AK193" s="183"/>
      <c r="AL193" s="377"/>
      <c r="AM193" s="376" t="e">
        <f t="shared" si="108"/>
        <v>#N/A</v>
      </c>
      <c r="AN193" s="629"/>
      <c r="AO193" s="376"/>
      <c r="AP193" s="183"/>
      <c r="AQ193" s="377"/>
      <c r="AR193" s="376" t="e">
        <f t="shared" si="109"/>
        <v>#N/A</v>
      </c>
      <c r="AS193" s="629"/>
      <c r="AT193" s="376"/>
      <c r="AU193" s="183"/>
      <c r="AV193" s="377"/>
      <c r="AW193" s="376" t="e">
        <f t="shared" si="110"/>
        <v>#N/A</v>
      </c>
      <c r="AX193" s="629"/>
    </row>
    <row r="194" spans="2:50">
      <c r="B194" s="627"/>
      <c r="C194" s="356">
        <v>13</v>
      </c>
      <c r="D194" s="356"/>
      <c r="E194" s="356"/>
      <c r="F194" s="356"/>
      <c r="G194" s="356"/>
      <c r="H194" s="629"/>
      <c r="I194" s="200" t="e">
        <f t="shared" si="101"/>
        <v>#DIV/0!</v>
      </c>
      <c r="J194" s="200" t="e">
        <f t="shared" si="102"/>
        <v>#DIV/0!</v>
      </c>
      <c r="K194" s="201" t="e">
        <f t="shared" si="103"/>
        <v>#DIV/0!</v>
      </c>
      <c r="L194" s="601"/>
      <c r="M194" s="200" t="e">
        <f>RANK(K194, K$182:$K$211)</f>
        <v>#DIV/0!</v>
      </c>
      <c r="N194" s="619"/>
      <c r="O194" s="619"/>
      <c r="P194" s="356"/>
      <c r="Q194" s="183"/>
      <c r="R194" s="359"/>
      <c r="S194" s="376" t="e">
        <f t="shared" si="104"/>
        <v>#N/A</v>
      </c>
      <c r="T194" s="629"/>
      <c r="U194" s="356"/>
      <c r="V194" s="183"/>
      <c r="W194" s="359"/>
      <c r="X194" s="376" t="e">
        <f t="shared" si="105"/>
        <v>#N/A</v>
      </c>
      <c r="Y194" s="629"/>
      <c r="Z194" s="376"/>
      <c r="AA194" s="183"/>
      <c r="AB194" s="377"/>
      <c r="AC194" s="376" t="e">
        <f t="shared" si="106"/>
        <v>#N/A</v>
      </c>
      <c r="AD194" s="629"/>
      <c r="AE194" s="376"/>
      <c r="AF194" s="183"/>
      <c r="AG194" s="377"/>
      <c r="AH194" s="376" t="e">
        <f t="shared" si="107"/>
        <v>#N/A</v>
      </c>
      <c r="AI194" s="629"/>
      <c r="AJ194" s="376"/>
      <c r="AK194" s="183"/>
      <c r="AL194" s="377"/>
      <c r="AM194" s="376" t="e">
        <f t="shared" si="108"/>
        <v>#N/A</v>
      </c>
      <c r="AN194" s="629"/>
      <c r="AO194" s="376"/>
      <c r="AP194" s="183"/>
      <c r="AQ194" s="377"/>
      <c r="AR194" s="376" t="e">
        <f t="shared" si="109"/>
        <v>#N/A</v>
      </c>
      <c r="AS194" s="629"/>
      <c r="AT194" s="376"/>
      <c r="AU194" s="183"/>
      <c r="AV194" s="377"/>
      <c r="AW194" s="376" t="e">
        <f t="shared" si="110"/>
        <v>#N/A</v>
      </c>
      <c r="AX194" s="629"/>
    </row>
    <row r="195" spans="2:50">
      <c r="B195" s="627"/>
      <c r="C195" s="356">
        <v>14</v>
      </c>
      <c r="D195" s="356"/>
      <c r="E195" s="356"/>
      <c r="F195" s="356"/>
      <c r="G195" s="356"/>
      <c r="H195" s="629"/>
      <c r="I195" s="200" t="e">
        <f t="shared" si="101"/>
        <v>#DIV/0!</v>
      </c>
      <c r="J195" s="200" t="e">
        <f t="shared" si="102"/>
        <v>#DIV/0!</v>
      </c>
      <c r="K195" s="201" t="e">
        <f t="shared" si="103"/>
        <v>#DIV/0!</v>
      </c>
      <c r="L195" s="601"/>
      <c r="M195" s="200" t="e">
        <f>RANK(K195, K$182:$K$211)</f>
        <v>#DIV/0!</v>
      </c>
      <c r="N195" s="619"/>
      <c r="O195" s="619"/>
      <c r="P195" s="356"/>
      <c r="Q195" s="183"/>
      <c r="R195" s="359"/>
      <c r="S195" s="376" t="e">
        <f t="shared" si="104"/>
        <v>#N/A</v>
      </c>
      <c r="T195" s="629"/>
      <c r="U195" s="356"/>
      <c r="V195" s="183"/>
      <c r="W195" s="359"/>
      <c r="X195" s="376" t="e">
        <f t="shared" si="105"/>
        <v>#N/A</v>
      </c>
      <c r="Y195" s="629"/>
      <c r="Z195" s="376"/>
      <c r="AA195" s="183"/>
      <c r="AB195" s="377"/>
      <c r="AC195" s="376" t="e">
        <f t="shared" si="106"/>
        <v>#N/A</v>
      </c>
      <c r="AD195" s="629"/>
      <c r="AE195" s="376"/>
      <c r="AF195" s="183"/>
      <c r="AG195" s="377"/>
      <c r="AH195" s="376" t="e">
        <f t="shared" si="107"/>
        <v>#N/A</v>
      </c>
      <c r="AI195" s="629"/>
      <c r="AJ195" s="376"/>
      <c r="AK195" s="183"/>
      <c r="AL195" s="377"/>
      <c r="AM195" s="376" t="e">
        <f t="shared" si="108"/>
        <v>#N/A</v>
      </c>
      <c r="AN195" s="629"/>
      <c r="AO195" s="376"/>
      <c r="AP195" s="183"/>
      <c r="AQ195" s="377"/>
      <c r="AR195" s="376" t="e">
        <f t="shared" si="109"/>
        <v>#N/A</v>
      </c>
      <c r="AS195" s="629"/>
      <c r="AT195" s="376"/>
      <c r="AU195" s="183"/>
      <c r="AV195" s="377"/>
      <c r="AW195" s="376" t="e">
        <f t="shared" si="110"/>
        <v>#N/A</v>
      </c>
      <c r="AX195" s="629"/>
    </row>
    <row r="196" spans="2:50">
      <c r="B196" s="627"/>
      <c r="C196" s="356">
        <v>15</v>
      </c>
      <c r="D196" s="356"/>
      <c r="E196" s="356"/>
      <c r="F196" s="356"/>
      <c r="G196" s="356"/>
      <c r="H196" s="629"/>
      <c r="I196" s="200" t="e">
        <f t="shared" si="101"/>
        <v>#DIV/0!</v>
      </c>
      <c r="J196" s="200" t="e">
        <f t="shared" si="102"/>
        <v>#DIV/0!</v>
      </c>
      <c r="K196" s="201" t="e">
        <f t="shared" si="103"/>
        <v>#DIV/0!</v>
      </c>
      <c r="L196" s="601"/>
      <c r="M196" s="200" t="e">
        <f>RANK(K196, K$182:$K$211)</f>
        <v>#DIV/0!</v>
      </c>
      <c r="N196" s="619"/>
      <c r="O196" s="619"/>
      <c r="P196" s="356"/>
      <c r="Q196" s="183"/>
      <c r="R196" s="359"/>
      <c r="S196" s="376" t="e">
        <f t="shared" si="104"/>
        <v>#N/A</v>
      </c>
      <c r="T196" s="629"/>
      <c r="U196" s="356"/>
      <c r="V196" s="183"/>
      <c r="W196" s="359"/>
      <c r="X196" s="376" t="e">
        <f t="shared" si="105"/>
        <v>#N/A</v>
      </c>
      <c r="Y196" s="629"/>
      <c r="Z196" s="376"/>
      <c r="AA196" s="183"/>
      <c r="AB196" s="377"/>
      <c r="AC196" s="376" t="e">
        <f t="shared" si="106"/>
        <v>#N/A</v>
      </c>
      <c r="AD196" s="629"/>
      <c r="AE196" s="376"/>
      <c r="AF196" s="183"/>
      <c r="AG196" s="377"/>
      <c r="AH196" s="376" t="e">
        <f t="shared" si="107"/>
        <v>#N/A</v>
      </c>
      <c r="AI196" s="629"/>
      <c r="AJ196" s="376"/>
      <c r="AK196" s="183"/>
      <c r="AL196" s="377"/>
      <c r="AM196" s="376" t="e">
        <f t="shared" si="108"/>
        <v>#N/A</v>
      </c>
      <c r="AN196" s="629"/>
      <c r="AO196" s="376"/>
      <c r="AP196" s="183"/>
      <c r="AQ196" s="377"/>
      <c r="AR196" s="376" t="e">
        <f t="shared" si="109"/>
        <v>#N/A</v>
      </c>
      <c r="AS196" s="629"/>
      <c r="AT196" s="376"/>
      <c r="AU196" s="183"/>
      <c r="AV196" s="377"/>
      <c r="AW196" s="376" t="e">
        <f t="shared" si="110"/>
        <v>#N/A</v>
      </c>
      <c r="AX196" s="629"/>
    </row>
    <row r="197" spans="2:50">
      <c r="B197" s="627"/>
      <c r="C197" s="356">
        <v>16</v>
      </c>
      <c r="D197" s="356"/>
      <c r="E197" s="356"/>
      <c r="F197" s="356"/>
      <c r="G197" s="356"/>
      <c r="H197" s="629"/>
      <c r="I197" s="200" t="e">
        <f t="shared" si="101"/>
        <v>#DIV/0!</v>
      </c>
      <c r="J197" s="200" t="e">
        <f t="shared" si="102"/>
        <v>#DIV/0!</v>
      </c>
      <c r="K197" s="201" t="e">
        <f t="shared" si="103"/>
        <v>#DIV/0!</v>
      </c>
      <c r="L197" s="601"/>
      <c r="M197" s="200" t="e">
        <f>RANK(K197, K$182:$K$211)</f>
        <v>#DIV/0!</v>
      </c>
      <c r="N197" s="619"/>
      <c r="O197" s="619"/>
      <c r="P197" s="356"/>
      <c r="Q197" s="183"/>
      <c r="R197" s="359"/>
      <c r="S197" s="376" t="e">
        <f t="shared" si="104"/>
        <v>#N/A</v>
      </c>
      <c r="T197" s="629"/>
      <c r="U197" s="356"/>
      <c r="V197" s="183"/>
      <c r="W197" s="359"/>
      <c r="X197" s="376" t="e">
        <f t="shared" si="105"/>
        <v>#N/A</v>
      </c>
      <c r="Y197" s="629"/>
      <c r="Z197" s="376"/>
      <c r="AA197" s="183"/>
      <c r="AB197" s="377"/>
      <c r="AC197" s="376" t="e">
        <f t="shared" si="106"/>
        <v>#N/A</v>
      </c>
      <c r="AD197" s="629"/>
      <c r="AE197" s="376"/>
      <c r="AF197" s="183"/>
      <c r="AG197" s="377"/>
      <c r="AH197" s="376" t="e">
        <f t="shared" si="107"/>
        <v>#N/A</v>
      </c>
      <c r="AI197" s="629"/>
      <c r="AJ197" s="376"/>
      <c r="AK197" s="183"/>
      <c r="AL197" s="377"/>
      <c r="AM197" s="376" t="e">
        <f t="shared" si="108"/>
        <v>#N/A</v>
      </c>
      <c r="AN197" s="629"/>
      <c r="AO197" s="376"/>
      <c r="AP197" s="183"/>
      <c r="AQ197" s="377"/>
      <c r="AR197" s="376" t="e">
        <f t="shared" si="109"/>
        <v>#N/A</v>
      </c>
      <c r="AS197" s="629"/>
      <c r="AT197" s="376"/>
      <c r="AU197" s="183"/>
      <c r="AV197" s="377"/>
      <c r="AW197" s="376" t="e">
        <f t="shared" si="110"/>
        <v>#N/A</v>
      </c>
      <c r="AX197" s="629"/>
    </row>
    <row r="198" spans="2:50">
      <c r="B198" s="627"/>
      <c r="C198" s="356">
        <v>17</v>
      </c>
      <c r="D198" s="356"/>
      <c r="E198" s="356"/>
      <c r="F198" s="356"/>
      <c r="G198" s="356"/>
      <c r="H198" s="629"/>
      <c r="I198" s="200" t="e">
        <f t="shared" si="101"/>
        <v>#DIV/0!</v>
      </c>
      <c r="J198" s="200" t="e">
        <f t="shared" si="102"/>
        <v>#DIV/0!</v>
      </c>
      <c r="K198" s="201" t="e">
        <f t="shared" si="103"/>
        <v>#DIV/0!</v>
      </c>
      <c r="L198" s="601"/>
      <c r="M198" s="200" t="e">
        <f>RANK(K198, K$182:$K$211)</f>
        <v>#DIV/0!</v>
      </c>
      <c r="N198" s="619"/>
      <c r="O198" s="619"/>
      <c r="P198" s="356"/>
      <c r="Q198" s="183"/>
      <c r="R198" s="359"/>
      <c r="S198" s="376" t="e">
        <f t="shared" si="104"/>
        <v>#N/A</v>
      </c>
      <c r="T198" s="629"/>
      <c r="U198" s="356"/>
      <c r="V198" s="183"/>
      <c r="W198" s="359"/>
      <c r="X198" s="376" t="e">
        <f t="shared" si="105"/>
        <v>#N/A</v>
      </c>
      <c r="Y198" s="629"/>
      <c r="Z198" s="376"/>
      <c r="AA198" s="183"/>
      <c r="AB198" s="377"/>
      <c r="AC198" s="376" t="e">
        <f t="shared" si="106"/>
        <v>#N/A</v>
      </c>
      <c r="AD198" s="629"/>
      <c r="AE198" s="376"/>
      <c r="AF198" s="183"/>
      <c r="AG198" s="377"/>
      <c r="AH198" s="376" t="e">
        <f t="shared" si="107"/>
        <v>#N/A</v>
      </c>
      <c r="AI198" s="629"/>
      <c r="AJ198" s="376"/>
      <c r="AK198" s="183"/>
      <c r="AL198" s="377"/>
      <c r="AM198" s="376" t="e">
        <f t="shared" si="108"/>
        <v>#N/A</v>
      </c>
      <c r="AN198" s="629"/>
      <c r="AO198" s="376"/>
      <c r="AP198" s="183"/>
      <c r="AQ198" s="377"/>
      <c r="AR198" s="376" t="e">
        <f t="shared" si="109"/>
        <v>#N/A</v>
      </c>
      <c r="AS198" s="629"/>
      <c r="AT198" s="376"/>
      <c r="AU198" s="183"/>
      <c r="AV198" s="377"/>
      <c r="AW198" s="376" t="e">
        <f t="shared" si="110"/>
        <v>#N/A</v>
      </c>
      <c r="AX198" s="629"/>
    </row>
    <row r="199" spans="2:50">
      <c r="B199" s="627"/>
      <c r="C199" s="356">
        <v>18</v>
      </c>
      <c r="D199" s="356"/>
      <c r="E199" s="356"/>
      <c r="F199" s="356"/>
      <c r="G199" s="356"/>
      <c r="H199" s="629"/>
      <c r="I199" s="200" t="e">
        <f t="shared" si="101"/>
        <v>#DIV/0!</v>
      </c>
      <c r="J199" s="200" t="e">
        <f t="shared" si="102"/>
        <v>#DIV/0!</v>
      </c>
      <c r="K199" s="201" t="e">
        <f t="shared" si="103"/>
        <v>#DIV/0!</v>
      </c>
      <c r="L199" s="601"/>
      <c r="M199" s="200" t="e">
        <f>RANK(K199, K$182:$K$211)</f>
        <v>#DIV/0!</v>
      </c>
      <c r="N199" s="619"/>
      <c r="O199" s="619"/>
      <c r="P199" s="356"/>
      <c r="Q199" s="183"/>
      <c r="R199" s="359"/>
      <c r="S199" s="376" t="e">
        <f t="shared" si="104"/>
        <v>#N/A</v>
      </c>
      <c r="T199" s="629"/>
      <c r="U199" s="356"/>
      <c r="V199" s="183"/>
      <c r="W199" s="359"/>
      <c r="X199" s="376" t="e">
        <f t="shared" si="105"/>
        <v>#N/A</v>
      </c>
      <c r="Y199" s="629"/>
      <c r="Z199" s="376"/>
      <c r="AA199" s="183"/>
      <c r="AB199" s="377"/>
      <c r="AC199" s="376" t="e">
        <f t="shared" si="106"/>
        <v>#N/A</v>
      </c>
      <c r="AD199" s="629"/>
      <c r="AE199" s="376"/>
      <c r="AF199" s="183"/>
      <c r="AG199" s="377"/>
      <c r="AH199" s="376" t="e">
        <f t="shared" si="107"/>
        <v>#N/A</v>
      </c>
      <c r="AI199" s="629"/>
      <c r="AJ199" s="376"/>
      <c r="AK199" s="183"/>
      <c r="AL199" s="377"/>
      <c r="AM199" s="376" t="e">
        <f t="shared" si="108"/>
        <v>#N/A</v>
      </c>
      <c r="AN199" s="629"/>
      <c r="AO199" s="376"/>
      <c r="AP199" s="183"/>
      <c r="AQ199" s="377"/>
      <c r="AR199" s="376" t="e">
        <f t="shared" si="109"/>
        <v>#N/A</v>
      </c>
      <c r="AS199" s="629"/>
      <c r="AT199" s="376"/>
      <c r="AU199" s="183"/>
      <c r="AV199" s="377"/>
      <c r="AW199" s="376" t="e">
        <f t="shared" si="110"/>
        <v>#N/A</v>
      </c>
      <c r="AX199" s="629"/>
    </row>
    <row r="200" spans="2:50">
      <c r="B200" s="627"/>
      <c r="C200" s="356">
        <v>19</v>
      </c>
      <c r="D200" s="356"/>
      <c r="E200" s="356"/>
      <c r="F200" s="356"/>
      <c r="G200" s="356"/>
      <c r="H200" s="629"/>
      <c r="I200" s="200" t="e">
        <f t="shared" si="101"/>
        <v>#DIV/0!</v>
      </c>
      <c r="J200" s="200" t="e">
        <f t="shared" si="102"/>
        <v>#DIV/0!</v>
      </c>
      <c r="K200" s="201" t="e">
        <f t="shared" si="103"/>
        <v>#DIV/0!</v>
      </c>
      <c r="L200" s="601"/>
      <c r="M200" s="200" t="e">
        <f>RANK(K200, K$182:$K$211)</f>
        <v>#DIV/0!</v>
      </c>
      <c r="N200" s="619"/>
      <c r="O200" s="619"/>
      <c r="P200" s="356"/>
      <c r="Q200" s="183"/>
      <c r="R200" s="359"/>
      <c r="S200" s="376" t="e">
        <f t="shared" si="104"/>
        <v>#N/A</v>
      </c>
      <c r="T200" s="629"/>
      <c r="U200" s="356"/>
      <c r="V200" s="183"/>
      <c r="W200" s="359"/>
      <c r="X200" s="376" t="e">
        <f t="shared" si="105"/>
        <v>#N/A</v>
      </c>
      <c r="Y200" s="629"/>
      <c r="Z200" s="376"/>
      <c r="AA200" s="183"/>
      <c r="AB200" s="377"/>
      <c r="AC200" s="376" t="e">
        <f t="shared" si="106"/>
        <v>#N/A</v>
      </c>
      <c r="AD200" s="629"/>
      <c r="AE200" s="376"/>
      <c r="AF200" s="183"/>
      <c r="AG200" s="377"/>
      <c r="AH200" s="376" t="e">
        <f t="shared" si="107"/>
        <v>#N/A</v>
      </c>
      <c r="AI200" s="629"/>
      <c r="AJ200" s="376"/>
      <c r="AK200" s="183"/>
      <c r="AL200" s="377"/>
      <c r="AM200" s="376" t="e">
        <f t="shared" si="108"/>
        <v>#N/A</v>
      </c>
      <c r="AN200" s="629"/>
      <c r="AO200" s="376"/>
      <c r="AP200" s="183"/>
      <c r="AQ200" s="377"/>
      <c r="AR200" s="376" t="e">
        <f t="shared" si="109"/>
        <v>#N/A</v>
      </c>
      <c r="AS200" s="629"/>
      <c r="AT200" s="376"/>
      <c r="AU200" s="183"/>
      <c r="AV200" s="377"/>
      <c r="AW200" s="376" t="e">
        <f t="shared" si="110"/>
        <v>#N/A</v>
      </c>
      <c r="AX200" s="629"/>
    </row>
    <row r="201" spans="2:50">
      <c r="B201" s="627"/>
      <c r="C201" s="356">
        <v>20</v>
      </c>
      <c r="D201" s="356"/>
      <c r="E201" s="356"/>
      <c r="F201" s="356"/>
      <c r="G201" s="356"/>
      <c r="H201" s="629"/>
      <c r="I201" s="200" t="e">
        <f t="shared" si="101"/>
        <v>#DIV/0!</v>
      </c>
      <c r="J201" s="200" t="e">
        <f t="shared" si="102"/>
        <v>#DIV/0!</v>
      </c>
      <c r="K201" s="201" t="e">
        <f t="shared" si="103"/>
        <v>#DIV/0!</v>
      </c>
      <c r="L201" s="601"/>
      <c r="M201" s="200" t="e">
        <f>RANK(K201, K$182:$K$211)</f>
        <v>#DIV/0!</v>
      </c>
      <c r="N201" s="619"/>
      <c r="O201" s="619"/>
      <c r="P201" s="356"/>
      <c r="Q201" s="183"/>
      <c r="R201" s="359"/>
      <c r="S201" s="376" t="e">
        <f t="shared" si="104"/>
        <v>#N/A</v>
      </c>
      <c r="T201" s="629"/>
      <c r="U201" s="356"/>
      <c r="V201" s="183"/>
      <c r="W201" s="359"/>
      <c r="X201" s="376" t="e">
        <f t="shared" si="105"/>
        <v>#N/A</v>
      </c>
      <c r="Y201" s="629"/>
      <c r="Z201" s="376"/>
      <c r="AA201" s="183"/>
      <c r="AB201" s="377"/>
      <c r="AC201" s="376" t="e">
        <f t="shared" si="106"/>
        <v>#N/A</v>
      </c>
      <c r="AD201" s="629"/>
      <c r="AE201" s="376"/>
      <c r="AF201" s="183"/>
      <c r="AG201" s="377"/>
      <c r="AH201" s="376" t="e">
        <f t="shared" si="107"/>
        <v>#N/A</v>
      </c>
      <c r="AI201" s="629"/>
      <c r="AJ201" s="376"/>
      <c r="AK201" s="183"/>
      <c r="AL201" s="377"/>
      <c r="AM201" s="376" t="e">
        <f t="shared" si="108"/>
        <v>#N/A</v>
      </c>
      <c r="AN201" s="629"/>
      <c r="AO201" s="376"/>
      <c r="AP201" s="183"/>
      <c r="AQ201" s="377"/>
      <c r="AR201" s="376" t="e">
        <f t="shared" si="109"/>
        <v>#N/A</v>
      </c>
      <c r="AS201" s="629"/>
      <c r="AT201" s="376"/>
      <c r="AU201" s="183"/>
      <c r="AV201" s="377"/>
      <c r="AW201" s="376" t="e">
        <f t="shared" si="110"/>
        <v>#N/A</v>
      </c>
      <c r="AX201" s="629"/>
    </row>
    <row r="202" spans="2:50">
      <c r="B202" s="627"/>
      <c r="C202" s="356">
        <v>21</v>
      </c>
      <c r="D202" s="356"/>
      <c r="E202" s="356"/>
      <c r="F202" s="356"/>
      <c r="G202" s="356"/>
      <c r="H202" s="629"/>
      <c r="I202" s="200" t="e">
        <f t="shared" si="101"/>
        <v>#DIV/0!</v>
      </c>
      <c r="J202" s="200" t="e">
        <f t="shared" si="102"/>
        <v>#DIV/0!</v>
      </c>
      <c r="K202" s="201" t="e">
        <f t="shared" si="103"/>
        <v>#DIV/0!</v>
      </c>
      <c r="L202" s="601"/>
      <c r="M202" s="200" t="e">
        <f>RANK(K202, K$182:$K$211)</f>
        <v>#DIV/0!</v>
      </c>
      <c r="N202" s="619"/>
      <c r="O202" s="619"/>
      <c r="P202" s="356"/>
      <c r="Q202" s="183"/>
      <c r="R202" s="359"/>
      <c r="S202" s="376" t="e">
        <f t="shared" si="104"/>
        <v>#N/A</v>
      </c>
      <c r="T202" s="629"/>
      <c r="U202" s="356"/>
      <c r="V202" s="183"/>
      <c r="W202" s="359"/>
      <c r="X202" s="376" t="e">
        <f t="shared" si="105"/>
        <v>#N/A</v>
      </c>
      <c r="Y202" s="629"/>
      <c r="Z202" s="376"/>
      <c r="AA202" s="183"/>
      <c r="AB202" s="377"/>
      <c r="AC202" s="376" t="e">
        <f t="shared" si="106"/>
        <v>#N/A</v>
      </c>
      <c r="AD202" s="629"/>
      <c r="AE202" s="376"/>
      <c r="AF202" s="183"/>
      <c r="AG202" s="377"/>
      <c r="AH202" s="376" t="e">
        <f t="shared" si="107"/>
        <v>#N/A</v>
      </c>
      <c r="AI202" s="629"/>
      <c r="AJ202" s="376"/>
      <c r="AK202" s="183"/>
      <c r="AL202" s="377"/>
      <c r="AM202" s="376" t="e">
        <f t="shared" si="108"/>
        <v>#N/A</v>
      </c>
      <c r="AN202" s="629"/>
      <c r="AO202" s="376"/>
      <c r="AP202" s="183"/>
      <c r="AQ202" s="377"/>
      <c r="AR202" s="376" t="e">
        <f t="shared" si="109"/>
        <v>#N/A</v>
      </c>
      <c r="AS202" s="629"/>
      <c r="AT202" s="376"/>
      <c r="AU202" s="183"/>
      <c r="AV202" s="377"/>
      <c r="AW202" s="376" t="e">
        <f t="shared" si="110"/>
        <v>#N/A</v>
      </c>
      <c r="AX202" s="629"/>
    </row>
    <row r="203" spans="2:50">
      <c r="B203" s="627"/>
      <c r="C203" s="356">
        <v>22</v>
      </c>
      <c r="D203" s="356"/>
      <c r="E203" s="356"/>
      <c r="F203" s="356"/>
      <c r="G203" s="356"/>
      <c r="H203" s="629"/>
      <c r="I203" s="200" t="e">
        <f t="shared" si="101"/>
        <v>#DIV/0!</v>
      </c>
      <c r="J203" s="200" t="e">
        <f t="shared" si="102"/>
        <v>#DIV/0!</v>
      </c>
      <c r="K203" s="201" t="e">
        <f t="shared" si="103"/>
        <v>#DIV/0!</v>
      </c>
      <c r="L203" s="601"/>
      <c r="M203" s="200" t="e">
        <f>RANK(K203, K$182:$K$211)</f>
        <v>#DIV/0!</v>
      </c>
      <c r="N203" s="619"/>
      <c r="O203" s="619"/>
      <c r="P203" s="356"/>
      <c r="Q203" s="183"/>
      <c r="R203" s="359"/>
      <c r="S203" s="376" t="e">
        <f t="shared" si="104"/>
        <v>#N/A</v>
      </c>
      <c r="T203" s="629"/>
      <c r="U203" s="356"/>
      <c r="V203" s="183"/>
      <c r="W203" s="359"/>
      <c r="X203" s="376" t="e">
        <f t="shared" si="105"/>
        <v>#N/A</v>
      </c>
      <c r="Y203" s="629"/>
      <c r="Z203" s="376"/>
      <c r="AA203" s="183"/>
      <c r="AB203" s="377"/>
      <c r="AC203" s="376" t="e">
        <f t="shared" si="106"/>
        <v>#N/A</v>
      </c>
      <c r="AD203" s="629"/>
      <c r="AE203" s="376"/>
      <c r="AF203" s="183"/>
      <c r="AG203" s="377"/>
      <c r="AH203" s="376" t="e">
        <f t="shared" si="107"/>
        <v>#N/A</v>
      </c>
      <c r="AI203" s="629"/>
      <c r="AJ203" s="376"/>
      <c r="AK203" s="183"/>
      <c r="AL203" s="377"/>
      <c r="AM203" s="376" t="e">
        <f t="shared" si="108"/>
        <v>#N/A</v>
      </c>
      <c r="AN203" s="629"/>
      <c r="AO203" s="376"/>
      <c r="AP203" s="183"/>
      <c r="AQ203" s="377"/>
      <c r="AR203" s="376" t="e">
        <f t="shared" si="109"/>
        <v>#N/A</v>
      </c>
      <c r="AS203" s="629"/>
      <c r="AT203" s="376"/>
      <c r="AU203" s="183"/>
      <c r="AV203" s="377"/>
      <c r="AW203" s="376" t="e">
        <f t="shared" si="110"/>
        <v>#N/A</v>
      </c>
      <c r="AX203" s="629"/>
    </row>
    <row r="204" spans="2:50">
      <c r="B204" s="627"/>
      <c r="C204" s="356">
        <v>23</v>
      </c>
      <c r="D204" s="356"/>
      <c r="E204" s="356"/>
      <c r="F204" s="356"/>
      <c r="G204" s="356"/>
      <c r="H204" s="629"/>
      <c r="I204" s="200" t="e">
        <f t="shared" si="101"/>
        <v>#DIV/0!</v>
      </c>
      <c r="J204" s="200" t="e">
        <f t="shared" si="102"/>
        <v>#DIV/0!</v>
      </c>
      <c r="K204" s="201" t="e">
        <f t="shared" si="103"/>
        <v>#DIV/0!</v>
      </c>
      <c r="L204" s="601"/>
      <c r="M204" s="200" t="e">
        <f>RANK(K204, K$182:$K$211)</f>
        <v>#DIV/0!</v>
      </c>
      <c r="N204" s="619"/>
      <c r="O204" s="619"/>
      <c r="P204" s="356"/>
      <c r="Q204" s="183"/>
      <c r="R204" s="359"/>
      <c r="S204" s="376" t="e">
        <f t="shared" si="104"/>
        <v>#N/A</v>
      </c>
      <c r="T204" s="629"/>
      <c r="U204" s="356"/>
      <c r="V204" s="183"/>
      <c r="W204" s="359"/>
      <c r="X204" s="376" t="e">
        <f t="shared" si="105"/>
        <v>#N/A</v>
      </c>
      <c r="Y204" s="629"/>
      <c r="Z204" s="376"/>
      <c r="AA204" s="183"/>
      <c r="AB204" s="377"/>
      <c r="AC204" s="376" t="e">
        <f t="shared" si="106"/>
        <v>#N/A</v>
      </c>
      <c r="AD204" s="629"/>
      <c r="AE204" s="376"/>
      <c r="AF204" s="183"/>
      <c r="AG204" s="377"/>
      <c r="AH204" s="376" t="e">
        <f t="shared" si="107"/>
        <v>#N/A</v>
      </c>
      <c r="AI204" s="629"/>
      <c r="AJ204" s="376"/>
      <c r="AK204" s="183"/>
      <c r="AL204" s="377"/>
      <c r="AM204" s="376" t="e">
        <f t="shared" si="108"/>
        <v>#N/A</v>
      </c>
      <c r="AN204" s="629"/>
      <c r="AO204" s="376"/>
      <c r="AP204" s="183"/>
      <c r="AQ204" s="377"/>
      <c r="AR204" s="376" t="e">
        <f t="shared" si="109"/>
        <v>#N/A</v>
      </c>
      <c r="AS204" s="629"/>
      <c r="AT204" s="376"/>
      <c r="AU204" s="183"/>
      <c r="AV204" s="377"/>
      <c r="AW204" s="376" t="e">
        <f t="shared" si="110"/>
        <v>#N/A</v>
      </c>
      <c r="AX204" s="629"/>
    </row>
    <row r="205" spans="2:50">
      <c r="B205" s="627"/>
      <c r="C205" s="356">
        <v>24</v>
      </c>
      <c r="D205" s="356"/>
      <c r="E205" s="356"/>
      <c r="F205" s="356"/>
      <c r="G205" s="356"/>
      <c r="H205" s="629"/>
      <c r="I205" s="203"/>
      <c r="J205" s="203"/>
      <c r="K205" s="203"/>
      <c r="L205" s="601"/>
      <c r="M205" s="200" t="e">
        <f>RANK(K205, K$182:$K$211)</f>
        <v>#DIV/0!</v>
      </c>
      <c r="N205" s="619"/>
      <c r="O205" s="619"/>
      <c r="P205" s="356"/>
      <c r="Q205" s="183"/>
      <c r="R205" s="359"/>
      <c r="S205" s="376" t="e">
        <f t="shared" si="104"/>
        <v>#N/A</v>
      </c>
      <c r="T205" s="629"/>
      <c r="U205" s="356"/>
      <c r="V205" s="356"/>
      <c r="W205" s="356"/>
      <c r="X205" s="376" t="e">
        <f t="shared" si="105"/>
        <v>#N/A</v>
      </c>
      <c r="Y205" s="629"/>
      <c r="Z205" s="376"/>
      <c r="AA205" s="376"/>
      <c r="AB205" s="376"/>
      <c r="AC205" s="376" t="e">
        <f t="shared" si="106"/>
        <v>#N/A</v>
      </c>
      <c r="AD205" s="629"/>
      <c r="AE205" s="376"/>
      <c r="AF205" s="376"/>
      <c r="AG205" s="376"/>
      <c r="AH205" s="376" t="e">
        <f t="shared" si="107"/>
        <v>#N/A</v>
      </c>
      <c r="AI205" s="629"/>
      <c r="AJ205" s="376"/>
      <c r="AK205" s="376"/>
      <c r="AL205" s="376"/>
      <c r="AM205" s="376" t="e">
        <f t="shared" si="108"/>
        <v>#N/A</v>
      </c>
      <c r="AN205" s="629"/>
      <c r="AO205" s="376"/>
      <c r="AP205" s="376"/>
      <c r="AQ205" s="376"/>
      <c r="AR205" s="376" t="e">
        <f t="shared" si="109"/>
        <v>#N/A</v>
      </c>
      <c r="AS205" s="629"/>
      <c r="AT205" s="376"/>
      <c r="AU205" s="376"/>
      <c r="AV205" s="376"/>
      <c r="AW205" s="376" t="e">
        <f t="shared" si="110"/>
        <v>#N/A</v>
      </c>
      <c r="AX205" s="629"/>
    </row>
    <row r="206" spans="2:50">
      <c r="B206" s="627"/>
      <c r="C206" s="356">
        <v>25</v>
      </c>
      <c r="D206" s="356"/>
      <c r="E206" s="356"/>
      <c r="F206" s="356"/>
      <c r="G206" s="356"/>
      <c r="H206" s="629"/>
      <c r="I206" s="203"/>
      <c r="J206" s="203"/>
      <c r="K206" s="203"/>
      <c r="L206" s="601"/>
      <c r="M206" s="200" t="e">
        <f>RANK(K206, K$182:$K$211)</f>
        <v>#DIV/0!</v>
      </c>
      <c r="N206" s="619"/>
      <c r="O206" s="619"/>
      <c r="P206" s="356"/>
      <c r="Q206" s="356"/>
      <c r="R206" s="356"/>
      <c r="S206" s="376" t="e">
        <f t="shared" si="104"/>
        <v>#N/A</v>
      </c>
      <c r="T206" s="629"/>
      <c r="U206" s="356"/>
      <c r="V206" s="356"/>
      <c r="W206" s="356"/>
      <c r="X206" s="376" t="e">
        <f t="shared" si="105"/>
        <v>#N/A</v>
      </c>
      <c r="Y206" s="629"/>
      <c r="Z206" s="376"/>
      <c r="AA206" s="376"/>
      <c r="AB206" s="376"/>
      <c r="AC206" s="376" t="e">
        <f t="shared" si="106"/>
        <v>#N/A</v>
      </c>
      <c r="AD206" s="629"/>
      <c r="AE206" s="376"/>
      <c r="AF206" s="376"/>
      <c r="AG206" s="376"/>
      <c r="AH206" s="376" t="e">
        <f t="shared" si="107"/>
        <v>#N/A</v>
      </c>
      <c r="AI206" s="629"/>
      <c r="AJ206" s="376"/>
      <c r="AK206" s="376"/>
      <c r="AL206" s="376"/>
      <c r="AM206" s="376" t="e">
        <f t="shared" si="108"/>
        <v>#N/A</v>
      </c>
      <c r="AN206" s="629"/>
      <c r="AO206" s="376"/>
      <c r="AP206" s="376"/>
      <c r="AQ206" s="376"/>
      <c r="AR206" s="376" t="e">
        <f t="shared" si="109"/>
        <v>#N/A</v>
      </c>
      <c r="AS206" s="629"/>
      <c r="AT206" s="376"/>
      <c r="AU206" s="376"/>
      <c r="AV206" s="376"/>
      <c r="AW206" s="376" t="e">
        <f t="shared" si="110"/>
        <v>#N/A</v>
      </c>
      <c r="AX206" s="629"/>
    </row>
    <row r="207" spans="2:50">
      <c r="B207" s="627"/>
      <c r="C207" s="356">
        <v>26</v>
      </c>
      <c r="D207" s="356"/>
      <c r="E207" s="356"/>
      <c r="F207" s="356"/>
      <c r="G207" s="356"/>
      <c r="H207" s="629"/>
      <c r="I207" s="203"/>
      <c r="J207" s="203"/>
      <c r="K207" s="203"/>
      <c r="L207" s="601"/>
      <c r="M207" s="200" t="e">
        <f>RANK(K207, K$182:$K$211)</f>
        <v>#DIV/0!</v>
      </c>
      <c r="N207" s="619"/>
      <c r="O207" s="619"/>
      <c r="P207" s="356"/>
      <c r="Q207" s="356"/>
      <c r="R207" s="356"/>
      <c r="S207" s="376" t="e">
        <f t="shared" si="104"/>
        <v>#N/A</v>
      </c>
      <c r="T207" s="629"/>
      <c r="U207" s="356"/>
      <c r="V207" s="356"/>
      <c r="W207" s="356"/>
      <c r="X207" s="376" t="e">
        <f t="shared" si="105"/>
        <v>#N/A</v>
      </c>
      <c r="Y207" s="629"/>
      <c r="Z207" s="376"/>
      <c r="AA207" s="376"/>
      <c r="AB207" s="376"/>
      <c r="AC207" s="376" t="e">
        <f t="shared" si="106"/>
        <v>#N/A</v>
      </c>
      <c r="AD207" s="629"/>
      <c r="AE207" s="376"/>
      <c r="AF207" s="376"/>
      <c r="AG207" s="376"/>
      <c r="AH207" s="376" t="e">
        <f t="shared" si="107"/>
        <v>#N/A</v>
      </c>
      <c r="AI207" s="629"/>
      <c r="AJ207" s="376"/>
      <c r="AK207" s="376"/>
      <c r="AL207" s="376"/>
      <c r="AM207" s="376" t="e">
        <f t="shared" si="108"/>
        <v>#N/A</v>
      </c>
      <c r="AN207" s="629"/>
      <c r="AO207" s="376"/>
      <c r="AP207" s="376"/>
      <c r="AQ207" s="376"/>
      <c r="AR207" s="376" t="e">
        <f t="shared" si="109"/>
        <v>#N/A</v>
      </c>
      <c r="AS207" s="629"/>
      <c r="AT207" s="376"/>
      <c r="AU207" s="376"/>
      <c r="AV207" s="376"/>
      <c r="AW207" s="376" t="e">
        <f t="shared" si="110"/>
        <v>#N/A</v>
      </c>
      <c r="AX207" s="629"/>
    </row>
    <row r="208" spans="2:50">
      <c r="B208" s="627"/>
      <c r="C208" s="356">
        <v>27</v>
      </c>
      <c r="D208" s="356"/>
      <c r="E208" s="356"/>
      <c r="F208" s="356"/>
      <c r="G208" s="356"/>
      <c r="H208" s="629"/>
      <c r="I208" s="203"/>
      <c r="J208" s="203"/>
      <c r="K208" s="203"/>
      <c r="L208" s="601"/>
      <c r="M208" s="200" t="e">
        <f>RANK(K208, K$182:$K$211)</f>
        <v>#DIV/0!</v>
      </c>
      <c r="N208" s="619"/>
      <c r="O208" s="619"/>
      <c r="P208" s="356"/>
      <c r="Q208" s="356"/>
      <c r="R208" s="356"/>
      <c r="S208" s="376" t="e">
        <f t="shared" si="104"/>
        <v>#N/A</v>
      </c>
      <c r="T208" s="629"/>
      <c r="U208" s="356"/>
      <c r="V208" s="356"/>
      <c r="W208" s="356"/>
      <c r="X208" s="376" t="e">
        <f t="shared" si="105"/>
        <v>#N/A</v>
      </c>
      <c r="Y208" s="629"/>
      <c r="Z208" s="376"/>
      <c r="AA208" s="376"/>
      <c r="AB208" s="376"/>
      <c r="AC208" s="376" t="e">
        <f t="shared" si="106"/>
        <v>#N/A</v>
      </c>
      <c r="AD208" s="629"/>
      <c r="AE208" s="376"/>
      <c r="AF208" s="376"/>
      <c r="AG208" s="376"/>
      <c r="AH208" s="376" t="e">
        <f t="shared" si="107"/>
        <v>#N/A</v>
      </c>
      <c r="AI208" s="629"/>
      <c r="AJ208" s="376"/>
      <c r="AK208" s="376"/>
      <c r="AL208" s="376"/>
      <c r="AM208" s="376" t="e">
        <f t="shared" si="108"/>
        <v>#N/A</v>
      </c>
      <c r="AN208" s="629"/>
      <c r="AO208" s="376"/>
      <c r="AP208" s="376"/>
      <c r="AQ208" s="376"/>
      <c r="AR208" s="376" t="e">
        <f t="shared" si="109"/>
        <v>#N/A</v>
      </c>
      <c r="AS208" s="629"/>
      <c r="AT208" s="376"/>
      <c r="AU208" s="376"/>
      <c r="AV208" s="376"/>
      <c r="AW208" s="376" t="e">
        <f t="shared" si="110"/>
        <v>#N/A</v>
      </c>
      <c r="AX208" s="629"/>
    </row>
    <row r="209" spans="2:50">
      <c r="B209" s="627"/>
      <c r="C209" s="356">
        <v>28</v>
      </c>
      <c r="D209" s="356"/>
      <c r="E209" s="356"/>
      <c r="F209" s="356"/>
      <c r="G209" s="356"/>
      <c r="H209" s="629"/>
      <c r="I209" s="203"/>
      <c r="J209" s="203"/>
      <c r="K209" s="203"/>
      <c r="L209" s="601"/>
      <c r="M209" s="200" t="e">
        <f>RANK(K209, K$182:$K$211)</f>
        <v>#DIV/0!</v>
      </c>
      <c r="N209" s="619"/>
      <c r="O209" s="619"/>
      <c r="P209" s="356"/>
      <c r="Q209" s="356"/>
      <c r="R209" s="356"/>
      <c r="S209" s="376" t="e">
        <f t="shared" si="104"/>
        <v>#N/A</v>
      </c>
      <c r="T209" s="629"/>
      <c r="U209" s="356"/>
      <c r="V209" s="356"/>
      <c r="W209" s="356"/>
      <c r="X209" s="376" t="e">
        <f t="shared" si="105"/>
        <v>#N/A</v>
      </c>
      <c r="Y209" s="629"/>
      <c r="Z209" s="376"/>
      <c r="AA209" s="376"/>
      <c r="AB209" s="376"/>
      <c r="AC209" s="376" t="e">
        <f t="shared" si="106"/>
        <v>#N/A</v>
      </c>
      <c r="AD209" s="629"/>
      <c r="AE209" s="376"/>
      <c r="AF209" s="376"/>
      <c r="AG209" s="376"/>
      <c r="AH209" s="376" t="e">
        <f t="shared" si="107"/>
        <v>#N/A</v>
      </c>
      <c r="AI209" s="629"/>
      <c r="AJ209" s="376"/>
      <c r="AK209" s="376"/>
      <c r="AL209" s="376"/>
      <c r="AM209" s="376" t="e">
        <f t="shared" si="108"/>
        <v>#N/A</v>
      </c>
      <c r="AN209" s="629"/>
      <c r="AO209" s="376"/>
      <c r="AP209" s="376"/>
      <c r="AQ209" s="376"/>
      <c r="AR209" s="376" t="e">
        <f t="shared" si="109"/>
        <v>#N/A</v>
      </c>
      <c r="AS209" s="629"/>
      <c r="AT209" s="376"/>
      <c r="AU209" s="376"/>
      <c r="AV209" s="376"/>
      <c r="AW209" s="376" t="e">
        <f t="shared" si="110"/>
        <v>#N/A</v>
      </c>
      <c r="AX209" s="629"/>
    </row>
    <row r="210" spans="2:50">
      <c r="B210" s="627"/>
      <c r="C210" s="356">
        <v>29</v>
      </c>
      <c r="D210" s="356"/>
      <c r="E210" s="356"/>
      <c r="F210" s="356"/>
      <c r="G210" s="356"/>
      <c r="H210" s="629"/>
      <c r="I210" s="203"/>
      <c r="J210" s="203"/>
      <c r="K210" s="203"/>
      <c r="L210" s="601"/>
      <c r="M210" s="200" t="e">
        <f>RANK(K210, K$182:$K$211)</f>
        <v>#DIV/0!</v>
      </c>
      <c r="N210" s="619"/>
      <c r="O210" s="619"/>
      <c r="P210" s="356"/>
      <c r="Q210" s="356"/>
      <c r="R210" s="356"/>
      <c r="S210" s="376" t="e">
        <f t="shared" si="104"/>
        <v>#N/A</v>
      </c>
      <c r="T210" s="629"/>
      <c r="U210" s="356"/>
      <c r="V210" s="356"/>
      <c r="W210" s="356"/>
      <c r="X210" s="376" t="e">
        <f t="shared" si="105"/>
        <v>#N/A</v>
      </c>
      <c r="Y210" s="629"/>
      <c r="Z210" s="376"/>
      <c r="AA210" s="376"/>
      <c r="AB210" s="376"/>
      <c r="AC210" s="376" t="e">
        <f t="shared" si="106"/>
        <v>#N/A</v>
      </c>
      <c r="AD210" s="629"/>
      <c r="AE210" s="376"/>
      <c r="AF210" s="376"/>
      <c r="AG210" s="376"/>
      <c r="AH210" s="376" t="e">
        <f t="shared" si="107"/>
        <v>#N/A</v>
      </c>
      <c r="AI210" s="629"/>
      <c r="AJ210" s="376"/>
      <c r="AK210" s="376"/>
      <c r="AL210" s="376"/>
      <c r="AM210" s="376" t="e">
        <f t="shared" si="108"/>
        <v>#N/A</v>
      </c>
      <c r="AN210" s="629"/>
      <c r="AO210" s="376"/>
      <c r="AP210" s="376"/>
      <c r="AQ210" s="376"/>
      <c r="AR210" s="376" t="e">
        <f t="shared" si="109"/>
        <v>#N/A</v>
      </c>
      <c r="AS210" s="629"/>
      <c r="AT210" s="376"/>
      <c r="AU210" s="376"/>
      <c r="AV210" s="376"/>
      <c r="AW210" s="376" t="e">
        <f t="shared" si="110"/>
        <v>#N/A</v>
      </c>
      <c r="AX210" s="629"/>
    </row>
    <row r="211" spans="2:50">
      <c r="B211" s="627"/>
      <c r="C211" s="356">
        <v>30</v>
      </c>
      <c r="D211" s="356"/>
      <c r="E211" s="356"/>
      <c r="F211" s="356"/>
      <c r="G211" s="356"/>
      <c r="H211" s="630"/>
      <c r="I211" s="203"/>
      <c r="J211" s="203"/>
      <c r="K211" s="203"/>
      <c r="L211" s="602"/>
      <c r="M211" s="200" t="e">
        <f>RANK(K211, K$182:$K$211)</f>
        <v>#DIV/0!</v>
      </c>
      <c r="N211" s="619"/>
      <c r="O211" s="619"/>
      <c r="P211" s="356"/>
      <c r="Q211" s="356"/>
      <c r="R211" s="356"/>
      <c r="S211" s="376" t="e">
        <f t="shared" si="104"/>
        <v>#N/A</v>
      </c>
      <c r="T211" s="630"/>
      <c r="U211" s="356"/>
      <c r="V211" s="356"/>
      <c r="W211" s="356"/>
      <c r="X211" s="376" t="e">
        <f t="shared" si="105"/>
        <v>#N/A</v>
      </c>
      <c r="Y211" s="630"/>
      <c r="Z211" s="376"/>
      <c r="AA211" s="376"/>
      <c r="AB211" s="376"/>
      <c r="AC211" s="376" t="e">
        <f t="shared" si="106"/>
        <v>#N/A</v>
      </c>
      <c r="AD211" s="630"/>
      <c r="AE211" s="376"/>
      <c r="AF211" s="376"/>
      <c r="AG211" s="376"/>
      <c r="AH211" s="376" t="e">
        <f t="shared" si="107"/>
        <v>#N/A</v>
      </c>
      <c r="AI211" s="630"/>
      <c r="AJ211" s="376"/>
      <c r="AK211" s="376"/>
      <c r="AL211" s="376"/>
      <c r="AM211" s="376" t="e">
        <f t="shared" si="108"/>
        <v>#N/A</v>
      </c>
      <c r="AN211" s="630"/>
      <c r="AO211" s="376"/>
      <c r="AP211" s="376"/>
      <c r="AQ211" s="376"/>
      <c r="AR211" s="376" t="e">
        <f t="shared" si="109"/>
        <v>#N/A</v>
      </c>
      <c r="AS211" s="630"/>
      <c r="AT211" s="376"/>
      <c r="AU211" s="376"/>
      <c r="AV211" s="376"/>
      <c r="AW211" s="376" t="e">
        <f t="shared" si="110"/>
        <v>#N/A</v>
      </c>
      <c r="AX211" s="630"/>
    </row>
    <row r="213" spans="2:50" ht="15.5">
      <c r="B213" s="652" t="s">
        <v>712</v>
      </c>
      <c r="C213" s="653"/>
      <c r="D213" s="653"/>
      <c r="E213" s="653"/>
      <c r="F213" s="653"/>
      <c r="G213" s="653"/>
      <c r="H213" s="654"/>
      <c r="I213" s="360"/>
      <c r="J213" s="360"/>
      <c r="K213" s="360"/>
      <c r="L213" s="360"/>
      <c r="M213" s="361"/>
    </row>
    <row r="214" spans="2:50" ht="15.5">
      <c r="B214" s="655"/>
      <c r="C214" s="655"/>
      <c r="D214" s="655"/>
      <c r="E214" s="655"/>
      <c r="F214" s="655"/>
      <c r="G214" s="655"/>
      <c r="H214" s="655"/>
      <c r="I214" s="362"/>
      <c r="J214" s="362"/>
      <c r="K214" s="362"/>
      <c r="L214" s="362"/>
      <c r="M214" s="363"/>
    </row>
    <row r="215" spans="2:50">
      <c r="B215" s="619" t="s">
        <v>713</v>
      </c>
      <c r="C215" s="619" t="s">
        <v>714</v>
      </c>
      <c r="D215" s="619"/>
      <c r="E215" s="619" t="s">
        <v>715</v>
      </c>
      <c r="F215" s="619"/>
      <c r="G215" s="619"/>
      <c r="H215" s="619" t="s">
        <v>716</v>
      </c>
      <c r="I215" s="656" t="s">
        <v>717</v>
      </c>
      <c r="J215" s="656"/>
      <c r="K215" s="656"/>
      <c r="L215" s="656" t="s">
        <v>716</v>
      </c>
      <c r="M215" s="656" t="s">
        <v>718</v>
      </c>
    </row>
    <row r="216" spans="2:50">
      <c r="B216" s="619"/>
      <c r="C216" s="619"/>
      <c r="D216" s="619"/>
      <c r="E216" s="619" t="s">
        <v>719</v>
      </c>
      <c r="F216" s="619"/>
      <c r="G216" s="619"/>
      <c r="H216" s="619"/>
      <c r="I216" s="656" t="s">
        <v>719</v>
      </c>
      <c r="J216" s="656"/>
      <c r="K216" s="656"/>
      <c r="L216" s="656"/>
      <c r="M216" s="656"/>
    </row>
    <row r="217" spans="2:50">
      <c r="B217" s="619"/>
      <c r="C217" s="619"/>
      <c r="D217" s="619"/>
      <c r="E217" s="357" t="s">
        <v>720</v>
      </c>
      <c r="F217" s="357" t="s">
        <v>721</v>
      </c>
      <c r="G217" s="357" t="s">
        <v>722</v>
      </c>
      <c r="H217" s="619"/>
      <c r="I217" s="364" t="s">
        <v>720</v>
      </c>
      <c r="J217" s="364" t="s">
        <v>721</v>
      </c>
      <c r="K217" s="364" t="s">
        <v>722</v>
      </c>
      <c r="L217" s="656"/>
      <c r="M217" s="656"/>
    </row>
    <row r="218" spans="2:50">
      <c r="B218" s="657" t="s">
        <v>723</v>
      </c>
      <c r="C218" s="356">
        <v>1</v>
      </c>
      <c r="D218" s="356"/>
      <c r="E218" s="356"/>
      <c r="F218" s="356"/>
      <c r="G218" s="356"/>
      <c r="H218" s="658" t="e">
        <f>AVERAGE(G218:G247)</f>
        <v>#DIV/0!</v>
      </c>
      <c r="I218" s="200" t="e">
        <f t="shared" ref="I218:K240" si="111">AVERAGEIF($D$7:$D$211,$D218,I$7:I$211)</f>
        <v>#DIV/0!</v>
      </c>
      <c r="J218" s="200" t="e">
        <f t="shared" si="111"/>
        <v>#DIV/0!</v>
      </c>
      <c r="K218" s="200" t="e">
        <f>AVERAGEIF($D$7:$D$211,$D218,K$7:K$211)</f>
        <v>#DIV/0!</v>
      </c>
      <c r="L218" s="659" t="e">
        <f>AVERAGE(K218:K247)</f>
        <v>#DIV/0!</v>
      </c>
      <c r="M218" s="200" t="e">
        <f>RANK(K218, K$218:$K$247)</f>
        <v>#DIV/0!</v>
      </c>
    </row>
    <row r="219" spans="2:50">
      <c r="B219" s="627"/>
      <c r="C219" s="356">
        <v>2</v>
      </c>
      <c r="D219" s="356"/>
      <c r="E219" s="356"/>
      <c r="F219" s="356"/>
      <c r="G219" s="356"/>
      <c r="H219" s="658"/>
      <c r="I219" s="200" t="e">
        <f t="shared" si="111"/>
        <v>#DIV/0!</v>
      </c>
      <c r="J219" s="200" t="e">
        <f t="shared" si="111"/>
        <v>#DIV/0!</v>
      </c>
      <c r="K219" s="200" t="e">
        <f t="shared" si="111"/>
        <v>#DIV/0!</v>
      </c>
      <c r="L219" s="659"/>
      <c r="M219" s="200" t="e">
        <f>RANK(K219, K$218:$K$247)</f>
        <v>#DIV/0!</v>
      </c>
    </row>
    <row r="220" spans="2:50">
      <c r="B220" s="627"/>
      <c r="C220" s="356">
        <v>3</v>
      </c>
      <c r="D220" s="356"/>
      <c r="E220" s="356"/>
      <c r="F220" s="356"/>
      <c r="G220" s="356"/>
      <c r="H220" s="658"/>
      <c r="I220" s="200" t="e">
        <f t="shared" si="111"/>
        <v>#DIV/0!</v>
      </c>
      <c r="J220" s="200" t="e">
        <f t="shared" si="111"/>
        <v>#DIV/0!</v>
      </c>
      <c r="K220" s="200" t="e">
        <f t="shared" si="111"/>
        <v>#DIV/0!</v>
      </c>
      <c r="L220" s="659"/>
      <c r="M220" s="200" t="e">
        <f>RANK(K220, K$218:$K$247)</f>
        <v>#DIV/0!</v>
      </c>
    </row>
    <row r="221" spans="2:50">
      <c r="B221" s="627"/>
      <c r="C221" s="356">
        <v>4</v>
      </c>
      <c r="D221" s="356"/>
      <c r="E221" s="356"/>
      <c r="F221" s="356"/>
      <c r="G221" s="356"/>
      <c r="H221" s="658"/>
      <c r="I221" s="200" t="e">
        <f t="shared" si="111"/>
        <v>#DIV/0!</v>
      </c>
      <c r="J221" s="200" t="e">
        <f t="shared" si="111"/>
        <v>#DIV/0!</v>
      </c>
      <c r="K221" s="200" t="e">
        <f t="shared" si="111"/>
        <v>#DIV/0!</v>
      </c>
      <c r="L221" s="659"/>
      <c r="M221" s="200" t="e">
        <f>RANK(K221, K$218:$K$247)</f>
        <v>#DIV/0!</v>
      </c>
    </row>
    <row r="222" spans="2:50">
      <c r="B222" s="627"/>
      <c r="C222" s="356">
        <v>5</v>
      </c>
      <c r="D222" s="356"/>
      <c r="E222" s="356"/>
      <c r="F222" s="356"/>
      <c r="G222" s="356"/>
      <c r="H222" s="658"/>
      <c r="I222" s="200" t="e">
        <f t="shared" si="111"/>
        <v>#DIV/0!</v>
      </c>
      <c r="J222" s="200" t="e">
        <f t="shared" si="111"/>
        <v>#DIV/0!</v>
      </c>
      <c r="K222" s="200" t="e">
        <f t="shared" si="111"/>
        <v>#DIV/0!</v>
      </c>
      <c r="L222" s="659"/>
      <c r="M222" s="200" t="e">
        <f>RANK(K222, K$218:$K$247)</f>
        <v>#DIV/0!</v>
      </c>
    </row>
    <row r="223" spans="2:50">
      <c r="B223" s="627"/>
      <c r="C223" s="356">
        <v>6</v>
      </c>
      <c r="D223" s="356"/>
      <c r="E223" s="356"/>
      <c r="F223" s="356"/>
      <c r="G223" s="356"/>
      <c r="H223" s="658"/>
      <c r="I223" s="200" t="e">
        <f t="shared" si="111"/>
        <v>#DIV/0!</v>
      </c>
      <c r="J223" s="200" t="e">
        <f t="shared" si="111"/>
        <v>#DIV/0!</v>
      </c>
      <c r="K223" s="200" t="e">
        <f t="shared" si="111"/>
        <v>#DIV/0!</v>
      </c>
      <c r="L223" s="659"/>
      <c r="M223" s="200" t="e">
        <f>RANK(K223, K$218:$K$247)</f>
        <v>#DIV/0!</v>
      </c>
    </row>
    <row r="224" spans="2:50">
      <c r="B224" s="627"/>
      <c r="C224" s="356">
        <v>7</v>
      </c>
      <c r="D224" s="356"/>
      <c r="E224" s="356"/>
      <c r="F224" s="356"/>
      <c r="G224" s="356"/>
      <c r="H224" s="658"/>
      <c r="I224" s="200" t="e">
        <f t="shared" si="111"/>
        <v>#DIV/0!</v>
      </c>
      <c r="J224" s="200" t="e">
        <f t="shared" si="111"/>
        <v>#DIV/0!</v>
      </c>
      <c r="K224" s="200" t="e">
        <f t="shared" si="111"/>
        <v>#DIV/0!</v>
      </c>
      <c r="L224" s="659"/>
      <c r="M224" s="200" t="e">
        <f>RANK(K224, K$218:$K$247)</f>
        <v>#DIV/0!</v>
      </c>
    </row>
    <row r="225" spans="2:13">
      <c r="B225" s="627"/>
      <c r="C225" s="356">
        <v>8</v>
      </c>
      <c r="D225" s="356"/>
      <c r="E225" s="356"/>
      <c r="F225" s="356"/>
      <c r="G225" s="356"/>
      <c r="H225" s="658"/>
      <c r="I225" s="200" t="e">
        <f t="shared" si="111"/>
        <v>#DIV/0!</v>
      </c>
      <c r="J225" s="200" t="e">
        <f t="shared" si="111"/>
        <v>#DIV/0!</v>
      </c>
      <c r="K225" s="200" t="e">
        <f t="shared" si="111"/>
        <v>#DIV/0!</v>
      </c>
      <c r="L225" s="659"/>
      <c r="M225" s="200" t="e">
        <f>RANK(K225, K$218:$K$247)</f>
        <v>#DIV/0!</v>
      </c>
    </row>
    <row r="226" spans="2:13">
      <c r="B226" s="627"/>
      <c r="C226" s="356">
        <v>9</v>
      </c>
      <c r="D226" s="356"/>
      <c r="E226" s="356"/>
      <c r="F226" s="356"/>
      <c r="G226" s="356"/>
      <c r="H226" s="658"/>
      <c r="I226" s="200" t="e">
        <f t="shared" si="111"/>
        <v>#DIV/0!</v>
      </c>
      <c r="J226" s="200" t="e">
        <f t="shared" si="111"/>
        <v>#DIV/0!</v>
      </c>
      <c r="K226" s="200" t="e">
        <f t="shared" si="111"/>
        <v>#DIV/0!</v>
      </c>
      <c r="L226" s="659"/>
      <c r="M226" s="200" t="e">
        <f>RANK(K226, K$218:$K$247)</f>
        <v>#DIV/0!</v>
      </c>
    </row>
    <row r="227" spans="2:13">
      <c r="B227" s="627"/>
      <c r="C227" s="356">
        <v>10</v>
      </c>
      <c r="D227" s="356"/>
      <c r="E227" s="356"/>
      <c r="F227" s="356"/>
      <c r="G227" s="356"/>
      <c r="H227" s="658"/>
      <c r="I227" s="200" t="e">
        <f t="shared" si="111"/>
        <v>#DIV/0!</v>
      </c>
      <c r="J227" s="200" t="e">
        <f t="shared" si="111"/>
        <v>#DIV/0!</v>
      </c>
      <c r="K227" s="200" t="e">
        <f t="shared" si="111"/>
        <v>#DIV/0!</v>
      </c>
      <c r="L227" s="659"/>
      <c r="M227" s="200" t="e">
        <f>RANK(K227, K$218:$K$247)</f>
        <v>#DIV/0!</v>
      </c>
    </row>
    <row r="228" spans="2:13">
      <c r="B228" s="627"/>
      <c r="C228" s="356">
        <v>11</v>
      </c>
      <c r="D228" s="356"/>
      <c r="E228" s="356"/>
      <c r="F228" s="356"/>
      <c r="G228" s="356"/>
      <c r="H228" s="658"/>
      <c r="I228" s="200" t="e">
        <f t="shared" si="111"/>
        <v>#DIV/0!</v>
      </c>
      <c r="J228" s="200" t="e">
        <f t="shared" si="111"/>
        <v>#DIV/0!</v>
      </c>
      <c r="K228" s="200" t="e">
        <f t="shared" si="111"/>
        <v>#DIV/0!</v>
      </c>
      <c r="L228" s="659"/>
      <c r="M228" s="200" t="e">
        <f>RANK(K228, K$218:$K$247)</f>
        <v>#DIV/0!</v>
      </c>
    </row>
    <row r="229" spans="2:13">
      <c r="B229" s="627"/>
      <c r="C229" s="356">
        <v>12</v>
      </c>
      <c r="D229" s="356"/>
      <c r="E229" s="356"/>
      <c r="F229" s="356"/>
      <c r="G229" s="356"/>
      <c r="H229" s="658"/>
      <c r="I229" s="200" t="e">
        <f t="shared" si="111"/>
        <v>#DIV/0!</v>
      </c>
      <c r="J229" s="200" t="e">
        <f t="shared" si="111"/>
        <v>#DIV/0!</v>
      </c>
      <c r="K229" s="200" t="e">
        <f t="shared" si="111"/>
        <v>#DIV/0!</v>
      </c>
      <c r="L229" s="659"/>
      <c r="M229" s="200" t="e">
        <f>RANK(K229, K$218:$K$247)</f>
        <v>#DIV/0!</v>
      </c>
    </row>
    <row r="230" spans="2:13">
      <c r="B230" s="627"/>
      <c r="C230" s="356">
        <v>13</v>
      </c>
      <c r="D230" s="356"/>
      <c r="E230" s="356"/>
      <c r="F230" s="356"/>
      <c r="G230" s="356"/>
      <c r="H230" s="658"/>
      <c r="I230" s="200" t="e">
        <f t="shared" si="111"/>
        <v>#DIV/0!</v>
      </c>
      <c r="J230" s="200" t="e">
        <f t="shared" si="111"/>
        <v>#DIV/0!</v>
      </c>
      <c r="K230" s="200" t="e">
        <f t="shared" si="111"/>
        <v>#DIV/0!</v>
      </c>
      <c r="L230" s="659"/>
      <c r="M230" s="200" t="e">
        <f>RANK(K230, K$218:$K$247)</f>
        <v>#DIV/0!</v>
      </c>
    </row>
    <row r="231" spans="2:13">
      <c r="B231" s="627"/>
      <c r="C231" s="356">
        <v>14</v>
      </c>
      <c r="D231" s="356"/>
      <c r="E231" s="356"/>
      <c r="F231" s="356"/>
      <c r="G231" s="356"/>
      <c r="H231" s="658"/>
      <c r="I231" s="200" t="e">
        <f t="shared" si="111"/>
        <v>#DIV/0!</v>
      </c>
      <c r="J231" s="200" t="e">
        <f t="shared" si="111"/>
        <v>#DIV/0!</v>
      </c>
      <c r="K231" s="200" t="e">
        <f t="shared" si="111"/>
        <v>#DIV/0!</v>
      </c>
      <c r="L231" s="659"/>
      <c r="M231" s="200" t="e">
        <f>RANK(K231, K$218:$K$247)</f>
        <v>#DIV/0!</v>
      </c>
    </row>
    <row r="232" spans="2:13">
      <c r="B232" s="627"/>
      <c r="C232" s="356">
        <v>15</v>
      </c>
      <c r="D232" s="356"/>
      <c r="E232" s="356"/>
      <c r="F232" s="356"/>
      <c r="G232" s="356"/>
      <c r="H232" s="658"/>
      <c r="I232" s="200" t="e">
        <f t="shared" si="111"/>
        <v>#DIV/0!</v>
      </c>
      <c r="J232" s="200" t="e">
        <f t="shared" si="111"/>
        <v>#DIV/0!</v>
      </c>
      <c r="K232" s="200" t="e">
        <f t="shared" si="111"/>
        <v>#DIV/0!</v>
      </c>
      <c r="L232" s="659"/>
      <c r="M232" s="200" t="e">
        <f>RANK(K232, K$218:$K$247)</f>
        <v>#DIV/0!</v>
      </c>
    </row>
    <row r="233" spans="2:13">
      <c r="B233" s="627"/>
      <c r="C233" s="356">
        <v>16</v>
      </c>
      <c r="D233" s="356"/>
      <c r="E233" s="356"/>
      <c r="F233" s="356"/>
      <c r="G233" s="356"/>
      <c r="H233" s="658"/>
      <c r="I233" s="200" t="e">
        <f t="shared" si="111"/>
        <v>#DIV/0!</v>
      </c>
      <c r="J233" s="200" t="e">
        <f t="shared" si="111"/>
        <v>#DIV/0!</v>
      </c>
      <c r="K233" s="200" t="e">
        <f t="shared" si="111"/>
        <v>#DIV/0!</v>
      </c>
      <c r="L233" s="659"/>
      <c r="M233" s="200" t="e">
        <f>RANK(K233, K$218:$K$247)</f>
        <v>#DIV/0!</v>
      </c>
    </row>
    <row r="234" spans="2:13">
      <c r="B234" s="627"/>
      <c r="C234" s="356">
        <v>17</v>
      </c>
      <c r="D234" s="356"/>
      <c r="E234" s="356"/>
      <c r="F234" s="356"/>
      <c r="G234" s="356"/>
      <c r="H234" s="658"/>
      <c r="I234" s="200" t="e">
        <f t="shared" si="111"/>
        <v>#DIV/0!</v>
      </c>
      <c r="J234" s="200" t="e">
        <f t="shared" si="111"/>
        <v>#DIV/0!</v>
      </c>
      <c r="K234" s="200" t="e">
        <f t="shared" si="111"/>
        <v>#DIV/0!</v>
      </c>
      <c r="L234" s="659"/>
      <c r="M234" s="200" t="e">
        <f>RANK(K234, K$218:$K$247)</f>
        <v>#DIV/0!</v>
      </c>
    </row>
    <row r="235" spans="2:13">
      <c r="B235" s="627"/>
      <c r="C235" s="356">
        <v>18</v>
      </c>
      <c r="D235" s="356"/>
      <c r="E235" s="356"/>
      <c r="F235" s="356"/>
      <c r="G235" s="356"/>
      <c r="H235" s="658"/>
      <c r="I235" s="200" t="e">
        <f t="shared" si="111"/>
        <v>#DIV/0!</v>
      </c>
      <c r="J235" s="200" t="e">
        <f t="shared" si="111"/>
        <v>#DIV/0!</v>
      </c>
      <c r="K235" s="200" t="e">
        <f t="shared" si="111"/>
        <v>#DIV/0!</v>
      </c>
      <c r="L235" s="659"/>
      <c r="M235" s="200" t="e">
        <f>RANK(K235, K$218:$K$247)</f>
        <v>#DIV/0!</v>
      </c>
    </row>
    <row r="236" spans="2:13">
      <c r="B236" s="627"/>
      <c r="C236" s="356">
        <v>19</v>
      </c>
      <c r="D236" s="356"/>
      <c r="E236" s="356"/>
      <c r="F236" s="356"/>
      <c r="G236" s="356"/>
      <c r="H236" s="658"/>
      <c r="I236" s="200" t="e">
        <f t="shared" si="111"/>
        <v>#DIV/0!</v>
      </c>
      <c r="J236" s="200" t="e">
        <f t="shared" si="111"/>
        <v>#DIV/0!</v>
      </c>
      <c r="K236" s="200" t="e">
        <f t="shared" si="111"/>
        <v>#DIV/0!</v>
      </c>
      <c r="L236" s="659"/>
      <c r="M236" s="200" t="e">
        <f>RANK(K236, K$218:$K$247)</f>
        <v>#DIV/0!</v>
      </c>
    </row>
    <row r="237" spans="2:13">
      <c r="B237" s="627"/>
      <c r="C237" s="356">
        <v>20</v>
      </c>
      <c r="D237" s="356"/>
      <c r="E237" s="356"/>
      <c r="F237" s="356"/>
      <c r="G237" s="356"/>
      <c r="H237" s="658"/>
      <c r="I237" s="200" t="e">
        <f t="shared" si="111"/>
        <v>#DIV/0!</v>
      </c>
      <c r="J237" s="200" t="e">
        <f t="shared" si="111"/>
        <v>#DIV/0!</v>
      </c>
      <c r="K237" s="200" t="e">
        <f t="shared" si="111"/>
        <v>#DIV/0!</v>
      </c>
      <c r="L237" s="659"/>
      <c r="M237" s="200" t="e">
        <f>RANK(K237, K$218:$K$247)</f>
        <v>#DIV/0!</v>
      </c>
    </row>
    <row r="238" spans="2:13">
      <c r="B238" s="627"/>
      <c r="C238" s="356">
        <v>21</v>
      </c>
      <c r="D238" s="356"/>
      <c r="E238" s="356"/>
      <c r="F238" s="356"/>
      <c r="G238" s="356"/>
      <c r="H238" s="658"/>
      <c r="I238" s="200" t="e">
        <f t="shared" si="111"/>
        <v>#DIV/0!</v>
      </c>
      <c r="J238" s="200" t="e">
        <f t="shared" si="111"/>
        <v>#DIV/0!</v>
      </c>
      <c r="K238" s="200" t="e">
        <f t="shared" si="111"/>
        <v>#DIV/0!</v>
      </c>
      <c r="L238" s="659"/>
      <c r="M238" s="200" t="e">
        <f>RANK(K238, K$218:$K$247)</f>
        <v>#DIV/0!</v>
      </c>
    </row>
    <row r="239" spans="2:13">
      <c r="B239" s="627"/>
      <c r="C239" s="356">
        <v>22</v>
      </c>
      <c r="D239" s="356"/>
      <c r="E239" s="356"/>
      <c r="F239" s="356"/>
      <c r="G239" s="356"/>
      <c r="H239" s="658"/>
      <c r="I239" s="200" t="e">
        <f t="shared" si="111"/>
        <v>#DIV/0!</v>
      </c>
      <c r="J239" s="200" t="e">
        <f t="shared" si="111"/>
        <v>#DIV/0!</v>
      </c>
      <c r="K239" s="200" t="e">
        <f t="shared" si="111"/>
        <v>#DIV/0!</v>
      </c>
      <c r="L239" s="659"/>
      <c r="M239" s="200" t="e">
        <f>RANK(K239, K$218:$K$247)</f>
        <v>#DIV/0!</v>
      </c>
    </row>
    <row r="240" spans="2:13">
      <c r="B240" s="627"/>
      <c r="C240" s="356">
        <v>23</v>
      </c>
      <c r="D240" s="356"/>
      <c r="E240" s="356"/>
      <c r="F240" s="356"/>
      <c r="G240" s="356"/>
      <c r="H240" s="658"/>
      <c r="I240" s="200" t="e">
        <f t="shared" si="111"/>
        <v>#DIV/0!</v>
      </c>
      <c r="J240" s="200" t="e">
        <f t="shared" si="111"/>
        <v>#DIV/0!</v>
      </c>
      <c r="K240" s="200" t="e">
        <f t="shared" si="111"/>
        <v>#DIV/0!</v>
      </c>
      <c r="L240" s="659"/>
      <c r="M240" s="200" t="e">
        <f>RANK(K240, K$218:$K$247)</f>
        <v>#DIV/0!</v>
      </c>
    </row>
    <row r="241" spans="2:13">
      <c r="B241" s="627"/>
      <c r="C241" s="356">
        <v>24</v>
      </c>
      <c r="D241" s="356"/>
      <c r="E241" s="356"/>
      <c r="F241" s="356"/>
      <c r="G241" s="356"/>
      <c r="H241" s="658"/>
      <c r="I241" s="200"/>
      <c r="J241" s="200"/>
      <c r="K241" s="200"/>
      <c r="L241" s="659"/>
      <c r="M241" s="200" t="e">
        <f>RANK(K241, K$218:$K$247)</f>
        <v>#DIV/0!</v>
      </c>
    </row>
    <row r="242" spans="2:13">
      <c r="B242" s="627"/>
      <c r="C242" s="356">
        <v>25</v>
      </c>
      <c r="D242" s="356"/>
      <c r="E242" s="356"/>
      <c r="F242" s="356"/>
      <c r="G242" s="356"/>
      <c r="H242" s="658"/>
      <c r="I242" s="200"/>
      <c r="J242" s="200"/>
      <c r="K242" s="200"/>
      <c r="L242" s="659"/>
      <c r="M242" s="200" t="e">
        <f>RANK(K242, K$218:$K$247)</f>
        <v>#DIV/0!</v>
      </c>
    </row>
    <row r="243" spans="2:13">
      <c r="B243" s="627"/>
      <c r="C243" s="356">
        <v>26</v>
      </c>
      <c r="D243" s="356"/>
      <c r="E243" s="356"/>
      <c r="F243" s="356"/>
      <c r="G243" s="356"/>
      <c r="H243" s="658"/>
      <c r="I243" s="200"/>
      <c r="J243" s="200"/>
      <c r="K243" s="200"/>
      <c r="L243" s="659"/>
      <c r="M243" s="200" t="e">
        <f>RANK(K243, K$218:$K$247)</f>
        <v>#DIV/0!</v>
      </c>
    </row>
    <row r="244" spans="2:13">
      <c r="B244" s="627"/>
      <c r="C244" s="356">
        <v>27</v>
      </c>
      <c r="D244" s="356"/>
      <c r="E244" s="356"/>
      <c r="F244" s="356"/>
      <c r="G244" s="356"/>
      <c r="H244" s="658"/>
      <c r="I244" s="200"/>
      <c r="J244" s="200"/>
      <c r="K244" s="200"/>
      <c r="L244" s="659"/>
      <c r="M244" s="200" t="e">
        <f>RANK(K244, K$218:$K$247)</f>
        <v>#DIV/0!</v>
      </c>
    </row>
    <row r="245" spans="2:13">
      <c r="B245" s="627"/>
      <c r="C245" s="356">
        <v>28</v>
      </c>
      <c r="D245" s="356"/>
      <c r="E245" s="356"/>
      <c r="F245" s="356"/>
      <c r="G245" s="356"/>
      <c r="H245" s="658"/>
      <c r="I245" s="200"/>
      <c r="J245" s="200"/>
      <c r="K245" s="200"/>
      <c r="L245" s="659"/>
      <c r="M245" s="200" t="e">
        <f>RANK(K245, K$218:$K$247)</f>
        <v>#DIV/0!</v>
      </c>
    </row>
    <row r="246" spans="2:13">
      <c r="B246" s="627"/>
      <c r="C246" s="356">
        <v>29</v>
      </c>
      <c r="D246" s="356"/>
      <c r="E246" s="356"/>
      <c r="F246" s="356"/>
      <c r="G246" s="356"/>
      <c r="H246" s="658"/>
      <c r="I246" s="200"/>
      <c r="J246" s="200"/>
      <c r="K246" s="200"/>
      <c r="L246" s="659"/>
      <c r="M246" s="200" t="e">
        <f>RANK(K246, K$218:$K$247)</f>
        <v>#DIV/0!</v>
      </c>
    </row>
    <row r="247" spans="2:13">
      <c r="B247" s="627"/>
      <c r="C247" s="356">
        <v>30</v>
      </c>
      <c r="D247" s="356"/>
      <c r="E247" s="356"/>
      <c r="F247" s="356"/>
      <c r="G247" s="356"/>
      <c r="H247" s="658"/>
      <c r="I247" s="200"/>
      <c r="J247" s="200"/>
      <c r="K247" s="200"/>
      <c r="L247" s="659"/>
      <c r="M247" s="200" t="e">
        <f>RANK(K247, K$218:$K$247)</f>
        <v>#DIV/0!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5" zoomScale="70" zoomScaleNormal="70" workbookViewId="0">
      <pane xSplit="15" topLeftCell="P1" activePane="topRight" state="frozen"/>
      <selection sqref="A1:L2"/>
      <selection pane="topRight" activeCell="AF50" sqref="AF50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196.03046979431213</v>
      </c>
    </row>
    <row r="2" spans="1:54" ht="15.5">
      <c r="A2" s="81"/>
      <c r="B2" s="631" t="s">
        <v>163</v>
      </c>
      <c r="C2" s="631"/>
      <c r="D2" s="631"/>
      <c r="E2" s="631"/>
      <c r="F2" s="631"/>
      <c r="G2" s="631"/>
      <c r="H2" s="631"/>
      <c r="I2" s="318"/>
      <c r="J2" s="318"/>
      <c r="K2" s="318"/>
      <c r="L2" s="318"/>
      <c r="M2" s="198"/>
      <c r="N2" s="620" t="s">
        <v>156</v>
      </c>
      <c r="O2" s="620" t="s">
        <v>155</v>
      </c>
      <c r="P2" s="666">
        <v>45958</v>
      </c>
      <c r="Q2" s="667"/>
      <c r="R2" s="667"/>
      <c r="S2" s="667"/>
      <c r="T2" s="668"/>
      <c r="U2" s="626">
        <f>P2+1</f>
        <v>45959</v>
      </c>
      <c r="V2" s="627"/>
      <c r="W2" s="627"/>
      <c r="X2" s="627"/>
      <c r="Y2" s="627"/>
      <c r="Z2" s="626">
        <f>U2+1</f>
        <v>45960</v>
      </c>
      <c r="AA2" s="627"/>
      <c r="AB2" s="627"/>
      <c r="AC2" s="627"/>
      <c r="AD2" s="627"/>
      <c r="AE2" s="626">
        <f>Z2+1</f>
        <v>45961</v>
      </c>
      <c r="AF2" s="627"/>
      <c r="AG2" s="627"/>
      <c r="AH2" s="627"/>
      <c r="AI2" s="627"/>
      <c r="AJ2" s="626">
        <f>AE2+1</f>
        <v>45962</v>
      </c>
      <c r="AK2" s="627"/>
      <c r="AL2" s="627"/>
      <c r="AM2" s="627"/>
      <c r="AN2" s="627"/>
      <c r="AO2" s="626">
        <f>AJ2+1</f>
        <v>45963</v>
      </c>
      <c r="AP2" s="627"/>
      <c r="AQ2" s="627"/>
      <c r="AR2" s="627"/>
      <c r="AS2" s="627"/>
      <c r="AT2" s="626">
        <v>45992</v>
      </c>
      <c r="AU2" s="627"/>
      <c r="AV2" s="627"/>
      <c r="AW2" s="627"/>
      <c r="AX2" s="627"/>
    </row>
    <row r="3" spans="1:54" ht="15.5">
      <c r="A3" s="81"/>
      <c r="B3" s="651"/>
      <c r="C3" s="651"/>
      <c r="D3" s="651"/>
      <c r="E3" s="651"/>
      <c r="F3" s="651"/>
      <c r="G3" s="651"/>
      <c r="H3" s="651"/>
      <c r="I3" s="319"/>
      <c r="J3" s="319"/>
      <c r="K3" s="319"/>
      <c r="L3" s="319"/>
      <c r="M3" s="199"/>
      <c r="N3" s="622"/>
      <c r="O3" s="622"/>
      <c r="P3" s="626" t="s">
        <v>158</v>
      </c>
      <c r="Q3" s="627"/>
      <c r="R3" s="627"/>
      <c r="S3" s="627"/>
      <c r="T3" s="627"/>
      <c r="U3" s="626" t="s">
        <v>114</v>
      </c>
      <c r="V3" s="627"/>
      <c r="W3" s="627"/>
      <c r="X3" s="627"/>
      <c r="Y3" s="627"/>
      <c r="Z3" s="626" t="s">
        <v>159</v>
      </c>
      <c r="AA3" s="627"/>
      <c r="AB3" s="627"/>
      <c r="AC3" s="627"/>
      <c r="AD3" s="627"/>
      <c r="AE3" s="626" t="s">
        <v>157</v>
      </c>
      <c r="AF3" s="627"/>
      <c r="AG3" s="627"/>
      <c r="AH3" s="627"/>
      <c r="AI3" s="627"/>
      <c r="AJ3" s="626" t="s">
        <v>160</v>
      </c>
      <c r="AK3" s="627"/>
      <c r="AL3" s="627"/>
      <c r="AM3" s="627"/>
      <c r="AN3" s="627"/>
      <c r="AO3" s="626" t="s">
        <v>115</v>
      </c>
      <c r="AP3" s="627"/>
      <c r="AQ3" s="627"/>
      <c r="AR3" s="627"/>
      <c r="AS3" s="627"/>
      <c r="AT3" s="626" t="s">
        <v>162</v>
      </c>
      <c r="AU3" s="627"/>
      <c r="AV3" s="627"/>
      <c r="AW3" s="627"/>
      <c r="AX3" s="627"/>
    </row>
    <row r="4" spans="1:54">
      <c r="A4" s="81"/>
      <c r="B4" s="619" t="s">
        <v>484</v>
      </c>
      <c r="C4" s="619" t="s">
        <v>485</v>
      </c>
      <c r="D4" s="619"/>
      <c r="E4" s="619" t="s">
        <v>486</v>
      </c>
      <c r="F4" s="619"/>
      <c r="G4" s="619"/>
      <c r="H4" s="635" t="s">
        <v>487</v>
      </c>
      <c r="I4" s="603" t="s">
        <v>488</v>
      </c>
      <c r="J4" s="603"/>
      <c r="K4" s="603"/>
      <c r="L4" s="604" t="s">
        <v>487</v>
      </c>
      <c r="M4" s="610" t="s">
        <v>489</v>
      </c>
      <c r="N4" s="619"/>
      <c r="O4" s="619" t="s">
        <v>490</v>
      </c>
      <c r="P4" s="616" t="s">
        <v>491</v>
      </c>
      <c r="Q4" s="617"/>
      <c r="R4" s="617"/>
      <c r="S4" s="618"/>
      <c r="T4" s="619" t="s">
        <v>487</v>
      </c>
      <c r="U4" s="616" t="s">
        <v>491</v>
      </c>
      <c r="V4" s="617"/>
      <c r="W4" s="617"/>
      <c r="X4" s="618"/>
      <c r="Y4" s="619" t="s">
        <v>487</v>
      </c>
      <c r="Z4" s="616" t="s">
        <v>491</v>
      </c>
      <c r="AA4" s="617"/>
      <c r="AB4" s="617"/>
      <c r="AC4" s="618"/>
      <c r="AD4" s="619" t="s">
        <v>487</v>
      </c>
      <c r="AE4" s="616" t="s">
        <v>491</v>
      </c>
      <c r="AF4" s="617"/>
      <c r="AG4" s="617"/>
      <c r="AH4" s="618"/>
      <c r="AI4" s="619" t="s">
        <v>487</v>
      </c>
      <c r="AJ4" s="616" t="s">
        <v>491</v>
      </c>
      <c r="AK4" s="617"/>
      <c r="AL4" s="617"/>
      <c r="AM4" s="618"/>
      <c r="AN4" s="619" t="s">
        <v>487</v>
      </c>
      <c r="AO4" s="616" t="s">
        <v>491</v>
      </c>
      <c r="AP4" s="617"/>
      <c r="AQ4" s="617"/>
      <c r="AR4" s="618"/>
      <c r="AS4" s="619" t="s">
        <v>487</v>
      </c>
      <c r="AT4" s="616" t="s">
        <v>491</v>
      </c>
      <c r="AU4" s="617"/>
      <c r="AV4" s="617"/>
      <c r="AW4" s="618"/>
      <c r="AX4" s="619" t="s">
        <v>487</v>
      </c>
    </row>
    <row r="5" spans="1:54">
      <c r="A5" s="81"/>
      <c r="B5" s="619"/>
      <c r="C5" s="619"/>
      <c r="D5" s="619"/>
      <c r="E5" s="619" t="s">
        <v>492</v>
      </c>
      <c r="F5" s="619"/>
      <c r="G5" s="619"/>
      <c r="H5" s="636"/>
      <c r="I5" s="603" t="s">
        <v>492</v>
      </c>
      <c r="J5" s="603"/>
      <c r="K5" s="603"/>
      <c r="L5" s="605"/>
      <c r="M5" s="611"/>
      <c r="N5" s="619"/>
      <c r="O5" s="619"/>
      <c r="P5" s="616" t="s">
        <v>493</v>
      </c>
      <c r="Q5" s="617"/>
      <c r="R5" s="617"/>
      <c r="S5" s="618"/>
      <c r="T5" s="619"/>
      <c r="U5" s="616" t="s">
        <v>493</v>
      </c>
      <c r="V5" s="617"/>
      <c r="W5" s="617"/>
      <c r="X5" s="618"/>
      <c r="Y5" s="619"/>
      <c r="Z5" s="616" t="s">
        <v>493</v>
      </c>
      <c r="AA5" s="617"/>
      <c r="AB5" s="617"/>
      <c r="AC5" s="618"/>
      <c r="AD5" s="619"/>
      <c r="AE5" s="616" t="s">
        <v>493</v>
      </c>
      <c r="AF5" s="617"/>
      <c r="AG5" s="617"/>
      <c r="AH5" s="618"/>
      <c r="AI5" s="619"/>
      <c r="AJ5" s="616" t="s">
        <v>493</v>
      </c>
      <c r="AK5" s="617"/>
      <c r="AL5" s="617"/>
      <c r="AM5" s="618"/>
      <c r="AN5" s="619"/>
      <c r="AO5" s="616" t="s">
        <v>493</v>
      </c>
      <c r="AP5" s="617"/>
      <c r="AQ5" s="617"/>
      <c r="AR5" s="618"/>
      <c r="AS5" s="619"/>
      <c r="AT5" s="616" t="s">
        <v>493</v>
      </c>
      <c r="AU5" s="617"/>
      <c r="AV5" s="617"/>
      <c r="AW5" s="618"/>
      <c r="AX5" s="619"/>
    </row>
    <row r="6" spans="1:54">
      <c r="A6" s="79"/>
      <c r="B6" s="619"/>
      <c r="C6" s="619"/>
      <c r="D6" s="619"/>
      <c r="E6" s="473" t="s">
        <v>494</v>
      </c>
      <c r="F6" s="473" t="s">
        <v>495</v>
      </c>
      <c r="G6" s="473" t="s">
        <v>496</v>
      </c>
      <c r="H6" s="637"/>
      <c r="I6" s="474" t="s">
        <v>494</v>
      </c>
      <c r="J6" s="474" t="s">
        <v>495</v>
      </c>
      <c r="K6" s="474" t="s">
        <v>496</v>
      </c>
      <c r="L6" s="606"/>
      <c r="M6" s="612"/>
      <c r="N6" s="619"/>
      <c r="O6" s="619"/>
      <c r="P6" s="473" t="s">
        <v>494</v>
      </c>
      <c r="Q6" s="473" t="s">
        <v>495</v>
      </c>
      <c r="R6" s="473" t="s">
        <v>496</v>
      </c>
      <c r="S6" s="473" t="s">
        <v>489</v>
      </c>
      <c r="T6" s="619"/>
      <c r="U6" s="473" t="s">
        <v>494</v>
      </c>
      <c r="V6" s="473" t="s">
        <v>495</v>
      </c>
      <c r="W6" s="473" t="s">
        <v>496</v>
      </c>
      <c r="X6" s="473" t="s">
        <v>489</v>
      </c>
      <c r="Y6" s="619"/>
      <c r="Z6" s="473" t="s">
        <v>494</v>
      </c>
      <c r="AA6" s="473" t="s">
        <v>495</v>
      </c>
      <c r="AB6" s="473" t="s">
        <v>496</v>
      </c>
      <c r="AC6" s="473" t="s">
        <v>489</v>
      </c>
      <c r="AD6" s="619"/>
      <c r="AE6" s="473" t="s">
        <v>494</v>
      </c>
      <c r="AF6" s="473" t="s">
        <v>495</v>
      </c>
      <c r="AG6" s="473" t="s">
        <v>496</v>
      </c>
      <c r="AH6" s="473" t="s">
        <v>489</v>
      </c>
      <c r="AI6" s="619"/>
      <c r="AJ6" s="473" t="s">
        <v>494</v>
      </c>
      <c r="AK6" s="473" t="s">
        <v>495</v>
      </c>
      <c r="AL6" s="473" t="s">
        <v>496</v>
      </c>
      <c r="AM6" s="473" t="s">
        <v>489</v>
      </c>
      <c r="AN6" s="619"/>
      <c r="AO6" s="473" t="s">
        <v>494</v>
      </c>
      <c r="AP6" s="473" t="s">
        <v>495</v>
      </c>
      <c r="AQ6" s="473" t="s">
        <v>496</v>
      </c>
      <c r="AR6" s="473" t="s">
        <v>489</v>
      </c>
      <c r="AS6" s="619"/>
      <c r="AT6" s="473" t="s">
        <v>494</v>
      </c>
      <c r="AU6" s="473" t="s">
        <v>495</v>
      </c>
      <c r="AV6" s="473" t="s">
        <v>496</v>
      </c>
      <c r="AW6" s="473" t="s">
        <v>489</v>
      </c>
      <c r="AX6" s="619"/>
    </row>
    <row r="7" spans="1:54">
      <c r="A7" s="81"/>
      <c r="B7" s="660" t="s">
        <v>497</v>
      </c>
      <c r="C7" s="470">
        <v>1</v>
      </c>
      <c r="D7" s="520" t="s">
        <v>373</v>
      </c>
      <c r="E7" s="520">
        <v>10</v>
      </c>
      <c r="F7" s="520">
        <v>1500</v>
      </c>
      <c r="G7" s="183">
        <v>150</v>
      </c>
      <c r="H7" s="661">
        <f>AVERAGE(G7:G21)</f>
        <v>181.25</v>
      </c>
      <c r="I7" s="472">
        <f>AVERAGE(P7,U7,Z7,AE7,AJ7,AO7,AT7)</f>
        <v>10</v>
      </c>
      <c r="J7" s="472">
        <f>AVERAGE(Q7,V7,AA7,AF7,AK7,AP7,AU7)</f>
        <v>1019.9999999999998</v>
      </c>
      <c r="K7" s="201">
        <f>AVERAGE(R7,W7,AB7,AG7,AL7,AQ7,AV7)</f>
        <v>101.99999999999997</v>
      </c>
      <c r="L7" s="600">
        <f>IFERROR(AVERAGE(K7:K21),"-")</f>
        <v>190.40508466089253</v>
      </c>
      <c r="M7" s="475">
        <f>RANK(K7, $K$7:K$21)</f>
        <v>6</v>
      </c>
      <c r="N7" s="619"/>
      <c r="O7" s="619"/>
      <c r="P7" s="183"/>
      <c r="Q7" s="183"/>
      <c r="R7" s="183"/>
      <c r="S7" s="470" t="e">
        <f>RANK(R7, R$7:R$21)</f>
        <v>#N/A</v>
      </c>
      <c r="T7" s="658" t="e">
        <f>AVERAGE(R7:R21)</f>
        <v>#DIV/0!</v>
      </c>
      <c r="U7" s="183"/>
      <c r="V7" s="183"/>
      <c r="W7" s="183"/>
      <c r="X7" s="520" t="e">
        <f t="shared" ref="X7:X21" si="0">RANK(W7, W$7:W$21)</f>
        <v>#N/A</v>
      </c>
      <c r="Y7" s="658" t="e">
        <f t="shared" ref="Y7" si="1">AVERAGE(W7:W21)</f>
        <v>#DIV/0!</v>
      </c>
      <c r="Z7" s="183"/>
      <c r="AA7" s="183"/>
      <c r="AB7" s="183"/>
      <c r="AC7" s="520" t="e">
        <f t="shared" ref="AC7:AC21" si="2">RANK(AB7, AB$7:AB$21)</f>
        <v>#N/A</v>
      </c>
      <c r="AD7" s="658" t="e">
        <f t="shared" ref="AD7" si="3">AVERAGE(AB7:AB21)</f>
        <v>#DIV/0!</v>
      </c>
      <c r="AE7" s="183"/>
      <c r="AF7" s="183"/>
      <c r="AG7" s="183"/>
      <c r="AH7" s="520" t="e">
        <f t="shared" ref="AH7:AH21" si="4">RANK(AG7, AG$7:AG$21)</f>
        <v>#N/A</v>
      </c>
      <c r="AI7" s="658" t="e">
        <f t="shared" ref="AI7" si="5">AVERAGE(AG7:AG21)</f>
        <v>#DIV/0!</v>
      </c>
      <c r="AJ7" s="183"/>
      <c r="AK7" s="183"/>
      <c r="AL7" s="183"/>
      <c r="AM7" s="520" t="e">
        <f t="shared" ref="AM7:AM21" si="6">RANK(AL7, AL$7:AL$21)</f>
        <v>#N/A</v>
      </c>
      <c r="AN7" s="658" t="e">
        <f t="shared" ref="AN7" si="7">AVERAGE(AL7:AL21)</f>
        <v>#DIV/0!</v>
      </c>
      <c r="AO7" s="183"/>
      <c r="AP7" s="183"/>
      <c r="AQ7" s="183"/>
      <c r="AR7" s="520" t="e">
        <f t="shared" ref="AR7:AR21" si="8">RANK(AQ7, AQ$7:AQ$21)</f>
        <v>#N/A</v>
      </c>
      <c r="AS7" s="658" t="e">
        <f t="shared" ref="AS7" si="9">AVERAGE(AQ7:AQ21)</f>
        <v>#DIV/0!</v>
      </c>
      <c r="AT7" s="183">
        <v>10</v>
      </c>
      <c r="AU7" s="183">
        <v>1019.9999999999998</v>
      </c>
      <c r="AV7" s="521">
        <v>101.99999999999997</v>
      </c>
      <c r="AW7" s="470">
        <f>RANK(AV7, AV$7:AV$21)</f>
        <v>6</v>
      </c>
      <c r="AX7" s="658">
        <f>AVERAGE(AV7:AV21)</f>
        <v>190.40508466089253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7"/>
      <c r="C8" s="470">
        <v>2</v>
      </c>
      <c r="D8" s="520" t="s">
        <v>374</v>
      </c>
      <c r="E8" s="520">
        <v>15</v>
      </c>
      <c r="F8" s="520">
        <v>1800</v>
      </c>
      <c r="G8" s="183">
        <v>120</v>
      </c>
      <c r="H8" s="662"/>
      <c r="I8" s="472">
        <f t="shared" ref="I8:I14" si="10">AVERAGE(P8,U8,Z8,AE8,AJ8,AO8,AT8)</f>
        <v>12</v>
      </c>
      <c r="J8" s="472">
        <f t="shared" ref="J8:J14" si="11">AVERAGE(Q8,V8,AA8,AF8,AK8,AP8,AU8)</f>
        <v>1744.8979591836742</v>
      </c>
      <c r="K8" s="201">
        <f t="shared" ref="K8:K14" si="12">AVERAGE(R8,W8,AB8,AG8,AL8,AQ8,AV8)</f>
        <v>145.40816326530617</v>
      </c>
      <c r="L8" s="601"/>
      <c r="M8" s="475">
        <f>RANK(K8, $K$7:K$21)</f>
        <v>5</v>
      </c>
      <c r="N8" s="619"/>
      <c r="O8" s="619"/>
      <c r="P8" s="183"/>
      <c r="Q8" s="183"/>
      <c r="R8" s="183"/>
      <c r="S8" s="470" t="e">
        <f t="shared" ref="S8:S21" si="13">RANK(R8, R$7:R$21)</f>
        <v>#N/A</v>
      </c>
      <c r="T8" s="658"/>
      <c r="U8" s="183"/>
      <c r="V8" s="183"/>
      <c r="W8" s="183"/>
      <c r="X8" s="520" t="e">
        <f t="shared" si="0"/>
        <v>#N/A</v>
      </c>
      <c r="Y8" s="658"/>
      <c r="Z8" s="183"/>
      <c r="AA8" s="183"/>
      <c r="AB8" s="183"/>
      <c r="AC8" s="520" t="e">
        <f t="shared" si="2"/>
        <v>#N/A</v>
      </c>
      <c r="AD8" s="658"/>
      <c r="AE8" s="183"/>
      <c r="AF8" s="183"/>
      <c r="AG8" s="183"/>
      <c r="AH8" s="520" t="e">
        <f t="shared" si="4"/>
        <v>#N/A</v>
      </c>
      <c r="AI8" s="658"/>
      <c r="AJ8" s="183"/>
      <c r="AK8" s="183"/>
      <c r="AL8" s="183"/>
      <c r="AM8" s="520" t="e">
        <f t="shared" si="6"/>
        <v>#N/A</v>
      </c>
      <c r="AN8" s="658"/>
      <c r="AO8" s="183"/>
      <c r="AP8" s="183"/>
      <c r="AQ8" s="183"/>
      <c r="AR8" s="520" t="e">
        <f t="shared" si="8"/>
        <v>#N/A</v>
      </c>
      <c r="AS8" s="658"/>
      <c r="AT8" s="520">
        <v>12</v>
      </c>
      <c r="AU8" s="183">
        <v>1744.8979591836742</v>
      </c>
      <c r="AV8" s="521">
        <v>145.40816326530617</v>
      </c>
      <c r="AW8" s="470">
        <f t="shared" ref="AW8:AW21" si="14">RANK(AV8, AV$7:AV$21)</f>
        <v>5</v>
      </c>
      <c r="AX8" s="658"/>
      <c r="AZ8" s="379" t="e">
        <f>RANK(AX8, $K$7:AX$21)</f>
        <v>#N/A</v>
      </c>
      <c r="BB8" s="376" t="e">
        <f t="shared" ref="BB8:BB21" si="15">RANK(BA8, BA$7:BA$21)</f>
        <v>#N/A</v>
      </c>
    </row>
    <row r="9" spans="1:54">
      <c r="A9" s="81"/>
      <c r="B9" s="627"/>
      <c r="C9" s="470">
        <v>3</v>
      </c>
      <c r="D9" s="520" t="s">
        <v>375</v>
      </c>
      <c r="E9" s="520">
        <v>15</v>
      </c>
      <c r="F9" s="520">
        <v>1800</v>
      </c>
      <c r="G9" s="183">
        <v>120</v>
      </c>
      <c r="H9" s="662"/>
      <c r="I9" s="472">
        <f t="shared" si="10"/>
        <v>12</v>
      </c>
      <c r="J9" s="472">
        <f t="shared" si="11"/>
        <v>1771.9148936170216</v>
      </c>
      <c r="K9" s="201">
        <f t="shared" si="12"/>
        <v>147.65957446808514</v>
      </c>
      <c r="L9" s="601"/>
      <c r="M9" s="475">
        <f>RANK(K9, $K$7:K$21)</f>
        <v>4</v>
      </c>
      <c r="N9" s="619"/>
      <c r="O9" s="619"/>
      <c r="P9" s="183"/>
      <c r="Q9" s="183"/>
      <c r="R9" s="183"/>
      <c r="S9" s="470" t="e">
        <f t="shared" si="13"/>
        <v>#N/A</v>
      </c>
      <c r="T9" s="658"/>
      <c r="U9" s="183"/>
      <c r="V9" s="183"/>
      <c r="W9" s="183"/>
      <c r="X9" s="520" t="e">
        <f t="shared" si="0"/>
        <v>#N/A</v>
      </c>
      <c r="Y9" s="658"/>
      <c r="Z9" s="183"/>
      <c r="AA9" s="183"/>
      <c r="AB9" s="183"/>
      <c r="AC9" s="520" t="e">
        <f t="shared" si="2"/>
        <v>#N/A</v>
      </c>
      <c r="AD9" s="658"/>
      <c r="AE9" s="183"/>
      <c r="AF9" s="183"/>
      <c r="AG9" s="183"/>
      <c r="AH9" s="520" t="e">
        <f t="shared" si="4"/>
        <v>#N/A</v>
      </c>
      <c r="AI9" s="658"/>
      <c r="AJ9" s="183"/>
      <c r="AK9" s="183"/>
      <c r="AL9" s="183"/>
      <c r="AM9" s="520" t="e">
        <f t="shared" si="6"/>
        <v>#N/A</v>
      </c>
      <c r="AN9" s="658"/>
      <c r="AO9" s="183"/>
      <c r="AP9" s="183"/>
      <c r="AQ9" s="183"/>
      <c r="AR9" s="520" t="e">
        <f t="shared" si="8"/>
        <v>#N/A</v>
      </c>
      <c r="AS9" s="658"/>
      <c r="AT9" s="520">
        <v>12</v>
      </c>
      <c r="AU9" s="183">
        <v>1771.9148936170216</v>
      </c>
      <c r="AV9" s="521">
        <v>147.65957446808514</v>
      </c>
      <c r="AW9" s="470">
        <f t="shared" si="14"/>
        <v>4</v>
      </c>
      <c r="AX9" s="658"/>
      <c r="AZ9" s="379" t="e">
        <f>RANK(AX9, $K$7:AX$21)</f>
        <v>#N/A</v>
      </c>
      <c r="BB9" s="376" t="e">
        <f t="shared" si="15"/>
        <v>#N/A</v>
      </c>
    </row>
    <row r="10" spans="1:54">
      <c r="A10" s="81"/>
      <c r="B10" s="627"/>
      <c r="C10" s="470">
        <v>4</v>
      </c>
      <c r="D10" s="520" t="s">
        <v>825</v>
      </c>
      <c r="E10" s="520">
        <v>5</v>
      </c>
      <c r="F10" s="520">
        <v>1500</v>
      </c>
      <c r="G10" s="183">
        <v>300</v>
      </c>
      <c r="H10" s="662"/>
      <c r="I10" s="472">
        <f t="shared" si="10"/>
        <v>6</v>
      </c>
      <c r="J10" s="472">
        <f t="shared" si="11"/>
        <v>1525.4545454545471</v>
      </c>
      <c r="K10" s="201">
        <f t="shared" si="12"/>
        <v>254.24242424242451</v>
      </c>
      <c r="L10" s="601"/>
      <c r="M10" s="475">
        <f>RANK(K10, $K$7:K$21)</f>
        <v>3</v>
      </c>
      <c r="N10" s="619"/>
      <c r="O10" s="619"/>
      <c r="P10" s="183"/>
      <c r="Q10" s="183"/>
      <c r="R10" s="183"/>
      <c r="S10" s="470" t="e">
        <f t="shared" si="13"/>
        <v>#N/A</v>
      </c>
      <c r="T10" s="658"/>
      <c r="U10" s="183"/>
      <c r="V10" s="183"/>
      <c r="W10" s="183"/>
      <c r="X10" s="520" t="e">
        <f t="shared" si="0"/>
        <v>#N/A</v>
      </c>
      <c r="Y10" s="658"/>
      <c r="Z10" s="183"/>
      <c r="AA10" s="183"/>
      <c r="AB10" s="183"/>
      <c r="AC10" s="520" t="e">
        <f t="shared" si="2"/>
        <v>#N/A</v>
      </c>
      <c r="AD10" s="658"/>
      <c r="AE10" s="183"/>
      <c r="AF10" s="183"/>
      <c r="AG10" s="183"/>
      <c r="AH10" s="520" t="e">
        <f t="shared" si="4"/>
        <v>#N/A</v>
      </c>
      <c r="AI10" s="658"/>
      <c r="AJ10" s="183"/>
      <c r="AK10" s="183"/>
      <c r="AL10" s="183"/>
      <c r="AM10" s="520" t="e">
        <f t="shared" si="6"/>
        <v>#N/A</v>
      </c>
      <c r="AN10" s="658"/>
      <c r="AO10" s="183"/>
      <c r="AP10" s="183"/>
      <c r="AQ10" s="183"/>
      <c r="AR10" s="520" t="e">
        <f t="shared" si="8"/>
        <v>#N/A</v>
      </c>
      <c r="AS10" s="658"/>
      <c r="AT10" s="520">
        <v>6</v>
      </c>
      <c r="AU10" s="183">
        <v>1525.4545454545471</v>
      </c>
      <c r="AV10" s="521">
        <v>254.24242424242451</v>
      </c>
      <c r="AW10" s="470">
        <f t="shared" si="14"/>
        <v>3</v>
      </c>
      <c r="AX10" s="658"/>
      <c r="AZ10" s="379" t="e">
        <f>RANK(AX10, $K$7:AX$21)</f>
        <v>#N/A</v>
      </c>
      <c r="BB10" s="376" t="e">
        <f t="shared" si="15"/>
        <v>#N/A</v>
      </c>
    </row>
    <row r="11" spans="1:54">
      <c r="A11" s="81"/>
      <c r="B11" s="627"/>
      <c r="C11" s="470">
        <v>5</v>
      </c>
      <c r="D11" s="520" t="s">
        <v>746</v>
      </c>
      <c r="E11" s="520">
        <v>5</v>
      </c>
      <c r="F11" s="520">
        <v>1500</v>
      </c>
      <c r="G11" s="183">
        <v>300</v>
      </c>
      <c r="H11" s="662"/>
      <c r="I11" s="472">
        <f t="shared" si="10"/>
        <v>5</v>
      </c>
      <c r="J11" s="472">
        <f t="shared" si="11"/>
        <v>1522.7027027027034</v>
      </c>
      <c r="K11" s="201">
        <f t="shared" si="12"/>
        <v>304.54054054054069</v>
      </c>
      <c r="L11" s="601"/>
      <c r="M11" s="475">
        <f>RANK(K11, $K$7:K$21)</f>
        <v>1</v>
      </c>
      <c r="N11" s="619"/>
      <c r="O11" s="619"/>
      <c r="P11" s="183"/>
      <c r="Q11" s="183"/>
      <c r="R11" s="183"/>
      <c r="S11" s="470" t="e">
        <f t="shared" si="13"/>
        <v>#N/A</v>
      </c>
      <c r="T11" s="658"/>
      <c r="U11" s="183"/>
      <c r="V11" s="183"/>
      <c r="W11" s="183"/>
      <c r="X11" s="520" t="e">
        <f t="shared" si="0"/>
        <v>#N/A</v>
      </c>
      <c r="Y11" s="658"/>
      <c r="Z11" s="183"/>
      <c r="AA11" s="183"/>
      <c r="AB11" s="183"/>
      <c r="AC11" s="520" t="e">
        <f t="shared" si="2"/>
        <v>#N/A</v>
      </c>
      <c r="AD11" s="658"/>
      <c r="AE11" s="183"/>
      <c r="AF11" s="183"/>
      <c r="AG11" s="183"/>
      <c r="AH11" s="520" t="e">
        <f t="shared" si="4"/>
        <v>#N/A</v>
      </c>
      <c r="AI11" s="658"/>
      <c r="AJ11" s="183"/>
      <c r="AK11" s="183"/>
      <c r="AL11" s="183"/>
      <c r="AM11" s="520" t="e">
        <f t="shared" si="6"/>
        <v>#N/A</v>
      </c>
      <c r="AN11" s="658"/>
      <c r="AO11" s="183"/>
      <c r="AP11" s="183"/>
      <c r="AQ11" s="183"/>
      <c r="AR11" s="520" t="e">
        <f t="shared" si="8"/>
        <v>#N/A</v>
      </c>
      <c r="AS11" s="658"/>
      <c r="AT11" s="520">
        <v>5</v>
      </c>
      <c r="AU11" s="183">
        <v>1522.7027027027034</v>
      </c>
      <c r="AV11" s="521">
        <v>304.54054054054069</v>
      </c>
      <c r="AW11" s="470">
        <f t="shared" si="14"/>
        <v>1</v>
      </c>
      <c r="AX11" s="658"/>
      <c r="AZ11" s="379" t="e">
        <f>RANK(AX11, $K$7:AX$21)</f>
        <v>#N/A</v>
      </c>
      <c r="BB11" s="376" t="e">
        <f t="shared" si="15"/>
        <v>#N/A</v>
      </c>
    </row>
    <row r="12" spans="1:54">
      <c r="A12" s="81"/>
      <c r="B12" s="627"/>
      <c r="C12" s="470">
        <v>6</v>
      </c>
      <c r="D12" s="520" t="s">
        <v>694</v>
      </c>
      <c r="E12" s="520">
        <v>5</v>
      </c>
      <c r="F12" s="520">
        <v>1500</v>
      </c>
      <c r="G12" s="183">
        <v>300</v>
      </c>
      <c r="H12" s="662"/>
      <c r="I12" s="472">
        <f t="shared" si="10"/>
        <v>5</v>
      </c>
      <c r="J12" s="472">
        <f t="shared" si="11"/>
        <v>1452.8571428571481</v>
      </c>
      <c r="K12" s="201">
        <f t="shared" si="12"/>
        <v>290.57142857142964</v>
      </c>
      <c r="L12" s="601"/>
      <c r="M12" s="475">
        <f>RANK(K12, $K$7:K$21)</f>
        <v>2</v>
      </c>
      <c r="N12" s="619"/>
      <c r="O12" s="619"/>
      <c r="P12" s="183"/>
      <c r="Q12" s="183"/>
      <c r="R12" s="183"/>
      <c r="S12" s="470" t="e">
        <f t="shared" si="13"/>
        <v>#N/A</v>
      </c>
      <c r="T12" s="658"/>
      <c r="U12" s="183"/>
      <c r="V12" s="183"/>
      <c r="W12" s="183"/>
      <c r="X12" s="520" t="e">
        <f t="shared" si="0"/>
        <v>#N/A</v>
      </c>
      <c r="Y12" s="658"/>
      <c r="Z12" s="183"/>
      <c r="AA12" s="183"/>
      <c r="AB12" s="183"/>
      <c r="AC12" s="520" t="e">
        <f t="shared" si="2"/>
        <v>#N/A</v>
      </c>
      <c r="AD12" s="658"/>
      <c r="AE12" s="183"/>
      <c r="AF12" s="183"/>
      <c r="AG12" s="183"/>
      <c r="AH12" s="520" t="e">
        <f t="shared" si="4"/>
        <v>#N/A</v>
      </c>
      <c r="AI12" s="658"/>
      <c r="AJ12" s="183"/>
      <c r="AK12" s="183"/>
      <c r="AL12" s="183"/>
      <c r="AM12" s="520" t="e">
        <f t="shared" si="6"/>
        <v>#N/A</v>
      </c>
      <c r="AN12" s="658"/>
      <c r="AO12" s="183"/>
      <c r="AP12" s="183"/>
      <c r="AQ12" s="183"/>
      <c r="AR12" s="520" t="e">
        <f t="shared" si="8"/>
        <v>#N/A</v>
      </c>
      <c r="AS12" s="658"/>
      <c r="AT12" s="520">
        <v>5</v>
      </c>
      <c r="AU12" s="183">
        <v>1452.8571428571481</v>
      </c>
      <c r="AV12" s="521">
        <v>290.57142857142964</v>
      </c>
      <c r="AW12" s="470">
        <f t="shared" si="14"/>
        <v>2</v>
      </c>
      <c r="AX12" s="658"/>
      <c r="AZ12" s="379" t="e">
        <f>RANK(AX12, $K$7:AX$21)</f>
        <v>#N/A</v>
      </c>
      <c r="BB12" s="376" t="e">
        <f t="shared" si="15"/>
        <v>#N/A</v>
      </c>
    </row>
    <row r="13" spans="1:54">
      <c r="A13" s="81"/>
      <c r="B13" s="627"/>
      <c r="C13" s="470">
        <v>7</v>
      </c>
      <c r="D13" s="520" t="s">
        <v>826</v>
      </c>
      <c r="E13" s="520">
        <v>15</v>
      </c>
      <c r="F13" s="520">
        <v>1200</v>
      </c>
      <c r="G13" s="183">
        <v>80</v>
      </c>
      <c r="H13" s="662"/>
      <c r="I13" s="472"/>
      <c r="J13" s="472"/>
      <c r="K13" s="201"/>
      <c r="L13" s="601"/>
      <c r="M13" s="475" t="e">
        <f>RANK(K13, $K$7:K$21)</f>
        <v>#N/A</v>
      </c>
      <c r="N13" s="619"/>
      <c r="O13" s="619"/>
      <c r="P13" s="183"/>
      <c r="Q13" s="183"/>
      <c r="R13" s="183"/>
      <c r="S13" s="470" t="e">
        <f t="shared" si="13"/>
        <v>#N/A</v>
      </c>
      <c r="T13" s="658"/>
      <c r="U13" s="183"/>
      <c r="V13" s="183"/>
      <c r="W13" s="183"/>
      <c r="X13" s="520" t="e">
        <f t="shared" si="0"/>
        <v>#N/A</v>
      </c>
      <c r="Y13" s="658"/>
      <c r="Z13" s="183"/>
      <c r="AA13" s="183"/>
      <c r="AB13" s="183"/>
      <c r="AC13" s="520" t="e">
        <f t="shared" si="2"/>
        <v>#N/A</v>
      </c>
      <c r="AD13" s="658"/>
      <c r="AE13" s="183"/>
      <c r="AF13" s="183"/>
      <c r="AG13" s="183"/>
      <c r="AH13" s="520" t="e">
        <f t="shared" si="4"/>
        <v>#N/A</v>
      </c>
      <c r="AI13" s="658"/>
      <c r="AJ13" s="183"/>
      <c r="AK13" s="183"/>
      <c r="AL13" s="183"/>
      <c r="AM13" s="520" t="e">
        <f t="shared" si="6"/>
        <v>#N/A</v>
      </c>
      <c r="AN13" s="658"/>
      <c r="AO13" s="183"/>
      <c r="AP13" s="183"/>
      <c r="AQ13" s="183"/>
      <c r="AR13" s="520" t="e">
        <f t="shared" si="8"/>
        <v>#N/A</v>
      </c>
      <c r="AS13" s="658"/>
      <c r="AT13" s="520"/>
      <c r="AU13" s="183"/>
      <c r="AV13" s="521"/>
      <c r="AW13" s="470" t="e">
        <f t="shared" si="14"/>
        <v>#N/A</v>
      </c>
      <c r="AX13" s="658"/>
      <c r="AZ13" s="379" t="e">
        <f>RANK(AX13, $K$7:AX$21)</f>
        <v>#N/A</v>
      </c>
      <c r="BB13" s="376" t="e">
        <f t="shared" si="15"/>
        <v>#N/A</v>
      </c>
    </row>
    <row r="14" spans="1:54">
      <c r="A14" s="81"/>
      <c r="B14" s="627"/>
      <c r="C14" s="470">
        <v>8</v>
      </c>
      <c r="D14" s="520" t="s">
        <v>829</v>
      </c>
      <c r="E14" s="520">
        <v>15</v>
      </c>
      <c r="F14" s="520">
        <v>1200</v>
      </c>
      <c r="G14" s="183">
        <v>80</v>
      </c>
      <c r="H14" s="662"/>
      <c r="I14" s="472">
        <f t="shared" si="10"/>
        <v>13</v>
      </c>
      <c r="J14" s="472">
        <f t="shared" si="11"/>
        <v>1149.3750000000014</v>
      </c>
      <c r="K14" s="201">
        <f t="shared" si="12"/>
        <v>88.413461538461647</v>
      </c>
      <c r="L14" s="601"/>
      <c r="M14" s="475">
        <f>RANK(K14, $K$7:K$21)</f>
        <v>7</v>
      </c>
      <c r="N14" s="619"/>
      <c r="O14" s="619"/>
      <c r="P14" s="183"/>
      <c r="Q14" s="183"/>
      <c r="R14" s="183"/>
      <c r="S14" s="470" t="e">
        <f t="shared" si="13"/>
        <v>#N/A</v>
      </c>
      <c r="T14" s="658"/>
      <c r="U14" s="183"/>
      <c r="V14" s="183"/>
      <c r="W14" s="183"/>
      <c r="X14" s="520" t="e">
        <f t="shared" si="0"/>
        <v>#N/A</v>
      </c>
      <c r="Y14" s="658"/>
      <c r="Z14" s="183"/>
      <c r="AA14" s="183"/>
      <c r="AB14" s="183"/>
      <c r="AC14" s="520" t="e">
        <f t="shared" si="2"/>
        <v>#N/A</v>
      </c>
      <c r="AD14" s="658"/>
      <c r="AE14" s="183"/>
      <c r="AF14" s="183"/>
      <c r="AG14" s="183"/>
      <c r="AH14" s="520" t="e">
        <f t="shared" si="4"/>
        <v>#N/A</v>
      </c>
      <c r="AI14" s="658"/>
      <c r="AJ14" s="183"/>
      <c r="AK14" s="183"/>
      <c r="AL14" s="183"/>
      <c r="AM14" s="520" t="e">
        <f t="shared" si="6"/>
        <v>#N/A</v>
      </c>
      <c r="AN14" s="658"/>
      <c r="AO14" s="183"/>
      <c r="AP14" s="183"/>
      <c r="AQ14" s="183"/>
      <c r="AR14" s="520" t="e">
        <f t="shared" si="8"/>
        <v>#N/A</v>
      </c>
      <c r="AS14" s="658"/>
      <c r="AT14" s="520">
        <v>13</v>
      </c>
      <c r="AU14" s="183">
        <v>1149.3750000000014</v>
      </c>
      <c r="AV14" s="521">
        <v>88.413461538461647</v>
      </c>
      <c r="AW14" s="470">
        <f t="shared" si="14"/>
        <v>7</v>
      </c>
      <c r="AX14" s="658"/>
      <c r="AZ14" s="379" t="e">
        <f>RANK(AX14, $K$7:AX$21)</f>
        <v>#N/A</v>
      </c>
      <c r="BB14" s="376" t="e">
        <f t="shared" si="15"/>
        <v>#N/A</v>
      </c>
    </row>
    <row r="15" spans="1:54">
      <c r="A15" s="81"/>
      <c r="B15" s="627"/>
      <c r="C15" s="470">
        <v>9</v>
      </c>
      <c r="D15" s="470"/>
      <c r="E15" s="470"/>
      <c r="F15" s="470"/>
      <c r="G15" s="470"/>
      <c r="H15" s="662"/>
      <c r="I15" s="472"/>
      <c r="J15" s="472"/>
      <c r="K15" s="201"/>
      <c r="L15" s="601"/>
      <c r="M15" s="475" t="e">
        <f>RANK(K15, $K$7:K$21)</f>
        <v>#N/A</v>
      </c>
      <c r="N15" s="619"/>
      <c r="O15" s="619"/>
      <c r="P15" s="470"/>
      <c r="Q15" s="183"/>
      <c r="R15" s="471"/>
      <c r="S15" s="470" t="e">
        <f t="shared" si="13"/>
        <v>#N/A</v>
      </c>
      <c r="T15" s="658"/>
      <c r="U15" s="520"/>
      <c r="V15" s="183"/>
      <c r="W15" s="521"/>
      <c r="X15" s="520" t="e">
        <f t="shared" si="0"/>
        <v>#N/A</v>
      </c>
      <c r="Y15" s="658"/>
      <c r="Z15" s="520"/>
      <c r="AA15" s="183"/>
      <c r="AB15" s="521"/>
      <c r="AC15" s="520" t="e">
        <f t="shared" si="2"/>
        <v>#N/A</v>
      </c>
      <c r="AD15" s="658"/>
      <c r="AE15" s="520"/>
      <c r="AF15" s="183"/>
      <c r="AG15" s="521"/>
      <c r="AH15" s="520" t="e">
        <f t="shared" si="4"/>
        <v>#N/A</v>
      </c>
      <c r="AI15" s="658"/>
      <c r="AJ15" s="520"/>
      <c r="AK15" s="183"/>
      <c r="AL15" s="521"/>
      <c r="AM15" s="520" t="e">
        <f t="shared" si="6"/>
        <v>#N/A</v>
      </c>
      <c r="AN15" s="658"/>
      <c r="AO15" s="520"/>
      <c r="AP15" s="183"/>
      <c r="AQ15" s="521"/>
      <c r="AR15" s="520" t="e">
        <f t="shared" si="8"/>
        <v>#N/A</v>
      </c>
      <c r="AS15" s="658"/>
      <c r="AT15" s="470"/>
      <c r="AU15" s="183"/>
      <c r="AV15" s="471"/>
      <c r="AW15" s="470" t="e">
        <f t="shared" si="14"/>
        <v>#N/A</v>
      </c>
      <c r="AX15" s="658"/>
      <c r="AZ15" s="379" t="e">
        <f>RANK(AX15, $K$7:AX$21)</f>
        <v>#N/A</v>
      </c>
      <c r="BB15" s="376" t="e">
        <f t="shared" si="15"/>
        <v>#N/A</v>
      </c>
    </row>
    <row r="16" spans="1:54">
      <c r="A16" s="81"/>
      <c r="B16" s="627"/>
      <c r="C16" s="470">
        <v>10</v>
      </c>
      <c r="D16" s="470"/>
      <c r="E16" s="470"/>
      <c r="F16" s="470"/>
      <c r="G16" s="470"/>
      <c r="H16" s="662"/>
      <c r="I16" s="472"/>
      <c r="J16" s="472"/>
      <c r="K16" s="201"/>
      <c r="L16" s="601"/>
      <c r="M16" s="475" t="e">
        <f>RANK(K16, $K$7:K$21)</f>
        <v>#N/A</v>
      </c>
      <c r="N16" s="619"/>
      <c r="O16" s="619"/>
      <c r="P16" s="470"/>
      <c r="Q16" s="183"/>
      <c r="R16" s="471"/>
      <c r="S16" s="470" t="e">
        <f t="shared" si="13"/>
        <v>#N/A</v>
      </c>
      <c r="T16" s="658"/>
      <c r="U16" s="520"/>
      <c r="V16" s="183"/>
      <c r="W16" s="521"/>
      <c r="X16" s="520" t="e">
        <f t="shared" si="0"/>
        <v>#N/A</v>
      </c>
      <c r="Y16" s="658"/>
      <c r="Z16" s="520"/>
      <c r="AA16" s="183"/>
      <c r="AB16" s="521"/>
      <c r="AC16" s="520" t="e">
        <f t="shared" si="2"/>
        <v>#N/A</v>
      </c>
      <c r="AD16" s="658"/>
      <c r="AE16" s="520"/>
      <c r="AF16" s="183"/>
      <c r="AG16" s="521"/>
      <c r="AH16" s="520" t="e">
        <f t="shared" si="4"/>
        <v>#N/A</v>
      </c>
      <c r="AI16" s="658"/>
      <c r="AJ16" s="520"/>
      <c r="AK16" s="183"/>
      <c r="AL16" s="521"/>
      <c r="AM16" s="520" t="e">
        <f t="shared" si="6"/>
        <v>#N/A</v>
      </c>
      <c r="AN16" s="658"/>
      <c r="AO16" s="520"/>
      <c r="AP16" s="183"/>
      <c r="AQ16" s="521"/>
      <c r="AR16" s="520" t="e">
        <f t="shared" si="8"/>
        <v>#N/A</v>
      </c>
      <c r="AS16" s="658"/>
      <c r="AT16" s="470"/>
      <c r="AU16" s="183"/>
      <c r="AV16" s="471"/>
      <c r="AW16" s="470" t="e">
        <f t="shared" si="14"/>
        <v>#N/A</v>
      </c>
      <c r="AX16" s="658"/>
      <c r="AZ16" s="379" t="e">
        <f>RANK(AX16, $K$7:AX$21)</f>
        <v>#N/A</v>
      </c>
      <c r="BB16" s="376" t="e">
        <f t="shared" si="15"/>
        <v>#N/A</v>
      </c>
    </row>
    <row r="17" spans="2:54">
      <c r="B17" s="627"/>
      <c r="C17" s="470">
        <v>11</v>
      </c>
      <c r="D17" s="470"/>
      <c r="E17" s="470"/>
      <c r="F17" s="470"/>
      <c r="G17" s="470"/>
      <c r="H17" s="662"/>
      <c r="I17" s="203"/>
      <c r="J17" s="203"/>
      <c r="K17" s="203"/>
      <c r="L17" s="601"/>
      <c r="M17" s="475" t="e">
        <f>RANK(K17, $K$7:K$21)</f>
        <v>#N/A</v>
      </c>
      <c r="N17" s="619"/>
      <c r="O17" s="619"/>
      <c r="P17" s="470"/>
      <c r="Q17" s="470"/>
      <c r="R17" s="470"/>
      <c r="S17" s="470" t="e">
        <f t="shared" si="13"/>
        <v>#N/A</v>
      </c>
      <c r="T17" s="658"/>
      <c r="U17" s="520"/>
      <c r="V17" s="520"/>
      <c r="W17" s="520"/>
      <c r="X17" s="520" t="e">
        <f t="shared" si="0"/>
        <v>#N/A</v>
      </c>
      <c r="Y17" s="658"/>
      <c r="Z17" s="520"/>
      <c r="AA17" s="520"/>
      <c r="AB17" s="520"/>
      <c r="AC17" s="520" t="e">
        <f t="shared" si="2"/>
        <v>#N/A</v>
      </c>
      <c r="AD17" s="658"/>
      <c r="AE17" s="520"/>
      <c r="AF17" s="520"/>
      <c r="AG17" s="520"/>
      <c r="AH17" s="520" t="e">
        <f t="shared" si="4"/>
        <v>#N/A</v>
      </c>
      <c r="AI17" s="658"/>
      <c r="AJ17" s="520"/>
      <c r="AK17" s="520"/>
      <c r="AL17" s="520"/>
      <c r="AM17" s="520" t="e">
        <f t="shared" si="6"/>
        <v>#N/A</v>
      </c>
      <c r="AN17" s="658"/>
      <c r="AO17" s="520"/>
      <c r="AP17" s="520"/>
      <c r="AQ17" s="520"/>
      <c r="AR17" s="520" t="e">
        <f t="shared" si="8"/>
        <v>#N/A</v>
      </c>
      <c r="AS17" s="658"/>
      <c r="AT17" s="470"/>
      <c r="AU17" s="470"/>
      <c r="AV17" s="470"/>
      <c r="AW17" s="470" t="e">
        <f t="shared" si="14"/>
        <v>#N/A</v>
      </c>
      <c r="AX17" s="658"/>
      <c r="AZ17" s="379" t="e">
        <f>RANK(AX17, $K$7:AX$21)</f>
        <v>#N/A</v>
      </c>
      <c r="BB17" s="376" t="e">
        <f t="shared" si="15"/>
        <v>#N/A</v>
      </c>
    </row>
    <row r="18" spans="2:54">
      <c r="B18" s="627"/>
      <c r="C18" s="470">
        <v>12</v>
      </c>
      <c r="D18" s="470"/>
      <c r="E18" s="470"/>
      <c r="F18" s="470"/>
      <c r="G18" s="470"/>
      <c r="H18" s="662"/>
      <c r="I18" s="203"/>
      <c r="J18" s="203"/>
      <c r="K18" s="203"/>
      <c r="L18" s="601"/>
      <c r="M18" s="475" t="e">
        <f>RANK(K18, $K$7:K$21)</f>
        <v>#N/A</v>
      </c>
      <c r="N18" s="619"/>
      <c r="O18" s="619"/>
      <c r="P18" s="470"/>
      <c r="Q18" s="470"/>
      <c r="R18" s="470"/>
      <c r="S18" s="470" t="e">
        <f t="shared" si="13"/>
        <v>#N/A</v>
      </c>
      <c r="T18" s="658"/>
      <c r="U18" s="520"/>
      <c r="V18" s="520"/>
      <c r="W18" s="520"/>
      <c r="X18" s="520" t="e">
        <f t="shared" si="0"/>
        <v>#N/A</v>
      </c>
      <c r="Y18" s="658"/>
      <c r="Z18" s="520"/>
      <c r="AA18" s="520"/>
      <c r="AB18" s="520"/>
      <c r="AC18" s="520" t="e">
        <f t="shared" si="2"/>
        <v>#N/A</v>
      </c>
      <c r="AD18" s="658"/>
      <c r="AE18" s="520"/>
      <c r="AF18" s="520"/>
      <c r="AG18" s="520"/>
      <c r="AH18" s="520" t="e">
        <f t="shared" si="4"/>
        <v>#N/A</v>
      </c>
      <c r="AI18" s="658"/>
      <c r="AJ18" s="520"/>
      <c r="AK18" s="520"/>
      <c r="AL18" s="520"/>
      <c r="AM18" s="520" t="e">
        <f t="shared" si="6"/>
        <v>#N/A</v>
      </c>
      <c r="AN18" s="658"/>
      <c r="AO18" s="520"/>
      <c r="AP18" s="520"/>
      <c r="AQ18" s="520"/>
      <c r="AR18" s="520" t="e">
        <f t="shared" si="8"/>
        <v>#N/A</v>
      </c>
      <c r="AS18" s="658"/>
      <c r="AT18" s="470"/>
      <c r="AU18" s="470"/>
      <c r="AV18" s="470"/>
      <c r="AW18" s="470" t="e">
        <f t="shared" si="14"/>
        <v>#N/A</v>
      </c>
      <c r="AX18" s="658"/>
      <c r="AZ18" s="379" t="e">
        <f>RANK(AX18, $K$7:AX$21)</f>
        <v>#N/A</v>
      </c>
      <c r="BB18" s="376" t="e">
        <f t="shared" si="15"/>
        <v>#N/A</v>
      </c>
    </row>
    <row r="19" spans="2:54">
      <c r="B19" s="627"/>
      <c r="C19" s="470">
        <v>13</v>
      </c>
      <c r="D19" s="470"/>
      <c r="E19" s="470"/>
      <c r="F19" s="470"/>
      <c r="G19" s="470"/>
      <c r="H19" s="662"/>
      <c r="I19" s="203"/>
      <c r="J19" s="203"/>
      <c r="K19" s="203"/>
      <c r="L19" s="601"/>
      <c r="M19" s="475" t="e">
        <f>RANK(K19, $K$7:K$21)</f>
        <v>#N/A</v>
      </c>
      <c r="N19" s="619"/>
      <c r="O19" s="619"/>
      <c r="P19" s="470"/>
      <c r="Q19" s="470"/>
      <c r="R19" s="470"/>
      <c r="S19" s="470" t="e">
        <f t="shared" si="13"/>
        <v>#N/A</v>
      </c>
      <c r="T19" s="658"/>
      <c r="U19" s="520"/>
      <c r="V19" s="520"/>
      <c r="W19" s="520"/>
      <c r="X19" s="520" t="e">
        <f t="shared" si="0"/>
        <v>#N/A</v>
      </c>
      <c r="Y19" s="658"/>
      <c r="Z19" s="520"/>
      <c r="AA19" s="520"/>
      <c r="AB19" s="520"/>
      <c r="AC19" s="520" t="e">
        <f t="shared" si="2"/>
        <v>#N/A</v>
      </c>
      <c r="AD19" s="658"/>
      <c r="AE19" s="520"/>
      <c r="AF19" s="520"/>
      <c r="AG19" s="520"/>
      <c r="AH19" s="520" t="e">
        <f t="shared" si="4"/>
        <v>#N/A</v>
      </c>
      <c r="AI19" s="658"/>
      <c r="AJ19" s="520"/>
      <c r="AK19" s="520"/>
      <c r="AL19" s="520"/>
      <c r="AM19" s="520" t="e">
        <f t="shared" si="6"/>
        <v>#N/A</v>
      </c>
      <c r="AN19" s="658"/>
      <c r="AO19" s="520"/>
      <c r="AP19" s="520"/>
      <c r="AQ19" s="520"/>
      <c r="AR19" s="520" t="e">
        <f t="shared" si="8"/>
        <v>#N/A</v>
      </c>
      <c r="AS19" s="658"/>
      <c r="AT19" s="470"/>
      <c r="AU19" s="470"/>
      <c r="AV19" s="470"/>
      <c r="AW19" s="470" t="e">
        <f t="shared" si="14"/>
        <v>#N/A</v>
      </c>
      <c r="AX19" s="658"/>
      <c r="AZ19" s="379" t="e">
        <f>RANK(AX19, $K$7:AX$21)</f>
        <v>#N/A</v>
      </c>
      <c r="BB19" s="376" t="e">
        <f t="shared" si="15"/>
        <v>#N/A</v>
      </c>
    </row>
    <row r="20" spans="2:54">
      <c r="B20" s="627"/>
      <c r="C20" s="470">
        <v>14</v>
      </c>
      <c r="D20" s="470"/>
      <c r="E20" s="470"/>
      <c r="F20" s="470"/>
      <c r="G20" s="470"/>
      <c r="H20" s="662"/>
      <c r="I20" s="203"/>
      <c r="J20" s="203"/>
      <c r="K20" s="203"/>
      <c r="L20" s="601"/>
      <c r="M20" s="475" t="e">
        <f>RANK(K20, $K$7:K$21)</f>
        <v>#N/A</v>
      </c>
      <c r="N20" s="619"/>
      <c r="O20" s="619"/>
      <c r="P20" s="470"/>
      <c r="Q20" s="470"/>
      <c r="R20" s="470"/>
      <c r="S20" s="470" t="e">
        <f t="shared" si="13"/>
        <v>#N/A</v>
      </c>
      <c r="T20" s="658"/>
      <c r="U20" s="520"/>
      <c r="V20" s="520"/>
      <c r="W20" s="520"/>
      <c r="X20" s="520" t="e">
        <f t="shared" si="0"/>
        <v>#N/A</v>
      </c>
      <c r="Y20" s="658"/>
      <c r="Z20" s="520"/>
      <c r="AA20" s="520"/>
      <c r="AB20" s="520"/>
      <c r="AC20" s="520" t="e">
        <f t="shared" si="2"/>
        <v>#N/A</v>
      </c>
      <c r="AD20" s="658"/>
      <c r="AE20" s="520"/>
      <c r="AF20" s="520"/>
      <c r="AG20" s="520"/>
      <c r="AH20" s="520" t="e">
        <f t="shared" si="4"/>
        <v>#N/A</v>
      </c>
      <c r="AI20" s="658"/>
      <c r="AJ20" s="520"/>
      <c r="AK20" s="520"/>
      <c r="AL20" s="520"/>
      <c r="AM20" s="520" t="e">
        <f t="shared" si="6"/>
        <v>#N/A</v>
      </c>
      <c r="AN20" s="658"/>
      <c r="AO20" s="520"/>
      <c r="AP20" s="520"/>
      <c r="AQ20" s="520"/>
      <c r="AR20" s="520" t="e">
        <f t="shared" si="8"/>
        <v>#N/A</v>
      </c>
      <c r="AS20" s="658"/>
      <c r="AT20" s="470"/>
      <c r="AU20" s="470"/>
      <c r="AV20" s="470"/>
      <c r="AW20" s="470" t="e">
        <f t="shared" si="14"/>
        <v>#N/A</v>
      </c>
      <c r="AX20" s="658"/>
      <c r="AZ20" s="379" t="e">
        <f>RANK(AX20, $K$7:AX$21)</f>
        <v>#N/A</v>
      </c>
      <c r="BB20" s="376" t="e">
        <f t="shared" si="15"/>
        <v>#N/A</v>
      </c>
    </row>
    <row r="21" spans="2:54">
      <c r="B21" s="627"/>
      <c r="C21" s="470">
        <v>15</v>
      </c>
      <c r="D21" s="470"/>
      <c r="E21" s="470"/>
      <c r="F21" s="470"/>
      <c r="G21" s="470"/>
      <c r="H21" s="663"/>
      <c r="I21" s="203"/>
      <c r="J21" s="203"/>
      <c r="K21" s="203"/>
      <c r="L21" s="602"/>
      <c r="M21" s="472" t="e">
        <f>RANK(K21, $K$7:K$21)</f>
        <v>#N/A</v>
      </c>
      <c r="N21" s="619"/>
      <c r="O21" s="619"/>
      <c r="P21" s="470"/>
      <c r="Q21" s="470"/>
      <c r="R21" s="470"/>
      <c r="S21" s="470" t="e">
        <f t="shared" si="13"/>
        <v>#N/A</v>
      </c>
      <c r="T21" s="658"/>
      <c r="U21" s="520"/>
      <c r="V21" s="520"/>
      <c r="W21" s="520"/>
      <c r="X21" s="520" t="e">
        <f t="shared" si="0"/>
        <v>#N/A</v>
      </c>
      <c r="Y21" s="658"/>
      <c r="Z21" s="520"/>
      <c r="AA21" s="520"/>
      <c r="AB21" s="520"/>
      <c r="AC21" s="520" t="e">
        <f t="shared" si="2"/>
        <v>#N/A</v>
      </c>
      <c r="AD21" s="658"/>
      <c r="AE21" s="520"/>
      <c r="AF21" s="520"/>
      <c r="AG21" s="520"/>
      <c r="AH21" s="520" t="e">
        <f t="shared" si="4"/>
        <v>#N/A</v>
      </c>
      <c r="AI21" s="658"/>
      <c r="AJ21" s="520"/>
      <c r="AK21" s="520"/>
      <c r="AL21" s="520"/>
      <c r="AM21" s="520" t="e">
        <f t="shared" si="6"/>
        <v>#N/A</v>
      </c>
      <c r="AN21" s="658"/>
      <c r="AO21" s="520"/>
      <c r="AP21" s="520"/>
      <c r="AQ21" s="520"/>
      <c r="AR21" s="520" t="e">
        <f t="shared" si="8"/>
        <v>#N/A</v>
      </c>
      <c r="AS21" s="658"/>
      <c r="AT21" s="470"/>
      <c r="AU21" s="470"/>
      <c r="AV21" s="470"/>
      <c r="AW21" s="470" t="e">
        <f t="shared" si="14"/>
        <v>#N/A</v>
      </c>
      <c r="AX21" s="658"/>
      <c r="AZ21" s="378" t="e">
        <f>RANK(AX21, $K$7:AX$21)</f>
        <v>#N/A</v>
      </c>
      <c r="BB21" s="376" t="e">
        <f t="shared" si="15"/>
        <v>#N/A</v>
      </c>
    </row>
    <row r="22" spans="2:54" ht="15.5">
      <c r="B22" s="644" t="s">
        <v>163</v>
      </c>
      <c r="C22" s="645"/>
      <c r="D22" s="645"/>
      <c r="E22" s="645"/>
      <c r="F22" s="645"/>
      <c r="G22" s="645"/>
      <c r="H22" s="645"/>
      <c r="I22" s="204"/>
      <c r="J22" s="204"/>
      <c r="K22" s="204"/>
      <c r="L22" s="204"/>
      <c r="M22" s="205"/>
      <c r="N22" s="620" t="s">
        <v>156</v>
      </c>
      <c r="O22" s="620" t="s">
        <v>105</v>
      </c>
      <c r="P22" s="664">
        <v>45993</v>
      </c>
      <c r="Q22" s="665"/>
      <c r="R22" s="665"/>
      <c r="S22" s="665"/>
      <c r="T22" s="665"/>
      <c r="U22" s="626">
        <f>P22+1</f>
        <v>45994</v>
      </c>
      <c r="V22" s="627"/>
      <c r="W22" s="627"/>
      <c r="X22" s="627"/>
      <c r="Y22" s="627"/>
      <c r="Z22" s="626">
        <f>U22+1</f>
        <v>45995</v>
      </c>
      <c r="AA22" s="627"/>
      <c r="AB22" s="627"/>
      <c r="AC22" s="627"/>
      <c r="AD22" s="627"/>
      <c r="AE22" s="626">
        <f>Z22+1</f>
        <v>45996</v>
      </c>
      <c r="AF22" s="627"/>
      <c r="AG22" s="627"/>
      <c r="AH22" s="627"/>
      <c r="AI22" s="627"/>
      <c r="AJ22" s="626">
        <f>AE22+1</f>
        <v>45997</v>
      </c>
      <c r="AK22" s="627"/>
      <c r="AL22" s="627"/>
      <c r="AM22" s="627"/>
      <c r="AN22" s="627"/>
      <c r="AO22" s="626">
        <f>AJ22+1</f>
        <v>45998</v>
      </c>
      <c r="AP22" s="627"/>
      <c r="AQ22" s="627"/>
      <c r="AR22" s="627"/>
      <c r="AS22" s="627"/>
      <c r="AT22" s="626">
        <f>AO22+1</f>
        <v>45999</v>
      </c>
      <c r="AU22" s="627"/>
      <c r="AV22" s="627"/>
      <c r="AW22" s="627"/>
      <c r="AX22" s="627"/>
    </row>
    <row r="23" spans="2:54" ht="15.5">
      <c r="B23" s="634"/>
      <c r="C23" s="634"/>
      <c r="D23" s="634"/>
      <c r="E23" s="634"/>
      <c r="F23" s="634"/>
      <c r="G23" s="634"/>
      <c r="H23" s="634"/>
      <c r="I23" s="206"/>
      <c r="J23" s="206"/>
      <c r="K23" s="206"/>
      <c r="L23" s="206"/>
      <c r="M23" s="207"/>
      <c r="N23" s="622"/>
      <c r="O23" s="622"/>
      <c r="P23" s="626" t="s">
        <v>336</v>
      </c>
      <c r="Q23" s="627"/>
      <c r="R23" s="627"/>
      <c r="S23" s="627"/>
      <c r="T23" s="627"/>
      <c r="U23" s="626" t="s">
        <v>337</v>
      </c>
      <c r="V23" s="627"/>
      <c r="W23" s="627"/>
      <c r="X23" s="627"/>
      <c r="Y23" s="627"/>
      <c r="Z23" s="626" t="s">
        <v>338</v>
      </c>
      <c r="AA23" s="627"/>
      <c r="AB23" s="627"/>
      <c r="AC23" s="627"/>
      <c r="AD23" s="627"/>
      <c r="AE23" s="626" t="s">
        <v>339</v>
      </c>
      <c r="AF23" s="627"/>
      <c r="AG23" s="627"/>
      <c r="AH23" s="627"/>
      <c r="AI23" s="627"/>
      <c r="AJ23" s="626" t="s">
        <v>340</v>
      </c>
      <c r="AK23" s="627"/>
      <c r="AL23" s="627"/>
      <c r="AM23" s="627"/>
      <c r="AN23" s="627"/>
      <c r="AO23" s="626" t="s">
        <v>341</v>
      </c>
      <c r="AP23" s="627"/>
      <c r="AQ23" s="627"/>
      <c r="AR23" s="627"/>
      <c r="AS23" s="627"/>
      <c r="AT23" s="626" t="s">
        <v>342</v>
      </c>
      <c r="AU23" s="627"/>
      <c r="AV23" s="627"/>
      <c r="AW23" s="627"/>
      <c r="AX23" s="627"/>
    </row>
    <row r="24" spans="2:54">
      <c r="B24" s="619" t="s">
        <v>547</v>
      </c>
      <c r="C24" s="619" t="s">
        <v>453</v>
      </c>
      <c r="D24" s="619"/>
      <c r="E24" s="619" t="s">
        <v>444</v>
      </c>
      <c r="F24" s="619"/>
      <c r="G24" s="619"/>
      <c r="H24" s="635" t="s">
        <v>440</v>
      </c>
      <c r="I24" s="603" t="s">
        <v>445</v>
      </c>
      <c r="J24" s="603"/>
      <c r="K24" s="603"/>
      <c r="L24" s="604" t="s">
        <v>440</v>
      </c>
      <c r="M24" s="610" t="s">
        <v>441</v>
      </c>
      <c r="N24" s="619"/>
      <c r="O24" s="619" t="s">
        <v>548</v>
      </c>
      <c r="P24" s="616" t="s">
        <v>442</v>
      </c>
      <c r="Q24" s="617"/>
      <c r="R24" s="617"/>
      <c r="S24" s="618"/>
      <c r="T24" s="619" t="s">
        <v>440</v>
      </c>
      <c r="U24" s="616" t="s">
        <v>549</v>
      </c>
      <c r="V24" s="617"/>
      <c r="W24" s="617"/>
      <c r="X24" s="618"/>
      <c r="Y24" s="619" t="s">
        <v>440</v>
      </c>
      <c r="Z24" s="616" t="s">
        <v>442</v>
      </c>
      <c r="AA24" s="617"/>
      <c r="AB24" s="617"/>
      <c r="AC24" s="618"/>
      <c r="AD24" s="619" t="s">
        <v>440</v>
      </c>
      <c r="AE24" s="616" t="s">
        <v>442</v>
      </c>
      <c r="AF24" s="617"/>
      <c r="AG24" s="617"/>
      <c r="AH24" s="618"/>
      <c r="AI24" s="619" t="s">
        <v>550</v>
      </c>
      <c r="AJ24" s="616" t="s">
        <v>549</v>
      </c>
      <c r="AK24" s="617"/>
      <c r="AL24" s="617"/>
      <c r="AM24" s="618"/>
      <c r="AN24" s="619" t="s">
        <v>440</v>
      </c>
      <c r="AO24" s="616" t="s">
        <v>442</v>
      </c>
      <c r="AP24" s="617"/>
      <c r="AQ24" s="617"/>
      <c r="AR24" s="618"/>
      <c r="AS24" s="619" t="s">
        <v>440</v>
      </c>
      <c r="AT24" s="616" t="s">
        <v>442</v>
      </c>
      <c r="AU24" s="617"/>
      <c r="AV24" s="617"/>
      <c r="AW24" s="618"/>
      <c r="AX24" s="619" t="s">
        <v>440</v>
      </c>
    </row>
    <row r="25" spans="2:54">
      <c r="B25" s="619"/>
      <c r="C25" s="619"/>
      <c r="D25" s="619"/>
      <c r="E25" s="619" t="s">
        <v>447</v>
      </c>
      <c r="F25" s="619"/>
      <c r="G25" s="619"/>
      <c r="H25" s="636"/>
      <c r="I25" s="603" t="s">
        <v>447</v>
      </c>
      <c r="J25" s="603"/>
      <c r="K25" s="603"/>
      <c r="L25" s="605"/>
      <c r="M25" s="611"/>
      <c r="N25" s="619"/>
      <c r="O25" s="619"/>
      <c r="P25" s="616" t="s">
        <v>448</v>
      </c>
      <c r="Q25" s="617"/>
      <c r="R25" s="617"/>
      <c r="S25" s="618"/>
      <c r="T25" s="619"/>
      <c r="U25" s="616" t="s">
        <v>551</v>
      </c>
      <c r="V25" s="617"/>
      <c r="W25" s="617"/>
      <c r="X25" s="618"/>
      <c r="Y25" s="619"/>
      <c r="Z25" s="616" t="s">
        <v>448</v>
      </c>
      <c r="AA25" s="617"/>
      <c r="AB25" s="617"/>
      <c r="AC25" s="618"/>
      <c r="AD25" s="619"/>
      <c r="AE25" s="616" t="s">
        <v>448</v>
      </c>
      <c r="AF25" s="617"/>
      <c r="AG25" s="617"/>
      <c r="AH25" s="618"/>
      <c r="AI25" s="619"/>
      <c r="AJ25" s="616" t="s">
        <v>448</v>
      </c>
      <c r="AK25" s="617"/>
      <c r="AL25" s="617"/>
      <c r="AM25" s="618"/>
      <c r="AN25" s="619"/>
      <c r="AO25" s="616" t="s">
        <v>551</v>
      </c>
      <c r="AP25" s="617"/>
      <c r="AQ25" s="617"/>
      <c r="AR25" s="618"/>
      <c r="AS25" s="619"/>
      <c r="AT25" s="616" t="s">
        <v>448</v>
      </c>
      <c r="AU25" s="617"/>
      <c r="AV25" s="617"/>
      <c r="AW25" s="618"/>
      <c r="AX25" s="619"/>
    </row>
    <row r="26" spans="2:54">
      <c r="B26" s="619"/>
      <c r="C26" s="619"/>
      <c r="D26" s="619"/>
      <c r="E26" s="329" t="s">
        <v>449</v>
      </c>
      <c r="F26" s="329" t="s">
        <v>450</v>
      </c>
      <c r="G26" s="329" t="s">
        <v>451</v>
      </c>
      <c r="H26" s="637"/>
      <c r="I26" s="328" t="s">
        <v>449</v>
      </c>
      <c r="J26" s="328" t="s">
        <v>450</v>
      </c>
      <c r="K26" s="328" t="s">
        <v>451</v>
      </c>
      <c r="L26" s="606"/>
      <c r="M26" s="612"/>
      <c r="N26" s="619"/>
      <c r="O26" s="619"/>
      <c r="P26" s="329" t="s">
        <v>449</v>
      </c>
      <c r="Q26" s="329" t="s">
        <v>450</v>
      </c>
      <c r="R26" s="329" t="s">
        <v>451</v>
      </c>
      <c r="S26" s="329" t="s">
        <v>552</v>
      </c>
      <c r="T26" s="619"/>
      <c r="U26" s="329" t="s">
        <v>449</v>
      </c>
      <c r="V26" s="329" t="s">
        <v>553</v>
      </c>
      <c r="W26" s="329" t="s">
        <v>554</v>
      </c>
      <c r="X26" s="329" t="s">
        <v>441</v>
      </c>
      <c r="Y26" s="619"/>
      <c r="Z26" s="329" t="s">
        <v>449</v>
      </c>
      <c r="AA26" s="329" t="s">
        <v>450</v>
      </c>
      <c r="AB26" s="329" t="s">
        <v>451</v>
      </c>
      <c r="AC26" s="329" t="s">
        <v>441</v>
      </c>
      <c r="AD26" s="619"/>
      <c r="AE26" s="329" t="s">
        <v>449</v>
      </c>
      <c r="AF26" s="329" t="s">
        <v>450</v>
      </c>
      <c r="AG26" s="329" t="s">
        <v>451</v>
      </c>
      <c r="AH26" s="329" t="s">
        <v>441</v>
      </c>
      <c r="AI26" s="619"/>
      <c r="AJ26" s="329" t="s">
        <v>449</v>
      </c>
      <c r="AK26" s="329" t="s">
        <v>450</v>
      </c>
      <c r="AL26" s="329" t="s">
        <v>451</v>
      </c>
      <c r="AM26" s="329" t="s">
        <v>441</v>
      </c>
      <c r="AN26" s="619"/>
      <c r="AO26" s="329" t="s">
        <v>449</v>
      </c>
      <c r="AP26" s="329" t="s">
        <v>553</v>
      </c>
      <c r="AQ26" s="329" t="s">
        <v>451</v>
      </c>
      <c r="AR26" s="329" t="s">
        <v>441</v>
      </c>
      <c r="AS26" s="619"/>
      <c r="AT26" s="329" t="s">
        <v>449</v>
      </c>
      <c r="AU26" s="329" t="s">
        <v>450</v>
      </c>
      <c r="AV26" s="329" t="s">
        <v>451</v>
      </c>
      <c r="AW26" s="329" t="s">
        <v>441</v>
      </c>
      <c r="AX26" s="619"/>
    </row>
    <row r="27" spans="2:54">
      <c r="B27" s="660" t="s">
        <v>480</v>
      </c>
      <c r="C27" s="330">
        <v>1</v>
      </c>
      <c r="D27" s="343" t="s">
        <v>373</v>
      </c>
      <c r="E27" s="343">
        <v>10</v>
      </c>
      <c r="F27" s="343">
        <v>1500</v>
      </c>
      <c r="G27" s="183">
        <v>150</v>
      </c>
      <c r="H27" s="661">
        <f>AVERAGE(G27:G41)</f>
        <v>195.71428571428572</v>
      </c>
      <c r="I27" s="200">
        <f>AVERAGE(P27,U27,Z27,AE27,AJ27,AO27,AT27)</f>
        <v>10</v>
      </c>
      <c r="J27" s="200">
        <f>AVERAGE(Q27,V27,AA27,AF27,AK27,AP27,AU27)</f>
        <v>1521.3714285714252</v>
      </c>
      <c r="K27" s="201">
        <f>AVERAGE(R27,W27,AB27,AG27,AL27,AQ27,AV27)</f>
        <v>152.13714285714249</v>
      </c>
      <c r="L27" s="600">
        <f>IFERROR(AVERAGE(K27:K41),"-")</f>
        <v>200.62060435743257</v>
      </c>
      <c r="M27" s="202">
        <f>RANK(K27, K$27:$K$41)</f>
        <v>4</v>
      </c>
      <c r="N27" s="619"/>
      <c r="O27" s="619"/>
      <c r="P27" s="183">
        <v>10</v>
      </c>
      <c r="Q27" s="183">
        <v>1625.9999999999927</v>
      </c>
      <c r="R27" s="377">
        <v>162.59999999999928</v>
      </c>
      <c r="S27" s="330">
        <f t="shared" ref="S27:S41" si="16">RANK(R27, R$27:R$41)</f>
        <v>5</v>
      </c>
      <c r="T27" s="658">
        <f>AVERAGE(R27:R41)</f>
        <v>212.57725885225881</v>
      </c>
      <c r="U27" s="183">
        <v>10</v>
      </c>
      <c r="V27" s="183">
        <v>1655.9999999999927</v>
      </c>
      <c r="W27" s="523">
        <v>165.59999999999928</v>
      </c>
      <c r="X27" s="520">
        <f t="shared" ref="X27:X41" si="17">RANK(W27, W$27:W$41)</f>
        <v>4</v>
      </c>
      <c r="Y27" s="658">
        <f t="shared" ref="Y27" si="18">AVERAGE(W27:W41)</f>
        <v>206.97732118758441</v>
      </c>
      <c r="Z27" s="183">
        <v>10</v>
      </c>
      <c r="AA27" s="183">
        <v>1541.9999999999995</v>
      </c>
      <c r="AB27" s="523">
        <v>154.19999999999996</v>
      </c>
      <c r="AC27" s="520">
        <f t="shared" ref="AC27:AC41" si="19">RANK(AB27, AB$27:AB$41)</f>
        <v>4</v>
      </c>
      <c r="AD27" s="658">
        <f t="shared" ref="AD27" si="20">AVERAGE(AB27:AB41)</f>
        <v>200.31893958575986</v>
      </c>
      <c r="AE27" s="183">
        <v>10</v>
      </c>
      <c r="AF27" s="183">
        <v>1290.0000000000048</v>
      </c>
      <c r="AG27" s="523">
        <v>129.00000000000048</v>
      </c>
      <c r="AH27" s="520">
        <f t="shared" ref="AH27:AH41" si="21">RANK(AG27, AG$27:AG$41)</f>
        <v>6</v>
      </c>
      <c r="AI27" s="658">
        <f t="shared" ref="AI27" si="22">AVERAGE(AG27:AG41)</f>
        <v>192.66459096459099</v>
      </c>
      <c r="AJ27" s="183">
        <v>10</v>
      </c>
      <c r="AK27" s="183">
        <v>1687.999999999997</v>
      </c>
      <c r="AL27" s="523">
        <v>168.7999999999997</v>
      </c>
      <c r="AM27" s="520">
        <f t="shared" ref="AM27:AM41" si="23">RANK(AL27, AL$27:AL$41)</f>
        <v>4</v>
      </c>
      <c r="AN27" s="658">
        <f t="shared" ref="AN27" si="24">AVERAGE(AL27:AL41)</f>
        <v>198.02254412254408</v>
      </c>
      <c r="AO27" s="183">
        <v>10</v>
      </c>
      <c r="AP27" s="183">
        <v>1281.5999999999963</v>
      </c>
      <c r="AQ27" s="523">
        <v>128.15999999999963</v>
      </c>
      <c r="AR27" s="520">
        <f t="shared" ref="AR27:AR41" si="25">RANK(AQ27, AQ$27:AQ$41)</f>
        <v>6</v>
      </c>
      <c r="AS27" s="658">
        <f t="shared" ref="AS27" si="26">AVERAGE(AQ27:AQ41)</f>
        <v>195.45509157509164</v>
      </c>
      <c r="AT27" s="183">
        <v>10</v>
      </c>
      <c r="AU27" s="183">
        <v>1565.999999999993</v>
      </c>
      <c r="AV27" s="523">
        <v>156.59999999999928</v>
      </c>
      <c r="AW27" s="520">
        <f t="shared" ref="AW27:AW41" si="27">RANK(AV27, AV$27:AV$41)</f>
        <v>4</v>
      </c>
      <c r="AX27" s="658">
        <f t="shared" ref="AX27" si="28">AVERAGE(AV27:AV41)</f>
        <v>198.32848421419826</v>
      </c>
    </row>
    <row r="28" spans="2:54">
      <c r="B28" s="627"/>
      <c r="C28" s="330">
        <v>2</v>
      </c>
      <c r="D28" s="343" t="s">
        <v>374</v>
      </c>
      <c r="E28" s="343">
        <v>15</v>
      </c>
      <c r="F28" s="343">
        <v>1800</v>
      </c>
      <c r="G28" s="183">
        <v>120</v>
      </c>
      <c r="H28" s="662"/>
      <c r="I28" s="200">
        <f t="shared" ref="I28:I32" si="29">AVERAGE(P28,U28,Z28,AE28,AJ28,AO28,AT28)</f>
        <v>12.142857142857142</v>
      </c>
      <c r="J28" s="200">
        <f t="shared" ref="J28:J32" si="30">AVERAGE(Q28,V28,AA28,AF28,AK28,AP28,AU28)</f>
        <v>1767.8666666666666</v>
      </c>
      <c r="K28" s="201">
        <f t="shared" ref="K28:K32" si="31">AVERAGE(R28,W28,AB28,AG28,AL28,AQ28,AV28)</f>
        <v>145.75299145299144</v>
      </c>
      <c r="L28" s="601"/>
      <c r="M28" s="202">
        <f>RANK(K28, K$27:$K$41)</f>
        <v>6</v>
      </c>
      <c r="N28" s="619"/>
      <c r="O28" s="619"/>
      <c r="P28" s="376">
        <v>12</v>
      </c>
      <c r="Q28" s="183">
        <v>1798.6666666666667</v>
      </c>
      <c r="R28" s="377">
        <v>149.88888888888889</v>
      </c>
      <c r="S28" s="330">
        <f t="shared" si="16"/>
        <v>6</v>
      </c>
      <c r="T28" s="658"/>
      <c r="U28" s="522">
        <v>12</v>
      </c>
      <c r="V28" s="183">
        <v>1836</v>
      </c>
      <c r="W28" s="523">
        <v>153</v>
      </c>
      <c r="X28" s="520">
        <f t="shared" si="17"/>
        <v>6</v>
      </c>
      <c r="Y28" s="658"/>
      <c r="Z28" s="522">
        <v>13</v>
      </c>
      <c r="AA28" s="183">
        <v>1713.6000000000033</v>
      </c>
      <c r="AB28" s="523">
        <v>131.81538461538486</v>
      </c>
      <c r="AC28" s="520">
        <f t="shared" si="19"/>
        <v>6</v>
      </c>
      <c r="AD28" s="658"/>
      <c r="AE28" s="522">
        <v>12</v>
      </c>
      <c r="AF28" s="183">
        <v>1741.4999999999957</v>
      </c>
      <c r="AG28" s="523">
        <v>145.12499999999963</v>
      </c>
      <c r="AH28" s="520">
        <f t="shared" si="21"/>
        <v>5</v>
      </c>
      <c r="AI28" s="658"/>
      <c r="AJ28" s="522">
        <v>12</v>
      </c>
      <c r="AK28" s="183">
        <v>1672.4999999999993</v>
      </c>
      <c r="AL28" s="523">
        <v>139.37499999999994</v>
      </c>
      <c r="AM28" s="520">
        <f t="shared" si="23"/>
        <v>5</v>
      </c>
      <c r="AN28" s="658"/>
      <c r="AO28" s="522">
        <v>12</v>
      </c>
      <c r="AP28" s="183">
        <v>1780.8000000000004</v>
      </c>
      <c r="AQ28" s="523">
        <v>148.40000000000003</v>
      </c>
      <c r="AR28" s="520">
        <f t="shared" si="25"/>
        <v>4</v>
      </c>
      <c r="AS28" s="658"/>
      <c r="AT28" s="522">
        <v>12</v>
      </c>
      <c r="AU28" s="183">
        <v>1832</v>
      </c>
      <c r="AV28" s="523">
        <v>152.66666666666666</v>
      </c>
      <c r="AW28" s="520">
        <f t="shared" si="27"/>
        <v>6</v>
      </c>
      <c r="AX28" s="658"/>
    </row>
    <row r="29" spans="2:54">
      <c r="B29" s="627"/>
      <c r="C29" s="330">
        <v>3</v>
      </c>
      <c r="D29" s="343" t="s">
        <v>375</v>
      </c>
      <c r="E29" s="343">
        <v>15</v>
      </c>
      <c r="F29" s="343">
        <v>1800</v>
      </c>
      <c r="G29" s="183">
        <v>120</v>
      </c>
      <c r="H29" s="662"/>
      <c r="I29" s="200">
        <f t="shared" si="29"/>
        <v>12.142857142857142</v>
      </c>
      <c r="J29" s="200">
        <f t="shared" si="30"/>
        <v>1792.7476190476179</v>
      </c>
      <c r="K29" s="201">
        <f t="shared" si="31"/>
        <v>147.82310744810738</v>
      </c>
      <c r="L29" s="601"/>
      <c r="M29" s="202">
        <f>RANK(K29, K$27:$K$41)</f>
        <v>5</v>
      </c>
      <c r="N29" s="619"/>
      <c r="O29" s="619"/>
      <c r="P29" s="376">
        <v>12</v>
      </c>
      <c r="Q29" s="183">
        <v>1993.5000000000032</v>
      </c>
      <c r="R29" s="377">
        <v>166.12500000000026</v>
      </c>
      <c r="S29" s="330">
        <f t="shared" si="16"/>
        <v>4</v>
      </c>
      <c r="T29" s="658"/>
      <c r="U29" s="522">
        <v>12</v>
      </c>
      <c r="V29" s="183">
        <v>1840</v>
      </c>
      <c r="W29" s="523">
        <v>153.33333333333334</v>
      </c>
      <c r="X29" s="520">
        <f t="shared" si="17"/>
        <v>5</v>
      </c>
      <c r="Y29" s="658"/>
      <c r="Z29" s="522">
        <v>13</v>
      </c>
      <c r="AA29" s="183">
        <v>1717.1999999999978</v>
      </c>
      <c r="AB29" s="523">
        <v>132.09230769230751</v>
      </c>
      <c r="AC29" s="520">
        <f t="shared" si="19"/>
        <v>5</v>
      </c>
      <c r="AD29" s="658"/>
      <c r="AE29" s="522">
        <v>12</v>
      </c>
      <c r="AF29" s="183">
        <v>1744.4999999999957</v>
      </c>
      <c r="AG29" s="523">
        <v>145.37499999999963</v>
      </c>
      <c r="AH29" s="520">
        <f t="shared" si="21"/>
        <v>4</v>
      </c>
      <c r="AI29" s="658"/>
      <c r="AJ29" s="522">
        <v>12</v>
      </c>
      <c r="AK29" s="183">
        <v>1645.4999999999993</v>
      </c>
      <c r="AL29" s="523">
        <v>137.12499999999994</v>
      </c>
      <c r="AM29" s="520">
        <f t="shared" si="23"/>
        <v>6</v>
      </c>
      <c r="AN29" s="658"/>
      <c r="AO29" s="522">
        <v>12</v>
      </c>
      <c r="AP29" s="183">
        <v>1759.1999999999978</v>
      </c>
      <c r="AQ29" s="523">
        <v>146.59999999999982</v>
      </c>
      <c r="AR29" s="520">
        <f t="shared" si="25"/>
        <v>5</v>
      </c>
      <c r="AS29" s="658"/>
      <c r="AT29" s="522">
        <v>12</v>
      </c>
      <c r="AU29" s="183">
        <v>1849.3333333333335</v>
      </c>
      <c r="AV29" s="523">
        <v>154.11111111111111</v>
      </c>
      <c r="AW29" s="520">
        <f t="shared" si="27"/>
        <v>5</v>
      </c>
      <c r="AX29" s="658"/>
    </row>
    <row r="30" spans="2:54">
      <c r="B30" s="627"/>
      <c r="C30" s="330">
        <v>4</v>
      </c>
      <c r="D30" s="343" t="s">
        <v>825</v>
      </c>
      <c r="E30" s="343">
        <v>5</v>
      </c>
      <c r="F30" s="343">
        <v>1500</v>
      </c>
      <c r="G30" s="183">
        <v>300</v>
      </c>
      <c r="H30" s="662"/>
      <c r="I30" s="200">
        <f t="shared" si="29"/>
        <v>5.5714285714285712</v>
      </c>
      <c r="J30" s="200">
        <f t="shared" si="30"/>
        <v>1503.6597507331387</v>
      </c>
      <c r="K30" s="201">
        <f t="shared" si="31"/>
        <v>271.75740469208222</v>
      </c>
      <c r="L30" s="601"/>
      <c r="M30" s="202">
        <f>RANK(K30, K$27:$K$41)</f>
        <v>3</v>
      </c>
      <c r="N30" s="619"/>
      <c r="O30" s="619"/>
      <c r="P30" s="376">
        <v>5</v>
      </c>
      <c r="Q30" s="183">
        <v>1468.0000000000014</v>
      </c>
      <c r="R30" s="377">
        <v>293.60000000000025</v>
      </c>
      <c r="S30" s="330">
        <f t="shared" si="16"/>
        <v>3</v>
      </c>
      <c r="T30" s="658"/>
      <c r="U30" s="522">
        <v>5</v>
      </c>
      <c r="V30" s="183">
        <v>1498.1249999999982</v>
      </c>
      <c r="W30" s="523">
        <v>299.62499999999966</v>
      </c>
      <c r="X30" s="520">
        <f t="shared" si="17"/>
        <v>1</v>
      </c>
      <c r="Y30" s="658"/>
      <c r="Z30" s="522">
        <v>5</v>
      </c>
      <c r="AA30" s="183">
        <v>1474.8387096774206</v>
      </c>
      <c r="AB30" s="523">
        <v>294.96774193548413</v>
      </c>
      <c r="AC30" s="520">
        <f t="shared" si="19"/>
        <v>3</v>
      </c>
      <c r="AD30" s="658"/>
      <c r="AE30" s="522">
        <v>6</v>
      </c>
      <c r="AF30" s="183">
        <v>1507.2000000000005</v>
      </c>
      <c r="AG30" s="523">
        <v>251.20000000000007</v>
      </c>
      <c r="AH30" s="520">
        <f t="shared" si="21"/>
        <v>3</v>
      </c>
      <c r="AI30" s="658"/>
      <c r="AJ30" s="522">
        <v>6</v>
      </c>
      <c r="AK30" s="183">
        <v>1565.4545454545482</v>
      </c>
      <c r="AL30" s="523">
        <v>260.90909090909139</v>
      </c>
      <c r="AM30" s="520">
        <f t="shared" si="23"/>
        <v>3</v>
      </c>
      <c r="AN30" s="658"/>
      <c r="AO30" s="522">
        <v>6</v>
      </c>
      <c r="AP30" s="183">
        <v>1544.0000000000016</v>
      </c>
      <c r="AQ30" s="523">
        <v>257.3333333333336</v>
      </c>
      <c r="AR30" s="520">
        <f t="shared" si="25"/>
        <v>3</v>
      </c>
      <c r="AS30" s="658"/>
      <c r="AT30" s="522">
        <v>6</v>
      </c>
      <c r="AU30" s="183">
        <v>1467.9999999999993</v>
      </c>
      <c r="AV30" s="523">
        <v>244.66666666666654</v>
      </c>
      <c r="AW30" s="520">
        <f t="shared" si="27"/>
        <v>3</v>
      </c>
      <c r="AX30" s="658"/>
    </row>
    <row r="31" spans="2:54">
      <c r="B31" s="627"/>
      <c r="C31" s="330">
        <v>5</v>
      </c>
      <c r="D31" s="343" t="s">
        <v>746</v>
      </c>
      <c r="E31" s="343">
        <v>5</v>
      </c>
      <c r="F31" s="343">
        <v>1500</v>
      </c>
      <c r="G31" s="183">
        <v>300</v>
      </c>
      <c r="H31" s="662"/>
      <c r="I31" s="200">
        <f t="shared" si="29"/>
        <v>5</v>
      </c>
      <c r="J31" s="200">
        <f t="shared" si="30"/>
        <v>1487.2276272182296</v>
      </c>
      <c r="K31" s="201">
        <f t="shared" si="31"/>
        <v>297.44552544364586</v>
      </c>
      <c r="L31" s="601"/>
      <c r="M31" s="202">
        <f>RANK(K31, K$27:$K$41)</f>
        <v>2</v>
      </c>
      <c r="N31" s="619"/>
      <c r="O31" s="619"/>
      <c r="P31" s="376">
        <v>5</v>
      </c>
      <c r="Q31" s="183">
        <v>1563.7499999999995</v>
      </c>
      <c r="R31" s="377">
        <v>312.74999999999989</v>
      </c>
      <c r="S31" s="330">
        <f t="shared" si="16"/>
        <v>1</v>
      </c>
      <c r="T31" s="658"/>
      <c r="U31" s="522">
        <v>5</v>
      </c>
      <c r="V31" s="183">
        <v>1427.3684210526321</v>
      </c>
      <c r="W31" s="523">
        <v>285.47368421052641</v>
      </c>
      <c r="X31" s="520">
        <f t="shared" si="17"/>
        <v>3</v>
      </c>
      <c r="Y31" s="658"/>
      <c r="Z31" s="522">
        <v>5</v>
      </c>
      <c r="AA31" s="183">
        <v>1498.2857142857144</v>
      </c>
      <c r="AB31" s="523">
        <v>299.6571428571429</v>
      </c>
      <c r="AC31" s="520">
        <f t="shared" si="19"/>
        <v>1</v>
      </c>
      <c r="AD31" s="658"/>
      <c r="AE31" s="522">
        <v>5</v>
      </c>
      <c r="AF31" s="183">
        <v>1482.2222222222231</v>
      </c>
      <c r="AG31" s="523">
        <v>296.44444444444463</v>
      </c>
      <c r="AH31" s="520">
        <f t="shared" si="21"/>
        <v>1</v>
      </c>
      <c r="AI31" s="658"/>
      <c r="AJ31" s="522">
        <v>5</v>
      </c>
      <c r="AK31" s="183">
        <v>1451.5384615384646</v>
      </c>
      <c r="AL31" s="523">
        <v>290.30769230769295</v>
      </c>
      <c r="AM31" s="520">
        <f t="shared" si="23"/>
        <v>2</v>
      </c>
      <c r="AN31" s="658"/>
      <c r="AO31" s="522">
        <v>5</v>
      </c>
      <c r="AP31" s="183">
        <v>1520.000000000002</v>
      </c>
      <c r="AQ31" s="523">
        <v>304.0000000000004</v>
      </c>
      <c r="AR31" s="520">
        <f t="shared" si="25"/>
        <v>1</v>
      </c>
      <c r="AS31" s="658"/>
      <c r="AT31" s="522">
        <v>5</v>
      </c>
      <c r="AU31" s="183">
        <v>1467.4285714285697</v>
      </c>
      <c r="AV31" s="523">
        <v>293.48571428571393</v>
      </c>
      <c r="AW31" s="520">
        <f t="shared" si="27"/>
        <v>1</v>
      </c>
      <c r="AX31" s="658"/>
    </row>
    <row r="32" spans="2:54">
      <c r="B32" s="627"/>
      <c r="C32" s="330">
        <v>6</v>
      </c>
      <c r="D32" s="343" t="s">
        <v>694</v>
      </c>
      <c r="E32" s="343">
        <v>5</v>
      </c>
      <c r="F32" s="343">
        <v>1500</v>
      </c>
      <c r="G32" s="183">
        <v>300</v>
      </c>
      <c r="H32" s="662"/>
      <c r="I32" s="200">
        <f t="shared" si="29"/>
        <v>5</v>
      </c>
      <c r="J32" s="200">
        <f t="shared" si="30"/>
        <v>1490.2556776556778</v>
      </c>
      <c r="K32" s="201">
        <f t="shared" si="31"/>
        <v>298.05113553113551</v>
      </c>
      <c r="L32" s="601"/>
      <c r="M32" s="202">
        <f>RANK(K32, K$27:$K$41)</f>
        <v>1</v>
      </c>
      <c r="N32" s="619"/>
      <c r="O32" s="619"/>
      <c r="P32" s="376">
        <v>5</v>
      </c>
      <c r="Q32" s="183">
        <v>1560</v>
      </c>
      <c r="R32" s="377">
        <v>312</v>
      </c>
      <c r="S32" s="330">
        <f t="shared" si="16"/>
        <v>2</v>
      </c>
      <c r="T32" s="658"/>
      <c r="U32" s="522">
        <v>5</v>
      </c>
      <c r="V32" s="183">
        <v>1495.2000000000053</v>
      </c>
      <c r="W32" s="523">
        <v>299.04000000000104</v>
      </c>
      <c r="X32" s="520">
        <f t="shared" si="17"/>
        <v>2</v>
      </c>
      <c r="Y32" s="658"/>
      <c r="Z32" s="522">
        <v>5</v>
      </c>
      <c r="AA32" s="183">
        <v>1490.0000000000005</v>
      </c>
      <c r="AB32" s="523">
        <v>298.00000000000011</v>
      </c>
      <c r="AC32" s="520">
        <f t="shared" si="19"/>
        <v>2</v>
      </c>
      <c r="AD32" s="658"/>
      <c r="AE32" s="522">
        <v>5</v>
      </c>
      <c r="AF32" s="183">
        <v>1460.9999999999995</v>
      </c>
      <c r="AG32" s="523">
        <v>292.19999999999993</v>
      </c>
      <c r="AH32" s="520">
        <f t="shared" si="21"/>
        <v>2</v>
      </c>
      <c r="AI32" s="658"/>
      <c r="AJ32" s="522">
        <v>5</v>
      </c>
      <c r="AK32" s="183">
        <v>1466.6666666666622</v>
      </c>
      <c r="AL32" s="523">
        <v>293.33333333333246</v>
      </c>
      <c r="AM32" s="520">
        <f t="shared" si="23"/>
        <v>1</v>
      </c>
      <c r="AN32" s="658"/>
      <c r="AO32" s="522">
        <v>5</v>
      </c>
      <c r="AP32" s="183">
        <v>1506.9230769230776</v>
      </c>
      <c r="AQ32" s="523">
        <v>301.38461538461553</v>
      </c>
      <c r="AR32" s="520">
        <f t="shared" si="25"/>
        <v>2</v>
      </c>
      <c r="AS32" s="658"/>
      <c r="AT32" s="522">
        <v>5</v>
      </c>
      <c r="AU32" s="183">
        <v>1451.999999999998</v>
      </c>
      <c r="AV32" s="523">
        <v>290.39999999999958</v>
      </c>
      <c r="AW32" s="520">
        <f t="shared" si="27"/>
        <v>2</v>
      </c>
      <c r="AX32" s="658"/>
    </row>
    <row r="33" spans="2:50">
      <c r="B33" s="627"/>
      <c r="C33" s="330">
        <v>7</v>
      </c>
      <c r="D33" s="343" t="s">
        <v>829</v>
      </c>
      <c r="E33" s="343">
        <v>15</v>
      </c>
      <c r="F33" s="343">
        <v>1200</v>
      </c>
      <c r="G33" s="183">
        <v>80</v>
      </c>
      <c r="H33" s="662"/>
      <c r="I33" s="483">
        <f t="shared" ref="I33" si="32">AVERAGE(P33,U33,Z33,AE33,AJ33,AO33,AT33)</f>
        <v>12.857142857142858</v>
      </c>
      <c r="J33" s="483">
        <f t="shared" ref="J33" si="33">AVERAGE(Q33,V33,AA33,AF33,AK33,AP33,AU33)</f>
        <v>1174.8285714285714</v>
      </c>
      <c r="K33" s="201">
        <f t="shared" ref="K33" si="34">AVERAGE(R33,W33,AB33,AG33,AL33,AQ33,AV33)</f>
        <v>91.376923076923077</v>
      </c>
      <c r="L33" s="601"/>
      <c r="M33" s="202">
        <f>RANK(K33, K$27:$K$41)</f>
        <v>7</v>
      </c>
      <c r="N33" s="619"/>
      <c r="O33" s="619"/>
      <c r="P33" s="376">
        <v>13</v>
      </c>
      <c r="Q33" s="183">
        <v>1184.0000000000011</v>
      </c>
      <c r="R33" s="377">
        <v>91.076923076923165</v>
      </c>
      <c r="S33" s="330">
        <f t="shared" si="16"/>
        <v>7</v>
      </c>
      <c r="T33" s="658"/>
      <c r="U33" s="522">
        <v>13</v>
      </c>
      <c r="V33" s="183">
        <v>1206.0000000000011</v>
      </c>
      <c r="W33" s="523">
        <v>92.769230769230859</v>
      </c>
      <c r="X33" s="520">
        <f t="shared" si="17"/>
        <v>7</v>
      </c>
      <c r="Y33" s="658"/>
      <c r="Z33" s="522">
        <v>12</v>
      </c>
      <c r="AA33" s="183">
        <v>1097.9999999999982</v>
      </c>
      <c r="AB33" s="523">
        <v>91.499999999999844</v>
      </c>
      <c r="AC33" s="520">
        <f t="shared" si="19"/>
        <v>7</v>
      </c>
      <c r="AD33" s="658"/>
      <c r="AE33" s="522">
        <v>13</v>
      </c>
      <c r="AF33" s="183">
        <v>1160.9999999999995</v>
      </c>
      <c r="AG33" s="523">
        <v>89.307692307692278</v>
      </c>
      <c r="AH33" s="520">
        <f t="shared" si="21"/>
        <v>7</v>
      </c>
      <c r="AI33" s="658"/>
      <c r="AJ33" s="522">
        <v>13</v>
      </c>
      <c r="AK33" s="183">
        <v>1251.9999999999977</v>
      </c>
      <c r="AL33" s="523">
        <v>96.307692307692136</v>
      </c>
      <c r="AM33" s="520">
        <f t="shared" si="23"/>
        <v>7</v>
      </c>
      <c r="AN33" s="658"/>
      <c r="AO33" s="522">
        <v>13</v>
      </c>
      <c r="AP33" s="183">
        <v>1070.0000000000009</v>
      </c>
      <c r="AQ33" s="523">
        <v>82.307692307692378</v>
      </c>
      <c r="AR33" s="520">
        <f t="shared" si="25"/>
        <v>7</v>
      </c>
      <c r="AS33" s="658"/>
      <c r="AT33" s="522">
        <v>13</v>
      </c>
      <c r="AU33" s="183">
        <v>1252.8000000000004</v>
      </c>
      <c r="AV33" s="523">
        <v>96.369230769230796</v>
      </c>
      <c r="AW33" s="520">
        <f t="shared" si="27"/>
        <v>7</v>
      </c>
      <c r="AX33" s="658"/>
    </row>
    <row r="34" spans="2:50">
      <c r="B34" s="627"/>
      <c r="C34" s="330">
        <v>8</v>
      </c>
      <c r="D34" s="343"/>
      <c r="E34" s="343"/>
      <c r="F34" s="343"/>
      <c r="G34" s="183"/>
      <c r="H34" s="662"/>
      <c r="I34" s="483"/>
      <c r="J34" s="483"/>
      <c r="K34" s="201"/>
      <c r="L34" s="601"/>
      <c r="M34" s="202" t="e">
        <f>RANK(K34, K$27:$K$41)</f>
        <v>#N/A</v>
      </c>
      <c r="N34" s="619"/>
      <c r="O34" s="619"/>
      <c r="P34" s="376"/>
      <c r="Q34" s="183"/>
      <c r="R34" s="377"/>
      <c r="S34" s="330" t="e">
        <f t="shared" si="16"/>
        <v>#N/A</v>
      </c>
      <c r="T34" s="658"/>
      <c r="U34" s="520"/>
      <c r="V34" s="183"/>
      <c r="W34" s="521"/>
      <c r="X34" s="520" t="e">
        <f t="shared" si="17"/>
        <v>#N/A</v>
      </c>
      <c r="Y34" s="658"/>
      <c r="Z34" s="520"/>
      <c r="AA34" s="183"/>
      <c r="AB34" s="521"/>
      <c r="AC34" s="520" t="e">
        <f t="shared" si="19"/>
        <v>#N/A</v>
      </c>
      <c r="AD34" s="658"/>
      <c r="AE34" s="520"/>
      <c r="AF34" s="183"/>
      <c r="AG34" s="521"/>
      <c r="AH34" s="520" t="e">
        <f t="shared" si="21"/>
        <v>#N/A</v>
      </c>
      <c r="AI34" s="658"/>
      <c r="AJ34" s="520"/>
      <c r="AK34" s="183"/>
      <c r="AL34" s="521"/>
      <c r="AM34" s="520" t="e">
        <f t="shared" si="23"/>
        <v>#N/A</v>
      </c>
      <c r="AN34" s="658"/>
      <c r="AO34" s="520"/>
      <c r="AP34" s="183"/>
      <c r="AQ34" s="521"/>
      <c r="AR34" s="520" t="e">
        <f t="shared" si="25"/>
        <v>#N/A</v>
      </c>
      <c r="AS34" s="658"/>
      <c r="AT34" s="520"/>
      <c r="AU34" s="183"/>
      <c r="AV34" s="521"/>
      <c r="AW34" s="520" t="e">
        <f t="shared" si="27"/>
        <v>#N/A</v>
      </c>
      <c r="AX34" s="658"/>
    </row>
    <row r="35" spans="2:50">
      <c r="B35" s="627"/>
      <c r="C35" s="330">
        <v>9</v>
      </c>
      <c r="D35" s="343"/>
      <c r="E35" s="343"/>
      <c r="F35" s="343"/>
      <c r="G35" s="183"/>
      <c r="H35" s="662"/>
      <c r="I35" s="200"/>
      <c r="J35" s="200"/>
      <c r="K35" s="201"/>
      <c r="L35" s="601"/>
      <c r="M35" s="202" t="e">
        <f>RANK(K35, K$27:$K$41)</f>
        <v>#N/A</v>
      </c>
      <c r="N35" s="619"/>
      <c r="O35" s="619"/>
      <c r="P35" s="376"/>
      <c r="Q35" s="183"/>
      <c r="R35" s="377"/>
      <c r="S35" s="330" t="e">
        <f t="shared" si="16"/>
        <v>#N/A</v>
      </c>
      <c r="T35" s="658"/>
      <c r="U35" s="520"/>
      <c r="V35" s="183"/>
      <c r="W35" s="521"/>
      <c r="X35" s="520" t="e">
        <f t="shared" si="17"/>
        <v>#N/A</v>
      </c>
      <c r="Y35" s="658"/>
      <c r="Z35" s="520"/>
      <c r="AA35" s="183"/>
      <c r="AB35" s="521"/>
      <c r="AC35" s="520" t="e">
        <f t="shared" si="19"/>
        <v>#N/A</v>
      </c>
      <c r="AD35" s="658"/>
      <c r="AE35" s="520"/>
      <c r="AF35" s="183"/>
      <c r="AG35" s="521"/>
      <c r="AH35" s="520" t="e">
        <f t="shared" si="21"/>
        <v>#N/A</v>
      </c>
      <c r="AI35" s="658"/>
      <c r="AJ35" s="520"/>
      <c r="AK35" s="183"/>
      <c r="AL35" s="521"/>
      <c r="AM35" s="520" t="e">
        <f t="shared" si="23"/>
        <v>#N/A</v>
      </c>
      <c r="AN35" s="658"/>
      <c r="AO35" s="520"/>
      <c r="AP35" s="183"/>
      <c r="AQ35" s="521"/>
      <c r="AR35" s="520" t="e">
        <f t="shared" si="25"/>
        <v>#N/A</v>
      </c>
      <c r="AS35" s="658"/>
      <c r="AT35" s="520"/>
      <c r="AU35" s="183"/>
      <c r="AV35" s="521"/>
      <c r="AW35" s="520" t="e">
        <f t="shared" si="27"/>
        <v>#N/A</v>
      </c>
      <c r="AX35" s="658"/>
    </row>
    <row r="36" spans="2:50">
      <c r="B36" s="627"/>
      <c r="C36" s="330">
        <v>10</v>
      </c>
      <c r="D36" s="343"/>
      <c r="E36" s="343"/>
      <c r="F36" s="343"/>
      <c r="G36" s="183"/>
      <c r="H36" s="662"/>
      <c r="I36" s="200"/>
      <c r="J36" s="200"/>
      <c r="K36" s="201"/>
      <c r="L36" s="601"/>
      <c r="M36" s="202" t="e">
        <f>RANK(K36, K$27:$K$41)</f>
        <v>#N/A</v>
      </c>
      <c r="N36" s="619"/>
      <c r="O36" s="619"/>
      <c r="P36" s="376"/>
      <c r="Q36" s="183"/>
      <c r="R36" s="377"/>
      <c r="S36" s="330" t="e">
        <f t="shared" si="16"/>
        <v>#N/A</v>
      </c>
      <c r="T36" s="658"/>
      <c r="U36" s="520"/>
      <c r="V36" s="183"/>
      <c r="W36" s="521"/>
      <c r="X36" s="520" t="e">
        <f t="shared" si="17"/>
        <v>#N/A</v>
      </c>
      <c r="Y36" s="658"/>
      <c r="Z36" s="520"/>
      <c r="AA36" s="183"/>
      <c r="AB36" s="521"/>
      <c r="AC36" s="520" t="e">
        <f t="shared" si="19"/>
        <v>#N/A</v>
      </c>
      <c r="AD36" s="658"/>
      <c r="AE36" s="520"/>
      <c r="AF36" s="183"/>
      <c r="AG36" s="521"/>
      <c r="AH36" s="520" t="e">
        <f t="shared" si="21"/>
        <v>#N/A</v>
      </c>
      <c r="AI36" s="658"/>
      <c r="AJ36" s="520"/>
      <c r="AK36" s="183"/>
      <c r="AL36" s="521"/>
      <c r="AM36" s="520" t="e">
        <f t="shared" si="23"/>
        <v>#N/A</v>
      </c>
      <c r="AN36" s="658"/>
      <c r="AO36" s="520"/>
      <c r="AP36" s="183"/>
      <c r="AQ36" s="521"/>
      <c r="AR36" s="520" t="e">
        <f t="shared" si="25"/>
        <v>#N/A</v>
      </c>
      <c r="AS36" s="658"/>
      <c r="AT36" s="520"/>
      <c r="AU36" s="183"/>
      <c r="AV36" s="521"/>
      <c r="AW36" s="520" t="e">
        <f t="shared" si="27"/>
        <v>#N/A</v>
      </c>
      <c r="AX36" s="658"/>
    </row>
    <row r="37" spans="2:50">
      <c r="B37" s="627"/>
      <c r="C37" s="330">
        <v>11</v>
      </c>
      <c r="D37" s="343"/>
      <c r="E37" s="343"/>
      <c r="F37" s="343"/>
      <c r="G37" s="183"/>
      <c r="H37" s="662"/>
      <c r="I37" s="203"/>
      <c r="J37" s="203"/>
      <c r="K37" s="203"/>
      <c r="L37" s="601"/>
      <c r="M37" s="202" t="e">
        <f>RANK(K37, K$27:$K$41)</f>
        <v>#N/A</v>
      </c>
      <c r="N37" s="619"/>
      <c r="O37" s="619"/>
      <c r="P37" s="376"/>
      <c r="Q37" s="376"/>
      <c r="R37" s="376"/>
      <c r="S37" s="330" t="e">
        <f t="shared" si="16"/>
        <v>#N/A</v>
      </c>
      <c r="T37" s="658"/>
      <c r="U37" s="520"/>
      <c r="V37" s="520"/>
      <c r="W37" s="520"/>
      <c r="X37" s="520" t="e">
        <f t="shared" si="17"/>
        <v>#N/A</v>
      </c>
      <c r="Y37" s="658"/>
      <c r="Z37" s="520"/>
      <c r="AA37" s="520"/>
      <c r="AB37" s="520"/>
      <c r="AC37" s="520" t="e">
        <f t="shared" si="19"/>
        <v>#N/A</v>
      </c>
      <c r="AD37" s="658"/>
      <c r="AE37" s="520"/>
      <c r="AF37" s="520"/>
      <c r="AG37" s="520"/>
      <c r="AH37" s="520" t="e">
        <f t="shared" si="21"/>
        <v>#N/A</v>
      </c>
      <c r="AI37" s="658"/>
      <c r="AJ37" s="520"/>
      <c r="AK37" s="520"/>
      <c r="AL37" s="520"/>
      <c r="AM37" s="520" t="e">
        <f t="shared" si="23"/>
        <v>#N/A</v>
      </c>
      <c r="AN37" s="658"/>
      <c r="AO37" s="520"/>
      <c r="AP37" s="520"/>
      <c r="AQ37" s="520"/>
      <c r="AR37" s="520" t="e">
        <f t="shared" si="25"/>
        <v>#N/A</v>
      </c>
      <c r="AS37" s="658"/>
      <c r="AT37" s="520"/>
      <c r="AU37" s="520"/>
      <c r="AV37" s="520"/>
      <c r="AW37" s="520" t="e">
        <f t="shared" si="27"/>
        <v>#N/A</v>
      </c>
      <c r="AX37" s="658"/>
    </row>
    <row r="38" spans="2:50">
      <c r="B38" s="627"/>
      <c r="C38" s="330">
        <v>12</v>
      </c>
      <c r="D38" s="343"/>
      <c r="E38" s="343"/>
      <c r="F38" s="343"/>
      <c r="G38" s="183"/>
      <c r="H38" s="662"/>
      <c r="I38" s="203"/>
      <c r="J38" s="203"/>
      <c r="K38" s="203"/>
      <c r="L38" s="601"/>
      <c r="M38" s="202" t="e">
        <f>RANK(K38, K$27:$K$41)</f>
        <v>#N/A</v>
      </c>
      <c r="N38" s="619"/>
      <c r="O38" s="619"/>
      <c r="P38" s="376"/>
      <c r="Q38" s="376"/>
      <c r="R38" s="376"/>
      <c r="S38" s="330" t="e">
        <f t="shared" si="16"/>
        <v>#N/A</v>
      </c>
      <c r="T38" s="658"/>
      <c r="U38" s="520"/>
      <c r="V38" s="520"/>
      <c r="W38" s="520"/>
      <c r="X38" s="520" t="e">
        <f t="shared" si="17"/>
        <v>#N/A</v>
      </c>
      <c r="Y38" s="658"/>
      <c r="Z38" s="520"/>
      <c r="AA38" s="520"/>
      <c r="AB38" s="520"/>
      <c r="AC38" s="520" t="e">
        <f t="shared" si="19"/>
        <v>#N/A</v>
      </c>
      <c r="AD38" s="658"/>
      <c r="AE38" s="520"/>
      <c r="AF38" s="520"/>
      <c r="AG38" s="520"/>
      <c r="AH38" s="520" t="e">
        <f t="shared" si="21"/>
        <v>#N/A</v>
      </c>
      <c r="AI38" s="658"/>
      <c r="AJ38" s="520"/>
      <c r="AK38" s="520"/>
      <c r="AL38" s="520"/>
      <c r="AM38" s="520" t="e">
        <f t="shared" si="23"/>
        <v>#N/A</v>
      </c>
      <c r="AN38" s="658"/>
      <c r="AO38" s="520"/>
      <c r="AP38" s="520"/>
      <c r="AQ38" s="520"/>
      <c r="AR38" s="520" t="e">
        <f t="shared" si="25"/>
        <v>#N/A</v>
      </c>
      <c r="AS38" s="658"/>
      <c r="AT38" s="520"/>
      <c r="AU38" s="520"/>
      <c r="AV38" s="520"/>
      <c r="AW38" s="520" t="e">
        <f t="shared" si="27"/>
        <v>#N/A</v>
      </c>
      <c r="AX38" s="658"/>
    </row>
    <row r="39" spans="2:50">
      <c r="B39" s="627"/>
      <c r="C39" s="330">
        <v>13</v>
      </c>
      <c r="D39" s="343"/>
      <c r="E39" s="343"/>
      <c r="F39" s="343"/>
      <c r="G39" s="183"/>
      <c r="H39" s="662"/>
      <c r="I39" s="203"/>
      <c r="J39" s="203"/>
      <c r="K39" s="203"/>
      <c r="L39" s="601"/>
      <c r="M39" s="202" t="e">
        <f>RANK(K39, K$27:$K$41)</f>
        <v>#N/A</v>
      </c>
      <c r="N39" s="619"/>
      <c r="O39" s="619"/>
      <c r="P39" s="376"/>
      <c r="Q39" s="376"/>
      <c r="R39" s="376"/>
      <c r="S39" s="330" t="e">
        <f t="shared" si="16"/>
        <v>#N/A</v>
      </c>
      <c r="T39" s="658"/>
      <c r="U39" s="520"/>
      <c r="V39" s="520"/>
      <c r="W39" s="520"/>
      <c r="X39" s="520" t="e">
        <f t="shared" si="17"/>
        <v>#N/A</v>
      </c>
      <c r="Y39" s="658"/>
      <c r="Z39" s="520"/>
      <c r="AA39" s="520"/>
      <c r="AB39" s="520"/>
      <c r="AC39" s="520" t="e">
        <f t="shared" si="19"/>
        <v>#N/A</v>
      </c>
      <c r="AD39" s="658"/>
      <c r="AE39" s="520"/>
      <c r="AF39" s="520"/>
      <c r="AG39" s="520"/>
      <c r="AH39" s="520" t="e">
        <f t="shared" si="21"/>
        <v>#N/A</v>
      </c>
      <c r="AI39" s="658"/>
      <c r="AJ39" s="520"/>
      <c r="AK39" s="520"/>
      <c r="AL39" s="520"/>
      <c r="AM39" s="520" t="e">
        <f t="shared" si="23"/>
        <v>#N/A</v>
      </c>
      <c r="AN39" s="658"/>
      <c r="AO39" s="520"/>
      <c r="AP39" s="520"/>
      <c r="AQ39" s="520"/>
      <c r="AR39" s="520" t="e">
        <f t="shared" si="25"/>
        <v>#N/A</v>
      </c>
      <c r="AS39" s="658"/>
      <c r="AT39" s="520"/>
      <c r="AU39" s="520"/>
      <c r="AV39" s="520"/>
      <c r="AW39" s="520" t="e">
        <f t="shared" si="27"/>
        <v>#N/A</v>
      </c>
      <c r="AX39" s="658"/>
    </row>
    <row r="40" spans="2:50">
      <c r="B40" s="627"/>
      <c r="C40" s="330">
        <v>14</v>
      </c>
      <c r="D40" s="343"/>
      <c r="E40" s="343"/>
      <c r="F40" s="343"/>
      <c r="G40" s="183"/>
      <c r="H40" s="662"/>
      <c r="I40" s="203"/>
      <c r="J40" s="203"/>
      <c r="K40" s="203"/>
      <c r="L40" s="601"/>
      <c r="M40" s="202" t="e">
        <f>RANK(K40, K$27:$K$41)</f>
        <v>#N/A</v>
      </c>
      <c r="N40" s="619"/>
      <c r="O40" s="619"/>
      <c r="P40" s="376"/>
      <c r="Q40" s="376"/>
      <c r="R40" s="376"/>
      <c r="S40" s="330" t="e">
        <f t="shared" si="16"/>
        <v>#N/A</v>
      </c>
      <c r="T40" s="658"/>
      <c r="U40" s="520"/>
      <c r="V40" s="520"/>
      <c r="W40" s="520"/>
      <c r="X40" s="520" t="e">
        <f t="shared" si="17"/>
        <v>#N/A</v>
      </c>
      <c r="Y40" s="658"/>
      <c r="Z40" s="520"/>
      <c r="AA40" s="520"/>
      <c r="AB40" s="520"/>
      <c r="AC40" s="520" t="e">
        <f t="shared" si="19"/>
        <v>#N/A</v>
      </c>
      <c r="AD40" s="658"/>
      <c r="AE40" s="520"/>
      <c r="AF40" s="520"/>
      <c r="AG40" s="520"/>
      <c r="AH40" s="520" t="e">
        <f t="shared" si="21"/>
        <v>#N/A</v>
      </c>
      <c r="AI40" s="658"/>
      <c r="AJ40" s="520"/>
      <c r="AK40" s="520"/>
      <c r="AL40" s="520"/>
      <c r="AM40" s="520" t="e">
        <f t="shared" si="23"/>
        <v>#N/A</v>
      </c>
      <c r="AN40" s="658"/>
      <c r="AO40" s="520"/>
      <c r="AP40" s="520"/>
      <c r="AQ40" s="520"/>
      <c r="AR40" s="520" t="e">
        <f t="shared" si="25"/>
        <v>#N/A</v>
      </c>
      <c r="AS40" s="658"/>
      <c r="AT40" s="520"/>
      <c r="AU40" s="520"/>
      <c r="AV40" s="520"/>
      <c r="AW40" s="520" t="e">
        <f t="shared" si="27"/>
        <v>#N/A</v>
      </c>
      <c r="AX40" s="658"/>
    </row>
    <row r="41" spans="2:50">
      <c r="B41" s="627"/>
      <c r="C41" s="330">
        <v>15</v>
      </c>
      <c r="D41" s="343"/>
      <c r="E41" s="343"/>
      <c r="F41" s="343"/>
      <c r="G41" s="343"/>
      <c r="H41" s="663"/>
      <c r="I41" s="203"/>
      <c r="J41" s="203"/>
      <c r="K41" s="203"/>
      <c r="L41" s="602"/>
      <c r="M41" s="200" t="e">
        <f>RANK(K41, K$27:$K$41)</f>
        <v>#N/A</v>
      </c>
      <c r="N41" s="619"/>
      <c r="O41" s="619"/>
      <c r="P41" s="376"/>
      <c r="Q41" s="376"/>
      <c r="R41" s="376"/>
      <c r="S41" s="330" t="e">
        <f t="shared" si="16"/>
        <v>#N/A</v>
      </c>
      <c r="T41" s="658"/>
      <c r="U41" s="520"/>
      <c r="V41" s="520"/>
      <c r="W41" s="520"/>
      <c r="X41" s="520" t="e">
        <f t="shared" si="17"/>
        <v>#N/A</v>
      </c>
      <c r="Y41" s="658"/>
      <c r="Z41" s="520"/>
      <c r="AA41" s="520"/>
      <c r="AB41" s="520"/>
      <c r="AC41" s="520" t="e">
        <f t="shared" si="19"/>
        <v>#N/A</v>
      </c>
      <c r="AD41" s="658"/>
      <c r="AE41" s="520"/>
      <c r="AF41" s="520"/>
      <c r="AG41" s="520"/>
      <c r="AH41" s="520" t="e">
        <f t="shared" si="21"/>
        <v>#N/A</v>
      </c>
      <c r="AI41" s="658"/>
      <c r="AJ41" s="520"/>
      <c r="AK41" s="520"/>
      <c r="AL41" s="520"/>
      <c r="AM41" s="520" t="e">
        <f t="shared" si="23"/>
        <v>#N/A</v>
      </c>
      <c r="AN41" s="658"/>
      <c r="AO41" s="520"/>
      <c r="AP41" s="520"/>
      <c r="AQ41" s="520"/>
      <c r="AR41" s="520" t="e">
        <f t="shared" si="25"/>
        <v>#N/A</v>
      </c>
      <c r="AS41" s="658"/>
      <c r="AT41" s="520"/>
      <c r="AU41" s="520"/>
      <c r="AV41" s="520"/>
      <c r="AW41" s="520" t="e">
        <f t="shared" si="27"/>
        <v>#N/A</v>
      </c>
      <c r="AX41" s="658"/>
    </row>
    <row r="42" spans="2:50" ht="15.5">
      <c r="B42" s="644" t="s">
        <v>163</v>
      </c>
      <c r="C42" s="645"/>
      <c r="D42" s="645"/>
      <c r="E42" s="645"/>
      <c r="F42" s="645"/>
      <c r="G42" s="645"/>
      <c r="H42" s="645"/>
      <c r="I42" s="209"/>
      <c r="J42" s="204"/>
      <c r="K42" s="209"/>
      <c r="L42" s="209"/>
      <c r="M42" s="205"/>
      <c r="N42" s="620" t="s">
        <v>156</v>
      </c>
      <c r="O42" s="620" t="s">
        <v>105</v>
      </c>
      <c r="P42" s="626">
        <f>P22+7</f>
        <v>46000</v>
      </c>
      <c r="Q42" s="627"/>
      <c r="R42" s="627"/>
      <c r="S42" s="627"/>
      <c r="T42" s="627"/>
      <c r="U42" s="623">
        <f>P42+1</f>
        <v>46001</v>
      </c>
      <c r="V42" s="624"/>
      <c r="W42" s="624"/>
      <c r="X42" s="624"/>
      <c r="Y42" s="625"/>
      <c r="Z42" s="623">
        <f>U42+1</f>
        <v>46002</v>
      </c>
      <c r="AA42" s="624"/>
      <c r="AB42" s="624"/>
      <c r="AC42" s="624"/>
      <c r="AD42" s="625"/>
      <c r="AE42" s="623">
        <f>Z42+1</f>
        <v>46003</v>
      </c>
      <c r="AF42" s="624"/>
      <c r="AG42" s="624"/>
      <c r="AH42" s="624"/>
      <c r="AI42" s="625"/>
      <c r="AJ42" s="623">
        <f>AE42+1</f>
        <v>46004</v>
      </c>
      <c r="AK42" s="624"/>
      <c r="AL42" s="624"/>
      <c r="AM42" s="624"/>
      <c r="AN42" s="625"/>
      <c r="AO42" s="623">
        <f>AJ42+1</f>
        <v>46005</v>
      </c>
      <c r="AP42" s="624"/>
      <c r="AQ42" s="624"/>
      <c r="AR42" s="624"/>
      <c r="AS42" s="625"/>
      <c r="AT42" s="623">
        <f>AO42+1</f>
        <v>46006</v>
      </c>
      <c r="AU42" s="624"/>
      <c r="AV42" s="624"/>
      <c r="AW42" s="624"/>
      <c r="AX42" s="625"/>
    </row>
    <row r="43" spans="2:50" ht="15.5">
      <c r="B43" s="634"/>
      <c r="C43" s="634"/>
      <c r="D43" s="634"/>
      <c r="E43" s="634"/>
      <c r="F43" s="634"/>
      <c r="G43" s="634"/>
      <c r="H43" s="634"/>
      <c r="I43" s="206"/>
      <c r="J43" s="206"/>
      <c r="K43" s="206"/>
      <c r="L43" s="206"/>
      <c r="M43" s="207"/>
      <c r="N43" s="622"/>
      <c r="O43" s="622"/>
      <c r="P43" s="626" t="s">
        <v>336</v>
      </c>
      <c r="Q43" s="627"/>
      <c r="R43" s="627"/>
      <c r="S43" s="627"/>
      <c r="T43" s="627"/>
      <c r="U43" s="626" t="s">
        <v>337</v>
      </c>
      <c r="V43" s="627"/>
      <c r="W43" s="627"/>
      <c r="X43" s="627"/>
      <c r="Y43" s="627"/>
      <c r="Z43" s="626" t="s">
        <v>338</v>
      </c>
      <c r="AA43" s="627"/>
      <c r="AB43" s="627"/>
      <c r="AC43" s="627"/>
      <c r="AD43" s="627"/>
      <c r="AE43" s="626" t="s">
        <v>339</v>
      </c>
      <c r="AF43" s="627"/>
      <c r="AG43" s="627"/>
      <c r="AH43" s="627"/>
      <c r="AI43" s="627"/>
      <c r="AJ43" s="626" t="s">
        <v>340</v>
      </c>
      <c r="AK43" s="627"/>
      <c r="AL43" s="627"/>
      <c r="AM43" s="627"/>
      <c r="AN43" s="627"/>
      <c r="AO43" s="626" t="s">
        <v>341</v>
      </c>
      <c r="AP43" s="627"/>
      <c r="AQ43" s="627"/>
      <c r="AR43" s="627"/>
      <c r="AS43" s="627"/>
      <c r="AT43" s="626" t="s">
        <v>342</v>
      </c>
      <c r="AU43" s="627"/>
      <c r="AV43" s="627"/>
      <c r="AW43" s="627"/>
      <c r="AX43" s="627"/>
    </row>
    <row r="44" spans="2:50">
      <c r="B44" s="619" t="s">
        <v>667</v>
      </c>
      <c r="C44" s="619" t="s">
        <v>668</v>
      </c>
      <c r="D44" s="619"/>
      <c r="E44" s="619" t="s">
        <v>669</v>
      </c>
      <c r="F44" s="619"/>
      <c r="G44" s="619"/>
      <c r="H44" s="635" t="s">
        <v>670</v>
      </c>
      <c r="I44" s="603" t="s">
        <v>671</v>
      </c>
      <c r="J44" s="603"/>
      <c r="K44" s="603"/>
      <c r="L44" s="604" t="s">
        <v>670</v>
      </c>
      <c r="M44" s="610" t="s">
        <v>672</v>
      </c>
      <c r="N44" s="619"/>
      <c r="O44" s="619" t="s">
        <v>673</v>
      </c>
      <c r="P44" s="616" t="s">
        <v>674</v>
      </c>
      <c r="Q44" s="617"/>
      <c r="R44" s="617"/>
      <c r="S44" s="618"/>
      <c r="T44" s="619" t="s">
        <v>670</v>
      </c>
      <c r="U44" s="616" t="s">
        <v>674</v>
      </c>
      <c r="V44" s="617"/>
      <c r="W44" s="617"/>
      <c r="X44" s="618"/>
      <c r="Y44" s="619" t="s">
        <v>670</v>
      </c>
      <c r="Z44" s="616" t="s">
        <v>674</v>
      </c>
      <c r="AA44" s="617"/>
      <c r="AB44" s="617"/>
      <c r="AC44" s="618"/>
      <c r="AD44" s="619" t="s">
        <v>670</v>
      </c>
      <c r="AE44" s="616" t="s">
        <v>674</v>
      </c>
      <c r="AF44" s="617"/>
      <c r="AG44" s="617"/>
      <c r="AH44" s="618"/>
      <c r="AI44" s="619" t="s">
        <v>670</v>
      </c>
      <c r="AJ44" s="616" t="s">
        <v>674</v>
      </c>
      <c r="AK44" s="617"/>
      <c r="AL44" s="617"/>
      <c r="AM44" s="618"/>
      <c r="AN44" s="619" t="s">
        <v>670</v>
      </c>
      <c r="AO44" s="616" t="s">
        <v>674</v>
      </c>
      <c r="AP44" s="617"/>
      <c r="AQ44" s="617"/>
      <c r="AR44" s="618"/>
      <c r="AS44" s="619" t="s">
        <v>670</v>
      </c>
      <c r="AT44" s="616" t="s">
        <v>674</v>
      </c>
      <c r="AU44" s="617"/>
      <c r="AV44" s="617"/>
      <c r="AW44" s="618"/>
      <c r="AX44" s="619" t="s">
        <v>670</v>
      </c>
    </row>
    <row r="45" spans="2:50">
      <c r="B45" s="619"/>
      <c r="C45" s="619"/>
      <c r="D45" s="619"/>
      <c r="E45" s="619" t="s">
        <v>675</v>
      </c>
      <c r="F45" s="619"/>
      <c r="G45" s="619"/>
      <c r="H45" s="636"/>
      <c r="I45" s="603" t="s">
        <v>675</v>
      </c>
      <c r="J45" s="603"/>
      <c r="K45" s="603"/>
      <c r="L45" s="605"/>
      <c r="M45" s="611"/>
      <c r="N45" s="619"/>
      <c r="O45" s="619"/>
      <c r="P45" s="616" t="s">
        <v>676</v>
      </c>
      <c r="Q45" s="617"/>
      <c r="R45" s="617"/>
      <c r="S45" s="618"/>
      <c r="T45" s="619"/>
      <c r="U45" s="616" t="s">
        <v>676</v>
      </c>
      <c r="V45" s="617"/>
      <c r="W45" s="617"/>
      <c r="X45" s="618"/>
      <c r="Y45" s="619"/>
      <c r="Z45" s="616" t="s">
        <v>676</v>
      </c>
      <c r="AA45" s="617"/>
      <c r="AB45" s="617"/>
      <c r="AC45" s="618"/>
      <c r="AD45" s="619"/>
      <c r="AE45" s="616" t="s">
        <v>676</v>
      </c>
      <c r="AF45" s="617"/>
      <c r="AG45" s="617"/>
      <c r="AH45" s="618"/>
      <c r="AI45" s="619"/>
      <c r="AJ45" s="616" t="s">
        <v>676</v>
      </c>
      <c r="AK45" s="617"/>
      <c r="AL45" s="617"/>
      <c r="AM45" s="618"/>
      <c r="AN45" s="619"/>
      <c r="AO45" s="616" t="s">
        <v>676</v>
      </c>
      <c r="AP45" s="617"/>
      <c r="AQ45" s="617"/>
      <c r="AR45" s="618"/>
      <c r="AS45" s="619"/>
      <c r="AT45" s="616" t="s">
        <v>676</v>
      </c>
      <c r="AU45" s="617"/>
      <c r="AV45" s="617"/>
      <c r="AW45" s="618"/>
      <c r="AX45" s="619"/>
    </row>
    <row r="46" spans="2:50">
      <c r="B46" s="619"/>
      <c r="C46" s="619"/>
      <c r="D46" s="619"/>
      <c r="E46" s="344" t="s">
        <v>677</v>
      </c>
      <c r="F46" s="344" t="s">
        <v>678</v>
      </c>
      <c r="G46" s="344" t="s">
        <v>679</v>
      </c>
      <c r="H46" s="637"/>
      <c r="I46" s="345" t="s">
        <v>677</v>
      </c>
      <c r="J46" s="345" t="s">
        <v>678</v>
      </c>
      <c r="K46" s="345" t="s">
        <v>679</v>
      </c>
      <c r="L46" s="606"/>
      <c r="M46" s="612"/>
      <c r="N46" s="619"/>
      <c r="O46" s="619"/>
      <c r="P46" s="344" t="s">
        <v>677</v>
      </c>
      <c r="Q46" s="344" t="s">
        <v>678</v>
      </c>
      <c r="R46" s="344" t="s">
        <v>679</v>
      </c>
      <c r="S46" s="344" t="s">
        <v>672</v>
      </c>
      <c r="T46" s="619"/>
      <c r="U46" s="344" t="s">
        <v>677</v>
      </c>
      <c r="V46" s="344" t="s">
        <v>678</v>
      </c>
      <c r="W46" s="344" t="s">
        <v>679</v>
      </c>
      <c r="X46" s="344" t="s">
        <v>672</v>
      </c>
      <c r="Y46" s="619"/>
      <c r="Z46" s="344" t="s">
        <v>677</v>
      </c>
      <c r="AA46" s="344" t="s">
        <v>678</v>
      </c>
      <c r="AB46" s="344" t="s">
        <v>679</v>
      </c>
      <c r="AC46" s="344" t="s">
        <v>672</v>
      </c>
      <c r="AD46" s="619"/>
      <c r="AE46" s="344" t="s">
        <v>677</v>
      </c>
      <c r="AF46" s="344" t="s">
        <v>678</v>
      </c>
      <c r="AG46" s="344" t="s">
        <v>679</v>
      </c>
      <c r="AH46" s="344" t="s">
        <v>672</v>
      </c>
      <c r="AI46" s="619"/>
      <c r="AJ46" s="344" t="s">
        <v>677</v>
      </c>
      <c r="AK46" s="344" t="s">
        <v>678</v>
      </c>
      <c r="AL46" s="344" t="s">
        <v>679</v>
      </c>
      <c r="AM46" s="344" t="s">
        <v>672</v>
      </c>
      <c r="AN46" s="619"/>
      <c r="AO46" s="344" t="s">
        <v>677</v>
      </c>
      <c r="AP46" s="344" t="s">
        <v>678</v>
      </c>
      <c r="AQ46" s="344" t="s">
        <v>679</v>
      </c>
      <c r="AR46" s="344" t="s">
        <v>672</v>
      </c>
      <c r="AS46" s="619"/>
      <c r="AT46" s="344" t="s">
        <v>677</v>
      </c>
      <c r="AU46" s="344" t="s">
        <v>678</v>
      </c>
      <c r="AV46" s="344" t="s">
        <v>679</v>
      </c>
      <c r="AW46" s="344" t="s">
        <v>672</v>
      </c>
      <c r="AX46" s="619"/>
    </row>
    <row r="47" spans="2:50">
      <c r="B47" s="660" t="s">
        <v>680</v>
      </c>
      <c r="C47" s="343">
        <v>1</v>
      </c>
      <c r="D47" s="470" t="s">
        <v>373</v>
      </c>
      <c r="E47" s="470">
        <v>10</v>
      </c>
      <c r="F47" s="470">
        <v>1500</v>
      </c>
      <c r="G47" s="183">
        <v>150</v>
      </c>
      <c r="H47" s="661">
        <f>AVERAGE(G47:G61)</f>
        <v>195.71428571428572</v>
      </c>
      <c r="I47" s="200">
        <f>AVERAGE(P47,U47,Z47,AE47,AJ47,AO47,AT47)</f>
        <v>10</v>
      </c>
      <c r="J47" s="200">
        <f>AVERAGE(Q47,V47,AA47,AF47,AK47,AP47,AU47)</f>
        <v>1382.828571428571</v>
      </c>
      <c r="K47" s="201">
        <f>AVERAGE(R47,W47,AB47,AG47,AL47,AQ47,AV47)</f>
        <v>138.2828571428571</v>
      </c>
      <c r="L47" s="600">
        <f>IFERROR(AVERAGE(K47:K61),"-")</f>
        <v>197.06572036461128</v>
      </c>
      <c r="M47" s="202">
        <f>RANK(K47, K$47:$K$61)</f>
        <v>6</v>
      </c>
      <c r="N47" s="619"/>
      <c r="O47" s="619"/>
      <c r="P47" s="183">
        <v>10</v>
      </c>
      <c r="Q47" s="183">
        <v>1442.4000000000051</v>
      </c>
      <c r="R47" s="471">
        <v>144.24000000000052</v>
      </c>
      <c r="S47" s="343">
        <f>RANK(R47, R$47:R$61)</f>
        <v>6</v>
      </c>
      <c r="T47" s="658">
        <f>AVERAGE(R47:R61)</f>
        <v>200.06690237298946</v>
      </c>
      <c r="U47" s="183">
        <v>10</v>
      </c>
      <c r="V47" s="183">
        <v>1502.3999999999958</v>
      </c>
      <c r="W47" s="533">
        <v>150.23999999999958</v>
      </c>
      <c r="X47" s="520">
        <f t="shared" ref="X47:X61" si="35">RANK(W47, W$47:W$61)</f>
        <v>4</v>
      </c>
      <c r="Y47" s="658">
        <f t="shared" ref="Y47" si="36">AVERAGE(W47:W61)</f>
        <v>193.45451143451143</v>
      </c>
      <c r="Z47" s="183">
        <v>10</v>
      </c>
      <c r="AA47" s="183">
        <v>1413.6000000000004</v>
      </c>
      <c r="AB47" s="533">
        <v>141.36000000000004</v>
      </c>
      <c r="AC47" s="520">
        <f t="shared" ref="AC47:AC61" si="37">RANK(AB47, AB$47:AB$61)</f>
        <v>5</v>
      </c>
      <c r="AD47" s="658">
        <f t="shared" ref="AD47" si="38">AVERAGE(AB47:AB61)</f>
        <v>193.59641229141226</v>
      </c>
      <c r="AE47" s="183">
        <v>10</v>
      </c>
      <c r="AF47" s="183">
        <v>1343.9999999999995</v>
      </c>
      <c r="AG47" s="533">
        <v>134.39999999999995</v>
      </c>
      <c r="AH47" s="520">
        <f t="shared" ref="AH47:AH61" si="39">RANK(AG47, AG$47:AG$61)</f>
        <v>6</v>
      </c>
      <c r="AI47" s="658">
        <f t="shared" ref="AI47" si="40">AVERAGE(AG47:AG61)</f>
        <v>192.90481859410426</v>
      </c>
      <c r="AJ47" s="183">
        <v>10</v>
      </c>
      <c r="AK47" s="183">
        <v>1274.9999999999943</v>
      </c>
      <c r="AL47" s="533">
        <v>127.49999999999943</v>
      </c>
      <c r="AM47" s="520">
        <f t="shared" ref="AM47:AM61" si="41">RANK(AL47, AL$47:AL$61)</f>
        <v>6</v>
      </c>
      <c r="AN47" s="658">
        <f t="shared" ref="AN47" si="42">AVERAGE(AL47:AL61)</f>
        <v>202.81020408163275</v>
      </c>
      <c r="AO47" s="183">
        <v>10</v>
      </c>
      <c r="AP47" s="183">
        <v>1260.0000000000014</v>
      </c>
      <c r="AQ47" s="533">
        <v>126.00000000000014</v>
      </c>
      <c r="AR47" s="520">
        <f t="shared" ref="AR47:AR61" si="43">RANK(AQ47, AQ$47:AQ$61)</f>
        <v>5</v>
      </c>
      <c r="AS47" s="658">
        <f t="shared" ref="AS47" si="44">AVERAGE(AQ47:AQ61)</f>
        <v>181.54159159159167</v>
      </c>
      <c r="AT47" s="183">
        <v>10</v>
      </c>
      <c r="AU47" s="183">
        <v>1442.4000000000003</v>
      </c>
      <c r="AV47" s="533">
        <v>144.24000000000004</v>
      </c>
      <c r="AW47" s="520">
        <f t="shared" ref="AW47:AW61" si="45">RANK(AV47, AV$47:AV$61)</f>
        <v>5</v>
      </c>
      <c r="AX47" s="658">
        <f t="shared" ref="AX47" si="46">AVERAGE(AV47:AV61)</f>
        <v>185.00636636636645</v>
      </c>
    </row>
    <row r="48" spans="2:50">
      <c r="B48" s="627"/>
      <c r="C48" s="343">
        <v>2</v>
      </c>
      <c r="D48" s="470" t="s">
        <v>374</v>
      </c>
      <c r="E48" s="470">
        <v>15</v>
      </c>
      <c r="F48" s="470">
        <v>1800</v>
      </c>
      <c r="G48" s="183">
        <v>120</v>
      </c>
      <c r="H48" s="662"/>
      <c r="I48" s="200">
        <f t="shared" ref="I48:I53" si="47">AVERAGE(P48,U48,Z48,AE48,AJ48,AO48,AT48)</f>
        <v>12</v>
      </c>
      <c r="J48" s="200">
        <f t="shared" ref="J48:J53" si="48">AVERAGE(Q48,V48,AA48,AF48,AK48,AP48,AU48)</f>
        <v>1734.7639455782321</v>
      </c>
      <c r="K48" s="201">
        <f t="shared" ref="K48:K53" si="49">AVERAGE(R48,W48,AB48,AG48,AL48,AQ48,AV48)</f>
        <v>144.56366213151935</v>
      </c>
      <c r="L48" s="601"/>
      <c r="M48" s="202">
        <f>RANK(K48, K$47:$K$61)</f>
        <v>5</v>
      </c>
      <c r="N48" s="619"/>
      <c r="O48" s="619"/>
      <c r="P48" s="470">
        <v>12</v>
      </c>
      <c r="Q48" s="183">
        <v>1837.3333333333335</v>
      </c>
      <c r="R48" s="471">
        <v>153.11111111111111</v>
      </c>
      <c r="S48" s="343">
        <f t="shared" ref="S48:S61" si="50">RANK(R48, R$47:R$61)</f>
        <v>4</v>
      </c>
      <c r="T48" s="658"/>
      <c r="U48" s="532">
        <v>12</v>
      </c>
      <c r="V48" s="183">
        <v>1708.8000000000034</v>
      </c>
      <c r="W48" s="533">
        <v>142.40000000000029</v>
      </c>
      <c r="X48" s="520">
        <f t="shared" si="35"/>
        <v>6</v>
      </c>
      <c r="Y48" s="658"/>
      <c r="Z48" s="532">
        <v>12</v>
      </c>
      <c r="AA48" s="183">
        <v>1446.9999999999993</v>
      </c>
      <c r="AB48" s="533">
        <v>120.58333333333327</v>
      </c>
      <c r="AC48" s="520">
        <f t="shared" si="37"/>
        <v>6</v>
      </c>
      <c r="AD48" s="658"/>
      <c r="AE48" s="532">
        <v>12</v>
      </c>
      <c r="AF48" s="183">
        <v>1714.5000000000027</v>
      </c>
      <c r="AG48" s="533">
        <v>142.87500000000023</v>
      </c>
      <c r="AH48" s="520">
        <f t="shared" si="39"/>
        <v>5</v>
      </c>
      <c r="AI48" s="658"/>
      <c r="AJ48" s="532">
        <v>12</v>
      </c>
      <c r="AK48" s="183">
        <v>1837.7142857142878</v>
      </c>
      <c r="AL48" s="533">
        <v>153.14285714285731</v>
      </c>
      <c r="AM48" s="520">
        <f t="shared" si="41"/>
        <v>4</v>
      </c>
      <c r="AN48" s="658"/>
      <c r="AO48" s="532">
        <v>12</v>
      </c>
      <c r="AP48" s="183">
        <v>1769.9999999999977</v>
      </c>
      <c r="AQ48" s="533">
        <v>147.4999999999998</v>
      </c>
      <c r="AR48" s="520">
        <f t="shared" si="43"/>
        <v>3</v>
      </c>
      <c r="AS48" s="658"/>
      <c r="AT48" s="532">
        <v>12</v>
      </c>
      <c r="AU48" s="183">
        <v>1828</v>
      </c>
      <c r="AV48" s="533">
        <v>152.33333333333334</v>
      </c>
      <c r="AW48" s="520">
        <f t="shared" si="45"/>
        <v>4</v>
      </c>
      <c r="AX48" s="658"/>
    </row>
    <row r="49" spans="2:50">
      <c r="B49" s="627"/>
      <c r="C49" s="343">
        <v>3</v>
      </c>
      <c r="D49" s="470" t="s">
        <v>375</v>
      </c>
      <c r="E49" s="470">
        <v>15</v>
      </c>
      <c r="F49" s="470">
        <v>1800</v>
      </c>
      <c r="G49" s="183">
        <v>120</v>
      </c>
      <c r="H49" s="662"/>
      <c r="I49" s="200">
        <f t="shared" si="47"/>
        <v>12</v>
      </c>
      <c r="J49" s="200">
        <f t="shared" si="48"/>
        <v>1765.3442176870744</v>
      </c>
      <c r="K49" s="201">
        <f t="shared" si="49"/>
        <v>147.11201814058953</v>
      </c>
      <c r="L49" s="601"/>
      <c r="M49" s="202">
        <f>RANK(K49, K$47:$K$61)</f>
        <v>4</v>
      </c>
      <c r="N49" s="619"/>
      <c r="O49" s="619"/>
      <c r="P49" s="470">
        <v>12</v>
      </c>
      <c r="Q49" s="183">
        <v>1830.6666666666667</v>
      </c>
      <c r="R49" s="471">
        <v>152.55555555555557</v>
      </c>
      <c r="S49" s="343">
        <f t="shared" si="50"/>
        <v>5</v>
      </c>
      <c r="T49" s="658"/>
      <c r="U49" s="532">
        <v>12</v>
      </c>
      <c r="V49" s="183">
        <v>1709.999999999995</v>
      </c>
      <c r="W49" s="533">
        <v>142.49999999999957</v>
      </c>
      <c r="X49" s="520">
        <f t="shared" si="35"/>
        <v>5</v>
      </c>
      <c r="Y49" s="658"/>
      <c r="Z49" s="532">
        <v>12</v>
      </c>
      <c r="AA49" s="183">
        <v>1747.2000000000005</v>
      </c>
      <c r="AB49" s="533">
        <v>145.60000000000005</v>
      </c>
      <c r="AC49" s="520">
        <f t="shared" si="37"/>
        <v>4</v>
      </c>
      <c r="AD49" s="658"/>
      <c r="AE49" s="532">
        <v>12</v>
      </c>
      <c r="AF49" s="183">
        <v>1722.0000000000027</v>
      </c>
      <c r="AG49" s="533">
        <v>143.50000000000023</v>
      </c>
      <c r="AH49" s="520">
        <f t="shared" si="39"/>
        <v>4</v>
      </c>
      <c r="AI49" s="658"/>
      <c r="AJ49" s="532">
        <v>12</v>
      </c>
      <c r="AK49" s="183">
        <v>1769.1428571428553</v>
      </c>
      <c r="AL49" s="533">
        <v>147.42857142857127</v>
      </c>
      <c r="AM49" s="520">
        <f t="shared" si="41"/>
        <v>5</v>
      </c>
      <c r="AN49" s="658"/>
      <c r="AO49" s="532">
        <v>12</v>
      </c>
      <c r="AP49" s="183">
        <v>1742.4000000000005</v>
      </c>
      <c r="AQ49" s="533">
        <v>145.20000000000005</v>
      </c>
      <c r="AR49" s="520">
        <f t="shared" si="43"/>
        <v>4</v>
      </c>
      <c r="AS49" s="658"/>
      <c r="AT49" s="532">
        <v>12</v>
      </c>
      <c r="AU49" s="183">
        <v>1836</v>
      </c>
      <c r="AV49" s="533">
        <v>153</v>
      </c>
      <c r="AW49" s="520">
        <f t="shared" si="45"/>
        <v>3</v>
      </c>
      <c r="AX49" s="658"/>
    </row>
    <row r="50" spans="2:50">
      <c r="B50" s="627"/>
      <c r="C50" s="343">
        <v>4</v>
      </c>
      <c r="D50" s="470" t="s">
        <v>825</v>
      </c>
      <c r="E50" s="470">
        <v>5</v>
      </c>
      <c r="F50" s="470">
        <v>1500</v>
      </c>
      <c r="G50" s="183">
        <v>300</v>
      </c>
      <c r="H50" s="662"/>
      <c r="I50" s="200">
        <f t="shared" si="47"/>
        <v>6</v>
      </c>
      <c r="J50" s="200">
        <f t="shared" si="48"/>
        <v>1505.1519274376424</v>
      </c>
      <c r="K50" s="201">
        <f t="shared" si="49"/>
        <v>250.85865457294037</v>
      </c>
      <c r="L50" s="601"/>
      <c r="M50" s="202">
        <f>RANK(K50, K$47:$K$61)</f>
        <v>3</v>
      </c>
      <c r="N50" s="619"/>
      <c r="O50" s="619"/>
      <c r="P50" s="470">
        <v>6</v>
      </c>
      <c r="Q50" s="183">
        <v>1360.0000000000014</v>
      </c>
      <c r="R50" s="471">
        <v>226.66666666666688</v>
      </c>
      <c r="S50" s="343">
        <f t="shared" si="50"/>
        <v>3</v>
      </c>
      <c r="T50" s="658"/>
      <c r="U50" s="532">
        <v>6</v>
      </c>
      <c r="V50" s="183">
        <v>1482.0000000000014</v>
      </c>
      <c r="W50" s="533">
        <v>247.00000000000023</v>
      </c>
      <c r="X50" s="520">
        <f t="shared" si="35"/>
        <v>3</v>
      </c>
      <c r="Y50" s="658"/>
      <c r="Z50" s="532">
        <v>6</v>
      </c>
      <c r="AA50" s="183">
        <v>1557.7777777777785</v>
      </c>
      <c r="AB50" s="533">
        <v>259.62962962962973</v>
      </c>
      <c r="AC50" s="520">
        <f t="shared" si="37"/>
        <v>3</v>
      </c>
      <c r="AD50" s="658"/>
      <c r="AE50" s="532">
        <v>6</v>
      </c>
      <c r="AF50" s="183">
        <v>1574.2857142857138</v>
      </c>
      <c r="AG50" s="533">
        <v>262.38095238095229</v>
      </c>
      <c r="AH50" s="520">
        <f t="shared" si="39"/>
        <v>3</v>
      </c>
      <c r="AI50" s="658"/>
      <c r="AJ50" s="532">
        <v>6</v>
      </c>
      <c r="AK50" s="183">
        <v>1487.9999999999993</v>
      </c>
      <c r="AL50" s="533">
        <v>247.99999999999989</v>
      </c>
      <c r="AM50" s="520">
        <f t="shared" si="41"/>
        <v>3</v>
      </c>
      <c r="AN50" s="658"/>
      <c r="AO50" s="532">
        <v>6</v>
      </c>
      <c r="AP50" s="183">
        <v>1574.0000000000016</v>
      </c>
      <c r="AQ50" s="533">
        <v>262.3333333333336</v>
      </c>
      <c r="AR50" s="520">
        <f t="shared" si="43"/>
        <v>2</v>
      </c>
      <c r="AS50" s="658"/>
      <c r="AT50" s="532">
        <v>6</v>
      </c>
      <c r="AU50" s="183">
        <v>1500.0000000000016</v>
      </c>
      <c r="AV50" s="533">
        <v>250.00000000000026</v>
      </c>
      <c r="AW50" s="520">
        <f t="shared" si="45"/>
        <v>2</v>
      </c>
      <c r="AX50" s="658"/>
    </row>
    <row r="51" spans="2:50">
      <c r="B51" s="627"/>
      <c r="C51" s="343">
        <v>5</v>
      </c>
      <c r="D51" s="470" t="s">
        <v>746</v>
      </c>
      <c r="E51" s="470">
        <v>5</v>
      </c>
      <c r="F51" s="470">
        <v>1500</v>
      </c>
      <c r="G51" s="183">
        <v>300</v>
      </c>
      <c r="H51" s="662"/>
      <c r="I51" s="200">
        <f t="shared" si="47"/>
        <v>5</v>
      </c>
      <c r="J51" s="200">
        <f t="shared" si="48"/>
        <v>1569.1390497640502</v>
      </c>
      <c r="K51" s="201">
        <f t="shared" si="49"/>
        <v>313.82780995281001</v>
      </c>
      <c r="L51" s="601"/>
      <c r="M51" s="202">
        <f>RANK(K51, K$47:$K$61)</f>
        <v>1</v>
      </c>
      <c r="N51" s="619"/>
      <c r="O51" s="619"/>
      <c r="P51" s="470">
        <v>5</v>
      </c>
      <c r="Q51" s="183">
        <v>1604.9999999999995</v>
      </c>
      <c r="R51" s="471">
        <v>320.99999999999989</v>
      </c>
      <c r="S51" s="343">
        <f t="shared" si="50"/>
        <v>1</v>
      </c>
      <c r="T51" s="658"/>
      <c r="U51" s="532">
        <v>5</v>
      </c>
      <c r="V51" s="183">
        <v>1474.0540540540546</v>
      </c>
      <c r="W51" s="533">
        <v>294.81081081081095</v>
      </c>
      <c r="X51" s="520">
        <f t="shared" si="35"/>
        <v>1</v>
      </c>
      <c r="Y51" s="658"/>
      <c r="Z51" s="532">
        <v>5</v>
      </c>
      <c r="AA51" s="183">
        <v>1550.624999999998</v>
      </c>
      <c r="AB51" s="533">
        <v>310.1249999999996</v>
      </c>
      <c r="AC51" s="520">
        <f t="shared" si="37"/>
        <v>1</v>
      </c>
      <c r="AD51" s="658"/>
      <c r="AE51" s="532">
        <v>5</v>
      </c>
      <c r="AF51" s="183">
        <v>1508.8888888888898</v>
      </c>
      <c r="AG51" s="533">
        <v>301.77777777777794</v>
      </c>
      <c r="AH51" s="520">
        <f t="shared" si="39"/>
        <v>1</v>
      </c>
      <c r="AI51" s="658"/>
      <c r="AJ51" s="532">
        <v>5</v>
      </c>
      <c r="AK51" s="183">
        <v>1860.000000000003</v>
      </c>
      <c r="AL51" s="533">
        <v>372.00000000000057</v>
      </c>
      <c r="AM51" s="520">
        <f t="shared" si="41"/>
        <v>1</v>
      </c>
      <c r="AN51" s="658"/>
      <c r="AO51" s="532">
        <v>5</v>
      </c>
      <c r="AP51" s="183">
        <v>1521.0810810810817</v>
      </c>
      <c r="AQ51" s="533">
        <v>304.21621621621637</v>
      </c>
      <c r="AR51" s="520">
        <f t="shared" si="43"/>
        <v>1</v>
      </c>
      <c r="AS51" s="658"/>
      <c r="AT51" s="532">
        <v>5</v>
      </c>
      <c r="AU51" s="183">
        <v>1464.3243243243248</v>
      </c>
      <c r="AV51" s="533">
        <v>292.86486486486496</v>
      </c>
      <c r="AW51" s="520">
        <f t="shared" si="45"/>
        <v>1</v>
      </c>
      <c r="AX51" s="658"/>
    </row>
    <row r="52" spans="2:50">
      <c r="B52" s="627"/>
      <c r="C52" s="343">
        <v>6</v>
      </c>
      <c r="D52" s="470" t="s">
        <v>694</v>
      </c>
      <c r="E52" s="470">
        <v>5</v>
      </c>
      <c r="F52" s="470">
        <v>1500</v>
      </c>
      <c r="G52" s="183">
        <v>300</v>
      </c>
      <c r="H52" s="662"/>
      <c r="I52" s="200">
        <f t="shared" si="47"/>
        <v>5</v>
      </c>
      <c r="J52" s="200">
        <f t="shared" si="48"/>
        <v>1442.7565217391304</v>
      </c>
      <c r="K52" s="201">
        <f t="shared" si="49"/>
        <v>288.55130434782615</v>
      </c>
      <c r="L52" s="601"/>
      <c r="M52" s="202">
        <f>RANK(K52, K$47:$K$61)</f>
        <v>2</v>
      </c>
      <c r="N52" s="619"/>
      <c r="O52" s="619"/>
      <c r="P52" s="470">
        <v>5</v>
      </c>
      <c r="Q52" s="183">
        <v>1554.7826086956522</v>
      </c>
      <c r="R52" s="471">
        <v>310.95652173913044</v>
      </c>
      <c r="S52" s="343">
        <f t="shared" si="50"/>
        <v>2</v>
      </c>
      <c r="T52" s="658"/>
      <c r="U52" s="532">
        <v>5</v>
      </c>
      <c r="V52" s="183">
        <v>1470.0000000000011</v>
      </c>
      <c r="W52" s="533">
        <v>294.00000000000023</v>
      </c>
      <c r="X52" s="520">
        <f t="shared" si="35"/>
        <v>2</v>
      </c>
      <c r="Y52" s="658"/>
      <c r="Z52" s="532">
        <v>5</v>
      </c>
      <c r="AA52" s="183">
        <v>1450.0000000000005</v>
      </c>
      <c r="AB52" s="533">
        <v>290.00000000000011</v>
      </c>
      <c r="AC52" s="520">
        <f t="shared" si="37"/>
        <v>2</v>
      </c>
      <c r="AD52" s="658"/>
      <c r="AE52" s="532">
        <v>5</v>
      </c>
      <c r="AF52" s="183">
        <v>1436.9999999999964</v>
      </c>
      <c r="AG52" s="533">
        <v>287.3999999999993</v>
      </c>
      <c r="AH52" s="520">
        <f t="shared" si="39"/>
        <v>2</v>
      </c>
      <c r="AI52" s="658"/>
      <c r="AJ52" s="532">
        <v>5</v>
      </c>
      <c r="AK52" s="183">
        <v>1302.000000000002</v>
      </c>
      <c r="AL52" s="533">
        <v>260.40000000000043</v>
      </c>
      <c r="AM52" s="520">
        <f t="shared" si="41"/>
        <v>2</v>
      </c>
      <c r="AN52" s="658"/>
      <c r="AO52" s="532"/>
      <c r="AP52" s="183"/>
      <c r="AQ52" s="533"/>
      <c r="AR52" s="520" t="e">
        <f t="shared" si="43"/>
        <v>#N/A</v>
      </c>
      <c r="AS52" s="658"/>
      <c r="AT52" s="532"/>
      <c r="AU52" s="183"/>
      <c r="AV52" s="533"/>
      <c r="AW52" s="520" t="e">
        <f t="shared" si="45"/>
        <v>#N/A</v>
      </c>
      <c r="AX52" s="658"/>
    </row>
    <row r="53" spans="2:50">
      <c r="B53" s="627"/>
      <c r="C53" s="343">
        <v>7</v>
      </c>
      <c r="D53" s="470" t="s">
        <v>829</v>
      </c>
      <c r="E53" s="470">
        <v>15</v>
      </c>
      <c r="F53" s="470">
        <v>1200</v>
      </c>
      <c r="G53" s="183">
        <v>80</v>
      </c>
      <c r="H53" s="662"/>
      <c r="I53" s="200">
        <f t="shared" si="47"/>
        <v>11.714285714285714</v>
      </c>
      <c r="J53" s="200">
        <f t="shared" si="48"/>
        <v>1108.800000000002</v>
      </c>
      <c r="K53" s="201">
        <f t="shared" si="49"/>
        <v>96.263736263736433</v>
      </c>
      <c r="L53" s="601"/>
      <c r="M53" s="202">
        <f>RANK(K53, K$47:$K$61)</f>
        <v>7</v>
      </c>
      <c r="N53" s="619"/>
      <c r="O53" s="619"/>
      <c r="P53" s="470">
        <v>13</v>
      </c>
      <c r="Q53" s="183">
        <v>1195.2000000000041</v>
      </c>
      <c r="R53" s="471">
        <v>91.938461538461851</v>
      </c>
      <c r="S53" s="343">
        <f t="shared" si="50"/>
        <v>7</v>
      </c>
      <c r="T53" s="658"/>
      <c r="U53" s="532">
        <v>13</v>
      </c>
      <c r="V53" s="183">
        <v>1082.0000000000009</v>
      </c>
      <c r="W53" s="533">
        <v>83.230769230769297</v>
      </c>
      <c r="X53" s="520">
        <f t="shared" si="35"/>
        <v>7</v>
      </c>
      <c r="Y53" s="658"/>
      <c r="Z53" s="532">
        <v>13</v>
      </c>
      <c r="AA53" s="183">
        <v>1142.400000000004</v>
      </c>
      <c r="AB53" s="533">
        <v>87.876923076923376</v>
      </c>
      <c r="AC53" s="520">
        <f t="shared" si="37"/>
        <v>7</v>
      </c>
      <c r="AD53" s="658"/>
      <c r="AE53" s="532">
        <v>13</v>
      </c>
      <c r="AF53" s="183">
        <v>1013.9999999999997</v>
      </c>
      <c r="AG53" s="533">
        <v>77.999999999999972</v>
      </c>
      <c r="AH53" s="520">
        <f t="shared" si="39"/>
        <v>7</v>
      </c>
      <c r="AI53" s="658"/>
      <c r="AJ53" s="532">
        <v>10</v>
      </c>
      <c r="AK53" s="183">
        <v>1112.0000000000039</v>
      </c>
      <c r="AL53" s="533">
        <v>111.20000000000039</v>
      </c>
      <c r="AM53" s="520">
        <f t="shared" si="41"/>
        <v>7</v>
      </c>
      <c r="AN53" s="658"/>
      <c r="AO53" s="532">
        <v>10</v>
      </c>
      <c r="AP53" s="183">
        <v>1040.0000000000009</v>
      </c>
      <c r="AQ53" s="533">
        <v>104.00000000000009</v>
      </c>
      <c r="AR53" s="520">
        <f t="shared" si="43"/>
        <v>6</v>
      </c>
      <c r="AS53" s="658"/>
      <c r="AT53" s="532">
        <v>10</v>
      </c>
      <c r="AU53" s="183">
        <v>1176.0000000000002</v>
      </c>
      <c r="AV53" s="533">
        <v>117.60000000000002</v>
      </c>
      <c r="AW53" s="520">
        <f t="shared" si="45"/>
        <v>6</v>
      </c>
      <c r="AX53" s="658"/>
    </row>
    <row r="54" spans="2:50">
      <c r="B54" s="627"/>
      <c r="C54" s="343">
        <v>8</v>
      </c>
      <c r="D54" s="470"/>
      <c r="E54" s="470"/>
      <c r="F54" s="470"/>
      <c r="G54" s="183"/>
      <c r="H54" s="662"/>
      <c r="I54" s="493"/>
      <c r="J54" s="493"/>
      <c r="K54" s="201"/>
      <c r="L54" s="601"/>
      <c r="M54" s="202" t="e">
        <f>RANK(K54, K$47:$K$61)</f>
        <v>#N/A</v>
      </c>
      <c r="N54" s="619"/>
      <c r="O54" s="619"/>
      <c r="P54" s="470"/>
      <c r="Q54" s="183"/>
      <c r="R54" s="471"/>
      <c r="S54" s="343" t="e">
        <f t="shared" si="50"/>
        <v>#N/A</v>
      </c>
      <c r="T54" s="658"/>
      <c r="U54" s="520"/>
      <c r="V54" s="183"/>
      <c r="W54" s="521"/>
      <c r="X54" s="520" t="e">
        <f t="shared" si="35"/>
        <v>#N/A</v>
      </c>
      <c r="Y54" s="658"/>
      <c r="Z54" s="520"/>
      <c r="AA54" s="183"/>
      <c r="AB54" s="521"/>
      <c r="AC54" s="520" t="e">
        <f t="shared" si="37"/>
        <v>#N/A</v>
      </c>
      <c r="AD54" s="658"/>
      <c r="AE54" s="520"/>
      <c r="AF54" s="183"/>
      <c r="AG54" s="521"/>
      <c r="AH54" s="520" t="e">
        <f t="shared" si="39"/>
        <v>#N/A</v>
      </c>
      <c r="AI54" s="658"/>
      <c r="AJ54" s="520"/>
      <c r="AK54" s="183"/>
      <c r="AL54" s="521"/>
      <c r="AM54" s="520" t="e">
        <f t="shared" si="41"/>
        <v>#N/A</v>
      </c>
      <c r="AN54" s="658"/>
      <c r="AO54" s="520"/>
      <c r="AP54" s="183"/>
      <c r="AQ54" s="521"/>
      <c r="AR54" s="520" t="e">
        <f t="shared" si="43"/>
        <v>#N/A</v>
      </c>
      <c r="AS54" s="658"/>
      <c r="AT54" s="520"/>
      <c r="AU54" s="183"/>
      <c r="AV54" s="521"/>
      <c r="AW54" s="520" t="e">
        <f t="shared" si="45"/>
        <v>#N/A</v>
      </c>
      <c r="AX54" s="658"/>
    </row>
    <row r="55" spans="2:50">
      <c r="B55" s="627"/>
      <c r="C55" s="343">
        <v>9</v>
      </c>
      <c r="D55" s="470"/>
      <c r="E55" s="470"/>
      <c r="F55" s="470"/>
      <c r="G55" s="183"/>
      <c r="H55" s="662"/>
      <c r="I55" s="200"/>
      <c r="J55" s="200"/>
      <c r="K55" s="201"/>
      <c r="L55" s="601"/>
      <c r="M55" s="202" t="e">
        <f>RANK(K55, K$47:$K$61)</f>
        <v>#N/A</v>
      </c>
      <c r="N55" s="619"/>
      <c r="O55" s="619"/>
      <c r="P55" s="470"/>
      <c r="Q55" s="183"/>
      <c r="R55" s="471"/>
      <c r="S55" s="343" t="e">
        <f t="shared" si="50"/>
        <v>#N/A</v>
      </c>
      <c r="T55" s="658"/>
      <c r="U55" s="520"/>
      <c r="V55" s="183"/>
      <c r="W55" s="521"/>
      <c r="X55" s="520" t="e">
        <f t="shared" si="35"/>
        <v>#N/A</v>
      </c>
      <c r="Y55" s="658"/>
      <c r="Z55" s="520"/>
      <c r="AA55" s="183"/>
      <c r="AB55" s="521"/>
      <c r="AC55" s="520" t="e">
        <f t="shared" si="37"/>
        <v>#N/A</v>
      </c>
      <c r="AD55" s="658"/>
      <c r="AE55" s="520"/>
      <c r="AF55" s="183"/>
      <c r="AG55" s="521"/>
      <c r="AH55" s="520" t="e">
        <f t="shared" si="39"/>
        <v>#N/A</v>
      </c>
      <c r="AI55" s="658"/>
      <c r="AJ55" s="520"/>
      <c r="AK55" s="183"/>
      <c r="AL55" s="521"/>
      <c r="AM55" s="520" t="e">
        <f t="shared" si="41"/>
        <v>#N/A</v>
      </c>
      <c r="AN55" s="658"/>
      <c r="AO55" s="520"/>
      <c r="AP55" s="183"/>
      <c r="AQ55" s="521"/>
      <c r="AR55" s="520" t="e">
        <f t="shared" si="43"/>
        <v>#N/A</v>
      </c>
      <c r="AS55" s="658"/>
      <c r="AT55" s="520"/>
      <c r="AU55" s="183"/>
      <c r="AV55" s="521"/>
      <c r="AW55" s="520" t="e">
        <f t="shared" si="45"/>
        <v>#N/A</v>
      </c>
      <c r="AX55" s="658"/>
    </row>
    <row r="56" spans="2:50">
      <c r="B56" s="627"/>
      <c r="C56" s="343">
        <v>10</v>
      </c>
      <c r="D56" s="470"/>
      <c r="E56" s="470"/>
      <c r="F56" s="470"/>
      <c r="G56" s="183"/>
      <c r="H56" s="662"/>
      <c r="I56" s="200"/>
      <c r="J56" s="200"/>
      <c r="K56" s="201"/>
      <c r="L56" s="601"/>
      <c r="M56" s="202" t="e">
        <f>RANK(K56, K$47:$K$61)</f>
        <v>#N/A</v>
      </c>
      <c r="N56" s="619"/>
      <c r="O56" s="619"/>
      <c r="P56" s="470"/>
      <c r="Q56" s="183"/>
      <c r="R56" s="471"/>
      <c r="S56" s="343" t="e">
        <f t="shared" si="50"/>
        <v>#N/A</v>
      </c>
      <c r="T56" s="658"/>
      <c r="U56" s="520"/>
      <c r="V56" s="183"/>
      <c r="W56" s="521"/>
      <c r="X56" s="520" t="e">
        <f t="shared" si="35"/>
        <v>#N/A</v>
      </c>
      <c r="Y56" s="658"/>
      <c r="Z56" s="520"/>
      <c r="AA56" s="183"/>
      <c r="AB56" s="521"/>
      <c r="AC56" s="520" t="e">
        <f t="shared" si="37"/>
        <v>#N/A</v>
      </c>
      <c r="AD56" s="658"/>
      <c r="AE56" s="520"/>
      <c r="AF56" s="183"/>
      <c r="AG56" s="521"/>
      <c r="AH56" s="520" t="e">
        <f t="shared" si="39"/>
        <v>#N/A</v>
      </c>
      <c r="AI56" s="658"/>
      <c r="AJ56" s="520"/>
      <c r="AK56" s="183"/>
      <c r="AL56" s="521"/>
      <c r="AM56" s="520" t="e">
        <f t="shared" si="41"/>
        <v>#N/A</v>
      </c>
      <c r="AN56" s="658"/>
      <c r="AO56" s="520"/>
      <c r="AP56" s="183"/>
      <c r="AQ56" s="521"/>
      <c r="AR56" s="520" t="e">
        <f t="shared" si="43"/>
        <v>#N/A</v>
      </c>
      <c r="AS56" s="658"/>
      <c r="AT56" s="520"/>
      <c r="AU56" s="183"/>
      <c r="AV56" s="521"/>
      <c r="AW56" s="520" t="e">
        <f t="shared" si="45"/>
        <v>#N/A</v>
      </c>
      <c r="AX56" s="658"/>
    </row>
    <row r="57" spans="2:50">
      <c r="B57" s="627"/>
      <c r="C57" s="343">
        <v>11</v>
      </c>
      <c r="D57" s="470"/>
      <c r="E57" s="470"/>
      <c r="F57" s="470"/>
      <c r="G57" s="183"/>
      <c r="H57" s="662"/>
      <c r="I57" s="203"/>
      <c r="J57" s="203"/>
      <c r="K57" s="203"/>
      <c r="L57" s="601"/>
      <c r="M57" s="202" t="e">
        <f>RANK(K57, K$47:$K$61)</f>
        <v>#N/A</v>
      </c>
      <c r="N57" s="619"/>
      <c r="O57" s="619"/>
      <c r="P57" s="470"/>
      <c r="Q57" s="470"/>
      <c r="R57" s="470"/>
      <c r="S57" s="343" t="e">
        <f t="shared" si="50"/>
        <v>#N/A</v>
      </c>
      <c r="T57" s="658"/>
      <c r="U57" s="520"/>
      <c r="V57" s="520"/>
      <c r="W57" s="520"/>
      <c r="X57" s="520" t="e">
        <f t="shared" si="35"/>
        <v>#N/A</v>
      </c>
      <c r="Y57" s="658"/>
      <c r="Z57" s="520"/>
      <c r="AA57" s="520"/>
      <c r="AB57" s="520"/>
      <c r="AC57" s="520" t="e">
        <f t="shared" si="37"/>
        <v>#N/A</v>
      </c>
      <c r="AD57" s="658"/>
      <c r="AE57" s="520"/>
      <c r="AF57" s="520"/>
      <c r="AG57" s="520"/>
      <c r="AH57" s="520" t="e">
        <f t="shared" si="39"/>
        <v>#N/A</v>
      </c>
      <c r="AI57" s="658"/>
      <c r="AJ57" s="520"/>
      <c r="AK57" s="520"/>
      <c r="AL57" s="520"/>
      <c r="AM57" s="520" t="e">
        <f t="shared" si="41"/>
        <v>#N/A</v>
      </c>
      <c r="AN57" s="658"/>
      <c r="AO57" s="520"/>
      <c r="AP57" s="520"/>
      <c r="AQ57" s="520"/>
      <c r="AR57" s="520" t="e">
        <f t="shared" si="43"/>
        <v>#N/A</v>
      </c>
      <c r="AS57" s="658"/>
      <c r="AT57" s="520"/>
      <c r="AU57" s="520"/>
      <c r="AV57" s="520"/>
      <c r="AW57" s="520" t="e">
        <f t="shared" si="45"/>
        <v>#N/A</v>
      </c>
      <c r="AX57" s="658"/>
    </row>
    <row r="58" spans="2:50">
      <c r="B58" s="627"/>
      <c r="C58" s="343">
        <v>12</v>
      </c>
      <c r="D58" s="470"/>
      <c r="E58" s="470"/>
      <c r="F58" s="470"/>
      <c r="G58" s="183"/>
      <c r="H58" s="662"/>
      <c r="I58" s="203"/>
      <c r="J58" s="203"/>
      <c r="K58" s="203"/>
      <c r="L58" s="601"/>
      <c r="M58" s="202" t="e">
        <f>RANK(K58, K$47:$K$61)</f>
        <v>#N/A</v>
      </c>
      <c r="N58" s="619"/>
      <c r="O58" s="619"/>
      <c r="P58" s="470"/>
      <c r="Q58" s="470"/>
      <c r="R58" s="470"/>
      <c r="S58" s="343" t="e">
        <f t="shared" si="50"/>
        <v>#N/A</v>
      </c>
      <c r="T58" s="658"/>
      <c r="U58" s="520"/>
      <c r="V58" s="520"/>
      <c r="W58" s="520"/>
      <c r="X58" s="520" t="e">
        <f t="shared" si="35"/>
        <v>#N/A</v>
      </c>
      <c r="Y58" s="658"/>
      <c r="Z58" s="520"/>
      <c r="AA58" s="520"/>
      <c r="AB58" s="520"/>
      <c r="AC58" s="520" t="e">
        <f t="shared" si="37"/>
        <v>#N/A</v>
      </c>
      <c r="AD58" s="658"/>
      <c r="AE58" s="520"/>
      <c r="AF58" s="520"/>
      <c r="AG58" s="520"/>
      <c r="AH58" s="520" t="e">
        <f t="shared" si="39"/>
        <v>#N/A</v>
      </c>
      <c r="AI58" s="658"/>
      <c r="AJ58" s="520"/>
      <c r="AK58" s="520"/>
      <c r="AL58" s="520"/>
      <c r="AM58" s="520" t="e">
        <f t="shared" si="41"/>
        <v>#N/A</v>
      </c>
      <c r="AN58" s="658"/>
      <c r="AO58" s="520"/>
      <c r="AP58" s="520"/>
      <c r="AQ58" s="520"/>
      <c r="AR58" s="520" t="e">
        <f t="shared" si="43"/>
        <v>#N/A</v>
      </c>
      <c r="AS58" s="658"/>
      <c r="AT58" s="520"/>
      <c r="AU58" s="520"/>
      <c r="AV58" s="520"/>
      <c r="AW58" s="520" t="e">
        <f t="shared" si="45"/>
        <v>#N/A</v>
      </c>
      <c r="AX58" s="658"/>
    </row>
    <row r="59" spans="2:50">
      <c r="B59" s="627"/>
      <c r="C59" s="343">
        <v>13</v>
      </c>
      <c r="D59" s="470"/>
      <c r="E59" s="470"/>
      <c r="F59" s="470"/>
      <c r="G59" s="183"/>
      <c r="H59" s="662"/>
      <c r="I59" s="203"/>
      <c r="J59" s="203"/>
      <c r="K59" s="203"/>
      <c r="L59" s="601"/>
      <c r="M59" s="202" t="e">
        <f>RANK(K59, K$47:$K$61)</f>
        <v>#N/A</v>
      </c>
      <c r="N59" s="619"/>
      <c r="O59" s="619"/>
      <c r="P59" s="470"/>
      <c r="Q59" s="470"/>
      <c r="R59" s="470"/>
      <c r="S59" s="343" t="e">
        <f t="shared" si="50"/>
        <v>#N/A</v>
      </c>
      <c r="T59" s="658"/>
      <c r="U59" s="520"/>
      <c r="V59" s="520"/>
      <c r="W59" s="520"/>
      <c r="X59" s="520" t="e">
        <f t="shared" si="35"/>
        <v>#N/A</v>
      </c>
      <c r="Y59" s="658"/>
      <c r="Z59" s="520"/>
      <c r="AA59" s="520"/>
      <c r="AB59" s="520"/>
      <c r="AC59" s="520" t="e">
        <f t="shared" si="37"/>
        <v>#N/A</v>
      </c>
      <c r="AD59" s="658"/>
      <c r="AE59" s="520"/>
      <c r="AF59" s="520"/>
      <c r="AG59" s="520"/>
      <c r="AH59" s="520" t="e">
        <f t="shared" si="39"/>
        <v>#N/A</v>
      </c>
      <c r="AI59" s="658"/>
      <c r="AJ59" s="520"/>
      <c r="AK59" s="520"/>
      <c r="AL59" s="520"/>
      <c r="AM59" s="520" t="e">
        <f t="shared" si="41"/>
        <v>#N/A</v>
      </c>
      <c r="AN59" s="658"/>
      <c r="AO59" s="520"/>
      <c r="AP59" s="520"/>
      <c r="AQ59" s="520"/>
      <c r="AR59" s="520" t="e">
        <f t="shared" si="43"/>
        <v>#N/A</v>
      </c>
      <c r="AS59" s="658"/>
      <c r="AT59" s="520"/>
      <c r="AU59" s="520"/>
      <c r="AV59" s="520"/>
      <c r="AW59" s="520" t="e">
        <f t="shared" si="45"/>
        <v>#N/A</v>
      </c>
      <c r="AX59" s="658"/>
    </row>
    <row r="60" spans="2:50">
      <c r="B60" s="627"/>
      <c r="C60" s="343">
        <v>14</v>
      </c>
      <c r="D60" s="470"/>
      <c r="E60" s="470"/>
      <c r="F60" s="470"/>
      <c r="G60" s="183"/>
      <c r="H60" s="662"/>
      <c r="I60" s="203"/>
      <c r="J60" s="203"/>
      <c r="K60" s="203"/>
      <c r="L60" s="601"/>
      <c r="M60" s="202" t="e">
        <f>RANK(K60, K$47:$K$61)</f>
        <v>#N/A</v>
      </c>
      <c r="N60" s="619"/>
      <c r="O60" s="619"/>
      <c r="P60" s="470"/>
      <c r="Q60" s="470"/>
      <c r="R60" s="470"/>
      <c r="S60" s="343" t="e">
        <f t="shared" si="50"/>
        <v>#N/A</v>
      </c>
      <c r="T60" s="658"/>
      <c r="U60" s="520"/>
      <c r="V60" s="520"/>
      <c r="W60" s="520"/>
      <c r="X60" s="520" t="e">
        <f t="shared" si="35"/>
        <v>#N/A</v>
      </c>
      <c r="Y60" s="658"/>
      <c r="Z60" s="520"/>
      <c r="AA60" s="520"/>
      <c r="AB60" s="520"/>
      <c r="AC60" s="520" t="e">
        <f t="shared" si="37"/>
        <v>#N/A</v>
      </c>
      <c r="AD60" s="658"/>
      <c r="AE60" s="520"/>
      <c r="AF60" s="520"/>
      <c r="AG60" s="520"/>
      <c r="AH60" s="520" t="e">
        <f t="shared" si="39"/>
        <v>#N/A</v>
      </c>
      <c r="AI60" s="658"/>
      <c r="AJ60" s="520"/>
      <c r="AK60" s="520"/>
      <c r="AL60" s="520"/>
      <c r="AM60" s="520" t="e">
        <f t="shared" si="41"/>
        <v>#N/A</v>
      </c>
      <c r="AN60" s="658"/>
      <c r="AO60" s="520"/>
      <c r="AP60" s="520"/>
      <c r="AQ60" s="520"/>
      <c r="AR60" s="520" t="e">
        <f t="shared" si="43"/>
        <v>#N/A</v>
      </c>
      <c r="AS60" s="658"/>
      <c r="AT60" s="520"/>
      <c r="AU60" s="520"/>
      <c r="AV60" s="520"/>
      <c r="AW60" s="520" t="e">
        <f t="shared" si="45"/>
        <v>#N/A</v>
      </c>
      <c r="AX60" s="658"/>
    </row>
    <row r="61" spans="2:50">
      <c r="B61" s="627"/>
      <c r="C61" s="343">
        <v>15</v>
      </c>
      <c r="D61" s="470"/>
      <c r="E61" s="470"/>
      <c r="F61" s="470"/>
      <c r="G61" s="470"/>
      <c r="H61" s="663"/>
      <c r="I61" s="203"/>
      <c r="J61" s="203"/>
      <c r="K61" s="203"/>
      <c r="L61" s="602"/>
      <c r="M61" s="202" t="e">
        <f>RANK(K61, K$47:$K$61)</f>
        <v>#N/A</v>
      </c>
      <c r="N61" s="619"/>
      <c r="O61" s="619"/>
      <c r="P61" s="470"/>
      <c r="Q61" s="470"/>
      <c r="R61" s="470"/>
      <c r="S61" s="343" t="e">
        <f t="shared" si="50"/>
        <v>#N/A</v>
      </c>
      <c r="T61" s="658"/>
      <c r="U61" s="520"/>
      <c r="V61" s="520"/>
      <c r="W61" s="520"/>
      <c r="X61" s="520" t="e">
        <f t="shared" si="35"/>
        <v>#N/A</v>
      </c>
      <c r="Y61" s="658"/>
      <c r="Z61" s="520"/>
      <c r="AA61" s="520"/>
      <c r="AB61" s="520"/>
      <c r="AC61" s="520" t="e">
        <f t="shared" si="37"/>
        <v>#N/A</v>
      </c>
      <c r="AD61" s="658"/>
      <c r="AE61" s="520"/>
      <c r="AF61" s="520"/>
      <c r="AG61" s="520"/>
      <c r="AH61" s="520" t="e">
        <f t="shared" si="39"/>
        <v>#N/A</v>
      </c>
      <c r="AI61" s="658"/>
      <c r="AJ61" s="520"/>
      <c r="AK61" s="520"/>
      <c r="AL61" s="520"/>
      <c r="AM61" s="520" t="e">
        <f t="shared" si="41"/>
        <v>#N/A</v>
      </c>
      <c r="AN61" s="658"/>
      <c r="AO61" s="520"/>
      <c r="AP61" s="520"/>
      <c r="AQ61" s="520"/>
      <c r="AR61" s="520" t="e">
        <f t="shared" si="43"/>
        <v>#N/A</v>
      </c>
      <c r="AS61" s="658"/>
      <c r="AT61" s="520"/>
      <c r="AU61" s="520"/>
      <c r="AV61" s="520"/>
      <c r="AW61" s="520" t="e">
        <f t="shared" si="45"/>
        <v>#N/A</v>
      </c>
      <c r="AX61" s="658"/>
    </row>
    <row r="62" spans="2:50" ht="15.5">
      <c r="B62" s="631" t="s">
        <v>163</v>
      </c>
      <c r="C62" s="632"/>
      <c r="D62" s="632"/>
      <c r="E62" s="632"/>
      <c r="F62" s="632"/>
      <c r="G62" s="632"/>
      <c r="H62" s="633"/>
      <c r="I62" s="209"/>
      <c r="J62" s="209"/>
      <c r="K62" s="209"/>
      <c r="L62" s="209"/>
      <c r="M62" s="208"/>
      <c r="N62" s="620" t="s">
        <v>156</v>
      </c>
      <c r="O62" s="620" t="s">
        <v>105</v>
      </c>
      <c r="P62" s="626">
        <f>P42+7</f>
        <v>46007</v>
      </c>
      <c r="Q62" s="627"/>
      <c r="R62" s="627"/>
      <c r="S62" s="627"/>
      <c r="T62" s="627"/>
      <c r="U62" s="623">
        <f>P62+1</f>
        <v>46008</v>
      </c>
      <c r="V62" s="624"/>
      <c r="W62" s="624"/>
      <c r="X62" s="624"/>
      <c r="Y62" s="625"/>
      <c r="Z62" s="623">
        <f>U62+1</f>
        <v>46009</v>
      </c>
      <c r="AA62" s="624"/>
      <c r="AB62" s="624"/>
      <c r="AC62" s="624"/>
      <c r="AD62" s="625"/>
      <c r="AE62" s="623">
        <f>Z62+1</f>
        <v>46010</v>
      </c>
      <c r="AF62" s="624"/>
      <c r="AG62" s="624"/>
      <c r="AH62" s="624"/>
      <c r="AI62" s="625"/>
      <c r="AJ62" s="623">
        <f>AE62+1</f>
        <v>46011</v>
      </c>
      <c r="AK62" s="624"/>
      <c r="AL62" s="624"/>
      <c r="AM62" s="624"/>
      <c r="AN62" s="625"/>
      <c r="AO62" s="623">
        <f>AJ62+1</f>
        <v>46012</v>
      </c>
      <c r="AP62" s="624"/>
      <c r="AQ62" s="624"/>
      <c r="AR62" s="624"/>
      <c r="AS62" s="625"/>
      <c r="AT62" s="623">
        <f>AO62+1</f>
        <v>46013</v>
      </c>
      <c r="AU62" s="624"/>
      <c r="AV62" s="624"/>
      <c r="AW62" s="624"/>
      <c r="AX62" s="625"/>
    </row>
    <row r="63" spans="2:50" ht="15.5">
      <c r="B63" s="634"/>
      <c r="C63" s="634"/>
      <c r="D63" s="634"/>
      <c r="E63" s="634"/>
      <c r="F63" s="634"/>
      <c r="G63" s="634"/>
      <c r="H63" s="634"/>
      <c r="I63" s="206"/>
      <c r="J63" s="206"/>
      <c r="K63" s="206"/>
      <c r="L63" s="206"/>
      <c r="M63" s="207"/>
      <c r="N63" s="622"/>
      <c r="O63" s="622"/>
      <c r="P63" s="626" t="s">
        <v>336</v>
      </c>
      <c r="Q63" s="627"/>
      <c r="R63" s="627"/>
      <c r="S63" s="627"/>
      <c r="T63" s="627"/>
      <c r="U63" s="626" t="s">
        <v>337</v>
      </c>
      <c r="V63" s="627"/>
      <c r="W63" s="627"/>
      <c r="X63" s="627"/>
      <c r="Y63" s="627"/>
      <c r="Z63" s="626" t="s">
        <v>338</v>
      </c>
      <c r="AA63" s="627"/>
      <c r="AB63" s="627"/>
      <c r="AC63" s="627"/>
      <c r="AD63" s="627"/>
      <c r="AE63" s="626" t="s">
        <v>339</v>
      </c>
      <c r="AF63" s="627"/>
      <c r="AG63" s="627"/>
      <c r="AH63" s="627"/>
      <c r="AI63" s="627"/>
      <c r="AJ63" s="626" t="s">
        <v>340</v>
      </c>
      <c r="AK63" s="627"/>
      <c r="AL63" s="627"/>
      <c r="AM63" s="627"/>
      <c r="AN63" s="627"/>
      <c r="AO63" s="626" t="s">
        <v>341</v>
      </c>
      <c r="AP63" s="627"/>
      <c r="AQ63" s="627"/>
      <c r="AR63" s="627"/>
      <c r="AS63" s="627"/>
      <c r="AT63" s="626" t="s">
        <v>342</v>
      </c>
      <c r="AU63" s="627"/>
      <c r="AV63" s="627"/>
      <c r="AW63" s="627"/>
      <c r="AX63" s="627"/>
    </row>
    <row r="64" spans="2:50">
      <c r="B64" s="619" t="s">
        <v>443</v>
      </c>
      <c r="C64" s="619" t="s">
        <v>453</v>
      </c>
      <c r="D64" s="619"/>
      <c r="E64" s="619" t="s">
        <v>444</v>
      </c>
      <c r="F64" s="619"/>
      <c r="G64" s="619"/>
      <c r="H64" s="635" t="s">
        <v>440</v>
      </c>
      <c r="I64" s="603" t="s">
        <v>445</v>
      </c>
      <c r="J64" s="603"/>
      <c r="K64" s="603"/>
      <c r="L64" s="604" t="s">
        <v>440</v>
      </c>
      <c r="M64" s="610" t="s">
        <v>441</v>
      </c>
      <c r="N64" s="619"/>
      <c r="O64" s="619" t="s">
        <v>446</v>
      </c>
      <c r="P64" s="616" t="s">
        <v>442</v>
      </c>
      <c r="Q64" s="617"/>
      <c r="R64" s="617"/>
      <c r="S64" s="618"/>
      <c r="T64" s="619" t="s">
        <v>440</v>
      </c>
      <c r="U64" s="616" t="s">
        <v>442</v>
      </c>
      <c r="V64" s="617"/>
      <c r="W64" s="617"/>
      <c r="X64" s="618"/>
      <c r="Y64" s="619" t="s">
        <v>440</v>
      </c>
      <c r="Z64" s="616" t="s">
        <v>442</v>
      </c>
      <c r="AA64" s="617"/>
      <c r="AB64" s="617"/>
      <c r="AC64" s="618"/>
      <c r="AD64" s="619" t="s">
        <v>440</v>
      </c>
      <c r="AE64" s="616" t="s">
        <v>442</v>
      </c>
      <c r="AF64" s="617"/>
      <c r="AG64" s="617"/>
      <c r="AH64" s="618"/>
      <c r="AI64" s="619" t="s">
        <v>440</v>
      </c>
      <c r="AJ64" s="616" t="s">
        <v>442</v>
      </c>
      <c r="AK64" s="617"/>
      <c r="AL64" s="617"/>
      <c r="AM64" s="618"/>
      <c r="AN64" s="619" t="s">
        <v>440</v>
      </c>
      <c r="AO64" s="616" t="s">
        <v>442</v>
      </c>
      <c r="AP64" s="617"/>
      <c r="AQ64" s="617"/>
      <c r="AR64" s="618"/>
      <c r="AS64" s="619" t="s">
        <v>440</v>
      </c>
      <c r="AT64" s="616" t="s">
        <v>442</v>
      </c>
      <c r="AU64" s="617"/>
      <c r="AV64" s="617"/>
      <c r="AW64" s="618"/>
      <c r="AX64" s="619" t="s">
        <v>440</v>
      </c>
    </row>
    <row r="65" spans="2:50">
      <c r="B65" s="619"/>
      <c r="C65" s="619"/>
      <c r="D65" s="619"/>
      <c r="E65" s="619" t="s">
        <v>447</v>
      </c>
      <c r="F65" s="619"/>
      <c r="G65" s="619"/>
      <c r="H65" s="636"/>
      <c r="I65" s="603" t="s">
        <v>447</v>
      </c>
      <c r="J65" s="603"/>
      <c r="K65" s="603"/>
      <c r="L65" s="605"/>
      <c r="M65" s="611"/>
      <c r="N65" s="619"/>
      <c r="O65" s="619"/>
      <c r="P65" s="616" t="s">
        <v>448</v>
      </c>
      <c r="Q65" s="617"/>
      <c r="R65" s="617"/>
      <c r="S65" s="618"/>
      <c r="T65" s="619"/>
      <c r="U65" s="616" t="s">
        <v>448</v>
      </c>
      <c r="V65" s="617"/>
      <c r="W65" s="617"/>
      <c r="X65" s="618"/>
      <c r="Y65" s="619"/>
      <c r="Z65" s="616" t="s">
        <v>448</v>
      </c>
      <c r="AA65" s="617"/>
      <c r="AB65" s="617"/>
      <c r="AC65" s="618"/>
      <c r="AD65" s="619"/>
      <c r="AE65" s="616" t="s">
        <v>448</v>
      </c>
      <c r="AF65" s="617"/>
      <c r="AG65" s="617"/>
      <c r="AH65" s="618"/>
      <c r="AI65" s="619"/>
      <c r="AJ65" s="616" t="s">
        <v>448</v>
      </c>
      <c r="AK65" s="617"/>
      <c r="AL65" s="617"/>
      <c r="AM65" s="618"/>
      <c r="AN65" s="619"/>
      <c r="AO65" s="616" t="s">
        <v>448</v>
      </c>
      <c r="AP65" s="617"/>
      <c r="AQ65" s="617"/>
      <c r="AR65" s="618"/>
      <c r="AS65" s="619"/>
      <c r="AT65" s="616" t="s">
        <v>448</v>
      </c>
      <c r="AU65" s="617"/>
      <c r="AV65" s="617"/>
      <c r="AW65" s="618"/>
      <c r="AX65" s="619"/>
    </row>
    <row r="66" spans="2:50">
      <c r="B66" s="619"/>
      <c r="C66" s="619"/>
      <c r="D66" s="619"/>
      <c r="E66" s="316" t="s">
        <v>449</v>
      </c>
      <c r="F66" s="316" t="s">
        <v>450</v>
      </c>
      <c r="G66" s="316" t="s">
        <v>451</v>
      </c>
      <c r="H66" s="637"/>
      <c r="I66" s="315" t="s">
        <v>449</v>
      </c>
      <c r="J66" s="315" t="s">
        <v>450</v>
      </c>
      <c r="K66" s="315" t="s">
        <v>451</v>
      </c>
      <c r="L66" s="606"/>
      <c r="M66" s="612"/>
      <c r="N66" s="619"/>
      <c r="O66" s="619"/>
      <c r="P66" s="316" t="s">
        <v>449</v>
      </c>
      <c r="Q66" s="316" t="s">
        <v>450</v>
      </c>
      <c r="R66" s="316" t="s">
        <v>451</v>
      </c>
      <c r="S66" s="316" t="s">
        <v>441</v>
      </c>
      <c r="T66" s="619"/>
      <c r="U66" s="316" t="s">
        <v>449</v>
      </c>
      <c r="V66" s="316" t="s">
        <v>450</v>
      </c>
      <c r="W66" s="316" t="s">
        <v>451</v>
      </c>
      <c r="X66" s="316" t="s">
        <v>441</v>
      </c>
      <c r="Y66" s="619"/>
      <c r="Z66" s="316" t="s">
        <v>449</v>
      </c>
      <c r="AA66" s="316" t="s">
        <v>450</v>
      </c>
      <c r="AB66" s="316" t="s">
        <v>451</v>
      </c>
      <c r="AC66" s="316" t="s">
        <v>441</v>
      </c>
      <c r="AD66" s="619"/>
      <c r="AE66" s="316" t="s">
        <v>449</v>
      </c>
      <c r="AF66" s="316" t="s">
        <v>450</v>
      </c>
      <c r="AG66" s="316" t="s">
        <v>451</v>
      </c>
      <c r="AH66" s="316" t="s">
        <v>441</v>
      </c>
      <c r="AI66" s="619"/>
      <c r="AJ66" s="316" t="s">
        <v>449</v>
      </c>
      <c r="AK66" s="316" t="s">
        <v>450</v>
      </c>
      <c r="AL66" s="316" t="s">
        <v>451</v>
      </c>
      <c r="AM66" s="316" t="s">
        <v>441</v>
      </c>
      <c r="AN66" s="619"/>
      <c r="AO66" s="316" t="s">
        <v>449</v>
      </c>
      <c r="AP66" s="316" t="s">
        <v>450</v>
      </c>
      <c r="AQ66" s="316" t="s">
        <v>451</v>
      </c>
      <c r="AR66" s="316" t="s">
        <v>441</v>
      </c>
      <c r="AS66" s="619"/>
      <c r="AT66" s="316" t="s">
        <v>449</v>
      </c>
      <c r="AU66" s="316" t="s">
        <v>450</v>
      </c>
      <c r="AV66" s="316" t="s">
        <v>451</v>
      </c>
      <c r="AW66" s="316" t="s">
        <v>441</v>
      </c>
      <c r="AX66" s="619"/>
    </row>
    <row r="67" spans="2:50">
      <c r="B67" s="660" t="s">
        <v>480</v>
      </c>
      <c r="C67" s="317">
        <v>1</v>
      </c>
      <c r="D67" s="470"/>
      <c r="E67" s="470"/>
      <c r="F67" s="470"/>
      <c r="G67" s="183"/>
      <c r="H67" s="661" t="e">
        <f>AVERAGE(G67:G81)</f>
        <v>#DIV/0!</v>
      </c>
      <c r="I67" s="200" t="e">
        <f>AVERAGE(P67,U67,Z67,AE67,AJ67,AO67,AT67)</f>
        <v>#DIV/0!</v>
      </c>
      <c r="J67" s="200" t="e">
        <f>AVERAGE(Q67,V67,AA67,AF67,AK67,AP67,AU67)</f>
        <v>#DIV/0!</v>
      </c>
      <c r="K67" s="201" t="e">
        <f>AVERAGE(R67,W67,AB67,AG67,AL67,AQ67,AV67)</f>
        <v>#DIV/0!</v>
      </c>
      <c r="L67" s="600" t="str">
        <f>IFERROR(AVERAGE(K67:K81),"-")</f>
        <v>-</v>
      </c>
      <c r="M67" s="202" t="e">
        <f>RANK(K67, K$67:$K$81)</f>
        <v>#DIV/0!</v>
      </c>
      <c r="N67" s="619"/>
      <c r="O67" s="619"/>
      <c r="P67" s="183"/>
      <c r="Q67" s="183"/>
      <c r="R67" s="471"/>
      <c r="S67" s="317" t="e">
        <f>RANK(R67, R$67:R$81)</f>
        <v>#N/A</v>
      </c>
      <c r="T67" s="658" t="e">
        <f>AVERAGE(R67:R81)</f>
        <v>#DIV/0!</v>
      </c>
      <c r="U67" s="183"/>
      <c r="V67" s="183"/>
      <c r="W67" s="521"/>
      <c r="X67" s="520" t="e">
        <f t="shared" ref="X67:X81" si="51">RANK(W67, W$67:W$81)</f>
        <v>#N/A</v>
      </c>
      <c r="Y67" s="658" t="e">
        <f t="shared" ref="Y67" si="52">AVERAGE(W67:W81)</f>
        <v>#DIV/0!</v>
      </c>
      <c r="Z67" s="183"/>
      <c r="AA67" s="183"/>
      <c r="AB67" s="521"/>
      <c r="AC67" s="520" t="e">
        <f t="shared" ref="AC67:AC81" si="53">RANK(AB67, AB$67:AB$81)</f>
        <v>#N/A</v>
      </c>
      <c r="AD67" s="658" t="e">
        <f t="shared" ref="AD67" si="54">AVERAGE(AB67:AB81)</f>
        <v>#DIV/0!</v>
      </c>
      <c r="AE67" s="183"/>
      <c r="AF67" s="183"/>
      <c r="AG67" s="521"/>
      <c r="AH67" s="520" t="e">
        <f t="shared" ref="AH67:AH81" si="55">RANK(AG67, AG$67:AG$81)</f>
        <v>#N/A</v>
      </c>
      <c r="AI67" s="658" t="e">
        <f t="shared" ref="AI67" si="56">AVERAGE(AG67:AG81)</f>
        <v>#DIV/0!</v>
      </c>
      <c r="AJ67" s="183"/>
      <c r="AK67" s="183"/>
      <c r="AL67" s="521"/>
      <c r="AM67" s="520" t="e">
        <f t="shared" ref="AM67:AM81" si="57">RANK(AL67, AL$67:AL$81)</f>
        <v>#N/A</v>
      </c>
      <c r="AN67" s="658" t="e">
        <f t="shared" ref="AN67" si="58">AVERAGE(AL67:AL81)</f>
        <v>#DIV/0!</v>
      </c>
      <c r="AO67" s="183"/>
      <c r="AP67" s="183"/>
      <c r="AQ67" s="521"/>
      <c r="AR67" s="520" t="e">
        <f t="shared" ref="AR67:AR81" si="59">RANK(AQ67, AQ$67:AQ$81)</f>
        <v>#N/A</v>
      </c>
      <c r="AS67" s="658" t="e">
        <f t="shared" ref="AS67" si="60">AVERAGE(AQ67:AQ81)</f>
        <v>#DIV/0!</v>
      </c>
      <c r="AT67" s="183"/>
      <c r="AU67" s="183"/>
      <c r="AV67" s="521"/>
      <c r="AW67" s="520" t="e">
        <f t="shared" ref="AW67:AW81" si="61">RANK(AV67, AV$67:AV$81)</f>
        <v>#N/A</v>
      </c>
      <c r="AX67" s="658" t="e">
        <f t="shared" ref="AX67" si="62">AVERAGE(AV67:AV81)</f>
        <v>#DIV/0!</v>
      </c>
    </row>
    <row r="68" spans="2:50">
      <c r="B68" s="627"/>
      <c r="C68" s="317">
        <v>2</v>
      </c>
      <c r="D68" s="470"/>
      <c r="E68" s="470"/>
      <c r="F68" s="470"/>
      <c r="G68" s="183"/>
      <c r="H68" s="662"/>
      <c r="I68" s="200" t="e">
        <f t="shared" ref="I68:I73" si="63">AVERAGE(P68,U68,Z68,AE68,AJ68,AO68,AT68)</f>
        <v>#DIV/0!</v>
      </c>
      <c r="J68" s="200" t="e">
        <f t="shared" ref="J68:J73" si="64">AVERAGE(Q68,V68,AA68,AF68,AK68,AP68,AU68)</f>
        <v>#DIV/0!</v>
      </c>
      <c r="K68" s="201" t="e">
        <f t="shared" ref="K68:K73" si="65">AVERAGE(R68,W68,AB68,AG68,AL68,AQ68,AV68)</f>
        <v>#DIV/0!</v>
      </c>
      <c r="L68" s="601"/>
      <c r="M68" s="202" t="e">
        <f>RANK(K68, K$67:$K$81)</f>
        <v>#DIV/0!</v>
      </c>
      <c r="N68" s="619"/>
      <c r="O68" s="619"/>
      <c r="P68" s="470"/>
      <c r="Q68" s="183"/>
      <c r="R68" s="471"/>
      <c r="S68" s="349" t="e">
        <f t="shared" ref="S68:S81" si="66">RANK(R68, R$67:R$81)</f>
        <v>#N/A</v>
      </c>
      <c r="T68" s="658"/>
      <c r="U68" s="520"/>
      <c r="V68" s="183"/>
      <c r="W68" s="521"/>
      <c r="X68" s="520" t="e">
        <f t="shared" si="51"/>
        <v>#N/A</v>
      </c>
      <c r="Y68" s="658"/>
      <c r="Z68" s="520"/>
      <c r="AA68" s="183"/>
      <c r="AB68" s="521"/>
      <c r="AC68" s="520" t="e">
        <f t="shared" si="53"/>
        <v>#N/A</v>
      </c>
      <c r="AD68" s="658"/>
      <c r="AE68" s="520"/>
      <c r="AF68" s="183"/>
      <c r="AG68" s="521"/>
      <c r="AH68" s="520" t="e">
        <f t="shared" si="55"/>
        <v>#N/A</v>
      </c>
      <c r="AI68" s="658"/>
      <c r="AJ68" s="520"/>
      <c r="AK68" s="183"/>
      <c r="AL68" s="521"/>
      <c r="AM68" s="520" t="e">
        <f t="shared" si="57"/>
        <v>#N/A</v>
      </c>
      <c r="AN68" s="658"/>
      <c r="AO68" s="520"/>
      <c r="AP68" s="183"/>
      <c r="AQ68" s="521"/>
      <c r="AR68" s="520" t="e">
        <f t="shared" si="59"/>
        <v>#N/A</v>
      </c>
      <c r="AS68" s="658"/>
      <c r="AT68" s="520"/>
      <c r="AU68" s="183"/>
      <c r="AV68" s="521"/>
      <c r="AW68" s="520" t="e">
        <f t="shared" si="61"/>
        <v>#N/A</v>
      </c>
      <c r="AX68" s="658"/>
    </row>
    <row r="69" spans="2:50">
      <c r="B69" s="627"/>
      <c r="C69" s="317">
        <v>3</v>
      </c>
      <c r="D69" s="470"/>
      <c r="E69" s="470"/>
      <c r="F69" s="470"/>
      <c r="G69" s="183"/>
      <c r="H69" s="662"/>
      <c r="I69" s="200" t="e">
        <f t="shared" si="63"/>
        <v>#DIV/0!</v>
      </c>
      <c r="J69" s="200" t="e">
        <f t="shared" si="64"/>
        <v>#DIV/0!</v>
      </c>
      <c r="K69" s="201" t="e">
        <f t="shared" si="65"/>
        <v>#DIV/0!</v>
      </c>
      <c r="L69" s="601"/>
      <c r="M69" s="202" t="e">
        <f>RANK(K69, K$67:$K$81)</f>
        <v>#DIV/0!</v>
      </c>
      <c r="N69" s="619"/>
      <c r="O69" s="619"/>
      <c r="P69" s="470"/>
      <c r="Q69" s="183"/>
      <c r="R69" s="471"/>
      <c r="S69" s="349" t="e">
        <f t="shared" si="66"/>
        <v>#N/A</v>
      </c>
      <c r="T69" s="658"/>
      <c r="U69" s="520"/>
      <c r="V69" s="183"/>
      <c r="W69" s="521"/>
      <c r="X69" s="520" t="e">
        <f t="shared" si="51"/>
        <v>#N/A</v>
      </c>
      <c r="Y69" s="658"/>
      <c r="Z69" s="520"/>
      <c r="AA69" s="183"/>
      <c r="AB69" s="521"/>
      <c r="AC69" s="520" t="e">
        <f t="shared" si="53"/>
        <v>#N/A</v>
      </c>
      <c r="AD69" s="658"/>
      <c r="AE69" s="520"/>
      <c r="AF69" s="183"/>
      <c r="AG69" s="521"/>
      <c r="AH69" s="520" t="e">
        <f t="shared" si="55"/>
        <v>#N/A</v>
      </c>
      <c r="AI69" s="658"/>
      <c r="AJ69" s="520"/>
      <c r="AK69" s="183"/>
      <c r="AL69" s="521"/>
      <c r="AM69" s="520" t="e">
        <f t="shared" si="57"/>
        <v>#N/A</v>
      </c>
      <c r="AN69" s="658"/>
      <c r="AO69" s="520"/>
      <c r="AP69" s="183"/>
      <c r="AQ69" s="521"/>
      <c r="AR69" s="520" t="e">
        <f t="shared" si="59"/>
        <v>#N/A</v>
      </c>
      <c r="AS69" s="658"/>
      <c r="AT69" s="520"/>
      <c r="AU69" s="183"/>
      <c r="AV69" s="521"/>
      <c r="AW69" s="520" t="e">
        <f t="shared" si="61"/>
        <v>#N/A</v>
      </c>
      <c r="AX69" s="658"/>
    </row>
    <row r="70" spans="2:50">
      <c r="B70" s="627"/>
      <c r="C70" s="317">
        <v>4</v>
      </c>
      <c r="D70" s="470"/>
      <c r="E70" s="470"/>
      <c r="F70" s="470"/>
      <c r="G70" s="183"/>
      <c r="H70" s="662"/>
      <c r="I70" s="200" t="e">
        <f t="shared" si="63"/>
        <v>#DIV/0!</v>
      </c>
      <c r="J70" s="200" t="e">
        <f t="shared" si="64"/>
        <v>#DIV/0!</v>
      </c>
      <c r="K70" s="201" t="e">
        <f t="shared" si="65"/>
        <v>#DIV/0!</v>
      </c>
      <c r="L70" s="601"/>
      <c r="M70" s="202" t="e">
        <f>RANK(K70, K$67:$K$81)</f>
        <v>#DIV/0!</v>
      </c>
      <c r="N70" s="619"/>
      <c r="O70" s="619"/>
      <c r="P70" s="470"/>
      <c r="Q70" s="183"/>
      <c r="R70" s="471"/>
      <c r="S70" s="349" t="e">
        <f t="shared" si="66"/>
        <v>#N/A</v>
      </c>
      <c r="T70" s="658"/>
      <c r="U70" s="520"/>
      <c r="V70" s="183"/>
      <c r="W70" s="521"/>
      <c r="X70" s="520" t="e">
        <f t="shared" si="51"/>
        <v>#N/A</v>
      </c>
      <c r="Y70" s="658"/>
      <c r="Z70" s="520"/>
      <c r="AA70" s="183"/>
      <c r="AB70" s="521"/>
      <c r="AC70" s="520" t="e">
        <f t="shared" si="53"/>
        <v>#N/A</v>
      </c>
      <c r="AD70" s="658"/>
      <c r="AE70" s="520"/>
      <c r="AF70" s="183"/>
      <c r="AG70" s="521"/>
      <c r="AH70" s="520" t="e">
        <f t="shared" si="55"/>
        <v>#N/A</v>
      </c>
      <c r="AI70" s="658"/>
      <c r="AJ70" s="520"/>
      <c r="AK70" s="183"/>
      <c r="AL70" s="521"/>
      <c r="AM70" s="520" t="e">
        <f t="shared" si="57"/>
        <v>#N/A</v>
      </c>
      <c r="AN70" s="658"/>
      <c r="AO70" s="520"/>
      <c r="AP70" s="183"/>
      <c r="AQ70" s="521"/>
      <c r="AR70" s="520" t="e">
        <f t="shared" si="59"/>
        <v>#N/A</v>
      </c>
      <c r="AS70" s="658"/>
      <c r="AT70" s="520"/>
      <c r="AU70" s="183"/>
      <c r="AV70" s="521"/>
      <c r="AW70" s="520" t="e">
        <f t="shared" si="61"/>
        <v>#N/A</v>
      </c>
      <c r="AX70" s="658"/>
    </row>
    <row r="71" spans="2:50">
      <c r="B71" s="627"/>
      <c r="C71" s="317">
        <v>5</v>
      </c>
      <c r="D71" s="470"/>
      <c r="E71" s="470"/>
      <c r="F71" s="470"/>
      <c r="G71" s="183"/>
      <c r="H71" s="662"/>
      <c r="I71" s="200" t="e">
        <f t="shared" si="63"/>
        <v>#DIV/0!</v>
      </c>
      <c r="J71" s="200" t="e">
        <f t="shared" si="64"/>
        <v>#DIV/0!</v>
      </c>
      <c r="K71" s="201" t="e">
        <f t="shared" si="65"/>
        <v>#DIV/0!</v>
      </c>
      <c r="L71" s="601"/>
      <c r="M71" s="202" t="e">
        <f>RANK(K71, K$67:$K$81)</f>
        <v>#DIV/0!</v>
      </c>
      <c r="N71" s="619"/>
      <c r="O71" s="619"/>
      <c r="P71" s="470"/>
      <c r="Q71" s="183"/>
      <c r="R71" s="471"/>
      <c r="S71" s="349" t="e">
        <f t="shared" si="66"/>
        <v>#N/A</v>
      </c>
      <c r="T71" s="658"/>
      <c r="U71" s="520"/>
      <c r="V71" s="183"/>
      <c r="W71" s="521"/>
      <c r="X71" s="520" t="e">
        <f t="shared" si="51"/>
        <v>#N/A</v>
      </c>
      <c r="Y71" s="658"/>
      <c r="Z71" s="520"/>
      <c r="AA71" s="183"/>
      <c r="AB71" s="521"/>
      <c r="AC71" s="520" t="e">
        <f t="shared" si="53"/>
        <v>#N/A</v>
      </c>
      <c r="AD71" s="658"/>
      <c r="AE71" s="520"/>
      <c r="AF71" s="183"/>
      <c r="AG71" s="521"/>
      <c r="AH71" s="520" t="e">
        <f t="shared" si="55"/>
        <v>#N/A</v>
      </c>
      <c r="AI71" s="658"/>
      <c r="AJ71" s="520"/>
      <c r="AK71" s="183"/>
      <c r="AL71" s="521"/>
      <c r="AM71" s="520" t="e">
        <f t="shared" si="57"/>
        <v>#N/A</v>
      </c>
      <c r="AN71" s="658"/>
      <c r="AO71" s="520"/>
      <c r="AP71" s="183"/>
      <c r="AQ71" s="521"/>
      <c r="AR71" s="520" t="e">
        <f t="shared" si="59"/>
        <v>#N/A</v>
      </c>
      <c r="AS71" s="658"/>
      <c r="AT71" s="520"/>
      <c r="AU71" s="183"/>
      <c r="AV71" s="521"/>
      <c r="AW71" s="520" t="e">
        <f t="shared" si="61"/>
        <v>#N/A</v>
      </c>
      <c r="AX71" s="658"/>
    </row>
    <row r="72" spans="2:50">
      <c r="B72" s="627"/>
      <c r="C72" s="317">
        <v>6</v>
      </c>
      <c r="D72" s="470"/>
      <c r="E72" s="470"/>
      <c r="F72" s="470"/>
      <c r="G72" s="183"/>
      <c r="H72" s="662"/>
      <c r="I72" s="200" t="e">
        <f t="shared" si="63"/>
        <v>#DIV/0!</v>
      </c>
      <c r="J72" s="200" t="e">
        <f t="shared" si="64"/>
        <v>#DIV/0!</v>
      </c>
      <c r="K72" s="201" t="e">
        <f t="shared" si="65"/>
        <v>#DIV/0!</v>
      </c>
      <c r="L72" s="601"/>
      <c r="M72" s="202" t="e">
        <f>RANK(K72, K$67:$K$81)</f>
        <v>#DIV/0!</v>
      </c>
      <c r="N72" s="619"/>
      <c r="O72" s="619"/>
      <c r="P72" s="470"/>
      <c r="Q72" s="183"/>
      <c r="R72" s="471"/>
      <c r="S72" s="349" t="e">
        <f t="shared" si="66"/>
        <v>#N/A</v>
      </c>
      <c r="T72" s="658"/>
      <c r="U72" s="520"/>
      <c r="V72" s="183"/>
      <c r="W72" s="521"/>
      <c r="X72" s="520" t="e">
        <f t="shared" si="51"/>
        <v>#N/A</v>
      </c>
      <c r="Y72" s="658"/>
      <c r="Z72" s="520"/>
      <c r="AA72" s="183"/>
      <c r="AB72" s="521"/>
      <c r="AC72" s="520" t="e">
        <f t="shared" si="53"/>
        <v>#N/A</v>
      </c>
      <c r="AD72" s="658"/>
      <c r="AE72" s="520"/>
      <c r="AF72" s="183"/>
      <c r="AG72" s="521"/>
      <c r="AH72" s="520" t="e">
        <f t="shared" si="55"/>
        <v>#N/A</v>
      </c>
      <c r="AI72" s="658"/>
      <c r="AJ72" s="520"/>
      <c r="AK72" s="183"/>
      <c r="AL72" s="521"/>
      <c r="AM72" s="520" t="e">
        <f t="shared" si="57"/>
        <v>#N/A</v>
      </c>
      <c r="AN72" s="658"/>
      <c r="AO72" s="520"/>
      <c r="AP72" s="183"/>
      <c r="AQ72" s="521"/>
      <c r="AR72" s="520" t="e">
        <f t="shared" si="59"/>
        <v>#N/A</v>
      </c>
      <c r="AS72" s="658"/>
      <c r="AT72" s="520"/>
      <c r="AU72" s="183"/>
      <c r="AV72" s="521"/>
      <c r="AW72" s="520" t="e">
        <f t="shared" si="61"/>
        <v>#N/A</v>
      </c>
      <c r="AX72" s="658"/>
    </row>
    <row r="73" spans="2:50">
      <c r="B73" s="627"/>
      <c r="C73" s="317">
        <v>7</v>
      </c>
      <c r="D73" s="470"/>
      <c r="E73" s="470"/>
      <c r="F73" s="470"/>
      <c r="G73" s="183"/>
      <c r="H73" s="662"/>
      <c r="I73" s="200" t="e">
        <f t="shared" si="63"/>
        <v>#DIV/0!</v>
      </c>
      <c r="J73" s="200" t="e">
        <f t="shared" si="64"/>
        <v>#DIV/0!</v>
      </c>
      <c r="K73" s="201" t="e">
        <f t="shared" si="65"/>
        <v>#DIV/0!</v>
      </c>
      <c r="L73" s="601"/>
      <c r="M73" s="202" t="e">
        <f>RANK(K73, K$67:$K$81)</f>
        <v>#DIV/0!</v>
      </c>
      <c r="N73" s="619"/>
      <c r="O73" s="619"/>
      <c r="P73" s="470"/>
      <c r="Q73" s="183"/>
      <c r="R73" s="471"/>
      <c r="S73" s="349" t="e">
        <f t="shared" si="66"/>
        <v>#N/A</v>
      </c>
      <c r="T73" s="658"/>
      <c r="U73" s="520"/>
      <c r="V73" s="183"/>
      <c r="W73" s="521"/>
      <c r="X73" s="520" t="e">
        <f t="shared" si="51"/>
        <v>#N/A</v>
      </c>
      <c r="Y73" s="658"/>
      <c r="Z73" s="520"/>
      <c r="AA73" s="183"/>
      <c r="AB73" s="521"/>
      <c r="AC73" s="520" t="e">
        <f t="shared" si="53"/>
        <v>#N/A</v>
      </c>
      <c r="AD73" s="658"/>
      <c r="AE73" s="520"/>
      <c r="AF73" s="183"/>
      <c r="AG73" s="521"/>
      <c r="AH73" s="520" t="e">
        <f t="shared" si="55"/>
        <v>#N/A</v>
      </c>
      <c r="AI73" s="658"/>
      <c r="AJ73" s="520"/>
      <c r="AK73" s="183"/>
      <c r="AL73" s="521"/>
      <c r="AM73" s="520" t="e">
        <f t="shared" si="57"/>
        <v>#N/A</v>
      </c>
      <c r="AN73" s="658"/>
      <c r="AO73" s="520"/>
      <c r="AP73" s="183"/>
      <c r="AQ73" s="521"/>
      <c r="AR73" s="520" t="e">
        <f t="shared" si="59"/>
        <v>#N/A</v>
      </c>
      <c r="AS73" s="658"/>
      <c r="AT73" s="520"/>
      <c r="AU73" s="183"/>
      <c r="AV73" s="521"/>
      <c r="AW73" s="520" t="e">
        <f t="shared" si="61"/>
        <v>#N/A</v>
      </c>
      <c r="AX73" s="658"/>
    </row>
    <row r="74" spans="2:50">
      <c r="B74" s="627"/>
      <c r="C74" s="317">
        <v>8</v>
      </c>
      <c r="D74" s="470"/>
      <c r="E74" s="470"/>
      <c r="F74" s="470"/>
      <c r="G74" s="183"/>
      <c r="H74" s="662"/>
      <c r="I74" s="448" t="e">
        <f t="shared" ref="I74" si="67">AVERAGE(P74,U74,Z74,AE74,AJ74,AO74,AT74)</f>
        <v>#DIV/0!</v>
      </c>
      <c r="J74" s="448" t="e">
        <f t="shared" ref="J74" si="68">AVERAGE(Q74,V74,AA74,AF74,AK74,AP74,AU74)</f>
        <v>#DIV/0!</v>
      </c>
      <c r="K74" s="201" t="e">
        <f t="shared" ref="K74" si="69">AVERAGE(R74,W74,AB74,AG74,AL74,AQ74,AV74)</f>
        <v>#DIV/0!</v>
      </c>
      <c r="L74" s="601"/>
      <c r="M74" s="202" t="e">
        <f>RANK(K74, K$67:$K$81)</f>
        <v>#DIV/0!</v>
      </c>
      <c r="N74" s="619"/>
      <c r="O74" s="619"/>
      <c r="P74" s="470"/>
      <c r="Q74" s="183"/>
      <c r="R74" s="471"/>
      <c r="S74" s="349" t="e">
        <f t="shared" si="66"/>
        <v>#N/A</v>
      </c>
      <c r="T74" s="658"/>
      <c r="U74" s="520"/>
      <c r="V74" s="183"/>
      <c r="W74" s="521"/>
      <c r="X74" s="520" t="e">
        <f t="shared" si="51"/>
        <v>#N/A</v>
      </c>
      <c r="Y74" s="658"/>
      <c r="Z74" s="520"/>
      <c r="AA74" s="183"/>
      <c r="AB74" s="521"/>
      <c r="AC74" s="520" t="e">
        <f t="shared" si="53"/>
        <v>#N/A</v>
      </c>
      <c r="AD74" s="658"/>
      <c r="AE74" s="520"/>
      <c r="AF74" s="183"/>
      <c r="AG74" s="521"/>
      <c r="AH74" s="520" t="e">
        <f t="shared" si="55"/>
        <v>#N/A</v>
      </c>
      <c r="AI74" s="658"/>
      <c r="AJ74" s="520"/>
      <c r="AK74" s="183"/>
      <c r="AL74" s="521"/>
      <c r="AM74" s="520" t="e">
        <f t="shared" si="57"/>
        <v>#N/A</v>
      </c>
      <c r="AN74" s="658"/>
      <c r="AO74" s="520"/>
      <c r="AP74" s="183"/>
      <c r="AQ74" s="521"/>
      <c r="AR74" s="520" t="e">
        <f t="shared" si="59"/>
        <v>#N/A</v>
      </c>
      <c r="AS74" s="658"/>
      <c r="AT74" s="520"/>
      <c r="AU74" s="183"/>
      <c r="AV74" s="521"/>
      <c r="AW74" s="520" t="e">
        <f t="shared" si="61"/>
        <v>#N/A</v>
      </c>
      <c r="AX74" s="658"/>
    </row>
    <row r="75" spans="2:50">
      <c r="B75" s="627"/>
      <c r="C75" s="317">
        <v>9</v>
      </c>
      <c r="D75" s="470"/>
      <c r="E75" s="470"/>
      <c r="F75" s="470"/>
      <c r="G75" s="183"/>
      <c r="H75" s="662"/>
      <c r="I75" s="200"/>
      <c r="J75" s="200"/>
      <c r="K75" s="201"/>
      <c r="L75" s="601"/>
      <c r="M75" s="202" t="e">
        <f>RANK(K75, K$67:$K$81)</f>
        <v>#DIV/0!</v>
      </c>
      <c r="N75" s="619"/>
      <c r="O75" s="619"/>
      <c r="P75" s="470"/>
      <c r="Q75" s="183"/>
      <c r="R75" s="471"/>
      <c r="S75" s="349" t="e">
        <f t="shared" si="66"/>
        <v>#N/A</v>
      </c>
      <c r="T75" s="658"/>
      <c r="U75" s="520"/>
      <c r="V75" s="183"/>
      <c r="W75" s="521"/>
      <c r="X75" s="520" t="e">
        <f t="shared" si="51"/>
        <v>#N/A</v>
      </c>
      <c r="Y75" s="658"/>
      <c r="Z75" s="520"/>
      <c r="AA75" s="183"/>
      <c r="AB75" s="521"/>
      <c r="AC75" s="520" t="e">
        <f t="shared" si="53"/>
        <v>#N/A</v>
      </c>
      <c r="AD75" s="658"/>
      <c r="AE75" s="520"/>
      <c r="AF75" s="183"/>
      <c r="AG75" s="521"/>
      <c r="AH75" s="520" t="e">
        <f t="shared" si="55"/>
        <v>#N/A</v>
      </c>
      <c r="AI75" s="658"/>
      <c r="AJ75" s="520"/>
      <c r="AK75" s="183"/>
      <c r="AL75" s="521"/>
      <c r="AM75" s="520" t="e">
        <f t="shared" si="57"/>
        <v>#N/A</v>
      </c>
      <c r="AN75" s="658"/>
      <c r="AO75" s="520"/>
      <c r="AP75" s="183"/>
      <c r="AQ75" s="521"/>
      <c r="AR75" s="520" t="e">
        <f t="shared" si="59"/>
        <v>#N/A</v>
      </c>
      <c r="AS75" s="658"/>
      <c r="AT75" s="520"/>
      <c r="AU75" s="183"/>
      <c r="AV75" s="521"/>
      <c r="AW75" s="520" t="e">
        <f t="shared" si="61"/>
        <v>#N/A</v>
      </c>
      <c r="AX75" s="658"/>
    </row>
    <row r="76" spans="2:50">
      <c r="B76" s="627"/>
      <c r="C76" s="317">
        <v>10</v>
      </c>
      <c r="D76" s="470"/>
      <c r="E76" s="470"/>
      <c r="F76" s="470"/>
      <c r="G76" s="183"/>
      <c r="H76" s="662"/>
      <c r="I76" s="200"/>
      <c r="J76" s="200"/>
      <c r="K76" s="201"/>
      <c r="L76" s="601"/>
      <c r="M76" s="202" t="e">
        <f>RANK(K76, K$67:$K$81)</f>
        <v>#DIV/0!</v>
      </c>
      <c r="N76" s="619"/>
      <c r="O76" s="619"/>
      <c r="P76" s="470"/>
      <c r="Q76" s="183"/>
      <c r="R76" s="471"/>
      <c r="S76" s="349" t="e">
        <f t="shared" si="66"/>
        <v>#N/A</v>
      </c>
      <c r="T76" s="658"/>
      <c r="U76" s="520"/>
      <c r="V76" s="183"/>
      <c r="W76" s="521"/>
      <c r="X76" s="520" t="e">
        <f t="shared" si="51"/>
        <v>#N/A</v>
      </c>
      <c r="Y76" s="658"/>
      <c r="Z76" s="520"/>
      <c r="AA76" s="183"/>
      <c r="AB76" s="521"/>
      <c r="AC76" s="520" t="e">
        <f t="shared" si="53"/>
        <v>#N/A</v>
      </c>
      <c r="AD76" s="658"/>
      <c r="AE76" s="520"/>
      <c r="AF76" s="183"/>
      <c r="AG76" s="521"/>
      <c r="AH76" s="520" t="e">
        <f t="shared" si="55"/>
        <v>#N/A</v>
      </c>
      <c r="AI76" s="658"/>
      <c r="AJ76" s="520"/>
      <c r="AK76" s="183"/>
      <c r="AL76" s="521"/>
      <c r="AM76" s="520" t="e">
        <f t="shared" si="57"/>
        <v>#N/A</v>
      </c>
      <c r="AN76" s="658"/>
      <c r="AO76" s="520"/>
      <c r="AP76" s="183"/>
      <c r="AQ76" s="521"/>
      <c r="AR76" s="520" t="e">
        <f t="shared" si="59"/>
        <v>#N/A</v>
      </c>
      <c r="AS76" s="658"/>
      <c r="AT76" s="520"/>
      <c r="AU76" s="183"/>
      <c r="AV76" s="521"/>
      <c r="AW76" s="520" t="e">
        <f t="shared" si="61"/>
        <v>#N/A</v>
      </c>
      <c r="AX76" s="658"/>
    </row>
    <row r="77" spans="2:50">
      <c r="B77" s="627"/>
      <c r="C77" s="317">
        <v>11</v>
      </c>
      <c r="D77" s="470"/>
      <c r="E77" s="470"/>
      <c r="F77" s="470"/>
      <c r="G77" s="183"/>
      <c r="H77" s="662"/>
      <c r="I77" s="203"/>
      <c r="J77" s="203"/>
      <c r="K77" s="203"/>
      <c r="L77" s="601"/>
      <c r="M77" s="202" t="e">
        <f>RANK(K77, K$67:$K$81)</f>
        <v>#DIV/0!</v>
      </c>
      <c r="N77" s="619"/>
      <c r="O77" s="619"/>
      <c r="P77" s="470"/>
      <c r="Q77" s="470"/>
      <c r="R77" s="470"/>
      <c r="S77" s="349" t="e">
        <f t="shared" si="66"/>
        <v>#N/A</v>
      </c>
      <c r="T77" s="658"/>
      <c r="U77" s="520"/>
      <c r="V77" s="520"/>
      <c r="W77" s="520"/>
      <c r="X77" s="520" t="e">
        <f t="shared" si="51"/>
        <v>#N/A</v>
      </c>
      <c r="Y77" s="658"/>
      <c r="Z77" s="520"/>
      <c r="AA77" s="520"/>
      <c r="AB77" s="520"/>
      <c r="AC77" s="520" t="e">
        <f t="shared" si="53"/>
        <v>#N/A</v>
      </c>
      <c r="AD77" s="658"/>
      <c r="AE77" s="520"/>
      <c r="AF77" s="520"/>
      <c r="AG77" s="520"/>
      <c r="AH77" s="520" t="e">
        <f t="shared" si="55"/>
        <v>#N/A</v>
      </c>
      <c r="AI77" s="658"/>
      <c r="AJ77" s="520"/>
      <c r="AK77" s="520"/>
      <c r="AL77" s="520"/>
      <c r="AM77" s="520" t="e">
        <f t="shared" si="57"/>
        <v>#N/A</v>
      </c>
      <c r="AN77" s="658"/>
      <c r="AO77" s="520"/>
      <c r="AP77" s="520"/>
      <c r="AQ77" s="520"/>
      <c r="AR77" s="520" t="e">
        <f t="shared" si="59"/>
        <v>#N/A</v>
      </c>
      <c r="AS77" s="658"/>
      <c r="AT77" s="520"/>
      <c r="AU77" s="520"/>
      <c r="AV77" s="520"/>
      <c r="AW77" s="520" t="e">
        <f t="shared" si="61"/>
        <v>#N/A</v>
      </c>
      <c r="AX77" s="658"/>
    </row>
    <row r="78" spans="2:50">
      <c r="B78" s="627"/>
      <c r="C78" s="317">
        <v>12</v>
      </c>
      <c r="D78" s="470"/>
      <c r="E78" s="470"/>
      <c r="F78" s="470"/>
      <c r="G78" s="183"/>
      <c r="H78" s="662"/>
      <c r="I78" s="203"/>
      <c r="J78" s="203"/>
      <c r="K78" s="203"/>
      <c r="L78" s="601"/>
      <c r="M78" s="202" t="e">
        <f>RANK(K78, K$67:$K$81)</f>
        <v>#DIV/0!</v>
      </c>
      <c r="N78" s="619"/>
      <c r="O78" s="619"/>
      <c r="P78" s="470"/>
      <c r="Q78" s="470"/>
      <c r="R78" s="470"/>
      <c r="S78" s="349" t="e">
        <f t="shared" si="66"/>
        <v>#N/A</v>
      </c>
      <c r="T78" s="658"/>
      <c r="U78" s="520"/>
      <c r="V78" s="520"/>
      <c r="W78" s="520"/>
      <c r="X78" s="520" t="e">
        <f t="shared" si="51"/>
        <v>#N/A</v>
      </c>
      <c r="Y78" s="658"/>
      <c r="Z78" s="520"/>
      <c r="AA78" s="520"/>
      <c r="AB78" s="520"/>
      <c r="AC78" s="520" t="e">
        <f t="shared" si="53"/>
        <v>#N/A</v>
      </c>
      <c r="AD78" s="658"/>
      <c r="AE78" s="520"/>
      <c r="AF78" s="520"/>
      <c r="AG78" s="520"/>
      <c r="AH78" s="520" t="e">
        <f t="shared" si="55"/>
        <v>#N/A</v>
      </c>
      <c r="AI78" s="658"/>
      <c r="AJ78" s="520"/>
      <c r="AK78" s="520"/>
      <c r="AL78" s="520"/>
      <c r="AM78" s="520" t="e">
        <f t="shared" si="57"/>
        <v>#N/A</v>
      </c>
      <c r="AN78" s="658"/>
      <c r="AO78" s="520"/>
      <c r="AP78" s="520"/>
      <c r="AQ78" s="520"/>
      <c r="AR78" s="520" t="e">
        <f t="shared" si="59"/>
        <v>#N/A</v>
      </c>
      <c r="AS78" s="658"/>
      <c r="AT78" s="520"/>
      <c r="AU78" s="520"/>
      <c r="AV78" s="520"/>
      <c r="AW78" s="520" t="e">
        <f t="shared" si="61"/>
        <v>#N/A</v>
      </c>
      <c r="AX78" s="658"/>
    </row>
    <row r="79" spans="2:50">
      <c r="B79" s="627"/>
      <c r="C79" s="317">
        <v>13</v>
      </c>
      <c r="D79" s="470"/>
      <c r="E79" s="470"/>
      <c r="F79" s="470"/>
      <c r="G79" s="183"/>
      <c r="H79" s="662"/>
      <c r="I79" s="203"/>
      <c r="J79" s="203"/>
      <c r="K79" s="203"/>
      <c r="L79" s="601"/>
      <c r="M79" s="202" t="e">
        <f>RANK(K79, K$67:$K$81)</f>
        <v>#DIV/0!</v>
      </c>
      <c r="N79" s="619"/>
      <c r="O79" s="619"/>
      <c r="P79" s="470"/>
      <c r="Q79" s="470"/>
      <c r="R79" s="470"/>
      <c r="S79" s="349" t="e">
        <f t="shared" si="66"/>
        <v>#N/A</v>
      </c>
      <c r="T79" s="658"/>
      <c r="U79" s="520"/>
      <c r="V79" s="520"/>
      <c r="W79" s="520"/>
      <c r="X79" s="520" t="e">
        <f t="shared" si="51"/>
        <v>#N/A</v>
      </c>
      <c r="Y79" s="658"/>
      <c r="Z79" s="520"/>
      <c r="AA79" s="520"/>
      <c r="AB79" s="520"/>
      <c r="AC79" s="520" t="e">
        <f t="shared" si="53"/>
        <v>#N/A</v>
      </c>
      <c r="AD79" s="658"/>
      <c r="AE79" s="520"/>
      <c r="AF79" s="520"/>
      <c r="AG79" s="520"/>
      <c r="AH79" s="520" t="e">
        <f t="shared" si="55"/>
        <v>#N/A</v>
      </c>
      <c r="AI79" s="658"/>
      <c r="AJ79" s="520"/>
      <c r="AK79" s="520"/>
      <c r="AL79" s="520"/>
      <c r="AM79" s="520" t="e">
        <f t="shared" si="57"/>
        <v>#N/A</v>
      </c>
      <c r="AN79" s="658"/>
      <c r="AO79" s="520"/>
      <c r="AP79" s="520"/>
      <c r="AQ79" s="520"/>
      <c r="AR79" s="520" t="e">
        <f t="shared" si="59"/>
        <v>#N/A</v>
      </c>
      <c r="AS79" s="658"/>
      <c r="AT79" s="520"/>
      <c r="AU79" s="520"/>
      <c r="AV79" s="520"/>
      <c r="AW79" s="520" t="e">
        <f t="shared" si="61"/>
        <v>#N/A</v>
      </c>
      <c r="AX79" s="658"/>
    </row>
    <row r="80" spans="2:50">
      <c r="B80" s="627"/>
      <c r="C80" s="317">
        <v>14</v>
      </c>
      <c r="D80" s="470"/>
      <c r="E80" s="470"/>
      <c r="F80" s="470"/>
      <c r="G80" s="183"/>
      <c r="H80" s="662"/>
      <c r="I80" s="203"/>
      <c r="J80" s="203"/>
      <c r="K80" s="203"/>
      <c r="L80" s="601"/>
      <c r="M80" s="202" t="e">
        <f>RANK(K80, K$67:$K$81)</f>
        <v>#DIV/0!</v>
      </c>
      <c r="N80" s="619"/>
      <c r="O80" s="619"/>
      <c r="P80" s="470"/>
      <c r="Q80" s="470"/>
      <c r="R80" s="470"/>
      <c r="S80" s="349" t="e">
        <f t="shared" si="66"/>
        <v>#N/A</v>
      </c>
      <c r="T80" s="658"/>
      <c r="U80" s="520"/>
      <c r="V80" s="520"/>
      <c r="W80" s="520"/>
      <c r="X80" s="520" t="e">
        <f t="shared" si="51"/>
        <v>#N/A</v>
      </c>
      <c r="Y80" s="658"/>
      <c r="Z80" s="520"/>
      <c r="AA80" s="520"/>
      <c r="AB80" s="520"/>
      <c r="AC80" s="520" t="e">
        <f t="shared" si="53"/>
        <v>#N/A</v>
      </c>
      <c r="AD80" s="658"/>
      <c r="AE80" s="520"/>
      <c r="AF80" s="520"/>
      <c r="AG80" s="520"/>
      <c r="AH80" s="520" t="e">
        <f t="shared" si="55"/>
        <v>#N/A</v>
      </c>
      <c r="AI80" s="658"/>
      <c r="AJ80" s="520"/>
      <c r="AK80" s="520"/>
      <c r="AL80" s="520"/>
      <c r="AM80" s="520" t="e">
        <f t="shared" si="57"/>
        <v>#N/A</v>
      </c>
      <c r="AN80" s="658"/>
      <c r="AO80" s="520"/>
      <c r="AP80" s="520"/>
      <c r="AQ80" s="520"/>
      <c r="AR80" s="520" t="e">
        <f t="shared" si="59"/>
        <v>#N/A</v>
      </c>
      <c r="AS80" s="658"/>
      <c r="AT80" s="520"/>
      <c r="AU80" s="520"/>
      <c r="AV80" s="520"/>
      <c r="AW80" s="520" t="e">
        <f t="shared" si="61"/>
        <v>#N/A</v>
      </c>
      <c r="AX80" s="658"/>
    </row>
    <row r="81" spans="2:50">
      <c r="B81" s="627"/>
      <c r="C81" s="317">
        <v>15</v>
      </c>
      <c r="D81" s="470"/>
      <c r="E81" s="470"/>
      <c r="F81" s="470"/>
      <c r="G81" s="470"/>
      <c r="H81" s="663"/>
      <c r="I81" s="203"/>
      <c r="J81" s="203"/>
      <c r="K81" s="203"/>
      <c r="L81" s="602"/>
      <c r="M81" s="202" t="e">
        <f>RANK(K81, K$67:$K$81)</f>
        <v>#DIV/0!</v>
      </c>
      <c r="N81" s="619"/>
      <c r="O81" s="619"/>
      <c r="P81" s="470"/>
      <c r="Q81" s="470"/>
      <c r="R81" s="470"/>
      <c r="S81" s="349" t="e">
        <f t="shared" si="66"/>
        <v>#N/A</v>
      </c>
      <c r="T81" s="658"/>
      <c r="U81" s="520"/>
      <c r="V81" s="520"/>
      <c r="W81" s="520"/>
      <c r="X81" s="520" t="e">
        <f t="shared" si="51"/>
        <v>#N/A</v>
      </c>
      <c r="Y81" s="658"/>
      <c r="Z81" s="520"/>
      <c r="AA81" s="520"/>
      <c r="AB81" s="520"/>
      <c r="AC81" s="520" t="e">
        <f t="shared" si="53"/>
        <v>#N/A</v>
      </c>
      <c r="AD81" s="658"/>
      <c r="AE81" s="520"/>
      <c r="AF81" s="520"/>
      <c r="AG81" s="520"/>
      <c r="AH81" s="520" t="e">
        <f t="shared" si="55"/>
        <v>#N/A</v>
      </c>
      <c r="AI81" s="658"/>
      <c r="AJ81" s="520"/>
      <c r="AK81" s="520"/>
      <c r="AL81" s="520"/>
      <c r="AM81" s="520" t="e">
        <f t="shared" si="57"/>
        <v>#N/A</v>
      </c>
      <c r="AN81" s="658"/>
      <c r="AO81" s="520"/>
      <c r="AP81" s="520"/>
      <c r="AQ81" s="520"/>
      <c r="AR81" s="520" t="e">
        <f t="shared" si="59"/>
        <v>#N/A</v>
      </c>
      <c r="AS81" s="658"/>
      <c r="AT81" s="520"/>
      <c r="AU81" s="520"/>
      <c r="AV81" s="520"/>
      <c r="AW81" s="520" t="e">
        <f t="shared" si="61"/>
        <v>#N/A</v>
      </c>
      <c r="AX81" s="658"/>
    </row>
    <row r="82" spans="2:50" ht="15.5">
      <c r="B82" s="631" t="s">
        <v>163</v>
      </c>
      <c r="C82" s="632"/>
      <c r="D82" s="632"/>
      <c r="E82" s="632"/>
      <c r="F82" s="632"/>
      <c r="G82" s="632"/>
      <c r="H82" s="633"/>
      <c r="I82" s="209"/>
      <c r="J82" s="209"/>
      <c r="K82" s="209"/>
      <c r="L82" s="209"/>
      <c r="M82" s="208"/>
      <c r="N82" s="620" t="s">
        <v>156</v>
      </c>
      <c r="O82" s="620" t="s">
        <v>105</v>
      </c>
      <c r="P82" s="626">
        <f>P62+7</f>
        <v>46014</v>
      </c>
      <c r="Q82" s="627"/>
      <c r="R82" s="627"/>
      <c r="S82" s="627"/>
      <c r="T82" s="627"/>
      <c r="U82" s="623">
        <f>P82+1</f>
        <v>46015</v>
      </c>
      <c r="V82" s="624"/>
      <c r="W82" s="624"/>
      <c r="X82" s="624"/>
      <c r="Y82" s="625"/>
      <c r="Z82" s="623">
        <f>U82+1</f>
        <v>46016</v>
      </c>
      <c r="AA82" s="624"/>
      <c r="AB82" s="624"/>
      <c r="AC82" s="624"/>
      <c r="AD82" s="625"/>
      <c r="AE82" s="623">
        <f>Z82+1</f>
        <v>46017</v>
      </c>
      <c r="AF82" s="624"/>
      <c r="AG82" s="624"/>
      <c r="AH82" s="624"/>
      <c r="AI82" s="625"/>
      <c r="AJ82" s="623">
        <f>AE82+1</f>
        <v>46018</v>
      </c>
      <c r="AK82" s="624"/>
      <c r="AL82" s="624"/>
      <c r="AM82" s="624"/>
      <c r="AN82" s="625"/>
      <c r="AO82" s="623">
        <f>AJ82+1</f>
        <v>46019</v>
      </c>
      <c r="AP82" s="624"/>
      <c r="AQ82" s="624"/>
      <c r="AR82" s="624"/>
      <c r="AS82" s="625"/>
      <c r="AT82" s="623">
        <f>AO82+1</f>
        <v>46020</v>
      </c>
      <c r="AU82" s="624"/>
      <c r="AV82" s="624"/>
      <c r="AW82" s="624"/>
      <c r="AX82" s="625"/>
    </row>
    <row r="83" spans="2:50" ht="15.5">
      <c r="B83" s="634"/>
      <c r="C83" s="634"/>
      <c r="D83" s="634"/>
      <c r="E83" s="634"/>
      <c r="F83" s="634"/>
      <c r="G83" s="634"/>
      <c r="H83" s="634"/>
      <c r="I83" s="206"/>
      <c r="J83" s="206"/>
      <c r="K83" s="206"/>
      <c r="L83" s="206"/>
      <c r="M83" s="207"/>
      <c r="N83" s="622"/>
      <c r="O83" s="622"/>
      <c r="P83" s="626" t="s">
        <v>336</v>
      </c>
      <c r="Q83" s="627"/>
      <c r="R83" s="627"/>
      <c r="S83" s="627"/>
      <c r="T83" s="627"/>
      <c r="U83" s="626" t="s">
        <v>337</v>
      </c>
      <c r="V83" s="627"/>
      <c r="W83" s="627"/>
      <c r="X83" s="627"/>
      <c r="Y83" s="627"/>
      <c r="Z83" s="626" t="s">
        <v>338</v>
      </c>
      <c r="AA83" s="627"/>
      <c r="AB83" s="627"/>
      <c r="AC83" s="627"/>
      <c r="AD83" s="627"/>
      <c r="AE83" s="626" t="s">
        <v>339</v>
      </c>
      <c r="AF83" s="627"/>
      <c r="AG83" s="627"/>
      <c r="AH83" s="627"/>
      <c r="AI83" s="627"/>
      <c r="AJ83" s="626" t="s">
        <v>340</v>
      </c>
      <c r="AK83" s="627"/>
      <c r="AL83" s="627"/>
      <c r="AM83" s="627"/>
      <c r="AN83" s="627"/>
      <c r="AO83" s="626" t="s">
        <v>341</v>
      </c>
      <c r="AP83" s="627"/>
      <c r="AQ83" s="627"/>
      <c r="AR83" s="627"/>
      <c r="AS83" s="627"/>
      <c r="AT83" s="626" t="s">
        <v>342</v>
      </c>
      <c r="AU83" s="627"/>
      <c r="AV83" s="627"/>
      <c r="AW83" s="627"/>
      <c r="AX83" s="627"/>
    </row>
    <row r="84" spans="2:50">
      <c r="B84" s="619" t="s">
        <v>484</v>
      </c>
      <c r="C84" s="619" t="s">
        <v>485</v>
      </c>
      <c r="D84" s="619"/>
      <c r="E84" s="619" t="s">
        <v>486</v>
      </c>
      <c r="F84" s="619"/>
      <c r="G84" s="619"/>
      <c r="H84" s="635" t="s">
        <v>487</v>
      </c>
      <c r="I84" s="603" t="s">
        <v>488</v>
      </c>
      <c r="J84" s="603"/>
      <c r="K84" s="603"/>
      <c r="L84" s="604" t="s">
        <v>487</v>
      </c>
      <c r="M84" s="610" t="s">
        <v>489</v>
      </c>
      <c r="N84" s="619"/>
      <c r="O84" s="619" t="s">
        <v>490</v>
      </c>
      <c r="P84" s="616" t="s">
        <v>491</v>
      </c>
      <c r="Q84" s="617"/>
      <c r="R84" s="617"/>
      <c r="S84" s="618"/>
      <c r="T84" s="619" t="s">
        <v>487</v>
      </c>
      <c r="U84" s="616" t="s">
        <v>491</v>
      </c>
      <c r="V84" s="617"/>
      <c r="W84" s="617"/>
      <c r="X84" s="618"/>
      <c r="Y84" s="619" t="s">
        <v>487</v>
      </c>
      <c r="Z84" s="616" t="s">
        <v>491</v>
      </c>
      <c r="AA84" s="617"/>
      <c r="AB84" s="617"/>
      <c r="AC84" s="618"/>
      <c r="AD84" s="619" t="s">
        <v>487</v>
      </c>
      <c r="AE84" s="616" t="s">
        <v>491</v>
      </c>
      <c r="AF84" s="617"/>
      <c r="AG84" s="617"/>
      <c r="AH84" s="618"/>
      <c r="AI84" s="619" t="s">
        <v>487</v>
      </c>
      <c r="AJ84" s="616" t="s">
        <v>491</v>
      </c>
      <c r="AK84" s="617"/>
      <c r="AL84" s="617"/>
      <c r="AM84" s="618"/>
      <c r="AN84" s="619" t="s">
        <v>487</v>
      </c>
      <c r="AO84" s="616" t="s">
        <v>491</v>
      </c>
      <c r="AP84" s="617"/>
      <c r="AQ84" s="617"/>
      <c r="AR84" s="618"/>
      <c r="AS84" s="619" t="s">
        <v>487</v>
      </c>
      <c r="AT84" s="616" t="s">
        <v>491</v>
      </c>
      <c r="AU84" s="617"/>
      <c r="AV84" s="617"/>
      <c r="AW84" s="618"/>
      <c r="AX84" s="619" t="s">
        <v>487</v>
      </c>
    </row>
    <row r="85" spans="2:50">
      <c r="B85" s="619"/>
      <c r="C85" s="619"/>
      <c r="D85" s="619"/>
      <c r="E85" s="619" t="s">
        <v>492</v>
      </c>
      <c r="F85" s="619"/>
      <c r="G85" s="619"/>
      <c r="H85" s="636"/>
      <c r="I85" s="603" t="s">
        <v>492</v>
      </c>
      <c r="J85" s="603"/>
      <c r="K85" s="603"/>
      <c r="L85" s="605"/>
      <c r="M85" s="611"/>
      <c r="N85" s="619"/>
      <c r="O85" s="619"/>
      <c r="P85" s="616" t="s">
        <v>493</v>
      </c>
      <c r="Q85" s="617"/>
      <c r="R85" s="617"/>
      <c r="S85" s="618"/>
      <c r="T85" s="619"/>
      <c r="U85" s="616" t="s">
        <v>493</v>
      </c>
      <c r="V85" s="617"/>
      <c r="W85" s="617"/>
      <c r="X85" s="618"/>
      <c r="Y85" s="619"/>
      <c r="Z85" s="616" t="s">
        <v>493</v>
      </c>
      <c r="AA85" s="617"/>
      <c r="AB85" s="617"/>
      <c r="AC85" s="618"/>
      <c r="AD85" s="619"/>
      <c r="AE85" s="616" t="s">
        <v>493</v>
      </c>
      <c r="AF85" s="617"/>
      <c r="AG85" s="617"/>
      <c r="AH85" s="618"/>
      <c r="AI85" s="619"/>
      <c r="AJ85" s="616" t="s">
        <v>493</v>
      </c>
      <c r="AK85" s="617"/>
      <c r="AL85" s="617"/>
      <c r="AM85" s="618"/>
      <c r="AN85" s="619"/>
      <c r="AO85" s="616" t="s">
        <v>493</v>
      </c>
      <c r="AP85" s="617"/>
      <c r="AQ85" s="617"/>
      <c r="AR85" s="618"/>
      <c r="AS85" s="619"/>
      <c r="AT85" s="616" t="s">
        <v>493</v>
      </c>
      <c r="AU85" s="617"/>
      <c r="AV85" s="617"/>
      <c r="AW85" s="618"/>
      <c r="AX85" s="619"/>
    </row>
    <row r="86" spans="2:50">
      <c r="B86" s="619"/>
      <c r="C86" s="619"/>
      <c r="D86" s="619"/>
      <c r="E86" s="307" t="s">
        <v>494</v>
      </c>
      <c r="F86" s="307" t="s">
        <v>495</v>
      </c>
      <c r="G86" s="307" t="s">
        <v>496</v>
      </c>
      <c r="H86" s="637"/>
      <c r="I86" s="308" t="s">
        <v>494</v>
      </c>
      <c r="J86" s="308" t="s">
        <v>495</v>
      </c>
      <c r="K86" s="308" t="s">
        <v>496</v>
      </c>
      <c r="L86" s="606"/>
      <c r="M86" s="612"/>
      <c r="N86" s="619"/>
      <c r="O86" s="619"/>
      <c r="P86" s="307" t="s">
        <v>494</v>
      </c>
      <c r="Q86" s="307" t="s">
        <v>495</v>
      </c>
      <c r="R86" s="307" t="s">
        <v>496</v>
      </c>
      <c r="S86" s="307" t="s">
        <v>489</v>
      </c>
      <c r="T86" s="619"/>
      <c r="U86" s="307" t="s">
        <v>494</v>
      </c>
      <c r="V86" s="307" t="s">
        <v>495</v>
      </c>
      <c r="W86" s="307" t="s">
        <v>496</v>
      </c>
      <c r="X86" s="307" t="s">
        <v>489</v>
      </c>
      <c r="Y86" s="619"/>
      <c r="Z86" s="307" t="s">
        <v>494</v>
      </c>
      <c r="AA86" s="307" t="s">
        <v>495</v>
      </c>
      <c r="AB86" s="307" t="s">
        <v>496</v>
      </c>
      <c r="AC86" s="307" t="s">
        <v>489</v>
      </c>
      <c r="AD86" s="619"/>
      <c r="AE86" s="307" t="s">
        <v>494</v>
      </c>
      <c r="AF86" s="307" t="s">
        <v>495</v>
      </c>
      <c r="AG86" s="307" t="s">
        <v>496</v>
      </c>
      <c r="AH86" s="307" t="s">
        <v>489</v>
      </c>
      <c r="AI86" s="619"/>
      <c r="AJ86" s="307" t="s">
        <v>494</v>
      </c>
      <c r="AK86" s="307" t="s">
        <v>495</v>
      </c>
      <c r="AL86" s="307" t="s">
        <v>496</v>
      </c>
      <c r="AM86" s="307" t="s">
        <v>489</v>
      </c>
      <c r="AN86" s="619"/>
      <c r="AO86" s="307" t="s">
        <v>494</v>
      </c>
      <c r="AP86" s="307" t="s">
        <v>495</v>
      </c>
      <c r="AQ86" s="307" t="s">
        <v>496</v>
      </c>
      <c r="AR86" s="307" t="s">
        <v>489</v>
      </c>
      <c r="AS86" s="619"/>
      <c r="AT86" s="307" t="s">
        <v>494</v>
      </c>
      <c r="AU86" s="307" t="s">
        <v>495</v>
      </c>
      <c r="AV86" s="307" t="s">
        <v>496</v>
      </c>
      <c r="AW86" s="307" t="s">
        <v>489</v>
      </c>
      <c r="AX86" s="619"/>
    </row>
    <row r="87" spans="2:50">
      <c r="B87" s="660" t="s">
        <v>497</v>
      </c>
      <c r="C87" s="306">
        <v>1</v>
      </c>
      <c r="D87" s="470"/>
      <c r="E87" s="470"/>
      <c r="F87" s="470"/>
      <c r="G87" s="183"/>
      <c r="H87" s="661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00" t="str">
        <f>IFERROR(AVERAGE(K87:K101),"-")</f>
        <v>-</v>
      </c>
      <c r="M87" s="202" t="e">
        <f>RANK(K87, K$87:$K$101)</f>
        <v>#DIV/0!</v>
      </c>
      <c r="N87" s="619"/>
      <c r="O87" s="619"/>
      <c r="P87" s="183"/>
      <c r="Q87" s="183"/>
      <c r="R87" s="471"/>
      <c r="S87" s="306" t="e">
        <f>RANK(R87, R$87:R$101)</f>
        <v>#N/A</v>
      </c>
      <c r="T87" s="658" t="e">
        <f>AVERAGE(R87:R101)</f>
        <v>#DIV/0!</v>
      </c>
      <c r="U87" s="183"/>
      <c r="V87" s="183"/>
      <c r="W87" s="521"/>
      <c r="X87" s="520" t="e">
        <f t="shared" ref="X87:X101" si="70">RANK(W87, W$87:W$101)</f>
        <v>#N/A</v>
      </c>
      <c r="Y87" s="658" t="e">
        <f t="shared" ref="Y87" si="71">AVERAGE(W87:W101)</f>
        <v>#DIV/0!</v>
      </c>
      <c r="Z87" s="183"/>
      <c r="AA87" s="183"/>
      <c r="AB87" s="521"/>
      <c r="AC87" s="520" t="e">
        <f t="shared" ref="AC87:AC101" si="72">RANK(AB87, AB$87:AB$101)</f>
        <v>#N/A</v>
      </c>
      <c r="AD87" s="658" t="e">
        <f t="shared" ref="AD87" si="73">AVERAGE(AB87:AB101)</f>
        <v>#DIV/0!</v>
      </c>
      <c r="AE87" s="183"/>
      <c r="AF87" s="183"/>
      <c r="AG87" s="521"/>
      <c r="AH87" s="520" t="e">
        <f t="shared" ref="AH87:AH101" si="74">RANK(AG87, AG$87:AG$101)</f>
        <v>#N/A</v>
      </c>
      <c r="AI87" s="658" t="e">
        <f t="shared" ref="AI87" si="75">AVERAGE(AG87:AG101)</f>
        <v>#DIV/0!</v>
      </c>
      <c r="AJ87" s="183"/>
      <c r="AK87" s="183"/>
      <c r="AL87" s="521"/>
      <c r="AM87" s="520" t="e">
        <f t="shared" ref="AM87:AM101" si="76">RANK(AL87, AL$87:AL$101)</f>
        <v>#N/A</v>
      </c>
      <c r="AN87" s="658" t="e">
        <f t="shared" ref="AN87" si="77">AVERAGE(AL87:AL101)</f>
        <v>#DIV/0!</v>
      </c>
      <c r="AO87" s="183"/>
      <c r="AP87" s="183"/>
      <c r="AQ87" s="521"/>
      <c r="AR87" s="520" t="e">
        <f t="shared" ref="AR87:AR101" si="78">RANK(AQ87, AQ$87:AQ$101)</f>
        <v>#N/A</v>
      </c>
      <c r="AS87" s="658" t="e">
        <f t="shared" ref="AS87" si="79">AVERAGE(AQ87:AQ101)</f>
        <v>#DIV/0!</v>
      </c>
      <c r="AT87" s="183"/>
      <c r="AU87" s="183"/>
      <c r="AV87" s="521"/>
      <c r="AW87" s="520" t="e">
        <f t="shared" ref="AW87:AW101" si="80">RANK(AV87, AV$87:AV$101)</f>
        <v>#N/A</v>
      </c>
      <c r="AX87" s="658" t="e">
        <f t="shared" ref="AX87" si="81">AVERAGE(AV87:AV101)</f>
        <v>#DIV/0!</v>
      </c>
    </row>
    <row r="88" spans="2:50">
      <c r="B88" s="627"/>
      <c r="C88" s="306">
        <v>2</v>
      </c>
      <c r="D88" s="470"/>
      <c r="E88" s="470"/>
      <c r="F88" s="470"/>
      <c r="G88" s="183"/>
      <c r="H88" s="662"/>
      <c r="I88" s="200" t="e">
        <f t="shared" ref="I88:I93" si="82">AVERAGE(P88,U88,Z88,AE88,AJ88,AO88,AT88)</f>
        <v>#DIV/0!</v>
      </c>
      <c r="J88" s="200" t="e">
        <f t="shared" ref="J88:J93" si="83">AVERAGE(Q88,V88,AA88,AF88,AK88,AP88,AU88)</f>
        <v>#DIV/0!</v>
      </c>
      <c r="K88" s="201" t="e">
        <f t="shared" ref="K88:K93" si="84">AVERAGE(R88,W88,AB88,AG88,AL88,AQ88,AV88)</f>
        <v>#DIV/0!</v>
      </c>
      <c r="L88" s="601"/>
      <c r="M88" s="202" t="e">
        <f>RANK(K88, K$87:$K$101)</f>
        <v>#DIV/0!</v>
      </c>
      <c r="N88" s="619"/>
      <c r="O88" s="619"/>
      <c r="P88" s="470"/>
      <c r="Q88" s="183"/>
      <c r="R88" s="471"/>
      <c r="S88" s="306" t="e">
        <f t="shared" ref="S88:S101" si="85">RANK(R88, R$87:R$101)</f>
        <v>#N/A</v>
      </c>
      <c r="T88" s="658"/>
      <c r="U88" s="520"/>
      <c r="V88" s="183"/>
      <c r="W88" s="521"/>
      <c r="X88" s="520" t="e">
        <f t="shared" si="70"/>
        <v>#N/A</v>
      </c>
      <c r="Y88" s="658"/>
      <c r="Z88" s="520"/>
      <c r="AA88" s="183"/>
      <c r="AB88" s="521"/>
      <c r="AC88" s="520" t="e">
        <f t="shared" si="72"/>
        <v>#N/A</v>
      </c>
      <c r="AD88" s="658"/>
      <c r="AE88" s="520"/>
      <c r="AF88" s="183"/>
      <c r="AG88" s="521"/>
      <c r="AH88" s="520" t="e">
        <f t="shared" si="74"/>
        <v>#N/A</v>
      </c>
      <c r="AI88" s="658"/>
      <c r="AJ88" s="520"/>
      <c r="AK88" s="183"/>
      <c r="AL88" s="521"/>
      <c r="AM88" s="520" t="e">
        <f t="shared" si="76"/>
        <v>#N/A</v>
      </c>
      <c r="AN88" s="658"/>
      <c r="AO88" s="520"/>
      <c r="AP88" s="183"/>
      <c r="AQ88" s="521"/>
      <c r="AR88" s="520" t="e">
        <f t="shared" si="78"/>
        <v>#N/A</v>
      </c>
      <c r="AS88" s="658"/>
      <c r="AT88" s="520"/>
      <c r="AU88" s="183"/>
      <c r="AV88" s="521"/>
      <c r="AW88" s="520" t="e">
        <f t="shared" si="80"/>
        <v>#N/A</v>
      </c>
      <c r="AX88" s="658"/>
    </row>
    <row r="89" spans="2:50">
      <c r="B89" s="627"/>
      <c r="C89" s="306">
        <v>3</v>
      </c>
      <c r="D89" s="470"/>
      <c r="E89" s="470"/>
      <c r="F89" s="470"/>
      <c r="G89" s="183"/>
      <c r="H89" s="662"/>
      <c r="I89" s="200" t="e">
        <f t="shared" si="82"/>
        <v>#DIV/0!</v>
      </c>
      <c r="J89" s="200" t="e">
        <f t="shared" si="83"/>
        <v>#DIV/0!</v>
      </c>
      <c r="K89" s="201" t="e">
        <f t="shared" si="84"/>
        <v>#DIV/0!</v>
      </c>
      <c r="L89" s="601"/>
      <c r="M89" s="202" t="e">
        <f>RANK(K89, K$87:$K$101)</f>
        <v>#DIV/0!</v>
      </c>
      <c r="N89" s="619"/>
      <c r="O89" s="619"/>
      <c r="P89" s="470"/>
      <c r="Q89" s="183"/>
      <c r="R89" s="471"/>
      <c r="S89" s="306" t="e">
        <f t="shared" si="85"/>
        <v>#N/A</v>
      </c>
      <c r="T89" s="658"/>
      <c r="U89" s="520"/>
      <c r="V89" s="183"/>
      <c r="W89" s="521"/>
      <c r="X89" s="520" t="e">
        <f t="shared" si="70"/>
        <v>#N/A</v>
      </c>
      <c r="Y89" s="658"/>
      <c r="Z89" s="520"/>
      <c r="AA89" s="183"/>
      <c r="AB89" s="521"/>
      <c r="AC89" s="520" t="e">
        <f t="shared" si="72"/>
        <v>#N/A</v>
      </c>
      <c r="AD89" s="658"/>
      <c r="AE89" s="520"/>
      <c r="AF89" s="183"/>
      <c r="AG89" s="521"/>
      <c r="AH89" s="520" t="e">
        <f t="shared" si="74"/>
        <v>#N/A</v>
      </c>
      <c r="AI89" s="658"/>
      <c r="AJ89" s="520"/>
      <c r="AK89" s="183"/>
      <c r="AL89" s="521"/>
      <c r="AM89" s="520" t="e">
        <f t="shared" si="76"/>
        <v>#N/A</v>
      </c>
      <c r="AN89" s="658"/>
      <c r="AO89" s="520"/>
      <c r="AP89" s="183"/>
      <c r="AQ89" s="521"/>
      <c r="AR89" s="520" t="e">
        <f t="shared" si="78"/>
        <v>#N/A</v>
      </c>
      <c r="AS89" s="658"/>
      <c r="AT89" s="520"/>
      <c r="AU89" s="183"/>
      <c r="AV89" s="521"/>
      <c r="AW89" s="520" t="e">
        <f t="shared" si="80"/>
        <v>#N/A</v>
      </c>
      <c r="AX89" s="658"/>
    </row>
    <row r="90" spans="2:50">
      <c r="B90" s="627"/>
      <c r="C90" s="306">
        <v>4</v>
      </c>
      <c r="D90" s="470"/>
      <c r="E90" s="470"/>
      <c r="F90" s="470"/>
      <c r="G90" s="183"/>
      <c r="H90" s="662"/>
      <c r="I90" s="200" t="e">
        <f t="shared" si="82"/>
        <v>#DIV/0!</v>
      </c>
      <c r="J90" s="200" t="e">
        <f t="shared" si="83"/>
        <v>#DIV/0!</v>
      </c>
      <c r="K90" s="201" t="e">
        <f t="shared" si="84"/>
        <v>#DIV/0!</v>
      </c>
      <c r="L90" s="601"/>
      <c r="M90" s="202" t="e">
        <f>RANK(K90, K$87:$K$101)</f>
        <v>#DIV/0!</v>
      </c>
      <c r="N90" s="619"/>
      <c r="O90" s="619"/>
      <c r="P90" s="470"/>
      <c r="Q90" s="183"/>
      <c r="R90" s="471"/>
      <c r="S90" s="306" t="e">
        <f t="shared" si="85"/>
        <v>#N/A</v>
      </c>
      <c r="T90" s="658"/>
      <c r="U90" s="520"/>
      <c r="V90" s="183"/>
      <c r="W90" s="521"/>
      <c r="X90" s="520" t="e">
        <f t="shared" si="70"/>
        <v>#N/A</v>
      </c>
      <c r="Y90" s="658"/>
      <c r="Z90" s="520"/>
      <c r="AA90" s="183"/>
      <c r="AB90" s="521"/>
      <c r="AC90" s="520" t="e">
        <f t="shared" si="72"/>
        <v>#N/A</v>
      </c>
      <c r="AD90" s="658"/>
      <c r="AE90" s="520"/>
      <c r="AF90" s="183"/>
      <c r="AG90" s="521"/>
      <c r="AH90" s="520" t="e">
        <f t="shared" si="74"/>
        <v>#N/A</v>
      </c>
      <c r="AI90" s="658"/>
      <c r="AJ90" s="520"/>
      <c r="AK90" s="183"/>
      <c r="AL90" s="521"/>
      <c r="AM90" s="520" t="e">
        <f t="shared" si="76"/>
        <v>#N/A</v>
      </c>
      <c r="AN90" s="658"/>
      <c r="AO90" s="520"/>
      <c r="AP90" s="183"/>
      <c r="AQ90" s="521"/>
      <c r="AR90" s="520" t="e">
        <f t="shared" si="78"/>
        <v>#N/A</v>
      </c>
      <c r="AS90" s="658"/>
      <c r="AT90" s="520"/>
      <c r="AU90" s="183"/>
      <c r="AV90" s="521"/>
      <c r="AW90" s="520" t="e">
        <f t="shared" si="80"/>
        <v>#N/A</v>
      </c>
      <c r="AX90" s="658"/>
    </row>
    <row r="91" spans="2:50">
      <c r="B91" s="627"/>
      <c r="C91" s="306">
        <v>5</v>
      </c>
      <c r="D91" s="470"/>
      <c r="E91" s="470"/>
      <c r="F91" s="470"/>
      <c r="G91" s="183"/>
      <c r="H91" s="662"/>
      <c r="I91" s="200" t="e">
        <f t="shared" si="82"/>
        <v>#DIV/0!</v>
      </c>
      <c r="J91" s="200" t="e">
        <f t="shared" si="83"/>
        <v>#DIV/0!</v>
      </c>
      <c r="K91" s="201" t="e">
        <f t="shared" si="84"/>
        <v>#DIV/0!</v>
      </c>
      <c r="L91" s="601"/>
      <c r="M91" s="202" t="e">
        <f>RANK(K91, K$87:$K$101)</f>
        <v>#DIV/0!</v>
      </c>
      <c r="N91" s="619"/>
      <c r="O91" s="619"/>
      <c r="P91" s="470"/>
      <c r="Q91" s="183"/>
      <c r="R91" s="471"/>
      <c r="S91" s="306" t="e">
        <f t="shared" si="85"/>
        <v>#N/A</v>
      </c>
      <c r="T91" s="658"/>
      <c r="U91" s="520"/>
      <c r="V91" s="183"/>
      <c r="W91" s="521"/>
      <c r="X91" s="520" t="e">
        <f t="shared" si="70"/>
        <v>#N/A</v>
      </c>
      <c r="Y91" s="658"/>
      <c r="Z91" s="520"/>
      <c r="AA91" s="183"/>
      <c r="AB91" s="521"/>
      <c r="AC91" s="520" t="e">
        <f t="shared" si="72"/>
        <v>#N/A</v>
      </c>
      <c r="AD91" s="658"/>
      <c r="AE91" s="520"/>
      <c r="AF91" s="183"/>
      <c r="AG91" s="521"/>
      <c r="AH91" s="520" t="e">
        <f t="shared" si="74"/>
        <v>#N/A</v>
      </c>
      <c r="AI91" s="658"/>
      <c r="AJ91" s="520"/>
      <c r="AK91" s="183"/>
      <c r="AL91" s="521"/>
      <c r="AM91" s="520" t="e">
        <f t="shared" si="76"/>
        <v>#N/A</v>
      </c>
      <c r="AN91" s="658"/>
      <c r="AO91" s="520"/>
      <c r="AP91" s="183"/>
      <c r="AQ91" s="521"/>
      <c r="AR91" s="520" t="e">
        <f t="shared" si="78"/>
        <v>#N/A</v>
      </c>
      <c r="AS91" s="658"/>
      <c r="AT91" s="520"/>
      <c r="AU91" s="183"/>
      <c r="AV91" s="521"/>
      <c r="AW91" s="520" t="e">
        <f t="shared" si="80"/>
        <v>#N/A</v>
      </c>
      <c r="AX91" s="658"/>
    </row>
    <row r="92" spans="2:50">
      <c r="B92" s="627"/>
      <c r="C92" s="306">
        <v>6</v>
      </c>
      <c r="D92" s="470"/>
      <c r="E92" s="470"/>
      <c r="F92" s="470"/>
      <c r="G92" s="183"/>
      <c r="H92" s="662"/>
      <c r="I92" s="200" t="e">
        <f t="shared" si="82"/>
        <v>#DIV/0!</v>
      </c>
      <c r="J92" s="200" t="e">
        <f t="shared" si="83"/>
        <v>#DIV/0!</v>
      </c>
      <c r="K92" s="201" t="e">
        <f t="shared" si="84"/>
        <v>#DIV/0!</v>
      </c>
      <c r="L92" s="601"/>
      <c r="M92" s="202" t="e">
        <f>RANK(K92, K$87:$K$101)</f>
        <v>#DIV/0!</v>
      </c>
      <c r="N92" s="619"/>
      <c r="O92" s="619"/>
      <c r="P92" s="470"/>
      <c r="Q92" s="183"/>
      <c r="R92" s="471"/>
      <c r="S92" s="306" t="e">
        <f t="shared" si="85"/>
        <v>#N/A</v>
      </c>
      <c r="T92" s="658"/>
      <c r="U92" s="520"/>
      <c r="V92" s="183"/>
      <c r="W92" s="521"/>
      <c r="X92" s="520" t="e">
        <f t="shared" si="70"/>
        <v>#N/A</v>
      </c>
      <c r="Y92" s="658"/>
      <c r="Z92" s="520"/>
      <c r="AA92" s="183"/>
      <c r="AB92" s="521"/>
      <c r="AC92" s="520" t="e">
        <f t="shared" si="72"/>
        <v>#N/A</v>
      </c>
      <c r="AD92" s="658"/>
      <c r="AE92" s="520"/>
      <c r="AF92" s="183"/>
      <c r="AG92" s="521"/>
      <c r="AH92" s="520" t="e">
        <f t="shared" si="74"/>
        <v>#N/A</v>
      </c>
      <c r="AI92" s="658"/>
      <c r="AJ92" s="520"/>
      <c r="AK92" s="183"/>
      <c r="AL92" s="521"/>
      <c r="AM92" s="520" t="e">
        <f t="shared" si="76"/>
        <v>#N/A</v>
      </c>
      <c r="AN92" s="658"/>
      <c r="AO92" s="520"/>
      <c r="AP92" s="183"/>
      <c r="AQ92" s="521"/>
      <c r="AR92" s="520" t="e">
        <f t="shared" si="78"/>
        <v>#N/A</v>
      </c>
      <c r="AS92" s="658"/>
      <c r="AT92" s="520"/>
      <c r="AU92" s="183"/>
      <c r="AV92" s="521"/>
      <c r="AW92" s="520" t="e">
        <f t="shared" si="80"/>
        <v>#N/A</v>
      </c>
      <c r="AX92" s="658"/>
    </row>
    <row r="93" spans="2:50">
      <c r="B93" s="627"/>
      <c r="C93" s="306">
        <v>7</v>
      </c>
      <c r="D93" s="470"/>
      <c r="E93" s="470"/>
      <c r="F93" s="470"/>
      <c r="G93" s="183"/>
      <c r="H93" s="662"/>
      <c r="I93" s="200" t="e">
        <f t="shared" si="82"/>
        <v>#DIV/0!</v>
      </c>
      <c r="J93" s="200" t="e">
        <f t="shared" si="83"/>
        <v>#DIV/0!</v>
      </c>
      <c r="K93" s="201" t="e">
        <f t="shared" si="84"/>
        <v>#DIV/0!</v>
      </c>
      <c r="L93" s="601"/>
      <c r="M93" s="202" t="e">
        <f>RANK(K93, K$87:$K$101)</f>
        <v>#DIV/0!</v>
      </c>
      <c r="N93" s="619"/>
      <c r="O93" s="619"/>
      <c r="P93" s="470"/>
      <c r="Q93" s="183"/>
      <c r="R93" s="471"/>
      <c r="S93" s="306" t="e">
        <f t="shared" si="85"/>
        <v>#N/A</v>
      </c>
      <c r="T93" s="658"/>
      <c r="U93" s="520"/>
      <c r="V93" s="183"/>
      <c r="W93" s="521"/>
      <c r="X93" s="520" t="e">
        <f t="shared" si="70"/>
        <v>#N/A</v>
      </c>
      <c r="Y93" s="658"/>
      <c r="Z93" s="520"/>
      <c r="AA93" s="183"/>
      <c r="AB93" s="521"/>
      <c r="AC93" s="520" t="e">
        <f t="shared" si="72"/>
        <v>#N/A</v>
      </c>
      <c r="AD93" s="658"/>
      <c r="AE93" s="520"/>
      <c r="AF93" s="183"/>
      <c r="AG93" s="521"/>
      <c r="AH93" s="520" t="e">
        <f t="shared" si="74"/>
        <v>#N/A</v>
      </c>
      <c r="AI93" s="658"/>
      <c r="AJ93" s="520"/>
      <c r="AK93" s="183"/>
      <c r="AL93" s="521"/>
      <c r="AM93" s="520" t="e">
        <f t="shared" si="76"/>
        <v>#N/A</v>
      </c>
      <c r="AN93" s="658"/>
      <c r="AO93" s="520"/>
      <c r="AP93" s="183"/>
      <c r="AQ93" s="521"/>
      <c r="AR93" s="520" t="e">
        <f t="shared" si="78"/>
        <v>#N/A</v>
      </c>
      <c r="AS93" s="658"/>
      <c r="AT93" s="520"/>
      <c r="AU93" s="183"/>
      <c r="AV93" s="521"/>
      <c r="AW93" s="520" t="e">
        <f t="shared" si="80"/>
        <v>#N/A</v>
      </c>
      <c r="AX93" s="658"/>
    </row>
    <row r="94" spans="2:50">
      <c r="B94" s="627"/>
      <c r="C94" s="306">
        <v>8</v>
      </c>
      <c r="D94" s="470"/>
      <c r="E94" s="470"/>
      <c r="F94" s="470"/>
      <c r="G94" s="183"/>
      <c r="H94" s="662"/>
      <c r="I94" s="466" t="e">
        <f t="shared" ref="I94" si="86">AVERAGE(P94,U94,Z94,AE94,AJ94,AO94,AT94)</f>
        <v>#DIV/0!</v>
      </c>
      <c r="J94" s="466" t="e">
        <f t="shared" ref="J94" si="87">AVERAGE(Q94,V94,AA94,AF94,AK94,AP94,AU94)</f>
        <v>#DIV/0!</v>
      </c>
      <c r="K94" s="201" t="e">
        <f t="shared" ref="K94" si="88">AVERAGE(R94,W94,AB94,AG94,AL94,AQ94,AV94)</f>
        <v>#DIV/0!</v>
      </c>
      <c r="L94" s="601"/>
      <c r="M94" s="202" t="e">
        <f>RANK(K94, K$87:$K$101)</f>
        <v>#DIV/0!</v>
      </c>
      <c r="N94" s="619"/>
      <c r="O94" s="619"/>
      <c r="P94" s="470"/>
      <c r="Q94" s="183"/>
      <c r="R94" s="471"/>
      <c r="S94" s="306" t="e">
        <f t="shared" si="85"/>
        <v>#N/A</v>
      </c>
      <c r="T94" s="658"/>
      <c r="U94" s="520"/>
      <c r="V94" s="183"/>
      <c r="W94" s="521"/>
      <c r="X94" s="520" t="e">
        <f t="shared" si="70"/>
        <v>#N/A</v>
      </c>
      <c r="Y94" s="658"/>
      <c r="Z94" s="520"/>
      <c r="AA94" s="183"/>
      <c r="AB94" s="521"/>
      <c r="AC94" s="520" t="e">
        <f t="shared" si="72"/>
        <v>#N/A</v>
      </c>
      <c r="AD94" s="658"/>
      <c r="AE94" s="520"/>
      <c r="AF94" s="183"/>
      <c r="AG94" s="521"/>
      <c r="AH94" s="520" t="e">
        <f t="shared" si="74"/>
        <v>#N/A</v>
      </c>
      <c r="AI94" s="658"/>
      <c r="AJ94" s="520"/>
      <c r="AK94" s="183"/>
      <c r="AL94" s="521"/>
      <c r="AM94" s="520" t="e">
        <f t="shared" si="76"/>
        <v>#N/A</v>
      </c>
      <c r="AN94" s="658"/>
      <c r="AO94" s="520"/>
      <c r="AP94" s="183"/>
      <c r="AQ94" s="521"/>
      <c r="AR94" s="520" t="e">
        <f t="shared" si="78"/>
        <v>#N/A</v>
      </c>
      <c r="AS94" s="658"/>
      <c r="AT94" s="520"/>
      <c r="AU94" s="183"/>
      <c r="AV94" s="521"/>
      <c r="AW94" s="520" t="e">
        <f t="shared" si="80"/>
        <v>#N/A</v>
      </c>
      <c r="AX94" s="658"/>
    </row>
    <row r="95" spans="2:50">
      <c r="B95" s="627"/>
      <c r="C95" s="306">
        <v>9</v>
      </c>
      <c r="D95" s="470"/>
      <c r="E95" s="470"/>
      <c r="F95" s="470"/>
      <c r="G95" s="183"/>
      <c r="H95" s="662"/>
      <c r="I95" s="200"/>
      <c r="J95" s="200"/>
      <c r="K95" s="201"/>
      <c r="L95" s="601"/>
      <c r="M95" s="202" t="e">
        <f>RANK(K95, K$87:$K$101)</f>
        <v>#DIV/0!</v>
      </c>
      <c r="N95" s="619"/>
      <c r="O95" s="619"/>
      <c r="P95" s="470"/>
      <c r="Q95" s="183"/>
      <c r="R95" s="471"/>
      <c r="S95" s="306" t="e">
        <f t="shared" si="85"/>
        <v>#N/A</v>
      </c>
      <c r="T95" s="658"/>
      <c r="U95" s="520"/>
      <c r="V95" s="183"/>
      <c r="W95" s="521"/>
      <c r="X95" s="520" t="e">
        <f t="shared" si="70"/>
        <v>#N/A</v>
      </c>
      <c r="Y95" s="658"/>
      <c r="Z95" s="520"/>
      <c r="AA95" s="183"/>
      <c r="AB95" s="521"/>
      <c r="AC95" s="520" t="e">
        <f t="shared" si="72"/>
        <v>#N/A</v>
      </c>
      <c r="AD95" s="658"/>
      <c r="AE95" s="520"/>
      <c r="AF95" s="183"/>
      <c r="AG95" s="521"/>
      <c r="AH95" s="520" t="e">
        <f t="shared" si="74"/>
        <v>#N/A</v>
      </c>
      <c r="AI95" s="658"/>
      <c r="AJ95" s="520"/>
      <c r="AK95" s="183"/>
      <c r="AL95" s="521"/>
      <c r="AM95" s="520" t="e">
        <f t="shared" si="76"/>
        <v>#N/A</v>
      </c>
      <c r="AN95" s="658"/>
      <c r="AO95" s="520"/>
      <c r="AP95" s="183"/>
      <c r="AQ95" s="521"/>
      <c r="AR95" s="520" t="e">
        <f t="shared" si="78"/>
        <v>#N/A</v>
      </c>
      <c r="AS95" s="658"/>
      <c r="AT95" s="520"/>
      <c r="AU95" s="183"/>
      <c r="AV95" s="521"/>
      <c r="AW95" s="520" t="e">
        <f t="shared" si="80"/>
        <v>#N/A</v>
      </c>
      <c r="AX95" s="658"/>
    </row>
    <row r="96" spans="2:50">
      <c r="B96" s="627"/>
      <c r="C96" s="306">
        <v>10</v>
      </c>
      <c r="D96" s="470"/>
      <c r="E96" s="470"/>
      <c r="F96" s="470"/>
      <c r="G96" s="183"/>
      <c r="H96" s="662"/>
      <c r="I96" s="200"/>
      <c r="J96" s="200"/>
      <c r="K96" s="201"/>
      <c r="L96" s="601"/>
      <c r="M96" s="202" t="e">
        <f>RANK(K96, K$87:$K$101)</f>
        <v>#DIV/0!</v>
      </c>
      <c r="N96" s="619"/>
      <c r="O96" s="619"/>
      <c r="P96" s="470"/>
      <c r="Q96" s="183"/>
      <c r="R96" s="471"/>
      <c r="S96" s="306" t="e">
        <f t="shared" si="85"/>
        <v>#N/A</v>
      </c>
      <c r="T96" s="658"/>
      <c r="U96" s="520"/>
      <c r="V96" s="183"/>
      <c r="W96" s="521"/>
      <c r="X96" s="520" t="e">
        <f t="shared" si="70"/>
        <v>#N/A</v>
      </c>
      <c r="Y96" s="658"/>
      <c r="Z96" s="520"/>
      <c r="AA96" s="183"/>
      <c r="AB96" s="521"/>
      <c r="AC96" s="520" t="e">
        <f t="shared" si="72"/>
        <v>#N/A</v>
      </c>
      <c r="AD96" s="658"/>
      <c r="AE96" s="520"/>
      <c r="AF96" s="183"/>
      <c r="AG96" s="521"/>
      <c r="AH96" s="520" t="e">
        <f t="shared" si="74"/>
        <v>#N/A</v>
      </c>
      <c r="AI96" s="658"/>
      <c r="AJ96" s="520"/>
      <c r="AK96" s="183"/>
      <c r="AL96" s="521"/>
      <c r="AM96" s="520" t="e">
        <f t="shared" si="76"/>
        <v>#N/A</v>
      </c>
      <c r="AN96" s="658"/>
      <c r="AO96" s="520"/>
      <c r="AP96" s="183"/>
      <c r="AQ96" s="521"/>
      <c r="AR96" s="520" t="e">
        <f t="shared" si="78"/>
        <v>#N/A</v>
      </c>
      <c r="AS96" s="658"/>
      <c r="AT96" s="520"/>
      <c r="AU96" s="183"/>
      <c r="AV96" s="521"/>
      <c r="AW96" s="520" t="e">
        <f t="shared" si="80"/>
        <v>#N/A</v>
      </c>
      <c r="AX96" s="658"/>
    </row>
    <row r="97" spans="2:50">
      <c r="B97" s="627"/>
      <c r="C97" s="306">
        <v>11</v>
      </c>
      <c r="D97" s="470"/>
      <c r="E97" s="470"/>
      <c r="F97" s="470"/>
      <c r="G97" s="183"/>
      <c r="H97" s="662"/>
      <c r="I97" s="203"/>
      <c r="J97" s="203"/>
      <c r="K97" s="203"/>
      <c r="L97" s="601"/>
      <c r="M97" s="202" t="e">
        <f>RANK(K97, K$87:$K$101)</f>
        <v>#DIV/0!</v>
      </c>
      <c r="N97" s="619"/>
      <c r="O97" s="619"/>
      <c r="P97" s="470"/>
      <c r="Q97" s="470"/>
      <c r="R97" s="470"/>
      <c r="S97" s="306" t="e">
        <f t="shared" si="85"/>
        <v>#N/A</v>
      </c>
      <c r="T97" s="658"/>
      <c r="U97" s="520"/>
      <c r="V97" s="520"/>
      <c r="W97" s="520"/>
      <c r="X97" s="520" t="e">
        <f t="shared" si="70"/>
        <v>#N/A</v>
      </c>
      <c r="Y97" s="658"/>
      <c r="Z97" s="520"/>
      <c r="AA97" s="520"/>
      <c r="AB97" s="520"/>
      <c r="AC97" s="520" t="e">
        <f t="shared" si="72"/>
        <v>#N/A</v>
      </c>
      <c r="AD97" s="658"/>
      <c r="AE97" s="520"/>
      <c r="AF97" s="520"/>
      <c r="AG97" s="520"/>
      <c r="AH97" s="520" t="e">
        <f t="shared" si="74"/>
        <v>#N/A</v>
      </c>
      <c r="AI97" s="658"/>
      <c r="AJ97" s="520"/>
      <c r="AK97" s="520"/>
      <c r="AL97" s="520"/>
      <c r="AM97" s="520" t="e">
        <f t="shared" si="76"/>
        <v>#N/A</v>
      </c>
      <c r="AN97" s="658"/>
      <c r="AO97" s="520"/>
      <c r="AP97" s="520"/>
      <c r="AQ97" s="520"/>
      <c r="AR97" s="520" t="e">
        <f t="shared" si="78"/>
        <v>#N/A</v>
      </c>
      <c r="AS97" s="658"/>
      <c r="AT97" s="520"/>
      <c r="AU97" s="520"/>
      <c r="AV97" s="520"/>
      <c r="AW97" s="520" t="e">
        <f t="shared" si="80"/>
        <v>#N/A</v>
      </c>
      <c r="AX97" s="658"/>
    </row>
    <row r="98" spans="2:50">
      <c r="B98" s="627"/>
      <c r="C98" s="306">
        <v>12</v>
      </c>
      <c r="D98" s="470"/>
      <c r="E98" s="470"/>
      <c r="F98" s="470"/>
      <c r="G98" s="183"/>
      <c r="H98" s="662"/>
      <c r="I98" s="203"/>
      <c r="J98" s="203"/>
      <c r="K98" s="203"/>
      <c r="L98" s="601"/>
      <c r="M98" s="202" t="e">
        <f>RANK(K98, K$87:$K$101)</f>
        <v>#DIV/0!</v>
      </c>
      <c r="N98" s="619"/>
      <c r="O98" s="619"/>
      <c r="P98" s="470"/>
      <c r="Q98" s="470"/>
      <c r="R98" s="470"/>
      <c r="S98" s="306" t="e">
        <f t="shared" si="85"/>
        <v>#N/A</v>
      </c>
      <c r="T98" s="658"/>
      <c r="U98" s="520"/>
      <c r="V98" s="520"/>
      <c r="W98" s="520"/>
      <c r="X98" s="520" t="e">
        <f t="shared" si="70"/>
        <v>#N/A</v>
      </c>
      <c r="Y98" s="658"/>
      <c r="Z98" s="520"/>
      <c r="AA98" s="520"/>
      <c r="AB98" s="520"/>
      <c r="AC98" s="520" t="e">
        <f t="shared" si="72"/>
        <v>#N/A</v>
      </c>
      <c r="AD98" s="658"/>
      <c r="AE98" s="520"/>
      <c r="AF98" s="520"/>
      <c r="AG98" s="520"/>
      <c r="AH98" s="520" t="e">
        <f t="shared" si="74"/>
        <v>#N/A</v>
      </c>
      <c r="AI98" s="658"/>
      <c r="AJ98" s="520"/>
      <c r="AK98" s="520"/>
      <c r="AL98" s="520"/>
      <c r="AM98" s="520" t="e">
        <f t="shared" si="76"/>
        <v>#N/A</v>
      </c>
      <c r="AN98" s="658"/>
      <c r="AO98" s="520"/>
      <c r="AP98" s="520"/>
      <c r="AQ98" s="520"/>
      <c r="AR98" s="520" t="e">
        <f t="shared" si="78"/>
        <v>#N/A</v>
      </c>
      <c r="AS98" s="658"/>
      <c r="AT98" s="520"/>
      <c r="AU98" s="520"/>
      <c r="AV98" s="520"/>
      <c r="AW98" s="520" t="e">
        <f t="shared" si="80"/>
        <v>#N/A</v>
      </c>
      <c r="AX98" s="658"/>
    </row>
    <row r="99" spans="2:50">
      <c r="B99" s="627"/>
      <c r="C99" s="306">
        <v>13</v>
      </c>
      <c r="D99" s="470"/>
      <c r="E99" s="470"/>
      <c r="F99" s="470"/>
      <c r="G99" s="183"/>
      <c r="H99" s="662"/>
      <c r="I99" s="203"/>
      <c r="J99" s="203"/>
      <c r="K99" s="203"/>
      <c r="L99" s="601"/>
      <c r="M99" s="202" t="e">
        <f>RANK(K99, K$87:$K$101)</f>
        <v>#DIV/0!</v>
      </c>
      <c r="N99" s="619"/>
      <c r="O99" s="619"/>
      <c r="P99" s="470"/>
      <c r="Q99" s="470"/>
      <c r="R99" s="470"/>
      <c r="S99" s="306" t="e">
        <f t="shared" si="85"/>
        <v>#N/A</v>
      </c>
      <c r="T99" s="658"/>
      <c r="U99" s="520"/>
      <c r="V99" s="520"/>
      <c r="W99" s="520"/>
      <c r="X99" s="520" t="e">
        <f t="shared" si="70"/>
        <v>#N/A</v>
      </c>
      <c r="Y99" s="658"/>
      <c r="Z99" s="520"/>
      <c r="AA99" s="520"/>
      <c r="AB99" s="520"/>
      <c r="AC99" s="520" t="e">
        <f t="shared" si="72"/>
        <v>#N/A</v>
      </c>
      <c r="AD99" s="658"/>
      <c r="AE99" s="520"/>
      <c r="AF99" s="520"/>
      <c r="AG99" s="520"/>
      <c r="AH99" s="520" t="e">
        <f t="shared" si="74"/>
        <v>#N/A</v>
      </c>
      <c r="AI99" s="658"/>
      <c r="AJ99" s="520"/>
      <c r="AK99" s="520"/>
      <c r="AL99" s="520"/>
      <c r="AM99" s="520" t="e">
        <f t="shared" si="76"/>
        <v>#N/A</v>
      </c>
      <c r="AN99" s="658"/>
      <c r="AO99" s="520"/>
      <c r="AP99" s="520"/>
      <c r="AQ99" s="520"/>
      <c r="AR99" s="520" t="e">
        <f t="shared" si="78"/>
        <v>#N/A</v>
      </c>
      <c r="AS99" s="658"/>
      <c r="AT99" s="520"/>
      <c r="AU99" s="520"/>
      <c r="AV99" s="520"/>
      <c r="AW99" s="520" t="e">
        <f t="shared" si="80"/>
        <v>#N/A</v>
      </c>
      <c r="AX99" s="658"/>
    </row>
    <row r="100" spans="2:50">
      <c r="B100" s="627"/>
      <c r="C100" s="306">
        <v>14</v>
      </c>
      <c r="D100" s="470"/>
      <c r="E100" s="470"/>
      <c r="F100" s="470"/>
      <c r="G100" s="183"/>
      <c r="H100" s="662"/>
      <c r="I100" s="203"/>
      <c r="J100" s="203"/>
      <c r="K100" s="203"/>
      <c r="L100" s="601"/>
      <c r="M100" s="202" t="e">
        <f>RANK(K100, K$87:$K$101)</f>
        <v>#DIV/0!</v>
      </c>
      <c r="N100" s="619"/>
      <c r="O100" s="619"/>
      <c r="P100" s="470"/>
      <c r="Q100" s="470"/>
      <c r="R100" s="470"/>
      <c r="S100" s="306" t="e">
        <f t="shared" si="85"/>
        <v>#N/A</v>
      </c>
      <c r="T100" s="658"/>
      <c r="U100" s="520"/>
      <c r="V100" s="520"/>
      <c r="W100" s="520"/>
      <c r="X100" s="520" t="e">
        <f t="shared" si="70"/>
        <v>#N/A</v>
      </c>
      <c r="Y100" s="658"/>
      <c r="Z100" s="520"/>
      <c r="AA100" s="520"/>
      <c r="AB100" s="520"/>
      <c r="AC100" s="520" t="e">
        <f t="shared" si="72"/>
        <v>#N/A</v>
      </c>
      <c r="AD100" s="658"/>
      <c r="AE100" s="520"/>
      <c r="AF100" s="520"/>
      <c r="AG100" s="520"/>
      <c r="AH100" s="520" t="e">
        <f t="shared" si="74"/>
        <v>#N/A</v>
      </c>
      <c r="AI100" s="658"/>
      <c r="AJ100" s="520"/>
      <c r="AK100" s="520"/>
      <c r="AL100" s="520"/>
      <c r="AM100" s="520" t="e">
        <f t="shared" si="76"/>
        <v>#N/A</v>
      </c>
      <c r="AN100" s="658"/>
      <c r="AO100" s="520"/>
      <c r="AP100" s="520"/>
      <c r="AQ100" s="520"/>
      <c r="AR100" s="520" t="e">
        <f t="shared" si="78"/>
        <v>#N/A</v>
      </c>
      <c r="AS100" s="658"/>
      <c r="AT100" s="520"/>
      <c r="AU100" s="520"/>
      <c r="AV100" s="520"/>
      <c r="AW100" s="520" t="e">
        <f t="shared" si="80"/>
        <v>#N/A</v>
      </c>
      <c r="AX100" s="658"/>
    </row>
    <row r="101" spans="2:50">
      <c r="B101" s="627"/>
      <c r="C101" s="306">
        <v>15</v>
      </c>
      <c r="D101" s="470"/>
      <c r="E101" s="470"/>
      <c r="F101" s="470"/>
      <c r="G101" s="470"/>
      <c r="H101" s="663"/>
      <c r="I101" s="203"/>
      <c r="J101" s="203"/>
      <c r="K101" s="203"/>
      <c r="L101" s="602"/>
      <c r="M101" s="200" t="e">
        <f>RANK(K101, K$87:$K$101)</f>
        <v>#DIV/0!</v>
      </c>
      <c r="N101" s="619"/>
      <c r="O101" s="619"/>
      <c r="P101" s="470"/>
      <c r="Q101" s="470"/>
      <c r="R101" s="470"/>
      <c r="S101" s="306" t="e">
        <f t="shared" si="85"/>
        <v>#N/A</v>
      </c>
      <c r="T101" s="658"/>
      <c r="U101" s="520"/>
      <c r="V101" s="520"/>
      <c r="W101" s="520"/>
      <c r="X101" s="520" t="e">
        <f t="shared" si="70"/>
        <v>#N/A</v>
      </c>
      <c r="Y101" s="658"/>
      <c r="Z101" s="520"/>
      <c r="AA101" s="520"/>
      <c r="AB101" s="520"/>
      <c r="AC101" s="520" t="e">
        <f t="shared" si="72"/>
        <v>#N/A</v>
      </c>
      <c r="AD101" s="658"/>
      <c r="AE101" s="520"/>
      <c r="AF101" s="520"/>
      <c r="AG101" s="520"/>
      <c r="AH101" s="520" t="e">
        <f t="shared" si="74"/>
        <v>#N/A</v>
      </c>
      <c r="AI101" s="658"/>
      <c r="AJ101" s="520"/>
      <c r="AK101" s="520"/>
      <c r="AL101" s="520"/>
      <c r="AM101" s="520" t="e">
        <f t="shared" si="76"/>
        <v>#N/A</v>
      </c>
      <c r="AN101" s="658"/>
      <c r="AO101" s="520"/>
      <c r="AP101" s="520"/>
      <c r="AQ101" s="520"/>
      <c r="AR101" s="520" t="e">
        <f t="shared" si="78"/>
        <v>#N/A</v>
      </c>
      <c r="AS101" s="658"/>
      <c r="AT101" s="520"/>
      <c r="AU101" s="520"/>
      <c r="AV101" s="520"/>
      <c r="AW101" s="520" t="e">
        <f t="shared" si="80"/>
        <v>#N/A</v>
      </c>
      <c r="AX101" s="658"/>
    </row>
    <row r="102" spans="2:50" ht="15.5">
      <c r="B102" s="631" t="s">
        <v>163</v>
      </c>
      <c r="C102" s="632"/>
      <c r="D102" s="632"/>
      <c r="E102" s="632"/>
      <c r="F102" s="632"/>
      <c r="G102" s="632"/>
      <c r="H102" s="633"/>
      <c r="I102" s="209"/>
      <c r="J102" s="209"/>
      <c r="K102" s="209"/>
      <c r="L102" s="209"/>
      <c r="M102" s="208"/>
      <c r="N102" s="620" t="s">
        <v>156</v>
      </c>
      <c r="O102" s="620" t="s">
        <v>105</v>
      </c>
      <c r="P102" s="626">
        <f>P82+7</f>
        <v>46021</v>
      </c>
      <c r="Q102" s="627"/>
      <c r="R102" s="627"/>
      <c r="S102" s="627"/>
      <c r="T102" s="627"/>
      <c r="U102" s="623">
        <f>P102+1</f>
        <v>46022</v>
      </c>
      <c r="V102" s="624"/>
      <c r="W102" s="624"/>
      <c r="X102" s="624"/>
      <c r="Y102" s="625"/>
      <c r="Z102" s="623">
        <f>U102+1</f>
        <v>46023</v>
      </c>
      <c r="AA102" s="624"/>
      <c r="AB102" s="624"/>
      <c r="AC102" s="624"/>
      <c r="AD102" s="625"/>
      <c r="AE102" s="623">
        <f>Z102+1</f>
        <v>46024</v>
      </c>
      <c r="AF102" s="624"/>
      <c r="AG102" s="624"/>
      <c r="AH102" s="624"/>
      <c r="AI102" s="625"/>
      <c r="AJ102" s="623">
        <f>AE102+1</f>
        <v>46025</v>
      </c>
      <c r="AK102" s="624"/>
      <c r="AL102" s="624"/>
      <c r="AM102" s="624"/>
      <c r="AN102" s="625"/>
      <c r="AO102" s="623">
        <f>AJ102+1</f>
        <v>46026</v>
      </c>
      <c r="AP102" s="624"/>
      <c r="AQ102" s="624"/>
      <c r="AR102" s="624"/>
      <c r="AS102" s="625"/>
      <c r="AT102" s="623">
        <f>AO102+1</f>
        <v>46027</v>
      </c>
      <c r="AU102" s="624"/>
      <c r="AV102" s="624"/>
      <c r="AW102" s="624"/>
      <c r="AX102" s="625"/>
    </row>
    <row r="103" spans="2:50" ht="15.5">
      <c r="B103" s="634"/>
      <c r="C103" s="634"/>
      <c r="D103" s="634"/>
      <c r="E103" s="634"/>
      <c r="F103" s="634"/>
      <c r="G103" s="634"/>
      <c r="H103" s="634"/>
      <c r="I103" s="206"/>
      <c r="J103" s="206"/>
      <c r="K103" s="206"/>
      <c r="L103" s="206"/>
      <c r="M103" s="207"/>
      <c r="N103" s="622"/>
      <c r="O103" s="622"/>
      <c r="P103" s="626" t="s">
        <v>158</v>
      </c>
      <c r="Q103" s="627"/>
      <c r="R103" s="627"/>
      <c r="S103" s="627"/>
      <c r="T103" s="627"/>
      <c r="U103" s="626" t="s">
        <v>114</v>
      </c>
      <c r="V103" s="627"/>
      <c r="W103" s="627"/>
      <c r="X103" s="627"/>
      <c r="Y103" s="627"/>
      <c r="Z103" s="626" t="s">
        <v>159</v>
      </c>
      <c r="AA103" s="627"/>
      <c r="AB103" s="627"/>
      <c r="AC103" s="627"/>
      <c r="AD103" s="627"/>
      <c r="AE103" s="626" t="s">
        <v>157</v>
      </c>
      <c r="AF103" s="627"/>
      <c r="AG103" s="627"/>
      <c r="AH103" s="627"/>
      <c r="AI103" s="627"/>
      <c r="AJ103" s="626" t="s">
        <v>160</v>
      </c>
      <c r="AK103" s="627"/>
      <c r="AL103" s="627"/>
      <c r="AM103" s="627"/>
      <c r="AN103" s="627"/>
      <c r="AO103" s="626" t="s">
        <v>115</v>
      </c>
      <c r="AP103" s="627"/>
      <c r="AQ103" s="627"/>
      <c r="AR103" s="627"/>
      <c r="AS103" s="627"/>
      <c r="AT103" s="626" t="s">
        <v>162</v>
      </c>
      <c r="AU103" s="627"/>
      <c r="AV103" s="627"/>
      <c r="AW103" s="627"/>
      <c r="AX103" s="627"/>
    </row>
    <row r="104" spans="2:50">
      <c r="B104" s="619" t="s">
        <v>154</v>
      </c>
      <c r="C104" s="619" t="s">
        <v>453</v>
      </c>
      <c r="D104" s="619"/>
      <c r="E104" s="619" t="s">
        <v>444</v>
      </c>
      <c r="F104" s="619"/>
      <c r="G104" s="619"/>
      <c r="H104" s="635" t="s">
        <v>440</v>
      </c>
      <c r="I104" s="603" t="s">
        <v>445</v>
      </c>
      <c r="J104" s="603"/>
      <c r="K104" s="603"/>
      <c r="L104" s="604" t="s">
        <v>440</v>
      </c>
      <c r="M104" s="610" t="s">
        <v>441</v>
      </c>
      <c r="N104" s="619"/>
      <c r="O104" s="619" t="s">
        <v>446</v>
      </c>
      <c r="P104" s="616" t="s">
        <v>442</v>
      </c>
      <c r="Q104" s="617"/>
      <c r="R104" s="617"/>
      <c r="S104" s="618"/>
      <c r="T104" s="619" t="s">
        <v>440</v>
      </c>
      <c r="U104" s="616" t="s">
        <v>442</v>
      </c>
      <c r="V104" s="617"/>
      <c r="W104" s="617"/>
      <c r="X104" s="618"/>
      <c r="Y104" s="619" t="s">
        <v>440</v>
      </c>
      <c r="Z104" s="616" t="s">
        <v>442</v>
      </c>
      <c r="AA104" s="617"/>
      <c r="AB104" s="617"/>
      <c r="AC104" s="618"/>
      <c r="AD104" s="619" t="s">
        <v>440</v>
      </c>
      <c r="AE104" s="616" t="s">
        <v>442</v>
      </c>
      <c r="AF104" s="617"/>
      <c r="AG104" s="617"/>
      <c r="AH104" s="618"/>
      <c r="AI104" s="619" t="s">
        <v>440</v>
      </c>
      <c r="AJ104" s="616" t="s">
        <v>442</v>
      </c>
      <c r="AK104" s="617"/>
      <c r="AL104" s="617"/>
      <c r="AM104" s="618"/>
      <c r="AN104" s="619" t="s">
        <v>440</v>
      </c>
      <c r="AO104" s="616" t="s">
        <v>442</v>
      </c>
      <c r="AP104" s="617"/>
      <c r="AQ104" s="617"/>
      <c r="AR104" s="618"/>
      <c r="AS104" s="619" t="s">
        <v>440</v>
      </c>
      <c r="AT104" s="616" t="s">
        <v>442</v>
      </c>
      <c r="AU104" s="617"/>
      <c r="AV104" s="617"/>
      <c r="AW104" s="618"/>
      <c r="AX104" s="619" t="s">
        <v>440</v>
      </c>
    </row>
    <row r="105" spans="2:50">
      <c r="B105" s="619"/>
      <c r="C105" s="619"/>
      <c r="D105" s="619"/>
      <c r="E105" s="619" t="s">
        <v>447</v>
      </c>
      <c r="F105" s="619"/>
      <c r="G105" s="619"/>
      <c r="H105" s="636"/>
      <c r="I105" s="603" t="s">
        <v>447</v>
      </c>
      <c r="J105" s="603"/>
      <c r="K105" s="603"/>
      <c r="L105" s="605"/>
      <c r="M105" s="611"/>
      <c r="N105" s="619"/>
      <c r="O105" s="619"/>
      <c r="P105" s="616" t="s">
        <v>448</v>
      </c>
      <c r="Q105" s="617"/>
      <c r="R105" s="617"/>
      <c r="S105" s="618"/>
      <c r="T105" s="619"/>
      <c r="U105" s="616" t="s">
        <v>448</v>
      </c>
      <c r="V105" s="617"/>
      <c r="W105" s="617"/>
      <c r="X105" s="618"/>
      <c r="Y105" s="619"/>
      <c r="Z105" s="616" t="s">
        <v>448</v>
      </c>
      <c r="AA105" s="617"/>
      <c r="AB105" s="617"/>
      <c r="AC105" s="618"/>
      <c r="AD105" s="619"/>
      <c r="AE105" s="616" t="s">
        <v>448</v>
      </c>
      <c r="AF105" s="617"/>
      <c r="AG105" s="617"/>
      <c r="AH105" s="618"/>
      <c r="AI105" s="619"/>
      <c r="AJ105" s="616" t="s">
        <v>448</v>
      </c>
      <c r="AK105" s="617"/>
      <c r="AL105" s="617"/>
      <c r="AM105" s="618"/>
      <c r="AN105" s="619"/>
      <c r="AO105" s="616" t="s">
        <v>448</v>
      </c>
      <c r="AP105" s="617"/>
      <c r="AQ105" s="617"/>
      <c r="AR105" s="618"/>
      <c r="AS105" s="619"/>
      <c r="AT105" s="616" t="s">
        <v>448</v>
      </c>
      <c r="AU105" s="617"/>
      <c r="AV105" s="617"/>
      <c r="AW105" s="618"/>
      <c r="AX105" s="619"/>
    </row>
    <row r="106" spans="2:50">
      <c r="B106" s="619"/>
      <c r="C106" s="619"/>
      <c r="D106" s="619"/>
      <c r="E106" s="357" t="s">
        <v>449</v>
      </c>
      <c r="F106" s="357" t="s">
        <v>450</v>
      </c>
      <c r="G106" s="357" t="s">
        <v>451</v>
      </c>
      <c r="H106" s="637"/>
      <c r="I106" s="358" t="s">
        <v>449</v>
      </c>
      <c r="J106" s="358" t="s">
        <v>450</v>
      </c>
      <c r="K106" s="358" t="s">
        <v>451</v>
      </c>
      <c r="L106" s="606"/>
      <c r="M106" s="612"/>
      <c r="N106" s="619"/>
      <c r="O106" s="619"/>
      <c r="P106" s="357" t="s">
        <v>449</v>
      </c>
      <c r="Q106" s="357" t="s">
        <v>450</v>
      </c>
      <c r="R106" s="357" t="s">
        <v>451</v>
      </c>
      <c r="S106" s="357" t="s">
        <v>441</v>
      </c>
      <c r="T106" s="619"/>
      <c r="U106" s="357" t="s">
        <v>449</v>
      </c>
      <c r="V106" s="357" t="s">
        <v>450</v>
      </c>
      <c r="W106" s="357" t="s">
        <v>451</v>
      </c>
      <c r="X106" s="357" t="s">
        <v>441</v>
      </c>
      <c r="Y106" s="619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9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9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9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9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9"/>
    </row>
    <row r="107" spans="2:50">
      <c r="B107" s="660" t="s">
        <v>480</v>
      </c>
      <c r="C107" s="356">
        <v>1</v>
      </c>
      <c r="D107" s="376"/>
      <c r="E107" s="376"/>
      <c r="F107" s="376"/>
      <c r="G107" s="376"/>
      <c r="H107" s="661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00" t="str">
        <f>IFERROR(AVERAGE(K107:K121),"-")</f>
        <v>-</v>
      </c>
      <c r="M107" s="202" t="e">
        <f>RANK(K107, K$87:$K$101)</f>
        <v>#DIV/0!</v>
      </c>
      <c r="N107" s="619"/>
      <c r="O107" s="619"/>
      <c r="P107" s="183"/>
      <c r="Q107" s="183"/>
      <c r="R107" s="359"/>
      <c r="S107" s="356" t="e">
        <f>RANK(R107, R$87:R$101)</f>
        <v>#N/A</v>
      </c>
      <c r="T107" s="658" t="e">
        <f>AVERAGE(R107:R121)</f>
        <v>#DIV/0!</v>
      </c>
      <c r="U107" s="183"/>
      <c r="V107" s="183"/>
      <c r="W107" s="377"/>
      <c r="X107" s="356" t="e">
        <f>RANK(W107, W$87:W$101)</f>
        <v>#N/A</v>
      </c>
      <c r="Y107" s="658" t="e">
        <f>AVERAGE(W107:W121)</f>
        <v>#DIV/0!</v>
      </c>
      <c r="Z107" s="183"/>
      <c r="AA107" s="183"/>
      <c r="AB107" s="377"/>
      <c r="AC107" s="356" t="e">
        <f>RANK(AB107, AB$87:AB$101)</f>
        <v>#N/A</v>
      </c>
      <c r="AD107" s="658" t="e">
        <f>AVERAGE(AB107:AB121)</f>
        <v>#DIV/0!</v>
      </c>
      <c r="AE107" s="183"/>
      <c r="AF107" s="183"/>
      <c r="AG107" s="377"/>
      <c r="AH107" s="356" t="e">
        <f>RANK(AG107, AG$87:AG$101)</f>
        <v>#N/A</v>
      </c>
      <c r="AI107" s="658" t="e">
        <f>AVERAGE(AG107:AG121)</f>
        <v>#DIV/0!</v>
      </c>
      <c r="AJ107" s="183"/>
      <c r="AK107" s="183"/>
      <c r="AL107" s="377"/>
      <c r="AM107" s="356" t="e">
        <f>RANK(AL107, AL$87:AL$101)</f>
        <v>#N/A</v>
      </c>
      <c r="AN107" s="658" t="e">
        <f>AVERAGE(AL107:AL121)</f>
        <v>#DIV/0!</v>
      </c>
      <c r="AO107" s="183"/>
      <c r="AP107" s="183"/>
      <c r="AQ107" s="377"/>
      <c r="AR107" s="356" t="e">
        <f>RANK(AQ107, AQ$87:AQ$101)</f>
        <v>#N/A</v>
      </c>
      <c r="AS107" s="658" t="e">
        <f>AVERAGE(AQ107:AQ121)</f>
        <v>#DIV/0!</v>
      </c>
      <c r="AT107" s="183"/>
      <c r="AU107" s="183"/>
      <c r="AV107" s="377"/>
      <c r="AW107" s="356" t="e">
        <f>RANK(AV107, AV$87:AV$101)</f>
        <v>#N/A</v>
      </c>
      <c r="AX107" s="658" t="e">
        <f>AVERAGE(AV107:AV121)</f>
        <v>#DIV/0!</v>
      </c>
    </row>
    <row r="108" spans="2:50">
      <c r="B108" s="627"/>
      <c r="C108" s="356">
        <v>2</v>
      </c>
      <c r="D108" s="376"/>
      <c r="E108" s="376"/>
      <c r="F108" s="376"/>
      <c r="G108" s="376"/>
      <c r="H108" s="662"/>
      <c r="I108" s="200" t="e">
        <f t="shared" ref="I108:I113" si="89">AVERAGE(P108,U108,Z108,AE108,AJ108,AO108,AT108)</f>
        <v>#DIV/0!</v>
      </c>
      <c r="J108" s="200" t="e">
        <f t="shared" ref="J108:J113" si="90">AVERAGE(Q108,V108,AA108,AF108,AK108,AP108,AU108)</f>
        <v>#DIV/0!</v>
      </c>
      <c r="K108" s="201" t="e">
        <f t="shared" ref="K108:K113" si="91">AVERAGE(R108,W108,AB108,AG108,AL108,AQ108,AV108)</f>
        <v>#DIV/0!</v>
      </c>
      <c r="L108" s="601"/>
      <c r="M108" s="202" t="e">
        <f>RANK(K108, K$87:$K$101)</f>
        <v>#DIV/0!</v>
      </c>
      <c r="N108" s="619"/>
      <c r="O108" s="619"/>
      <c r="P108" s="356"/>
      <c r="Q108" s="183"/>
      <c r="R108" s="359"/>
      <c r="S108" s="356" t="e">
        <f t="shared" ref="S108:S121" si="92">RANK(R108, R$87:R$101)</f>
        <v>#N/A</v>
      </c>
      <c r="T108" s="658"/>
      <c r="U108" s="376"/>
      <c r="V108" s="183"/>
      <c r="W108" s="377"/>
      <c r="X108" s="356" t="e">
        <f t="shared" ref="X108:X121" si="93">RANK(W108, W$87:W$101)</f>
        <v>#N/A</v>
      </c>
      <c r="Y108" s="658"/>
      <c r="Z108" s="376"/>
      <c r="AA108" s="183"/>
      <c r="AB108" s="377"/>
      <c r="AC108" s="356" t="e">
        <f t="shared" ref="AC108:AC121" si="94">RANK(AB108, AB$87:AB$101)</f>
        <v>#N/A</v>
      </c>
      <c r="AD108" s="658"/>
      <c r="AE108" s="376"/>
      <c r="AF108" s="183"/>
      <c r="AG108" s="377"/>
      <c r="AH108" s="356" t="e">
        <f t="shared" ref="AH108:AH121" si="95">RANK(AG108, AG$87:AG$101)</f>
        <v>#N/A</v>
      </c>
      <c r="AI108" s="658"/>
      <c r="AJ108" s="376"/>
      <c r="AK108" s="183"/>
      <c r="AL108" s="377"/>
      <c r="AM108" s="356" t="e">
        <f t="shared" ref="AM108:AM121" si="96">RANK(AL108, AL$87:AL$101)</f>
        <v>#N/A</v>
      </c>
      <c r="AN108" s="658"/>
      <c r="AO108" s="376"/>
      <c r="AP108" s="183"/>
      <c r="AQ108" s="377"/>
      <c r="AR108" s="356" t="e">
        <f t="shared" ref="AR108:AR121" si="97">RANK(AQ108, AQ$87:AQ$101)</f>
        <v>#N/A</v>
      </c>
      <c r="AS108" s="658"/>
      <c r="AT108" s="376"/>
      <c r="AU108" s="183"/>
      <c r="AV108" s="377"/>
      <c r="AW108" s="356" t="e">
        <f t="shared" ref="AW108:AW121" si="98">RANK(AV108, AV$87:AV$101)</f>
        <v>#N/A</v>
      </c>
      <c r="AX108" s="658"/>
    </row>
    <row r="109" spans="2:50">
      <c r="B109" s="627"/>
      <c r="C109" s="356">
        <v>3</v>
      </c>
      <c r="D109" s="376"/>
      <c r="E109" s="376"/>
      <c r="F109" s="376"/>
      <c r="G109" s="376"/>
      <c r="H109" s="662"/>
      <c r="I109" s="200" t="e">
        <f t="shared" si="89"/>
        <v>#DIV/0!</v>
      </c>
      <c r="J109" s="200" t="e">
        <f t="shared" si="90"/>
        <v>#DIV/0!</v>
      </c>
      <c r="K109" s="201" t="e">
        <f t="shared" si="91"/>
        <v>#DIV/0!</v>
      </c>
      <c r="L109" s="601"/>
      <c r="M109" s="202" t="e">
        <f>RANK(K109, K$87:$K$101)</f>
        <v>#DIV/0!</v>
      </c>
      <c r="N109" s="619"/>
      <c r="O109" s="619"/>
      <c r="P109" s="356"/>
      <c r="Q109" s="183"/>
      <c r="R109" s="359"/>
      <c r="S109" s="356" t="e">
        <f t="shared" si="92"/>
        <v>#N/A</v>
      </c>
      <c r="T109" s="658"/>
      <c r="U109" s="376"/>
      <c r="V109" s="183"/>
      <c r="W109" s="377"/>
      <c r="X109" s="356" t="e">
        <f t="shared" si="93"/>
        <v>#N/A</v>
      </c>
      <c r="Y109" s="658"/>
      <c r="Z109" s="376"/>
      <c r="AA109" s="183"/>
      <c r="AB109" s="377"/>
      <c r="AC109" s="356" t="e">
        <f t="shared" si="94"/>
        <v>#N/A</v>
      </c>
      <c r="AD109" s="658"/>
      <c r="AE109" s="376"/>
      <c r="AF109" s="183"/>
      <c r="AG109" s="377"/>
      <c r="AH109" s="356" t="e">
        <f t="shared" si="95"/>
        <v>#N/A</v>
      </c>
      <c r="AI109" s="658"/>
      <c r="AJ109" s="376"/>
      <c r="AK109" s="183"/>
      <c r="AL109" s="377"/>
      <c r="AM109" s="356" t="e">
        <f t="shared" si="96"/>
        <v>#N/A</v>
      </c>
      <c r="AN109" s="658"/>
      <c r="AO109" s="376"/>
      <c r="AP109" s="183"/>
      <c r="AQ109" s="377"/>
      <c r="AR109" s="356" t="e">
        <f t="shared" si="97"/>
        <v>#N/A</v>
      </c>
      <c r="AS109" s="658"/>
      <c r="AT109" s="376"/>
      <c r="AU109" s="183"/>
      <c r="AV109" s="377"/>
      <c r="AW109" s="356" t="e">
        <f t="shared" si="98"/>
        <v>#N/A</v>
      </c>
      <c r="AX109" s="658"/>
    </row>
    <row r="110" spans="2:50">
      <c r="B110" s="627"/>
      <c r="C110" s="356">
        <v>4</v>
      </c>
      <c r="D110" s="376"/>
      <c r="E110" s="376"/>
      <c r="F110" s="376"/>
      <c r="G110" s="376"/>
      <c r="H110" s="662"/>
      <c r="I110" s="200" t="e">
        <f t="shared" si="89"/>
        <v>#DIV/0!</v>
      </c>
      <c r="J110" s="200" t="e">
        <f t="shared" si="90"/>
        <v>#DIV/0!</v>
      </c>
      <c r="K110" s="201" t="e">
        <f t="shared" si="91"/>
        <v>#DIV/0!</v>
      </c>
      <c r="L110" s="601"/>
      <c r="M110" s="202" t="e">
        <f>RANK(K110, K$87:$K$101)</f>
        <v>#DIV/0!</v>
      </c>
      <c r="N110" s="619"/>
      <c r="O110" s="619"/>
      <c r="P110" s="356"/>
      <c r="Q110" s="183"/>
      <c r="R110" s="359"/>
      <c r="S110" s="356" t="e">
        <f t="shared" si="92"/>
        <v>#N/A</v>
      </c>
      <c r="T110" s="658"/>
      <c r="U110" s="376"/>
      <c r="V110" s="183"/>
      <c r="W110" s="377"/>
      <c r="X110" s="356" t="e">
        <f t="shared" si="93"/>
        <v>#N/A</v>
      </c>
      <c r="Y110" s="658"/>
      <c r="Z110" s="376"/>
      <c r="AA110" s="183"/>
      <c r="AB110" s="377"/>
      <c r="AC110" s="356" t="e">
        <f t="shared" si="94"/>
        <v>#N/A</v>
      </c>
      <c r="AD110" s="658"/>
      <c r="AE110" s="376"/>
      <c r="AF110" s="183"/>
      <c r="AG110" s="377"/>
      <c r="AH110" s="356" t="e">
        <f t="shared" si="95"/>
        <v>#N/A</v>
      </c>
      <c r="AI110" s="658"/>
      <c r="AJ110" s="376"/>
      <c r="AK110" s="183"/>
      <c r="AL110" s="377"/>
      <c r="AM110" s="356" t="e">
        <f t="shared" si="96"/>
        <v>#N/A</v>
      </c>
      <c r="AN110" s="658"/>
      <c r="AO110" s="376"/>
      <c r="AP110" s="183"/>
      <c r="AQ110" s="377"/>
      <c r="AR110" s="356" t="e">
        <f t="shared" si="97"/>
        <v>#N/A</v>
      </c>
      <c r="AS110" s="658"/>
      <c r="AT110" s="376"/>
      <c r="AU110" s="183"/>
      <c r="AV110" s="377"/>
      <c r="AW110" s="356" t="e">
        <f t="shared" si="98"/>
        <v>#N/A</v>
      </c>
      <c r="AX110" s="658"/>
    </row>
    <row r="111" spans="2:50">
      <c r="B111" s="627"/>
      <c r="C111" s="356">
        <v>5</v>
      </c>
      <c r="D111" s="376"/>
      <c r="E111" s="376"/>
      <c r="F111" s="376"/>
      <c r="G111" s="376"/>
      <c r="H111" s="662"/>
      <c r="I111" s="200" t="e">
        <f t="shared" si="89"/>
        <v>#DIV/0!</v>
      </c>
      <c r="J111" s="200" t="e">
        <f t="shared" si="90"/>
        <v>#DIV/0!</v>
      </c>
      <c r="K111" s="201" t="e">
        <f t="shared" si="91"/>
        <v>#DIV/0!</v>
      </c>
      <c r="L111" s="601"/>
      <c r="M111" s="202" t="e">
        <f>RANK(K111, K$87:$K$101)</f>
        <v>#DIV/0!</v>
      </c>
      <c r="N111" s="619"/>
      <c r="O111" s="619"/>
      <c r="P111" s="356"/>
      <c r="Q111" s="183"/>
      <c r="R111" s="359"/>
      <c r="S111" s="356" t="e">
        <f t="shared" si="92"/>
        <v>#N/A</v>
      </c>
      <c r="T111" s="658"/>
      <c r="U111" s="376"/>
      <c r="V111" s="183"/>
      <c r="W111" s="377"/>
      <c r="X111" s="356" t="e">
        <f t="shared" si="93"/>
        <v>#N/A</v>
      </c>
      <c r="Y111" s="658"/>
      <c r="Z111" s="376"/>
      <c r="AA111" s="183"/>
      <c r="AB111" s="377"/>
      <c r="AC111" s="356" t="e">
        <f t="shared" si="94"/>
        <v>#N/A</v>
      </c>
      <c r="AD111" s="658"/>
      <c r="AE111" s="376"/>
      <c r="AF111" s="183"/>
      <c r="AG111" s="377"/>
      <c r="AH111" s="356" t="e">
        <f t="shared" si="95"/>
        <v>#N/A</v>
      </c>
      <c r="AI111" s="658"/>
      <c r="AJ111" s="376"/>
      <c r="AK111" s="183"/>
      <c r="AL111" s="377"/>
      <c r="AM111" s="356" t="e">
        <f t="shared" si="96"/>
        <v>#N/A</v>
      </c>
      <c r="AN111" s="658"/>
      <c r="AO111" s="376"/>
      <c r="AP111" s="183"/>
      <c r="AQ111" s="377"/>
      <c r="AR111" s="356" t="e">
        <f t="shared" si="97"/>
        <v>#N/A</v>
      </c>
      <c r="AS111" s="658"/>
      <c r="AT111" s="376"/>
      <c r="AU111" s="183"/>
      <c r="AV111" s="377"/>
      <c r="AW111" s="356" t="e">
        <f t="shared" si="98"/>
        <v>#N/A</v>
      </c>
      <c r="AX111" s="658"/>
    </row>
    <row r="112" spans="2:50">
      <c r="B112" s="627"/>
      <c r="C112" s="356">
        <v>6</v>
      </c>
      <c r="D112" s="376"/>
      <c r="E112" s="376"/>
      <c r="F112" s="376"/>
      <c r="G112" s="376"/>
      <c r="H112" s="662"/>
      <c r="I112" s="200" t="e">
        <f t="shared" si="89"/>
        <v>#DIV/0!</v>
      </c>
      <c r="J112" s="200" t="e">
        <f t="shared" si="90"/>
        <v>#DIV/0!</v>
      </c>
      <c r="K112" s="201" t="e">
        <f t="shared" si="91"/>
        <v>#DIV/0!</v>
      </c>
      <c r="L112" s="601"/>
      <c r="M112" s="202" t="e">
        <f>RANK(K112, K$87:$K$101)</f>
        <v>#DIV/0!</v>
      </c>
      <c r="N112" s="619"/>
      <c r="O112" s="619"/>
      <c r="P112" s="356"/>
      <c r="Q112" s="183"/>
      <c r="R112" s="359"/>
      <c r="S112" s="356" t="e">
        <f t="shared" si="92"/>
        <v>#N/A</v>
      </c>
      <c r="T112" s="658"/>
      <c r="U112" s="376"/>
      <c r="V112" s="183"/>
      <c r="W112" s="377"/>
      <c r="X112" s="356" t="e">
        <f t="shared" si="93"/>
        <v>#N/A</v>
      </c>
      <c r="Y112" s="658"/>
      <c r="Z112" s="376"/>
      <c r="AA112" s="183"/>
      <c r="AB112" s="377"/>
      <c r="AC112" s="356" t="e">
        <f t="shared" si="94"/>
        <v>#N/A</v>
      </c>
      <c r="AD112" s="658"/>
      <c r="AE112" s="376"/>
      <c r="AF112" s="183"/>
      <c r="AG112" s="377"/>
      <c r="AH112" s="356" t="e">
        <f t="shared" si="95"/>
        <v>#N/A</v>
      </c>
      <c r="AI112" s="658"/>
      <c r="AJ112" s="376"/>
      <c r="AK112" s="183"/>
      <c r="AL112" s="377"/>
      <c r="AM112" s="356" t="e">
        <f t="shared" si="96"/>
        <v>#N/A</v>
      </c>
      <c r="AN112" s="658"/>
      <c r="AO112" s="376"/>
      <c r="AP112" s="183"/>
      <c r="AQ112" s="377"/>
      <c r="AR112" s="356" t="e">
        <f t="shared" si="97"/>
        <v>#N/A</v>
      </c>
      <c r="AS112" s="658"/>
      <c r="AT112" s="376"/>
      <c r="AU112" s="183"/>
      <c r="AV112" s="377"/>
      <c r="AW112" s="356" t="e">
        <f t="shared" si="98"/>
        <v>#N/A</v>
      </c>
      <c r="AX112" s="658"/>
    </row>
    <row r="113" spans="2:50">
      <c r="B113" s="627"/>
      <c r="C113" s="356">
        <v>7</v>
      </c>
      <c r="D113" s="376"/>
      <c r="E113" s="376"/>
      <c r="F113" s="376"/>
      <c r="G113" s="376"/>
      <c r="H113" s="662"/>
      <c r="I113" s="200" t="e">
        <f t="shared" si="89"/>
        <v>#DIV/0!</v>
      </c>
      <c r="J113" s="200" t="e">
        <f t="shared" si="90"/>
        <v>#DIV/0!</v>
      </c>
      <c r="K113" s="201" t="e">
        <f t="shared" si="91"/>
        <v>#DIV/0!</v>
      </c>
      <c r="L113" s="601"/>
      <c r="M113" s="202" t="e">
        <f>RANK(K113, K$87:$K$101)</f>
        <v>#DIV/0!</v>
      </c>
      <c r="N113" s="619"/>
      <c r="O113" s="619"/>
      <c r="P113" s="356"/>
      <c r="Q113" s="183"/>
      <c r="R113" s="359"/>
      <c r="S113" s="356" t="e">
        <f t="shared" si="92"/>
        <v>#N/A</v>
      </c>
      <c r="T113" s="658"/>
      <c r="U113" s="376"/>
      <c r="V113" s="183"/>
      <c r="W113" s="377"/>
      <c r="X113" s="356" t="e">
        <f t="shared" si="93"/>
        <v>#N/A</v>
      </c>
      <c r="Y113" s="658"/>
      <c r="Z113" s="376"/>
      <c r="AA113" s="183"/>
      <c r="AB113" s="377"/>
      <c r="AC113" s="356" t="e">
        <f t="shared" si="94"/>
        <v>#N/A</v>
      </c>
      <c r="AD113" s="658"/>
      <c r="AE113" s="376"/>
      <c r="AF113" s="183"/>
      <c r="AG113" s="377"/>
      <c r="AH113" s="356" t="e">
        <f t="shared" si="95"/>
        <v>#N/A</v>
      </c>
      <c r="AI113" s="658"/>
      <c r="AJ113" s="376"/>
      <c r="AK113" s="183"/>
      <c r="AL113" s="377"/>
      <c r="AM113" s="356" t="e">
        <f t="shared" si="96"/>
        <v>#N/A</v>
      </c>
      <c r="AN113" s="658"/>
      <c r="AO113" s="376"/>
      <c r="AP113" s="183"/>
      <c r="AQ113" s="377"/>
      <c r="AR113" s="356" t="e">
        <f t="shared" si="97"/>
        <v>#N/A</v>
      </c>
      <c r="AS113" s="658"/>
      <c r="AT113" s="376"/>
      <c r="AU113" s="183"/>
      <c r="AV113" s="377"/>
      <c r="AW113" s="356" t="e">
        <f t="shared" si="98"/>
        <v>#N/A</v>
      </c>
      <c r="AX113" s="658"/>
    </row>
    <row r="114" spans="2:50">
      <c r="B114" s="627"/>
      <c r="C114" s="356">
        <v>8</v>
      </c>
      <c r="D114" s="376"/>
      <c r="E114" s="376"/>
      <c r="F114" s="376"/>
      <c r="G114" s="376"/>
      <c r="H114" s="662"/>
      <c r="I114" s="200"/>
      <c r="J114" s="200"/>
      <c r="K114" s="201"/>
      <c r="L114" s="601"/>
      <c r="M114" s="202" t="e">
        <f>RANK(K114, K$87:$K$101)</f>
        <v>#DIV/0!</v>
      </c>
      <c r="N114" s="619"/>
      <c r="O114" s="619"/>
      <c r="P114" s="356"/>
      <c r="Q114" s="183"/>
      <c r="R114" s="359"/>
      <c r="S114" s="356" t="e">
        <f t="shared" si="92"/>
        <v>#N/A</v>
      </c>
      <c r="T114" s="658"/>
      <c r="U114" s="376"/>
      <c r="V114" s="183"/>
      <c r="W114" s="377"/>
      <c r="X114" s="356" t="e">
        <f t="shared" si="93"/>
        <v>#N/A</v>
      </c>
      <c r="Y114" s="658"/>
      <c r="Z114" s="376"/>
      <c r="AA114" s="183"/>
      <c r="AB114" s="377"/>
      <c r="AC114" s="356" t="e">
        <f t="shared" si="94"/>
        <v>#N/A</v>
      </c>
      <c r="AD114" s="658"/>
      <c r="AE114" s="376"/>
      <c r="AF114" s="183"/>
      <c r="AG114" s="377"/>
      <c r="AH114" s="356" t="e">
        <f t="shared" si="95"/>
        <v>#N/A</v>
      </c>
      <c r="AI114" s="658"/>
      <c r="AJ114" s="376"/>
      <c r="AK114" s="183"/>
      <c r="AL114" s="377"/>
      <c r="AM114" s="356" t="e">
        <f t="shared" si="96"/>
        <v>#N/A</v>
      </c>
      <c r="AN114" s="658"/>
      <c r="AO114" s="376"/>
      <c r="AP114" s="183"/>
      <c r="AQ114" s="377"/>
      <c r="AR114" s="356" t="e">
        <f t="shared" si="97"/>
        <v>#N/A</v>
      </c>
      <c r="AS114" s="658"/>
      <c r="AT114" s="376"/>
      <c r="AU114" s="183"/>
      <c r="AV114" s="377"/>
      <c r="AW114" s="356" t="e">
        <f t="shared" si="98"/>
        <v>#N/A</v>
      </c>
      <c r="AX114" s="658"/>
    </row>
    <row r="115" spans="2:50">
      <c r="B115" s="627"/>
      <c r="C115" s="356">
        <v>9</v>
      </c>
      <c r="D115" s="376"/>
      <c r="E115" s="376"/>
      <c r="F115" s="376"/>
      <c r="G115" s="376"/>
      <c r="H115" s="662"/>
      <c r="I115" s="200"/>
      <c r="J115" s="200"/>
      <c r="K115" s="201"/>
      <c r="L115" s="601"/>
      <c r="M115" s="202" t="e">
        <f>RANK(K115, K$87:$K$101)</f>
        <v>#DIV/0!</v>
      </c>
      <c r="N115" s="619"/>
      <c r="O115" s="619"/>
      <c r="P115" s="356"/>
      <c r="Q115" s="183"/>
      <c r="R115" s="359"/>
      <c r="S115" s="356" t="e">
        <f t="shared" si="92"/>
        <v>#N/A</v>
      </c>
      <c r="T115" s="658"/>
      <c r="U115" s="376"/>
      <c r="V115" s="183"/>
      <c r="W115" s="377"/>
      <c r="X115" s="356" t="e">
        <f t="shared" si="93"/>
        <v>#N/A</v>
      </c>
      <c r="Y115" s="658"/>
      <c r="Z115" s="376"/>
      <c r="AA115" s="183"/>
      <c r="AB115" s="377"/>
      <c r="AC115" s="356" t="e">
        <f t="shared" si="94"/>
        <v>#N/A</v>
      </c>
      <c r="AD115" s="658"/>
      <c r="AE115" s="376"/>
      <c r="AF115" s="183"/>
      <c r="AG115" s="377"/>
      <c r="AH115" s="356" t="e">
        <f t="shared" si="95"/>
        <v>#N/A</v>
      </c>
      <c r="AI115" s="658"/>
      <c r="AJ115" s="376"/>
      <c r="AK115" s="183"/>
      <c r="AL115" s="377"/>
      <c r="AM115" s="356" t="e">
        <f t="shared" si="96"/>
        <v>#N/A</v>
      </c>
      <c r="AN115" s="658"/>
      <c r="AO115" s="376"/>
      <c r="AP115" s="183"/>
      <c r="AQ115" s="377"/>
      <c r="AR115" s="356" t="e">
        <f t="shared" si="97"/>
        <v>#N/A</v>
      </c>
      <c r="AS115" s="658"/>
      <c r="AT115" s="376"/>
      <c r="AU115" s="183"/>
      <c r="AV115" s="377"/>
      <c r="AW115" s="356" t="e">
        <f t="shared" si="98"/>
        <v>#N/A</v>
      </c>
      <c r="AX115" s="658"/>
    </row>
    <row r="116" spans="2:50">
      <c r="B116" s="627"/>
      <c r="C116" s="356">
        <v>10</v>
      </c>
      <c r="D116" s="376"/>
      <c r="E116" s="376"/>
      <c r="F116" s="376"/>
      <c r="G116" s="376"/>
      <c r="H116" s="662"/>
      <c r="I116" s="200"/>
      <c r="J116" s="200"/>
      <c r="K116" s="201"/>
      <c r="L116" s="601"/>
      <c r="M116" s="202" t="e">
        <f>RANK(K116, K$87:$K$101)</f>
        <v>#DIV/0!</v>
      </c>
      <c r="N116" s="619"/>
      <c r="O116" s="619"/>
      <c r="P116" s="356"/>
      <c r="Q116" s="183"/>
      <c r="R116" s="359"/>
      <c r="S116" s="356" t="e">
        <f t="shared" si="92"/>
        <v>#N/A</v>
      </c>
      <c r="T116" s="658"/>
      <c r="U116" s="376"/>
      <c r="V116" s="183"/>
      <c r="W116" s="377"/>
      <c r="X116" s="356" t="e">
        <f t="shared" si="93"/>
        <v>#N/A</v>
      </c>
      <c r="Y116" s="658"/>
      <c r="Z116" s="376"/>
      <c r="AA116" s="183"/>
      <c r="AB116" s="377"/>
      <c r="AC116" s="356" t="e">
        <f t="shared" si="94"/>
        <v>#N/A</v>
      </c>
      <c r="AD116" s="658"/>
      <c r="AE116" s="376"/>
      <c r="AF116" s="183"/>
      <c r="AG116" s="377"/>
      <c r="AH116" s="356" t="e">
        <f t="shared" si="95"/>
        <v>#N/A</v>
      </c>
      <c r="AI116" s="658"/>
      <c r="AJ116" s="376"/>
      <c r="AK116" s="183"/>
      <c r="AL116" s="377"/>
      <c r="AM116" s="356" t="e">
        <f t="shared" si="96"/>
        <v>#N/A</v>
      </c>
      <c r="AN116" s="658"/>
      <c r="AO116" s="376"/>
      <c r="AP116" s="183"/>
      <c r="AQ116" s="377"/>
      <c r="AR116" s="356" t="e">
        <f t="shared" si="97"/>
        <v>#N/A</v>
      </c>
      <c r="AS116" s="658"/>
      <c r="AT116" s="376"/>
      <c r="AU116" s="183"/>
      <c r="AV116" s="377"/>
      <c r="AW116" s="356" t="e">
        <f t="shared" si="98"/>
        <v>#N/A</v>
      </c>
      <c r="AX116" s="658"/>
    </row>
    <row r="117" spans="2:50">
      <c r="B117" s="627"/>
      <c r="C117" s="356">
        <v>11</v>
      </c>
      <c r="D117" s="376"/>
      <c r="E117" s="376"/>
      <c r="F117" s="376"/>
      <c r="G117" s="376"/>
      <c r="H117" s="662"/>
      <c r="I117" s="203"/>
      <c r="J117" s="203"/>
      <c r="K117" s="203"/>
      <c r="L117" s="601"/>
      <c r="M117" s="202" t="e">
        <f>RANK(K117, K$87:$K$101)</f>
        <v>#DIV/0!</v>
      </c>
      <c r="N117" s="619"/>
      <c r="O117" s="619"/>
      <c r="P117" s="356"/>
      <c r="Q117" s="356"/>
      <c r="R117" s="356"/>
      <c r="S117" s="356" t="e">
        <f t="shared" si="92"/>
        <v>#N/A</v>
      </c>
      <c r="T117" s="658"/>
      <c r="U117" s="376"/>
      <c r="V117" s="376"/>
      <c r="W117" s="376"/>
      <c r="X117" s="356" t="e">
        <f t="shared" si="93"/>
        <v>#N/A</v>
      </c>
      <c r="Y117" s="658"/>
      <c r="Z117" s="376"/>
      <c r="AA117" s="376"/>
      <c r="AB117" s="376"/>
      <c r="AC117" s="356" t="e">
        <f t="shared" si="94"/>
        <v>#N/A</v>
      </c>
      <c r="AD117" s="658"/>
      <c r="AE117" s="376"/>
      <c r="AF117" s="376"/>
      <c r="AG117" s="376"/>
      <c r="AH117" s="356" t="e">
        <f t="shared" si="95"/>
        <v>#N/A</v>
      </c>
      <c r="AI117" s="658"/>
      <c r="AJ117" s="376"/>
      <c r="AK117" s="376"/>
      <c r="AL117" s="376"/>
      <c r="AM117" s="356" t="e">
        <f t="shared" si="96"/>
        <v>#N/A</v>
      </c>
      <c r="AN117" s="658"/>
      <c r="AO117" s="376"/>
      <c r="AP117" s="376"/>
      <c r="AQ117" s="376"/>
      <c r="AR117" s="356" t="e">
        <f t="shared" si="97"/>
        <v>#N/A</v>
      </c>
      <c r="AS117" s="658"/>
      <c r="AT117" s="376"/>
      <c r="AU117" s="376"/>
      <c r="AV117" s="376"/>
      <c r="AW117" s="356" t="e">
        <f t="shared" si="98"/>
        <v>#N/A</v>
      </c>
      <c r="AX117" s="658"/>
    </row>
    <row r="118" spans="2:50">
      <c r="B118" s="627"/>
      <c r="C118" s="356">
        <v>12</v>
      </c>
      <c r="D118" s="376"/>
      <c r="E118" s="376"/>
      <c r="F118" s="376"/>
      <c r="G118" s="376"/>
      <c r="H118" s="662"/>
      <c r="I118" s="203"/>
      <c r="J118" s="203"/>
      <c r="K118" s="203"/>
      <c r="L118" s="601"/>
      <c r="M118" s="202" t="e">
        <f>RANK(K118, K$87:$K$101)</f>
        <v>#DIV/0!</v>
      </c>
      <c r="N118" s="619"/>
      <c r="O118" s="619"/>
      <c r="P118" s="356"/>
      <c r="Q118" s="356"/>
      <c r="R118" s="356"/>
      <c r="S118" s="356" t="e">
        <f t="shared" si="92"/>
        <v>#N/A</v>
      </c>
      <c r="T118" s="658"/>
      <c r="U118" s="376"/>
      <c r="V118" s="376"/>
      <c r="W118" s="376"/>
      <c r="X118" s="356" t="e">
        <f t="shared" si="93"/>
        <v>#N/A</v>
      </c>
      <c r="Y118" s="658"/>
      <c r="Z118" s="376"/>
      <c r="AA118" s="376"/>
      <c r="AB118" s="376"/>
      <c r="AC118" s="356" t="e">
        <f t="shared" si="94"/>
        <v>#N/A</v>
      </c>
      <c r="AD118" s="658"/>
      <c r="AE118" s="376"/>
      <c r="AF118" s="376"/>
      <c r="AG118" s="376"/>
      <c r="AH118" s="356" t="e">
        <f t="shared" si="95"/>
        <v>#N/A</v>
      </c>
      <c r="AI118" s="658"/>
      <c r="AJ118" s="376"/>
      <c r="AK118" s="376"/>
      <c r="AL118" s="376"/>
      <c r="AM118" s="356" t="e">
        <f t="shared" si="96"/>
        <v>#N/A</v>
      </c>
      <c r="AN118" s="658"/>
      <c r="AO118" s="376"/>
      <c r="AP118" s="376"/>
      <c r="AQ118" s="376"/>
      <c r="AR118" s="356" t="e">
        <f t="shared" si="97"/>
        <v>#N/A</v>
      </c>
      <c r="AS118" s="658"/>
      <c r="AT118" s="376"/>
      <c r="AU118" s="376"/>
      <c r="AV118" s="376"/>
      <c r="AW118" s="356" t="e">
        <f t="shared" si="98"/>
        <v>#N/A</v>
      </c>
      <c r="AX118" s="658"/>
    </row>
    <row r="119" spans="2:50">
      <c r="B119" s="627"/>
      <c r="C119" s="356">
        <v>13</v>
      </c>
      <c r="D119" s="376"/>
      <c r="E119" s="376"/>
      <c r="F119" s="376"/>
      <c r="G119" s="376"/>
      <c r="H119" s="662"/>
      <c r="I119" s="203"/>
      <c r="J119" s="203"/>
      <c r="K119" s="203"/>
      <c r="L119" s="601"/>
      <c r="M119" s="202" t="e">
        <f>RANK(K119, K$87:$K$101)</f>
        <v>#DIV/0!</v>
      </c>
      <c r="N119" s="619"/>
      <c r="O119" s="619"/>
      <c r="P119" s="356"/>
      <c r="Q119" s="356"/>
      <c r="R119" s="356"/>
      <c r="S119" s="356" t="e">
        <f t="shared" si="92"/>
        <v>#N/A</v>
      </c>
      <c r="T119" s="658"/>
      <c r="U119" s="376"/>
      <c r="V119" s="376"/>
      <c r="W119" s="376"/>
      <c r="X119" s="356" t="e">
        <f t="shared" si="93"/>
        <v>#N/A</v>
      </c>
      <c r="Y119" s="658"/>
      <c r="Z119" s="376"/>
      <c r="AA119" s="376"/>
      <c r="AB119" s="376"/>
      <c r="AC119" s="356" t="e">
        <f t="shared" si="94"/>
        <v>#N/A</v>
      </c>
      <c r="AD119" s="658"/>
      <c r="AE119" s="376"/>
      <c r="AF119" s="376"/>
      <c r="AG119" s="376"/>
      <c r="AH119" s="356" t="e">
        <f t="shared" si="95"/>
        <v>#N/A</v>
      </c>
      <c r="AI119" s="658"/>
      <c r="AJ119" s="376"/>
      <c r="AK119" s="376"/>
      <c r="AL119" s="376"/>
      <c r="AM119" s="356" t="e">
        <f t="shared" si="96"/>
        <v>#N/A</v>
      </c>
      <c r="AN119" s="658"/>
      <c r="AO119" s="376"/>
      <c r="AP119" s="376"/>
      <c r="AQ119" s="376"/>
      <c r="AR119" s="356" t="e">
        <f t="shared" si="97"/>
        <v>#N/A</v>
      </c>
      <c r="AS119" s="658"/>
      <c r="AT119" s="376"/>
      <c r="AU119" s="376"/>
      <c r="AV119" s="376"/>
      <c r="AW119" s="356" t="e">
        <f t="shared" si="98"/>
        <v>#N/A</v>
      </c>
      <c r="AX119" s="658"/>
    </row>
    <row r="120" spans="2:50">
      <c r="B120" s="627"/>
      <c r="C120" s="356">
        <v>14</v>
      </c>
      <c r="D120" s="376"/>
      <c r="E120" s="376"/>
      <c r="F120" s="376"/>
      <c r="G120" s="376"/>
      <c r="H120" s="662"/>
      <c r="I120" s="203"/>
      <c r="J120" s="203"/>
      <c r="K120" s="203"/>
      <c r="L120" s="601"/>
      <c r="M120" s="202" t="e">
        <f>RANK(K120, K$87:$K$101)</f>
        <v>#DIV/0!</v>
      </c>
      <c r="N120" s="619"/>
      <c r="O120" s="619"/>
      <c r="P120" s="356"/>
      <c r="Q120" s="356"/>
      <c r="R120" s="356"/>
      <c r="S120" s="356" t="e">
        <f t="shared" si="92"/>
        <v>#N/A</v>
      </c>
      <c r="T120" s="658"/>
      <c r="U120" s="376"/>
      <c r="V120" s="376"/>
      <c r="W120" s="376"/>
      <c r="X120" s="356" t="e">
        <f t="shared" si="93"/>
        <v>#N/A</v>
      </c>
      <c r="Y120" s="658"/>
      <c r="Z120" s="376"/>
      <c r="AA120" s="376"/>
      <c r="AB120" s="376"/>
      <c r="AC120" s="356" t="e">
        <f t="shared" si="94"/>
        <v>#N/A</v>
      </c>
      <c r="AD120" s="658"/>
      <c r="AE120" s="376"/>
      <c r="AF120" s="376"/>
      <c r="AG120" s="376"/>
      <c r="AH120" s="356" t="e">
        <f t="shared" si="95"/>
        <v>#N/A</v>
      </c>
      <c r="AI120" s="658"/>
      <c r="AJ120" s="376"/>
      <c r="AK120" s="376"/>
      <c r="AL120" s="376"/>
      <c r="AM120" s="356" t="e">
        <f t="shared" si="96"/>
        <v>#N/A</v>
      </c>
      <c r="AN120" s="658"/>
      <c r="AO120" s="376"/>
      <c r="AP120" s="376"/>
      <c r="AQ120" s="376"/>
      <c r="AR120" s="356" t="e">
        <f t="shared" si="97"/>
        <v>#N/A</v>
      </c>
      <c r="AS120" s="658"/>
      <c r="AT120" s="376"/>
      <c r="AU120" s="376"/>
      <c r="AV120" s="376"/>
      <c r="AW120" s="356" t="e">
        <f t="shared" si="98"/>
        <v>#N/A</v>
      </c>
      <c r="AX120" s="658"/>
    </row>
    <row r="121" spans="2:50">
      <c r="B121" s="627"/>
      <c r="C121" s="356">
        <v>15</v>
      </c>
      <c r="D121" s="376"/>
      <c r="E121" s="376"/>
      <c r="F121" s="376"/>
      <c r="G121" s="376"/>
      <c r="H121" s="663"/>
      <c r="I121" s="203"/>
      <c r="J121" s="203"/>
      <c r="K121" s="203"/>
      <c r="L121" s="602"/>
      <c r="M121" s="200" t="e">
        <f>RANK(K121, K$87:$K$101)</f>
        <v>#DIV/0!</v>
      </c>
      <c r="N121" s="619"/>
      <c r="O121" s="619"/>
      <c r="P121" s="356"/>
      <c r="Q121" s="356"/>
      <c r="R121" s="356"/>
      <c r="S121" s="356" t="e">
        <f t="shared" si="92"/>
        <v>#N/A</v>
      </c>
      <c r="T121" s="658"/>
      <c r="U121" s="376"/>
      <c r="V121" s="376"/>
      <c r="W121" s="376"/>
      <c r="X121" s="356" t="e">
        <f t="shared" si="93"/>
        <v>#N/A</v>
      </c>
      <c r="Y121" s="658"/>
      <c r="Z121" s="376"/>
      <c r="AA121" s="376"/>
      <c r="AB121" s="376"/>
      <c r="AC121" s="356" t="e">
        <f t="shared" si="94"/>
        <v>#N/A</v>
      </c>
      <c r="AD121" s="658"/>
      <c r="AE121" s="376"/>
      <c r="AF121" s="376"/>
      <c r="AG121" s="376"/>
      <c r="AH121" s="356" t="e">
        <f t="shared" si="95"/>
        <v>#N/A</v>
      </c>
      <c r="AI121" s="658"/>
      <c r="AJ121" s="376"/>
      <c r="AK121" s="376"/>
      <c r="AL121" s="376"/>
      <c r="AM121" s="356" t="e">
        <f t="shared" si="96"/>
        <v>#N/A</v>
      </c>
      <c r="AN121" s="658"/>
      <c r="AO121" s="376"/>
      <c r="AP121" s="376"/>
      <c r="AQ121" s="376"/>
      <c r="AR121" s="356" t="e">
        <f t="shared" si="97"/>
        <v>#N/A</v>
      </c>
      <c r="AS121" s="658"/>
      <c r="AT121" s="376"/>
      <c r="AU121" s="376"/>
      <c r="AV121" s="376"/>
      <c r="AW121" s="356" t="e">
        <f t="shared" si="98"/>
        <v>#N/A</v>
      </c>
      <c r="AX121" s="658"/>
    </row>
    <row r="123" spans="2:50" ht="15.5">
      <c r="B123" s="652" t="s">
        <v>712</v>
      </c>
      <c r="C123" s="653"/>
      <c r="D123" s="653"/>
      <c r="E123" s="653"/>
      <c r="F123" s="653"/>
      <c r="G123" s="653"/>
      <c r="H123" s="654"/>
      <c r="I123" s="360"/>
      <c r="J123" s="360"/>
      <c r="K123" s="360"/>
      <c r="L123" s="360"/>
      <c r="M123" s="361"/>
    </row>
    <row r="124" spans="2:50" ht="15.5">
      <c r="B124" s="655"/>
      <c r="C124" s="655"/>
      <c r="D124" s="655"/>
      <c r="E124" s="655"/>
      <c r="F124" s="655"/>
      <c r="G124" s="655"/>
      <c r="H124" s="655"/>
      <c r="I124" s="362"/>
      <c r="J124" s="362"/>
      <c r="K124" s="362"/>
      <c r="L124" s="362"/>
      <c r="M124" s="363"/>
    </row>
    <row r="125" spans="2:50">
      <c r="B125" s="619" t="s">
        <v>713</v>
      </c>
      <c r="C125" s="619" t="s">
        <v>714</v>
      </c>
      <c r="D125" s="619"/>
      <c r="E125" s="619" t="s">
        <v>715</v>
      </c>
      <c r="F125" s="619"/>
      <c r="G125" s="619"/>
      <c r="H125" s="635" t="s">
        <v>716</v>
      </c>
      <c r="I125" s="656" t="s">
        <v>717</v>
      </c>
      <c r="J125" s="656"/>
      <c r="K125" s="656"/>
      <c r="L125" s="672" t="s">
        <v>716</v>
      </c>
      <c r="M125" s="675" t="s">
        <v>718</v>
      </c>
    </row>
    <row r="126" spans="2:50">
      <c r="B126" s="619"/>
      <c r="C126" s="619"/>
      <c r="D126" s="619"/>
      <c r="E126" s="619" t="s">
        <v>719</v>
      </c>
      <c r="F126" s="619"/>
      <c r="G126" s="619"/>
      <c r="H126" s="636"/>
      <c r="I126" s="656" t="s">
        <v>719</v>
      </c>
      <c r="J126" s="656"/>
      <c r="K126" s="656"/>
      <c r="L126" s="673"/>
      <c r="M126" s="676"/>
    </row>
    <row r="127" spans="2:50">
      <c r="B127" s="619"/>
      <c r="C127" s="619"/>
      <c r="D127" s="619"/>
      <c r="E127" s="357" t="s">
        <v>720</v>
      </c>
      <c r="F127" s="357" t="s">
        <v>721</v>
      </c>
      <c r="G127" s="357" t="s">
        <v>722</v>
      </c>
      <c r="H127" s="637"/>
      <c r="I127" s="364" t="s">
        <v>720</v>
      </c>
      <c r="J127" s="364" t="s">
        <v>721</v>
      </c>
      <c r="K127" s="364" t="s">
        <v>722</v>
      </c>
      <c r="L127" s="674"/>
      <c r="M127" s="677"/>
    </row>
    <row r="128" spans="2:50">
      <c r="B128" s="660" t="s">
        <v>724</v>
      </c>
      <c r="C128" s="356">
        <v>1</v>
      </c>
      <c r="D128" s="228"/>
      <c r="E128" s="183"/>
      <c r="F128" s="356"/>
      <c r="G128" s="359"/>
      <c r="H128" s="661" t="e">
        <f>AVERAGE(G128:G142)</f>
        <v>#DIV/0!</v>
      </c>
      <c r="I128" s="200" t="e">
        <f t="shared" ref="I128:K134" si="99">AVERAGEIF($D$7:$D$121,$D128,I$7:I$121)</f>
        <v>#DIV/0!</v>
      </c>
      <c r="J128" s="200" t="e">
        <f t="shared" si="99"/>
        <v>#DIV/0!</v>
      </c>
      <c r="K128" s="200" t="e">
        <f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27"/>
      <c r="C129" s="356">
        <v>2</v>
      </c>
      <c r="D129" s="228"/>
      <c r="E129" s="183"/>
      <c r="F129" s="356"/>
      <c r="G129" s="359"/>
      <c r="H129" s="662"/>
      <c r="I129" s="200" t="e">
        <f t="shared" si="99"/>
        <v>#DIV/0!</v>
      </c>
      <c r="J129" s="200" t="e">
        <f t="shared" si="99"/>
        <v>#DIV/0!</v>
      </c>
      <c r="K129" s="200" t="e">
        <f t="shared" si="99"/>
        <v>#DIV/0!</v>
      </c>
      <c r="L129" s="670"/>
      <c r="M129" s="200" t="e">
        <f>RANK(K129, K$128:$K$142)</f>
        <v>#DIV/0!</v>
      </c>
    </row>
    <row r="130" spans="2:13">
      <c r="B130" s="627"/>
      <c r="C130" s="356">
        <v>3</v>
      </c>
      <c r="D130" s="228"/>
      <c r="E130" s="183"/>
      <c r="F130" s="356"/>
      <c r="G130" s="359"/>
      <c r="H130" s="662"/>
      <c r="I130" s="200" t="e">
        <f t="shared" si="99"/>
        <v>#DIV/0!</v>
      </c>
      <c r="J130" s="200" t="e">
        <f t="shared" si="99"/>
        <v>#DIV/0!</v>
      </c>
      <c r="K130" s="200" t="e">
        <f t="shared" si="99"/>
        <v>#DIV/0!</v>
      </c>
      <c r="L130" s="670"/>
      <c r="M130" s="200" t="e">
        <f>RANK(K130, K$128:$K$142)</f>
        <v>#DIV/0!</v>
      </c>
    </row>
    <row r="131" spans="2:13">
      <c r="B131" s="627"/>
      <c r="C131" s="356">
        <v>4</v>
      </c>
      <c r="D131" s="228"/>
      <c r="E131" s="183"/>
      <c r="F131" s="356"/>
      <c r="G131" s="359"/>
      <c r="H131" s="662"/>
      <c r="I131" s="200" t="e">
        <f t="shared" si="99"/>
        <v>#DIV/0!</v>
      </c>
      <c r="J131" s="200" t="e">
        <f t="shared" si="99"/>
        <v>#DIV/0!</v>
      </c>
      <c r="K131" s="200" t="e">
        <f t="shared" si="99"/>
        <v>#DIV/0!</v>
      </c>
      <c r="L131" s="670"/>
      <c r="M131" s="200" t="e">
        <f>RANK(K131, K$128:$K$142)</f>
        <v>#DIV/0!</v>
      </c>
    </row>
    <row r="132" spans="2:13">
      <c r="B132" s="627"/>
      <c r="C132" s="356">
        <v>5</v>
      </c>
      <c r="D132" s="228"/>
      <c r="E132" s="183"/>
      <c r="F132" s="356"/>
      <c r="G132" s="359"/>
      <c r="H132" s="662"/>
      <c r="I132" s="200" t="e">
        <f t="shared" si="99"/>
        <v>#DIV/0!</v>
      </c>
      <c r="J132" s="200" t="e">
        <f t="shared" si="99"/>
        <v>#DIV/0!</v>
      </c>
      <c r="K132" s="200" t="e">
        <f t="shared" si="99"/>
        <v>#DIV/0!</v>
      </c>
      <c r="L132" s="670"/>
      <c r="M132" s="200" t="e">
        <f>RANK(K132, K$128:$K$142)</f>
        <v>#DIV/0!</v>
      </c>
    </row>
    <row r="133" spans="2:13">
      <c r="B133" s="627"/>
      <c r="C133" s="356">
        <v>6</v>
      </c>
      <c r="D133" s="365"/>
      <c r="E133" s="183"/>
      <c r="F133" s="356"/>
      <c r="G133" s="359"/>
      <c r="H133" s="662"/>
      <c r="I133" s="200" t="e">
        <f t="shared" si="99"/>
        <v>#DIV/0!</v>
      </c>
      <c r="J133" s="200" t="e">
        <f t="shared" si="99"/>
        <v>#DIV/0!</v>
      </c>
      <c r="K133" s="200" t="e">
        <f t="shared" si="99"/>
        <v>#DIV/0!</v>
      </c>
      <c r="L133" s="670"/>
      <c r="M133" s="200" t="e">
        <f>RANK(K133, K$128:$K$142)</f>
        <v>#DIV/0!</v>
      </c>
    </row>
    <row r="134" spans="2:13">
      <c r="B134" s="627"/>
      <c r="C134" s="356">
        <v>7</v>
      </c>
      <c r="D134" s="228"/>
      <c r="E134" s="183"/>
      <c r="F134" s="356"/>
      <c r="G134" s="359"/>
      <c r="H134" s="662"/>
      <c r="I134" s="200" t="e">
        <f t="shared" si="99"/>
        <v>#DIV/0!</v>
      </c>
      <c r="J134" s="200" t="e">
        <f t="shared" si="99"/>
        <v>#DIV/0!</v>
      </c>
      <c r="K134" s="200" t="e">
        <f t="shared" si="99"/>
        <v>#DIV/0!</v>
      </c>
      <c r="L134" s="670"/>
      <c r="M134" s="200" t="e">
        <f>RANK(K134, K$128:$K$142)</f>
        <v>#DIV/0!</v>
      </c>
    </row>
    <row r="135" spans="2:13">
      <c r="B135" s="627"/>
      <c r="C135" s="356">
        <v>8</v>
      </c>
      <c r="D135" s="228"/>
      <c r="E135" s="183"/>
      <c r="F135" s="356"/>
      <c r="G135" s="359"/>
      <c r="H135" s="662"/>
      <c r="I135" s="200"/>
      <c r="J135" s="200"/>
      <c r="K135" s="200"/>
      <c r="L135" s="670"/>
      <c r="M135" s="200" t="e">
        <f>RANK(K135, K$128:$K$142)</f>
        <v>#DIV/0!</v>
      </c>
    </row>
    <row r="136" spans="2:13">
      <c r="B136" s="627"/>
      <c r="C136" s="356">
        <v>9</v>
      </c>
      <c r="D136" s="228"/>
      <c r="E136" s="356"/>
      <c r="F136" s="356"/>
      <c r="G136" s="356"/>
      <c r="H136" s="662"/>
      <c r="I136" s="200"/>
      <c r="J136" s="200"/>
      <c r="K136" s="200"/>
      <c r="L136" s="670"/>
      <c r="M136" s="200" t="e">
        <f>RANK(K136, K$128:$K$142)</f>
        <v>#DIV/0!</v>
      </c>
    </row>
    <row r="137" spans="2:13">
      <c r="B137" s="627"/>
      <c r="C137" s="356">
        <v>10</v>
      </c>
      <c r="D137" s="228"/>
      <c r="E137" s="356"/>
      <c r="F137" s="356"/>
      <c r="G137" s="356"/>
      <c r="H137" s="662"/>
      <c r="I137" s="200"/>
      <c r="J137" s="200"/>
      <c r="K137" s="200"/>
      <c r="L137" s="670"/>
      <c r="M137" s="200" t="e">
        <f>RANK(K137, K$128:$K$142)</f>
        <v>#DIV/0!</v>
      </c>
    </row>
    <row r="138" spans="2:13">
      <c r="B138" s="627"/>
      <c r="C138" s="356">
        <v>11</v>
      </c>
      <c r="D138" s="228"/>
      <c r="E138" s="356"/>
      <c r="F138" s="356"/>
      <c r="G138" s="356"/>
      <c r="H138" s="662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27"/>
      <c r="C139" s="356">
        <v>12</v>
      </c>
      <c r="D139" s="228"/>
      <c r="E139" s="356"/>
      <c r="F139" s="356"/>
      <c r="G139" s="356"/>
      <c r="H139" s="662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27"/>
      <c r="C140" s="356">
        <v>13</v>
      </c>
      <c r="D140" s="228"/>
      <c r="E140" s="356"/>
      <c r="F140" s="356"/>
      <c r="G140" s="356"/>
      <c r="H140" s="662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27"/>
      <c r="C141" s="356">
        <v>14</v>
      </c>
      <c r="D141" s="228"/>
      <c r="E141" s="356"/>
      <c r="F141" s="356"/>
      <c r="G141" s="356"/>
      <c r="H141" s="662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27"/>
      <c r="C142" s="356">
        <v>15</v>
      </c>
      <c r="D142" s="228"/>
      <c r="E142" s="356"/>
      <c r="F142" s="356"/>
      <c r="G142" s="356"/>
      <c r="H142" s="663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8" zoomScale="70" zoomScaleNormal="70" workbookViewId="0">
      <pane xSplit="15" topLeftCell="P1" activePane="topRight" state="frozen"/>
      <selection activeCell="J18" sqref="J18"/>
      <selection pane="topRight" activeCell="D57" sqref="D57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281.23604037286549</v>
      </c>
    </row>
    <row r="2" spans="1:54" ht="15.5">
      <c r="A2" s="81"/>
      <c r="B2" s="631" t="s">
        <v>163</v>
      </c>
      <c r="C2" s="631"/>
      <c r="D2" s="631"/>
      <c r="E2" s="631"/>
      <c r="F2" s="631"/>
      <c r="G2" s="631"/>
      <c r="H2" s="631"/>
      <c r="I2" s="318"/>
      <c r="J2" s="318"/>
      <c r="K2" s="318"/>
      <c r="L2" s="318"/>
      <c r="M2" s="198"/>
      <c r="N2" s="620" t="s">
        <v>156</v>
      </c>
      <c r="O2" s="620" t="s">
        <v>155</v>
      </c>
      <c r="P2" s="666">
        <v>45958</v>
      </c>
      <c r="Q2" s="667"/>
      <c r="R2" s="667"/>
      <c r="S2" s="667"/>
      <c r="T2" s="668"/>
      <c r="U2" s="626">
        <f>P2+1</f>
        <v>45959</v>
      </c>
      <c r="V2" s="627"/>
      <c r="W2" s="627"/>
      <c r="X2" s="627"/>
      <c r="Y2" s="627"/>
      <c r="Z2" s="626">
        <f>U2+1</f>
        <v>45960</v>
      </c>
      <c r="AA2" s="627"/>
      <c r="AB2" s="627"/>
      <c r="AC2" s="627"/>
      <c r="AD2" s="627"/>
      <c r="AE2" s="626">
        <f>Z2+1</f>
        <v>45961</v>
      </c>
      <c r="AF2" s="627"/>
      <c r="AG2" s="627"/>
      <c r="AH2" s="627"/>
      <c r="AI2" s="627"/>
      <c r="AJ2" s="626">
        <f>AE2+1</f>
        <v>45962</v>
      </c>
      <c r="AK2" s="627"/>
      <c r="AL2" s="627"/>
      <c r="AM2" s="627"/>
      <c r="AN2" s="627"/>
      <c r="AO2" s="626">
        <f>AJ2+1</f>
        <v>45963</v>
      </c>
      <c r="AP2" s="627"/>
      <c r="AQ2" s="627"/>
      <c r="AR2" s="627"/>
      <c r="AS2" s="627"/>
      <c r="AT2" s="626">
        <v>45992</v>
      </c>
      <c r="AU2" s="627"/>
      <c r="AV2" s="627"/>
      <c r="AW2" s="627"/>
      <c r="AX2" s="627"/>
    </row>
    <row r="3" spans="1:54" ht="15.5">
      <c r="A3" s="81"/>
      <c r="B3" s="651"/>
      <c r="C3" s="651"/>
      <c r="D3" s="651"/>
      <c r="E3" s="651"/>
      <c r="F3" s="651"/>
      <c r="G3" s="651"/>
      <c r="H3" s="651"/>
      <c r="I3" s="319"/>
      <c r="J3" s="319"/>
      <c r="K3" s="319"/>
      <c r="L3" s="319"/>
      <c r="M3" s="199"/>
      <c r="N3" s="622"/>
      <c r="O3" s="622"/>
      <c r="P3" s="623" t="s">
        <v>158</v>
      </c>
      <c r="Q3" s="624"/>
      <c r="R3" s="624"/>
      <c r="S3" s="624"/>
      <c r="T3" s="625"/>
      <c r="U3" s="623" t="s">
        <v>114</v>
      </c>
      <c r="V3" s="624"/>
      <c r="W3" s="624"/>
      <c r="X3" s="624"/>
      <c r="Y3" s="625"/>
      <c r="Z3" s="623" t="s">
        <v>159</v>
      </c>
      <c r="AA3" s="624"/>
      <c r="AB3" s="624"/>
      <c r="AC3" s="624"/>
      <c r="AD3" s="625"/>
      <c r="AE3" s="623" t="s">
        <v>157</v>
      </c>
      <c r="AF3" s="624"/>
      <c r="AG3" s="624"/>
      <c r="AH3" s="624"/>
      <c r="AI3" s="625"/>
      <c r="AJ3" s="623" t="s">
        <v>160</v>
      </c>
      <c r="AK3" s="624"/>
      <c r="AL3" s="624"/>
      <c r="AM3" s="624"/>
      <c r="AN3" s="625"/>
      <c r="AO3" s="623" t="s">
        <v>161</v>
      </c>
      <c r="AP3" s="624"/>
      <c r="AQ3" s="624"/>
      <c r="AR3" s="624"/>
      <c r="AS3" s="625"/>
      <c r="AT3" s="623" t="s">
        <v>162</v>
      </c>
      <c r="AU3" s="624"/>
      <c r="AV3" s="624"/>
      <c r="AW3" s="624"/>
      <c r="AX3" s="625"/>
    </row>
    <row r="4" spans="1:54">
      <c r="A4" s="81"/>
      <c r="B4" s="619" t="s">
        <v>484</v>
      </c>
      <c r="C4" s="619" t="s">
        <v>485</v>
      </c>
      <c r="D4" s="619"/>
      <c r="E4" s="619" t="s">
        <v>486</v>
      </c>
      <c r="F4" s="619"/>
      <c r="G4" s="619"/>
      <c r="H4" s="635" t="s">
        <v>487</v>
      </c>
      <c r="I4" s="603" t="s">
        <v>488</v>
      </c>
      <c r="J4" s="603"/>
      <c r="K4" s="603"/>
      <c r="L4" s="604" t="s">
        <v>487</v>
      </c>
      <c r="M4" s="610" t="s">
        <v>489</v>
      </c>
      <c r="N4" s="619"/>
      <c r="O4" s="619" t="s">
        <v>490</v>
      </c>
      <c r="P4" s="616" t="s">
        <v>491</v>
      </c>
      <c r="Q4" s="617"/>
      <c r="R4" s="617"/>
      <c r="S4" s="618"/>
      <c r="T4" s="619" t="s">
        <v>487</v>
      </c>
      <c r="U4" s="616" t="s">
        <v>491</v>
      </c>
      <c r="V4" s="617"/>
      <c r="W4" s="617"/>
      <c r="X4" s="618"/>
      <c r="Y4" s="619" t="s">
        <v>487</v>
      </c>
      <c r="Z4" s="616" t="s">
        <v>491</v>
      </c>
      <c r="AA4" s="617"/>
      <c r="AB4" s="617"/>
      <c r="AC4" s="618"/>
      <c r="AD4" s="619" t="s">
        <v>487</v>
      </c>
      <c r="AE4" s="616" t="s">
        <v>491</v>
      </c>
      <c r="AF4" s="617"/>
      <c r="AG4" s="617"/>
      <c r="AH4" s="618"/>
      <c r="AI4" s="619" t="s">
        <v>487</v>
      </c>
      <c r="AJ4" s="616" t="s">
        <v>491</v>
      </c>
      <c r="AK4" s="617"/>
      <c r="AL4" s="617"/>
      <c r="AM4" s="618"/>
      <c r="AN4" s="619" t="s">
        <v>487</v>
      </c>
      <c r="AO4" s="616" t="s">
        <v>491</v>
      </c>
      <c r="AP4" s="617"/>
      <c r="AQ4" s="617"/>
      <c r="AR4" s="618"/>
      <c r="AS4" s="619" t="s">
        <v>487</v>
      </c>
      <c r="AT4" s="616" t="s">
        <v>491</v>
      </c>
      <c r="AU4" s="617"/>
      <c r="AV4" s="617"/>
      <c r="AW4" s="618"/>
      <c r="AX4" s="619" t="s">
        <v>487</v>
      </c>
    </row>
    <row r="5" spans="1:54">
      <c r="A5" s="81"/>
      <c r="B5" s="619"/>
      <c r="C5" s="619"/>
      <c r="D5" s="619"/>
      <c r="E5" s="619" t="s">
        <v>492</v>
      </c>
      <c r="F5" s="619"/>
      <c r="G5" s="619"/>
      <c r="H5" s="636"/>
      <c r="I5" s="603" t="s">
        <v>492</v>
      </c>
      <c r="J5" s="603"/>
      <c r="K5" s="603"/>
      <c r="L5" s="605"/>
      <c r="M5" s="611"/>
      <c r="N5" s="619"/>
      <c r="O5" s="619"/>
      <c r="P5" s="616" t="s">
        <v>493</v>
      </c>
      <c r="Q5" s="617"/>
      <c r="R5" s="617"/>
      <c r="S5" s="618"/>
      <c r="T5" s="619"/>
      <c r="U5" s="616" t="s">
        <v>493</v>
      </c>
      <c r="V5" s="617"/>
      <c r="W5" s="617"/>
      <c r="X5" s="618"/>
      <c r="Y5" s="619"/>
      <c r="Z5" s="616" t="s">
        <v>493</v>
      </c>
      <c r="AA5" s="617"/>
      <c r="AB5" s="617"/>
      <c r="AC5" s="618"/>
      <c r="AD5" s="619"/>
      <c r="AE5" s="616" t="s">
        <v>493</v>
      </c>
      <c r="AF5" s="617"/>
      <c r="AG5" s="617"/>
      <c r="AH5" s="618"/>
      <c r="AI5" s="619"/>
      <c r="AJ5" s="616" t="s">
        <v>493</v>
      </c>
      <c r="AK5" s="617"/>
      <c r="AL5" s="617"/>
      <c r="AM5" s="618"/>
      <c r="AN5" s="619"/>
      <c r="AO5" s="616" t="s">
        <v>493</v>
      </c>
      <c r="AP5" s="617"/>
      <c r="AQ5" s="617"/>
      <c r="AR5" s="618"/>
      <c r="AS5" s="619"/>
      <c r="AT5" s="616" t="s">
        <v>493</v>
      </c>
      <c r="AU5" s="617"/>
      <c r="AV5" s="617"/>
      <c r="AW5" s="618"/>
      <c r="AX5" s="619"/>
    </row>
    <row r="6" spans="1:54">
      <c r="A6" s="79"/>
      <c r="B6" s="619"/>
      <c r="C6" s="619"/>
      <c r="D6" s="619"/>
      <c r="E6" s="473" t="s">
        <v>494</v>
      </c>
      <c r="F6" s="473" t="s">
        <v>495</v>
      </c>
      <c r="G6" s="473" t="s">
        <v>496</v>
      </c>
      <c r="H6" s="637"/>
      <c r="I6" s="474" t="s">
        <v>494</v>
      </c>
      <c r="J6" s="474" t="s">
        <v>495</v>
      </c>
      <c r="K6" s="474" t="s">
        <v>496</v>
      </c>
      <c r="L6" s="606"/>
      <c r="M6" s="612"/>
      <c r="N6" s="619"/>
      <c r="O6" s="619"/>
      <c r="P6" s="473" t="s">
        <v>494</v>
      </c>
      <c r="Q6" s="473" t="s">
        <v>495</v>
      </c>
      <c r="R6" s="473" t="s">
        <v>496</v>
      </c>
      <c r="S6" s="473" t="s">
        <v>489</v>
      </c>
      <c r="T6" s="619"/>
      <c r="U6" s="473" t="s">
        <v>494</v>
      </c>
      <c r="V6" s="473" t="s">
        <v>495</v>
      </c>
      <c r="W6" s="473" t="s">
        <v>496</v>
      </c>
      <c r="X6" s="473" t="s">
        <v>489</v>
      </c>
      <c r="Y6" s="619"/>
      <c r="Z6" s="473" t="s">
        <v>494</v>
      </c>
      <c r="AA6" s="473" t="s">
        <v>495</v>
      </c>
      <c r="AB6" s="473" t="s">
        <v>496</v>
      </c>
      <c r="AC6" s="473" t="s">
        <v>489</v>
      </c>
      <c r="AD6" s="619"/>
      <c r="AE6" s="473" t="s">
        <v>494</v>
      </c>
      <c r="AF6" s="473" t="s">
        <v>495</v>
      </c>
      <c r="AG6" s="473" t="s">
        <v>496</v>
      </c>
      <c r="AH6" s="473" t="s">
        <v>489</v>
      </c>
      <c r="AI6" s="619"/>
      <c r="AJ6" s="473" t="s">
        <v>494</v>
      </c>
      <c r="AK6" s="473" t="s">
        <v>495</v>
      </c>
      <c r="AL6" s="473" t="s">
        <v>496</v>
      </c>
      <c r="AM6" s="473" t="s">
        <v>489</v>
      </c>
      <c r="AN6" s="619"/>
      <c r="AO6" s="473" t="s">
        <v>494</v>
      </c>
      <c r="AP6" s="473" t="s">
        <v>495</v>
      </c>
      <c r="AQ6" s="473" t="s">
        <v>496</v>
      </c>
      <c r="AR6" s="473" t="s">
        <v>489</v>
      </c>
      <c r="AS6" s="619"/>
      <c r="AT6" s="473" t="s">
        <v>494</v>
      </c>
      <c r="AU6" s="473" t="s">
        <v>495</v>
      </c>
      <c r="AV6" s="473" t="s">
        <v>496</v>
      </c>
      <c r="AW6" s="473" t="s">
        <v>489</v>
      </c>
      <c r="AX6" s="619"/>
    </row>
    <row r="7" spans="1:54">
      <c r="A7" s="81"/>
      <c r="B7" s="660" t="s">
        <v>498</v>
      </c>
      <c r="C7" s="470">
        <v>1</v>
      </c>
      <c r="D7" s="228" t="s">
        <v>405</v>
      </c>
      <c r="E7" s="183">
        <v>4</v>
      </c>
      <c r="F7" s="520">
        <v>2000</v>
      </c>
      <c r="G7" s="521">
        <v>500</v>
      </c>
      <c r="H7" s="661">
        <f>AVERAGE(G7:G21)</f>
        <v>261.8778943278943</v>
      </c>
      <c r="I7" s="472">
        <f>AVERAGE(P7,U7,Z7,AE7,AJ7,AO7,AT7)</f>
        <v>4</v>
      </c>
      <c r="J7" s="472">
        <f>AVERAGE(Q7,V7,AA7,AF7,AK7,AP7,AU7)</f>
        <v>2105.7142857142935</v>
      </c>
      <c r="K7" s="201">
        <f>AVERAGE(R7,W7,AB7,AG7,AL7,AQ7,AV7)</f>
        <v>526.42857142857338</v>
      </c>
      <c r="L7" s="600">
        <f>IFERROR(AVERAGE(K7:K21),"-")</f>
        <v>263.75908145621662</v>
      </c>
      <c r="M7" s="475">
        <f>RANK(K7, $K$7:K$21)</f>
        <v>2</v>
      </c>
      <c r="N7" s="619"/>
      <c r="O7" s="619"/>
      <c r="P7" s="183"/>
      <c r="Q7" s="183"/>
      <c r="R7" s="183"/>
      <c r="S7" s="470" t="e">
        <f>RANK(R7, R$7:R$21)</f>
        <v>#N/A</v>
      </c>
      <c r="T7" s="658" t="e">
        <f>AVERAGE(R7:R21)</f>
        <v>#DIV/0!</v>
      </c>
      <c r="U7" s="183"/>
      <c r="V7" s="183"/>
      <c r="W7" s="183"/>
      <c r="X7" s="520" t="e">
        <f t="shared" ref="X7:X21" si="0">RANK(W7, W$7:W$21)</f>
        <v>#N/A</v>
      </c>
      <c r="Y7" s="658" t="e">
        <f t="shared" ref="Y7" si="1">AVERAGE(W7:W21)</f>
        <v>#DIV/0!</v>
      </c>
      <c r="Z7" s="183"/>
      <c r="AA7" s="183"/>
      <c r="AB7" s="183"/>
      <c r="AC7" s="520" t="e">
        <f t="shared" ref="AC7:AC21" si="2">RANK(AB7, AB$7:AB$21)</f>
        <v>#N/A</v>
      </c>
      <c r="AD7" s="658" t="e">
        <f t="shared" ref="AD7" si="3">AVERAGE(AB7:AB21)</f>
        <v>#DIV/0!</v>
      </c>
      <c r="AE7" s="183"/>
      <c r="AF7" s="183"/>
      <c r="AG7" s="183"/>
      <c r="AH7" s="520" t="e">
        <f t="shared" ref="AH7:AH21" si="4">RANK(AG7, AG$7:AG$21)</f>
        <v>#N/A</v>
      </c>
      <c r="AI7" s="658" t="e">
        <f t="shared" ref="AI7" si="5">AVERAGE(AG7:AG21)</f>
        <v>#DIV/0!</v>
      </c>
      <c r="AJ7" s="183"/>
      <c r="AK7" s="183"/>
      <c r="AL7" s="183"/>
      <c r="AM7" s="520" t="e">
        <f t="shared" ref="AM7:AM21" si="6">RANK(AL7, AL$7:AL$21)</f>
        <v>#N/A</v>
      </c>
      <c r="AN7" s="658" t="e">
        <f t="shared" ref="AN7" si="7">AVERAGE(AL7:AL21)</f>
        <v>#DIV/0!</v>
      </c>
      <c r="AO7" s="183"/>
      <c r="AP7" s="183"/>
      <c r="AQ7" s="183"/>
      <c r="AR7" s="520" t="e">
        <f t="shared" ref="AR7:AR21" si="8">RANK(AQ7, AQ$7:AQ$21)</f>
        <v>#N/A</v>
      </c>
      <c r="AS7" s="658" t="e">
        <f t="shared" ref="AS7" si="9">AVERAGE(AQ7:AQ21)</f>
        <v>#DIV/0!</v>
      </c>
      <c r="AT7" s="183">
        <v>4</v>
      </c>
      <c r="AU7" s="183">
        <v>2105.7142857142935</v>
      </c>
      <c r="AV7" s="183">
        <v>526.42857142857338</v>
      </c>
      <c r="AW7" s="470">
        <f>RANK(AV7, AV$7:AV$21)</f>
        <v>2</v>
      </c>
      <c r="AX7" s="658">
        <f>AVERAGE(AV7:AV21)</f>
        <v>263.75908145621662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7"/>
      <c r="C8" s="470">
        <v>2</v>
      </c>
      <c r="D8" s="228" t="s">
        <v>535</v>
      </c>
      <c r="E8" s="183">
        <v>4</v>
      </c>
      <c r="F8" s="520">
        <v>2000</v>
      </c>
      <c r="G8" s="521">
        <v>500</v>
      </c>
      <c r="H8" s="662"/>
      <c r="I8" s="472">
        <f t="shared" ref="I8:I16" si="10">AVERAGE(P8,U8,Z8,AE8,AJ8,AO8,AT8)</f>
        <v>4</v>
      </c>
      <c r="J8" s="472">
        <f t="shared" ref="J8:J16" si="11">AVERAGE(Q8,V8,AA8,AF8,AK8,AP8,AU8)</f>
        <v>2109.599999999994</v>
      </c>
      <c r="K8" s="201">
        <f t="shared" ref="K8:K16" si="12">AVERAGE(R8,W8,AB8,AG8,AL8,AQ8,AV8)</f>
        <v>527.3999999999985</v>
      </c>
      <c r="L8" s="601"/>
      <c r="M8" s="475">
        <f>RANK(K8, $K$7:K$21)</f>
        <v>1</v>
      </c>
      <c r="N8" s="619"/>
      <c r="O8" s="619"/>
      <c r="P8" s="183"/>
      <c r="Q8" s="183"/>
      <c r="R8" s="183"/>
      <c r="S8" s="470" t="e">
        <f t="shared" ref="S8:S21" si="13">RANK(R8, R$7:R$21)</f>
        <v>#N/A</v>
      </c>
      <c r="T8" s="658"/>
      <c r="U8" s="183"/>
      <c r="V8" s="183"/>
      <c r="W8" s="183"/>
      <c r="X8" s="520" t="e">
        <f t="shared" si="0"/>
        <v>#N/A</v>
      </c>
      <c r="Y8" s="658"/>
      <c r="Z8" s="183"/>
      <c r="AA8" s="183"/>
      <c r="AB8" s="183"/>
      <c r="AC8" s="520" t="e">
        <f t="shared" si="2"/>
        <v>#N/A</v>
      </c>
      <c r="AD8" s="658"/>
      <c r="AE8" s="183"/>
      <c r="AF8" s="183"/>
      <c r="AG8" s="183"/>
      <c r="AH8" s="520" t="e">
        <f t="shared" si="4"/>
        <v>#N/A</v>
      </c>
      <c r="AI8" s="658"/>
      <c r="AJ8" s="183"/>
      <c r="AK8" s="183"/>
      <c r="AL8" s="183"/>
      <c r="AM8" s="520" t="e">
        <f t="shared" si="6"/>
        <v>#N/A</v>
      </c>
      <c r="AN8" s="658"/>
      <c r="AO8" s="183"/>
      <c r="AP8" s="183"/>
      <c r="AQ8" s="183"/>
      <c r="AR8" s="520" t="e">
        <f t="shared" si="8"/>
        <v>#N/A</v>
      </c>
      <c r="AS8" s="658"/>
      <c r="AT8" s="183">
        <v>4</v>
      </c>
      <c r="AU8" s="183">
        <v>2109.599999999994</v>
      </c>
      <c r="AV8" s="183">
        <v>527.3999999999985</v>
      </c>
      <c r="AW8" s="470">
        <f t="shared" ref="AW8:AW21" si="14">RANK(AV8, AV$7:AV$21)</f>
        <v>1</v>
      </c>
      <c r="AX8" s="658"/>
      <c r="AZ8" s="379" t="e">
        <f>RANK(AX8, $K$7:AX$21)</f>
        <v>#N/A</v>
      </c>
      <c r="BB8" s="376" t="e">
        <f t="shared" ref="BB8:BB21" si="15">RANK(BA8, BA$7:BA$21)</f>
        <v>#N/A</v>
      </c>
    </row>
    <row r="9" spans="1:54">
      <c r="A9" s="81"/>
      <c r="B9" s="627"/>
      <c r="C9" s="470">
        <v>3</v>
      </c>
      <c r="D9" s="228" t="s">
        <v>406</v>
      </c>
      <c r="E9" s="183">
        <v>12</v>
      </c>
      <c r="F9" s="520">
        <v>2250</v>
      </c>
      <c r="G9" s="521">
        <v>187.5</v>
      </c>
      <c r="H9" s="662"/>
      <c r="I9" s="472">
        <f t="shared" si="10"/>
        <v>12</v>
      </c>
      <c r="J9" s="472">
        <f t="shared" si="11"/>
        <v>2092.7272727272725</v>
      </c>
      <c r="K9" s="201">
        <f t="shared" si="12"/>
        <v>174.39393939393938</v>
      </c>
      <c r="L9" s="601"/>
      <c r="M9" s="475">
        <f>RANK(K9, $K$7:K$21)</f>
        <v>7</v>
      </c>
      <c r="N9" s="619"/>
      <c r="O9" s="619"/>
      <c r="P9" s="183"/>
      <c r="Q9" s="183"/>
      <c r="R9" s="183"/>
      <c r="S9" s="470" t="e">
        <f t="shared" si="13"/>
        <v>#N/A</v>
      </c>
      <c r="T9" s="658"/>
      <c r="U9" s="183"/>
      <c r="V9" s="183"/>
      <c r="W9" s="183"/>
      <c r="X9" s="520" t="e">
        <f t="shared" si="0"/>
        <v>#N/A</v>
      </c>
      <c r="Y9" s="658"/>
      <c r="Z9" s="183"/>
      <c r="AA9" s="183"/>
      <c r="AB9" s="183"/>
      <c r="AC9" s="520" t="e">
        <f t="shared" si="2"/>
        <v>#N/A</v>
      </c>
      <c r="AD9" s="658"/>
      <c r="AE9" s="183"/>
      <c r="AF9" s="183"/>
      <c r="AG9" s="183"/>
      <c r="AH9" s="520" t="e">
        <f t="shared" si="4"/>
        <v>#N/A</v>
      </c>
      <c r="AI9" s="658"/>
      <c r="AJ9" s="183"/>
      <c r="AK9" s="183"/>
      <c r="AL9" s="183"/>
      <c r="AM9" s="520" t="e">
        <f t="shared" si="6"/>
        <v>#N/A</v>
      </c>
      <c r="AN9" s="658"/>
      <c r="AO9" s="183"/>
      <c r="AP9" s="183"/>
      <c r="AQ9" s="183"/>
      <c r="AR9" s="520" t="e">
        <f t="shared" si="8"/>
        <v>#N/A</v>
      </c>
      <c r="AS9" s="658"/>
      <c r="AT9" s="183">
        <v>12</v>
      </c>
      <c r="AU9" s="183">
        <v>2092.7272727272725</v>
      </c>
      <c r="AV9" s="183">
        <v>174.39393939393938</v>
      </c>
      <c r="AW9" s="470">
        <f t="shared" si="14"/>
        <v>7</v>
      </c>
      <c r="AX9" s="658"/>
      <c r="AZ9" s="379" t="e">
        <f>RANK(AX9, $K$7:AX$21)</f>
        <v>#N/A</v>
      </c>
      <c r="BB9" s="376" t="e">
        <f t="shared" si="15"/>
        <v>#N/A</v>
      </c>
    </row>
    <row r="10" spans="1:54">
      <c r="A10" s="81"/>
      <c r="B10" s="627"/>
      <c r="C10" s="470">
        <v>4</v>
      </c>
      <c r="D10" s="228" t="s">
        <v>407</v>
      </c>
      <c r="E10" s="183">
        <v>11</v>
      </c>
      <c r="F10" s="520">
        <v>2118</v>
      </c>
      <c r="G10" s="521">
        <v>192.54545454545453</v>
      </c>
      <c r="H10" s="662"/>
      <c r="I10" s="472">
        <f t="shared" si="10"/>
        <v>11</v>
      </c>
      <c r="J10" s="472">
        <f t="shared" si="11"/>
        <v>2165.9259259259252</v>
      </c>
      <c r="K10" s="201">
        <f t="shared" si="12"/>
        <v>196.90235690235684</v>
      </c>
      <c r="L10" s="601"/>
      <c r="M10" s="475">
        <f>RANK(K10, $K$7:K$21)</f>
        <v>5</v>
      </c>
      <c r="N10" s="619"/>
      <c r="O10" s="619"/>
      <c r="P10" s="183"/>
      <c r="Q10" s="183"/>
      <c r="R10" s="183"/>
      <c r="S10" s="470" t="e">
        <f t="shared" si="13"/>
        <v>#N/A</v>
      </c>
      <c r="T10" s="658"/>
      <c r="U10" s="183"/>
      <c r="V10" s="183"/>
      <c r="W10" s="183"/>
      <c r="X10" s="520" t="e">
        <f t="shared" si="0"/>
        <v>#N/A</v>
      </c>
      <c r="Y10" s="658"/>
      <c r="Z10" s="183"/>
      <c r="AA10" s="183"/>
      <c r="AB10" s="183"/>
      <c r="AC10" s="520" t="e">
        <f t="shared" si="2"/>
        <v>#N/A</v>
      </c>
      <c r="AD10" s="658"/>
      <c r="AE10" s="183"/>
      <c r="AF10" s="183"/>
      <c r="AG10" s="183"/>
      <c r="AH10" s="520" t="e">
        <f t="shared" si="4"/>
        <v>#N/A</v>
      </c>
      <c r="AI10" s="658"/>
      <c r="AJ10" s="183"/>
      <c r="AK10" s="183"/>
      <c r="AL10" s="183"/>
      <c r="AM10" s="520" t="e">
        <f t="shared" si="6"/>
        <v>#N/A</v>
      </c>
      <c r="AN10" s="658"/>
      <c r="AO10" s="183"/>
      <c r="AP10" s="183"/>
      <c r="AQ10" s="183"/>
      <c r="AR10" s="520" t="e">
        <f t="shared" si="8"/>
        <v>#N/A</v>
      </c>
      <c r="AS10" s="658"/>
      <c r="AT10" s="183">
        <v>11</v>
      </c>
      <c r="AU10" s="183">
        <v>2165.9259259259252</v>
      </c>
      <c r="AV10" s="183">
        <v>196.90235690235684</v>
      </c>
      <c r="AW10" s="470">
        <f t="shared" si="14"/>
        <v>5</v>
      </c>
      <c r="AX10" s="658"/>
      <c r="AZ10" s="379" t="e">
        <f>RANK(AX10, $K$7:AX$21)</f>
        <v>#N/A</v>
      </c>
      <c r="BB10" s="376" t="e">
        <f t="shared" si="15"/>
        <v>#N/A</v>
      </c>
    </row>
    <row r="11" spans="1:54">
      <c r="A11" s="81"/>
      <c r="B11" s="627"/>
      <c r="C11" s="470">
        <v>5</v>
      </c>
      <c r="D11" s="228" t="s">
        <v>408</v>
      </c>
      <c r="E11" s="183">
        <v>11</v>
      </c>
      <c r="F11" s="520">
        <v>2250</v>
      </c>
      <c r="G11" s="521">
        <v>204.54545454545453</v>
      </c>
      <c r="H11" s="662"/>
      <c r="I11" s="472">
        <f t="shared" si="10"/>
        <v>11</v>
      </c>
      <c r="J11" s="472">
        <f t="shared" si="11"/>
        <v>2128.2352941176464</v>
      </c>
      <c r="K11" s="201">
        <f t="shared" si="12"/>
        <v>193.47593582887694</v>
      </c>
      <c r="L11" s="601"/>
      <c r="M11" s="475">
        <f>RANK(K11, $K$7:K$21)</f>
        <v>6</v>
      </c>
      <c r="N11" s="619"/>
      <c r="O11" s="619"/>
      <c r="P11" s="183"/>
      <c r="Q11" s="183"/>
      <c r="R11" s="183"/>
      <c r="S11" s="470" t="e">
        <f t="shared" si="13"/>
        <v>#N/A</v>
      </c>
      <c r="T11" s="658"/>
      <c r="U11" s="183"/>
      <c r="V11" s="183"/>
      <c r="W11" s="183"/>
      <c r="X11" s="520" t="e">
        <f t="shared" si="0"/>
        <v>#N/A</v>
      </c>
      <c r="Y11" s="658"/>
      <c r="Z11" s="183"/>
      <c r="AA11" s="183"/>
      <c r="AB11" s="183"/>
      <c r="AC11" s="520" t="e">
        <f t="shared" si="2"/>
        <v>#N/A</v>
      </c>
      <c r="AD11" s="658"/>
      <c r="AE11" s="183"/>
      <c r="AF11" s="183"/>
      <c r="AG11" s="183"/>
      <c r="AH11" s="520" t="e">
        <f t="shared" si="4"/>
        <v>#N/A</v>
      </c>
      <c r="AI11" s="658"/>
      <c r="AJ11" s="183"/>
      <c r="AK11" s="183"/>
      <c r="AL11" s="183"/>
      <c r="AM11" s="520" t="e">
        <f t="shared" si="6"/>
        <v>#N/A</v>
      </c>
      <c r="AN11" s="658"/>
      <c r="AO11" s="183"/>
      <c r="AP11" s="183"/>
      <c r="AQ11" s="183"/>
      <c r="AR11" s="520" t="e">
        <f t="shared" si="8"/>
        <v>#N/A</v>
      </c>
      <c r="AS11" s="658"/>
      <c r="AT11" s="183">
        <v>11</v>
      </c>
      <c r="AU11" s="183">
        <v>2128.2352941176464</v>
      </c>
      <c r="AV11" s="183">
        <v>193.47593582887694</v>
      </c>
      <c r="AW11" s="470">
        <f t="shared" si="14"/>
        <v>6</v>
      </c>
      <c r="AX11" s="658"/>
      <c r="AZ11" s="379" t="e">
        <f>RANK(AX11, $K$7:AX$21)</f>
        <v>#N/A</v>
      </c>
      <c r="BB11" s="376" t="e">
        <f t="shared" si="15"/>
        <v>#N/A</v>
      </c>
    </row>
    <row r="12" spans="1:54">
      <c r="A12" s="81"/>
      <c r="B12" s="627"/>
      <c r="C12" s="470">
        <v>6</v>
      </c>
      <c r="D12" s="228" t="s">
        <v>409</v>
      </c>
      <c r="E12" s="183">
        <v>13</v>
      </c>
      <c r="F12" s="520">
        <v>2250</v>
      </c>
      <c r="G12" s="521">
        <v>173.07692307692307</v>
      </c>
      <c r="H12" s="662"/>
      <c r="I12" s="472">
        <f t="shared" si="10"/>
        <v>13</v>
      </c>
      <c r="J12" s="472">
        <f t="shared" si="11"/>
        <v>1987.8260869565217</v>
      </c>
      <c r="K12" s="201">
        <f t="shared" si="12"/>
        <v>152.90969899665552</v>
      </c>
      <c r="L12" s="601"/>
      <c r="M12" s="475">
        <f>RANK(K12, $K$7:K$21)</f>
        <v>8</v>
      </c>
      <c r="N12" s="619"/>
      <c r="O12" s="619"/>
      <c r="P12" s="183"/>
      <c r="Q12" s="183"/>
      <c r="R12" s="183"/>
      <c r="S12" s="470" t="e">
        <f t="shared" si="13"/>
        <v>#N/A</v>
      </c>
      <c r="T12" s="658"/>
      <c r="U12" s="183"/>
      <c r="V12" s="183"/>
      <c r="W12" s="183"/>
      <c r="X12" s="520" t="e">
        <f t="shared" si="0"/>
        <v>#N/A</v>
      </c>
      <c r="Y12" s="658"/>
      <c r="Z12" s="183"/>
      <c r="AA12" s="183"/>
      <c r="AB12" s="183"/>
      <c r="AC12" s="520" t="e">
        <f t="shared" si="2"/>
        <v>#N/A</v>
      </c>
      <c r="AD12" s="658"/>
      <c r="AE12" s="183"/>
      <c r="AF12" s="183"/>
      <c r="AG12" s="183"/>
      <c r="AH12" s="520" t="e">
        <f t="shared" si="4"/>
        <v>#N/A</v>
      </c>
      <c r="AI12" s="658"/>
      <c r="AJ12" s="183"/>
      <c r="AK12" s="183"/>
      <c r="AL12" s="183"/>
      <c r="AM12" s="520" t="e">
        <f t="shared" si="6"/>
        <v>#N/A</v>
      </c>
      <c r="AN12" s="658"/>
      <c r="AO12" s="183"/>
      <c r="AP12" s="183"/>
      <c r="AQ12" s="183"/>
      <c r="AR12" s="520" t="e">
        <f t="shared" si="8"/>
        <v>#N/A</v>
      </c>
      <c r="AS12" s="658"/>
      <c r="AT12" s="183">
        <v>13</v>
      </c>
      <c r="AU12" s="183">
        <v>1987.8260869565217</v>
      </c>
      <c r="AV12" s="183">
        <v>152.90969899665552</v>
      </c>
      <c r="AW12" s="470">
        <f t="shared" si="14"/>
        <v>8</v>
      </c>
      <c r="AX12" s="658"/>
      <c r="AZ12" s="379" t="e">
        <f>RANK(AX12, $K$7:AX$21)</f>
        <v>#N/A</v>
      </c>
      <c r="BB12" s="376" t="e">
        <f t="shared" si="15"/>
        <v>#N/A</v>
      </c>
    </row>
    <row r="13" spans="1:54">
      <c r="A13" s="81"/>
      <c r="B13" s="627"/>
      <c r="C13" s="470">
        <v>7</v>
      </c>
      <c r="D13" s="228" t="s">
        <v>410</v>
      </c>
      <c r="E13" s="183">
        <v>10</v>
      </c>
      <c r="F13" s="520">
        <v>2250</v>
      </c>
      <c r="G13" s="521">
        <v>225</v>
      </c>
      <c r="H13" s="662"/>
      <c r="I13" s="472">
        <f t="shared" si="10"/>
        <v>9</v>
      </c>
      <c r="J13" s="472">
        <f t="shared" si="11"/>
        <v>2138.666666666667</v>
      </c>
      <c r="K13" s="201">
        <f t="shared" si="12"/>
        <v>237.62962962962968</v>
      </c>
      <c r="L13" s="601"/>
      <c r="M13" s="475">
        <f>RANK(K13, $K$7:K$21)</f>
        <v>4</v>
      </c>
      <c r="N13" s="619"/>
      <c r="O13" s="619"/>
      <c r="P13" s="183"/>
      <c r="Q13" s="183"/>
      <c r="R13" s="183"/>
      <c r="S13" s="470" t="e">
        <f t="shared" si="13"/>
        <v>#N/A</v>
      </c>
      <c r="T13" s="658"/>
      <c r="U13" s="183"/>
      <c r="V13" s="183"/>
      <c r="W13" s="183"/>
      <c r="X13" s="520" t="e">
        <f t="shared" si="0"/>
        <v>#N/A</v>
      </c>
      <c r="Y13" s="658"/>
      <c r="Z13" s="183"/>
      <c r="AA13" s="183"/>
      <c r="AB13" s="183"/>
      <c r="AC13" s="520" t="e">
        <f t="shared" si="2"/>
        <v>#N/A</v>
      </c>
      <c r="AD13" s="658"/>
      <c r="AE13" s="183"/>
      <c r="AF13" s="183"/>
      <c r="AG13" s="183"/>
      <c r="AH13" s="520" t="e">
        <f t="shared" si="4"/>
        <v>#N/A</v>
      </c>
      <c r="AI13" s="658"/>
      <c r="AJ13" s="183"/>
      <c r="AK13" s="183"/>
      <c r="AL13" s="183"/>
      <c r="AM13" s="520" t="e">
        <f t="shared" si="6"/>
        <v>#N/A</v>
      </c>
      <c r="AN13" s="658"/>
      <c r="AO13" s="183"/>
      <c r="AP13" s="183"/>
      <c r="AQ13" s="183"/>
      <c r="AR13" s="520" t="e">
        <f t="shared" si="8"/>
        <v>#N/A</v>
      </c>
      <c r="AS13" s="658"/>
      <c r="AT13" s="183">
        <v>9</v>
      </c>
      <c r="AU13" s="183">
        <v>2138.666666666667</v>
      </c>
      <c r="AV13" s="183">
        <v>237.62962962962968</v>
      </c>
      <c r="AW13" s="470">
        <f t="shared" si="14"/>
        <v>4</v>
      </c>
      <c r="AX13" s="658"/>
      <c r="AZ13" s="379" t="e">
        <f>RANK(AX13, $K$7:AX$21)</f>
        <v>#N/A</v>
      </c>
      <c r="BB13" s="376" t="e">
        <f t="shared" si="15"/>
        <v>#N/A</v>
      </c>
    </row>
    <row r="14" spans="1:54">
      <c r="A14" s="81"/>
      <c r="B14" s="627"/>
      <c r="C14" s="470">
        <v>8</v>
      </c>
      <c r="D14" s="228" t="s">
        <v>404</v>
      </c>
      <c r="E14" s="183">
        <v>18</v>
      </c>
      <c r="F14" s="520">
        <v>1200</v>
      </c>
      <c r="G14" s="521">
        <v>66.666666666666671</v>
      </c>
      <c r="H14" s="662"/>
      <c r="I14" s="472">
        <f t="shared" si="10"/>
        <v>13</v>
      </c>
      <c r="J14" s="472">
        <f t="shared" si="11"/>
        <v>1255.4838709677415</v>
      </c>
      <c r="K14" s="201">
        <f t="shared" si="12"/>
        <v>96.575682382133962</v>
      </c>
      <c r="L14" s="601"/>
      <c r="M14" s="475">
        <f>RANK(K14, $K$7:K$21)</f>
        <v>9</v>
      </c>
      <c r="N14" s="619"/>
      <c r="O14" s="619"/>
      <c r="P14" s="183"/>
      <c r="Q14" s="183"/>
      <c r="R14" s="183"/>
      <c r="S14" s="470" t="e">
        <f t="shared" si="13"/>
        <v>#N/A</v>
      </c>
      <c r="T14" s="658"/>
      <c r="U14" s="183"/>
      <c r="V14" s="183"/>
      <c r="W14" s="183"/>
      <c r="X14" s="520" t="e">
        <f t="shared" si="0"/>
        <v>#N/A</v>
      </c>
      <c r="Y14" s="658"/>
      <c r="Z14" s="183"/>
      <c r="AA14" s="183"/>
      <c r="AB14" s="183"/>
      <c r="AC14" s="520" t="e">
        <f t="shared" si="2"/>
        <v>#N/A</v>
      </c>
      <c r="AD14" s="658"/>
      <c r="AE14" s="183"/>
      <c r="AF14" s="183"/>
      <c r="AG14" s="183"/>
      <c r="AH14" s="520" t="e">
        <f t="shared" si="4"/>
        <v>#N/A</v>
      </c>
      <c r="AI14" s="658"/>
      <c r="AJ14" s="183"/>
      <c r="AK14" s="183"/>
      <c r="AL14" s="183"/>
      <c r="AM14" s="520" t="e">
        <f t="shared" si="6"/>
        <v>#N/A</v>
      </c>
      <c r="AN14" s="658"/>
      <c r="AO14" s="183"/>
      <c r="AP14" s="183"/>
      <c r="AQ14" s="183"/>
      <c r="AR14" s="520" t="e">
        <f t="shared" si="8"/>
        <v>#N/A</v>
      </c>
      <c r="AS14" s="658"/>
      <c r="AT14" s="183">
        <v>13</v>
      </c>
      <c r="AU14" s="183">
        <v>1255.4838709677415</v>
      </c>
      <c r="AV14" s="183">
        <v>96.575682382133962</v>
      </c>
      <c r="AW14" s="470">
        <f t="shared" si="14"/>
        <v>9</v>
      </c>
      <c r="AX14" s="658"/>
      <c r="AZ14" s="379" t="e">
        <f>RANK(AX14, $K$7:AX$21)</f>
        <v>#N/A</v>
      </c>
      <c r="BB14" s="376" t="e">
        <f t="shared" si="15"/>
        <v>#N/A</v>
      </c>
    </row>
    <row r="15" spans="1:54">
      <c r="A15" s="81"/>
      <c r="B15" s="627"/>
      <c r="C15" s="470">
        <v>9</v>
      </c>
      <c r="D15" s="228" t="s">
        <v>404</v>
      </c>
      <c r="E15" s="183">
        <v>18</v>
      </c>
      <c r="F15" s="470">
        <v>1250</v>
      </c>
      <c r="G15" s="471">
        <v>69.444444444444443</v>
      </c>
      <c r="H15" s="662"/>
      <c r="I15" s="472">
        <f t="shared" si="10"/>
        <v>18</v>
      </c>
      <c r="J15" s="472">
        <f t="shared" si="11"/>
        <v>1237.4999999999998</v>
      </c>
      <c r="K15" s="201">
        <f t="shared" si="12"/>
        <v>68.749999999999986</v>
      </c>
      <c r="L15" s="601"/>
      <c r="M15" s="475">
        <f>RANK(K15, $K$7:K$21)</f>
        <v>10</v>
      </c>
      <c r="N15" s="619"/>
      <c r="O15" s="619"/>
      <c r="P15" s="183"/>
      <c r="Q15" s="183"/>
      <c r="R15" s="183"/>
      <c r="S15" s="470" t="e">
        <f t="shared" si="13"/>
        <v>#N/A</v>
      </c>
      <c r="T15" s="658"/>
      <c r="U15" s="183"/>
      <c r="V15" s="183"/>
      <c r="W15" s="183"/>
      <c r="X15" s="520" t="e">
        <f t="shared" si="0"/>
        <v>#N/A</v>
      </c>
      <c r="Y15" s="658"/>
      <c r="Z15" s="183"/>
      <c r="AA15" s="183"/>
      <c r="AB15" s="183"/>
      <c r="AC15" s="520" t="e">
        <f t="shared" si="2"/>
        <v>#N/A</v>
      </c>
      <c r="AD15" s="658"/>
      <c r="AE15" s="183"/>
      <c r="AF15" s="183"/>
      <c r="AG15" s="183"/>
      <c r="AH15" s="520" t="e">
        <f t="shared" si="4"/>
        <v>#N/A</v>
      </c>
      <c r="AI15" s="658"/>
      <c r="AJ15" s="183"/>
      <c r="AK15" s="183"/>
      <c r="AL15" s="183"/>
      <c r="AM15" s="520" t="e">
        <f t="shared" si="6"/>
        <v>#N/A</v>
      </c>
      <c r="AN15" s="658"/>
      <c r="AO15" s="183"/>
      <c r="AP15" s="183"/>
      <c r="AQ15" s="183"/>
      <c r="AR15" s="520" t="e">
        <f t="shared" si="8"/>
        <v>#N/A</v>
      </c>
      <c r="AS15" s="658"/>
      <c r="AT15" s="183">
        <v>18</v>
      </c>
      <c r="AU15" s="183">
        <v>1237.4999999999998</v>
      </c>
      <c r="AV15" s="183">
        <v>68.749999999999986</v>
      </c>
      <c r="AW15" s="470">
        <f t="shared" si="14"/>
        <v>10</v>
      </c>
      <c r="AX15" s="658"/>
      <c r="AZ15" s="379" t="e">
        <f>RANK(AX15, $K$7:AX$21)</f>
        <v>#N/A</v>
      </c>
      <c r="BB15" s="376" t="e">
        <f t="shared" si="15"/>
        <v>#N/A</v>
      </c>
    </row>
    <row r="16" spans="1:54">
      <c r="A16" s="81"/>
      <c r="B16" s="627"/>
      <c r="C16" s="470">
        <v>10</v>
      </c>
      <c r="D16" s="228" t="s">
        <v>696</v>
      </c>
      <c r="E16" s="183">
        <v>4</v>
      </c>
      <c r="F16" s="470">
        <v>2000</v>
      </c>
      <c r="G16" s="471">
        <v>500</v>
      </c>
      <c r="H16" s="662"/>
      <c r="I16" s="472">
        <f t="shared" si="10"/>
        <v>4</v>
      </c>
      <c r="J16" s="472">
        <f t="shared" si="11"/>
        <v>1852.5000000000066</v>
      </c>
      <c r="K16" s="201">
        <f t="shared" si="12"/>
        <v>463.12500000000165</v>
      </c>
      <c r="L16" s="601"/>
      <c r="M16" s="475">
        <f>RANK(K16, $K$7:K$21)</f>
        <v>3</v>
      </c>
      <c r="N16" s="619"/>
      <c r="O16" s="619"/>
      <c r="P16" s="183"/>
      <c r="Q16" s="183"/>
      <c r="R16" s="183"/>
      <c r="S16" s="470" t="e">
        <f t="shared" si="13"/>
        <v>#N/A</v>
      </c>
      <c r="T16" s="658"/>
      <c r="U16" s="183"/>
      <c r="V16" s="183"/>
      <c r="W16" s="183"/>
      <c r="X16" s="520" t="e">
        <f t="shared" si="0"/>
        <v>#N/A</v>
      </c>
      <c r="Y16" s="658"/>
      <c r="Z16" s="183"/>
      <c r="AA16" s="183"/>
      <c r="AB16" s="183"/>
      <c r="AC16" s="520" t="e">
        <f t="shared" si="2"/>
        <v>#N/A</v>
      </c>
      <c r="AD16" s="658"/>
      <c r="AE16" s="183"/>
      <c r="AF16" s="183"/>
      <c r="AG16" s="183"/>
      <c r="AH16" s="520" t="e">
        <f t="shared" si="4"/>
        <v>#N/A</v>
      </c>
      <c r="AI16" s="658"/>
      <c r="AJ16" s="183"/>
      <c r="AK16" s="183"/>
      <c r="AL16" s="183"/>
      <c r="AM16" s="520" t="e">
        <f t="shared" si="6"/>
        <v>#N/A</v>
      </c>
      <c r="AN16" s="658"/>
      <c r="AO16" s="183"/>
      <c r="AP16" s="183"/>
      <c r="AQ16" s="183"/>
      <c r="AR16" s="520" t="e">
        <f t="shared" si="8"/>
        <v>#N/A</v>
      </c>
      <c r="AS16" s="658"/>
      <c r="AT16" s="183">
        <v>4</v>
      </c>
      <c r="AU16" s="183">
        <v>1852.5000000000066</v>
      </c>
      <c r="AV16" s="183">
        <v>463.12500000000165</v>
      </c>
      <c r="AW16" s="470">
        <f t="shared" si="14"/>
        <v>3</v>
      </c>
      <c r="AX16" s="658"/>
      <c r="AZ16" s="379" t="e">
        <f>RANK(AX16, $K$7:AX$21)</f>
        <v>#N/A</v>
      </c>
      <c r="BB16" s="376" t="e">
        <f t="shared" si="15"/>
        <v>#N/A</v>
      </c>
    </row>
    <row r="17" spans="2:54">
      <c r="B17" s="627"/>
      <c r="C17" s="470">
        <v>11</v>
      </c>
      <c r="D17" s="228"/>
      <c r="E17" s="183"/>
      <c r="F17" s="470"/>
      <c r="G17" s="471"/>
      <c r="H17" s="662"/>
      <c r="I17" s="472"/>
      <c r="J17" s="472"/>
      <c r="K17" s="201"/>
      <c r="L17" s="601"/>
      <c r="M17" s="475" t="e">
        <f>RANK(K17, $K$7:K$21)</f>
        <v>#N/A</v>
      </c>
      <c r="N17" s="619"/>
      <c r="O17" s="619"/>
      <c r="P17" s="183"/>
      <c r="Q17" s="183"/>
      <c r="R17" s="183"/>
      <c r="S17" s="470" t="e">
        <f t="shared" si="13"/>
        <v>#N/A</v>
      </c>
      <c r="T17" s="658"/>
      <c r="U17" s="183"/>
      <c r="V17" s="183"/>
      <c r="W17" s="183"/>
      <c r="X17" s="520" t="e">
        <f t="shared" si="0"/>
        <v>#N/A</v>
      </c>
      <c r="Y17" s="658"/>
      <c r="Z17" s="183"/>
      <c r="AA17" s="183"/>
      <c r="AB17" s="183"/>
      <c r="AC17" s="520" t="e">
        <f t="shared" si="2"/>
        <v>#N/A</v>
      </c>
      <c r="AD17" s="658"/>
      <c r="AE17" s="183"/>
      <c r="AF17" s="183"/>
      <c r="AG17" s="183"/>
      <c r="AH17" s="520" t="e">
        <f t="shared" si="4"/>
        <v>#N/A</v>
      </c>
      <c r="AI17" s="658"/>
      <c r="AJ17" s="183"/>
      <c r="AK17" s="183"/>
      <c r="AL17" s="183"/>
      <c r="AM17" s="520" t="e">
        <f t="shared" si="6"/>
        <v>#N/A</v>
      </c>
      <c r="AN17" s="658"/>
      <c r="AO17" s="183"/>
      <c r="AP17" s="183"/>
      <c r="AQ17" s="183"/>
      <c r="AR17" s="520" t="e">
        <f t="shared" si="8"/>
        <v>#N/A</v>
      </c>
      <c r="AS17" s="658"/>
      <c r="AT17" s="183" t="s">
        <v>834</v>
      </c>
      <c r="AU17" s="183" t="s">
        <v>834</v>
      </c>
      <c r="AV17" s="183" t="s">
        <v>834</v>
      </c>
      <c r="AW17" s="470" t="e">
        <f t="shared" si="14"/>
        <v>#VALUE!</v>
      </c>
      <c r="AX17" s="658"/>
      <c r="AZ17" s="379" t="e">
        <f>RANK(AX17, $K$7:AX$21)</f>
        <v>#N/A</v>
      </c>
      <c r="BB17" s="376" t="e">
        <f t="shared" si="15"/>
        <v>#N/A</v>
      </c>
    </row>
    <row r="18" spans="2:54">
      <c r="B18" s="627"/>
      <c r="C18" s="470">
        <v>12</v>
      </c>
      <c r="D18" s="228"/>
      <c r="E18" s="183"/>
      <c r="F18" s="470"/>
      <c r="G18" s="471"/>
      <c r="H18" s="662"/>
      <c r="I18" s="203"/>
      <c r="J18" s="203"/>
      <c r="K18" s="203"/>
      <c r="L18" s="601"/>
      <c r="M18" s="475" t="e">
        <f>RANK(K18, $K$7:K$21)</f>
        <v>#N/A</v>
      </c>
      <c r="N18" s="619"/>
      <c r="O18" s="619"/>
      <c r="P18" s="183"/>
      <c r="Q18" s="183"/>
      <c r="R18" s="183"/>
      <c r="S18" s="470" t="e">
        <f t="shared" si="13"/>
        <v>#N/A</v>
      </c>
      <c r="T18" s="658"/>
      <c r="U18" s="183"/>
      <c r="V18" s="183"/>
      <c r="W18" s="183"/>
      <c r="X18" s="520" t="e">
        <f t="shared" si="0"/>
        <v>#N/A</v>
      </c>
      <c r="Y18" s="658"/>
      <c r="Z18" s="183"/>
      <c r="AA18" s="183"/>
      <c r="AB18" s="183"/>
      <c r="AC18" s="520" t="e">
        <f t="shared" si="2"/>
        <v>#N/A</v>
      </c>
      <c r="AD18" s="658"/>
      <c r="AE18" s="183"/>
      <c r="AF18" s="183"/>
      <c r="AG18" s="183"/>
      <c r="AH18" s="520" t="e">
        <f t="shared" si="4"/>
        <v>#N/A</v>
      </c>
      <c r="AI18" s="658"/>
      <c r="AJ18" s="183"/>
      <c r="AK18" s="183"/>
      <c r="AL18" s="183"/>
      <c r="AM18" s="520" t="e">
        <f t="shared" si="6"/>
        <v>#N/A</v>
      </c>
      <c r="AN18" s="658"/>
      <c r="AO18" s="183"/>
      <c r="AP18" s="183"/>
      <c r="AQ18" s="183"/>
      <c r="AR18" s="520" t="e">
        <f t="shared" si="8"/>
        <v>#N/A</v>
      </c>
      <c r="AS18" s="658"/>
      <c r="AT18" s="183"/>
      <c r="AU18" s="183"/>
      <c r="AV18" s="183"/>
      <c r="AW18" s="470" t="e">
        <f t="shared" si="14"/>
        <v>#N/A</v>
      </c>
      <c r="AX18" s="658"/>
      <c r="AZ18" s="379" t="e">
        <f>RANK(AX18, $K$7:AX$21)</f>
        <v>#N/A</v>
      </c>
      <c r="BB18" s="376" t="e">
        <f t="shared" si="15"/>
        <v>#N/A</v>
      </c>
    </row>
    <row r="19" spans="2:54">
      <c r="B19" s="627"/>
      <c r="C19" s="470">
        <v>13</v>
      </c>
      <c r="D19" s="228"/>
      <c r="E19" s="183"/>
      <c r="F19" s="470"/>
      <c r="G19" s="471"/>
      <c r="H19" s="662"/>
      <c r="I19" s="203"/>
      <c r="J19" s="203"/>
      <c r="K19" s="203"/>
      <c r="L19" s="601"/>
      <c r="M19" s="475" t="e">
        <f>RANK(K19, $K$7:K$21)</f>
        <v>#N/A</v>
      </c>
      <c r="N19" s="619"/>
      <c r="O19" s="619"/>
      <c r="P19" s="183"/>
      <c r="Q19" s="183"/>
      <c r="R19" s="183"/>
      <c r="S19" s="470" t="e">
        <f t="shared" si="13"/>
        <v>#N/A</v>
      </c>
      <c r="T19" s="658"/>
      <c r="U19" s="183"/>
      <c r="V19" s="183"/>
      <c r="W19" s="183"/>
      <c r="X19" s="520" t="e">
        <f t="shared" si="0"/>
        <v>#N/A</v>
      </c>
      <c r="Y19" s="658"/>
      <c r="Z19" s="183"/>
      <c r="AA19" s="183"/>
      <c r="AB19" s="183"/>
      <c r="AC19" s="520" t="e">
        <f t="shared" si="2"/>
        <v>#N/A</v>
      </c>
      <c r="AD19" s="658"/>
      <c r="AE19" s="183"/>
      <c r="AF19" s="183"/>
      <c r="AG19" s="183"/>
      <c r="AH19" s="520" t="e">
        <f t="shared" si="4"/>
        <v>#N/A</v>
      </c>
      <c r="AI19" s="658"/>
      <c r="AJ19" s="183"/>
      <c r="AK19" s="183"/>
      <c r="AL19" s="183"/>
      <c r="AM19" s="520" t="e">
        <f t="shared" si="6"/>
        <v>#N/A</v>
      </c>
      <c r="AN19" s="658"/>
      <c r="AO19" s="183"/>
      <c r="AP19" s="183"/>
      <c r="AQ19" s="183"/>
      <c r="AR19" s="520" t="e">
        <f t="shared" si="8"/>
        <v>#N/A</v>
      </c>
      <c r="AS19" s="658"/>
      <c r="AT19" s="183"/>
      <c r="AU19" s="183"/>
      <c r="AV19" s="183"/>
      <c r="AW19" s="470" t="e">
        <f t="shared" si="14"/>
        <v>#N/A</v>
      </c>
      <c r="AX19" s="658"/>
      <c r="AZ19" s="379" t="e">
        <f>RANK(AX19, $K$7:AX$21)</f>
        <v>#N/A</v>
      </c>
      <c r="BB19" s="376" t="e">
        <f t="shared" si="15"/>
        <v>#N/A</v>
      </c>
    </row>
    <row r="20" spans="2:54">
      <c r="B20" s="627"/>
      <c r="C20" s="470">
        <v>14</v>
      </c>
      <c r="D20" s="228"/>
      <c r="E20" s="183"/>
      <c r="F20" s="470"/>
      <c r="G20" s="471"/>
      <c r="H20" s="662"/>
      <c r="I20" s="203"/>
      <c r="J20" s="203"/>
      <c r="K20" s="203"/>
      <c r="L20" s="601"/>
      <c r="M20" s="475" t="e">
        <f>RANK(K20, $K$7:K$21)</f>
        <v>#N/A</v>
      </c>
      <c r="N20" s="619"/>
      <c r="O20" s="619"/>
      <c r="P20" s="183"/>
      <c r="Q20" s="183"/>
      <c r="R20" s="183"/>
      <c r="S20" s="470" t="e">
        <f t="shared" si="13"/>
        <v>#N/A</v>
      </c>
      <c r="T20" s="658"/>
      <c r="U20" s="183"/>
      <c r="V20" s="183"/>
      <c r="W20" s="183"/>
      <c r="X20" s="520" t="e">
        <f t="shared" si="0"/>
        <v>#N/A</v>
      </c>
      <c r="Y20" s="658"/>
      <c r="Z20" s="183"/>
      <c r="AA20" s="183"/>
      <c r="AB20" s="183"/>
      <c r="AC20" s="520" t="e">
        <f t="shared" si="2"/>
        <v>#N/A</v>
      </c>
      <c r="AD20" s="658"/>
      <c r="AE20" s="183"/>
      <c r="AF20" s="183"/>
      <c r="AG20" s="183"/>
      <c r="AH20" s="520" t="e">
        <f t="shared" si="4"/>
        <v>#N/A</v>
      </c>
      <c r="AI20" s="658"/>
      <c r="AJ20" s="183"/>
      <c r="AK20" s="183"/>
      <c r="AL20" s="183"/>
      <c r="AM20" s="520" t="e">
        <f t="shared" si="6"/>
        <v>#N/A</v>
      </c>
      <c r="AN20" s="658"/>
      <c r="AO20" s="183"/>
      <c r="AP20" s="183"/>
      <c r="AQ20" s="183"/>
      <c r="AR20" s="520" t="e">
        <f t="shared" si="8"/>
        <v>#N/A</v>
      </c>
      <c r="AS20" s="658"/>
      <c r="AT20" s="183"/>
      <c r="AU20" s="183"/>
      <c r="AV20" s="183"/>
      <c r="AW20" s="470" t="e">
        <f t="shared" si="14"/>
        <v>#N/A</v>
      </c>
      <c r="AX20" s="658"/>
      <c r="AZ20" s="379" t="e">
        <f>RANK(AX20, $K$7:AX$21)</f>
        <v>#N/A</v>
      </c>
      <c r="BB20" s="376" t="e">
        <f t="shared" si="15"/>
        <v>#N/A</v>
      </c>
    </row>
    <row r="21" spans="2:54">
      <c r="B21" s="627"/>
      <c r="C21" s="470">
        <v>15</v>
      </c>
      <c r="D21" s="228"/>
      <c r="E21" s="183"/>
      <c r="F21" s="470"/>
      <c r="G21" s="471"/>
      <c r="H21" s="663"/>
      <c r="I21" s="203"/>
      <c r="J21" s="203"/>
      <c r="K21" s="203"/>
      <c r="L21" s="602"/>
      <c r="M21" s="472" t="e">
        <f>RANK(K21, $K$7:K$21)</f>
        <v>#N/A</v>
      </c>
      <c r="N21" s="619"/>
      <c r="O21" s="619"/>
      <c r="P21" s="183"/>
      <c r="Q21" s="183"/>
      <c r="R21" s="183"/>
      <c r="S21" s="470" t="e">
        <f t="shared" si="13"/>
        <v>#N/A</v>
      </c>
      <c r="T21" s="658"/>
      <c r="U21" s="183"/>
      <c r="V21" s="183"/>
      <c r="W21" s="183"/>
      <c r="X21" s="520" t="e">
        <f t="shared" si="0"/>
        <v>#N/A</v>
      </c>
      <c r="Y21" s="658"/>
      <c r="Z21" s="183"/>
      <c r="AA21" s="183"/>
      <c r="AB21" s="183"/>
      <c r="AC21" s="520" t="e">
        <f t="shared" si="2"/>
        <v>#N/A</v>
      </c>
      <c r="AD21" s="658"/>
      <c r="AE21" s="183"/>
      <c r="AF21" s="183"/>
      <c r="AG21" s="183"/>
      <c r="AH21" s="520" t="e">
        <f t="shared" si="4"/>
        <v>#N/A</v>
      </c>
      <c r="AI21" s="658"/>
      <c r="AJ21" s="183"/>
      <c r="AK21" s="183"/>
      <c r="AL21" s="183"/>
      <c r="AM21" s="520" t="e">
        <f t="shared" si="6"/>
        <v>#N/A</v>
      </c>
      <c r="AN21" s="658"/>
      <c r="AO21" s="183"/>
      <c r="AP21" s="183"/>
      <c r="AQ21" s="183"/>
      <c r="AR21" s="520" t="e">
        <f t="shared" si="8"/>
        <v>#N/A</v>
      </c>
      <c r="AS21" s="658"/>
      <c r="AT21" s="183"/>
      <c r="AU21" s="183"/>
      <c r="AV21" s="183"/>
      <c r="AW21" s="470" t="e">
        <f t="shared" si="14"/>
        <v>#N/A</v>
      </c>
      <c r="AX21" s="658"/>
      <c r="AZ21" s="378" t="e">
        <f>RANK(AX21, $K$7:AX$21)</f>
        <v>#N/A</v>
      </c>
      <c r="BB21" s="376" t="e">
        <f t="shared" si="15"/>
        <v>#N/A</v>
      </c>
    </row>
    <row r="22" spans="2:54" ht="15.5">
      <c r="B22" s="644" t="s">
        <v>163</v>
      </c>
      <c r="C22" s="645"/>
      <c r="D22" s="645"/>
      <c r="E22" s="645"/>
      <c r="F22" s="645"/>
      <c r="G22" s="645"/>
      <c r="H22" s="645"/>
      <c r="I22" s="204"/>
      <c r="J22" s="204"/>
      <c r="K22" s="204"/>
      <c r="L22" s="204"/>
      <c r="M22" s="205"/>
      <c r="N22" s="620" t="s">
        <v>156</v>
      </c>
      <c r="O22" s="620" t="s">
        <v>105</v>
      </c>
      <c r="P22" s="664">
        <v>45993</v>
      </c>
      <c r="Q22" s="665"/>
      <c r="R22" s="665"/>
      <c r="S22" s="665"/>
      <c r="T22" s="665"/>
      <c r="U22" s="626">
        <f>P22+1</f>
        <v>45994</v>
      </c>
      <c r="V22" s="627"/>
      <c r="W22" s="627"/>
      <c r="X22" s="627"/>
      <c r="Y22" s="627"/>
      <c r="Z22" s="626">
        <f>U22+1</f>
        <v>45995</v>
      </c>
      <c r="AA22" s="627"/>
      <c r="AB22" s="627"/>
      <c r="AC22" s="627"/>
      <c r="AD22" s="627"/>
      <c r="AE22" s="626">
        <f>Z22+1</f>
        <v>45996</v>
      </c>
      <c r="AF22" s="627"/>
      <c r="AG22" s="627"/>
      <c r="AH22" s="627"/>
      <c r="AI22" s="627"/>
      <c r="AJ22" s="626">
        <f>AE22+1</f>
        <v>45997</v>
      </c>
      <c r="AK22" s="627"/>
      <c r="AL22" s="627"/>
      <c r="AM22" s="627"/>
      <c r="AN22" s="627"/>
      <c r="AO22" s="626">
        <f>AJ22+1</f>
        <v>45998</v>
      </c>
      <c r="AP22" s="627"/>
      <c r="AQ22" s="627"/>
      <c r="AR22" s="627"/>
      <c r="AS22" s="627"/>
      <c r="AT22" s="626">
        <f>AO22+1</f>
        <v>45999</v>
      </c>
      <c r="AU22" s="627"/>
      <c r="AV22" s="627"/>
      <c r="AW22" s="627"/>
      <c r="AX22" s="627"/>
    </row>
    <row r="23" spans="2:54" ht="15.5">
      <c r="B23" s="634"/>
      <c r="C23" s="634"/>
      <c r="D23" s="634"/>
      <c r="E23" s="634"/>
      <c r="F23" s="634"/>
      <c r="G23" s="634"/>
      <c r="H23" s="634"/>
      <c r="I23" s="206"/>
      <c r="J23" s="206"/>
      <c r="K23" s="206"/>
      <c r="L23" s="206"/>
      <c r="M23" s="207"/>
      <c r="N23" s="622"/>
      <c r="O23" s="622"/>
      <c r="P23" s="626" t="s">
        <v>336</v>
      </c>
      <c r="Q23" s="627"/>
      <c r="R23" s="627"/>
      <c r="S23" s="627"/>
      <c r="T23" s="627"/>
      <c r="U23" s="626" t="s">
        <v>337</v>
      </c>
      <c r="V23" s="627"/>
      <c r="W23" s="627"/>
      <c r="X23" s="627"/>
      <c r="Y23" s="627"/>
      <c r="Z23" s="626" t="s">
        <v>338</v>
      </c>
      <c r="AA23" s="627"/>
      <c r="AB23" s="627"/>
      <c r="AC23" s="627"/>
      <c r="AD23" s="627"/>
      <c r="AE23" s="626" t="s">
        <v>339</v>
      </c>
      <c r="AF23" s="627"/>
      <c r="AG23" s="627"/>
      <c r="AH23" s="627"/>
      <c r="AI23" s="627"/>
      <c r="AJ23" s="626" t="s">
        <v>340</v>
      </c>
      <c r="AK23" s="627"/>
      <c r="AL23" s="627"/>
      <c r="AM23" s="627"/>
      <c r="AN23" s="627"/>
      <c r="AO23" s="626" t="s">
        <v>341</v>
      </c>
      <c r="AP23" s="627"/>
      <c r="AQ23" s="627"/>
      <c r="AR23" s="627"/>
      <c r="AS23" s="627"/>
      <c r="AT23" s="626" t="s">
        <v>342</v>
      </c>
      <c r="AU23" s="627"/>
      <c r="AV23" s="627"/>
      <c r="AW23" s="627"/>
      <c r="AX23" s="627"/>
    </row>
    <row r="24" spans="2:54">
      <c r="B24" s="619" t="s">
        <v>443</v>
      </c>
      <c r="C24" s="619" t="s">
        <v>453</v>
      </c>
      <c r="D24" s="619"/>
      <c r="E24" s="619" t="s">
        <v>444</v>
      </c>
      <c r="F24" s="619"/>
      <c r="G24" s="619"/>
      <c r="H24" s="635" t="s">
        <v>440</v>
      </c>
      <c r="I24" s="603" t="s">
        <v>445</v>
      </c>
      <c r="J24" s="603"/>
      <c r="K24" s="603"/>
      <c r="L24" s="604" t="s">
        <v>440</v>
      </c>
      <c r="M24" s="610" t="s">
        <v>441</v>
      </c>
      <c r="N24" s="619"/>
      <c r="O24" s="619" t="s">
        <v>446</v>
      </c>
      <c r="P24" s="616" t="s">
        <v>442</v>
      </c>
      <c r="Q24" s="617"/>
      <c r="R24" s="617"/>
      <c r="S24" s="618"/>
      <c r="T24" s="619" t="s">
        <v>440</v>
      </c>
      <c r="U24" s="616" t="s">
        <v>442</v>
      </c>
      <c r="V24" s="617"/>
      <c r="W24" s="617"/>
      <c r="X24" s="618"/>
      <c r="Y24" s="619" t="s">
        <v>440</v>
      </c>
      <c r="Z24" s="616" t="s">
        <v>442</v>
      </c>
      <c r="AA24" s="617"/>
      <c r="AB24" s="617"/>
      <c r="AC24" s="618"/>
      <c r="AD24" s="619" t="s">
        <v>440</v>
      </c>
      <c r="AE24" s="616" t="s">
        <v>442</v>
      </c>
      <c r="AF24" s="617"/>
      <c r="AG24" s="617"/>
      <c r="AH24" s="618"/>
      <c r="AI24" s="619" t="s">
        <v>440</v>
      </c>
      <c r="AJ24" s="616" t="s">
        <v>442</v>
      </c>
      <c r="AK24" s="617"/>
      <c r="AL24" s="617"/>
      <c r="AM24" s="618"/>
      <c r="AN24" s="619" t="s">
        <v>440</v>
      </c>
      <c r="AO24" s="616" t="s">
        <v>442</v>
      </c>
      <c r="AP24" s="617"/>
      <c r="AQ24" s="617"/>
      <c r="AR24" s="618"/>
      <c r="AS24" s="619" t="s">
        <v>440</v>
      </c>
      <c r="AT24" s="616" t="s">
        <v>442</v>
      </c>
      <c r="AU24" s="617"/>
      <c r="AV24" s="617"/>
      <c r="AW24" s="618"/>
      <c r="AX24" s="619" t="s">
        <v>440</v>
      </c>
    </row>
    <row r="25" spans="2:54">
      <c r="B25" s="619"/>
      <c r="C25" s="619"/>
      <c r="D25" s="619"/>
      <c r="E25" s="619" t="s">
        <v>447</v>
      </c>
      <c r="F25" s="619"/>
      <c r="G25" s="619"/>
      <c r="H25" s="636"/>
      <c r="I25" s="603" t="s">
        <v>447</v>
      </c>
      <c r="J25" s="603"/>
      <c r="K25" s="603"/>
      <c r="L25" s="605"/>
      <c r="M25" s="611"/>
      <c r="N25" s="619"/>
      <c r="O25" s="619"/>
      <c r="P25" s="616" t="s">
        <v>448</v>
      </c>
      <c r="Q25" s="617"/>
      <c r="R25" s="617"/>
      <c r="S25" s="618"/>
      <c r="T25" s="619"/>
      <c r="U25" s="616" t="s">
        <v>448</v>
      </c>
      <c r="V25" s="617"/>
      <c r="W25" s="617"/>
      <c r="X25" s="618"/>
      <c r="Y25" s="619"/>
      <c r="Z25" s="616" t="s">
        <v>448</v>
      </c>
      <c r="AA25" s="617"/>
      <c r="AB25" s="617"/>
      <c r="AC25" s="618"/>
      <c r="AD25" s="619"/>
      <c r="AE25" s="616" t="s">
        <v>448</v>
      </c>
      <c r="AF25" s="617"/>
      <c r="AG25" s="617"/>
      <c r="AH25" s="618"/>
      <c r="AI25" s="619"/>
      <c r="AJ25" s="616" t="s">
        <v>448</v>
      </c>
      <c r="AK25" s="617"/>
      <c r="AL25" s="617"/>
      <c r="AM25" s="618"/>
      <c r="AN25" s="619"/>
      <c r="AO25" s="616" t="s">
        <v>448</v>
      </c>
      <c r="AP25" s="617"/>
      <c r="AQ25" s="617"/>
      <c r="AR25" s="618"/>
      <c r="AS25" s="619"/>
      <c r="AT25" s="616" t="s">
        <v>448</v>
      </c>
      <c r="AU25" s="617"/>
      <c r="AV25" s="617"/>
      <c r="AW25" s="618"/>
      <c r="AX25" s="619"/>
    </row>
    <row r="26" spans="2:54">
      <c r="B26" s="619"/>
      <c r="C26" s="619"/>
      <c r="D26" s="619"/>
      <c r="E26" s="316" t="s">
        <v>449</v>
      </c>
      <c r="F26" s="316" t="s">
        <v>450</v>
      </c>
      <c r="G26" s="316" t="s">
        <v>451</v>
      </c>
      <c r="H26" s="637"/>
      <c r="I26" s="315" t="s">
        <v>449</v>
      </c>
      <c r="J26" s="315" t="s">
        <v>450</v>
      </c>
      <c r="K26" s="315" t="s">
        <v>451</v>
      </c>
      <c r="L26" s="606"/>
      <c r="M26" s="612"/>
      <c r="N26" s="619"/>
      <c r="O26" s="619"/>
      <c r="P26" s="316" t="s">
        <v>449</v>
      </c>
      <c r="Q26" s="316" t="s">
        <v>450</v>
      </c>
      <c r="R26" s="316" t="s">
        <v>451</v>
      </c>
      <c r="S26" s="316" t="s">
        <v>441</v>
      </c>
      <c r="T26" s="619"/>
      <c r="U26" s="316" t="s">
        <v>449</v>
      </c>
      <c r="V26" s="316" t="s">
        <v>450</v>
      </c>
      <c r="W26" s="316" t="s">
        <v>451</v>
      </c>
      <c r="X26" s="316" t="s">
        <v>441</v>
      </c>
      <c r="Y26" s="619"/>
      <c r="Z26" s="316" t="s">
        <v>449</v>
      </c>
      <c r="AA26" s="316" t="s">
        <v>450</v>
      </c>
      <c r="AB26" s="316" t="s">
        <v>451</v>
      </c>
      <c r="AC26" s="316" t="s">
        <v>441</v>
      </c>
      <c r="AD26" s="619"/>
      <c r="AE26" s="316" t="s">
        <v>449</v>
      </c>
      <c r="AF26" s="316" t="s">
        <v>450</v>
      </c>
      <c r="AG26" s="316" t="s">
        <v>451</v>
      </c>
      <c r="AH26" s="316" t="s">
        <v>441</v>
      </c>
      <c r="AI26" s="619"/>
      <c r="AJ26" s="316" t="s">
        <v>449</v>
      </c>
      <c r="AK26" s="316" t="s">
        <v>450</v>
      </c>
      <c r="AL26" s="316" t="s">
        <v>451</v>
      </c>
      <c r="AM26" s="316" t="s">
        <v>441</v>
      </c>
      <c r="AN26" s="619"/>
      <c r="AO26" s="316" t="s">
        <v>449</v>
      </c>
      <c r="AP26" s="316" t="s">
        <v>450</v>
      </c>
      <c r="AQ26" s="316" t="s">
        <v>451</v>
      </c>
      <c r="AR26" s="316" t="s">
        <v>441</v>
      </c>
      <c r="AS26" s="619"/>
      <c r="AT26" s="316" t="s">
        <v>449</v>
      </c>
      <c r="AU26" s="316" t="s">
        <v>450</v>
      </c>
      <c r="AV26" s="316" t="s">
        <v>451</v>
      </c>
      <c r="AW26" s="316" t="s">
        <v>441</v>
      </c>
      <c r="AX26" s="619"/>
    </row>
    <row r="27" spans="2:54">
      <c r="B27" s="660" t="s">
        <v>452</v>
      </c>
      <c r="C27" s="317">
        <v>1</v>
      </c>
      <c r="D27" s="228" t="s">
        <v>405</v>
      </c>
      <c r="E27" s="183">
        <v>4</v>
      </c>
      <c r="F27" s="317">
        <v>2000</v>
      </c>
      <c r="G27" s="320">
        <v>500</v>
      </c>
      <c r="H27" s="661">
        <f>AVERAGE(G27:G41)</f>
        <v>298.24777777777774</v>
      </c>
      <c r="I27" s="200">
        <f>AVERAGE(P27,U27,Z27,AE27,AJ27,AO27,AT27)</f>
        <v>4</v>
      </c>
      <c r="J27" s="200">
        <f>AVERAGE(Q27,V27,AA27,AF27,AK27,AP27,AU27)</f>
        <v>2094.0615174299396</v>
      </c>
      <c r="K27" s="201">
        <f>AVERAGE(R27,W27,AB27,AG27,AL27,AQ27,AV27)</f>
        <v>523.5153793574849</v>
      </c>
      <c r="L27" s="600">
        <f>IFERROR(AVERAGE(K27:K41),"-")</f>
        <v>302.54331493234821</v>
      </c>
      <c r="M27" s="202">
        <f>RANK(K27, K$27:$K$41)</f>
        <v>3</v>
      </c>
      <c r="N27" s="619"/>
      <c r="O27" s="619"/>
      <c r="P27" s="183">
        <v>4</v>
      </c>
      <c r="Q27" s="183">
        <v>2102.7272727272803</v>
      </c>
      <c r="R27" s="183">
        <v>525.68181818182006</v>
      </c>
      <c r="S27" s="317">
        <f t="shared" ref="S27:S41" si="16">RANK(R27, R$27:R$41)</f>
        <v>3</v>
      </c>
      <c r="T27" s="658">
        <f>AVERAGE(R27:R41)</f>
        <v>302.58821490104987</v>
      </c>
      <c r="U27" s="183">
        <v>4</v>
      </c>
      <c r="V27" s="183">
        <v>2114.9999999999991</v>
      </c>
      <c r="W27" s="183">
        <v>528.74999999999977</v>
      </c>
      <c r="X27" s="520">
        <f t="shared" ref="X27:X41" si="17">RANK(W27, W$27:W$41)</f>
        <v>2</v>
      </c>
      <c r="Y27" s="658">
        <f t="shared" ref="Y27" si="18">AVERAGE(W27:W41)</f>
        <v>304.49982817783763</v>
      </c>
      <c r="Z27" s="183">
        <v>4</v>
      </c>
      <c r="AA27" s="183">
        <v>2084.9999999999991</v>
      </c>
      <c r="AB27" s="183">
        <v>521.24999999999977</v>
      </c>
      <c r="AC27" s="520">
        <f t="shared" ref="AC27:AC41" si="19">RANK(AB27, AB$27:AB$41)</f>
        <v>3</v>
      </c>
      <c r="AD27" s="658">
        <f t="shared" ref="AD27" si="20">AVERAGE(AB27:AB41)</f>
        <v>301.94876713257162</v>
      </c>
      <c r="AE27" s="183">
        <v>4</v>
      </c>
      <c r="AF27" s="183">
        <v>1834.7368421052618</v>
      </c>
      <c r="AG27" s="183">
        <v>458.68421052631544</v>
      </c>
      <c r="AH27" s="520">
        <f t="shared" ref="AH27:AH41" si="21">RANK(AG27, AG$27:AG$41)</f>
        <v>3</v>
      </c>
      <c r="AI27" s="658">
        <f t="shared" ref="AI27" si="22">AVERAGE(AG27:AG41)</f>
        <v>294.78550950507957</v>
      </c>
      <c r="AJ27" s="183">
        <v>4</v>
      </c>
      <c r="AK27" s="183">
        <v>2188.4210526315774</v>
      </c>
      <c r="AL27" s="183">
        <v>547.10526315789434</v>
      </c>
      <c r="AM27" s="520">
        <f t="shared" ref="AM27:AM41" si="23">RANK(AL27, AL$27:AL$41)</f>
        <v>1</v>
      </c>
      <c r="AN27" s="658">
        <f t="shared" ref="AN27" si="24">AVERAGE(AL27:AL41)</f>
        <v>306.06627375191226</v>
      </c>
      <c r="AO27" s="183">
        <v>4</v>
      </c>
      <c r="AP27" s="183">
        <v>2148.0000000000073</v>
      </c>
      <c r="AQ27" s="183">
        <v>537.00000000000182</v>
      </c>
      <c r="AR27" s="520">
        <f t="shared" ref="AR27:AR41" si="25">RANK(AQ27, AQ$27:AQ$41)</f>
        <v>1</v>
      </c>
      <c r="AS27" s="658">
        <f t="shared" ref="AS27" si="26">AVERAGE(AQ27:AQ41)</f>
        <v>302.15630461849452</v>
      </c>
      <c r="AT27" s="183">
        <v>4</v>
      </c>
      <c r="AU27" s="183">
        <v>2184.5454545454545</v>
      </c>
      <c r="AV27" s="183">
        <v>546.13636363636363</v>
      </c>
      <c r="AW27" s="520">
        <f t="shared" ref="AW27:AW41" si="27">RANK(AV27, AV$27:AV$41)</f>
        <v>2</v>
      </c>
      <c r="AX27" s="658">
        <f t="shared" ref="AX27" si="28">AVERAGE(AV27:AV41)</f>
        <v>305.75830643949229</v>
      </c>
    </row>
    <row r="28" spans="2:54">
      <c r="B28" s="627"/>
      <c r="C28" s="317">
        <v>2</v>
      </c>
      <c r="D28" s="228" t="s">
        <v>535</v>
      </c>
      <c r="E28" s="183">
        <v>4</v>
      </c>
      <c r="F28" s="317">
        <v>2000</v>
      </c>
      <c r="G28" s="320">
        <v>500</v>
      </c>
      <c r="H28" s="662"/>
      <c r="I28" s="200">
        <f t="shared" ref="I28:I36" si="29">AVERAGE(P28,U28,Z28,AE28,AJ28,AO28,AT28)</f>
        <v>4</v>
      </c>
      <c r="J28" s="200">
        <f t="shared" ref="J28:J36" si="30">AVERAGE(Q28,V28,AA28,AF28,AK28,AP28,AU28)</f>
        <v>2130.3408245889432</v>
      </c>
      <c r="K28" s="201">
        <f t="shared" ref="K28:K36" si="31">AVERAGE(R28,W28,AB28,AG28,AL28,AQ28,AV28)</f>
        <v>532.58520614723579</v>
      </c>
      <c r="L28" s="601"/>
      <c r="M28" s="202">
        <f>RANK(K28, K$27:$K$41)</f>
        <v>2</v>
      </c>
      <c r="N28" s="619"/>
      <c r="O28" s="619"/>
      <c r="P28" s="183">
        <v>4</v>
      </c>
      <c r="Q28" s="183">
        <v>2167.4999999999932</v>
      </c>
      <c r="R28" s="183">
        <v>541.87499999999829</v>
      </c>
      <c r="S28" s="317">
        <f t="shared" si="16"/>
        <v>1</v>
      </c>
      <c r="T28" s="658"/>
      <c r="U28" s="183">
        <v>4</v>
      </c>
      <c r="V28" s="183">
        <v>2177.1428571428646</v>
      </c>
      <c r="W28" s="183">
        <v>544.28571428571615</v>
      </c>
      <c r="X28" s="520">
        <f t="shared" si="17"/>
        <v>1</v>
      </c>
      <c r="Y28" s="658"/>
      <c r="Z28" s="183">
        <v>4</v>
      </c>
      <c r="AA28" s="183">
        <v>2091.818181818182</v>
      </c>
      <c r="AB28" s="183">
        <v>522.9545454545455</v>
      </c>
      <c r="AC28" s="520">
        <f t="shared" si="19"/>
        <v>2</v>
      </c>
      <c r="AD28" s="658"/>
      <c r="AE28" s="183">
        <v>4</v>
      </c>
      <c r="AF28" s="183">
        <v>2109.4736842105249</v>
      </c>
      <c r="AG28" s="183">
        <v>527.36842105263122</v>
      </c>
      <c r="AH28" s="520">
        <f t="shared" si="21"/>
        <v>2</v>
      </c>
      <c r="AI28" s="658"/>
      <c r="AJ28" s="183">
        <v>4</v>
      </c>
      <c r="AK28" s="183">
        <v>2168.181818181818</v>
      </c>
      <c r="AL28" s="183">
        <v>542.0454545454545</v>
      </c>
      <c r="AM28" s="520">
        <f t="shared" si="23"/>
        <v>2</v>
      </c>
      <c r="AN28" s="658"/>
      <c r="AO28" s="183">
        <v>4</v>
      </c>
      <c r="AP28" s="183">
        <v>2077.4999999999936</v>
      </c>
      <c r="AQ28" s="183">
        <v>519.37499999999841</v>
      </c>
      <c r="AR28" s="520">
        <f t="shared" si="25"/>
        <v>3</v>
      </c>
      <c r="AS28" s="658"/>
      <c r="AT28" s="183">
        <v>4</v>
      </c>
      <c r="AU28" s="183">
        <v>2120.769230769225</v>
      </c>
      <c r="AV28" s="183">
        <v>530.19230769230626</v>
      </c>
      <c r="AW28" s="520">
        <f t="shared" si="27"/>
        <v>3</v>
      </c>
      <c r="AX28" s="658"/>
    </row>
    <row r="29" spans="2:54">
      <c r="B29" s="627"/>
      <c r="C29" s="317">
        <v>3</v>
      </c>
      <c r="D29" s="228" t="s">
        <v>406</v>
      </c>
      <c r="E29" s="183">
        <v>12</v>
      </c>
      <c r="F29" s="317">
        <v>2250</v>
      </c>
      <c r="G29" s="320">
        <v>187.5</v>
      </c>
      <c r="H29" s="662"/>
      <c r="I29" s="200">
        <f t="shared" si="29"/>
        <v>12</v>
      </c>
      <c r="J29" s="200">
        <f t="shared" si="30"/>
        <v>2174.1035282529274</v>
      </c>
      <c r="K29" s="201">
        <f t="shared" si="31"/>
        <v>181.17529402107726</v>
      </c>
      <c r="L29" s="601"/>
      <c r="M29" s="202">
        <f>RANK(K29, K$27:$K$41)</f>
        <v>8</v>
      </c>
      <c r="N29" s="619"/>
      <c r="O29" s="619"/>
      <c r="P29" s="183">
        <v>12</v>
      </c>
      <c r="Q29" s="183">
        <v>2176.0000000000005</v>
      </c>
      <c r="R29" s="183">
        <v>181.33333333333337</v>
      </c>
      <c r="S29" s="317">
        <f t="shared" si="16"/>
        <v>8</v>
      </c>
      <c r="T29" s="658"/>
      <c r="U29" s="183">
        <v>12</v>
      </c>
      <c r="V29" s="183">
        <v>2210.8474576271192</v>
      </c>
      <c r="W29" s="183">
        <v>184.23728813559327</v>
      </c>
      <c r="X29" s="520">
        <f t="shared" si="17"/>
        <v>8</v>
      </c>
      <c r="Y29" s="658"/>
      <c r="Z29" s="183">
        <v>12</v>
      </c>
      <c r="AA29" s="183">
        <v>2140</v>
      </c>
      <c r="AB29" s="183">
        <v>178.33333333333334</v>
      </c>
      <c r="AC29" s="520">
        <f t="shared" si="19"/>
        <v>8</v>
      </c>
      <c r="AD29" s="658"/>
      <c r="AE29" s="183">
        <v>12</v>
      </c>
      <c r="AF29" s="183">
        <v>2166.2500000000009</v>
      </c>
      <c r="AG29" s="183">
        <v>180.5208333333334</v>
      </c>
      <c r="AH29" s="520">
        <f t="shared" si="21"/>
        <v>8</v>
      </c>
      <c r="AI29" s="658"/>
      <c r="AJ29" s="183">
        <v>12</v>
      </c>
      <c r="AK29" s="183">
        <v>2161.1111111111109</v>
      </c>
      <c r="AL29" s="183">
        <v>180.09259259259258</v>
      </c>
      <c r="AM29" s="520">
        <f t="shared" si="23"/>
        <v>8</v>
      </c>
      <c r="AN29" s="658"/>
      <c r="AO29" s="183">
        <v>12</v>
      </c>
      <c r="AP29" s="183">
        <v>2187.0967741935492</v>
      </c>
      <c r="AQ29" s="183">
        <v>182.25806451612911</v>
      </c>
      <c r="AR29" s="520">
        <f t="shared" si="25"/>
        <v>8</v>
      </c>
      <c r="AS29" s="658"/>
      <c r="AT29" s="183">
        <v>12</v>
      </c>
      <c r="AU29" s="183">
        <v>2177.4193548387107</v>
      </c>
      <c r="AV29" s="183">
        <v>181.45161290322588</v>
      </c>
      <c r="AW29" s="520">
        <f t="shared" si="27"/>
        <v>8</v>
      </c>
      <c r="AX29" s="658"/>
    </row>
    <row r="30" spans="2:54">
      <c r="B30" s="627"/>
      <c r="C30" s="317">
        <v>4</v>
      </c>
      <c r="D30" s="228" t="s">
        <v>407</v>
      </c>
      <c r="E30" s="183">
        <v>11</v>
      </c>
      <c r="F30" s="317">
        <v>2118</v>
      </c>
      <c r="G30" s="320">
        <v>192.5</v>
      </c>
      <c r="H30" s="662"/>
      <c r="I30" s="200">
        <f t="shared" si="29"/>
        <v>11</v>
      </c>
      <c r="J30" s="200">
        <f t="shared" si="30"/>
        <v>2152.8214426861668</v>
      </c>
      <c r="K30" s="201">
        <f t="shared" si="31"/>
        <v>195.71104024419699</v>
      </c>
      <c r="L30" s="601"/>
      <c r="M30" s="202">
        <f>RANK(K30, K$27:$K$41)</f>
        <v>7</v>
      </c>
      <c r="N30" s="619"/>
      <c r="O30" s="619"/>
      <c r="P30" s="183">
        <v>11</v>
      </c>
      <c r="Q30" s="183">
        <v>2144.8101265822784</v>
      </c>
      <c r="R30" s="183">
        <v>194.98273878020711</v>
      </c>
      <c r="S30" s="317">
        <f t="shared" si="16"/>
        <v>6</v>
      </c>
      <c r="T30" s="658"/>
      <c r="U30" s="183">
        <v>11</v>
      </c>
      <c r="V30" s="183">
        <v>2136.1538461538462</v>
      </c>
      <c r="W30" s="183">
        <v>194.19580419580419</v>
      </c>
      <c r="X30" s="520">
        <f t="shared" si="17"/>
        <v>6</v>
      </c>
      <c r="Y30" s="658"/>
      <c r="Z30" s="183">
        <v>11</v>
      </c>
      <c r="AA30" s="183">
        <v>2171.9999999999995</v>
      </c>
      <c r="AB30" s="183">
        <v>197.45454545454541</v>
      </c>
      <c r="AC30" s="520">
        <f t="shared" si="19"/>
        <v>7</v>
      </c>
      <c r="AD30" s="658"/>
      <c r="AE30" s="183">
        <v>11</v>
      </c>
      <c r="AF30" s="183">
        <v>2118.8059701492539</v>
      </c>
      <c r="AG30" s="183">
        <v>192.61872455902309</v>
      </c>
      <c r="AH30" s="520">
        <f t="shared" si="21"/>
        <v>7</v>
      </c>
      <c r="AI30" s="658"/>
      <c r="AJ30" s="183">
        <v>11</v>
      </c>
      <c r="AK30" s="183">
        <v>2213.8235294117662</v>
      </c>
      <c r="AL30" s="183">
        <v>201.25668449197875</v>
      </c>
      <c r="AM30" s="520">
        <f t="shared" si="23"/>
        <v>6</v>
      </c>
      <c r="AN30" s="658"/>
      <c r="AO30" s="183">
        <v>11</v>
      </c>
      <c r="AP30" s="183">
        <v>2135.0000000000005</v>
      </c>
      <c r="AQ30" s="183">
        <v>194.09090909090912</v>
      </c>
      <c r="AR30" s="520">
        <f t="shared" si="25"/>
        <v>7</v>
      </c>
      <c r="AS30" s="658"/>
      <c r="AT30" s="183">
        <v>11</v>
      </c>
      <c r="AU30" s="183">
        <v>2149.1566265060242</v>
      </c>
      <c r="AV30" s="183">
        <v>195.37787513691129</v>
      </c>
      <c r="AW30" s="520">
        <f t="shared" si="27"/>
        <v>6</v>
      </c>
      <c r="AX30" s="658"/>
    </row>
    <row r="31" spans="2:54">
      <c r="B31" s="627"/>
      <c r="C31" s="317">
        <v>5</v>
      </c>
      <c r="D31" s="228" t="s">
        <v>408</v>
      </c>
      <c r="E31" s="183">
        <v>11</v>
      </c>
      <c r="F31" s="317">
        <v>2250</v>
      </c>
      <c r="G31" s="320">
        <v>204.5</v>
      </c>
      <c r="H31" s="662"/>
      <c r="I31" s="200">
        <f t="shared" si="29"/>
        <v>11</v>
      </c>
      <c r="J31" s="200">
        <f t="shared" si="30"/>
        <v>2163.5922891300675</v>
      </c>
      <c r="K31" s="201">
        <f t="shared" si="31"/>
        <v>196.69020810273338</v>
      </c>
      <c r="L31" s="601"/>
      <c r="M31" s="202">
        <f>RANK(K31, K$27:$K$41)</f>
        <v>6</v>
      </c>
      <c r="N31" s="619"/>
      <c r="O31" s="619"/>
      <c r="P31" s="183">
        <v>11</v>
      </c>
      <c r="Q31" s="183">
        <v>2144.4705882352937</v>
      </c>
      <c r="R31" s="183">
        <v>194.95187165775397</v>
      </c>
      <c r="S31" s="317">
        <f t="shared" si="16"/>
        <v>7</v>
      </c>
      <c r="T31" s="658"/>
      <c r="U31" s="183">
        <v>11</v>
      </c>
      <c r="V31" s="183">
        <v>2121.7499999999995</v>
      </c>
      <c r="W31" s="183">
        <v>192.8863636363636</v>
      </c>
      <c r="X31" s="520">
        <f t="shared" si="17"/>
        <v>7</v>
      </c>
      <c r="Y31" s="658"/>
      <c r="Z31" s="183">
        <v>11</v>
      </c>
      <c r="AA31" s="183">
        <v>2226.6666666666674</v>
      </c>
      <c r="AB31" s="183">
        <v>202.42424242424249</v>
      </c>
      <c r="AC31" s="520">
        <f t="shared" si="19"/>
        <v>6</v>
      </c>
      <c r="AD31" s="658"/>
      <c r="AE31" s="183">
        <v>11</v>
      </c>
      <c r="AF31" s="183">
        <v>2201.1940298507461</v>
      </c>
      <c r="AG31" s="183">
        <v>200.10854816824965</v>
      </c>
      <c r="AH31" s="520">
        <f t="shared" si="21"/>
        <v>6</v>
      </c>
      <c r="AI31" s="658"/>
      <c r="AJ31" s="183">
        <v>11</v>
      </c>
      <c r="AK31" s="183">
        <v>2167.297297297298</v>
      </c>
      <c r="AL31" s="183">
        <v>197.02702702702709</v>
      </c>
      <c r="AM31" s="520">
        <f t="shared" si="23"/>
        <v>7</v>
      </c>
      <c r="AN31" s="658"/>
      <c r="AO31" s="183">
        <v>11</v>
      </c>
      <c r="AP31" s="183">
        <v>2144</v>
      </c>
      <c r="AQ31" s="183">
        <v>194.90909090909091</v>
      </c>
      <c r="AR31" s="520">
        <f t="shared" si="25"/>
        <v>6</v>
      </c>
      <c r="AS31" s="658"/>
      <c r="AT31" s="183">
        <v>11</v>
      </c>
      <c r="AU31" s="183">
        <v>2139.7674418604647</v>
      </c>
      <c r="AV31" s="183">
        <v>194.52431289640589</v>
      </c>
      <c r="AW31" s="520">
        <f t="shared" si="27"/>
        <v>7</v>
      </c>
      <c r="AX31" s="658"/>
    </row>
    <row r="32" spans="2:54">
      <c r="B32" s="627"/>
      <c r="C32" s="317">
        <v>6</v>
      </c>
      <c r="D32" s="228" t="s">
        <v>409</v>
      </c>
      <c r="E32" s="183">
        <v>12</v>
      </c>
      <c r="F32" s="317">
        <v>2250</v>
      </c>
      <c r="G32" s="320">
        <v>187.5</v>
      </c>
      <c r="H32" s="662"/>
      <c r="I32" s="200">
        <f t="shared" si="29"/>
        <v>12</v>
      </c>
      <c r="J32" s="200">
        <f t="shared" si="30"/>
        <v>1947.8688579319953</v>
      </c>
      <c r="K32" s="201">
        <f t="shared" si="31"/>
        <v>162.32240482766625</v>
      </c>
      <c r="L32" s="601"/>
      <c r="M32" s="202">
        <f>RANK(K32, K$27:$K$41)</f>
        <v>9</v>
      </c>
      <c r="N32" s="619"/>
      <c r="O32" s="619"/>
      <c r="P32" s="183">
        <v>12</v>
      </c>
      <c r="Q32" s="183">
        <v>1942.6666666666667</v>
      </c>
      <c r="R32" s="183">
        <v>161.88888888888889</v>
      </c>
      <c r="S32" s="317">
        <f t="shared" si="16"/>
        <v>9</v>
      </c>
      <c r="T32" s="658"/>
      <c r="U32" s="183">
        <v>12</v>
      </c>
      <c r="V32" s="183">
        <v>1932.5581395348834</v>
      </c>
      <c r="W32" s="183">
        <v>161.04651162790694</v>
      </c>
      <c r="X32" s="520">
        <f t="shared" si="17"/>
        <v>9</v>
      </c>
      <c r="Y32" s="658"/>
      <c r="Z32" s="183">
        <v>12</v>
      </c>
      <c r="AA32" s="183">
        <v>1968.5714285714278</v>
      </c>
      <c r="AB32" s="183">
        <v>164.04761904761898</v>
      </c>
      <c r="AC32" s="520">
        <f t="shared" si="19"/>
        <v>9</v>
      </c>
      <c r="AD32" s="658"/>
      <c r="AE32" s="183">
        <v>12</v>
      </c>
      <c r="AF32" s="183">
        <v>1969.4999999999993</v>
      </c>
      <c r="AG32" s="183">
        <v>164.12499999999994</v>
      </c>
      <c r="AH32" s="520">
        <f t="shared" si="21"/>
        <v>9</v>
      </c>
      <c r="AI32" s="658"/>
      <c r="AJ32" s="183">
        <v>12</v>
      </c>
      <c r="AK32" s="183">
        <v>1902.2727272727273</v>
      </c>
      <c r="AL32" s="183">
        <v>158.52272727272728</v>
      </c>
      <c r="AM32" s="520">
        <f t="shared" si="23"/>
        <v>9</v>
      </c>
      <c r="AN32" s="658"/>
      <c r="AO32" s="183">
        <v>12</v>
      </c>
      <c r="AP32" s="183">
        <v>1935.6000000000008</v>
      </c>
      <c r="AQ32" s="183">
        <v>161.30000000000007</v>
      </c>
      <c r="AR32" s="520">
        <f t="shared" si="25"/>
        <v>9</v>
      </c>
      <c r="AS32" s="658"/>
      <c r="AT32" s="183">
        <v>12</v>
      </c>
      <c r="AU32" s="183">
        <v>1983.913043478261</v>
      </c>
      <c r="AV32" s="183">
        <v>165.32608695652175</v>
      </c>
      <c r="AW32" s="520">
        <f t="shared" si="27"/>
        <v>9</v>
      </c>
      <c r="AX32" s="658"/>
    </row>
    <row r="33" spans="2:50">
      <c r="B33" s="627"/>
      <c r="C33" s="317">
        <v>7</v>
      </c>
      <c r="D33" s="228" t="s">
        <v>410</v>
      </c>
      <c r="E33" s="183">
        <v>9</v>
      </c>
      <c r="F33" s="317">
        <v>2769</v>
      </c>
      <c r="G33" s="320">
        <v>307.7</v>
      </c>
      <c r="H33" s="662"/>
      <c r="I33" s="200">
        <f t="shared" si="29"/>
        <v>9</v>
      </c>
      <c r="J33" s="200">
        <f t="shared" si="30"/>
        <v>2195.8538296821612</v>
      </c>
      <c r="K33" s="201">
        <f t="shared" si="31"/>
        <v>243.98375885357345</v>
      </c>
      <c r="L33" s="601"/>
      <c r="M33" s="202">
        <f>RANK(K33, K$27:$K$41)</f>
        <v>5</v>
      </c>
      <c r="N33" s="619"/>
      <c r="O33" s="619"/>
      <c r="P33" s="183">
        <v>9</v>
      </c>
      <c r="Q33" s="183">
        <v>2180.4395604395604</v>
      </c>
      <c r="R33" s="183">
        <v>242.27106227106228</v>
      </c>
      <c r="S33" s="317">
        <f t="shared" si="16"/>
        <v>5</v>
      </c>
      <c r="T33" s="658"/>
      <c r="U33" s="183">
        <v>9</v>
      </c>
      <c r="V33" s="183">
        <v>2241.2195121951236</v>
      </c>
      <c r="W33" s="183">
        <v>249.02439024390262</v>
      </c>
      <c r="X33" s="520">
        <f t="shared" si="17"/>
        <v>5</v>
      </c>
      <c r="Y33" s="658"/>
      <c r="Z33" s="183">
        <v>9</v>
      </c>
      <c r="AA33" s="183">
        <v>2217.0731707317063</v>
      </c>
      <c r="AB33" s="183">
        <v>246.34146341463403</v>
      </c>
      <c r="AC33" s="520">
        <f t="shared" si="19"/>
        <v>5</v>
      </c>
      <c r="AD33" s="658"/>
      <c r="AE33" s="183">
        <v>9</v>
      </c>
      <c r="AF33" s="183">
        <v>2191.1111111111122</v>
      </c>
      <c r="AG33" s="183">
        <v>243.45679012345693</v>
      </c>
      <c r="AH33" s="520">
        <f t="shared" si="21"/>
        <v>5</v>
      </c>
      <c r="AI33" s="658"/>
      <c r="AJ33" s="183">
        <v>9</v>
      </c>
      <c r="AK33" s="183">
        <v>2172.4137931034502</v>
      </c>
      <c r="AL33" s="183">
        <v>241.37931034482779</v>
      </c>
      <c r="AM33" s="520">
        <f t="shared" si="23"/>
        <v>5</v>
      </c>
      <c r="AN33" s="658"/>
      <c r="AO33" s="183">
        <v>9</v>
      </c>
      <c r="AP33" s="183">
        <v>2151.8446601941755</v>
      </c>
      <c r="AQ33" s="183">
        <v>239.09385113268615</v>
      </c>
      <c r="AR33" s="520">
        <f t="shared" si="25"/>
        <v>5</v>
      </c>
      <c r="AS33" s="658"/>
      <c r="AT33" s="183">
        <v>9</v>
      </c>
      <c r="AU33" s="183">
        <v>2216.8750000000009</v>
      </c>
      <c r="AV33" s="183">
        <v>246.31944444444454</v>
      </c>
      <c r="AW33" s="520">
        <f t="shared" si="27"/>
        <v>5</v>
      </c>
      <c r="AX33" s="658"/>
    </row>
    <row r="34" spans="2:50">
      <c r="B34" s="627"/>
      <c r="C34" s="317">
        <v>8</v>
      </c>
      <c r="D34" s="228" t="s">
        <v>404</v>
      </c>
      <c r="E34" s="183">
        <v>18</v>
      </c>
      <c r="F34" s="317">
        <v>1250</v>
      </c>
      <c r="G34" s="320">
        <v>69.444444444444443</v>
      </c>
      <c r="H34" s="662"/>
      <c r="I34" s="200">
        <f t="shared" si="29"/>
        <v>13.142857142857142</v>
      </c>
      <c r="J34" s="200">
        <f t="shared" si="30"/>
        <v>1248.9808176859265</v>
      </c>
      <c r="K34" s="201">
        <f t="shared" si="31"/>
        <v>95.103787595273701</v>
      </c>
      <c r="L34" s="601"/>
      <c r="M34" s="202">
        <f>RANK(K34, K$27:$K$41)</f>
        <v>10</v>
      </c>
      <c r="N34" s="619"/>
      <c r="O34" s="619"/>
      <c r="P34" s="183">
        <v>13</v>
      </c>
      <c r="Q34" s="183">
        <v>1242.6666666666667</v>
      </c>
      <c r="R34" s="183">
        <v>95.589743589743591</v>
      </c>
      <c r="S34" s="317">
        <f t="shared" si="16"/>
        <v>10</v>
      </c>
      <c r="T34" s="658"/>
      <c r="U34" s="183">
        <v>13</v>
      </c>
      <c r="V34" s="183">
        <v>1277.6470588235302</v>
      </c>
      <c r="W34" s="183">
        <v>98.280542986425402</v>
      </c>
      <c r="X34" s="520">
        <f t="shared" si="17"/>
        <v>10</v>
      </c>
      <c r="Y34" s="658"/>
      <c r="Z34" s="183">
        <v>14</v>
      </c>
      <c r="AA34" s="183">
        <v>1237.8947368421054</v>
      </c>
      <c r="AB34" s="183">
        <v>88.421052631578959</v>
      </c>
      <c r="AC34" s="520">
        <f t="shared" si="19"/>
        <v>10</v>
      </c>
      <c r="AD34" s="658"/>
      <c r="AE34" s="183">
        <v>13</v>
      </c>
      <c r="AF34" s="183">
        <v>1277.2500000000007</v>
      </c>
      <c r="AG34" s="183">
        <v>98.250000000000057</v>
      </c>
      <c r="AH34" s="520">
        <f t="shared" si="21"/>
        <v>10</v>
      </c>
      <c r="AI34" s="658"/>
      <c r="AJ34" s="183">
        <v>13</v>
      </c>
      <c r="AK34" s="183">
        <v>1214.8235294117655</v>
      </c>
      <c r="AL34" s="183">
        <v>93.447963800905043</v>
      </c>
      <c r="AM34" s="520">
        <f t="shared" si="23"/>
        <v>10</v>
      </c>
      <c r="AN34" s="658"/>
      <c r="AO34" s="183">
        <v>13</v>
      </c>
      <c r="AP34" s="183">
        <v>1237.636363636364</v>
      </c>
      <c r="AQ34" s="183">
        <v>95.202797202797228</v>
      </c>
      <c r="AR34" s="520">
        <f t="shared" si="25"/>
        <v>10</v>
      </c>
      <c r="AS34" s="658"/>
      <c r="AT34" s="183">
        <v>13</v>
      </c>
      <c r="AU34" s="183">
        <v>1254.9473684210529</v>
      </c>
      <c r="AV34" s="183">
        <v>96.534412955465612</v>
      </c>
      <c r="AW34" s="520">
        <f t="shared" si="27"/>
        <v>10</v>
      </c>
      <c r="AX34" s="658"/>
    </row>
    <row r="35" spans="2:50">
      <c r="B35" s="627"/>
      <c r="C35" s="317">
        <v>9</v>
      </c>
      <c r="D35" s="228" t="s">
        <v>871</v>
      </c>
      <c r="E35" s="183">
        <v>6</v>
      </c>
      <c r="F35" s="317">
        <v>2000</v>
      </c>
      <c r="G35" s="320">
        <v>333.33333333333331</v>
      </c>
      <c r="H35" s="662"/>
      <c r="I35" s="200">
        <f t="shared" si="29"/>
        <v>6</v>
      </c>
      <c r="J35" s="200">
        <f t="shared" si="30"/>
        <v>2156.2801173981284</v>
      </c>
      <c r="K35" s="201">
        <f t="shared" si="31"/>
        <v>359.38001956635475</v>
      </c>
      <c r="L35" s="601"/>
      <c r="M35" s="202">
        <f>RANK(K35, K$27:$K$41)</f>
        <v>4</v>
      </c>
      <c r="N35" s="619"/>
      <c r="O35" s="619"/>
      <c r="P35" s="183">
        <v>6</v>
      </c>
      <c r="Q35" s="183">
        <v>2083.8461538461484</v>
      </c>
      <c r="R35" s="183">
        <v>347.30769230769141</v>
      </c>
      <c r="S35" s="317">
        <f t="shared" si="16"/>
        <v>4</v>
      </c>
      <c r="T35" s="658"/>
      <c r="U35" s="183">
        <v>6</v>
      </c>
      <c r="V35" s="183">
        <v>2192.4999999999932</v>
      </c>
      <c r="W35" s="183">
        <v>365.41666666666555</v>
      </c>
      <c r="X35" s="520">
        <f t="shared" si="17"/>
        <v>4</v>
      </c>
      <c r="Y35" s="658"/>
      <c r="Z35" s="183">
        <v>6</v>
      </c>
      <c r="AA35" s="183">
        <v>2149.5652173913122</v>
      </c>
      <c r="AB35" s="183">
        <v>358.26086956521868</v>
      </c>
      <c r="AC35" s="520">
        <f t="shared" si="19"/>
        <v>4</v>
      </c>
      <c r="AD35" s="658"/>
      <c r="AE35" s="183">
        <v>6</v>
      </c>
      <c r="AF35" s="183">
        <v>2122.8571428571422</v>
      </c>
      <c r="AG35" s="183">
        <v>353.80952380952368</v>
      </c>
      <c r="AH35" s="520">
        <f t="shared" si="21"/>
        <v>4</v>
      </c>
      <c r="AI35" s="658"/>
      <c r="AJ35" s="183">
        <v>6</v>
      </c>
      <c r="AK35" s="183">
        <v>2205.0000000000077</v>
      </c>
      <c r="AL35" s="183">
        <v>367.50000000000131</v>
      </c>
      <c r="AM35" s="520">
        <f t="shared" si="23"/>
        <v>4</v>
      </c>
      <c r="AN35" s="658"/>
      <c r="AO35" s="183">
        <v>6</v>
      </c>
      <c r="AP35" s="183">
        <v>2212.4999999999932</v>
      </c>
      <c r="AQ35" s="183">
        <v>368.74999999999886</v>
      </c>
      <c r="AR35" s="520">
        <f t="shared" si="25"/>
        <v>4</v>
      </c>
      <c r="AS35" s="658"/>
      <c r="AT35" s="183">
        <v>6</v>
      </c>
      <c r="AU35" s="183">
        <v>2127.6923076923022</v>
      </c>
      <c r="AV35" s="183">
        <v>354.61538461538368</v>
      </c>
      <c r="AW35" s="520">
        <f t="shared" si="27"/>
        <v>4</v>
      </c>
      <c r="AX35" s="658"/>
    </row>
    <row r="36" spans="2:50">
      <c r="B36" s="627"/>
      <c r="C36" s="317">
        <v>10</v>
      </c>
      <c r="D36" s="228" t="s">
        <v>892</v>
      </c>
      <c r="E36" s="183">
        <v>4</v>
      </c>
      <c r="F36" s="317">
        <v>2000</v>
      </c>
      <c r="G36" s="320">
        <v>500</v>
      </c>
      <c r="H36" s="662"/>
      <c r="I36" s="200">
        <f t="shared" si="29"/>
        <v>4</v>
      </c>
      <c r="J36" s="200">
        <f t="shared" si="30"/>
        <v>2139.8642024315436</v>
      </c>
      <c r="K36" s="201">
        <f t="shared" si="31"/>
        <v>534.9660506078859</v>
      </c>
      <c r="L36" s="601"/>
      <c r="M36" s="202">
        <f>RANK(K36, K$27:$K$41)</f>
        <v>1</v>
      </c>
      <c r="N36" s="619"/>
      <c r="O36" s="619"/>
      <c r="P36" s="183">
        <v>4</v>
      </c>
      <c r="Q36" s="183">
        <v>2159.9999999999977</v>
      </c>
      <c r="R36" s="183">
        <v>539.99999999999943</v>
      </c>
      <c r="S36" s="317">
        <f t="shared" si="16"/>
        <v>2</v>
      </c>
      <c r="T36" s="658"/>
      <c r="U36" s="183">
        <v>4</v>
      </c>
      <c r="V36" s="183">
        <v>2107.4999999999968</v>
      </c>
      <c r="W36" s="183">
        <v>526.8749999999992</v>
      </c>
      <c r="X36" s="520">
        <f t="shared" si="17"/>
        <v>3</v>
      </c>
      <c r="Y36" s="658"/>
      <c r="Z36" s="183">
        <v>4</v>
      </c>
      <c r="AA36" s="183">
        <v>2159.9999999999973</v>
      </c>
      <c r="AB36" s="183">
        <v>539.99999999999932</v>
      </c>
      <c r="AC36" s="520">
        <f t="shared" si="19"/>
        <v>1</v>
      </c>
      <c r="AD36" s="658"/>
      <c r="AE36" s="183">
        <v>4</v>
      </c>
      <c r="AF36" s="183">
        <v>2115.6521739130471</v>
      </c>
      <c r="AG36" s="183">
        <v>528.91304347826178</v>
      </c>
      <c r="AH36" s="520">
        <f t="shared" si="21"/>
        <v>1</v>
      </c>
      <c r="AI36" s="658"/>
      <c r="AJ36" s="183">
        <v>4</v>
      </c>
      <c r="AK36" s="183">
        <v>2129.1428571428551</v>
      </c>
      <c r="AL36" s="183">
        <v>532.28571428571377</v>
      </c>
      <c r="AM36" s="520">
        <f t="shared" si="23"/>
        <v>3</v>
      </c>
      <c r="AN36" s="658"/>
      <c r="AO36" s="183">
        <v>4</v>
      </c>
      <c r="AP36" s="183">
        <v>2118.3333333333317</v>
      </c>
      <c r="AQ36" s="183">
        <v>529.58333333333292</v>
      </c>
      <c r="AR36" s="520">
        <f t="shared" si="25"/>
        <v>2</v>
      </c>
      <c r="AS36" s="658"/>
      <c r="AT36" s="183">
        <v>4</v>
      </c>
      <c r="AU36" s="183">
        <v>2188.4210526315774</v>
      </c>
      <c r="AV36" s="183">
        <v>547.10526315789434</v>
      </c>
      <c r="AW36" s="520">
        <f t="shared" si="27"/>
        <v>1</v>
      </c>
      <c r="AX36" s="658"/>
    </row>
    <row r="37" spans="2:50">
      <c r="B37" s="627"/>
      <c r="C37" s="317">
        <v>11</v>
      </c>
      <c r="D37" s="228"/>
      <c r="E37" s="183"/>
      <c r="F37" s="317"/>
      <c r="G37" s="320"/>
      <c r="H37" s="662"/>
      <c r="I37" s="456"/>
      <c r="J37" s="456"/>
      <c r="K37" s="201"/>
      <c r="L37" s="601"/>
      <c r="M37" s="202" t="e">
        <f>RANK(K37, K$27:$K$41)</f>
        <v>#N/A</v>
      </c>
      <c r="N37" s="619"/>
      <c r="O37" s="619"/>
      <c r="P37" s="183"/>
      <c r="Q37" s="183"/>
      <c r="R37" s="183"/>
      <c r="S37" s="317" t="e">
        <f t="shared" si="16"/>
        <v>#N/A</v>
      </c>
      <c r="T37" s="658"/>
      <c r="U37" s="183"/>
      <c r="V37" s="183"/>
      <c r="W37" s="183"/>
      <c r="X37" s="520" t="e">
        <f t="shared" si="17"/>
        <v>#N/A</v>
      </c>
      <c r="Y37" s="658"/>
      <c r="Z37" s="183"/>
      <c r="AA37" s="183"/>
      <c r="AB37" s="183"/>
      <c r="AC37" s="520" t="e">
        <f t="shared" si="19"/>
        <v>#N/A</v>
      </c>
      <c r="AD37" s="658"/>
      <c r="AE37" s="183"/>
      <c r="AF37" s="183"/>
      <c r="AG37" s="183"/>
      <c r="AH37" s="520" t="e">
        <f t="shared" si="21"/>
        <v>#N/A</v>
      </c>
      <c r="AI37" s="658"/>
      <c r="AJ37" s="183"/>
      <c r="AK37" s="183"/>
      <c r="AL37" s="183"/>
      <c r="AM37" s="520" t="e">
        <f t="shared" si="23"/>
        <v>#N/A</v>
      </c>
      <c r="AN37" s="658"/>
      <c r="AO37" s="183"/>
      <c r="AP37" s="183"/>
      <c r="AQ37" s="183"/>
      <c r="AR37" s="520" t="e">
        <f t="shared" si="25"/>
        <v>#N/A</v>
      </c>
      <c r="AS37" s="658"/>
      <c r="AT37" s="183"/>
      <c r="AU37" s="183"/>
      <c r="AV37" s="183"/>
      <c r="AW37" s="520" t="e">
        <f t="shared" si="27"/>
        <v>#N/A</v>
      </c>
      <c r="AX37" s="658"/>
    </row>
    <row r="38" spans="2:50">
      <c r="B38" s="627"/>
      <c r="C38" s="317">
        <v>12</v>
      </c>
      <c r="D38" s="228"/>
      <c r="E38" s="183"/>
      <c r="F38" s="317"/>
      <c r="G38" s="320"/>
      <c r="H38" s="662"/>
      <c r="I38" s="456"/>
      <c r="J38" s="456"/>
      <c r="K38" s="201"/>
      <c r="L38" s="601"/>
      <c r="M38" s="202" t="e">
        <f>RANK(K38, K$27:$K$41)</f>
        <v>#N/A</v>
      </c>
      <c r="N38" s="619"/>
      <c r="O38" s="619"/>
      <c r="P38" s="183"/>
      <c r="Q38" s="183"/>
      <c r="R38" s="183"/>
      <c r="S38" s="317" t="e">
        <f t="shared" si="16"/>
        <v>#N/A</v>
      </c>
      <c r="T38" s="658"/>
      <c r="U38" s="183"/>
      <c r="V38" s="183"/>
      <c r="W38" s="183"/>
      <c r="X38" s="520" t="e">
        <f t="shared" si="17"/>
        <v>#N/A</v>
      </c>
      <c r="Y38" s="658"/>
      <c r="Z38" s="183"/>
      <c r="AA38" s="183"/>
      <c r="AB38" s="183"/>
      <c r="AC38" s="520" t="e">
        <f t="shared" si="19"/>
        <v>#N/A</v>
      </c>
      <c r="AD38" s="658"/>
      <c r="AE38" s="183"/>
      <c r="AF38" s="183"/>
      <c r="AG38" s="183"/>
      <c r="AH38" s="520" t="e">
        <f t="shared" si="21"/>
        <v>#N/A</v>
      </c>
      <c r="AI38" s="658"/>
      <c r="AJ38" s="183"/>
      <c r="AK38" s="183"/>
      <c r="AL38" s="183"/>
      <c r="AM38" s="520" t="e">
        <f t="shared" si="23"/>
        <v>#N/A</v>
      </c>
      <c r="AN38" s="658"/>
      <c r="AO38" s="183"/>
      <c r="AP38" s="183"/>
      <c r="AQ38" s="183"/>
      <c r="AR38" s="520" t="e">
        <f t="shared" si="25"/>
        <v>#N/A</v>
      </c>
      <c r="AS38" s="658"/>
      <c r="AT38" s="183"/>
      <c r="AU38" s="183"/>
      <c r="AV38" s="183"/>
      <c r="AW38" s="520" t="e">
        <f t="shared" si="27"/>
        <v>#N/A</v>
      </c>
      <c r="AX38" s="658"/>
    </row>
    <row r="39" spans="2:50">
      <c r="B39" s="627"/>
      <c r="C39" s="317">
        <v>13</v>
      </c>
      <c r="D39" s="228"/>
      <c r="E39" s="183"/>
      <c r="F39" s="317"/>
      <c r="G39" s="320"/>
      <c r="H39" s="662"/>
      <c r="I39" s="203"/>
      <c r="J39" s="203"/>
      <c r="K39" s="203"/>
      <c r="L39" s="601"/>
      <c r="M39" s="202" t="e">
        <f>RANK(K39, K$27:$K$41)</f>
        <v>#N/A</v>
      </c>
      <c r="N39" s="619"/>
      <c r="O39" s="619"/>
      <c r="P39" s="183"/>
      <c r="Q39" s="183"/>
      <c r="R39" s="183"/>
      <c r="S39" s="317" t="e">
        <f t="shared" si="16"/>
        <v>#N/A</v>
      </c>
      <c r="T39" s="658"/>
      <c r="U39" s="183"/>
      <c r="V39" s="183"/>
      <c r="W39" s="183"/>
      <c r="X39" s="520" t="e">
        <f t="shared" si="17"/>
        <v>#N/A</v>
      </c>
      <c r="Y39" s="658"/>
      <c r="Z39" s="183"/>
      <c r="AA39" s="183"/>
      <c r="AB39" s="183"/>
      <c r="AC39" s="520" t="e">
        <f t="shared" si="19"/>
        <v>#N/A</v>
      </c>
      <c r="AD39" s="658"/>
      <c r="AE39" s="183"/>
      <c r="AF39" s="183"/>
      <c r="AG39" s="183"/>
      <c r="AH39" s="520" t="e">
        <f t="shared" si="21"/>
        <v>#N/A</v>
      </c>
      <c r="AI39" s="658"/>
      <c r="AJ39" s="183"/>
      <c r="AK39" s="183"/>
      <c r="AL39" s="183"/>
      <c r="AM39" s="520" t="e">
        <f t="shared" si="23"/>
        <v>#N/A</v>
      </c>
      <c r="AN39" s="658"/>
      <c r="AO39" s="183"/>
      <c r="AP39" s="183"/>
      <c r="AQ39" s="183"/>
      <c r="AR39" s="520" t="e">
        <f t="shared" si="25"/>
        <v>#N/A</v>
      </c>
      <c r="AS39" s="658"/>
      <c r="AT39" s="183"/>
      <c r="AU39" s="183"/>
      <c r="AV39" s="183"/>
      <c r="AW39" s="520" t="e">
        <f t="shared" si="27"/>
        <v>#N/A</v>
      </c>
      <c r="AX39" s="658"/>
    </row>
    <row r="40" spans="2:50">
      <c r="B40" s="627"/>
      <c r="C40" s="317">
        <v>14</v>
      </c>
      <c r="D40" s="228"/>
      <c r="E40" s="183"/>
      <c r="F40" s="317"/>
      <c r="G40" s="320"/>
      <c r="H40" s="662"/>
      <c r="I40" s="203"/>
      <c r="J40" s="203"/>
      <c r="K40" s="203"/>
      <c r="L40" s="601"/>
      <c r="M40" s="202" t="e">
        <f>RANK(K40, K$27:$K$41)</f>
        <v>#N/A</v>
      </c>
      <c r="N40" s="619"/>
      <c r="O40" s="619"/>
      <c r="P40" s="183"/>
      <c r="Q40" s="183"/>
      <c r="R40" s="183"/>
      <c r="S40" s="317" t="e">
        <f t="shared" si="16"/>
        <v>#N/A</v>
      </c>
      <c r="T40" s="658"/>
      <c r="U40" s="183"/>
      <c r="V40" s="183"/>
      <c r="W40" s="183"/>
      <c r="X40" s="520" t="e">
        <f t="shared" si="17"/>
        <v>#N/A</v>
      </c>
      <c r="Y40" s="658"/>
      <c r="Z40" s="183"/>
      <c r="AA40" s="183"/>
      <c r="AB40" s="183"/>
      <c r="AC40" s="520" t="e">
        <f t="shared" si="19"/>
        <v>#N/A</v>
      </c>
      <c r="AD40" s="658"/>
      <c r="AE40" s="183"/>
      <c r="AF40" s="183"/>
      <c r="AG40" s="183"/>
      <c r="AH40" s="520" t="e">
        <f t="shared" si="21"/>
        <v>#N/A</v>
      </c>
      <c r="AI40" s="658"/>
      <c r="AJ40" s="183"/>
      <c r="AK40" s="183"/>
      <c r="AL40" s="183"/>
      <c r="AM40" s="520" t="e">
        <f t="shared" si="23"/>
        <v>#N/A</v>
      </c>
      <c r="AN40" s="658"/>
      <c r="AO40" s="183"/>
      <c r="AP40" s="183"/>
      <c r="AQ40" s="183"/>
      <c r="AR40" s="520" t="e">
        <f t="shared" si="25"/>
        <v>#N/A</v>
      </c>
      <c r="AS40" s="658"/>
      <c r="AT40" s="183"/>
      <c r="AU40" s="183"/>
      <c r="AV40" s="183"/>
      <c r="AW40" s="520" t="e">
        <f t="shared" si="27"/>
        <v>#N/A</v>
      </c>
      <c r="AX40" s="658"/>
    </row>
    <row r="41" spans="2:50">
      <c r="B41" s="627"/>
      <c r="C41" s="317">
        <v>15</v>
      </c>
      <c r="D41" s="228"/>
      <c r="E41" s="183"/>
      <c r="F41" s="317"/>
      <c r="G41" s="320"/>
      <c r="H41" s="663"/>
      <c r="I41" s="203"/>
      <c r="J41" s="203"/>
      <c r="K41" s="203"/>
      <c r="L41" s="602"/>
      <c r="M41" s="200" t="e">
        <f>RANK(K41, K$27:$K$41)</f>
        <v>#N/A</v>
      </c>
      <c r="N41" s="619"/>
      <c r="O41" s="619"/>
      <c r="P41" s="183"/>
      <c r="Q41" s="183"/>
      <c r="R41" s="183"/>
      <c r="S41" s="317" t="e">
        <f t="shared" si="16"/>
        <v>#N/A</v>
      </c>
      <c r="T41" s="658"/>
      <c r="U41" s="183"/>
      <c r="V41" s="183"/>
      <c r="W41" s="183"/>
      <c r="X41" s="520" t="e">
        <f t="shared" si="17"/>
        <v>#N/A</v>
      </c>
      <c r="Y41" s="658"/>
      <c r="Z41" s="183"/>
      <c r="AA41" s="183"/>
      <c r="AB41" s="183"/>
      <c r="AC41" s="520" t="e">
        <f t="shared" si="19"/>
        <v>#N/A</v>
      </c>
      <c r="AD41" s="658"/>
      <c r="AE41" s="183"/>
      <c r="AF41" s="183"/>
      <c r="AG41" s="183"/>
      <c r="AH41" s="520" t="e">
        <f t="shared" si="21"/>
        <v>#N/A</v>
      </c>
      <c r="AI41" s="658"/>
      <c r="AJ41" s="183"/>
      <c r="AK41" s="183"/>
      <c r="AL41" s="183"/>
      <c r="AM41" s="520" t="e">
        <f t="shared" si="23"/>
        <v>#N/A</v>
      </c>
      <c r="AN41" s="658"/>
      <c r="AO41" s="183"/>
      <c r="AP41" s="183"/>
      <c r="AQ41" s="183"/>
      <c r="AR41" s="520" t="e">
        <f t="shared" si="25"/>
        <v>#N/A</v>
      </c>
      <c r="AS41" s="658"/>
      <c r="AT41" s="183"/>
      <c r="AU41" s="183"/>
      <c r="AV41" s="183"/>
      <c r="AW41" s="520" t="e">
        <f t="shared" si="27"/>
        <v>#N/A</v>
      </c>
      <c r="AX41" s="658"/>
    </row>
    <row r="42" spans="2:50" ht="15.5">
      <c r="B42" s="644" t="s">
        <v>163</v>
      </c>
      <c r="C42" s="645"/>
      <c r="D42" s="645"/>
      <c r="E42" s="645"/>
      <c r="F42" s="645"/>
      <c r="G42" s="645"/>
      <c r="H42" s="645"/>
      <c r="I42" s="209"/>
      <c r="J42" s="204"/>
      <c r="K42" s="209"/>
      <c r="L42" s="209"/>
      <c r="M42" s="205"/>
      <c r="N42" s="620" t="s">
        <v>156</v>
      </c>
      <c r="O42" s="620" t="s">
        <v>105</v>
      </c>
      <c r="P42" s="626">
        <f>P22+7</f>
        <v>46000</v>
      </c>
      <c r="Q42" s="627"/>
      <c r="R42" s="627"/>
      <c r="S42" s="627"/>
      <c r="T42" s="627"/>
      <c r="U42" s="623">
        <f>P42+1</f>
        <v>46001</v>
      </c>
      <c r="V42" s="624"/>
      <c r="W42" s="624"/>
      <c r="X42" s="624"/>
      <c r="Y42" s="625"/>
      <c r="Z42" s="623">
        <f>U42+1</f>
        <v>46002</v>
      </c>
      <c r="AA42" s="624"/>
      <c r="AB42" s="624"/>
      <c r="AC42" s="624"/>
      <c r="AD42" s="625"/>
      <c r="AE42" s="623">
        <f>Z42+1</f>
        <v>46003</v>
      </c>
      <c r="AF42" s="624"/>
      <c r="AG42" s="624"/>
      <c r="AH42" s="624"/>
      <c r="AI42" s="625"/>
      <c r="AJ42" s="623">
        <f>AE42+1</f>
        <v>46004</v>
      </c>
      <c r="AK42" s="624"/>
      <c r="AL42" s="624"/>
      <c r="AM42" s="624"/>
      <c r="AN42" s="625"/>
      <c r="AO42" s="623">
        <f>AJ42+1</f>
        <v>46005</v>
      </c>
      <c r="AP42" s="624"/>
      <c r="AQ42" s="624"/>
      <c r="AR42" s="624"/>
      <c r="AS42" s="625"/>
      <c r="AT42" s="623">
        <f>AO42+1</f>
        <v>46006</v>
      </c>
      <c r="AU42" s="624"/>
      <c r="AV42" s="624"/>
      <c r="AW42" s="624"/>
      <c r="AX42" s="625"/>
    </row>
    <row r="43" spans="2:50" ht="15.5">
      <c r="B43" s="634"/>
      <c r="C43" s="634"/>
      <c r="D43" s="634"/>
      <c r="E43" s="634"/>
      <c r="F43" s="634"/>
      <c r="G43" s="634"/>
      <c r="H43" s="634"/>
      <c r="I43" s="206"/>
      <c r="J43" s="206"/>
      <c r="K43" s="206"/>
      <c r="L43" s="206"/>
      <c r="M43" s="207"/>
      <c r="N43" s="622"/>
      <c r="O43" s="622"/>
      <c r="P43" s="626" t="s">
        <v>336</v>
      </c>
      <c r="Q43" s="627"/>
      <c r="R43" s="627"/>
      <c r="S43" s="627"/>
      <c r="T43" s="627"/>
      <c r="U43" s="626" t="s">
        <v>337</v>
      </c>
      <c r="V43" s="627"/>
      <c r="W43" s="627"/>
      <c r="X43" s="627"/>
      <c r="Y43" s="627"/>
      <c r="Z43" s="626" t="s">
        <v>338</v>
      </c>
      <c r="AA43" s="627"/>
      <c r="AB43" s="627"/>
      <c r="AC43" s="627"/>
      <c r="AD43" s="627"/>
      <c r="AE43" s="626" t="s">
        <v>339</v>
      </c>
      <c r="AF43" s="627"/>
      <c r="AG43" s="627"/>
      <c r="AH43" s="627"/>
      <c r="AI43" s="627"/>
      <c r="AJ43" s="626" t="s">
        <v>340</v>
      </c>
      <c r="AK43" s="627"/>
      <c r="AL43" s="627"/>
      <c r="AM43" s="627"/>
      <c r="AN43" s="627"/>
      <c r="AO43" s="626" t="s">
        <v>341</v>
      </c>
      <c r="AP43" s="627"/>
      <c r="AQ43" s="627"/>
      <c r="AR43" s="627"/>
      <c r="AS43" s="627"/>
      <c r="AT43" s="626" t="s">
        <v>342</v>
      </c>
      <c r="AU43" s="627"/>
      <c r="AV43" s="627"/>
      <c r="AW43" s="627"/>
      <c r="AX43" s="627"/>
    </row>
    <row r="44" spans="2:50">
      <c r="B44" s="619" t="s">
        <v>443</v>
      </c>
      <c r="C44" s="619" t="s">
        <v>453</v>
      </c>
      <c r="D44" s="619"/>
      <c r="E44" s="619" t="s">
        <v>444</v>
      </c>
      <c r="F44" s="619"/>
      <c r="G44" s="619"/>
      <c r="H44" s="635" t="s">
        <v>440</v>
      </c>
      <c r="I44" s="603" t="s">
        <v>445</v>
      </c>
      <c r="J44" s="603"/>
      <c r="K44" s="603"/>
      <c r="L44" s="604" t="s">
        <v>440</v>
      </c>
      <c r="M44" s="610" t="s">
        <v>441</v>
      </c>
      <c r="N44" s="619"/>
      <c r="O44" s="619" t="s">
        <v>446</v>
      </c>
      <c r="P44" s="616" t="s">
        <v>442</v>
      </c>
      <c r="Q44" s="617"/>
      <c r="R44" s="617"/>
      <c r="S44" s="618"/>
      <c r="T44" s="619" t="s">
        <v>440</v>
      </c>
      <c r="U44" s="616" t="s">
        <v>442</v>
      </c>
      <c r="V44" s="617"/>
      <c r="W44" s="617"/>
      <c r="X44" s="618"/>
      <c r="Y44" s="619" t="s">
        <v>440</v>
      </c>
      <c r="Z44" s="616" t="s">
        <v>442</v>
      </c>
      <c r="AA44" s="617"/>
      <c r="AB44" s="617"/>
      <c r="AC44" s="618"/>
      <c r="AD44" s="619" t="s">
        <v>440</v>
      </c>
      <c r="AE44" s="616" t="s">
        <v>442</v>
      </c>
      <c r="AF44" s="617"/>
      <c r="AG44" s="617"/>
      <c r="AH44" s="618"/>
      <c r="AI44" s="619" t="s">
        <v>440</v>
      </c>
      <c r="AJ44" s="616" t="s">
        <v>442</v>
      </c>
      <c r="AK44" s="617"/>
      <c r="AL44" s="617"/>
      <c r="AM44" s="618"/>
      <c r="AN44" s="619" t="s">
        <v>440</v>
      </c>
      <c r="AO44" s="616" t="s">
        <v>442</v>
      </c>
      <c r="AP44" s="617"/>
      <c r="AQ44" s="617"/>
      <c r="AR44" s="618"/>
      <c r="AS44" s="619" t="s">
        <v>440</v>
      </c>
      <c r="AT44" s="616" t="s">
        <v>442</v>
      </c>
      <c r="AU44" s="617"/>
      <c r="AV44" s="617"/>
      <c r="AW44" s="618"/>
      <c r="AX44" s="619" t="s">
        <v>440</v>
      </c>
    </row>
    <row r="45" spans="2:50">
      <c r="B45" s="619"/>
      <c r="C45" s="619"/>
      <c r="D45" s="619"/>
      <c r="E45" s="619" t="s">
        <v>447</v>
      </c>
      <c r="F45" s="619"/>
      <c r="G45" s="619"/>
      <c r="H45" s="636"/>
      <c r="I45" s="603" t="s">
        <v>447</v>
      </c>
      <c r="J45" s="603"/>
      <c r="K45" s="603"/>
      <c r="L45" s="605"/>
      <c r="M45" s="611"/>
      <c r="N45" s="619"/>
      <c r="O45" s="619"/>
      <c r="P45" s="616" t="s">
        <v>448</v>
      </c>
      <c r="Q45" s="617"/>
      <c r="R45" s="617"/>
      <c r="S45" s="618"/>
      <c r="T45" s="619"/>
      <c r="U45" s="616" t="s">
        <v>448</v>
      </c>
      <c r="V45" s="617"/>
      <c r="W45" s="617"/>
      <c r="X45" s="618"/>
      <c r="Y45" s="619"/>
      <c r="Z45" s="616" t="s">
        <v>448</v>
      </c>
      <c r="AA45" s="617"/>
      <c r="AB45" s="617"/>
      <c r="AC45" s="618"/>
      <c r="AD45" s="619"/>
      <c r="AE45" s="616" t="s">
        <v>448</v>
      </c>
      <c r="AF45" s="617"/>
      <c r="AG45" s="617"/>
      <c r="AH45" s="618"/>
      <c r="AI45" s="619"/>
      <c r="AJ45" s="616" t="s">
        <v>448</v>
      </c>
      <c r="AK45" s="617"/>
      <c r="AL45" s="617"/>
      <c r="AM45" s="618"/>
      <c r="AN45" s="619"/>
      <c r="AO45" s="616" t="s">
        <v>448</v>
      </c>
      <c r="AP45" s="617"/>
      <c r="AQ45" s="617"/>
      <c r="AR45" s="618"/>
      <c r="AS45" s="619"/>
      <c r="AT45" s="616" t="s">
        <v>448</v>
      </c>
      <c r="AU45" s="617"/>
      <c r="AV45" s="617"/>
      <c r="AW45" s="618"/>
      <c r="AX45" s="619"/>
    </row>
    <row r="46" spans="2:50">
      <c r="B46" s="619"/>
      <c r="C46" s="619"/>
      <c r="D46" s="619"/>
      <c r="E46" s="316" t="s">
        <v>449</v>
      </c>
      <c r="F46" s="316" t="s">
        <v>450</v>
      </c>
      <c r="G46" s="316" t="s">
        <v>451</v>
      </c>
      <c r="H46" s="637"/>
      <c r="I46" s="315" t="s">
        <v>449</v>
      </c>
      <c r="J46" s="315" t="s">
        <v>450</v>
      </c>
      <c r="K46" s="315" t="s">
        <v>451</v>
      </c>
      <c r="L46" s="606"/>
      <c r="M46" s="612"/>
      <c r="N46" s="619"/>
      <c r="O46" s="619"/>
      <c r="P46" s="316" t="s">
        <v>449</v>
      </c>
      <c r="Q46" s="316" t="s">
        <v>450</v>
      </c>
      <c r="R46" s="316" t="s">
        <v>451</v>
      </c>
      <c r="S46" s="316" t="s">
        <v>441</v>
      </c>
      <c r="T46" s="619"/>
      <c r="U46" s="316" t="s">
        <v>449</v>
      </c>
      <c r="V46" s="316" t="s">
        <v>450</v>
      </c>
      <c r="W46" s="316" t="s">
        <v>451</v>
      </c>
      <c r="X46" s="316" t="s">
        <v>441</v>
      </c>
      <c r="Y46" s="619"/>
      <c r="Z46" s="316" t="s">
        <v>449</v>
      </c>
      <c r="AA46" s="316" t="s">
        <v>450</v>
      </c>
      <c r="AB46" s="316" t="s">
        <v>451</v>
      </c>
      <c r="AC46" s="316" t="s">
        <v>441</v>
      </c>
      <c r="AD46" s="619"/>
      <c r="AE46" s="316" t="s">
        <v>449</v>
      </c>
      <c r="AF46" s="316" t="s">
        <v>450</v>
      </c>
      <c r="AG46" s="316" t="s">
        <v>451</v>
      </c>
      <c r="AH46" s="316" t="s">
        <v>441</v>
      </c>
      <c r="AI46" s="619"/>
      <c r="AJ46" s="316" t="s">
        <v>449</v>
      </c>
      <c r="AK46" s="316" t="s">
        <v>450</v>
      </c>
      <c r="AL46" s="316" t="s">
        <v>451</v>
      </c>
      <c r="AM46" s="316" t="s">
        <v>441</v>
      </c>
      <c r="AN46" s="619"/>
      <c r="AO46" s="316" t="s">
        <v>449</v>
      </c>
      <c r="AP46" s="316" t="s">
        <v>450</v>
      </c>
      <c r="AQ46" s="316" t="s">
        <v>451</v>
      </c>
      <c r="AR46" s="316" t="s">
        <v>441</v>
      </c>
      <c r="AS46" s="619"/>
      <c r="AT46" s="316" t="s">
        <v>449</v>
      </c>
      <c r="AU46" s="316" t="s">
        <v>450</v>
      </c>
      <c r="AV46" s="316" t="s">
        <v>451</v>
      </c>
      <c r="AW46" s="316" t="s">
        <v>441</v>
      </c>
      <c r="AX46" s="619"/>
    </row>
    <row r="47" spans="2:50">
      <c r="B47" s="660" t="s">
        <v>452</v>
      </c>
      <c r="C47" s="317">
        <v>1</v>
      </c>
      <c r="D47" s="228" t="s">
        <v>405</v>
      </c>
      <c r="E47" s="183">
        <v>4</v>
      </c>
      <c r="F47" s="470">
        <v>2000</v>
      </c>
      <c r="G47" s="471">
        <v>500</v>
      </c>
      <c r="H47" s="661">
        <f>AVERAGE(G47:G61)</f>
        <v>288.63434343434341</v>
      </c>
      <c r="I47" s="200">
        <f>AVERAGE(P47,U47,Z47,AE47,AJ47,AO47,AT47)</f>
        <v>4</v>
      </c>
      <c r="J47" s="200">
        <f>AVERAGE(Q47,V47,AA47,AF47,AK47,AP47,AU47)</f>
        <v>2068.8398268398259</v>
      </c>
      <c r="K47" s="201">
        <f>AVERAGE(R47,W47,AB47,AG47,AL47,AQ47,AV47)</f>
        <v>517.20995670995649</v>
      </c>
      <c r="L47" s="600">
        <f>IFERROR(AVERAGE(K47:K61),"-")</f>
        <v>277.40572473003152</v>
      </c>
      <c r="M47" s="202">
        <f>RANK(K47, K$47:$K$61)</f>
        <v>2</v>
      </c>
      <c r="N47" s="619"/>
      <c r="O47" s="619"/>
      <c r="P47" s="183">
        <v>4</v>
      </c>
      <c r="Q47" s="183">
        <v>2094.5454545454545</v>
      </c>
      <c r="R47" s="183">
        <v>523.63636363636363</v>
      </c>
      <c r="S47" s="343">
        <f>RANK(R47, R$47:R$61)</f>
        <v>2</v>
      </c>
      <c r="T47" s="658">
        <f>AVERAGE(R47:R61)</f>
        <v>280.11912760988707</v>
      </c>
      <c r="U47" s="183">
        <v>4</v>
      </c>
      <c r="V47" s="183">
        <v>2132.9999999999995</v>
      </c>
      <c r="W47" s="183">
        <v>533.24999999999989</v>
      </c>
      <c r="X47" s="520">
        <f t="shared" ref="X47:X61" si="32">RANK(W47, W$47:W$61)</f>
        <v>2</v>
      </c>
      <c r="Y47" s="658">
        <f t="shared" ref="Y47" si="33">AVERAGE(W47:W61)</f>
        <v>278.08178425418868</v>
      </c>
      <c r="Z47" s="183">
        <v>4</v>
      </c>
      <c r="AA47" s="183">
        <v>2126.9999999999991</v>
      </c>
      <c r="AB47" s="183">
        <v>531.74999999999977</v>
      </c>
      <c r="AC47" s="520">
        <f t="shared" ref="AC47:AC61" si="34">RANK(AB47, AB$47:AB$61)</f>
        <v>2</v>
      </c>
      <c r="AD47" s="658">
        <f t="shared" ref="AD47" si="35">AVERAGE(AB47:AB61)</f>
        <v>276.95517489808606</v>
      </c>
      <c r="AE47" s="183">
        <v>4</v>
      </c>
      <c r="AF47" s="183">
        <v>1739.9999999999986</v>
      </c>
      <c r="AG47" s="183">
        <v>434.99999999999966</v>
      </c>
      <c r="AH47" s="520">
        <f t="shared" ref="AH47:AH61" si="36">RANK(AG47, AG$47:AG$61)</f>
        <v>3</v>
      </c>
      <c r="AI47" s="658">
        <f t="shared" ref="AI47" si="37">AVERAGE(AG47:AG61)</f>
        <v>269.04350504250846</v>
      </c>
      <c r="AJ47" s="183">
        <v>4</v>
      </c>
      <c r="AK47" s="183">
        <v>2099.9999999999982</v>
      </c>
      <c r="AL47" s="183">
        <v>524.99999999999955</v>
      </c>
      <c r="AM47" s="520">
        <f t="shared" ref="AM47:AM61" si="38">RANK(AL47, AL$47:AL$61)</f>
        <v>2</v>
      </c>
      <c r="AN47" s="658">
        <f t="shared" ref="AN47" si="39">AVERAGE(AL47:AL61)</f>
        <v>277.46583051262888</v>
      </c>
      <c r="AO47" s="183">
        <v>4</v>
      </c>
      <c r="AP47" s="183">
        <v>2103.3333333333317</v>
      </c>
      <c r="AQ47" s="183">
        <v>525.83333333333292</v>
      </c>
      <c r="AR47" s="520">
        <f t="shared" ref="AR47:AR61" si="40">RANK(AQ47, AQ$47:AQ$61)</f>
        <v>2</v>
      </c>
      <c r="AS47" s="658">
        <f t="shared" ref="AS47" si="41">AVERAGE(AQ47:AQ61)</f>
        <v>277.09688738841481</v>
      </c>
      <c r="AT47" s="183">
        <v>4</v>
      </c>
      <c r="AU47" s="183">
        <v>2183.9999999999991</v>
      </c>
      <c r="AV47" s="183">
        <v>545.99999999999977</v>
      </c>
      <c r="AW47" s="520">
        <f t="shared" ref="AW47:AW61" si="42">RANK(AV47, AV$47:AV$61)</f>
        <v>1</v>
      </c>
      <c r="AX47" s="658">
        <f t="shared" ref="AX47" si="43">AVERAGE(AV47:AV61)</f>
        <v>283.07776340450692</v>
      </c>
    </row>
    <row r="48" spans="2:50">
      <c r="B48" s="627"/>
      <c r="C48" s="317">
        <v>2</v>
      </c>
      <c r="D48" s="228" t="s">
        <v>535</v>
      </c>
      <c r="E48" s="183">
        <v>4</v>
      </c>
      <c r="F48" s="470">
        <v>2000</v>
      </c>
      <c r="G48" s="471">
        <v>500</v>
      </c>
      <c r="H48" s="662"/>
      <c r="I48" s="200">
        <f t="shared" ref="I48:I56" si="44">AVERAGE(P48,U48,Z48,AE48,AJ48,AO48,AT48)</f>
        <v>4</v>
      </c>
      <c r="J48" s="200">
        <f t="shared" ref="J48:J56" si="45">AVERAGE(Q48,V48,AA48,AF48,AK48,AP48,AU48)</f>
        <v>2138.7938345298589</v>
      </c>
      <c r="K48" s="201">
        <f t="shared" ref="K48:K56" si="46">AVERAGE(R48,W48,AB48,AG48,AL48,AQ48,AV48)</f>
        <v>534.69845863246474</v>
      </c>
      <c r="L48" s="601"/>
      <c r="M48" s="202">
        <f>RANK(K48, K$47:$K$61)</f>
        <v>1</v>
      </c>
      <c r="N48" s="619"/>
      <c r="O48" s="619"/>
      <c r="P48" s="183">
        <v>4</v>
      </c>
      <c r="Q48" s="183">
        <v>2152.5000000000005</v>
      </c>
      <c r="R48" s="183">
        <v>538.12500000000011</v>
      </c>
      <c r="S48" s="343">
        <f t="shared" ref="S48:S61" si="47">RANK(R48, R$47:R$61)</f>
        <v>1</v>
      </c>
      <c r="T48" s="658"/>
      <c r="U48" s="183">
        <v>4</v>
      </c>
      <c r="V48" s="183">
        <v>2178.260869565217</v>
      </c>
      <c r="W48" s="183">
        <v>544.56521739130426</v>
      </c>
      <c r="X48" s="520">
        <f t="shared" si="32"/>
        <v>1</v>
      </c>
      <c r="Y48" s="658"/>
      <c r="Z48" s="183">
        <v>4</v>
      </c>
      <c r="AA48" s="183">
        <v>2165.7142857142849</v>
      </c>
      <c r="AB48" s="183">
        <v>541.42857142857122</v>
      </c>
      <c r="AC48" s="520">
        <f t="shared" si="34"/>
        <v>1</v>
      </c>
      <c r="AD48" s="658"/>
      <c r="AE48" s="183">
        <v>4</v>
      </c>
      <c r="AF48" s="183">
        <v>2036.6666666666649</v>
      </c>
      <c r="AG48" s="183">
        <v>509.16666666666623</v>
      </c>
      <c r="AH48" s="520">
        <f t="shared" si="36"/>
        <v>1</v>
      </c>
      <c r="AI48" s="658"/>
      <c r="AJ48" s="183">
        <v>4</v>
      </c>
      <c r="AK48" s="183">
        <v>2162.9999999999995</v>
      </c>
      <c r="AL48" s="183">
        <v>540.74999999999989</v>
      </c>
      <c r="AM48" s="520">
        <f t="shared" si="38"/>
        <v>1</v>
      </c>
      <c r="AN48" s="658"/>
      <c r="AO48" s="183">
        <v>4</v>
      </c>
      <c r="AP48" s="183">
        <v>2120.8695652173915</v>
      </c>
      <c r="AQ48" s="183">
        <v>530.21739130434787</v>
      </c>
      <c r="AR48" s="520">
        <f t="shared" si="40"/>
        <v>1</v>
      </c>
      <c r="AS48" s="658"/>
      <c r="AT48" s="183">
        <v>4</v>
      </c>
      <c r="AU48" s="183">
        <v>2154.5454545454545</v>
      </c>
      <c r="AV48" s="183">
        <v>538.63636363636363</v>
      </c>
      <c r="AW48" s="520">
        <f t="shared" si="42"/>
        <v>2</v>
      </c>
      <c r="AX48" s="658"/>
    </row>
    <row r="49" spans="2:50">
      <c r="B49" s="627"/>
      <c r="C49" s="317">
        <v>3</v>
      </c>
      <c r="D49" s="228" t="s">
        <v>406</v>
      </c>
      <c r="E49" s="183">
        <v>12</v>
      </c>
      <c r="F49" s="470">
        <v>2250</v>
      </c>
      <c r="G49" s="471">
        <v>187.5</v>
      </c>
      <c r="H49" s="662"/>
      <c r="I49" s="200">
        <f t="shared" si="44"/>
        <v>12</v>
      </c>
      <c r="J49" s="200">
        <f t="shared" si="45"/>
        <v>2184.626969275771</v>
      </c>
      <c r="K49" s="201">
        <f t="shared" si="46"/>
        <v>182.0522474396476</v>
      </c>
      <c r="L49" s="601"/>
      <c r="M49" s="202">
        <f>RANK(K49, K$47:$K$61)</f>
        <v>8</v>
      </c>
      <c r="N49" s="619"/>
      <c r="O49" s="619"/>
      <c r="P49" s="183">
        <v>12</v>
      </c>
      <c r="Q49" s="183">
        <v>2221.0000000000005</v>
      </c>
      <c r="R49" s="183">
        <v>185.08333333333337</v>
      </c>
      <c r="S49" s="343">
        <f t="shared" si="47"/>
        <v>8</v>
      </c>
      <c r="T49" s="658"/>
      <c r="U49" s="183">
        <v>12</v>
      </c>
      <c r="V49" s="183">
        <v>2165.0847457627119</v>
      </c>
      <c r="W49" s="183">
        <v>180.42372881355934</v>
      </c>
      <c r="X49" s="520">
        <f t="shared" si="32"/>
        <v>8</v>
      </c>
      <c r="Y49" s="658"/>
      <c r="Z49" s="183">
        <v>12</v>
      </c>
      <c r="AA49" s="183">
        <v>2157.894736842105</v>
      </c>
      <c r="AB49" s="183">
        <v>179.82456140350874</v>
      </c>
      <c r="AC49" s="520">
        <f t="shared" si="34"/>
        <v>8</v>
      </c>
      <c r="AD49" s="658"/>
      <c r="AE49" s="183">
        <v>12</v>
      </c>
      <c r="AF49" s="183">
        <v>2157.2093023255811</v>
      </c>
      <c r="AG49" s="183">
        <v>179.76744186046508</v>
      </c>
      <c r="AH49" s="520">
        <f t="shared" si="36"/>
        <v>9</v>
      </c>
      <c r="AI49" s="658"/>
      <c r="AJ49" s="183">
        <v>12</v>
      </c>
      <c r="AK49" s="183">
        <v>2191.1999999999989</v>
      </c>
      <c r="AL49" s="183">
        <v>182.59999999999991</v>
      </c>
      <c r="AM49" s="520">
        <f t="shared" si="38"/>
        <v>9</v>
      </c>
      <c r="AN49" s="658"/>
      <c r="AO49" s="183">
        <v>12</v>
      </c>
      <c r="AP49" s="183">
        <v>2158.0000000000005</v>
      </c>
      <c r="AQ49" s="183">
        <v>179.83333333333337</v>
      </c>
      <c r="AR49" s="520">
        <f t="shared" si="40"/>
        <v>9</v>
      </c>
      <c r="AS49" s="658"/>
      <c r="AT49" s="183">
        <v>12</v>
      </c>
      <c r="AU49" s="183">
        <v>2242.0000000000005</v>
      </c>
      <c r="AV49" s="183">
        <v>186.83333333333337</v>
      </c>
      <c r="AW49" s="520">
        <f t="shared" si="42"/>
        <v>8</v>
      </c>
      <c r="AX49" s="658"/>
    </row>
    <row r="50" spans="2:50">
      <c r="B50" s="627"/>
      <c r="C50" s="317">
        <v>4</v>
      </c>
      <c r="D50" s="228" t="s">
        <v>407</v>
      </c>
      <c r="E50" s="183">
        <v>11</v>
      </c>
      <c r="F50" s="470">
        <v>2118</v>
      </c>
      <c r="G50" s="471">
        <v>192.5</v>
      </c>
      <c r="H50" s="662"/>
      <c r="I50" s="200">
        <f t="shared" si="44"/>
        <v>11</v>
      </c>
      <c r="J50" s="200">
        <f t="shared" si="45"/>
        <v>2197.3858568182322</v>
      </c>
      <c r="K50" s="201">
        <f t="shared" si="46"/>
        <v>199.76235061983931</v>
      </c>
      <c r="L50" s="601"/>
      <c r="M50" s="202">
        <f>RANK(K50, K$47:$K$61)</f>
        <v>6</v>
      </c>
      <c r="N50" s="619"/>
      <c r="O50" s="619"/>
      <c r="P50" s="183">
        <v>11</v>
      </c>
      <c r="Q50" s="183">
        <v>2191.9999999999995</v>
      </c>
      <c r="R50" s="183">
        <v>199.27272727272722</v>
      </c>
      <c r="S50" s="343">
        <f t="shared" si="47"/>
        <v>7</v>
      </c>
      <c r="T50" s="658"/>
      <c r="U50" s="183">
        <v>11</v>
      </c>
      <c r="V50" s="183">
        <v>2163.1999999999998</v>
      </c>
      <c r="W50" s="183">
        <v>196.65454545454543</v>
      </c>
      <c r="X50" s="520">
        <f t="shared" si="32"/>
        <v>6</v>
      </c>
      <c r="Y50" s="658"/>
      <c r="Z50" s="183">
        <v>11</v>
      </c>
      <c r="AA50" s="183">
        <v>2206.0869565217381</v>
      </c>
      <c r="AB50" s="183">
        <v>200.55335968379438</v>
      </c>
      <c r="AC50" s="520">
        <f t="shared" si="34"/>
        <v>6</v>
      </c>
      <c r="AD50" s="658"/>
      <c r="AE50" s="183">
        <v>11</v>
      </c>
      <c r="AF50" s="183">
        <v>2123.1578947368407</v>
      </c>
      <c r="AG50" s="183">
        <v>193.01435406698553</v>
      </c>
      <c r="AH50" s="520">
        <f t="shared" si="36"/>
        <v>8</v>
      </c>
      <c r="AI50" s="658"/>
      <c r="AJ50" s="183">
        <v>11</v>
      </c>
      <c r="AK50" s="183">
        <v>2231.6129032258073</v>
      </c>
      <c r="AL50" s="183">
        <v>202.87390029325522</v>
      </c>
      <c r="AM50" s="520">
        <f t="shared" si="38"/>
        <v>5</v>
      </c>
      <c r="AN50" s="658"/>
      <c r="AO50" s="183">
        <v>11</v>
      </c>
      <c r="AP50" s="183">
        <v>2223.2432432432429</v>
      </c>
      <c r="AQ50" s="183">
        <v>202.11302211302208</v>
      </c>
      <c r="AR50" s="520">
        <f t="shared" si="40"/>
        <v>5</v>
      </c>
      <c r="AS50" s="658"/>
      <c r="AT50" s="183">
        <v>11</v>
      </c>
      <c r="AU50" s="183">
        <v>2242.3999999999996</v>
      </c>
      <c r="AV50" s="183">
        <v>203.85454545454542</v>
      </c>
      <c r="AW50" s="520">
        <f t="shared" si="42"/>
        <v>6</v>
      </c>
      <c r="AX50" s="658"/>
    </row>
    <row r="51" spans="2:50">
      <c r="B51" s="627"/>
      <c r="C51" s="317">
        <v>5</v>
      </c>
      <c r="D51" s="228" t="s">
        <v>408</v>
      </c>
      <c r="E51" s="183">
        <v>11</v>
      </c>
      <c r="F51" s="470">
        <v>2250</v>
      </c>
      <c r="G51" s="471">
        <v>204.5</v>
      </c>
      <c r="H51" s="662"/>
      <c r="I51" s="200">
        <f t="shared" si="44"/>
        <v>11</v>
      </c>
      <c r="J51" s="200">
        <f t="shared" si="45"/>
        <v>2212.116436947591</v>
      </c>
      <c r="K51" s="201">
        <f t="shared" si="46"/>
        <v>201.10149426796283</v>
      </c>
      <c r="L51" s="601"/>
      <c r="M51" s="202">
        <f>RANK(K51, K$47:$K$61)</f>
        <v>5</v>
      </c>
      <c r="N51" s="619"/>
      <c r="O51" s="619"/>
      <c r="P51" s="183">
        <v>11</v>
      </c>
      <c r="Q51" s="183">
        <v>2235.2000000000007</v>
      </c>
      <c r="R51" s="183">
        <v>203.20000000000007</v>
      </c>
      <c r="S51" s="343">
        <f t="shared" si="47"/>
        <v>6</v>
      </c>
      <c r="T51" s="658"/>
      <c r="U51" s="183">
        <v>11</v>
      </c>
      <c r="V51" s="183">
        <v>2207.8378378378388</v>
      </c>
      <c r="W51" s="183">
        <v>200.71253071253079</v>
      </c>
      <c r="X51" s="520">
        <f t="shared" si="32"/>
        <v>5</v>
      </c>
      <c r="Y51" s="658"/>
      <c r="Z51" s="183">
        <v>11</v>
      </c>
      <c r="AA51" s="183">
        <v>2207.3239436619724</v>
      </c>
      <c r="AB51" s="183">
        <v>200.66581306017932</v>
      </c>
      <c r="AC51" s="520">
        <f t="shared" si="34"/>
        <v>5</v>
      </c>
      <c r="AD51" s="658"/>
      <c r="AE51" s="183">
        <v>11</v>
      </c>
      <c r="AF51" s="183">
        <v>2208.6206896551712</v>
      </c>
      <c r="AG51" s="183">
        <v>200.78369905956103</v>
      </c>
      <c r="AH51" s="520">
        <f t="shared" si="36"/>
        <v>5</v>
      </c>
      <c r="AI51" s="658"/>
      <c r="AJ51" s="183">
        <v>11</v>
      </c>
      <c r="AK51" s="183">
        <v>2199.090909090909</v>
      </c>
      <c r="AL51" s="183">
        <v>199.91735537190081</v>
      </c>
      <c r="AM51" s="520">
        <f t="shared" si="38"/>
        <v>6</v>
      </c>
      <c r="AN51" s="658"/>
      <c r="AO51" s="183">
        <v>11</v>
      </c>
      <c r="AP51" s="183">
        <v>2203.703703703703</v>
      </c>
      <c r="AQ51" s="183">
        <v>200.33670033670026</v>
      </c>
      <c r="AR51" s="520">
        <f t="shared" si="40"/>
        <v>7</v>
      </c>
      <c r="AS51" s="658"/>
      <c r="AT51" s="183">
        <v>11</v>
      </c>
      <c r="AU51" s="183">
        <v>2223.0379746835429</v>
      </c>
      <c r="AV51" s="183">
        <v>202.09436133486753</v>
      </c>
      <c r="AW51" s="520">
        <f t="shared" si="42"/>
        <v>7</v>
      </c>
      <c r="AX51" s="658"/>
    </row>
    <row r="52" spans="2:50">
      <c r="B52" s="627"/>
      <c r="C52" s="317">
        <v>6</v>
      </c>
      <c r="D52" s="228" t="s">
        <v>409</v>
      </c>
      <c r="E52" s="183">
        <v>12</v>
      </c>
      <c r="F52" s="470">
        <v>2250</v>
      </c>
      <c r="G52" s="471">
        <v>187.5</v>
      </c>
      <c r="H52" s="662"/>
      <c r="I52" s="200">
        <f t="shared" si="44"/>
        <v>12</v>
      </c>
      <c r="J52" s="200">
        <f t="shared" si="45"/>
        <v>2127.740162877179</v>
      </c>
      <c r="K52" s="201">
        <f t="shared" si="46"/>
        <v>177.31168023976491</v>
      </c>
      <c r="L52" s="601"/>
      <c r="M52" s="202">
        <f>RANK(K52, K$47:$K$61)</f>
        <v>10</v>
      </c>
      <c r="N52" s="619"/>
      <c r="O52" s="619"/>
      <c r="P52" s="183">
        <v>12</v>
      </c>
      <c r="Q52" s="183">
        <v>2120.4878048780479</v>
      </c>
      <c r="R52" s="183">
        <v>176.70731707317066</v>
      </c>
      <c r="S52" s="343">
        <f t="shared" si="47"/>
        <v>9</v>
      </c>
      <c r="T52" s="658"/>
      <c r="U52" s="183">
        <v>12</v>
      </c>
      <c r="V52" s="183">
        <v>2127.6923076923067</v>
      </c>
      <c r="W52" s="183">
        <v>177.30769230769224</v>
      </c>
      <c r="X52" s="520">
        <f t="shared" si="32"/>
        <v>9</v>
      </c>
      <c r="Y52" s="658"/>
      <c r="Z52" s="183">
        <v>12</v>
      </c>
      <c r="AA52" s="183">
        <v>2137.2972972972957</v>
      </c>
      <c r="AB52" s="183">
        <v>178.10810810810798</v>
      </c>
      <c r="AC52" s="520">
        <f t="shared" si="34"/>
        <v>9</v>
      </c>
      <c r="AD52" s="658"/>
      <c r="AE52" s="183">
        <v>12</v>
      </c>
      <c r="AF52" s="183">
        <v>2101.7647058823554</v>
      </c>
      <c r="AG52" s="183">
        <v>175.14705882352962</v>
      </c>
      <c r="AH52" s="520">
        <f t="shared" si="36"/>
        <v>10</v>
      </c>
      <c r="AI52" s="658"/>
      <c r="AJ52" s="183">
        <v>12</v>
      </c>
      <c r="AK52" s="183">
        <v>2095.4999999999995</v>
      </c>
      <c r="AL52" s="183">
        <v>174.62499999999997</v>
      </c>
      <c r="AM52" s="520">
        <f t="shared" si="38"/>
        <v>10</v>
      </c>
      <c r="AN52" s="658"/>
      <c r="AO52" s="183">
        <v>12</v>
      </c>
      <c r="AP52" s="183">
        <v>2142.439024390243</v>
      </c>
      <c r="AQ52" s="183">
        <v>178.5365853658536</v>
      </c>
      <c r="AR52" s="520">
        <f t="shared" si="40"/>
        <v>10</v>
      </c>
      <c r="AS52" s="658"/>
      <c r="AT52" s="183">
        <v>12</v>
      </c>
      <c r="AU52" s="183">
        <v>2169.0000000000032</v>
      </c>
      <c r="AV52" s="183">
        <v>180.75000000000026</v>
      </c>
      <c r="AW52" s="520">
        <f t="shared" si="42"/>
        <v>9</v>
      </c>
      <c r="AX52" s="658"/>
    </row>
    <row r="53" spans="2:50">
      <c r="B53" s="627"/>
      <c r="C53" s="317">
        <v>7</v>
      </c>
      <c r="D53" s="228" t="s">
        <v>410</v>
      </c>
      <c r="E53" s="183">
        <v>9</v>
      </c>
      <c r="F53" s="470">
        <v>2769</v>
      </c>
      <c r="G53" s="471">
        <v>307.7</v>
      </c>
      <c r="H53" s="662"/>
      <c r="I53" s="200">
        <f t="shared" si="44"/>
        <v>10.857142857142858</v>
      </c>
      <c r="J53" s="200">
        <f t="shared" si="45"/>
        <v>2136.3687709712672</v>
      </c>
      <c r="K53" s="201">
        <f t="shared" si="46"/>
        <v>196.95316749089437</v>
      </c>
      <c r="L53" s="601"/>
      <c r="M53" s="202">
        <f>RANK(K53, K$47:$K$61)</f>
        <v>7</v>
      </c>
      <c r="N53" s="619"/>
      <c r="O53" s="619"/>
      <c r="P53" s="183">
        <v>10</v>
      </c>
      <c r="Q53" s="183">
        <v>2108.1250000000009</v>
      </c>
      <c r="R53" s="183">
        <v>210.81250000000009</v>
      </c>
      <c r="S53" s="343">
        <f t="shared" si="47"/>
        <v>5</v>
      </c>
      <c r="T53" s="658"/>
      <c r="U53" s="183">
        <v>11</v>
      </c>
      <c r="V53" s="183">
        <v>2034.7826086956486</v>
      </c>
      <c r="W53" s="183">
        <v>184.98023715414988</v>
      </c>
      <c r="X53" s="520">
        <f t="shared" si="32"/>
        <v>7</v>
      </c>
      <c r="Y53" s="658"/>
      <c r="Z53" s="183">
        <v>11</v>
      </c>
      <c r="AA53" s="183">
        <v>2002.7586206896549</v>
      </c>
      <c r="AB53" s="183">
        <v>182.06896551724137</v>
      </c>
      <c r="AC53" s="520">
        <f t="shared" si="34"/>
        <v>7</v>
      </c>
      <c r="AD53" s="658"/>
      <c r="AE53" s="183">
        <v>11</v>
      </c>
      <c r="AF53" s="183">
        <v>2175.789473684209</v>
      </c>
      <c r="AG53" s="183">
        <v>197.79904306220081</v>
      </c>
      <c r="AH53" s="520">
        <f t="shared" si="36"/>
        <v>6</v>
      </c>
      <c r="AI53" s="658"/>
      <c r="AJ53" s="183">
        <v>11</v>
      </c>
      <c r="AK53" s="183">
        <v>2173.7837837837824</v>
      </c>
      <c r="AL53" s="183">
        <v>197.61670761670749</v>
      </c>
      <c r="AM53" s="520">
        <f t="shared" si="38"/>
        <v>8</v>
      </c>
      <c r="AN53" s="658"/>
      <c r="AO53" s="183">
        <v>11</v>
      </c>
      <c r="AP53" s="183">
        <v>2199.5744680851067</v>
      </c>
      <c r="AQ53" s="183">
        <v>199.96131528046425</v>
      </c>
      <c r="AR53" s="520">
        <f t="shared" si="40"/>
        <v>8</v>
      </c>
      <c r="AS53" s="658"/>
      <c r="AT53" s="183">
        <v>11</v>
      </c>
      <c r="AU53" s="183">
        <v>2259.7674418604647</v>
      </c>
      <c r="AV53" s="183">
        <v>205.43340380549679</v>
      </c>
      <c r="AW53" s="520">
        <f t="shared" si="42"/>
        <v>5</v>
      </c>
      <c r="AX53" s="658"/>
    </row>
    <row r="54" spans="2:50">
      <c r="B54" s="627"/>
      <c r="C54" s="317">
        <v>8</v>
      </c>
      <c r="D54" s="228" t="s">
        <v>404</v>
      </c>
      <c r="E54" s="183">
        <v>18</v>
      </c>
      <c r="F54" s="470">
        <v>1250</v>
      </c>
      <c r="G54" s="471">
        <v>69.444444444444443</v>
      </c>
      <c r="H54" s="662"/>
      <c r="I54" s="200">
        <f t="shared" si="44"/>
        <v>13</v>
      </c>
      <c r="J54" s="200">
        <f t="shared" si="45"/>
        <v>1236.3789473684212</v>
      </c>
      <c r="K54" s="201">
        <f t="shared" si="46"/>
        <v>95.106072874493961</v>
      </c>
      <c r="L54" s="601"/>
      <c r="M54" s="202">
        <f>RANK(K54, K$47:$K$61)</f>
        <v>11</v>
      </c>
      <c r="N54" s="619"/>
      <c r="O54" s="619"/>
      <c r="P54" s="183">
        <v>13</v>
      </c>
      <c r="Q54" s="183">
        <v>1237.8000000000004</v>
      </c>
      <c r="R54" s="183">
        <v>95.21538461538465</v>
      </c>
      <c r="S54" s="343">
        <f t="shared" si="47"/>
        <v>11</v>
      </c>
      <c r="T54" s="658"/>
      <c r="U54" s="183">
        <v>13</v>
      </c>
      <c r="V54" s="183">
        <v>1251.3333333333333</v>
      </c>
      <c r="W54" s="183">
        <v>96.256410256410248</v>
      </c>
      <c r="X54" s="520">
        <f t="shared" si="32"/>
        <v>11</v>
      </c>
      <c r="Y54" s="658"/>
      <c r="Z54" s="183">
        <v>13</v>
      </c>
      <c r="AA54" s="183">
        <v>1274.6666666666665</v>
      </c>
      <c r="AB54" s="183">
        <v>98.051282051282044</v>
      </c>
      <c r="AC54" s="520">
        <f t="shared" si="34"/>
        <v>11</v>
      </c>
      <c r="AD54" s="658"/>
      <c r="AE54" s="183">
        <v>13</v>
      </c>
      <c r="AF54" s="183">
        <v>1200.0000000000005</v>
      </c>
      <c r="AG54" s="183">
        <v>92.307692307692349</v>
      </c>
      <c r="AH54" s="520">
        <f t="shared" si="36"/>
        <v>11</v>
      </c>
      <c r="AI54" s="658"/>
      <c r="AJ54" s="183">
        <v>13</v>
      </c>
      <c r="AK54" s="183">
        <v>1227.0000000000007</v>
      </c>
      <c r="AL54" s="183">
        <v>94.384615384615444</v>
      </c>
      <c r="AM54" s="520">
        <f t="shared" si="38"/>
        <v>11</v>
      </c>
      <c r="AN54" s="658"/>
      <c r="AO54" s="183">
        <v>13</v>
      </c>
      <c r="AP54" s="183">
        <v>1222.8000000000004</v>
      </c>
      <c r="AQ54" s="183">
        <v>94.06153846153849</v>
      </c>
      <c r="AR54" s="520">
        <f t="shared" si="40"/>
        <v>11</v>
      </c>
      <c r="AS54" s="658"/>
      <c r="AT54" s="183">
        <v>13</v>
      </c>
      <c r="AU54" s="183">
        <v>1241.0526315789475</v>
      </c>
      <c r="AV54" s="183">
        <v>95.465587044534431</v>
      </c>
      <c r="AW54" s="520">
        <f t="shared" si="42"/>
        <v>11</v>
      </c>
      <c r="AX54" s="658"/>
    </row>
    <row r="55" spans="2:50">
      <c r="B55" s="627"/>
      <c r="C55" s="317">
        <v>9</v>
      </c>
      <c r="D55" s="228" t="s">
        <v>871</v>
      </c>
      <c r="E55" s="183">
        <v>6</v>
      </c>
      <c r="F55" s="470">
        <v>2000</v>
      </c>
      <c r="G55" s="471">
        <v>333.33333333333331</v>
      </c>
      <c r="H55" s="662"/>
      <c r="I55" s="200">
        <f t="shared" si="44"/>
        <v>6</v>
      </c>
      <c r="J55" s="200">
        <f t="shared" si="45"/>
        <v>1976.3511299256577</v>
      </c>
      <c r="K55" s="201">
        <f t="shared" si="46"/>
        <v>329.39185498760969</v>
      </c>
      <c r="L55" s="601"/>
      <c r="M55" s="202">
        <f>RANK(K55, K$47:$K$61)</f>
        <v>4</v>
      </c>
      <c r="N55" s="619"/>
      <c r="O55" s="619"/>
      <c r="P55" s="183">
        <v>6</v>
      </c>
      <c r="Q55" s="183">
        <v>2108.5714285714362</v>
      </c>
      <c r="R55" s="183">
        <v>351.4285714285727</v>
      </c>
      <c r="S55" s="343">
        <f t="shared" si="47"/>
        <v>4</v>
      </c>
      <c r="T55" s="658"/>
      <c r="U55" s="183">
        <v>6</v>
      </c>
      <c r="V55" s="183">
        <v>2169.0000000000077</v>
      </c>
      <c r="W55" s="183">
        <v>361.50000000000131</v>
      </c>
      <c r="X55" s="520">
        <f t="shared" si="32"/>
        <v>4</v>
      </c>
      <c r="Y55" s="658"/>
      <c r="Z55" s="183">
        <v>6</v>
      </c>
      <c r="AA55" s="183">
        <v>2096.6666666666647</v>
      </c>
      <c r="AB55" s="183">
        <v>349.44444444444412</v>
      </c>
      <c r="AC55" s="520">
        <f t="shared" si="34"/>
        <v>4</v>
      </c>
      <c r="AD55" s="658"/>
      <c r="AE55" s="183">
        <v>6</v>
      </c>
      <c r="AF55" s="183">
        <v>1747.0588235294097</v>
      </c>
      <c r="AG55" s="183">
        <v>291.17647058823496</v>
      </c>
      <c r="AH55" s="520">
        <f t="shared" si="36"/>
        <v>4</v>
      </c>
      <c r="AI55" s="658"/>
      <c r="AJ55" s="183">
        <v>6</v>
      </c>
      <c r="AK55" s="183">
        <v>1803.5294117647036</v>
      </c>
      <c r="AL55" s="183">
        <v>300.58823529411728</v>
      </c>
      <c r="AM55" s="520">
        <f t="shared" si="38"/>
        <v>4</v>
      </c>
      <c r="AN55" s="658"/>
      <c r="AO55" s="183">
        <v>6</v>
      </c>
      <c r="AP55" s="183">
        <v>1797.0000000000064</v>
      </c>
      <c r="AQ55" s="183">
        <v>299.50000000000108</v>
      </c>
      <c r="AR55" s="520">
        <f t="shared" si="40"/>
        <v>4</v>
      </c>
      <c r="AS55" s="658"/>
      <c r="AT55" s="183">
        <v>6</v>
      </c>
      <c r="AU55" s="183">
        <v>2112.6315789473761</v>
      </c>
      <c r="AV55" s="183">
        <v>352.10526315789599</v>
      </c>
      <c r="AW55" s="520">
        <f t="shared" si="42"/>
        <v>4</v>
      </c>
      <c r="AX55" s="658"/>
    </row>
    <row r="56" spans="2:50">
      <c r="B56" s="627"/>
      <c r="C56" s="317">
        <v>10</v>
      </c>
      <c r="D56" s="228" t="s">
        <v>892</v>
      </c>
      <c r="E56" s="183">
        <v>4</v>
      </c>
      <c r="F56" s="470">
        <v>2000</v>
      </c>
      <c r="G56" s="471">
        <v>500</v>
      </c>
      <c r="H56" s="662"/>
      <c r="I56" s="200">
        <f t="shared" si="44"/>
        <v>4.8571428571428568</v>
      </c>
      <c r="J56" s="200">
        <f t="shared" si="45"/>
        <v>2123.4727580542672</v>
      </c>
      <c r="K56" s="201">
        <f t="shared" si="46"/>
        <v>438.70883732513909</v>
      </c>
      <c r="L56" s="601"/>
      <c r="M56" s="202">
        <f>RANK(K56, K$47:$K$61)</f>
        <v>3</v>
      </c>
      <c r="N56" s="619"/>
      <c r="O56" s="619"/>
      <c r="P56" s="183">
        <v>5</v>
      </c>
      <c r="Q56" s="183">
        <v>2162.3999999999942</v>
      </c>
      <c r="R56" s="183">
        <v>432.47999999999882</v>
      </c>
      <c r="S56" s="343">
        <f t="shared" si="47"/>
        <v>3</v>
      </c>
      <c r="T56" s="658"/>
      <c r="U56" s="183">
        <v>5</v>
      </c>
      <c r="V56" s="183">
        <v>2107.058823529409</v>
      </c>
      <c r="W56" s="183">
        <v>421.41176470588181</v>
      </c>
      <c r="X56" s="520">
        <f t="shared" si="32"/>
        <v>3</v>
      </c>
      <c r="Y56" s="658"/>
      <c r="Z56" s="183">
        <v>5</v>
      </c>
      <c r="AA56" s="183">
        <v>2090.9090909090883</v>
      </c>
      <c r="AB56" s="183">
        <v>418.18181818181768</v>
      </c>
      <c r="AC56" s="520">
        <f t="shared" si="34"/>
        <v>3</v>
      </c>
      <c r="AD56" s="658"/>
      <c r="AE56" s="183">
        <v>4</v>
      </c>
      <c r="AF56" s="183">
        <v>1961.9999999999964</v>
      </c>
      <c r="AG56" s="183">
        <v>490.49999999999909</v>
      </c>
      <c r="AH56" s="520">
        <f t="shared" si="36"/>
        <v>2</v>
      </c>
      <c r="AI56" s="658"/>
      <c r="AJ56" s="183">
        <v>5</v>
      </c>
      <c r="AK56" s="183">
        <v>2173.8461538461547</v>
      </c>
      <c r="AL56" s="183">
        <v>434.76923076923094</v>
      </c>
      <c r="AM56" s="520">
        <f t="shared" si="38"/>
        <v>3</v>
      </c>
      <c r="AN56" s="658"/>
      <c r="AO56" s="183">
        <v>5</v>
      </c>
      <c r="AP56" s="183">
        <v>2181.4285714285666</v>
      </c>
      <c r="AQ56" s="183">
        <v>436.28571428571331</v>
      </c>
      <c r="AR56" s="520">
        <f t="shared" si="40"/>
        <v>3</v>
      </c>
      <c r="AS56" s="658"/>
      <c r="AT56" s="183">
        <v>5</v>
      </c>
      <c r="AU56" s="183">
        <v>2186.6666666666615</v>
      </c>
      <c r="AV56" s="183">
        <v>437.33333333333229</v>
      </c>
      <c r="AW56" s="520">
        <f t="shared" si="42"/>
        <v>3</v>
      </c>
      <c r="AX56" s="658"/>
    </row>
    <row r="57" spans="2:50">
      <c r="B57" s="627"/>
      <c r="C57" s="317">
        <v>11</v>
      </c>
      <c r="D57" s="365" t="s">
        <v>1037</v>
      </c>
      <c r="E57" s="183">
        <v>11</v>
      </c>
      <c r="F57" s="470">
        <v>2250</v>
      </c>
      <c r="G57" s="471">
        <v>192.5</v>
      </c>
      <c r="H57" s="662"/>
      <c r="I57" s="534">
        <f t="shared" ref="I57" si="48">AVERAGE(P57,U57,Z57,AE57,AJ57,AO57,AT57)</f>
        <v>11.571428571428571</v>
      </c>
      <c r="J57" s="534">
        <f t="shared" ref="J57" si="49">AVERAGE(Q57,V57,AA57,AF57,AK57,AP57,AU57)</f>
        <v>2064.9733533966596</v>
      </c>
      <c r="K57" s="201">
        <f t="shared" ref="K57" si="50">AVERAGE(R57,W57,AB57,AG57,AL57,AQ57,AV57)</f>
        <v>179.16685144257403</v>
      </c>
      <c r="L57" s="601"/>
      <c r="M57" s="202">
        <f>RANK(K57, K$47:$K$61)</f>
        <v>9</v>
      </c>
      <c r="N57" s="619"/>
      <c r="O57" s="619"/>
      <c r="P57" s="183">
        <v>12</v>
      </c>
      <c r="Q57" s="183">
        <v>1984.1904761904784</v>
      </c>
      <c r="R57" s="183">
        <v>165.34920634920653</v>
      </c>
      <c r="S57" s="343">
        <f t="shared" si="47"/>
        <v>10</v>
      </c>
      <c r="T57" s="658"/>
      <c r="U57" s="183">
        <v>12</v>
      </c>
      <c r="V57" s="183">
        <v>1942.050000000002</v>
      </c>
      <c r="W57" s="183">
        <v>161.83750000000018</v>
      </c>
      <c r="X57" s="520">
        <f t="shared" si="32"/>
        <v>10</v>
      </c>
      <c r="Y57" s="658"/>
      <c r="Z57" s="183">
        <v>12</v>
      </c>
      <c r="AA57" s="183">
        <v>1997.1599999999992</v>
      </c>
      <c r="AB57" s="183">
        <v>166.42999999999992</v>
      </c>
      <c r="AC57" s="520">
        <f t="shared" si="34"/>
        <v>10</v>
      </c>
      <c r="AD57" s="658"/>
      <c r="AE57" s="183">
        <v>11</v>
      </c>
      <c r="AF57" s="183">
        <v>2142.9774193548392</v>
      </c>
      <c r="AG57" s="183">
        <v>194.81612903225812</v>
      </c>
      <c r="AH57" s="520">
        <f t="shared" si="36"/>
        <v>7</v>
      </c>
      <c r="AI57" s="658"/>
      <c r="AJ57" s="183">
        <v>11</v>
      </c>
      <c r="AK57" s="183">
        <v>2188.9900000000002</v>
      </c>
      <c r="AL57" s="183">
        <v>198.99909090909094</v>
      </c>
      <c r="AM57" s="520">
        <f t="shared" si="38"/>
        <v>7</v>
      </c>
      <c r="AN57" s="658"/>
      <c r="AO57" s="183">
        <v>11</v>
      </c>
      <c r="AP57" s="183">
        <v>2215.2551020408168</v>
      </c>
      <c r="AQ57" s="183">
        <v>201.38682745825608</v>
      </c>
      <c r="AR57" s="520">
        <f t="shared" si="40"/>
        <v>6</v>
      </c>
      <c r="AS57" s="658"/>
      <c r="AT57" s="183">
        <v>12</v>
      </c>
      <c r="AU57" s="183">
        <v>1984.1904761904784</v>
      </c>
      <c r="AV57" s="183">
        <v>165.34920634920653</v>
      </c>
      <c r="AW57" s="520">
        <f t="shared" si="42"/>
        <v>10</v>
      </c>
      <c r="AX57" s="658"/>
    </row>
    <row r="58" spans="2:50">
      <c r="B58" s="627"/>
      <c r="C58" s="317">
        <v>12</v>
      </c>
      <c r="D58" s="228"/>
      <c r="E58" s="183"/>
      <c r="F58" s="470"/>
      <c r="G58" s="471"/>
      <c r="H58" s="662"/>
      <c r="I58" s="203"/>
      <c r="J58" s="203"/>
      <c r="K58" s="203"/>
      <c r="L58" s="601"/>
      <c r="M58" s="202" t="e">
        <f>RANK(K58, K$47:$K$61)</f>
        <v>#N/A</v>
      </c>
      <c r="N58" s="619"/>
      <c r="O58" s="619"/>
      <c r="P58" s="183"/>
      <c r="Q58" s="183"/>
      <c r="R58" s="183"/>
      <c r="S58" s="343" t="e">
        <f t="shared" si="47"/>
        <v>#N/A</v>
      </c>
      <c r="T58" s="658"/>
      <c r="U58" s="183"/>
      <c r="V58" s="183"/>
      <c r="W58" s="183"/>
      <c r="X58" s="520" t="e">
        <f t="shared" si="32"/>
        <v>#N/A</v>
      </c>
      <c r="Y58" s="658"/>
      <c r="Z58" s="183"/>
      <c r="AA58" s="183"/>
      <c r="AB58" s="183"/>
      <c r="AC58" s="520" t="e">
        <f t="shared" si="34"/>
        <v>#N/A</v>
      </c>
      <c r="AD58" s="658"/>
      <c r="AE58" s="183"/>
      <c r="AF58" s="183"/>
      <c r="AG58" s="183"/>
      <c r="AH58" s="520" t="e">
        <f t="shared" si="36"/>
        <v>#N/A</v>
      </c>
      <c r="AI58" s="658"/>
      <c r="AJ58" s="183"/>
      <c r="AK58" s="183"/>
      <c r="AL58" s="183"/>
      <c r="AM58" s="520" t="e">
        <f t="shared" si="38"/>
        <v>#N/A</v>
      </c>
      <c r="AN58" s="658"/>
      <c r="AO58" s="183"/>
      <c r="AP58" s="183"/>
      <c r="AQ58" s="183"/>
      <c r="AR58" s="520" t="e">
        <f t="shared" si="40"/>
        <v>#N/A</v>
      </c>
      <c r="AS58" s="658"/>
      <c r="AT58" s="183"/>
      <c r="AU58" s="183"/>
      <c r="AV58" s="183"/>
      <c r="AW58" s="520" t="e">
        <f t="shared" si="42"/>
        <v>#N/A</v>
      </c>
      <c r="AX58" s="658"/>
    </row>
    <row r="59" spans="2:50">
      <c r="B59" s="627"/>
      <c r="C59" s="317">
        <v>13</v>
      </c>
      <c r="D59" s="228"/>
      <c r="E59" s="183"/>
      <c r="F59" s="470"/>
      <c r="G59" s="471"/>
      <c r="H59" s="662"/>
      <c r="I59" s="203"/>
      <c r="J59" s="203"/>
      <c r="K59" s="203"/>
      <c r="L59" s="601"/>
      <c r="M59" s="202" t="e">
        <f>RANK(K59, K$47:$K$61)</f>
        <v>#N/A</v>
      </c>
      <c r="N59" s="619"/>
      <c r="O59" s="619"/>
      <c r="P59" s="183"/>
      <c r="Q59" s="183"/>
      <c r="R59" s="183"/>
      <c r="S59" s="343" t="e">
        <f t="shared" si="47"/>
        <v>#N/A</v>
      </c>
      <c r="T59" s="658"/>
      <c r="U59" s="183"/>
      <c r="V59" s="183"/>
      <c r="W59" s="183"/>
      <c r="X59" s="520" t="e">
        <f t="shared" si="32"/>
        <v>#N/A</v>
      </c>
      <c r="Y59" s="658"/>
      <c r="Z59" s="183"/>
      <c r="AA59" s="183"/>
      <c r="AB59" s="183"/>
      <c r="AC59" s="520" t="e">
        <f t="shared" si="34"/>
        <v>#N/A</v>
      </c>
      <c r="AD59" s="658"/>
      <c r="AE59" s="183"/>
      <c r="AF59" s="183"/>
      <c r="AG59" s="183"/>
      <c r="AH59" s="520" t="e">
        <f t="shared" si="36"/>
        <v>#N/A</v>
      </c>
      <c r="AI59" s="658"/>
      <c r="AJ59" s="183"/>
      <c r="AK59" s="183"/>
      <c r="AL59" s="183"/>
      <c r="AM59" s="520" t="e">
        <f t="shared" si="38"/>
        <v>#N/A</v>
      </c>
      <c r="AN59" s="658"/>
      <c r="AO59" s="183"/>
      <c r="AP59" s="183"/>
      <c r="AQ59" s="183"/>
      <c r="AR59" s="520" t="e">
        <f t="shared" si="40"/>
        <v>#N/A</v>
      </c>
      <c r="AS59" s="658"/>
      <c r="AT59" s="183"/>
      <c r="AU59" s="183"/>
      <c r="AV59" s="183"/>
      <c r="AW59" s="520" t="e">
        <f t="shared" si="42"/>
        <v>#N/A</v>
      </c>
      <c r="AX59" s="658"/>
    </row>
    <row r="60" spans="2:50">
      <c r="B60" s="627"/>
      <c r="C60" s="317">
        <v>14</v>
      </c>
      <c r="D60" s="228"/>
      <c r="E60" s="183"/>
      <c r="F60" s="470"/>
      <c r="G60" s="471"/>
      <c r="H60" s="662"/>
      <c r="I60" s="203"/>
      <c r="J60" s="203"/>
      <c r="K60" s="203"/>
      <c r="L60" s="601"/>
      <c r="M60" s="202" t="e">
        <f>RANK(K60, K$47:$K$61)</f>
        <v>#N/A</v>
      </c>
      <c r="N60" s="619"/>
      <c r="O60" s="619"/>
      <c r="P60" s="183"/>
      <c r="Q60" s="183"/>
      <c r="R60" s="183"/>
      <c r="S60" s="343" t="e">
        <f t="shared" si="47"/>
        <v>#N/A</v>
      </c>
      <c r="T60" s="658"/>
      <c r="U60" s="183"/>
      <c r="V60" s="183"/>
      <c r="W60" s="183"/>
      <c r="X60" s="520" t="e">
        <f t="shared" si="32"/>
        <v>#N/A</v>
      </c>
      <c r="Y60" s="658"/>
      <c r="Z60" s="183"/>
      <c r="AA60" s="183"/>
      <c r="AB60" s="183"/>
      <c r="AC60" s="520" t="e">
        <f t="shared" si="34"/>
        <v>#N/A</v>
      </c>
      <c r="AD60" s="658"/>
      <c r="AE60" s="183"/>
      <c r="AF60" s="183"/>
      <c r="AG60" s="183"/>
      <c r="AH60" s="520" t="e">
        <f t="shared" si="36"/>
        <v>#N/A</v>
      </c>
      <c r="AI60" s="658"/>
      <c r="AJ60" s="183"/>
      <c r="AK60" s="183"/>
      <c r="AL60" s="183"/>
      <c r="AM60" s="520" t="e">
        <f t="shared" si="38"/>
        <v>#N/A</v>
      </c>
      <c r="AN60" s="658"/>
      <c r="AO60" s="183"/>
      <c r="AP60" s="183"/>
      <c r="AQ60" s="183"/>
      <c r="AR60" s="520" t="e">
        <f t="shared" si="40"/>
        <v>#N/A</v>
      </c>
      <c r="AS60" s="658"/>
      <c r="AT60" s="183"/>
      <c r="AU60" s="183"/>
      <c r="AV60" s="183"/>
      <c r="AW60" s="520" t="e">
        <f t="shared" si="42"/>
        <v>#N/A</v>
      </c>
      <c r="AX60" s="658"/>
    </row>
    <row r="61" spans="2:50">
      <c r="B61" s="627"/>
      <c r="C61" s="317">
        <v>15</v>
      </c>
      <c r="D61" s="228"/>
      <c r="E61" s="183"/>
      <c r="F61" s="470"/>
      <c r="G61" s="471"/>
      <c r="H61" s="663"/>
      <c r="I61" s="203"/>
      <c r="J61" s="203"/>
      <c r="K61" s="203"/>
      <c r="L61" s="602"/>
      <c r="M61" s="202" t="e">
        <f>RANK(K61, K$47:$K$61)</f>
        <v>#N/A</v>
      </c>
      <c r="N61" s="619"/>
      <c r="O61" s="619"/>
      <c r="P61" s="183"/>
      <c r="Q61" s="183"/>
      <c r="R61" s="183"/>
      <c r="S61" s="343" t="e">
        <f t="shared" si="47"/>
        <v>#N/A</v>
      </c>
      <c r="T61" s="658"/>
      <c r="U61" s="183"/>
      <c r="V61" s="183"/>
      <c r="W61" s="183"/>
      <c r="X61" s="520" t="e">
        <f t="shared" si="32"/>
        <v>#N/A</v>
      </c>
      <c r="Y61" s="658"/>
      <c r="Z61" s="183"/>
      <c r="AA61" s="183"/>
      <c r="AB61" s="183"/>
      <c r="AC61" s="520" t="e">
        <f t="shared" si="34"/>
        <v>#N/A</v>
      </c>
      <c r="AD61" s="658"/>
      <c r="AE61" s="183"/>
      <c r="AF61" s="183"/>
      <c r="AG61" s="183"/>
      <c r="AH61" s="520" t="e">
        <f t="shared" si="36"/>
        <v>#N/A</v>
      </c>
      <c r="AI61" s="658"/>
      <c r="AJ61" s="183"/>
      <c r="AK61" s="183"/>
      <c r="AL61" s="183"/>
      <c r="AM61" s="520" t="e">
        <f t="shared" si="38"/>
        <v>#N/A</v>
      </c>
      <c r="AN61" s="658"/>
      <c r="AO61" s="183"/>
      <c r="AP61" s="183"/>
      <c r="AQ61" s="183"/>
      <c r="AR61" s="520" t="e">
        <f t="shared" si="40"/>
        <v>#N/A</v>
      </c>
      <c r="AS61" s="658"/>
      <c r="AT61" s="183"/>
      <c r="AU61" s="183"/>
      <c r="AV61" s="183"/>
      <c r="AW61" s="520" t="e">
        <f t="shared" si="42"/>
        <v>#N/A</v>
      </c>
      <c r="AX61" s="658"/>
    </row>
    <row r="62" spans="2:50" ht="15.5">
      <c r="B62" s="631" t="s">
        <v>163</v>
      </c>
      <c r="C62" s="632"/>
      <c r="D62" s="632"/>
      <c r="E62" s="632"/>
      <c r="F62" s="632"/>
      <c r="G62" s="632"/>
      <c r="H62" s="633"/>
      <c r="I62" s="209"/>
      <c r="J62" s="209"/>
      <c r="K62" s="209"/>
      <c r="L62" s="209"/>
      <c r="M62" s="208"/>
      <c r="N62" s="620" t="s">
        <v>156</v>
      </c>
      <c r="O62" s="620" t="s">
        <v>105</v>
      </c>
      <c r="P62" s="626">
        <f>P42+7</f>
        <v>46007</v>
      </c>
      <c r="Q62" s="627"/>
      <c r="R62" s="627"/>
      <c r="S62" s="627"/>
      <c r="T62" s="627"/>
      <c r="U62" s="623">
        <f>P62+1</f>
        <v>46008</v>
      </c>
      <c r="V62" s="624"/>
      <c r="W62" s="624"/>
      <c r="X62" s="624"/>
      <c r="Y62" s="625"/>
      <c r="Z62" s="623">
        <f>U62+1</f>
        <v>46009</v>
      </c>
      <c r="AA62" s="624"/>
      <c r="AB62" s="624"/>
      <c r="AC62" s="624"/>
      <c r="AD62" s="625"/>
      <c r="AE62" s="623">
        <f>Z62+1</f>
        <v>46010</v>
      </c>
      <c r="AF62" s="624"/>
      <c r="AG62" s="624"/>
      <c r="AH62" s="624"/>
      <c r="AI62" s="625"/>
      <c r="AJ62" s="623">
        <f>AE62+1</f>
        <v>46011</v>
      </c>
      <c r="AK62" s="624"/>
      <c r="AL62" s="624"/>
      <c r="AM62" s="624"/>
      <c r="AN62" s="625"/>
      <c r="AO62" s="623">
        <f>AJ62+1</f>
        <v>46012</v>
      </c>
      <c r="AP62" s="624"/>
      <c r="AQ62" s="624"/>
      <c r="AR62" s="624"/>
      <c r="AS62" s="625"/>
      <c r="AT62" s="623">
        <f>AO62+1</f>
        <v>46013</v>
      </c>
      <c r="AU62" s="624"/>
      <c r="AV62" s="624"/>
      <c r="AW62" s="624"/>
      <c r="AX62" s="625"/>
    </row>
    <row r="63" spans="2:50" ht="15.5">
      <c r="B63" s="634"/>
      <c r="C63" s="634"/>
      <c r="D63" s="634"/>
      <c r="E63" s="634"/>
      <c r="F63" s="634"/>
      <c r="G63" s="634"/>
      <c r="H63" s="634"/>
      <c r="I63" s="206"/>
      <c r="J63" s="206"/>
      <c r="K63" s="206"/>
      <c r="L63" s="206"/>
      <c r="M63" s="207"/>
      <c r="N63" s="622"/>
      <c r="O63" s="622"/>
      <c r="P63" s="626" t="s">
        <v>336</v>
      </c>
      <c r="Q63" s="627"/>
      <c r="R63" s="627"/>
      <c r="S63" s="627"/>
      <c r="T63" s="627"/>
      <c r="U63" s="626" t="s">
        <v>337</v>
      </c>
      <c r="V63" s="627"/>
      <c r="W63" s="627"/>
      <c r="X63" s="627"/>
      <c r="Y63" s="627"/>
      <c r="Z63" s="626" t="s">
        <v>338</v>
      </c>
      <c r="AA63" s="627"/>
      <c r="AB63" s="627"/>
      <c r="AC63" s="627"/>
      <c r="AD63" s="627"/>
      <c r="AE63" s="626" t="s">
        <v>339</v>
      </c>
      <c r="AF63" s="627"/>
      <c r="AG63" s="627"/>
      <c r="AH63" s="627"/>
      <c r="AI63" s="627"/>
      <c r="AJ63" s="626" t="s">
        <v>340</v>
      </c>
      <c r="AK63" s="627"/>
      <c r="AL63" s="627"/>
      <c r="AM63" s="627"/>
      <c r="AN63" s="627"/>
      <c r="AO63" s="626" t="s">
        <v>341</v>
      </c>
      <c r="AP63" s="627"/>
      <c r="AQ63" s="627"/>
      <c r="AR63" s="627"/>
      <c r="AS63" s="627"/>
      <c r="AT63" s="626" t="s">
        <v>342</v>
      </c>
      <c r="AU63" s="627"/>
      <c r="AV63" s="627"/>
      <c r="AW63" s="627"/>
      <c r="AX63" s="627"/>
    </row>
    <row r="64" spans="2:50">
      <c r="B64" s="619" t="s">
        <v>443</v>
      </c>
      <c r="C64" s="619" t="s">
        <v>453</v>
      </c>
      <c r="D64" s="619"/>
      <c r="E64" s="619" t="s">
        <v>444</v>
      </c>
      <c r="F64" s="619"/>
      <c r="G64" s="619"/>
      <c r="H64" s="635" t="s">
        <v>440</v>
      </c>
      <c r="I64" s="603" t="s">
        <v>445</v>
      </c>
      <c r="J64" s="603"/>
      <c r="K64" s="603"/>
      <c r="L64" s="604" t="s">
        <v>440</v>
      </c>
      <c r="M64" s="610" t="s">
        <v>441</v>
      </c>
      <c r="N64" s="619"/>
      <c r="O64" s="619" t="s">
        <v>446</v>
      </c>
      <c r="P64" s="616" t="s">
        <v>442</v>
      </c>
      <c r="Q64" s="617"/>
      <c r="R64" s="617"/>
      <c r="S64" s="618"/>
      <c r="T64" s="619" t="s">
        <v>440</v>
      </c>
      <c r="U64" s="616" t="s">
        <v>442</v>
      </c>
      <c r="V64" s="617"/>
      <c r="W64" s="617"/>
      <c r="X64" s="618"/>
      <c r="Y64" s="619" t="s">
        <v>440</v>
      </c>
      <c r="Z64" s="616" t="s">
        <v>442</v>
      </c>
      <c r="AA64" s="617"/>
      <c r="AB64" s="617"/>
      <c r="AC64" s="618"/>
      <c r="AD64" s="619" t="s">
        <v>440</v>
      </c>
      <c r="AE64" s="616" t="s">
        <v>442</v>
      </c>
      <c r="AF64" s="617"/>
      <c r="AG64" s="617"/>
      <c r="AH64" s="618"/>
      <c r="AI64" s="619" t="s">
        <v>440</v>
      </c>
      <c r="AJ64" s="616" t="s">
        <v>442</v>
      </c>
      <c r="AK64" s="617"/>
      <c r="AL64" s="617"/>
      <c r="AM64" s="618"/>
      <c r="AN64" s="619" t="s">
        <v>440</v>
      </c>
      <c r="AO64" s="616" t="s">
        <v>442</v>
      </c>
      <c r="AP64" s="617"/>
      <c r="AQ64" s="617"/>
      <c r="AR64" s="618"/>
      <c r="AS64" s="619" t="s">
        <v>440</v>
      </c>
      <c r="AT64" s="616" t="s">
        <v>442</v>
      </c>
      <c r="AU64" s="617"/>
      <c r="AV64" s="617"/>
      <c r="AW64" s="618"/>
      <c r="AX64" s="619" t="s">
        <v>440</v>
      </c>
    </row>
    <row r="65" spans="2:50">
      <c r="B65" s="619"/>
      <c r="C65" s="619"/>
      <c r="D65" s="619"/>
      <c r="E65" s="619" t="s">
        <v>447</v>
      </c>
      <c r="F65" s="619"/>
      <c r="G65" s="619"/>
      <c r="H65" s="636"/>
      <c r="I65" s="603" t="s">
        <v>447</v>
      </c>
      <c r="J65" s="603"/>
      <c r="K65" s="603"/>
      <c r="L65" s="605"/>
      <c r="M65" s="611"/>
      <c r="N65" s="619"/>
      <c r="O65" s="619"/>
      <c r="P65" s="616" t="s">
        <v>448</v>
      </c>
      <c r="Q65" s="617"/>
      <c r="R65" s="617"/>
      <c r="S65" s="618"/>
      <c r="T65" s="619"/>
      <c r="U65" s="616" t="s">
        <v>448</v>
      </c>
      <c r="V65" s="617"/>
      <c r="W65" s="617"/>
      <c r="X65" s="618"/>
      <c r="Y65" s="619"/>
      <c r="Z65" s="616" t="s">
        <v>448</v>
      </c>
      <c r="AA65" s="617"/>
      <c r="AB65" s="617"/>
      <c r="AC65" s="618"/>
      <c r="AD65" s="619"/>
      <c r="AE65" s="616" t="s">
        <v>448</v>
      </c>
      <c r="AF65" s="617"/>
      <c r="AG65" s="617"/>
      <c r="AH65" s="618"/>
      <c r="AI65" s="619"/>
      <c r="AJ65" s="616" t="s">
        <v>448</v>
      </c>
      <c r="AK65" s="617"/>
      <c r="AL65" s="617"/>
      <c r="AM65" s="618"/>
      <c r="AN65" s="619"/>
      <c r="AO65" s="616" t="s">
        <v>448</v>
      </c>
      <c r="AP65" s="617"/>
      <c r="AQ65" s="617"/>
      <c r="AR65" s="618"/>
      <c r="AS65" s="619"/>
      <c r="AT65" s="616" t="s">
        <v>448</v>
      </c>
      <c r="AU65" s="617"/>
      <c r="AV65" s="617"/>
      <c r="AW65" s="618"/>
      <c r="AX65" s="619"/>
    </row>
    <row r="66" spans="2:50">
      <c r="B66" s="619"/>
      <c r="C66" s="619"/>
      <c r="D66" s="619"/>
      <c r="E66" s="316" t="s">
        <v>449</v>
      </c>
      <c r="F66" s="316" t="s">
        <v>450</v>
      </c>
      <c r="G66" s="316" t="s">
        <v>451</v>
      </c>
      <c r="H66" s="637"/>
      <c r="I66" s="315" t="s">
        <v>449</v>
      </c>
      <c r="J66" s="315" t="s">
        <v>450</v>
      </c>
      <c r="K66" s="315" t="s">
        <v>451</v>
      </c>
      <c r="L66" s="606"/>
      <c r="M66" s="612"/>
      <c r="N66" s="619"/>
      <c r="O66" s="619"/>
      <c r="P66" s="316" t="s">
        <v>449</v>
      </c>
      <c r="Q66" s="316" t="s">
        <v>450</v>
      </c>
      <c r="R66" s="316" t="s">
        <v>451</v>
      </c>
      <c r="S66" s="316" t="s">
        <v>441</v>
      </c>
      <c r="T66" s="619"/>
      <c r="U66" s="316" t="s">
        <v>449</v>
      </c>
      <c r="V66" s="316" t="s">
        <v>450</v>
      </c>
      <c r="W66" s="316" t="s">
        <v>451</v>
      </c>
      <c r="X66" s="316" t="s">
        <v>441</v>
      </c>
      <c r="Y66" s="619"/>
      <c r="Z66" s="316" t="s">
        <v>449</v>
      </c>
      <c r="AA66" s="316" t="s">
        <v>450</v>
      </c>
      <c r="AB66" s="316" t="s">
        <v>451</v>
      </c>
      <c r="AC66" s="316" t="s">
        <v>441</v>
      </c>
      <c r="AD66" s="619"/>
      <c r="AE66" s="316" t="s">
        <v>449</v>
      </c>
      <c r="AF66" s="316" t="s">
        <v>450</v>
      </c>
      <c r="AG66" s="316" t="s">
        <v>451</v>
      </c>
      <c r="AH66" s="316" t="s">
        <v>441</v>
      </c>
      <c r="AI66" s="619"/>
      <c r="AJ66" s="316" t="s">
        <v>449</v>
      </c>
      <c r="AK66" s="316" t="s">
        <v>450</v>
      </c>
      <c r="AL66" s="316" t="s">
        <v>451</v>
      </c>
      <c r="AM66" s="316" t="s">
        <v>441</v>
      </c>
      <c r="AN66" s="619"/>
      <c r="AO66" s="316" t="s">
        <v>449</v>
      </c>
      <c r="AP66" s="316" t="s">
        <v>450</v>
      </c>
      <c r="AQ66" s="316" t="s">
        <v>451</v>
      </c>
      <c r="AR66" s="316" t="s">
        <v>441</v>
      </c>
      <c r="AS66" s="619"/>
      <c r="AT66" s="316" t="s">
        <v>449</v>
      </c>
      <c r="AU66" s="316" t="s">
        <v>450</v>
      </c>
      <c r="AV66" s="316" t="s">
        <v>451</v>
      </c>
      <c r="AW66" s="316" t="s">
        <v>441</v>
      </c>
      <c r="AX66" s="619"/>
    </row>
    <row r="67" spans="2:50">
      <c r="B67" s="660" t="s">
        <v>452</v>
      </c>
      <c r="C67" s="317">
        <v>1</v>
      </c>
      <c r="D67" s="228"/>
      <c r="E67" s="183"/>
      <c r="F67" s="470"/>
      <c r="G67" s="471"/>
      <c r="H67" s="661" t="e">
        <f>AVERAGE(G67:G81)</f>
        <v>#DIV/0!</v>
      </c>
      <c r="I67" s="200" t="e">
        <f>AVERAGE(P67,U67,Z67,AE67,AJ67,AO67,AT67)</f>
        <v>#DIV/0!</v>
      </c>
      <c r="J67" s="200" t="e">
        <f>AVERAGE(Q67,V67,AA67,AF67,AK67,AP67,AU67)</f>
        <v>#DIV/0!</v>
      </c>
      <c r="K67" s="201" t="e">
        <f>AVERAGE(R67,W67,AB67,AG67,AL67,AQ67,AV67)</f>
        <v>#DIV/0!</v>
      </c>
      <c r="L67" s="600" t="str">
        <f>IFERROR(AVERAGE(K67:K81),"-")</f>
        <v>-</v>
      </c>
      <c r="M67" s="202" t="e">
        <f>RANK(K67, K$67:$K$81)</f>
        <v>#DIV/0!</v>
      </c>
      <c r="N67" s="619"/>
      <c r="O67" s="619"/>
      <c r="P67" s="183"/>
      <c r="Q67" s="183"/>
      <c r="R67" s="183"/>
      <c r="S67" s="317" t="e">
        <f>RANK(R67, R$67:R$81)</f>
        <v>#N/A</v>
      </c>
      <c r="T67" s="658" t="e">
        <f>AVERAGE(R67:R81)</f>
        <v>#DIV/0!</v>
      </c>
      <c r="U67" s="183"/>
      <c r="V67" s="183"/>
      <c r="W67" s="183"/>
      <c r="X67" s="520" t="e">
        <f t="shared" ref="X67:X81" si="51">RANK(W67, W$67:W$81)</f>
        <v>#N/A</v>
      </c>
      <c r="Y67" s="658" t="e">
        <f t="shared" ref="Y67" si="52">AVERAGE(W67:W81)</f>
        <v>#DIV/0!</v>
      </c>
      <c r="Z67" s="183"/>
      <c r="AA67" s="183"/>
      <c r="AB67" s="183"/>
      <c r="AC67" s="520" t="e">
        <f t="shared" ref="AC67:AC81" si="53">RANK(AB67, AB$67:AB$81)</f>
        <v>#N/A</v>
      </c>
      <c r="AD67" s="658" t="e">
        <f t="shared" ref="AD67" si="54">AVERAGE(AB67:AB81)</f>
        <v>#DIV/0!</v>
      </c>
      <c r="AE67" s="183"/>
      <c r="AF67" s="183"/>
      <c r="AG67" s="183"/>
      <c r="AH67" s="520" t="e">
        <f t="shared" ref="AH67:AH81" si="55">RANK(AG67, AG$67:AG$81)</f>
        <v>#N/A</v>
      </c>
      <c r="AI67" s="658" t="e">
        <f t="shared" ref="AI67" si="56">AVERAGE(AG67:AG81)</f>
        <v>#DIV/0!</v>
      </c>
      <c r="AJ67" s="183"/>
      <c r="AK67" s="183"/>
      <c r="AL67" s="183"/>
      <c r="AM67" s="520" t="e">
        <f t="shared" ref="AM67:AM81" si="57">RANK(AL67, AL$67:AL$81)</f>
        <v>#N/A</v>
      </c>
      <c r="AN67" s="658" t="e">
        <f t="shared" ref="AN67" si="58">AVERAGE(AL67:AL81)</f>
        <v>#DIV/0!</v>
      </c>
      <c r="AO67" s="183"/>
      <c r="AP67" s="183"/>
      <c r="AQ67" s="183"/>
      <c r="AR67" s="520" t="e">
        <f t="shared" ref="AR67:AR81" si="59">RANK(AQ67, AQ$67:AQ$81)</f>
        <v>#N/A</v>
      </c>
      <c r="AS67" s="658" t="e">
        <f t="shared" ref="AS67" si="60">AVERAGE(AQ67:AQ81)</f>
        <v>#DIV/0!</v>
      </c>
      <c r="AT67" s="183"/>
      <c r="AU67" s="183"/>
      <c r="AV67" s="183"/>
      <c r="AW67" s="520" t="e">
        <f t="shared" ref="AW67:AW81" si="61">RANK(AV67, AV$67:AV$81)</f>
        <v>#N/A</v>
      </c>
      <c r="AX67" s="658" t="e">
        <f t="shared" ref="AX67" si="62">AVERAGE(AV67:AV81)</f>
        <v>#DIV/0!</v>
      </c>
    </row>
    <row r="68" spans="2:50">
      <c r="B68" s="627"/>
      <c r="C68" s="317">
        <v>2</v>
      </c>
      <c r="D68" s="228"/>
      <c r="E68" s="183"/>
      <c r="F68" s="470"/>
      <c r="G68" s="471"/>
      <c r="H68" s="662"/>
      <c r="I68" s="200" t="e">
        <f t="shared" ref="I68:I75" si="63">AVERAGE(P68,U68,Z68,AE68,AJ68,AO68,AT68)</f>
        <v>#DIV/0!</v>
      </c>
      <c r="J68" s="200" t="e">
        <f t="shared" ref="J68:J75" si="64">AVERAGE(Q68,V68,AA68,AF68,AK68,AP68,AU68)</f>
        <v>#DIV/0!</v>
      </c>
      <c r="K68" s="201" t="e">
        <f t="shared" ref="K68:K75" si="65">AVERAGE(R68,W68,AB68,AG68,AL68,AQ68,AV68)</f>
        <v>#DIV/0!</v>
      </c>
      <c r="L68" s="601"/>
      <c r="M68" s="202" t="e">
        <f>RANK(K68, K$67:$K$81)</f>
        <v>#DIV/0!</v>
      </c>
      <c r="N68" s="619"/>
      <c r="O68" s="619"/>
      <c r="P68" s="183"/>
      <c r="Q68" s="183"/>
      <c r="R68" s="183"/>
      <c r="S68" s="349" t="e">
        <f t="shared" ref="S68:S81" si="66">RANK(R68, R$67:R$81)</f>
        <v>#N/A</v>
      </c>
      <c r="T68" s="658"/>
      <c r="U68" s="183"/>
      <c r="V68" s="183"/>
      <c r="W68" s="183"/>
      <c r="X68" s="520" t="e">
        <f t="shared" si="51"/>
        <v>#N/A</v>
      </c>
      <c r="Y68" s="658"/>
      <c r="Z68" s="183"/>
      <c r="AA68" s="183"/>
      <c r="AB68" s="183"/>
      <c r="AC68" s="520" t="e">
        <f t="shared" si="53"/>
        <v>#N/A</v>
      </c>
      <c r="AD68" s="658"/>
      <c r="AE68" s="183"/>
      <c r="AF68" s="183"/>
      <c r="AG68" s="183"/>
      <c r="AH68" s="520" t="e">
        <f t="shared" si="55"/>
        <v>#N/A</v>
      </c>
      <c r="AI68" s="658"/>
      <c r="AJ68" s="183"/>
      <c r="AK68" s="183"/>
      <c r="AL68" s="183"/>
      <c r="AM68" s="520" t="e">
        <f t="shared" si="57"/>
        <v>#N/A</v>
      </c>
      <c r="AN68" s="658"/>
      <c r="AO68" s="183"/>
      <c r="AP68" s="183"/>
      <c r="AQ68" s="183"/>
      <c r="AR68" s="520" t="e">
        <f t="shared" si="59"/>
        <v>#N/A</v>
      </c>
      <c r="AS68" s="658"/>
      <c r="AT68" s="183"/>
      <c r="AU68" s="183"/>
      <c r="AV68" s="183"/>
      <c r="AW68" s="520" t="e">
        <f t="shared" si="61"/>
        <v>#N/A</v>
      </c>
      <c r="AX68" s="658"/>
    </row>
    <row r="69" spans="2:50">
      <c r="B69" s="627"/>
      <c r="C69" s="317">
        <v>3</v>
      </c>
      <c r="D69" s="228"/>
      <c r="E69" s="183"/>
      <c r="F69" s="470"/>
      <c r="G69" s="471"/>
      <c r="H69" s="662"/>
      <c r="I69" s="200" t="e">
        <f t="shared" si="63"/>
        <v>#DIV/0!</v>
      </c>
      <c r="J69" s="200" t="e">
        <f t="shared" si="64"/>
        <v>#DIV/0!</v>
      </c>
      <c r="K69" s="201" t="e">
        <f t="shared" si="65"/>
        <v>#DIV/0!</v>
      </c>
      <c r="L69" s="601"/>
      <c r="M69" s="202" t="e">
        <f>RANK(K69, K$67:$K$81)</f>
        <v>#DIV/0!</v>
      </c>
      <c r="N69" s="619"/>
      <c r="O69" s="619"/>
      <c r="P69" s="183"/>
      <c r="Q69" s="183"/>
      <c r="R69" s="183"/>
      <c r="S69" s="349" t="e">
        <f t="shared" si="66"/>
        <v>#N/A</v>
      </c>
      <c r="T69" s="658"/>
      <c r="U69" s="183"/>
      <c r="V69" s="183"/>
      <c r="W69" s="183"/>
      <c r="X69" s="520" t="e">
        <f t="shared" si="51"/>
        <v>#N/A</v>
      </c>
      <c r="Y69" s="658"/>
      <c r="Z69" s="183"/>
      <c r="AA69" s="183"/>
      <c r="AB69" s="183"/>
      <c r="AC69" s="520" t="e">
        <f t="shared" si="53"/>
        <v>#N/A</v>
      </c>
      <c r="AD69" s="658"/>
      <c r="AE69" s="183"/>
      <c r="AF69" s="183"/>
      <c r="AG69" s="183"/>
      <c r="AH69" s="520" t="e">
        <f t="shared" si="55"/>
        <v>#N/A</v>
      </c>
      <c r="AI69" s="658"/>
      <c r="AJ69" s="183"/>
      <c r="AK69" s="183"/>
      <c r="AL69" s="183"/>
      <c r="AM69" s="520" t="e">
        <f t="shared" si="57"/>
        <v>#N/A</v>
      </c>
      <c r="AN69" s="658"/>
      <c r="AO69" s="183"/>
      <c r="AP69" s="183"/>
      <c r="AQ69" s="183"/>
      <c r="AR69" s="520" t="e">
        <f t="shared" si="59"/>
        <v>#N/A</v>
      </c>
      <c r="AS69" s="658"/>
      <c r="AT69" s="183"/>
      <c r="AU69" s="183"/>
      <c r="AV69" s="183"/>
      <c r="AW69" s="520" t="e">
        <f t="shared" si="61"/>
        <v>#N/A</v>
      </c>
      <c r="AX69" s="658"/>
    </row>
    <row r="70" spans="2:50">
      <c r="B70" s="627"/>
      <c r="C70" s="317">
        <v>4</v>
      </c>
      <c r="D70" s="228"/>
      <c r="E70" s="183"/>
      <c r="F70" s="470"/>
      <c r="G70" s="471"/>
      <c r="H70" s="662"/>
      <c r="I70" s="200" t="e">
        <f t="shared" si="63"/>
        <v>#DIV/0!</v>
      </c>
      <c r="J70" s="200" t="e">
        <f t="shared" si="64"/>
        <v>#DIV/0!</v>
      </c>
      <c r="K70" s="201" t="e">
        <f t="shared" si="65"/>
        <v>#DIV/0!</v>
      </c>
      <c r="L70" s="601"/>
      <c r="M70" s="202" t="e">
        <f>RANK(K70, K$67:$K$81)</f>
        <v>#DIV/0!</v>
      </c>
      <c r="N70" s="619"/>
      <c r="O70" s="619"/>
      <c r="P70" s="183"/>
      <c r="Q70" s="183"/>
      <c r="R70" s="183"/>
      <c r="S70" s="349" t="e">
        <f t="shared" si="66"/>
        <v>#N/A</v>
      </c>
      <c r="T70" s="658"/>
      <c r="U70" s="183"/>
      <c r="V70" s="183"/>
      <c r="W70" s="183"/>
      <c r="X70" s="520" t="e">
        <f t="shared" si="51"/>
        <v>#N/A</v>
      </c>
      <c r="Y70" s="658"/>
      <c r="Z70" s="183"/>
      <c r="AA70" s="183"/>
      <c r="AB70" s="183"/>
      <c r="AC70" s="520" t="e">
        <f t="shared" si="53"/>
        <v>#N/A</v>
      </c>
      <c r="AD70" s="658"/>
      <c r="AE70" s="183"/>
      <c r="AF70" s="183"/>
      <c r="AG70" s="183"/>
      <c r="AH70" s="520" t="e">
        <f t="shared" si="55"/>
        <v>#N/A</v>
      </c>
      <c r="AI70" s="658"/>
      <c r="AJ70" s="183"/>
      <c r="AK70" s="183"/>
      <c r="AL70" s="183"/>
      <c r="AM70" s="520" t="e">
        <f t="shared" si="57"/>
        <v>#N/A</v>
      </c>
      <c r="AN70" s="658"/>
      <c r="AO70" s="183"/>
      <c r="AP70" s="183"/>
      <c r="AQ70" s="183"/>
      <c r="AR70" s="520" t="e">
        <f t="shared" si="59"/>
        <v>#N/A</v>
      </c>
      <c r="AS70" s="658"/>
      <c r="AT70" s="183"/>
      <c r="AU70" s="183"/>
      <c r="AV70" s="183"/>
      <c r="AW70" s="520" t="e">
        <f t="shared" si="61"/>
        <v>#N/A</v>
      </c>
      <c r="AX70" s="658"/>
    </row>
    <row r="71" spans="2:50">
      <c r="B71" s="627"/>
      <c r="C71" s="317">
        <v>5</v>
      </c>
      <c r="D71" s="228"/>
      <c r="E71" s="183"/>
      <c r="F71" s="470"/>
      <c r="G71" s="471"/>
      <c r="H71" s="662"/>
      <c r="I71" s="200" t="e">
        <f t="shared" si="63"/>
        <v>#DIV/0!</v>
      </c>
      <c r="J71" s="200" t="e">
        <f t="shared" si="64"/>
        <v>#DIV/0!</v>
      </c>
      <c r="K71" s="201" t="e">
        <f t="shared" si="65"/>
        <v>#DIV/0!</v>
      </c>
      <c r="L71" s="601"/>
      <c r="M71" s="202" t="e">
        <f>RANK(K71, K$67:$K$81)</f>
        <v>#DIV/0!</v>
      </c>
      <c r="N71" s="619"/>
      <c r="O71" s="619"/>
      <c r="P71" s="183"/>
      <c r="Q71" s="183"/>
      <c r="R71" s="183"/>
      <c r="S71" s="349" t="e">
        <f t="shared" si="66"/>
        <v>#N/A</v>
      </c>
      <c r="T71" s="658"/>
      <c r="U71" s="183"/>
      <c r="V71" s="183"/>
      <c r="W71" s="183"/>
      <c r="X71" s="520" t="e">
        <f t="shared" si="51"/>
        <v>#N/A</v>
      </c>
      <c r="Y71" s="658"/>
      <c r="Z71" s="183"/>
      <c r="AA71" s="183"/>
      <c r="AB71" s="183"/>
      <c r="AC71" s="520" t="e">
        <f t="shared" si="53"/>
        <v>#N/A</v>
      </c>
      <c r="AD71" s="658"/>
      <c r="AE71" s="183"/>
      <c r="AF71" s="183"/>
      <c r="AG71" s="183"/>
      <c r="AH71" s="520" t="e">
        <f t="shared" si="55"/>
        <v>#N/A</v>
      </c>
      <c r="AI71" s="658"/>
      <c r="AJ71" s="183"/>
      <c r="AK71" s="183"/>
      <c r="AL71" s="183"/>
      <c r="AM71" s="520" t="e">
        <f t="shared" si="57"/>
        <v>#N/A</v>
      </c>
      <c r="AN71" s="658"/>
      <c r="AO71" s="183"/>
      <c r="AP71" s="183"/>
      <c r="AQ71" s="183"/>
      <c r="AR71" s="520" t="e">
        <f t="shared" si="59"/>
        <v>#N/A</v>
      </c>
      <c r="AS71" s="658"/>
      <c r="AT71" s="183"/>
      <c r="AU71" s="183"/>
      <c r="AV71" s="183"/>
      <c r="AW71" s="520" t="e">
        <f t="shared" si="61"/>
        <v>#N/A</v>
      </c>
      <c r="AX71" s="658"/>
    </row>
    <row r="72" spans="2:50">
      <c r="B72" s="627"/>
      <c r="C72" s="317">
        <v>6</v>
      </c>
      <c r="D72" s="228"/>
      <c r="E72" s="183"/>
      <c r="F72" s="470"/>
      <c r="G72" s="471"/>
      <c r="H72" s="662"/>
      <c r="I72" s="200" t="e">
        <f t="shared" si="63"/>
        <v>#DIV/0!</v>
      </c>
      <c r="J72" s="200" t="e">
        <f t="shared" si="64"/>
        <v>#DIV/0!</v>
      </c>
      <c r="K72" s="201" t="e">
        <f t="shared" si="65"/>
        <v>#DIV/0!</v>
      </c>
      <c r="L72" s="601"/>
      <c r="M72" s="202" t="e">
        <f>RANK(K72, K$67:$K$81)</f>
        <v>#DIV/0!</v>
      </c>
      <c r="N72" s="619"/>
      <c r="O72" s="619"/>
      <c r="P72" s="183"/>
      <c r="Q72" s="183"/>
      <c r="R72" s="183"/>
      <c r="S72" s="349" t="e">
        <f t="shared" si="66"/>
        <v>#N/A</v>
      </c>
      <c r="T72" s="658"/>
      <c r="U72" s="183"/>
      <c r="V72" s="183"/>
      <c r="W72" s="183"/>
      <c r="X72" s="520" t="e">
        <f t="shared" si="51"/>
        <v>#N/A</v>
      </c>
      <c r="Y72" s="658"/>
      <c r="Z72" s="183"/>
      <c r="AA72" s="183"/>
      <c r="AB72" s="183"/>
      <c r="AC72" s="520" t="e">
        <f t="shared" si="53"/>
        <v>#N/A</v>
      </c>
      <c r="AD72" s="658"/>
      <c r="AE72" s="183"/>
      <c r="AF72" s="183"/>
      <c r="AG72" s="183"/>
      <c r="AH72" s="520" t="e">
        <f t="shared" si="55"/>
        <v>#N/A</v>
      </c>
      <c r="AI72" s="658"/>
      <c r="AJ72" s="183"/>
      <c r="AK72" s="183"/>
      <c r="AL72" s="183"/>
      <c r="AM72" s="520" t="e">
        <f t="shared" si="57"/>
        <v>#N/A</v>
      </c>
      <c r="AN72" s="658"/>
      <c r="AO72" s="183"/>
      <c r="AP72" s="183"/>
      <c r="AQ72" s="183"/>
      <c r="AR72" s="520" t="e">
        <f t="shared" si="59"/>
        <v>#N/A</v>
      </c>
      <c r="AS72" s="658"/>
      <c r="AT72" s="183"/>
      <c r="AU72" s="183"/>
      <c r="AV72" s="183"/>
      <c r="AW72" s="520" t="e">
        <f t="shared" si="61"/>
        <v>#N/A</v>
      </c>
      <c r="AX72" s="658"/>
    </row>
    <row r="73" spans="2:50">
      <c r="B73" s="627"/>
      <c r="C73" s="317">
        <v>7</v>
      </c>
      <c r="D73" s="228"/>
      <c r="E73" s="183"/>
      <c r="F73" s="470"/>
      <c r="G73" s="471"/>
      <c r="H73" s="662"/>
      <c r="I73" s="200" t="e">
        <f t="shared" si="63"/>
        <v>#DIV/0!</v>
      </c>
      <c r="J73" s="200" t="e">
        <f t="shared" si="64"/>
        <v>#DIV/0!</v>
      </c>
      <c r="K73" s="201" t="e">
        <f t="shared" si="65"/>
        <v>#DIV/0!</v>
      </c>
      <c r="L73" s="601"/>
      <c r="M73" s="202" t="e">
        <f>RANK(K73, K$67:$K$81)</f>
        <v>#DIV/0!</v>
      </c>
      <c r="N73" s="619"/>
      <c r="O73" s="619"/>
      <c r="P73" s="183"/>
      <c r="Q73" s="183"/>
      <c r="R73" s="183"/>
      <c r="S73" s="349" t="e">
        <f t="shared" si="66"/>
        <v>#N/A</v>
      </c>
      <c r="T73" s="658"/>
      <c r="U73" s="183"/>
      <c r="V73" s="183"/>
      <c r="W73" s="183"/>
      <c r="X73" s="520" t="e">
        <f t="shared" si="51"/>
        <v>#N/A</v>
      </c>
      <c r="Y73" s="658"/>
      <c r="Z73" s="183"/>
      <c r="AA73" s="183"/>
      <c r="AB73" s="183"/>
      <c r="AC73" s="520" t="e">
        <f t="shared" si="53"/>
        <v>#N/A</v>
      </c>
      <c r="AD73" s="658"/>
      <c r="AE73" s="183"/>
      <c r="AF73" s="183"/>
      <c r="AG73" s="183"/>
      <c r="AH73" s="520" t="e">
        <f t="shared" si="55"/>
        <v>#N/A</v>
      </c>
      <c r="AI73" s="658"/>
      <c r="AJ73" s="183"/>
      <c r="AK73" s="183"/>
      <c r="AL73" s="183"/>
      <c r="AM73" s="520" t="e">
        <f t="shared" si="57"/>
        <v>#N/A</v>
      </c>
      <c r="AN73" s="658"/>
      <c r="AO73" s="183"/>
      <c r="AP73" s="183"/>
      <c r="AQ73" s="183"/>
      <c r="AR73" s="520" t="e">
        <f t="shared" si="59"/>
        <v>#N/A</v>
      </c>
      <c r="AS73" s="658"/>
      <c r="AT73" s="183"/>
      <c r="AU73" s="183"/>
      <c r="AV73" s="183"/>
      <c r="AW73" s="520" t="e">
        <f t="shared" si="61"/>
        <v>#N/A</v>
      </c>
      <c r="AX73" s="658"/>
    </row>
    <row r="74" spans="2:50">
      <c r="B74" s="627"/>
      <c r="C74" s="317">
        <v>8</v>
      </c>
      <c r="D74" s="228"/>
      <c r="E74" s="183"/>
      <c r="F74" s="470"/>
      <c r="G74" s="471"/>
      <c r="H74" s="662"/>
      <c r="I74" s="200" t="e">
        <f t="shared" si="63"/>
        <v>#DIV/0!</v>
      </c>
      <c r="J74" s="200" t="e">
        <f t="shared" si="64"/>
        <v>#DIV/0!</v>
      </c>
      <c r="K74" s="201" t="e">
        <f t="shared" si="65"/>
        <v>#DIV/0!</v>
      </c>
      <c r="L74" s="601"/>
      <c r="M74" s="202" t="e">
        <f>RANK(K74, K$67:$K$81)</f>
        <v>#DIV/0!</v>
      </c>
      <c r="N74" s="619"/>
      <c r="O74" s="619"/>
      <c r="P74" s="183"/>
      <c r="Q74" s="183"/>
      <c r="R74" s="183"/>
      <c r="S74" s="349" t="e">
        <f t="shared" si="66"/>
        <v>#N/A</v>
      </c>
      <c r="T74" s="658"/>
      <c r="U74" s="183"/>
      <c r="V74" s="183"/>
      <c r="W74" s="183"/>
      <c r="X74" s="520" t="e">
        <f t="shared" si="51"/>
        <v>#N/A</v>
      </c>
      <c r="Y74" s="658"/>
      <c r="Z74" s="183"/>
      <c r="AA74" s="183"/>
      <c r="AB74" s="183"/>
      <c r="AC74" s="520" t="e">
        <f t="shared" si="53"/>
        <v>#N/A</v>
      </c>
      <c r="AD74" s="658"/>
      <c r="AE74" s="183"/>
      <c r="AF74" s="183"/>
      <c r="AG74" s="183"/>
      <c r="AH74" s="520" t="e">
        <f t="shared" si="55"/>
        <v>#N/A</v>
      </c>
      <c r="AI74" s="658"/>
      <c r="AJ74" s="183"/>
      <c r="AK74" s="183"/>
      <c r="AL74" s="183"/>
      <c r="AM74" s="520" t="e">
        <f t="shared" si="57"/>
        <v>#N/A</v>
      </c>
      <c r="AN74" s="658"/>
      <c r="AO74" s="183"/>
      <c r="AP74" s="183"/>
      <c r="AQ74" s="183"/>
      <c r="AR74" s="520" t="e">
        <f t="shared" si="59"/>
        <v>#N/A</v>
      </c>
      <c r="AS74" s="658"/>
      <c r="AT74" s="183"/>
      <c r="AU74" s="183"/>
      <c r="AV74" s="183"/>
      <c r="AW74" s="520" t="e">
        <f t="shared" si="61"/>
        <v>#N/A</v>
      </c>
      <c r="AX74" s="658"/>
    </row>
    <row r="75" spans="2:50">
      <c r="B75" s="627"/>
      <c r="C75" s="317">
        <v>9</v>
      </c>
      <c r="D75" s="228"/>
      <c r="E75" s="183"/>
      <c r="F75" s="470"/>
      <c r="G75" s="471"/>
      <c r="H75" s="662"/>
      <c r="I75" s="200" t="e">
        <f t="shared" si="63"/>
        <v>#DIV/0!</v>
      </c>
      <c r="J75" s="200" t="e">
        <f t="shared" si="64"/>
        <v>#DIV/0!</v>
      </c>
      <c r="K75" s="201" t="e">
        <f t="shared" si="65"/>
        <v>#DIV/0!</v>
      </c>
      <c r="L75" s="601"/>
      <c r="M75" s="202" t="e">
        <f>RANK(K75, K$67:$K$81)</f>
        <v>#DIV/0!</v>
      </c>
      <c r="N75" s="619"/>
      <c r="O75" s="619"/>
      <c r="P75" s="183"/>
      <c r="Q75" s="183"/>
      <c r="R75" s="183"/>
      <c r="S75" s="349" t="e">
        <f t="shared" si="66"/>
        <v>#N/A</v>
      </c>
      <c r="T75" s="658"/>
      <c r="U75" s="183"/>
      <c r="V75" s="183"/>
      <c r="W75" s="183"/>
      <c r="X75" s="520" t="e">
        <f t="shared" si="51"/>
        <v>#N/A</v>
      </c>
      <c r="Y75" s="658"/>
      <c r="Z75" s="183"/>
      <c r="AA75" s="183"/>
      <c r="AB75" s="183"/>
      <c r="AC75" s="520" t="e">
        <f t="shared" si="53"/>
        <v>#N/A</v>
      </c>
      <c r="AD75" s="658"/>
      <c r="AE75" s="183"/>
      <c r="AF75" s="183"/>
      <c r="AG75" s="183"/>
      <c r="AH75" s="520" t="e">
        <f t="shared" si="55"/>
        <v>#N/A</v>
      </c>
      <c r="AI75" s="658"/>
      <c r="AJ75" s="183"/>
      <c r="AK75" s="183"/>
      <c r="AL75" s="183"/>
      <c r="AM75" s="520" t="e">
        <f t="shared" si="57"/>
        <v>#N/A</v>
      </c>
      <c r="AN75" s="658"/>
      <c r="AO75" s="183"/>
      <c r="AP75" s="183"/>
      <c r="AQ75" s="183"/>
      <c r="AR75" s="520" t="e">
        <f t="shared" si="59"/>
        <v>#N/A</v>
      </c>
      <c r="AS75" s="658"/>
      <c r="AT75" s="183"/>
      <c r="AU75" s="183"/>
      <c r="AV75" s="183"/>
      <c r="AW75" s="520" t="e">
        <f t="shared" si="61"/>
        <v>#N/A</v>
      </c>
      <c r="AX75" s="658"/>
    </row>
    <row r="76" spans="2:50">
      <c r="B76" s="627"/>
      <c r="C76" s="317">
        <v>10</v>
      </c>
      <c r="D76" s="228"/>
      <c r="E76" s="183"/>
      <c r="F76" s="470"/>
      <c r="G76" s="471"/>
      <c r="H76" s="662"/>
      <c r="I76" s="200"/>
      <c r="J76" s="200"/>
      <c r="K76" s="201"/>
      <c r="L76" s="601"/>
      <c r="M76" s="202" t="e">
        <f>RANK(K76, K$67:$K$81)</f>
        <v>#DIV/0!</v>
      </c>
      <c r="N76" s="619"/>
      <c r="O76" s="619"/>
      <c r="P76" s="183"/>
      <c r="Q76" s="183"/>
      <c r="R76" s="183"/>
      <c r="S76" s="349" t="e">
        <f t="shared" si="66"/>
        <v>#N/A</v>
      </c>
      <c r="T76" s="658"/>
      <c r="U76" s="183"/>
      <c r="V76" s="183"/>
      <c r="W76" s="183"/>
      <c r="X76" s="520" t="e">
        <f t="shared" si="51"/>
        <v>#N/A</v>
      </c>
      <c r="Y76" s="658"/>
      <c r="Z76" s="183"/>
      <c r="AA76" s="183"/>
      <c r="AB76" s="183"/>
      <c r="AC76" s="520" t="e">
        <f t="shared" si="53"/>
        <v>#N/A</v>
      </c>
      <c r="AD76" s="658"/>
      <c r="AE76" s="183"/>
      <c r="AF76" s="183"/>
      <c r="AG76" s="183"/>
      <c r="AH76" s="520" t="e">
        <f t="shared" si="55"/>
        <v>#N/A</v>
      </c>
      <c r="AI76" s="658"/>
      <c r="AJ76" s="183"/>
      <c r="AK76" s="183"/>
      <c r="AL76" s="183"/>
      <c r="AM76" s="520" t="e">
        <f t="shared" si="57"/>
        <v>#N/A</v>
      </c>
      <c r="AN76" s="658"/>
      <c r="AO76" s="183"/>
      <c r="AP76" s="183"/>
      <c r="AQ76" s="183"/>
      <c r="AR76" s="520" t="e">
        <f t="shared" si="59"/>
        <v>#N/A</v>
      </c>
      <c r="AS76" s="658"/>
      <c r="AT76" s="183"/>
      <c r="AU76" s="183"/>
      <c r="AV76" s="183"/>
      <c r="AW76" s="520" t="e">
        <f t="shared" si="61"/>
        <v>#N/A</v>
      </c>
      <c r="AX76" s="658"/>
    </row>
    <row r="77" spans="2:50">
      <c r="B77" s="627"/>
      <c r="C77" s="317">
        <v>11</v>
      </c>
      <c r="D77" s="228"/>
      <c r="E77" s="183"/>
      <c r="F77" s="470"/>
      <c r="G77" s="471"/>
      <c r="H77" s="662"/>
      <c r="I77" s="200"/>
      <c r="J77" s="200"/>
      <c r="K77" s="201"/>
      <c r="L77" s="601"/>
      <c r="M77" s="202" t="e">
        <f>RANK(K77, K$67:$K$81)</f>
        <v>#DIV/0!</v>
      </c>
      <c r="N77" s="619"/>
      <c r="O77" s="619"/>
      <c r="P77" s="183"/>
      <c r="Q77" s="183"/>
      <c r="R77" s="183"/>
      <c r="S77" s="349" t="e">
        <f t="shared" si="66"/>
        <v>#N/A</v>
      </c>
      <c r="T77" s="658"/>
      <c r="U77" s="183"/>
      <c r="V77" s="183"/>
      <c r="W77" s="183"/>
      <c r="X77" s="520" t="e">
        <f t="shared" si="51"/>
        <v>#N/A</v>
      </c>
      <c r="Y77" s="658"/>
      <c r="Z77" s="183"/>
      <c r="AA77" s="183"/>
      <c r="AB77" s="183"/>
      <c r="AC77" s="520" t="e">
        <f t="shared" si="53"/>
        <v>#N/A</v>
      </c>
      <c r="AD77" s="658"/>
      <c r="AE77" s="183"/>
      <c r="AF77" s="183"/>
      <c r="AG77" s="183"/>
      <c r="AH77" s="520" t="e">
        <f t="shared" si="55"/>
        <v>#N/A</v>
      </c>
      <c r="AI77" s="658"/>
      <c r="AJ77" s="183"/>
      <c r="AK77" s="183"/>
      <c r="AL77" s="183"/>
      <c r="AM77" s="520" t="e">
        <f t="shared" si="57"/>
        <v>#N/A</v>
      </c>
      <c r="AN77" s="658"/>
      <c r="AO77" s="183"/>
      <c r="AP77" s="183"/>
      <c r="AQ77" s="183"/>
      <c r="AR77" s="520" t="e">
        <f t="shared" si="59"/>
        <v>#N/A</v>
      </c>
      <c r="AS77" s="658"/>
      <c r="AT77" s="183"/>
      <c r="AU77" s="183"/>
      <c r="AV77" s="183"/>
      <c r="AW77" s="520" t="e">
        <f t="shared" si="61"/>
        <v>#N/A</v>
      </c>
      <c r="AX77" s="658"/>
    </row>
    <row r="78" spans="2:50">
      <c r="B78" s="627"/>
      <c r="C78" s="317">
        <v>12</v>
      </c>
      <c r="D78" s="228"/>
      <c r="E78" s="183"/>
      <c r="F78" s="470"/>
      <c r="G78" s="471"/>
      <c r="H78" s="662"/>
      <c r="I78" s="203"/>
      <c r="J78" s="203"/>
      <c r="K78" s="203"/>
      <c r="L78" s="601"/>
      <c r="M78" s="202" t="e">
        <f>RANK(K78, K$67:$K$81)</f>
        <v>#DIV/0!</v>
      </c>
      <c r="N78" s="619"/>
      <c r="O78" s="619"/>
      <c r="P78" s="183"/>
      <c r="Q78" s="183"/>
      <c r="R78" s="183"/>
      <c r="S78" s="349" t="e">
        <f t="shared" si="66"/>
        <v>#N/A</v>
      </c>
      <c r="T78" s="658"/>
      <c r="U78" s="183"/>
      <c r="V78" s="183"/>
      <c r="W78" s="183"/>
      <c r="X78" s="520" t="e">
        <f t="shared" si="51"/>
        <v>#N/A</v>
      </c>
      <c r="Y78" s="658"/>
      <c r="Z78" s="183"/>
      <c r="AA78" s="183"/>
      <c r="AB78" s="183"/>
      <c r="AC78" s="520" t="e">
        <f t="shared" si="53"/>
        <v>#N/A</v>
      </c>
      <c r="AD78" s="658"/>
      <c r="AE78" s="183"/>
      <c r="AF78" s="183"/>
      <c r="AG78" s="183"/>
      <c r="AH78" s="520" t="e">
        <f t="shared" si="55"/>
        <v>#N/A</v>
      </c>
      <c r="AI78" s="658"/>
      <c r="AJ78" s="183"/>
      <c r="AK78" s="183"/>
      <c r="AL78" s="183"/>
      <c r="AM78" s="520" t="e">
        <f t="shared" si="57"/>
        <v>#N/A</v>
      </c>
      <c r="AN78" s="658"/>
      <c r="AO78" s="183"/>
      <c r="AP78" s="183"/>
      <c r="AQ78" s="183"/>
      <c r="AR78" s="520" t="e">
        <f t="shared" si="59"/>
        <v>#N/A</v>
      </c>
      <c r="AS78" s="658"/>
      <c r="AT78" s="183"/>
      <c r="AU78" s="183"/>
      <c r="AV78" s="183"/>
      <c r="AW78" s="520" t="e">
        <f t="shared" si="61"/>
        <v>#N/A</v>
      </c>
      <c r="AX78" s="658"/>
    </row>
    <row r="79" spans="2:50">
      <c r="B79" s="627"/>
      <c r="C79" s="317">
        <v>13</v>
      </c>
      <c r="D79" s="228"/>
      <c r="E79" s="183"/>
      <c r="F79" s="470"/>
      <c r="G79" s="471"/>
      <c r="H79" s="662"/>
      <c r="I79" s="203"/>
      <c r="J79" s="203"/>
      <c r="K79" s="203"/>
      <c r="L79" s="601"/>
      <c r="M79" s="202" t="e">
        <f>RANK(K79, K$67:$K$81)</f>
        <v>#DIV/0!</v>
      </c>
      <c r="N79" s="619"/>
      <c r="O79" s="619"/>
      <c r="P79" s="183"/>
      <c r="Q79" s="183"/>
      <c r="R79" s="183"/>
      <c r="S79" s="349" t="e">
        <f t="shared" si="66"/>
        <v>#N/A</v>
      </c>
      <c r="T79" s="658"/>
      <c r="U79" s="183"/>
      <c r="V79" s="183"/>
      <c r="W79" s="183"/>
      <c r="X79" s="520" t="e">
        <f t="shared" si="51"/>
        <v>#N/A</v>
      </c>
      <c r="Y79" s="658"/>
      <c r="Z79" s="183"/>
      <c r="AA79" s="183"/>
      <c r="AB79" s="183"/>
      <c r="AC79" s="520" t="e">
        <f t="shared" si="53"/>
        <v>#N/A</v>
      </c>
      <c r="AD79" s="658"/>
      <c r="AE79" s="183"/>
      <c r="AF79" s="183"/>
      <c r="AG79" s="183"/>
      <c r="AH79" s="520" t="e">
        <f t="shared" si="55"/>
        <v>#N/A</v>
      </c>
      <c r="AI79" s="658"/>
      <c r="AJ79" s="183"/>
      <c r="AK79" s="183"/>
      <c r="AL79" s="183"/>
      <c r="AM79" s="520" t="e">
        <f t="shared" si="57"/>
        <v>#N/A</v>
      </c>
      <c r="AN79" s="658"/>
      <c r="AO79" s="183"/>
      <c r="AP79" s="183"/>
      <c r="AQ79" s="183"/>
      <c r="AR79" s="520" t="e">
        <f t="shared" si="59"/>
        <v>#N/A</v>
      </c>
      <c r="AS79" s="658"/>
      <c r="AT79" s="183"/>
      <c r="AU79" s="183"/>
      <c r="AV79" s="183"/>
      <c r="AW79" s="520" t="e">
        <f t="shared" si="61"/>
        <v>#N/A</v>
      </c>
      <c r="AX79" s="658"/>
    </row>
    <row r="80" spans="2:50">
      <c r="B80" s="627"/>
      <c r="C80" s="317">
        <v>14</v>
      </c>
      <c r="D80" s="228"/>
      <c r="E80" s="183"/>
      <c r="F80" s="470"/>
      <c r="G80" s="471"/>
      <c r="H80" s="662"/>
      <c r="I80" s="203"/>
      <c r="J80" s="203"/>
      <c r="K80" s="203"/>
      <c r="L80" s="601"/>
      <c r="M80" s="202" t="e">
        <f>RANK(K80, K$67:$K$81)</f>
        <v>#DIV/0!</v>
      </c>
      <c r="N80" s="619"/>
      <c r="O80" s="619"/>
      <c r="P80" s="183"/>
      <c r="Q80" s="183"/>
      <c r="R80" s="183"/>
      <c r="S80" s="349" t="e">
        <f t="shared" si="66"/>
        <v>#N/A</v>
      </c>
      <c r="T80" s="658"/>
      <c r="U80" s="183"/>
      <c r="V80" s="183"/>
      <c r="W80" s="183"/>
      <c r="X80" s="520" t="e">
        <f t="shared" si="51"/>
        <v>#N/A</v>
      </c>
      <c r="Y80" s="658"/>
      <c r="Z80" s="183"/>
      <c r="AA80" s="183"/>
      <c r="AB80" s="183"/>
      <c r="AC80" s="520" t="e">
        <f t="shared" si="53"/>
        <v>#N/A</v>
      </c>
      <c r="AD80" s="658"/>
      <c r="AE80" s="183"/>
      <c r="AF80" s="183"/>
      <c r="AG80" s="183"/>
      <c r="AH80" s="520" t="e">
        <f t="shared" si="55"/>
        <v>#N/A</v>
      </c>
      <c r="AI80" s="658"/>
      <c r="AJ80" s="183"/>
      <c r="AK80" s="183"/>
      <c r="AL80" s="183"/>
      <c r="AM80" s="520" t="e">
        <f t="shared" si="57"/>
        <v>#N/A</v>
      </c>
      <c r="AN80" s="658"/>
      <c r="AO80" s="183"/>
      <c r="AP80" s="183"/>
      <c r="AQ80" s="183"/>
      <c r="AR80" s="520" t="e">
        <f t="shared" si="59"/>
        <v>#N/A</v>
      </c>
      <c r="AS80" s="658"/>
      <c r="AT80" s="183"/>
      <c r="AU80" s="183"/>
      <c r="AV80" s="183"/>
      <c r="AW80" s="520" t="e">
        <f t="shared" si="61"/>
        <v>#N/A</v>
      </c>
      <c r="AX80" s="658"/>
    </row>
    <row r="81" spans="2:50">
      <c r="B81" s="627"/>
      <c r="C81" s="317">
        <v>15</v>
      </c>
      <c r="D81" s="228"/>
      <c r="E81" s="183"/>
      <c r="F81" s="470"/>
      <c r="G81" s="471"/>
      <c r="H81" s="663"/>
      <c r="I81" s="203"/>
      <c r="J81" s="203"/>
      <c r="K81" s="203"/>
      <c r="L81" s="602"/>
      <c r="M81" s="202" t="e">
        <f>RANK(K81, K$67:$K$81)</f>
        <v>#DIV/0!</v>
      </c>
      <c r="N81" s="619"/>
      <c r="O81" s="619"/>
      <c r="P81" s="183"/>
      <c r="Q81" s="183"/>
      <c r="R81" s="183"/>
      <c r="S81" s="349" t="e">
        <f t="shared" si="66"/>
        <v>#N/A</v>
      </c>
      <c r="T81" s="658"/>
      <c r="U81" s="183"/>
      <c r="V81" s="183"/>
      <c r="W81" s="183"/>
      <c r="X81" s="520" t="e">
        <f t="shared" si="51"/>
        <v>#N/A</v>
      </c>
      <c r="Y81" s="658"/>
      <c r="Z81" s="183"/>
      <c r="AA81" s="183"/>
      <c r="AB81" s="183"/>
      <c r="AC81" s="520" t="e">
        <f t="shared" si="53"/>
        <v>#N/A</v>
      </c>
      <c r="AD81" s="658"/>
      <c r="AE81" s="183"/>
      <c r="AF81" s="183"/>
      <c r="AG81" s="183"/>
      <c r="AH81" s="520" t="e">
        <f t="shared" si="55"/>
        <v>#N/A</v>
      </c>
      <c r="AI81" s="658"/>
      <c r="AJ81" s="183"/>
      <c r="AK81" s="183"/>
      <c r="AL81" s="183"/>
      <c r="AM81" s="520" t="e">
        <f t="shared" si="57"/>
        <v>#N/A</v>
      </c>
      <c r="AN81" s="658"/>
      <c r="AO81" s="183"/>
      <c r="AP81" s="183"/>
      <c r="AQ81" s="183"/>
      <c r="AR81" s="520" t="e">
        <f t="shared" si="59"/>
        <v>#N/A</v>
      </c>
      <c r="AS81" s="658"/>
      <c r="AT81" s="183"/>
      <c r="AU81" s="183"/>
      <c r="AV81" s="183"/>
      <c r="AW81" s="520" t="e">
        <f t="shared" si="61"/>
        <v>#N/A</v>
      </c>
      <c r="AX81" s="658"/>
    </row>
    <row r="82" spans="2:50" ht="15.5">
      <c r="B82" s="631" t="s">
        <v>163</v>
      </c>
      <c r="C82" s="632"/>
      <c r="D82" s="632"/>
      <c r="E82" s="632"/>
      <c r="F82" s="632"/>
      <c r="G82" s="632"/>
      <c r="H82" s="633"/>
      <c r="I82" s="209"/>
      <c r="J82" s="209"/>
      <c r="K82" s="209"/>
      <c r="L82" s="209"/>
      <c r="M82" s="208"/>
      <c r="N82" s="620" t="s">
        <v>156</v>
      </c>
      <c r="O82" s="620" t="s">
        <v>105</v>
      </c>
      <c r="P82" s="626">
        <f>P62+7</f>
        <v>46014</v>
      </c>
      <c r="Q82" s="627"/>
      <c r="R82" s="627"/>
      <c r="S82" s="627"/>
      <c r="T82" s="627"/>
      <c r="U82" s="623">
        <f>P82+1</f>
        <v>46015</v>
      </c>
      <c r="V82" s="624"/>
      <c r="W82" s="624"/>
      <c r="X82" s="624"/>
      <c r="Y82" s="625"/>
      <c r="Z82" s="623">
        <f>U82+1</f>
        <v>46016</v>
      </c>
      <c r="AA82" s="624"/>
      <c r="AB82" s="624"/>
      <c r="AC82" s="624"/>
      <c r="AD82" s="625"/>
      <c r="AE82" s="623">
        <f>Z82+1</f>
        <v>46017</v>
      </c>
      <c r="AF82" s="624"/>
      <c r="AG82" s="624"/>
      <c r="AH82" s="624"/>
      <c r="AI82" s="625"/>
      <c r="AJ82" s="623">
        <f>AE82+1</f>
        <v>46018</v>
      </c>
      <c r="AK82" s="624"/>
      <c r="AL82" s="624"/>
      <c r="AM82" s="624"/>
      <c r="AN82" s="625"/>
      <c r="AO82" s="623">
        <f>AJ82+1</f>
        <v>46019</v>
      </c>
      <c r="AP82" s="624"/>
      <c r="AQ82" s="624"/>
      <c r="AR82" s="624"/>
      <c r="AS82" s="625"/>
      <c r="AT82" s="623">
        <f>AO82+1</f>
        <v>46020</v>
      </c>
      <c r="AU82" s="624"/>
      <c r="AV82" s="624"/>
      <c r="AW82" s="624"/>
      <c r="AX82" s="625"/>
    </row>
    <row r="83" spans="2:50" ht="15.5">
      <c r="B83" s="634"/>
      <c r="C83" s="634"/>
      <c r="D83" s="634"/>
      <c r="E83" s="634"/>
      <c r="F83" s="634"/>
      <c r="G83" s="634"/>
      <c r="H83" s="634"/>
      <c r="I83" s="206"/>
      <c r="J83" s="206"/>
      <c r="K83" s="206"/>
      <c r="L83" s="206"/>
      <c r="M83" s="207"/>
      <c r="N83" s="622"/>
      <c r="O83" s="622"/>
      <c r="P83" s="626" t="s">
        <v>336</v>
      </c>
      <c r="Q83" s="627"/>
      <c r="R83" s="627"/>
      <c r="S83" s="627"/>
      <c r="T83" s="627"/>
      <c r="U83" s="626" t="s">
        <v>337</v>
      </c>
      <c r="V83" s="627"/>
      <c r="W83" s="627"/>
      <c r="X83" s="627"/>
      <c r="Y83" s="627"/>
      <c r="Z83" s="626" t="s">
        <v>338</v>
      </c>
      <c r="AA83" s="627"/>
      <c r="AB83" s="627"/>
      <c r="AC83" s="627"/>
      <c r="AD83" s="627"/>
      <c r="AE83" s="626" t="s">
        <v>339</v>
      </c>
      <c r="AF83" s="627"/>
      <c r="AG83" s="627"/>
      <c r="AH83" s="627"/>
      <c r="AI83" s="627"/>
      <c r="AJ83" s="626" t="s">
        <v>340</v>
      </c>
      <c r="AK83" s="627"/>
      <c r="AL83" s="627"/>
      <c r="AM83" s="627"/>
      <c r="AN83" s="627"/>
      <c r="AO83" s="626" t="s">
        <v>341</v>
      </c>
      <c r="AP83" s="627"/>
      <c r="AQ83" s="627"/>
      <c r="AR83" s="627"/>
      <c r="AS83" s="627"/>
      <c r="AT83" s="626" t="s">
        <v>342</v>
      </c>
      <c r="AU83" s="627"/>
      <c r="AV83" s="627"/>
      <c r="AW83" s="627"/>
      <c r="AX83" s="627"/>
    </row>
    <row r="84" spans="2:50">
      <c r="B84" s="619" t="s">
        <v>484</v>
      </c>
      <c r="C84" s="619" t="s">
        <v>485</v>
      </c>
      <c r="D84" s="619"/>
      <c r="E84" s="619" t="s">
        <v>486</v>
      </c>
      <c r="F84" s="619"/>
      <c r="G84" s="619"/>
      <c r="H84" s="635" t="s">
        <v>487</v>
      </c>
      <c r="I84" s="603" t="s">
        <v>488</v>
      </c>
      <c r="J84" s="603"/>
      <c r="K84" s="603"/>
      <c r="L84" s="604" t="s">
        <v>487</v>
      </c>
      <c r="M84" s="610" t="s">
        <v>489</v>
      </c>
      <c r="N84" s="619"/>
      <c r="O84" s="619" t="s">
        <v>490</v>
      </c>
      <c r="P84" s="616" t="s">
        <v>491</v>
      </c>
      <c r="Q84" s="617"/>
      <c r="R84" s="617"/>
      <c r="S84" s="618"/>
      <c r="T84" s="619" t="s">
        <v>487</v>
      </c>
      <c r="U84" s="616" t="s">
        <v>491</v>
      </c>
      <c r="V84" s="617"/>
      <c r="W84" s="617"/>
      <c r="X84" s="618"/>
      <c r="Y84" s="619" t="s">
        <v>487</v>
      </c>
      <c r="Z84" s="616" t="s">
        <v>491</v>
      </c>
      <c r="AA84" s="617"/>
      <c r="AB84" s="617"/>
      <c r="AC84" s="618"/>
      <c r="AD84" s="619" t="s">
        <v>487</v>
      </c>
      <c r="AE84" s="616" t="s">
        <v>491</v>
      </c>
      <c r="AF84" s="617"/>
      <c r="AG84" s="617"/>
      <c r="AH84" s="618"/>
      <c r="AI84" s="619" t="s">
        <v>487</v>
      </c>
      <c r="AJ84" s="616" t="s">
        <v>491</v>
      </c>
      <c r="AK84" s="617"/>
      <c r="AL84" s="617"/>
      <c r="AM84" s="618"/>
      <c r="AN84" s="619" t="s">
        <v>487</v>
      </c>
      <c r="AO84" s="616" t="s">
        <v>491</v>
      </c>
      <c r="AP84" s="617"/>
      <c r="AQ84" s="617"/>
      <c r="AR84" s="618"/>
      <c r="AS84" s="619" t="s">
        <v>487</v>
      </c>
      <c r="AT84" s="616" t="s">
        <v>491</v>
      </c>
      <c r="AU84" s="617"/>
      <c r="AV84" s="617"/>
      <c r="AW84" s="618"/>
      <c r="AX84" s="619" t="s">
        <v>487</v>
      </c>
    </row>
    <row r="85" spans="2:50">
      <c r="B85" s="619"/>
      <c r="C85" s="619"/>
      <c r="D85" s="619"/>
      <c r="E85" s="619" t="s">
        <v>492</v>
      </c>
      <c r="F85" s="619"/>
      <c r="G85" s="619"/>
      <c r="H85" s="636"/>
      <c r="I85" s="603" t="s">
        <v>492</v>
      </c>
      <c r="J85" s="603"/>
      <c r="K85" s="603"/>
      <c r="L85" s="605"/>
      <c r="M85" s="611"/>
      <c r="N85" s="619"/>
      <c r="O85" s="619"/>
      <c r="P85" s="616" t="s">
        <v>493</v>
      </c>
      <c r="Q85" s="617"/>
      <c r="R85" s="617"/>
      <c r="S85" s="618"/>
      <c r="T85" s="619"/>
      <c r="U85" s="616" t="s">
        <v>493</v>
      </c>
      <c r="V85" s="617"/>
      <c r="W85" s="617"/>
      <c r="X85" s="618"/>
      <c r="Y85" s="619"/>
      <c r="Z85" s="616" t="s">
        <v>493</v>
      </c>
      <c r="AA85" s="617"/>
      <c r="AB85" s="617"/>
      <c r="AC85" s="618"/>
      <c r="AD85" s="619"/>
      <c r="AE85" s="616" t="s">
        <v>493</v>
      </c>
      <c r="AF85" s="617"/>
      <c r="AG85" s="617"/>
      <c r="AH85" s="618"/>
      <c r="AI85" s="619"/>
      <c r="AJ85" s="616" t="s">
        <v>493</v>
      </c>
      <c r="AK85" s="617"/>
      <c r="AL85" s="617"/>
      <c r="AM85" s="618"/>
      <c r="AN85" s="619"/>
      <c r="AO85" s="616" t="s">
        <v>493</v>
      </c>
      <c r="AP85" s="617"/>
      <c r="AQ85" s="617"/>
      <c r="AR85" s="618"/>
      <c r="AS85" s="619"/>
      <c r="AT85" s="616" t="s">
        <v>493</v>
      </c>
      <c r="AU85" s="617"/>
      <c r="AV85" s="617"/>
      <c r="AW85" s="618"/>
      <c r="AX85" s="619"/>
    </row>
    <row r="86" spans="2:50">
      <c r="B86" s="619"/>
      <c r="C86" s="619"/>
      <c r="D86" s="619"/>
      <c r="E86" s="307" t="s">
        <v>494</v>
      </c>
      <c r="F86" s="307" t="s">
        <v>495</v>
      </c>
      <c r="G86" s="307" t="s">
        <v>496</v>
      </c>
      <c r="H86" s="637"/>
      <c r="I86" s="308" t="s">
        <v>494</v>
      </c>
      <c r="J86" s="308" t="s">
        <v>495</v>
      </c>
      <c r="K86" s="308" t="s">
        <v>496</v>
      </c>
      <c r="L86" s="606"/>
      <c r="M86" s="612"/>
      <c r="N86" s="619"/>
      <c r="O86" s="619"/>
      <c r="P86" s="307" t="s">
        <v>494</v>
      </c>
      <c r="Q86" s="307" t="s">
        <v>495</v>
      </c>
      <c r="R86" s="307" t="s">
        <v>496</v>
      </c>
      <c r="S86" s="307" t="s">
        <v>489</v>
      </c>
      <c r="T86" s="619"/>
      <c r="U86" s="307" t="s">
        <v>494</v>
      </c>
      <c r="V86" s="307" t="s">
        <v>495</v>
      </c>
      <c r="W86" s="307" t="s">
        <v>496</v>
      </c>
      <c r="X86" s="307" t="s">
        <v>489</v>
      </c>
      <c r="Y86" s="619"/>
      <c r="Z86" s="307" t="s">
        <v>494</v>
      </c>
      <c r="AA86" s="307" t="s">
        <v>495</v>
      </c>
      <c r="AB86" s="307" t="s">
        <v>496</v>
      </c>
      <c r="AC86" s="307" t="s">
        <v>489</v>
      </c>
      <c r="AD86" s="619"/>
      <c r="AE86" s="307" t="s">
        <v>494</v>
      </c>
      <c r="AF86" s="307" t="s">
        <v>495</v>
      </c>
      <c r="AG86" s="307" t="s">
        <v>496</v>
      </c>
      <c r="AH86" s="307" t="s">
        <v>489</v>
      </c>
      <c r="AI86" s="619"/>
      <c r="AJ86" s="307" t="s">
        <v>494</v>
      </c>
      <c r="AK86" s="307" t="s">
        <v>495</v>
      </c>
      <c r="AL86" s="307" t="s">
        <v>496</v>
      </c>
      <c r="AM86" s="307" t="s">
        <v>489</v>
      </c>
      <c r="AN86" s="619"/>
      <c r="AO86" s="307" t="s">
        <v>494</v>
      </c>
      <c r="AP86" s="307" t="s">
        <v>495</v>
      </c>
      <c r="AQ86" s="307" t="s">
        <v>496</v>
      </c>
      <c r="AR86" s="307" t="s">
        <v>489</v>
      </c>
      <c r="AS86" s="619"/>
      <c r="AT86" s="307" t="s">
        <v>494</v>
      </c>
      <c r="AU86" s="307" t="s">
        <v>495</v>
      </c>
      <c r="AV86" s="307" t="s">
        <v>496</v>
      </c>
      <c r="AW86" s="307" t="s">
        <v>489</v>
      </c>
      <c r="AX86" s="619"/>
    </row>
    <row r="87" spans="2:50">
      <c r="B87" s="660" t="s">
        <v>498</v>
      </c>
      <c r="C87" s="306">
        <v>1</v>
      </c>
      <c r="D87" s="228"/>
      <c r="E87" s="183"/>
      <c r="F87" s="470"/>
      <c r="G87" s="471"/>
      <c r="H87" s="661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00" t="str">
        <f>IFERROR(AVERAGE(K87:K101),"-")</f>
        <v>-</v>
      </c>
      <c r="M87" s="202" t="e">
        <f>RANK(K87, K$87:$K$101)</f>
        <v>#DIV/0!</v>
      </c>
      <c r="N87" s="619"/>
      <c r="O87" s="619"/>
      <c r="P87" s="183"/>
      <c r="Q87" s="183"/>
      <c r="R87" s="183"/>
      <c r="S87" s="306" t="e">
        <f>RANK(R87, R$87:R$101)</f>
        <v>#N/A</v>
      </c>
      <c r="T87" s="658" t="e">
        <f>AVERAGE(R87:R101)</f>
        <v>#DIV/0!</v>
      </c>
      <c r="U87" s="183"/>
      <c r="V87" s="183"/>
      <c r="W87" s="183"/>
      <c r="X87" s="520" t="e">
        <f t="shared" ref="X87:X101" si="67">RANK(W87, W$87:W$101)</f>
        <v>#N/A</v>
      </c>
      <c r="Y87" s="658" t="e">
        <f t="shared" ref="Y87" si="68">AVERAGE(W87:W101)</f>
        <v>#DIV/0!</v>
      </c>
      <c r="Z87" s="183"/>
      <c r="AA87" s="183"/>
      <c r="AB87" s="183"/>
      <c r="AC87" s="520" t="e">
        <f t="shared" ref="AC87:AC101" si="69">RANK(AB87, AB$87:AB$101)</f>
        <v>#N/A</v>
      </c>
      <c r="AD87" s="658" t="e">
        <f t="shared" ref="AD87" si="70">AVERAGE(AB87:AB101)</f>
        <v>#DIV/0!</v>
      </c>
      <c r="AE87" s="183"/>
      <c r="AF87" s="183"/>
      <c r="AG87" s="183"/>
      <c r="AH87" s="520" t="e">
        <f t="shared" ref="AH87:AH101" si="71">RANK(AG87, AG$87:AG$101)</f>
        <v>#N/A</v>
      </c>
      <c r="AI87" s="658" t="e">
        <f t="shared" ref="AI87" si="72">AVERAGE(AG87:AG101)</f>
        <v>#DIV/0!</v>
      </c>
      <c r="AJ87" s="183"/>
      <c r="AK87" s="183"/>
      <c r="AL87" s="183"/>
      <c r="AM87" s="520" t="e">
        <f t="shared" ref="AM87:AM101" si="73">RANK(AL87, AL$87:AL$101)</f>
        <v>#N/A</v>
      </c>
      <c r="AN87" s="658" t="e">
        <f t="shared" ref="AN87" si="74">AVERAGE(AL87:AL101)</f>
        <v>#DIV/0!</v>
      </c>
      <c r="AO87" s="183"/>
      <c r="AP87" s="183"/>
      <c r="AQ87" s="183"/>
      <c r="AR87" s="520" t="e">
        <f t="shared" ref="AR87:AR101" si="75">RANK(AQ87, AQ$87:AQ$101)</f>
        <v>#N/A</v>
      </c>
      <c r="AS87" s="658" t="e">
        <f t="shared" ref="AS87" si="76">AVERAGE(AQ87:AQ101)</f>
        <v>#DIV/0!</v>
      </c>
      <c r="AT87" s="183"/>
      <c r="AU87" s="183"/>
      <c r="AV87" s="183"/>
      <c r="AW87" s="520" t="e">
        <f t="shared" ref="AW87:AW101" si="77">RANK(AV87, AV$87:AV$101)</f>
        <v>#N/A</v>
      </c>
      <c r="AX87" s="658" t="e">
        <f t="shared" ref="AX87" si="78">AVERAGE(AV87:AV101)</f>
        <v>#DIV/0!</v>
      </c>
    </row>
    <row r="88" spans="2:50">
      <c r="B88" s="627"/>
      <c r="C88" s="306">
        <v>2</v>
      </c>
      <c r="D88" s="228"/>
      <c r="E88" s="183"/>
      <c r="F88" s="470"/>
      <c r="G88" s="471"/>
      <c r="H88" s="662"/>
      <c r="I88" s="200" t="e">
        <f t="shared" ref="I88:K96" si="79">AVERAGE(P88,U88,Z88,AE88,AJ88,AO88,AT88)</f>
        <v>#DIV/0!</v>
      </c>
      <c r="J88" s="200" t="e">
        <f t="shared" si="79"/>
        <v>#DIV/0!</v>
      </c>
      <c r="K88" s="201" t="e">
        <f t="shared" si="79"/>
        <v>#DIV/0!</v>
      </c>
      <c r="L88" s="601"/>
      <c r="M88" s="202" t="e">
        <f>RANK(K88, K$87:$K$101)</f>
        <v>#DIV/0!</v>
      </c>
      <c r="N88" s="619"/>
      <c r="O88" s="619"/>
      <c r="P88" s="183"/>
      <c r="Q88" s="183"/>
      <c r="R88" s="183"/>
      <c r="S88" s="306" t="e">
        <f t="shared" ref="S88:S101" si="80">RANK(R88, R$87:R$101)</f>
        <v>#N/A</v>
      </c>
      <c r="T88" s="658"/>
      <c r="U88" s="183"/>
      <c r="V88" s="183"/>
      <c r="W88" s="183"/>
      <c r="X88" s="520" t="e">
        <f t="shared" si="67"/>
        <v>#N/A</v>
      </c>
      <c r="Y88" s="658"/>
      <c r="Z88" s="183"/>
      <c r="AA88" s="183"/>
      <c r="AB88" s="183"/>
      <c r="AC88" s="520" t="e">
        <f t="shared" si="69"/>
        <v>#N/A</v>
      </c>
      <c r="AD88" s="658"/>
      <c r="AE88" s="183"/>
      <c r="AF88" s="183"/>
      <c r="AG88" s="183"/>
      <c r="AH88" s="520" t="e">
        <f t="shared" si="71"/>
        <v>#N/A</v>
      </c>
      <c r="AI88" s="658"/>
      <c r="AJ88" s="183"/>
      <c r="AK88" s="183"/>
      <c r="AL88" s="183"/>
      <c r="AM88" s="520" t="e">
        <f t="shared" si="73"/>
        <v>#N/A</v>
      </c>
      <c r="AN88" s="658"/>
      <c r="AO88" s="183"/>
      <c r="AP88" s="183"/>
      <c r="AQ88" s="183"/>
      <c r="AR88" s="520" t="e">
        <f t="shared" si="75"/>
        <v>#N/A</v>
      </c>
      <c r="AS88" s="658"/>
      <c r="AT88" s="183"/>
      <c r="AU88" s="183"/>
      <c r="AV88" s="183"/>
      <c r="AW88" s="520" t="e">
        <f t="shared" si="77"/>
        <v>#N/A</v>
      </c>
      <c r="AX88" s="658"/>
    </row>
    <row r="89" spans="2:50">
      <c r="B89" s="627"/>
      <c r="C89" s="306">
        <v>3</v>
      </c>
      <c r="D89" s="228"/>
      <c r="E89" s="183"/>
      <c r="F89" s="470"/>
      <c r="G89" s="471"/>
      <c r="H89" s="662"/>
      <c r="I89" s="200" t="e">
        <f t="shared" si="79"/>
        <v>#DIV/0!</v>
      </c>
      <c r="J89" s="200" t="e">
        <f t="shared" si="79"/>
        <v>#DIV/0!</v>
      </c>
      <c r="K89" s="201" t="e">
        <f t="shared" si="79"/>
        <v>#DIV/0!</v>
      </c>
      <c r="L89" s="601"/>
      <c r="M89" s="202" t="e">
        <f>RANK(K89, K$87:$K$101)</f>
        <v>#DIV/0!</v>
      </c>
      <c r="N89" s="619"/>
      <c r="O89" s="619"/>
      <c r="P89" s="183"/>
      <c r="Q89" s="183"/>
      <c r="R89" s="183"/>
      <c r="S89" s="306" t="e">
        <f t="shared" si="80"/>
        <v>#N/A</v>
      </c>
      <c r="T89" s="658"/>
      <c r="U89" s="183"/>
      <c r="V89" s="183"/>
      <c r="W89" s="183"/>
      <c r="X89" s="520" t="e">
        <f t="shared" si="67"/>
        <v>#N/A</v>
      </c>
      <c r="Y89" s="658"/>
      <c r="Z89" s="183"/>
      <c r="AA89" s="183"/>
      <c r="AB89" s="183"/>
      <c r="AC89" s="520" t="e">
        <f t="shared" si="69"/>
        <v>#N/A</v>
      </c>
      <c r="AD89" s="658"/>
      <c r="AE89" s="183"/>
      <c r="AF89" s="183"/>
      <c r="AG89" s="183"/>
      <c r="AH89" s="520" t="e">
        <f t="shared" si="71"/>
        <v>#N/A</v>
      </c>
      <c r="AI89" s="658"/>
      <c r="AJ89" s="183"/>
      <c r="AK89" s="183"/>
      <c r="AL89" s="183"/>
      <c r="AM89" s="520" t="e">
        <f t="shared" si="73"/>
        <v>#N/A</v>
      </c>
      <c r="AN89" s="658"/>
      <c r="AO89" s="183"/>
      <c r="AP89" s="183"/>
      <c r="AQ89" s="183"/>
      <c r="AR89" s="520" t="e">
        <f t="shared" si="75"/>
        <v>#N/A</v>
      </c>
      <c r="AS89" s="658"/>
      <c r="AT89" s="183"/>
      <c r="AU89" s="183"/>
      <c r="AV89" s="183"/>
      <c r="AW89" s="520" t="e">
        <f t="shared" si="77"/>
        <v>#N/A</v>
      </c>
      <c r="AX89" s="658"/>
    </row>
    <row r="90" spans="2:50">
      <c r="B90" s="627"/>
      <c r="C90" s="306">
        <v>4</v>
      </c>
      <c r="D90" s="228"/>
      <c r="E90" s="183"/>
      <c r="F90" s="470"/>
      <c r="G90" s="471"/>
      <c r="H90" s="662"/>
      <c r="I90" s="200" t="e">
        <f t="shared" si="79"/>
        <v>#DIV/0!</v>
      </c>
      <c r="J90" s="200" t="e">
        <f t="shared" si="79"/>
        <v>#DIV/0!</v>
      </c>
      <c r="K90" s="201" t="e">
        <f t="shared" si="79"/>
        <v>#DIV/0!</v>
      </c>
      <c r="L90" s="601"/>
      <c r="M90" s="202" t="e">
        <f>RANK(K90, K$87:$K$101)</f>
        <v>#DIV/0!</v>
      </c>
      <c r="N90" s="619"/>
      <c r="O90" s="619"/>
      <c r="P90" s="183"/>
      <c r="Q90" s="183"/>
      <c r="R90" s="183"/>
      <c r="S90" s="306" t="e">
        <f t="shared" si="80"/>
        <v>#N/A</v>
      </c>
      <c r="T90" s="658"/>
      <c r="U90" s="183"/>
      <c r="V90" s="183"/>
      <c r="W90" s="183"/>
      <c r="X90" s="520" t="e">
        <f t="shared" si="67"/>
        <v>#N/A</v>
      </c>
      <c r="Y90" s="658"/>
      <c r="Z90" s="183"/>
      <c r="AA90" s="183"/>
      <c r="AB90" s="183"/>
      <c r="AC90" s="520" t="e">
        <f t="shared" si="69"/>
        <v>#N/A</v>
      </c>
      <c r="AD90" s="658"/>
      <c r="AE90" s="183"/>
      <c r="AF90" s="183"/>
      <c r="AG90" s="183"/>
      <c r="AH90" s="520" t="e">
        <f t="shared" si="71"/>
        <v>#N/A</v>
      </c>
      <c r="AI90" s="658"/>
      <c r="AJ90" s="183"/>
      <c r="AK90" s="183"/>
      <c r="AL90" s="183"/>
      <c r="AM90" s="520" t="e">
        <f t="shared" si="73"/>
        <v>#N/A</v>
      </c>
      <c r="AN90" s="658"/>
      <c r="AO90" s="183"/>
      <c r="AP90" s="183"/>
      <c r="AQ90" s="183"/>
      <c r="AR90" s="520" t="e">
        <f t="shared" si="75"/>
        <v>#N/A</v>
      </c>
      <c r="AS90" s="658"/>
      <c r="AT90" s="183"/>
      <c r="AU90" s="183"/>
      <c r="AV90" s="183"/>
      <c r="AW90" s="520" t="e">
        <f t="shared" si="77"/>
        <v>#N/A</v>
      </c>
      <c r="AX90" s="658"/>
    </row>
    <row r="91" spans="2:50">
      <c r="B91" s="627"/>
      <c r="C91" s="306">
        <v>5</v>
      </c>
      <c r="D91" s="228"/>
      <c r="E91" s="183"/>
      <c r="F91" s="470"/>
      <c r="G91" s="471"/>
      <c r="H91" s="662"/>
      <c r="I91" s="200" t="e">
        <f t="shared" si="79"/>
        <v>#DIV/0!</v>
      </c>
      <c r="J91" s="200" t="e">
        <f t="shared" si="79"/>
        <v>#DIV/0!</v>
      </c>
      <c r="K91" s="201" t="e">
        <f t="shared" si="79"/>
        <v>#DIV/0!</v>
      </c>
      <c r="L91" s="601"/>
      <c r="M91" s="202" t="e">
        <f>RANK(K91, K$87:$K$101)</f>
        <v>#DIV/0!</v>
      </c>
      <c r="N91" s="619"/>
      <c r="O91" s="619"/>
      <c r="P91" s="183"/>
      <c r="Q91" s="183"/>
      <c r="R91" s="183"/>
      <c r="S91" s="306" t="e">
        <f t="shared" si="80"/>
        <v>#N/A</v>
      </c>
      <c r="T91" s="658"/>
      <c r="U91" s="183"/>
      <c r="V91" s="183"/>
      <c r="W91" s="183"/>
      <c r="X91" s="520" t="e">
        <f t="shared" si="67"/>
        <v>#N/A</v>
      </c>
      <c r="Y91" s="658"/>
      <c r="Z91" s="183"/>
      <c r="AA91" s="183"/>
      <c r="AB91" s="183"/>
      <c r="AC91" s="520" t="e">
        <f t="shared" si="69"/>
        <v>#N/A</v>
      </c>
      <c r="AD91" s="658"/>
      <c r="AE91" s="183"/>
      <c r="AF91" s="183"/>
      <c r="AG91" s="183"/>
      <c r="AH91" s="520" t="e">
        <f t="shared" si="71"/>
        <v>#N/A</v>
      </c>
      <c r="AI91" s="658"/>
      <c r="AJ91" s="183"/>
      <c r="AK91" s="183"/>
      <c r="AL91" s="183"/>
      <c r="AM91" s="520" t="e">
        <f t="shared" si="73"/>
        <v>#N/A</v>
      </c>
      <c r="AN91" s="658"/>
      <c r="AO91" s="183"/>
      <c r="AP91" s="183"/>
      <c r="AQ91" s="183"/>
      <c r="AR91" s="520" t="e">
        <f t="shared" si="75"/>
        <v>#N/A</v>
      </c>
      <c r="AS91" s="658"/>
      <c r="AT91" s="183"/>
      <c r="AU91" s="183"/>
      <c r="AV91" s="183"/>
      <c r="AW91" s="520" t="e">
        <f t="shared" si="77"/>
        <v>#N/A</v>
      </c>
      <c r="AX91" s="658"/>
    </row>
    <row r="92" spans="2:50">
      <c r="B92" s="627"/>
      <c r="C92" s="306">
        <v>6</v>
      </c>
      <c r="D92" s="228"/>
      <c r="E92" s="183"/>
      <c r="F92" s="470"/>
      <c r="G92" s="471"/>
      <c r="H92" s="662"/>
      <c r="I92" s="200" t="e">
        <f t="shared" si="79"/>
        <v>#DIV/0!</v>
      </c>
      <c r="J92" s="200" t="e">
        <f t="shared" si="79"/>
        <v>#DIV/0!</v>
      </c>
      <c r="K92" s="201" t="e">
        <f t="shared" si="79"/>
        <v>#DIV/0!</v>
      </c>
      <c r="L92" s="601"/>
      <c r="M92" s="202" t="e">
        <f>RANK(K92, K$87:$K$101)</f>
        <v>#DIV/0!</v>
      </c>
      <c r="N92" s="619"/>
      <c r="O92" s="619"/>
      <c r="P92" s="183"/>
      <c r="Q92" s="183"/>
      <c r="R92" s="183"/>
      <c r="S92" s="306" t="e">
        <f t="shared" si="80"/>
        <v>#N/A</v>
      </c>
      <c r="T92" s="658"/>
      <c r="U92" s="183"/>
      <c r="V92" s="183"/>
      <c r="W92" s="183"/>
      <c r="X92" s="520" t="e">
        <f t="shared" si="67"/>
        <v>#N/A</v>
      </c>
      <c r="Y92" s="658"/>
      <c r="Z92" s="183"/>
      <c r="AA92" s="183"/>
      <c r="AB92" s="183"/>
      <c r="AC92" s="520" t="e">
        <f t="shared" si="69"/>
        <v>#N/A</v>
      </c>
      <c r="AD92" s="658"/>
      <c r="AE92" s="183"/>
      <c r="AF92" s="183"/>
      <c r="AG92" s="183"/>
      <c r="AH92" s="520" t="e">
        <f t="shared" si="71"/>
        <v>#N/A</v>
      </c>
      <c r="AI92" s="658"/>
      <c r="AJ92" s="183"/>
      <c r="AK92" s="183"/>
      <c r="AL92" s="183"/>
      <c r="AM92" s="520" t="e">
        <f t="shared" si="73"/>
        <v>#N/A</v>
      </c>
      <c r="AN92" s="658"/>
      <c r="AO92" s="183"/>
      <c r="AP92" s="183"/>
      <c r="AQ92" s="183"/>
      <c r="AR92" s="520" t="e">
        <f t="shared" si="75"/>
        <v>#N/A</v>
      </c>
      <c r="AS92" s="658"/>
      <c r="AT92" s="183"/>
      <c r="AU92" s="183"/>
      <c r="AV92" s="183"/>
      <c r="AW92" s="520" t="e">
        <f t="shared" si="77"/>
        <v>#N/A</v>
      </c>
      <c r="AX92" s="658"/>
    </row>
    <row r="93" spans="2:50">
      <c r="B93" s="627"/>
      <c r="C93" s="306">
        <v>7</v>
      </c>
      <c r="D93" s="228"/>
      <c r="E93" s="183"/>
      <c r="F93" s="470"/>
      <c r="G93" s="471"/>
      <c r="H93" s="662"/>
      <c r="I93" s="200" t="e">
        <f t="shared" si="79"/>
        <v>#DIV/0!</v>
      </c>
      <c r="J93" s="200" t="e">
        <f t="shared" si="79"/>
        <v>#DIV/0!</v>
      </c>
      <c r="K93" s="201" t="e">
        <f t="shared" si="79"/>
        <v>#DIV/0!</v>
      </c>
      <c r="L93" s="601"/>
      <c r="M93" s="202" t="e">
        <f>RANK(K93, K$87:$K$101)</f>
        <v>#DIV/0!</v>
      </c>
      <c r="N93" s="619"/>
      <c r="O93" s="619"/>
      <c r="P93" s="183"/>
      <c r="Q93" s="183"/>
      <c r="R93" s="183"/>
      <c r="S93" s="306" t="e">
        <f t="shared" si="80"/>
        <v>#N/A</v>
      </c>
      <c r="T93" s="658"/>
      <c r="U93" s="183"/>
      <c r="V93" s="183"/>
      <c r="W93" s="183"/>
      <c r="X93" s="520" t="e">
        <f t="shared" si="67"/>
        <v>#N/A</v>
      </c>
      <c r="Y93" s="658"/>
      <c r="Z93" s="183"/>
      <c r="AA93" s="183"/>
      <c r="AB93" s="183"/>
      <c r="AC93" s="520" t="e">
        <f t="shared" si="69"/>
        <v>#N/A</v>
      </c>
      <c r="AD93" s="658"/>
      <c r="AE93" s="183"/>
      <c r="AF93" s="183"/>
      <c r="AG93" s="183"/>
      <c r="AH93" s="520" t="e">
        <f t="shared" si="71"/>
        <v>#N/A</v>
      </c>
      <c r="AI93" s="658"/>
      <c r="AJ93" s="183"/>
      <c r="AK93" s="183"/>
      <c r="AL93" s="183"/>
      <c r="AM93" s="520" t="e">
        <f t="shared" si="73"/>
        <v>#N/A</v>
      </c>
      <c r="AN93" s="658"/>
      <c r="AO93" s="183"/>
      <c r="AP93" s="183"/>
      <c r="AQ93" s="183"/>
      <c r="AR93" s="520" t="e">
        <f t="shared" si="75"/>
        <v>#N/A</v>
      </c>
      <c r="AS93" s="658"/>
      <c r="AT93" s="183"/>
      <c r="AU93" s="183"/>
      <c r="AV93" s="183"/>
      <c r="AW93" s="520" t="e">
        <f t="shared" si="77"/>
        <v>#N/A</v>
      </c>
      <c r="AX93" s="658"/>
    </row>
    <row r="94" spans="2:50">
      <c r="B94" s="627"/>
      <c r="C94" s="306">
        <v>8</v>
      </c>
      <c r="D94" s="228"/>
      <c r="E94" s="183"/>
      <c r="F94" s="470"/>
      <c r="G94" s="471"/>
      <c r="H94" s="662"/>
      <c r="I94" s="200" t="e">
        <f t="shared" si="79"/>
        <v>#DIV/0!</v>
      </c>
      <c r="J94" s="200" t="e">
        <f t="shared" si="79"/>
        <v>#DIV/0!</v>
      </c>
      <c r="K94" s="201" t="e">
        <f t="shared" si="79"/>
        <v>#DIV/0!</v>
      </c>
      <c r="L94" s="601"/>
      <c r="M94" s="202" t="e">
        <f>RANK(K94, K$87:$K$101)</f>
        <v>#DIV/0!</v>
      </c>
      <c r="N94" s="619"/>
      <c r="O94" s="619"/>
      <c r="P94" s="183"/>
      <c r="Q94" s="183"/>
      <c r="R94" s="183"/>
      <c r="S94" s="306" t="e">
        <f t="shared" si="80"/>
        <v>#N/A</v>
      </c>
      <c r="T94" s="658"/>
      <c r="U94" s="183"/>
      <c r="V94" s="183"/>
      <c r="W94" s="183"/>
      <c r="X94" s="520" t="e">
        <f t="shared" si="67"/>
        <v>#N/A</v>
      </c>
      <c r="Y94" s="658"/>
      <c r="Z94" s="183"/>
      <c r="AA94" s="183"/>
      <c r="AB94" s="183"/>
      <c r="AC94" s="520" t="e">
        <f t="shared" si="69"/>
        <v>#N/A</v>
      </c>
      <c r="AD94" s="658"/>
      <c r="AE94" s="183"/>
      <c r="AF94" s="183"/>
      <c r="AG94" s="183"/>
      <c r="AH94" s="520" t="e">
        <f t="shared" si="71"/>
        <v>#N/A</v>
      </c>
      <c r="AI94" s="658"/>
      <c r="AJ94" s="183"/>
      <c r="AK94" s="183"/>
      <c r="AL94" s="183"/>
      <c r="AM94" s="520" t="e">
        <f t="shared" si="73"/>
        <v>#N/A</v>
      </c>
      <c r="AN94" s="658"/>
      <c r="AO94" s="183"/>
      <c r="AP94" s="183"/>
      <c r="AQ94" s="183"/>
      <c r="AR94" s="520" t="e">
        <f t="shared" si="75"/>
        <v>#N/A</v>
      </c>
      <c r="AS94" s="658"/>
      <c r="AT94" s="183"/>
      <c r="AU94" s="183"/>
      <c r="AV94" s="183"/>
      <c r="AW94" s="520" t="e">
        <f t="shared" si="77"/>
        <v>#N/A</v>
      </c>
      <c r="AX94" s="658"/>
    </row>
    <row r="95" spans="2:50">
      <c r="B95" s="627"/>
      <c r="C95" s="306">
        <v>9</v>
      </c>
      <c r="D95" s="228"/>
      <c r="E95" s="183"/>
      <c r="F95" s="470"/>
      <c r="G95" s="471"/>
      <c r="H95" s="662"/>
      <c r="I95" s="200" t="e">
        <f t="shared" si="79"/>
        <v>#DIV/0!</v>
      </c>
      <c r="J95" s="200" t="e">
        <f t="shared" si="79"/>
        <v>#DIV/0!</v>
      </c>
      <c r="K95" s="201" t="e">
        <f t="shared" si="79"/>
        <v>#DIV/0!</v>
      </c>
      <c r="L95" s="601"/>
      <c r="M95" s="202" t="e">
        <f>RANK(K95, K$87:$K$101)</f>
        <v>#DIV/0!</v>
      </c>
      <c r="N95" s="619"/>
      <c r="O95" s="619"/>
      <c r="P95" s="183"/>
      <c r="Q95" s="183"/>
      <c r="R95" s="183"/>
      <c r="S95" s="306" t="e">
        <f t="shared" si="80"/>
        <v>#N/A</v>
      </c>
      <c r="T95" s="658"/>
      <c r="U95" s="183"/>
      <c r="V95" s="183"/>
      <c r="W95" s="183"/>
      <c r="X95" s="520" t="e">
        <f t="shared" si="67"/>
        <v>#N/A</v>
      </c>
      <c r="Y95" s="658"/>
      <c r="Z95" s="183"/>
      <c r="AA95" s="183"/>
      <c r="AB95" s="183"/>
      <c r="AC95" s="520" t="e">
        <f t="shared" si="69"/>
        <v>#N/A</v>
      </c>
      <c r="AD95" s="658"/>
      <c r="AE95" s="183"/>
      <c r="AF95" s="183"/>
      <c r="AG95" s="183"/>
      <c r="AH95" s="520" t="e">
        <f t="shared" si="71"/>
        <v>#N/A</v>
      </c>
      <c r="AI95" s="658"/>
      <c r="AJ95" s="183"/>
      <c r="AK95" s="183"/>
      <c r="AL95" s="183"/>
      <c r="AM95" s="520" t="e">
        <f t="shared" si="73"/>
        <v>#N/A</v>
      </c>
      <c r="AN95" s="658"/>
      <c r="AO95" s="183"/>
      <c r="AP95" s="183"/>
      <c r="AQ95" s="183"/>
      <c r="AR95" s="520" t="e">
        <f t="shared" si="75"/>
        <v>#N/A</v>
      </c>
      <c r="AS95" s="658"/>
      <c r="AT95" s="183"/>
      <c r="AU95" s="183"/>
      <c r="AV95" s="183"/>
      <c r="AW95" s="520" t="e">
        <f t="shared" si="77"/>
        <v>#N/A</v>
      </c>
      <c r="AX95" s="658"/>
    </row>
    <row r="96" spans="2:50">
      <c r="B96" s="627"/>
      <c r="C96" s="306">
        <v>10</v>
      </c>
      <c r="D96" s="228"/>
      <c r="E96" s="183"/>
      <c r="F96" s="470"/>
      <c r="G96" s="471"/>
      <c r="H96" s="662"/>
      <c r="I96" s="200" t="e">
        <f t="shared" si="79"/>
        <v>#DIV/0!</v>
      </c>
      <c r="J96" s="200" t="e">
        <f t="shared" si="79"/>
        <v>#DIV/0!</v>
      </c>
      <c r="K96" s="201" t="e">
        <f t="shared" si="79"/>
        <v>#DIV/0!</v>
      </c>
      <c r="L96" s="601"/>
      <c r="M96" s="202" t="e">
        <f>RANK(K96, K$87:$K$101)</f>
        <v>#DIV/0!</v>
      </c>
      <c r="N96" s="619"/>
      <c r="O96" s="619"/>
      <c r="P96" s="183"/>
      <c r="Q96" s="183"/>
      <c r="R96" s="183"/>
      <c r="S96" s="306" t="e">
        <f t="shared" si="80"/>
        <v>#N/A</v>
      </c>
      <c r="T96" s="658"/>
      <c r="U96" s="183"/>
      <c r="V96" s="183"/>
      <c r="W96" s="183"/>
      <c r="X96" s="520" t="e">
        <f t="shared" si="67"/>
        <v>#N/A</v>
      </c>
      <c r="Y96" s="658"/>
      <c r="Z96" s="183"/>
      <c r="AA96" s="183"/>
      <c r="AB96" s="183"/>
      <c r="AC96" s="520" t="e">
        <f t="shared" si="69"/>
        <v>#N/A</v>
      </c>
      <c r="AD96" s="658"/>
      <c r="AE96" s="183"/>
      <c r="AF96" s="183"/>
      <c r="AG96" s="183"/>
      <c r="AH96" s="520" t="e">
        <f t="shared" si="71"/>
        <v>#N/A</v>
      </c>
      <c r="AI96" s="658"/>
      <c r="AJ96" s="183"/>
      <c r="AK96" s="183"/>
      <c r="AL96" s="183"/>
      <c r="AM96" s="520" t="e">
        <f t="shared" si="73"/>
        <v>#N/A</v>
      </c>
      <c r="AN96" s="658"/>
      <c r="AO96" s="183"/>
      <c r="AP96" s="183"/>
      <c r="AQ96" s="183"/>
      <c r="AR96" s="520" t="e">
        <f t="shared" si="75"/>
        <v>#N/A</v>
      </c>
      <c r="AS96" s="658"/>
      <c r="AT96" s="183"/>
      <c r="AU96" s="183"/>
      <c r="AV96" s="183"/>
      <c r="AW96" s="520" t="e">
        <f t="shared" si="77"/>
        <v>#N/A</v>
      </c>
      <c r="AX96" s="658"/>
    </row>
    <row r="97" spans="2:50">
      <c r="B97" s="627"/>
      <c r="C97" s="306">
        <v>11</v>
      </c>
      <c r="D97" s="228"/>
      <c r="E97" s="183"/>
      <c r="F97" s="470"/>
      <c r="G97" s="471"/>
      <c r="H97" s="662"/>
      <c r="I97" s="200"/>
      <c r="J97" s="200"/>
      <c r="K97" s="201"/>
      <c r="L97" s="601"/>
      <c r="M97" s="202" t="e">
        <f>RANK(K97, K$87:$K$101)</f>
        <v>#DIV/0!</v>
      </c>
      <c r="N97" s="619"/>
      <c r="O97" s="619"/>
      <c r="P97" s="183"/>
      <c r="Q97" s="183"/>
      <c r="R97" s="183"/>
      <c r="S97" s="306" t="e">
        <f t="shared" si="80"/>
        <v>#N/A</v>
      </c>
      <c r="T97" s="658"/>
      <c r="U97" s="183"/>
      <c r="V97" s="183"/>
      <c r="W97" s="183"/>
      <c r="X97" s="520" t="e">
        <f t="shared" si="67"/>
        <v>#N/A</v>
      </c>
      <c r="Y97" s="658"/>
      <c r="Z97" s="183"/>
      <c r="AA97" s="183"/>
      <c r="AB97" s="183"/>
      <c r="AC97" s="520" t="e">
        <f t="shared" si="69"/>
        <v>#N/A</v>
      </c>
      <c r="AD97" s="658"/>
      <c r="AE97" s="183"/>
      <c r="AF97" s="183"/>
      <c r="AG97" s="183"/>
      <c r="AH97" s="520" t="e">
        <f t="shared" si="71"/>
        <v>#N/A</v>
      </c>
      <c r="AI97" s="658"/>
      <c r="AJ97" s="183"/>
      <c r="AK97" s="183"/>
      <c r="AL97" s="183"/>
      <c r="AM97" s="520" t="e">
        <f t="shared" si="73"/>
        <v>#N/A</v>
      </c>
      <c r="AN97" s="658"/>
      <c r="AO97" s="183"/>
      <c r="AP97" s="183"/>
      <c r="AQ97" s="183"/>
      <c r="AR97" s="520" t="e">
        <f t="shared" si="75"/>
        <v>#N/A</v>
      </c>
      <c r="AS97" s="658"/>
      <c r="AT97" s="183"/>
      <c r="AU97" s="183"/>
      <c r="AV97" s="183"/>
      <c r="AW97" s="520" t="e">
        <f t="shared" si="77"/>
        <v>#N/A</v>
      </c>
      <c r="AX97" s="658"/>
    </row>
    <row r="98" spans="2:50">
      <c r="B98" s="627"/>
      <c r="C98" s="306">
        <v>12</v>
      </c>
      <c r="D98" s="228"/>
      <c r="E98" s="183"/>
      <c r="F98" s="470"/>
      <c r="G98" s="471"/>
      <c r="H98" s="662"/>
      <c r="I98" s="203"/>
      <c r="J98" s="203"/>
      <c r="K98" s="203"/>
      <c r="L98" s="601"/>
      <c r="M98" s="202" t="e">
        <f>RANK(K98, K$87:$K$101)</f>
        <v>#DIV/0!</v>
      </c>
      <c r="N98" s="619"/>
      <c r="O98" s="619"/>
      <c r="P98" s="183"/>
      <c r="Q98" s="183"/>
      <c r="R98" s="183"/>
      <c r="S98" s="306" t="e">
        <f t="shared" si="80"/>
        <v>#N/A</v>
      </c>
      <c r="T98" s="658"/>
      <c r="U98" s="183"/>
      <c r="V98" s="183"/>
      <c r="W98" s="183"/>
      <c r="X98" s="520" t="e">
        <f t="shared" si="67"/>
        <v>#N/A</v>
      </c>
      <c r="Y98" s="658"/>
      <c r="Z98" s="183"/>
      <c r="AA98" s="183"/>
      <c r="AB98" s="183"/>
      <c r="AC98" s="520" t="e">
        <f t="shared" si="69"/>
        <v>#N/A</v>
      </c>
      <c r="AD98" s="658"/>
      <c r="AE98" s="183"/>
      <c r="AF98" s="183"/>
      <c r="AG98" s="183"/>
      <c r="AH98" s="520" t="e">
        <f t="shared" si="71"/>
        <v>#N/A</v>
      </c>
      <c r="AI98" s="658"/>
      <c r="AJ98" s="183"/>
      <c r="AK98" s="183"/>
      <c r="AL98" s="183"/>
      <c r="AM98" s="520" t="e">
        <f t="shared" si="73"/>
        <v>#N/A</v>
      </c>
      <c r="AN98" s="658"/>
      <c r="AO98" s="183"/>
      <c r="AP98" s="183"/>
      <c r="AQ98" s="183"/>
      <c r="AR98" s="520" t="e">
        <f t="shared" si="75"/>
        <v>#N/A</v>
      </c>
      <c r="AS98" s="658"/>
      <c r="AT98" s="183"/>
      <c r="AU98" s="183"/>
      <c r="AV98" s="183"/>
      <c r="AW98" s="520" t="e">
        <f t="shared" si="77"/>
        <v>#N/A</v>
      </c>
      <c r="AX98" s="658"/>
    </row>
    <row r="99" spans="2:50">
      <c r="B99" s="627"/>
      <c r="C99" s="306">
        <v>13</v>
      </c>
      <c r="D99" s="228"/>
      <c r="E99" s="183"/>
      <c r="F99" s="470"/>
      <c r="G99" s="471"/>
      <c r="H99" s="662"/>
      <c r="I99" s="203"/>
      <c r="J99" s="203"/>
      <c r="K99" s="203"/>
      <c r="L99" s="601"/>
      <c r="M99" s="202" t="e">
        <f>RANK(K99, K$87:$K$101)</f>
        <v>#DIV/0!</v>
      </c>
      <c r="N99" s="619"/>
      <c r="O99" s="619"/>
      <c r="P99" s="183"/>
      <c r="Q99" s="183"/>
      <c r="R99" s="183"/>
      <c r="S99" s="306" t="e">
        <f t="shared" si="80"/>
        <v>#N/A</v>
      </c>
      <c r="T99" s="658"/>
      <c r="U99" s="183"/>
      <c r="V99" s="183"/>
      <c r="W99" s="183"/>
      <c r="X99" s="520" t="e">
        <f t="shared" si="67"/>
        <v>#N/A</v>
      </c>
      <c r="Y99" s="658"/>
      <c r="Z99" s="183"/>
      <c r="AA99" s="183"/>
      <c r="AB99" s="183"/>
      <c r="AC99" s="520" t="e">
        <f t="shared" si="69"/>
        <v>#N/A</v>
      </c>
      <c r="AD99" s="658"/>
      <c r="AE99" s="183"/>
      <c r="AF99" s="183"/>
      <c r="AG99" s="183"/>
      <c r="AH99" s="520" t="e">
        <f t="shared" si="71"/>
        <v>#N/A</v>
      </c>
      <c r="AI99" s="658"/>
      <c r="AJ99" s="183"/>
      <c r="AK99" s="183"/>
      <c r="AL99" s="183"/>
      <c r="AM99" s="520" t="e">
        <f t="shared" si="73"/>
        <v>#N/A</v>
      </c>
      <c r="AN99" s="658"/>
      <c r="AO99" s="183"/>
      <c r="AP99" s="183"/>
      <c r="AQ99" s="183"/>
      <c r="AR99" s="520" t="e">
        <f t="shared" si="75"/>
        <v>#N/A</v>
      </c>
      <c r="AS99" s="658"/>
      <c r="AT99" s="183"/>
      <c r="AU99" s="183"/>
      <c r="AV99" s="183"/>
      <c r="AW99" s="520" t="e">
        <f t="shared" si="77"/>
        <v>#N/A</v>
      </c>
      <c r="AX99" s="658"/>
    </row>
    <row r="100" spans="2:50">
      <c r="B100" s="627"/>
      <c r="C100" s="306">
        <v>14</v>
      </c>
      <c r="D100" s="228"/>
      <c r="E100" s="183"/>
      <c r="F100" s="470"/>
      <c r="G100" s="471"/>
      <c r="H100" s="662"/>
      <c r="I100" s="203"/>
      <c r="J100" s="203"/>
      <c r="K100" s="203"/>
      <c r="L100" s="601"/>
      <c r="M100" s="202" t="e">
        <f>RANK(K100, K$87:$K$101)</f>
        <v>#DIV/0!</v>
      </c>
      <c r="N100" s="619"/>
      <c r="O100" s="619"/>
      <c r="P100" s="183"/>
      <c r="Q100" s="183"/>
      <c r="R100" s="183"/>
      <c r="S100" s="306" t="e">
        <f t="shared" si="80"/>
        <v>#N/A</v>
      </c>
      <c r="T100" s="658"/>
      <c r="U100" s="183"/>
      <c r="V100" s="183"/>
      <c r="W100" s="183"/>
      <c r="X100" s="520" t="e">
        <f t="shared" si="67"/>
        <v>#N/A</v>
      </c>
      <c r="Y100" s="658"/>
      <c r="Z100" s="183"/>
      <c r="AA100" s="183"/>
      <c r="AB100" s="183"/>
      <c r="AC100" s="520" t="e">
        <f t="shared" si="69"/>
        <v>#N/A</v>
      </c>
      <c r="AD100" s="658"/>
      <c r="AE100" s="183"/>
      <c r="AF100" s="183"/>
      <c r="AG100" s="183"/>
      <c r="AH100" s="520" t="e">
        <f t="shared" si="71"/>
        <v>#N/A</v>
      </c>
      <c r="AI100" s="658"/>
      <c r="AJ100" s="183"/>
      <c r="AK100" s="183"/>
      <c r="AL100" s="183"/>
      <c r="AM100" s="520" t="e">
        <f t="shared" si="73"/>
        <v>#N/A</v>
      </c>
      <c r="AN100" s="658"/>
      <c r="AO100" s="183"/>
      <c r="AP100" s="183"/>
      <c r="AQ100" s="183"/>
      <c r="AR100" s="520" t="e">
        <f t="shared" si="75"/>
        <v>#N/A</v>
      </c>
      <c r="AS100" s="658"/>
      <c r="AT100" s="183"/>
      <c r="AU100" s="183"/>
      <c r="AV100" s="183"/>
      <c r="AW100" s="520" t="e">
        <f t="shared" si="77"/>
        <v>#N/A</v>
      </c>
      <c r="AX100" s="658"/>
    </row>
    <row r="101" spans="2:50">
      <c r="B101" s="627"/>
      <c r="C101" s="306">
        <v>15</v>
      </c>
      <c r="D101" s="228"/>
      <c r="E101" s="183"/>
      <c r="F101" s="470"/>
      <c r="G101" s="471"/>
      <c r="H101" s="663"/>
      <c r="I101" s="203"/>
      <c r="J101" s="203"/>
      <c r="K101" s="203"/>
      <c r="L101" s="602"/>
      <c r="M101" s="200" t="e">
        <f>RANK(K101, K$87:$K$101)</f>
        <v>#DIV/0!</v>
      </c>
      <c r="N101" s="619"/>
      <c r="O101" s="619"/>
      <c r="P101" s="183"/>
      <c r="Q101" s="183"/>
      <c r="R101" s="183"/>
      <c r="S101" s="306" t="e">
        <f t="shared" si="80"/>
        <v>#N/A</v>
      </c>
      <c r="T101" s="658"/>
      <c r="U101" s="183"/>
      <c r="V101" s="183"/>
      <c r="W101" s="183"/>
      <c r="X101" s="520" t="e">
        <f t="shared" si="67"/>
        <v>#N/A</v>
      </c>
      <c r="Y101" s="658"/>
      <c r="Z101" s="183"/>
      <c r="AA101" s="183"/>
      <c r="AB101" s="183"/>
      <c r="AC101" s="520" t="e">
        <f t="shared" si="69"/>
        <v>#N/A</v>
      </c>
      <c r="AD101" s="658"/>
      <c r="AE101" s="183"/>
      <c r="AF101" s="183"/>
      <c r="AG101" s="183"/>
      <c r="AH101" s="520" t="e">
        <f t="shared" si="71"/>
        <v>#N/A</v>
      </c>
      <c r="AI101" s="658"/>
      <c r="AJ101" s="183"/>
      <c r="AK101" s="183"/>
      <c r="AL101" s="183"/>
      <c r="AM101" s="520" t="e">
        <f t="shared" si="73"/>
        <v>#N/A</v>
      </c>
      <c r="AN101" s="658"/>
      <c r="AO101" s="183"/>
      <c r="AP101" s="183"/>
      <c r="AQ101" s="183"/>
      <c r="AR101" s="520" t="e">
        <f t="shared" si="75"/>
        <v>#N/A</v>
      </c>
      <c r="AS101" s="658"/>
      <c r="AT101" s="183"/>
      <c r="AU101" s="183"/>
      <c r="AV101" s="183"/>
      <c r="AW101" s="520" t="e">
        <f t="shared" si="77"/>
        <v>#N/A</v>
      </c>
      <c r="AX101" s="658"/>
    </row>
    <row r="102" spans="2:50" ht="15.5">
      <c r="B102" s="631" t="s">
        <v>163</v>
      </c>
      <c r="C102" s="632"/>
      <c r="D102" s="632"/>
      <c r="E102" s="632"/>
      <c r="F102" s="632"/>
      <c r="G102" s="632"/>
      <c r="H102" s="633"/>
      <c r="I102" s="209"/>
      <c r="J102" s="209"/>
      <c r="K102" s="209"/>
      <c r="L102" s="209"/>
      <c r="M102" s="208"/>
      <c r="N102" s="620" t="s">
        <v>156</v>
      </c>
      <c r="O102" s="620" t="s">
        <v>105</v>
      </c>
      <c r="P102" s="626">
        <f>P82+7</f>
        <v>46021</v>
      </c>
      <c r="Q102" s="627"/>
      <c r="R102" s="627"/>
      <c r="S102" s="627"/>
      <c r="T102" s="627"/>
      <c r="U102" s="623">
        <f>P102+1</f>
        <v>46022</v>
      </c>
      <c r="V102" s="624"/>
      <c r="W102" s="624"/>
      <c r="X102" s="624"/>
      <c r="Y102" s="625"/>
      <c r="Z102" s="623">
        <f>U102+1</f>
        <v>46023</v>
      </c>
      <c r="AA102" s="624"/>
      <c r="AB102" s="624"/>
      <c r="AC102" s="624"/>
      <c r="AD102" s="625"/>
      <c r="AE102" s="623">
        <f>Z102+1</f>
        <v>46024</v>
      </c>
      <c r="AF102" s="624"/>
      <c r="AG102" s="624"/>
      <c r="AH102" s="624"/>
      <c r="AI102" s="625"/>
      <c r="AJ102" s="623">
        <f>AE102+1</f>
        <v>46025</v>
      </c>
      <c r="AK102" s="624"/>
      <c r="AL102" s="624"/>
      <c r="AM102" s="624"/>
      <c r="AN102" s="625"/>
      <c r="AO102" s="623">
        <f>AJ102+1</f>
        <v>46026</v>
      </c>
      <c r="AP102" s="624"/>
      <c r="AQ102" s="624"/>
      <c r="AR102" s="624"/>
      <c r="AS102" s="625"/>
      <c r="AT102" s="623">
        <f>AO102+1</f>
        <v>46027</v>
      </c>
      <c r="AU102" s="624"/>
      <c r="AV102" s="624"/>
      <c r="AW102" s="624"/>
      <c r="AX102" s="625"/>
    </row>
    <row r="103" spans="2:50" ht="15.5">
      <c r="B103" s="634"/>
      <c r="C103" s="634"/>
      <c r="D103" s="634"/>
      <c r="E103" s="634"/>
      <c r="F103" s="634"/>
      <c r="G103" s="634"/>
      <c r="H103" s="634"/>
      <c r="I103" s="206"/>
      <c r="J103" s="206"/>
      <c r="K103" s="206"/>
      <c r="L103" s="206"/>
      <c r="M103" s="207"/>
      <c r="N103" s="622"/>
      <c r="O103" s="622"/>
      <c r="P103" s="626" t="s">
        <v>158</v>
      </c>
      <c r="Q103" s="627"/>
      <c r="R103" s="627"/>
      <c r="S103" s="627"/>
      <c r="T103" s="627"/>
      <c r="U103" s="626" t="s">
        <v>114</v>
      </c>
      <c r="V103" s="627"/>
      <c r="W103" s="627"/>
      <c r="X103" s="627"/>
      <c r="Y103" s="627"/>
      <c r="Z103" s="626" t="s">
        <v>159</v>
      </c>
      <c r="AA103" s="627"/>
      <c r="AB103" s="627"/>
      <c r="AC103" s="627"/>
      <c r="AD103" s="627"/>
      <c r="AE103" s="626" t="s">
        <v>157</v>
      </c>
      <c r="AF103" s="627"/>
      <c r="AG103" s="627"/>
      <c r="AH103" s="627"/>
      <c r="AI103" s="627"/>
      <c r="AJ103" s="626" t="s">
        <v>160</v>
      </c>
      <c r="AK103" s="627"/>
      <c r="AL103" s="627"/>
      <c r="AM103" s="627"/>
      <c r="AN103" s="627"/>
      <c r="AO103" s="626" t="s">
        <v>115</v>
      </c>
      <c r="AP103" s="627"/>
      <c r="AQ103" s="627"/>
      <c r="AR103" s="627"/>
      <c r="AS103" s="627"/>
      <c r="AT103" s="626" t="s">
        <v>162</v>
      </c>
      <c r="AU103" s="627"/>
      <c r="AV103" s="627"/>
      <c r="AW103" s="627"/>
      <c r="AX103" s="627"/>
    </row>
    <row r="104" spans="2:50">
      <c r="B104" s="619" t="s">
        <v>154</v>
      </c>
      <c r="C104" s="619" t="s">
        <v>453</v>
      </c>
      <c r="D104" s="619"/>
      <c r="E104" s="619" t="s">
        <v>444</v>
      </c>
      <c r="F104" s="619"/>
      <c r="G104" s="619"/>
      <c r="H104" s="635" t="s">
        <v>440</v>
      </c>
      <c r="I104" s="603" t="s">
        <v>445</v>
      </c>
      <c r="J104" s="603"/>
      <c r="K104" s="603"/>
      <c r="L104" s="604" t="s">
        <v>440</v>
      </c>
      <c r="M104" s="610" t="s">
        <v>441</v>
      </c>
      <c r="N104" s="619"/>
      <c r="O104" s="619" t="s">
        <v>446</v>
      </c>
      <c r="P104" s="616" t="s">
        <v>442</v>
      </c>
      <c r="Q104" s="617"/>
      <c r="R104" s="617"/>
      <c r="S104" s="618"/>
      <c r="T104" s="619" t="s">
        <v>440</v>
      </c>
      <c r="U104" s="616" t="s">
        <v>442</v>
      </c>
      <c r="V104" s="617"/>
      <c r="W104" s="617"/>
      <c r="X104" s="618"/>
      <c r="Y104" s="619" t="s">
        <v>440</v>
      </c>
      <c r="Z104" s="616" t="s">
        <v>442</v>
      </c>
      <c r="AA104" s="617"/>
      <c r="AB104" s="617"/>
      <c r="AC104" s="618"/>
      <c r="AD104" s="619" t="s">
        <v>440</v>
      </c>
      <c r="AE104" s="616" t="s">
        <v>442</v>
      </c>
      <c r="AF104" s="617"/>
      <c r="AG104" s="617"/>
      <c r="AH104" s="618"/>
      <c r="AI104" s="619" t="s">
        <v>440</v>
      </c>
      <c r="AJ104" s="616" t="s">
        <v>442</v>
      </c>
      <c r="AK104" s="617"/>
      <c r="AL104" s="617"/>
      <c r="AM104" s="618"/>
      <c r="AN104" s="619" t="s">
        <v>440</v>
      </c>
      <c r="AO104" s="616" t="s">
        <v>442</v>
      </c>
      <c r="AP104" s="617"/>
      <c r="AQ104" s="617"/>
      <c r="AR104" s="618"/>
      <c r="AS104" s="619" t="s">
        <v>440</v>
      </c>
      <c r="AT104" s="616" t="s">
        <v>442</v>
      </c>
      <c r="AU104" s="617"/>
      <c r="AV104" s="617"/>
      <c r="AW104" s="618"/>
      <c r="AX104" s="619" t="s">
        <v>440</v>
      </c>
    </row>
    <row r="105" spans="2:50">
      <c r="B105" s="619"/>
      <c r="C105" s="619"/>
      <c r="D105" s="619"/>
      <c r="E105" s="619" t="s">
        <v>447</v>
      </c>
      <c r="F105" s="619"/>
      <c r="G105" s="619"/>
      <c r="H105" s="636"/>
      <c r="I105" s="603" t="s">
        <v>447</v>
      </c>
      <c r="J105" s="603"/>
      <c r="K105" s="603"/>
      <c r="L105" s="605"/>
      <c r="M105" s="611"/>
      <c r="N105" s="619"/>
      <c r="O105" s="619"/>
      <c r="P105" s="616" t="s">
        <v>448</v>
      </c>
      <c r="Q105" s="617"/>
      <c r="R105" s="617"/>
      <c r="S105" s="618"/>
      <c r="T105" s="619"/>
      <c r="U105" s="616" t="s">
        <v>448</v>
      </c>
      <c r="V105" s="617"/>
      <c r="W105" s="617"/>
      <c r="X105" s="618"/>
      <c r="Y105" s="619"/>
      <c r="Z105" s="616" t="s">
        <v>448</v>
      </c>
      <c r="AA105" s="617"/>
      <c r="AB105" s="617"/>
      <c r="AC105" s="618"/>
      <c r="AD105" s="619"/>
      <c r="AE105" s="616" t="s">
        <v>448</v>
      </c>
      <c r="AF105" s="617"/>
      <c r="AG105" s="617"/>
      <c r="AH105" s="618"/>
      <c r="AI105" s="619"/>
      <c r="AJ105" s="616" t="s">
        <v>448</v>
      </c>
      <c r="AK105" s="617"/>
      <c r="AL105" s="617"/>
      <c r="AM105" s="618"/>
      <c r="AN105" s="619"/>
      <c r="AO105" s="616" t="s">
        <v>448</v>
      </c>
      <c r="AP105" s="617"/>
      <c r="AQ105" s="617"/>
      <c r="AR105" s="618"/>
      <c r="AS105" s="619"/>
      <c r="AT105" s="616" t="s">
        <v>448</v>
      </c>
      <c r="AU105" s="617"/>
      <c r="AV105" s="617"/>
      <c r="AW105" s="618"/>
      <c r="AX105" s="619"/>
    </row>
    <row r="106" spans="2:50">
      <c r="B106" s="619"/>
      <c r="C106" s="619"/>
      <c r="D106" s="619"/>
      <c r="E106" s="357" t="s">
        <v>449</v>
      </c>
      <c r="F106" s="357" t="s">
        <v>450</v>
      </c>
      <c r="G106" s="357" t="s">
        <v>451</v>
      </c>
      <c r="H106" s="637"/>
      <c r="I106" s="358" t="s">
        <v>449</v>
      </c>
      <c r="J106" s="358" t="s">
        <v>450</v>
      </c>
      <c r="K106" s="358" t="s">
        <v>451</v>
      </c>
      <c r="L106" s="606"/>
      <c r="M106" s="612"/>
      <c r="N106" s="619"/>
      <c r="O106" s="619"/>
      <c r="P106" s="357" t="s">
        <v>449</v>
      </c>
      <c r="Q106" s="357" t="s">
        <v>450</v>
      </c>
      <c r="R106" s="357" t="s">
        <v>451</v>
      </c>
      <c r="S106" s="357" t="s">
        <v>441</v>
      </c>
      <c r="T106" s="619"/>
      <c r="U106" s="357" t="s">
        <v>449</v>
      </c>
      <c r="V106" s="357" t="s">
        <v>450</v>
      </c>
      <c r="W106" s="357" t="s">
        <v>451</v>
      </c>
      <c r="X106" s="357" t="s">
        <v>441</v>
      </c>
      <c r="Y106" s="619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9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9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9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9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9"/>
    </row>
    <row r="107" spans="2:50">
      <c r="B107" s="660" t="s">
        <v>452</v>
      </c>
      <c r="C107" s="356">
        <v>1</v>
      </c>
      <c r="D107" s="228"/>
      <c r="E107" s="183"/>
      <c r="F107" s="356"/>
      <c r="G107" s="359"/>
      <c r="H107" s="661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00" t="str">
        <f>IFERROR(AVERAGE(K107:K121),"-")</f>
        <v>-</v>
      </c>
      <c r="M107" s="202" t="e">
        <f>RANK(K107, K$87:$K$101)</f>
        <v>#DIV/0!</v>
      </c>
      <c r="N107" s="619"/>
      <c r="O107" s="619"/>
      <c r="P107" s="183"/>
      <c r="Q107" s="183"/>
      <c r="R107" s="183"/>
      <c r="S107" s="356" t="e">
        <f>RANK(R107, R$107:R$121)</f>
        <v>#N/A</v>
      </c>
      <c r="T107" s="658" t="e">
        <f>AVERAGE(R107:R121)</f>
        <v>#DIV/0!</v>
      </c>
      <c r="U107" s="183"/>
      <c r="V107" s="183"/>
      <c r="W107" s="183"/>
      <c r="X107" s="370" t="e">
        <f>RANK(W107, W$107:W$121)</f>
        <v>#N/A</v>
      </c>
      <c r="Y107" s="658" t="e">
        <f>AVERAGE(W107:W121)</f>
        <v>#DIV/0!</v>
      </c>
      <c r="Z107" s="183"/>
      <c r="AA107" s="183"/>
      <c r="AB107" s="183"/>
      <c r="AC107" s="370" t="e">
        <f>RANK(AB107, AB$107:AB$121)</f>
        <v>#N/A</v>
      </c>
      <c r="AD107" s="658" t="e">
        <f>AVERAGE(AB107:AB121)</f>
        <v>#DIV/0!</v>
      </c>
      <c r="AE107" s="183"/>
      <c r="AF107" s="183"/>
      <c r="AG107" s="183"/>
      <c r="AH107" s="370" t="e">
        <f>RANK(AG107, AG$107:AG$121)</f>
        <v>#N/A</v>
      </c>
      <c r="AI107" s="658" t="e">
        <f>AVERAGE(AG107:AG121)</f>
        <v>#DIV/0!</v>
      </c>
      <c r="AJ107" s="183"/>
      <c r="AK107" s="183"/>
      <c r="AL107" s="183"/>
      <c r="AM107" s="370" t="e">
        <f>RANK(AL107, AL$107:AL$121)</f>
        <v>#N/A</v>
      </c>
      <c r="AN107" s="658" t="e">
        <f>AVERAGE(AL107:AL121)</f>
        <v>#DIV/0!</v>
      </c>
      <c r="AO107" s="183"/>
      <c r="AP107" s="183"/>
      <c r="AQ107" s="183"/>
      <c r="AR107" s="370" t="e">
        <f>RANK(AQ107, AQ$107:AQ$121)</f>
        <v>#N/A</v>
      </c>
      <c r="AS107" s="658" t="e">
        <f>AVERAGE(AQ107:AQ121)</f>
        <v>#DIV/0!</v>
      </c>
      <c r="AT107" s="183"/>
      <c r="AU107" s="183"/>
      <c r="AV107" s="183"/>
      <c r="AW107" s="370" t="e">
        <f>RANK(AV107, AV$107:AV$121)</f>
        <v>#N/A</v>
      </c>
      <c r="AX107" s="658" t="e">
        <f>AVERAGE(AV107:AV121)</f>
        <v>#DIV/0!</v>
      </c>
    </row>
    <row r="108" spans="2:50">
      <c r="B108" s="627"/>
      <c r="C108" s="356">
        <v>2</v>
      </c>
      <c r="D108" s="228"/>
      <c r="E108" s="183"/>
      <c r="F108" s="356"/>
      <c r="G108" s="359"/>
      <c r="H108" s="662"/>
      <c r="I108" s="200" t="e">
        <f t="shared" ref="I108:I117" si="81">AVERAGE(P108,U108,Z108,AE108,AJ108,AO108,AT108)</f>
        <v>#DIV/0!</v>
      </c>
      <c r="J108" s="200" t="e">
        <f t="shared" ref="J108:J117" si="82">AVERAGE(Q108,V108,AA108,AF108,AK108,AP108,AU108)</f>
        <v>#DIV/0!</v>
      </c>
      <c r="K108" s="201" t="e">
        <f t="shared" ref="K108:K117" si="83">AVERAGE(R108,W108,AB108,AG108,AL108,AQ108,AV108)</f>
        <v>#DIV/0!</v>
      </c>
      <c r="L108" s="601"/>
      <c r="M108" s="202" t="e">
        <f>RANK(K108, K$87:$K$101)</f>
        <v>#DIV/0!</v>
      </c>
      <c r="N108" s="619"/>
      <c r="O108" s="619"/>
      <c r="P108" s="183"/>
      <c r="Q108" s="183"/>
      <c r="R108" s="183"/>
      <c r="S108" s="370" t="e">
        <f t="shared" ref="S108:S121" si="84">RANK(R108, R$107:R$121)</f>
        <v>#N/A</v>
      </c>
      <c r="T108" s="658"/>
      <c r="U108" s="183"/>
      <c r="V108" s="183"/>
      <c r="W108" s="183"/>
      <c r="X108" s="370" t="e">
        <f t="shared" ref="X108:X121" si="85">RANK(W108, W$107:W$121)</f>
        <v>#N/A</v>
      </c>
      <c r="Y108" s="658"/>
      <c r="Z108" s="183"/>
      <c r="AA108" s="183"/>
      <c r="AB108" s="183"/>
      <c r="AC108" s="370" t="e">
        <f t="shared" ref="AC108:AC121" si="86">RANK(AB108, AB$107:AB$121)</f>
        <v>#N/A</v>
      </c>
      <c r="AD108" s="658"/>
      <c r="AE108" s="183"/>
      <c r="AF108" s="183"/>
      <c r="AG108" s="183"/>
      <c r="AH108" s="370" t="e">
        <f t="shared" ref="AH108:AH121" si="87">RANK(AG108, AG$107:AG$121)</f>
        <v>#N/A</v>
      </c>
      <c r="AI108" s="658"/>
      <c r="AJ108" s="183"/>
      <c r="AK108" s="183"/>
      <c r="AL108" s="183"/>
      <c r="AM108" s="370" t="e">
        <f t="shared" ref="AM108:AM121" si="88">RANK(AL108, AL$107:AL$121)</f>
        <v>#N/A</v>
      </c>
      <c r="AN108" s="658"/>
      <c r="AO108" s="183"/>
      <c r="AP108" s="183"/>
      <c r="AQ108" s="183"/>
      <c r="AR108" s="370" t="e">
        <f t="shared" ref="AR108:AR121" si="89">RANK(AQ108, AQ$107:AQ$121)</f>
        <v>#N/A</v>
      </c>
      <c r="AS108" s="658"/>
      <c r="AT108" s="183"/>
      <c r="AU108" s="183"/>
      <c r="AV108" s="183"/>
      <c r="AW108" s="370" t="e">
        <f t="shared" ref="AW108:AW121" si="90">RANK(AV108, AV$107:AV$121)</f>
        <v>#N/A</v>
      </c>
      <c r="AX108" s="658"/>
    </row>
    <row r="109" spans="2:50">
      <c r="B109" s="627"/>
      <c r="C109" s="356">
        <v>3</v>
      </c>
      <c r="D109" s="228"/>
      <c r="E109" s="183"/>
      <c r="F109" s="356"/>
      <c r="G109" s="359"/>
      <c r="H109" s="662"/>
      <c r="I109" s="200" t="e">
        <f t="shared" si="81"/>
        <v>#DIV/0!</v>
      </c>
      <c r="J109" s="200" t="e">
        <f t="shared" si="82"/>
        <v>#DIV/0!</v>
      </c>
      <c r="K109" s="201" t="e">
        <f t="shared" si="83"/>
        <v>#DIV/0!</v>
      </c>
      <c r="L109" s="601"/>
      <c r="M109" s="202" t="e">
        <f>RANK(K109, K$87:$K$101)</f>
        <v>#DIV/0!</v>
      </c>
      <c r="N109" s="619"/>
      <c r="O109" s="619"/>
      <c r="P109" s="183"/>
      <c r="Q109" s="183"/>
      <c r="R109" s="183"/>
      <c r="S109" s="370" t="e">
        <f t="shared" si="84"/>
        <v>#N/A</v>
      </c>
      <c r="T109" s="658"/>
      <c r="U109" s="183"/>
      <c r="V109" s="183"/>
      <c r="W109" s="183"/>
      <c r="X109" s="370" t="e">
        <f t="shared" si="85"/>
        <v>#N/A</v>
      </c>
      <c r="Y109" s="658"/>
      <c r="Z109" s="183"/>
      <c r="AA109" s="183"/>
      <c r="AB109" s="183"/>
      <c r="AC109" s="370" t="e">
        <f t="shared" si="86"/>
        <v>#N/A</v>
      </c>
      <c r="AD109" s="658"/>
      <c r="AE109" s="183"/>
      <c r="AF109" s="183"/>
      <c r="AG109" s="183"/>
      <c r="AH109" s="370" t="e">
        <f t="shared" si="87"/>
        <v>#N/A</v>
      </c>
      <c r="AI109" s="658"/>
      <c r="AJ109" s="183"/>
      <c r="AK109" s="183"/>
      <c r="AL109" s="183"/>
      <c r="AM109" s="370" t="e">
        <f t="shared" si="88"/>
        <v>#N/A</v>
      </c>
      <c r="AN109" s="658"/>
      <c r="AO109" s="183"/>
      <c r="AP109" s="183"/>
      <c r="AQ109" s="183"/>
      <c r="AR109" s="370" t="e">
        <f t="shared" si="89"/>
        <v>#N/A</v>
      </c>
      <c r="AS109" s="658"/>
      <c r="AT109" s="183"/>
      <c r="AU109" s="183"/>
      <c r="AV109" s="183"/>
      <c r="AW109" s="370" t="e">
        <f t="shared" si="90"/>
        <v>#N/A</v>
      </c>
      <c r="AX109" s="658"/>
    </row>
    <row r="110" spans="2:50">
      <c r="B110" s="627"/>
      <c r="C110" s="356">
        <v>4</v>
      </c>
      <c r="D110" s="228"/>
      <c r="E110" s="183"/>
      <c r="F110" s="356"/>
      <c r="G110" s="359"/>
      <c r="H110" s="662"/>
      <c r="I110" s="200" t="e">
        <f t="shared" si="81"/>
        <v>#DIV/0!</v>
      </c>
      <c r="J110" s="200" t="e">
        <f t="shared" si="82"/>
        <v>#DIV/0!</v>
      </c>
      <c r="K110" s="201" t="e">
        <f t="shared" si="83"/>
        <v>#DIV/0!</v>
      </c>
      <c r="L110" s="601"/>
      <c r="M110" s="202" t="e">
        <f>RANK(K110, K$87:$K$101)</f>
        <v>#DIV/0!</v>
      </c>
      <c r="N110" s="619"/>
      <c r="O110" s="619"/>
      <c r="P110" s="183"/>
      <c r="Q110" s="183"/>
      <c r="R110" s="183"/>
      <c r="S110" s="370" t="e">
        <f t="shared" si="84"/>
        <v>#N/A</v>
      </c>
      <c r="T110" s="658"/>
      <c r="U110" s="183"/>
      <c r="V110" s="183"/>
      <c r="W110" s="183"/>
      <c r="X110" s="370" t="e">
        <f t="shared" si="85"/>
        <v>#N/A</v>
      </c>
      <c r="Y110" s="658"/>
      <c r="Z110" s="183"/>
      <c r="AA110" s="183"/>
      <c r="AB110" s="183"/>
      <c r="AC110" s="370" t="e">
        <f t="shared" si="86"/>
        <v>#N/A</v>
      </c>
      <c r="AD110" s="658"/>
      <c r="AE110" s="183"/>
      <c r="AF110" s="183"/>
      <c r="AG110" s="183"/>
      <c r="AH110" s="370" t="e">
        <f t="shared" si="87"/>
        <v>#N/A</v>
      </c>
      <c r="AI110" s="658"/>
      <c r="AJ110" s="183"/>
      <c r="AK110" s="183"/>
      <c r="AL110" s="183"/>
      <c r="AM110" s="370" t="e">
        <f t="shared" si="88"/>
        <v>#N/A</v>
      </c>
      <c r="AN110" s="658"/>
      <c r="AO110" s="183"/>
      <c r="AP110" s="183"/>
      <c r="AQ110" s="183"/>
      <c r="AR110" s="370" t="e">
        <f t="shared" si="89"/>
        <v>#N/A</v>
      </c>
      <c r="AS110" s="658"/>
      <c r="AT110" s="183"/>
      <c r="AU110" s="183"/>
      <c r="AV110" s="183"/>
      <c r="AW110" s="370" t="e">
        <f t="shared" si="90"/>
        <v>#N/A</v>
      </c>
      <c r="AX110" s="658"/>
    </row>
    <row r="111" spans="2:50">
      <c r="B111" s="627"/>
      <c r="C111" s="356">
        <v>5</v>
      </c>
      <c r="D111" s="228"/>
      <c r="E111" s="183"/>
      <c r="F111" s="356"/>
      <c r="G111" s="359"/>
      <c r="H111" s="662"/>
      <c r="I111" s="200" t="e">
        <f t="shared" si="81"/>
        <v>#DIV/0!</v>
      </c>
      <c r="J111" s="200" t="e">
        <f t="shared" si="82"/>
        <v>#DIV/0!</v>
      </c>
      <c r="K111" s="201" t="e">
        <f t="shared" si="83"/>
        <v>#DIV/0!</v>
      </c>
      <c r="L111" s="601"/>
      <c r="M111" s="202" t="e">
        <f>RANK(K111, K$87:$K$101)</f>
        <v>#DIV/0!</v>
      </c>
      <c r="N111" s="619"/>
      <c r="O111" s="619"/>
      <c r="P111" s="183"/>
      <c r="Q111" s="183"/>
      <c r="R111" s="183"/>
      <c r="S111" s="370" t="e">
        <f t="shared" si="84"/>
        <v>#N/A</v>
      </c>
      <c r="T111" s="658"/>
      <c r="U111" s="183"/>
      <c r="V111" s="183"/>
      <c r="W111" s="183"/>
      <c r="X111" s="370" t="e">
        <f t="shared" si="85"/>
        <v>#N/A</v>
      </c>
      <c r="Y111" s="658"/>
      <c r="Z111" s="183"/>
      <c r="AA111" s="183"/>
      <c r="AB111" s="183"/>
      <c r="AC111" s="370" t="e">
        <f t="shared" si="86"/>
        <v>#N/A</v>
      </c>
      <c r="AD111" s="658"/>
      <c r="AE111" s="183"/>
      <c r="AF111" s="183"/>
      <c r="AG111" s="183"/>
      <c r="AH111" s="370" t="e">
        <f t="shared" si="87"/>
        <v>#N/A</v>
      </c>
      <c r="AI111" s="658"/>
      <c r="AJ111" s="183"/>
      <c r="AK111" s="183"/>
      <c r="AL111" s="183"/>
      <c r="AM111" s="370" t="e">
        <f t="shared" si="88"/>
        <v>#N/A</v>
      </c>
      <c r="AN111" s="658"/>
      <c r="AO111" s="183"/>
      <c r="AP111" s="183"/>
      <c r="AQ111" s="183"/>
      <c r="AR111" s="370" t="e">
        <f t="shared" si="89"/>
        <v>#N/A</v>
      </c>
      <c r="AS111" s="658"/>
      <c r="AT111" s="183"/>
      <c r="AU111" s="183"/>
      <c r="AV111" s="183"/>
      <c r="AW111" s="370" t="e">
        <f t="shared" si="90"/>
        <v>#N/A</v>
      </c>
      <c r="AX111" s="658"/>
    </row>
    <row r="112" spans="2:50">
      <c r="B112" s="627"/>
      <c r="C112" s="356">
        <v>6</v>
      </c>
      <c r="D112" s="228"/>
      <c r="E112" s="183"/>
      <c r="F112" s="356"/>
      <c r="G112" s="359"/>
      <c r="H112" s="662"/>
      <c r="I112" s="200" t="e">
        <f t="shared" si="81"/>
        <v>#DIV/0!</v>
      </c>
      <c r="J112" s="200" t="e">
        <f t="shared" si="82"/>
        <v>#DIV/0!</v>
      </c>
      <c r="K112" s="201" t="e">
        <f t="shared" si="83"/>
        <v>#DIV/0!</v>
      </c>
      <c r="L112" s="601"/>
      <c r="M112" s="202" t="e">
        <f>RANK(K112, K$87:$K$101)</f>
        <v>#DIV/0!</v>
      </c>
      <c r="N112" s="619"/>
      <c r="O112" s="619"/>
      <c r="P112" s="183"/>
      <c r="Q112" s="183"/>
      <c r="R112" s="183"/>
      <c r="S112" s="370" t="e">
        <f t="shared" si="84"/>
        <v>#N/A</v>
      </c>
      <c r="T112" s="658"/>
      <c r="U112" s="183"/>
      <c r="V112" s="183"/>
      <c r="W112" s="183"/>
      <c r="X112" s="370" t="e">
        <f t="shared" si="85"/>
        <v>#N/A</v>
      </c>
      <c r="Y112" s="658"/>
      <c r="Z112" s="183"/>
      <c r="AA112" s="183"/>
      <c r="AB112" s="183"/>
      <c r="AC112" s="370" t="e">
        <f t="shared" si="86"/>
        <v>#N/A</v>
      </c>
      <c r="AD112" s="658"/>
      <c r="AE112" s="183"/>
      <c r="AF112" s="183"/>
      <c r="AG112" s="183"/>
      <c r="AH112" s="370" t="e">
        <f t="shared" si="87"/>
        <v>#N/A</v>
      </c>
      <c r="AI112" s="658"/>
      <c r="AJ112" s="183"/>
      <c r="AK112" s="183"/>
      <c r="AL112" s="183"/>
      <c r="AM112" s="370" t="e">
        <f t="shared" si="88"/>
        <v>#N/A</v>
      </c>
      <c r="AN112" s="658"/>
      <c r="AO112" s="183"/>
      <c r="AP112" s="183"/>
      <c r="AQ112" s="183"/>
      <c r="AR112" s="370" t="e">
        <f t="shared" si="89"/>
        <v>#N/A</v>
      </c>
      <c r="AS112" s="658"/>
      <c r="AT112" s="183"/>
      <c r="AU112" s="183"/>
      <c r="AV112" s="183"/>
      <c r="AW112" s="370" t="e">
        <f t="shared" si="90"/>
        <v>#N/A</v>
      </c>
      <c r="AX112" s="658"/>
    </row>
    <row r="113" spans="2:50">
      <c r="B113" s="627"/>
      <c r="C113" s="356">
        <v>7</v>
      </c>
      <c r="D113" s="228"/>
      <c r="E113" s="183"/>
      <c r="F113" s="356"/>
      <c r="G113" s="359"/>
      <c r="H113" s="662"/>
      <c r="I113" s="200" t="e">
        <f t="shared" si="81"/>
        <v>#DIV/0!</v>
      </c>
      <c r="J113" s="200" t="e">
        <f t="shared" si="82"/>
        <v>#DIV/0!</v>
      </c>
      <c r="K113" s="201" t="e">
        <f t="shared" si="83"/>
        <v>#DIV/0!</v>
      </c>
      <c r="L113" s="601"/>
      <c r="M113" s="202" t="e">
        <f>RANK(K113, K$87:$K$101)</f>
        <v>#DIV/0!</v>
      </c>
      <c r="N113" s="619"/>
      <c r="O113" s="619"/>
      <c r="P113" s="183"/>
      <c r="Q113" s="183"/>
      <c r="R113" s="183"/>
      <c r="S113" s="370" t="e">
        <f t="shared" si="84"/>
        <v>#N/A</v>
      </c>
      <c r="T113" s="658"/>
      <c r="U113" s="183"/>
      <c r="V113" s="183"/>
      <c r="W113" s="183"/>
      <c r="X113" s="370" t="e">
        <f t="shared" si="85"/>
        <v>#N/A</v>
      </c>
      <c r="Y113" s="658"/>
      <c r="Z113" s="183"/>
      <c r="AA113" s="183"/>
      <c r="AB113" s="183"/>
      <c r="AC113" s="370" t="e">
        <f t="shared" si="86"/>
        <v>#N/A</v>
      </c>
      <c r="AD113" s="658"/>
      <c r="AE113" s="183"/>
      <c r="AF113" s="183"/>
      <c r="AG113" s="183"/>
      <c r="AH113" s="370" t="e">
        <f t="shared" si="87"/>
        <v>#N/A</v>
      </c>
      <c r="AI113" s="658"/>
      <c r="AJ113" s="183"/>
      <c r="AK113" s="183"/>
      <c r="AL113" s="183"/>
      <c r="AM113" s="370" t="e">
        <f t="shared" si="88"/>
        <v>#N/A</v>
      </c>
      <c r="AN113" s="658"/>
      <c r="AO113" s="183"/>
      <c r="AP113" s="183"/>
      <c r="AQ113" s="183"/>
      <c r="AR113" s="370" t="e">
        <f t="shared" si="89"/>
        <v>#N/A</v>
      </c>
      <c r="AS113" s="658"/>
      <c r="AT113" s="183"/>
      <c r="AU113" s="183"/>
      <c r="AV113" s="183"/>
      <c r="AW113" s="370" t="e">
        <f t="shared" si="90"/>
        <v>#N/A</v>
      </c>
      <c r="AX113" s="658"/>
    </row>
    <row r="114" spans="2:50">
      <c r="B114" s="627"/>
      <c r="C114" s="356">
        <v>8</v>
      </c>
      <c r="D114" s="228"/>
      <c r="E114" s="183"/>
      <c r="F114" s="356"/>
      <c r="G114" s="359"/>
      <c r="H114" s="662"/>
      <c r="I114" s="200" t="e">
        <f t="shared" si="81"/>
        <v>#DIV/0!</v>
      </c>
      <c r="J114" s="200" t="e">
        <f t="shared" si="82"/>
        <v>#DIV/0!</v>
      </c>
      <c r="K114" s="201" t="e">
        <f t="shared" si="83"/>
        <v>#DIV/0!</v>
      </c>
      <c r="L114" s="601"/>
      <c r="M114" s="202" t="e">
        <f>RANK(K114, K$87:$K$101)</f>
        <v>#DIV/0!</v>
      </c>
      <c r="N114" s="619"/>
      <c r="O114" s="619"/>
      <c r="P114" s="183"/>
      <c r="Q114" s="183"/>
      <c r="R114" s="183"/>
      <c r="S114" s="370" t="e">
        <f t="shared" si="84"/>
        <v>#N/A</v>
      </c>
      <c r="T114" s="658"/>
      <c r="U114" s="183"/>
      <c r="V114" s="183"/>
      <c r="W114" s="183"/>
      <c r="X114" s="370" t="e">
        <f t="shared" si="85"/>
        <v>#N/A</v>
      </c>
      <c r="Y114" s="658"/>
      <c r="Z114" s="183"/>
      <c r="AA114" s="183"/>
      <c r="AB114" s="183"/>
      <c r="AC114" s="370" t="e">
        <f t="shared" si="86"/>
        <v>#N/A</v>
      </c>
      <c r="AD114" s="658"/>
      <c r="AE114" s="183"/>
      <c r="AF114" s="183"/>
      <c r="AG114" s="183"/>
      <c r="AH114" s="370" t="e">
        <f t="shared" si="87"/>
        <v>#N/A</v>
      </c>
      <c r="AI114" s="658"/>
      <c r="AJ114" s="183"/>
      <c r="AK114" s="183"/>
      <c r="AL114" s="183"/>
      <c r="AM114" s="370" t="e">
        <f t="shared" si="88"/>
        <v>#N/A</v>
      </c>
      <c r="AN114" s="658"/>
      <c r="AO114" s="183"/>
      <c r="AP114" s="183"/>
      <c r="AQ114" s="183"/>
      <c r="AR114" s="370" t="e">
        <f t="shared" si="89"/>
        <v>#N/A</v>
      </c>
      <c r="AS114" s="658"/>
      <c r="AT114" s="183"/>
      <c r="AU114" s="183"/>
      <c r="AV114" s="183"/>
      <c r="AW114" s="370" t="e">
        <f t="shared" si="90"/>
        <v>#N/A</v>
      </c>
      <c r="AX114" s="658"/>
    </row>
    <row r="115" spans="2:50">
      <c r="B115" s="627"/>
      <c r="C115" s="356">
        <v>9</v>
      </c>
      <c r="D115" s="228"/>
      <c r="E115" s="183"/>
      <c r="F115" s="356"/>
      <c r="G115" s="359"/>
      <c r="H115" s="662"/>
      <c r="I115" s="200" t="e">
        <f t="shared" si="81"/>
        <v>#DIV/0!</v>
      </c>
      <c r="J115" s="200" t="e">
        <f t="shared" si="82"/>
        <v>#DIV/0!</v>
      </c>
      <c r="K115" s="201" t="e">
        <f t="shared" si="83"/>
        <v>#DIV/0!</v>
      </c>
      <c r="L115" s="601"/>
      <c r="M115" s="202" t="e">
        <f>RANK(K115, K$87:$K$101)</f>
        <v>#DIV/0!</v>
      </c>
      <c r="N115" s="619"/>
      <c r="O115" s="619"/>
      <c r="P115" s="183"/>
      <c r="Q115" s="183"/>
      <c r="R115" s="183"/>
      <c r="S115" s="370" t="e">
        <f t="shared" si="84"/>
        <v>#N/A</v>
      </c>
      <c r="T115" s="658"/>
      <c r="U115" s="183"/>
      <c r="V115" s="183"/>
      <c r="W115" s="183"/>
      <c r="X115" s="370" t="e">
        <f t="shared" si="85"/>
        <v>#N/A</v>
      </c>
      <c r="Y115" s="658"/>
      <c r="Z115" s="183"/>
      <c r="AA115" s="183"/>
      <c r="AB115" s="183"/>
      <c r="AC115" s="370" t="e">
        <f t="shared" si="86"/>
        <v>#N/A</v>
      </c>
      <c r="AD115" s="658"/>
      <c r="AE115" s="183"/>
      <c r="AF115" s="183"/>
      <c r="AG115" s="183"/>
      <c r="AH115" s="370" t="e">
        <f t="shared" si="87"/>
        <v>#N/A</v>
      </c>
      <c r="AI115" s="658"/>
      <c r="AJ115" s="183"/>
      <c r="AK115" s="183"/>
      <c r="AL115" s="183"/>
      <c r="AM115" s="370" t="e">
        <f t="shared" si="88"/>
        <v>#N/A</v>
      </c>
      <c r="AN115" s="658"/>
      <c r="AO115" s="183"/>
      <c r="AP115" s="183"/>
      <c r="AQ115" s="183"/>
      <c r="AR115" s="370" t="e">
        <f t="shared" si="89"/>
        <v>#N/A</v>
      </c>
      <c r="AS115" s="658"/>
      <c r="AT115" s="183"/>
      <c r="AU115" s="183"/>
      <c r="AV115" s="183"/>
      <c r="AW115" s="370" t="e">
        <f t="shared" si="90"/>
        <v>#N/A</v>
      </c>
      <c r="AX115" s="658"/>
    </row>
    <row r="116" spans="2:50">
      <c r="B116" s="627"/>
      <c r="C116" s="356">
        <v>10</v>
      </c>
      <c r="D116" s="228"/>
      <c r="E116" s="183"/>
      <c r="F116" s="356"/>
      <c r="G116" s="359"/>
      <c r="H116" s="662"/>
      <c r="I116" s="200" t="e">
        <f t="shared" si="81"/>
        <v>#DIV/0!</v>
      </c>
      <c r="J116" s="200" t="e">
        <f t="shared" si="82"/>
        <v>#DIV/0!</v>
      </c>
      <c r="K116" s="201" t="e">
        <f t="shared" si="83"/>
        <v>#DIV/0!</v>
      </c>
      <c r="L116" s="601"/>
      <c r="M116" s="202" t="e">
        <f>RANK(K116, K$87:$K$101)</f>
        <v>#DIV/0!</v>
      </c>
      <c r="N116" s="619"/>
      <c r="O116" s="619"/>
      <c r="P116" s="183"/>
      <c r="Q116" s="183"/>
      <c r="R116" s="183"/>
      <c r="S116" s="370" t="e">
        <f t="shared" si="84"/>
        <v>#N/A</v>
      </c>
      <c r="T116" s="658"/>
      <c r="U116" s="183"/>
      <c r="V116" s="183"/>
      <c r="W116" s="183"/>
      <c r="X116" s="370" t="e">
        <f t="shared" si="85"/>
        <v>#N/A</v>
      </c>
      <c r="Y116" s="658"/>
      <c r="Z116" s="183"/>
      <c r="AA116" s="183"/>
      <c r="AB116" s="183"/>
      <c r="AC116" s="370" t="e">
        <f t="shared" si="86"/>
        <v>#N/A</v>
      </c>
      <c r="AD116" s="658"/>
      <c r="AE116" s="183"/>
      <c r="AF116" s="183"/>
      <c r="AG116" s="183"/>
      <c r="AH116" s="370" t="e">
        <f t="shared" si="87"/>
        <v>#N/A</v>
      </c>
      <c r="AI116" s="658"/>
      <c r="AJ116" s="183"/>
      <c r="AK116" s="183"/>
      <c r="AL116" s="183"/>
      <c r="AM116" s="370" t="e">
        <f t="shared" si="88"/>
        <v>#N/A</v>
      </c>
      <c r="AN116" s="658"/>
      <c r="AO116" s="183"/>
      <c r="AP116" s="183"/>
      <c r="AQ116" s="183"/>
      <c r="AR116" s="370" t="e">
        <f t="shared" si="89"/>
        <v>#N/A</v>
      </c>
      <c r="AS116" s="658"/>
      <c r="AT116" s="183"/>
      <c r="AU116" s="183"/>
      <c r="AV116" s="183"/>
      <c r="AW116" s="370" t="e">
        <f t="shared" si="90"/>
        <v>#N/A</v>
      </c>
      <c r="AX116" s="658"/>
    </row>
    <row r="117" spans="2:50">
      <c r="B117" s="627"/>
      <c r="C117" s="356">
        <v>11</v>
      </c>
      <c r="D117" s="228"/>
      <c r="E117" s="183"/>
      <c r="F117" s="356"/>
      <c r="G117" s="359"/>
      <c r="H117" s="662"/>
      <c r="I117" s="200" t="e">
        <f t="shared" si="81"/>
        <v>#DIV/0!</v>
      </c>
      <c r="J117" s="200" t="e">
        <f t="shared" si="82"/>
        <v>#DIV/0!</v>
      </c>
      <c r="K117" s="201" t="e">
        <f t="shared" si="83"/>
        <v>#DIV/0!</v>
      </c>
      <c r="L117" s="601"/>
      <c r="M117" s="202" t="e">
        <f>RANK(K117, K$87:$K$101)</f>
        <v>#DIV/0!</v>
      </c>
      <c r="N117" s="619"/>
      <c r="O117" s="619"/>
      <c r="P117" s="183"/>
      <c r="Q117" s="183"/>
      <c r="R117" s="183"/>
      <c r="S117" s="370" t="e">
        <f t="shared" si="84"/>
        <v>#N/A</v>
      </c>
      <c r="T117" s="658"/>
      <c r="U117" s="183"/>
      <c r="V117" s="183"/>
      <c r="W117" s="183"/>
      <c r="X117" s="370" t="e">
        <f t="shared" si="85"/>
        <v>#N/A</v>
      </c>
      <c r="Y117" s="658"/>
      <c r="Z117" s="183"/>
      <c r="AA117" s="183"/>
      <c r="AB117" s="183"/>
      <c r="AC117" s="370" t="e">
        <f t="shared" si="86"/>
        <v>#N/A</v>
      </c>
      <c r="AD117" s="658"/>
      <c r="AE117" s="183"/>
      <c r="AF117" s="183"/>
      <c r="AG117" s="183"/>
      <c r="AH117" s="370" t="e">
        <f t="shared" si="87"/>
        <v>#N/A</v>
      </c>
      <c r="AI117" s="658"/>
      <c r="AJ117" s="183"/>
      <c r="AK117" s="183"/>
      <c r="AL117" s="183"/>
      <c r="AM117" s="370" t="e">
        <f t="shared" si="88"/>
        <v>#N/A</v>
      </c>
      <c r="AN117" s="658"/>
      <c r="AO117" s="183"/>
      <c r="AP117" s="183"/>
      <c r="AQ117" s="183"/>
      <c r="AR117" s="370" t="e">
        <f t="shared" si="89"/>
        <v>#N/A</v>
      </c>
      <c r="AS117" s="658"/>
      <c r="AT117" s="183"/>
      <c r="AU117" s="183"/>
      <c r="AV117" s="183"/>
      <c r="AW117" s="370" t="e">
        <f t="shared" si="90"/>
        <v>#N/A</v>
      </c>
      <c r="AX117" s="658"/>
    </row>
    <row r="118" spans="2:50">
      <c r="B118" s="627"/>
      <c r="C118" s="356">
        <v>12</v>
      </c>
      <c r="D118" s="228"/>
      <c r="E118" s="183"/>
      <c r="F118" s="356"/>
      <c r="G118" s="359"/>
      <c r="H118" s="662"/>
      <c r="I118" s="372" t="e">
        <f t="shared" ref="I118" si="91">AVERAGE(P118,U118,Z118,AE118,AJ118,AO118,AT118)</f>
        <v>#DIV/0!</v>
      </c>
      <c r="J118" s="372" t="e">
        <f t="shared" ref="J118" si="92">AVERAGE(Q118,V118,AA118,AF118,AK118,AP118,AU118)</f>
        <v>#DIV/0!</v>
      </c>
      <c r="K118" s="201" t="e">
        <f t="shared" ref="K118" si="93">AVERAGE(R118,W118,AB118,AG118,AL118,AQ118,AV118)</f>
        <v>#DIV/0!</v>
      </c>
      <c r="L118" s="601"/>
      <c r="M118" s="202" t="e">
        <f>RANK(K118, K$87:$K$101)</f>
        <v>#DIV/0!</v>
      </c>
      <c r="N118" s="619"/>
      <c r="O118" s="619"/>
      <c r="P118" s="183"/>
      <c r="Q118" s="183"/>
      <c r="R118" s="183"/>
      <c r="S118" s="370" t="e">
        <f t="shared" si="84"/>
        <v>#N/A</v>
      </c>
      <c r="T118" s="658"/>
      <c r="U118" s="183"/>
      <c r="V118" s="183"/>
      <c r="W118" s="183"/>
      <c r="X118" s="370" t="e">
        <f t="shared" si="85"/>
        <v>#N/A</v>
      </c>
      <c r="Y118" s="658"/>
      <c r="Z118" s="183"/>
      <c r="AA118" s="183"/>
      <c r="AB118" s="183"/>
      <c r="AC118" s="370" t="e">
        <f t="shared" si="86"/>
        <v>#N/A</v>
      </c>
      <c r="AD118" s="658"/>
      <c r="AE118" s="183"/>
      <c r="AF118" s="183"/>
      <c r="AG118" s="183"/>
      <c r="AH118" s="370" t="e">
        <f t="shared" si="87"/>
        <v>#N/A</v>
      </c>
      <c r="AI118" s="658"/>
      <c r="AJ118" s="183"/>
      <c r="AK118" s="183"/>
      <c r="AL118" s="183"/>
      <c r="AM118" s="370" t="e">
        <f t="shared" si="88"/>
        <v>#N/A</v>
      </c>
      <c r="AN118" s="658"/>
      <c r="AO118" s="183"/>
      <c r="AP118" s="183"/>
      <c r="AQ118" s="183"/>
      <c r="AR118" s="370" t="e">
        <f t="shared" si="89"/>
        <v>#N/A</v>
      </c>
      <c r="AS118" s="658"/>
      <c r="AT118" s="183"/>
      <c r="AU118" s="183"/>
      <c r="AV118" s="183"/>
      <c r="AW118" s="370" t="e">
        <f t="shared" si="90"/>
        <v>#N/A</v>
      </c>
      <c r="AX118" s="658"/>
    </row>
    <row r="119" spans="2:50">
      <c r="B119" s="627"/>
      <c r="C119" s="356">
        <v>13</v>
      </c>
      <c r="D119" s="228"/>
      <c r="E119" s="183"/>
      <c r="F119" s="356"/>
      <c r="G119" s="359"/>
      <c r="H119" s="662"/>
      <c r="I119" s="203"/>
      <c r="J119" s="203"/>
      <c r="K119" s="203"/>
      <c r="L119" s="601"/>
      <c r="M119" s="202" t="e">
        <f>RANK(K119, K$87:$K$101)</f>
        <v>#DIV/0!</v>
      </c>
      <c r="N119" s="619"/>
      <c r="O119" s="619"/>
      <c r="P119" s="183"/>
      <c r="Q119" s="183"/>
      <c r="R119" s="183"/>
      <c r="S119" s="370" t="e">
        <f t="shared" si="84"/>
        <v>#N/A</v>
      </c>
      <c r="T119" s="658"/>
      <c r="U119" s="183"/>
      <c r="V119" s="183"/>
      <c r="W119" s="183"/>
      <c r="X119" s="370" t="e">
        <f t="shared" si="85"/>
        <v>#N/A</v>
      </c>
      <c r="Y119" s="658"/>
      <c r="Z119" s="183"/>
      <c r="AA119" s="183"/>
      <c r="AB119" s="183"/>
      <c r="AC119" s="370" t="e">
        <f t="shared" si="86"/>
        <v>#N/A</v>
      </c>
      <c r="AD119" s="658"/>
      <c r="AE119" s="183"/>
      <c r="AF119" s="183"/>
      <c r="AG119" s="183"/>
      <c r="AH119" s="370" t="e">
        <f t="shared" si="87"/>
        <v>#N/A</v>
      </c>
      <c r="AI119" s="658"/>
      <c r="AJ119" s="183"/>
      <c r="AK119" s="183"/>
      <c r="AL119" s="183"/>
      <c r="AM119" s="370" t="e">
        <f t="shared" si="88"/>
        <v>#N/A</v>
      </c>
      <c r="AN119" s="658"/>
      <c r="AO119" s="183"/>
      <c r="AP119" s="183"/>
      <c r="AQ119" s="183"/>
      <c r="AR119" s="370" t="e">
        <f t="shared" si="89"/>
        <v>#N/A</v>
      </c>
      <c r="AS119" s="658"/>
      <c r="AT119" s="183"/>
      <c r="AU119" s="183"/>
      <c r="AV119" s="183"/>
      <c r="AW119" s="370" t="e">
        <f t="shared" si="90"/>
        <v>#N/A</v>
      </c>
      <c r="AX119" s="658"/>
    </row>
    <row r="120" spans="2:50">
      <c r="B120" s="627"/>
      <c r="C120" s="356">
        <v>14</v>
      </c>
      <c r="D120" s="228"/>
      <c r="E120" s="183"/>
      <c r="F120" s="356"/>
      <c r="G120" s="359"/>
      <c r="H120" s="662"/>
      <c r="I120" s="203"/>
      <c r="J120" s="203"/>
      <c r="K120" s="203"/>
      <c r="L120" s="601"/>
      <c r="M120" s="202" t="e">
        <f>RANK(K120, K$87:$K$101)</f>
        <v>#DIV/0!</v>
      </c>
      <c r="N120" s="619"/>
      <c r="O120" s="619"/>
      <c r="P120" s="183"/>
      <c r="Q120" s="183"/>
      <c r="R120" s="183"/>
      <c r="S120" s="370" t="e">
        <f t="shared" si="84"/>
        <v>#N/A</v>
      </c>
      <c r="T120" s="658"/>
      <c r="U120" s="183"/>
      <c r="V120" s="183"/>
      <c r="W120" s="183"/>
      <c r="X120" s="370" t="e">
        <f t="shared" si="85"/>
        <v>#N/A</v>
      </c>
      <c r="Y120" s="658"/>
      <c r="Z120" s="183"/>
      <c r="AA120" s="183"/>
      <c r="AB120" s="183"/>
      <c r="AC120" s="370" t="e">
        <f t="shared" si="86"/>
        <v>#N/A</v>
      </c>
      <c r="AD120" s="658"/>
      <c r="AE120" s="183"/>
      <c r="AF120" s="183"/>
      <c r="AG120" s="183"/>
      <c r="AH120" s="370" t="e">
        <f t="shared" si="87"/>
        <v>#N/A</v>
      </c>
      <c r="AI120" s="658"/>
      <c r="AJ120" s="183"/>
      <c r="AK120" s="183"/>
      <c r="AL120" s="183"/>
      <c r="AM120" s="370" t="e">
        <f t="shared" si="88"/>
        <v>#N/A</v>
      </c>
      <c r="AN120" s="658"/>
      <c r="AO120" s="183"/>
      <c r="AP120" s="183"/>
      <c r="AQ120" s="183"/>
      <c r="AR120" s="370" t="e">
        <f t="shared" si="89"/>
        <v>#N/A</v>
      </c>
      <c r="AS120" s="658"/>
      <c r="AT120" s="183"/>
      <c r="AU120" s="183"/>
      <c r="AV120" s="183"/>
      <c r="AW120" s="370" t="e">
        <f t="shared" si="90"/>
        <v>#N/A</v>
      </c>
      <c r="AX120" s="658"/>
    </row>
    <row r="121" spans="2:50">
      <c r="B121" s="627"/>
      <c r="C121" s="356">
        <v>15</v>
      </c>
      <c r="D121" s="228"/>
      <c r="E121" s="183"/>
      <c r="F121" s="356"/>
      <c r="G121" s="359"/>
      <c r="H121" s="663"/>
      <c r="I121" s="203"/>
      <c r="J121" s="203"/>
      <c r="K121" s="203"/>
      <c r="L121" s="602"/>
      <c r="M121" s="200" t="e">
        <f>RANK(K121, K$87:$K$101)</f>
        <v>#DIV/0!</v>
      </c>
      <c r="N121" s="619"/>
      <c r="O121" s="619"/>
      <c r="P121" s="183"/>
      <c r="Q121" s="183"/>
      <c r="R121" s="183"/>
      <c r="S121" s="370" t="e">
        <f t="shared" si="84"/>
        <v>#N/A</v>
      </c>
      <c r="T121" s="658"/>
      <c r="U121" s="183"/>
      <c r="V121" s="183"/>
      <c r="W121" s="183"/>
      <c r="X121" s="370" t="e">
        <f t="shared" si="85"/>
        <v>#N/A</v>
      </c>
      <c r="Y121" s="658"/>
      <c r="Z121" s="183"/>
      <c r="AA121" s="183"/>
      <c r="AB121" s="183"/>
      <c r="AC121" s="370" t="e">
        <f t="shared" si="86"/>
        <v>#N/A</v>
      </c>
      <c r="AD121" s="658"/>
      <c r="AE121" s="183"/>
      <c r="AF121" s="183"/>
      <c r="AG121" s="183"/>
      <c r="AH121" s="370" t="e">
        <f t="shared" si="87"/>
        <v>#N/A</v>
      </c>
      <c r="AI121" s="658"/>
      <c r="AJ121" s="183"/>
      <c r="AK121" s="183"/>
      <c r="AL121" s="183"/>
      <c r="AM121" s="370" t="e">
        <f t="shared" si="88"/>
        <v>#N/A</v>
      </c>
      <c r="AN121" s="658"/>
      <c r="AO121" s="183"/>
      <c r="AP121" s="183"/>
      <c r="AQ121" s="183"/>
      <c r="AR121" s="370" t="e">
        <f t="shared" si="89"/>
        <v>#N/A</v>
      </c>
      <c r="AS121" s="658"/>
      <c r="AT121" s="183"/>
      <c r="AU121" s="183"/>
      <c r="AV121" s="183"/>
      <c r="AW121" s="370" t="e">
        <f t="shared" si="90"/>
        <v>#N/A</v>
      </c>
      <c r="AX121" s="658"/>
    </row>
    <row r="123" spans="2:50" ht="15.5">
      <c r="B123" s="652" t="s">
        <v>725</v>
      </c>
      <c r="C123" s="653"/>
      <c r="D123" s="653"/>
      <c r="E123" s="653"/>
      <c r="F123" s="653"/>
      <c r="G123" s="653"/>
      <c r="H123" s="654"/>
      <c r="I123" s="360"/>
      <c r="J123" s="360"/>
      <c r="K123" s="360"/>
      <c r="L123" s="360"/>
      <c r="M123" s="361"/>
    </row>
    <row r="124" spans="2:50" ht="15.5">
      <c r="B124" s="655"/>
      <c r="C124" s="655"/>
      <c r="D124" s="655"/>
      <c r="E124" s="655"/>
      <c r="F124" s="655"/>
      <c r="G124" s="655"/>
      <c r="H124" s="655"/>
      <c r="I124" s="362"/>
      <c r="J124" s="362"/>
      <c r="K124" s="362"/>
      <c r="L124" s="362"/>
      <c r="M124" s="363"/>
    </row>
    <row r="125" spans="2:50">
      <c r="B125" s="619" t="s">
        <v>154</v>
      </c>
      <c r="C125" s="619" t="s">
        <v>453</v>
      </c>
      <c r="D125" s="619"/>
      <c r="E125" s="619" t="s">
        <v>444</v>
      </c>
      <c r="F125" s="619"/>
      <c r="G125" s="619"/>
      <c r="H125" s="635" t="s">
        <v>440</v>
      </c>
      <c r="I125" s="656" t="s">
        <v>445</v>
      </c>
      <c r="J125" s="656"/>
      <c r="K125" s="656"/>
      <c r="L125" s="672" t="s">
        <v>440</v>
      </c>
      <c r="M125" s="675" t="s">
        <v>441</v>
      </c>
    </row>
    <row r="126" spans="2:50">
      <c r="B126" s="619"/>
      <c r="C126" s="619"/>
      <c r="D126" s="619"/>
      <c r="E126" s="619" t="s">
        <v>447</v>
      </c>
      <c r="F126" s="619"/>
      <c r="G126" s="619"/>
      <c r="H126" s="636"/>
      <c r="I126" s="656" t="s">
        <v>447</v>
      </c>
      <c r="J126" s="656"/>
      <c r="K126" s="656"/>
      <c r="L126" s="673"/>
      <c r="M126" s="676"/>
    </row>
    <row r="127" spans="2:50">
      <c r="B127" s="619"/>
      <c r="C127" s="619"/>
      <c r="D127" s="619"/>
      <c r="E127" s="357" t="s">
        <v>449</v>
      </c>
      <c r="F127" s="357" t="s">
        <v>450</v>
      </c>
      <c r="G127" s="357" t="s">
        <v>451</v>
      </c>
      <c r="H127" s="637"/>
      <c r="I127" s="364" t="s">
        <v>449</v>
      </c>
      <c r="J127" s="364" t="s">
        <v>450</v>
      </c>
      <c r="K127" s="364" t="s">
        <v>451</v>
      </c>
      <c r="L127" s="674"/>
      <c r="M127" s="677"/>
    </row>
    <row r="128" spans="2:50">
      <c r="B128" s="660" t="s">
        <v>452</v>
      </c>
      <c r="C128" s="356">
        <v>1</v>
      </c>
      <c r="D128" s="228"/>
      <c r="E128" s="183"/>
      <c r="F128" s="356"/>
      <c r="G128" s="359"/>
      <c r="H128" s="661" t="e">
        <f>AVERAGE(G128:G142)</f>
        <v>#DIV/0!</v>
      </c>
      <c r="I128" s="200" t="e">
        <f t="shared" ref="I128:J138" si="94">AVERAGEIF($D$7:$D$121,$D128,I$7:I$121)</f>
        <v>#DIV/0!</v>
      </c>
      <c r="J128" s="200" t="e">
        <f t="shared" si="94"/>
        <v>#DIV/0!</v>
      </c>
      <c r="K128" s="200" t="e">
        <f t="shared" ref="K128:K138" si="95"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27"/>
      <c r="C129" s="356">
        <v>2</v>
      </c>
      <c r="D129" s="228"/>
      <c r="E129" s="183"/>
      <c r="F129" s="356"/>
      <c r="G129" s="359"/>
      <c r="H129" s="662"/>
      <c r="I129" s="200" t="e">
        <f t="shared" si="94"/>
        <v>#DIV/0!</v>
      </c>
      <c r="J129" s="200" t="e">
        <f t="shared" si="94"/>
        <v>#DIV/0!</v>
      </c>
      <c r="K129" s="200" t="e">
        <f t="shared" si="95"/>
        <v>#DIV/0!</v>
      </c>
      <c r="L129" s="670"/>
      <c r="M129" s="200" t="e">
        <f>RANK(K129, K$128:$K$142)</f>
        <v>#DIV/0!</v>
      </c>
    </row>
    <row r="130" spans="2:13">
      <c r="B130" s="627"/>
      <c r="C130" s="356">
        <v>3</v>
      </c>
      <c r="D130" s="228"/>
      <c r="E130" s="183"/>
      <c r="F130" s="356"/>
      <c r="G130" s="359"/>
      <c r="H130" s="662"/>
      <c r="I130" s="200" t="e">
        <f t="shared" si="94"/>
        <v>#DIV/0!</v>
      </c>
      <c r="J130" s="200" t="e">
        <f t="shared" si="94"/>
        <v>#DIV/0!</v>
      </c>
      <c r="K130" s="200" t="e">
        <f t="shared" si="95"/>
        <v>#DIV/0!</v>
      </c>
      <c r="L130" s="670"/>
      <c r="M130" s="200" t="e">
        <f>RANK(K130, K$128:$K$142)</f>
        <v>#DIV/0!</v>
      </c>
    </row>
    <row r="131" spans="2:13">
      <c r="B131" s="627"/>
      <c r="C131" s="356">
        <v>4</v>
      </c>
      <c r="D131" s="228"/>
      <c r="E131" s="183"/>
      <c r="F131" s="356"/>
      <c r="G131" s="359"/>
      <c r="H131" s="662"/>
      <c r="I131" s="200" t="e">
        <f t="shared" si="94"/>
        <v>#DIV/0!</v>
      </c>
      <c r="J131" s="200" t="e">
        <f t="shared" si="94"/>
        <v>#DIV/0!</v>
      </c>
      <c r="K131" s="200" t="e">
        <f t="shared" si="95"/>
        <v>#DIV/0!</v>
      </c>
      <c r="L131" s="670"/>
      <c r="M131" s="200" t="e">
        <f>RANK(K131, K$128:$K$142)</f>
        <v>#DIV/0!</v>
      </c>
    </row>
    <row r="132" spans="2:13">
      <c r="B132" s="627"/>
      <c r="C132" s="356">
        <v>5</v>
      </c>
      <c r="D132" s="228"/>
      <c r="E132" s="183"/>
      <c r="F132" s="356"/>
      <c r="G132" s="359"/>
      <c r="H132" s="662"/>
      <c r="I132" s="200" t="e">
        <f t="shared" si="94"/>
        <v>#DIV/0!</v>
      </c>
      <c r="J132" s="200" t="e">
        <f t="shared" si="94"/>
        <v>#DIV/0!</v>
      </c>
      <c r="K132" s="200" t="e">
        <f t="shared" si="95"/>
        <v>#DIV/0!</v>
      </c>
      <c r="L132" s="670"/>
      <c r="M132" s="200" t="e">
        <f>RANK(K132, K$128:$K$142)</f>
        <v>#DIV/0!</v>
      </c>
    </row>
    <row r="133" spans="2:13">
      <c r="B133" s="627"/>
      <c r="C133" s="356">
        <v>6</v>
      </c>
      <c r="D133" s="365"/>
      <c r="E133" s="183"/>
      <c r="F133" s="356"/>
      <c r="G133" s="359"/>
      <c r="H133" s="662"/>
      <c r="I133" s="200" t="e">
        <f t="shared" si="94"/>
        <v>#DIV/0!</v>
      </c>
      <c r="J133" s="200" t="e">
        <f t="shared" si="94"/>
        <v>#DIV/0!</v>
      </c>
      <c r="K133" s="200" t="e">
        <f t="shared" si="95"/>
        <v>#DIV/0!</v>
      </c>
      <c r="L133" s="670"/>
      <c r="M133" s="200" t="e">
        <f>RANK(K133, K$128:$K$142)</f>
        <v>#DIV/0!</v>
      </c>
    </row>
    <row r="134" spans="2:13">
      <c r="B134" s="627"/>
      <c r="C134" s="356">
        <v>7</v>
      </c>
      <c r="D134" s="228"/>
      <c r="E134" s="183"/>
      <c r="F134" s="356"/>
      <c r="G134" s="359"/>
      <c r="H134" s="662"/>
      <c r="I134" s="200" t="e">
        <f t="shared" si="94"/>
        <v>#DIV/0!</v>
      </c>
      <c r="J134" s="200" t="e">
        <f t="shared" si="94"/>
        <v>#DIV/0!</v>
      </c>
      <c r="K134" s="200" t="e">
        <f t="shared" si="95"/>
        <v>#DIV/0!</v>
      </c>
      <c r="L134" s="670"/>
      <c r="M134" s="200" t="e">
        <f>RANK(K134, K$128:$K$142)</f>
        <v>#DIV/0!</v>
      </c>
    </row>
    <row r="135" spans="2:13">
      <c r="B135" s="627"/>
      <c r="C135" s="356">
        <v>8</v>
      </c>
      <c r="D135" s="228"/>
      <c r="E135" s="183"/>
      <c r="F135" s="356"/>
      <c r="G135" s="359"/>
      <c r="H135" s="662"/>
      <c r="I135" s="200" t="e">
        <f t="shared" si="94"/>
        <v>#DIV/0!</v>
      </c>
      <c r="J135" s="200" t="e">
        <f t="shared" si="94"/>
        <v>#DIV/0!</v>
      </c>
      <c r="K135" s="200" t="e">
        <f t="shared" si="95"/>
        <v>#DIV/0!</v>
      </c>
      <c r="L135" s="670"/>
      <c r="M135" s="200" t="e">
        <f>RANK(K135, K$128:$K$142)</f>
        <v>#DIV/0!</v>
      </c>
    </row>
    <row r="136" spans="2:13">
      <c r="B136" s="627"/>
      <c r="C136" s="356">
        <v>9</v>
      </c>
      <c r="D136" s="228"/>
      <c r="E136" s="356"/>
      <c r="F136" s="356"/>
      <c r="G136" s="356"/>
      <c r="H136" s="662"/>
      <c r="I136" s="200" t="e">
        <f t="shared" si="94"/>
        <v>#DIV/0!</v>
      </c>
      <c r="J136" s="200" t="e">
        <f t="shared" si="94"/>
        <v>#DIV/0!</v>
      </c>
      <c r="K136" s="200" t="e">
        <f t="shared" si="95"/>
        <v>#DIV/0!</v>
      </c>
      <c r="L136" s="670"/>
      <c r="M136" s="200" t="e">
        <f>RANK(K136, K$128:$K$142)</f>
        <v>#DIV/0!</v>
      </c>
    </row>
    <row r="137" spans="2:13">
      <c r="B137" s="627"/>
      <c r="C137" s="356">
        <v>10</v>
      </c>
      <c r="D137" s="228"/>
      <c r="E137" s="356"/>
      <c r="F137" s="356"/>
      <c r="G137" s="356"/>
      <c r="H137" s="662"/>
      <c r="I137" s="200" t="e">
        <f t="shared" si="94"/>
        <v>#DIV/0!</v>
      </c>
      <c r="J137" s="200" t="e">
        <f t="shared" si="94"/>
        <v>#DIV/0!</v>
      </c>
      <c r="K137" s="200" t="e">
        <f t="shared" si="95"/>
        <v>#DIV/0!</v>
      </c>
      <c r="L137" s="670"/>
      <c r="M137" s="200" t="e">
        <f>RANK(K137, K$128:$K$142)</f>
        <v>#DIV/0!</v>
      </c>
    </row>
    <row r="138" spans="2:13">
      <c r="B138" s="627"/>
      <c r="C138" s="356">
        <v>11</v>
      </c>
      <c r="D138" s="228"/>
      <c r="E138" s="356"/>
      <c r="F138" s="356"/>
      <c r="G138" s="356"/>
      <c r="H138" s="662"/>
      <c r="I138" s="200" t="e">
        <f t="shared" si="94"/>
        <v>#DIV/0!</v>
      </c>
      <c r="J138" s="200" t="e">
        <f t="shared" si="94"/>
        <v>#DIV/0!</v>
      </c>
      <c r="K138" s="200" t="e">
        <f t="shared" si="95"/>
        <v>#DIV/0!</v>
      </c>
      <c r="L138" s="670"/>
      <c r="M138" s="200" t="e">
        <f>RANK(K138, K$128:$K$142)</f>
        <v>#DIV/0!</v>
      </c>
    </row>
    <row r="139" spans="2:13">
      <c r="B139" s="627"/>
      <c r="C139" s="356">
        <v>12</v>
      </c>
      <c r="D139" s="228"/>
      <c r="E139" s="356"/>
      <c r="F139" s="356"/>
      <c r="G139" s="356"/>
      <c r="H139" s="662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27"/>
      <c r="C140" s="356">
        <v>13</v>
      </c>
      <c r="D140" s="228"/>
      <c r="E140" s="356"/>
      <c r="F140" s="356"/>
      <c r="G140" s="356"/>
      <c r="H140" s="662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27"/>
      <c r="C141" s="356">
        <v>14</v>
      </c>
      <c r="D141" s="228"/>
      <c r="E141" s="356"/>
      <c r="F141" s="356"/>
      <c r="G141" s="356"/>
      <c r="H141" s="662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27"/>
      <c r="C142" s="356">
        <v>15</v>
      </c>
      <c r="D142" s="228"/>
      <c r="E142" s="356"/>
      <c r="F142" s="356"/>
      <c r="G142" s="356"/>
      <c r="H142" s="663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70" zoomScaleNormal="70" workbookViewId="0">
      <pane xSplit="15" topLeftCell="P1" activePane="topRight" state="frozen"/>
      <selection activeCell="J18" sqref="J18"/>
      <selection pane="topRight" activeCell="R47" sqref="R47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114.80225964511676</v>
      </c>
    </row>
    <row r="2" spans="1:54" ht="15.5">
      <c r="A2" s="81"/>
      <c r="B2" s="631" t="s">
        <v>163</v>
      </c>
      <c r="C2" s="631"/>
      <c r="D2" s="631"/>
      <c r="E2" s="631"/>
      <c r="F2" s="631"/>
      <c r="G2" s="631"/>
      <c r="H2" s="631"/>
      <c r="I2" s="318"/>
      <c r="J2" s="318"/>
      <c r="K2" s="318"/>
      <c r="L2" s="318"/>
      <c r="M2" s="198"/>
      <c r="N2" s="620" t="s">
        <v>156</v>
      </c>
      <c r="O2" s="620" t="s">
        <v>155</v>
      </c>
      <c r="P2" s="666">
        <v>45958</v>
      </c>
      <c r="Q2" s="667"/>
      <c r="R2" s="667"/>
      <c r="S2" s="667"/>
      <c r="T2" s="668"/>
      <c r="U2" s="626">
        <f>P2+1</f>
        <v>45959</v>
      </c>
      <c r="V2" s="627"/>
      <c r="W2" s="627"/>
      <c r="X2" s="627"/>
      <c r="Y2" s="627"/>
      <c r="Z2" s="626">
        <f>U2+1</f>
        <v>45960</v>
      </c>
      <c r="AA2" s="627"/>
      <c r="AB2" s="627"/>
      <c r="AC2" s="627"/>
      <c r="AD2" s="627"/>
      <c r="AE2" s="626">
        <f>Z2+1</f>
        <v>45961</v>
      </c>
      <c r="AF2" s="627"/>
      <c r="AG2" s="627"/>
      <c r="AH2" s="627"/>
      <c r="AI2" s="627"/>
      <c r="AJ2" s="626">
        <f>AE2+1</f>
        <v>45962</v>
      </c>
      <c r="AK2" s="627"/>
      <c r="AL2" s="627"/>
      <c r="AM2" s="627"/>
      <c r="AN2" s="627"/>
      <c r="AO2" s="626">
        <f>AJ2+1</f>
        <v>45963</v>
      </c>
      <c r="AP2" s="627"/>
      <c r="AQ2" s="627"/>
      <c r="AR2" s="627"/>
      <c r="AS2" s="627"/>
      <c r="AT2" s="626">
        <v>45992</v>
      </c>
      <c r="AU2" s="627"/>
      <c r="AV2" s="627"/>
      <c r="AW2" s="627"/>
      <c r="AX2" s="627"/>
    </row>
    <row r="3" spans="1:54" ht="15.5">
      <c r="A3" s="81"/>
      <c r="B3" s="651"/>
      <c r="C3" s="651"/>
      <c r="D3" s="651"/>
      <c r="E3" s="651"/>
      <c r="F3" s="651"/>
      <c r="G3" s="651"/>
      <c r="H3" s="651"/>
      <c r="I3" s="319"/>
      <c r="J3" s="319"/>
      <c r="K3" s="319"/>
      <c r="L3" s="319"/>
      <c r="M3" s="199"/>
      <c r="N3" s="622"/>
      <c r="O3" s="622"/>
      <c r="P3" s="623" t="s">
        <v>158</v>
      </c>
      <c r="Q3" s="624"/>
      <c r="R3" s="624"/>
      <c r="S3" s="624"/>
      <c r="T3" s="625"/>
      <c r="U3" s="623" t="s">
        <v>114</v>
      </c>
      <c r="V3" s="624"/>
      <c r="W3" s="624"/>
      <c r="X3" s="624"/>
      <c r="Y3" s="625"/>
      <c r="Z3" s="623" t="s">
        <v>159</v>
      </c>
      <c r="AA3" s="624"/>
      <c r="AB3" s="624"/>
      <c r="AC3" s="624"/>
      <c r="AD3" s="625"/>
      <c r="AE3" s="623" t="s">
        <v>157</v>
      </c>
      <c r="AF3" s="624"/>
      <c r="AG3" s="624"/>
      <c r="AH3" s="624"/>
      <c r="AI3" s="625"/>
      <c r="AJ3" s="623" t="s">
        <v>160</v>
      </c>
      <c r="AK3" s="624"/>
      <c r="AL3" s="624"/>
      <c r="AM3" s="624"/>
      <c r="AN3" s="625"/>
      <c r="AO3" s="623" t="s">
        <v>161</v>
      </c>
      <c r="AP3" s="624"/>
      <c r="AQ3" s="624"/>
      <c r="AR3" s="624"/>
      <c r="AS3" s="625"/>
      <c r="AT3" s="623" t="s">
        <v>162</v>
      </c>
      <c r="AU3" s="624"/>
      <c r="AV3" s="624"/>
      <c r="AW3" s="624"/>
      <c r="AX3" s="625"/>
    </row>
    <row r="4" spans="1:54">
      <c r="A4" s="81"/>
      <c r="B4" s="619" t="s">
        <v>484</v>
      </c>
      <c r="C4" s="619" t="s">
        <v>485</v>
      </c>
      <c r="D4" s="619"/>
      <c r="E4" s="619" t="s">
        <v>486</v>
      </c>
      <c r="F4" s="619"/>
      <c r="G4" s="619"/>
      <c r="H4" s="635" t="s">
        <v>487</v>
      </c>
      <c r="I4" s="603" t="s">
        <v>488</v>
      </c>
      <c r="J4" s="603"/>
      <c r="K4" s="603"/>
      <c r="L4" s="604" t="s">
        <v>487</v>
      </c>
      <c r="M4" s="610" t="s">
        <v>489</v>
      </c>
      <c r="N4" s="619"/>
      <c r="O4" s="619" t="s">
        <v>490</v>
      </c>
      <c r="P4" s="616" t="s">
        <v>491</v>
      </c>
      <c r="Q4" s="617"/>
      <c r="R4" s="617"/>
      <c r="S4" s="618"/>
      <c r="T4" s="619" t="s">
        <v>487</v>
      </c>
      <c r="U4" s="616" t="s">
        <v>491</v>
      </c>
      <c r="V4" s="617"/>
      <c r="W4" s="617"/>
      <c r="X4" s="618"/>
      <c r="Y4" s="619" t="s">
        <v>487</v>
      </c>
      <c r="Z4" s="616" t="s">
        <v>491</v>
      </c>
      <c r="AA4" s="617"/>
      <c r="AB4" s="617"/>
      <c r="AC4" s="618"/>
      <c r="AD4" s="619" t="s">
        <v>487</v>
      </c>
      <c r="AE4" s="616" t="s">
        <v>491</v>
      </c>
      <c r="AF4" s="617"/>
      <c r="AG4" s="617"/>
      <c r="AH4" s="618"/>
      <c r="AI4" s="619" t="s">
        <v>487</v>
      </c>
      <c r="AJ4" s="616" t="s">
        <v>491</v>
      </c>
      <c r="AK4" s="617"/>
      <c r="AL4" s="617"/>
      <c r="AM4" s="618"/>
      <c r="AN4" s="619" t="s">
        <v>487</v>
      </c>
      <c r="AO4" s="616" t="s">
        <v>491</v>
      </c>
      <c r="AP4" s="617"/>
      <c r="AQ4" s="617"/>
      <c r="AR4" s="618"/>
      <c r="AS4" s="619" t="s">
        <v>487</v>
      </c>
      <c r="AT4" s="616" t="s">
        <v>491</v>
      </c>
      <c r="AU4" s="617"/>
      <c r="AV4" s="617"/>
      <c r="AW4" s="618"/>
      <c r="AX4" s="619" t="s">
        <v>487</v>
      </c>
    </row>
    <row r="5" spans="1:54">
      <c r="A5" s="81"/>
      <c r="B5" s="619"/>
      <c r="C5" s="619"/>
      <c r="D5" s="619"/>
      <c r="E5" s="619" t="s">
        <v>492</v>
      </c>
      <c r="F5" s="619"/>
      <c r="G5" s="619"/>
      <c r="H5" s="636"/>
      <c r="I5" s="603" t="s">
        <v>492</v>
      </c>
      <c r="J5" s="603"/>
      <c r="K5" s="603"/>
      <c r="L5" s="605"/>
      <c r="M5" s="611"/>
      <c r="N5" s="619"/>
      <c r="O5" s="619"/>
      <c r="P5" s="616" t="s">
        <v>493</v>
      </c>
      <c r="Q5" s="617"/>
      <c r="R5" s="617"/>
      <c r="S5" s="618"/>
      <c r="T5" s="619"/>
      <c r="U5" s="616" t="s">
        <v>493</v>
      </c>
      <c r="V5" s="617"/>
      <c r="W5" s="617"/>
      <c r="X5" s="618"/>
      <c r="Y5" s="619"/>
      <c r="Z5" s="616" t="s">
        <v>493</v>
      </c>
      <c r="AA5" s="617"/>
      <c r="AB5" s="617"/>
      <c r="AC5" s="618"/>
      <c r="AD5" s="619"/>
      <c r="AE5" s="616" t="s">
        <v>493</v>
      </c>
      <c r="AF5" s="617"/>
      <c r="AG5" s="617"/>
      <c r="AH5" s="618"/>
      <c r="AI5" s="619"/>
      <c r="AJ5" s="616" t="s">
        <v>493</v>
      </c>
      <c r="AK5" s="617"/>
      <c r="AL5" s="617"/>
      <c r="AM5" s="618"/>
      <c r="AN5" s="619"/>
      <c r="AO5" s="616" t="s">
        <v>493</v>
      </c>
      <c r="AP5" s="617"/>
      <c r="AQ5" s="617"/>
      <c r="AR5" s="618"/>
      <c r="AS5" s="619"/>
      <c r="AT5" s="616" t="s">
        <v>493</v>
      </c>
      <c r="AU5" s="617"/>
      <c r="AV5" s="617"/>
      <c r="AW5" s="618"/>
      <c r="AX5" s="619"/>
    </row>
    <row r="6" spans="1:54">
      <c r="A6" s="79"/>
      <c r="B6" s="619"/>
      <c r="C6" s="619"/>
      <c r="D6" s="619"/>
      <c r="E6" s="473" t="s">
        <v>494</v>
      </c>
      <c r="F6" s="473" t="s">
        <v>495</v>
      </c>
      <c r="G6" s="473" t="s">
        <v>496</v>
      </c>
      <c r="H6" s="637"/>
      <c r="I6" s="474" t="s">
        <v>494</v>
      </c>
      <c r="J6" s="474" t="s">
        <v>495</v>
      </c>
      <c r="K6" s="474" t="s">
        <v>496</v>
      </c>
      <c r="L6" s="606"/>
      <c r="M6" s="612"/>
      <c r="N6" s="619"/>
      <c r="O6" s="619"/>
      <c r="P6" s="473" t="s">
        <v>494</v>
      </c>
      <c r="Q6" s="473" t="s">
        <v>495</v>
      </c>
      <c r="R6" s="473" t="s">
        <v>496</v>
      </c>
      <c r="S6" s="473" t="s">
        <v>489</v>
      </c>
      <c r="T6" s="619"/>
      <c r="U6" s="473" t="s">
        <v>494</v>
      </c>
      <c r="V6" s="473" t="s">
        <v>495</v>
      </c>
      <c r="W6" s="473" t="s">
        <v>496</v>
      </c>
      <c r="X6" s="473" t="s">
        <v>489</v>
      </c>
      <c r="Y6" s="619"/>
      <c r="Z6" s="473" t="s">
        <v>494</v>
      </c>
      <c r="AA6" s="473" t="s">
        <v>495</v>
      </c>
      <c r="AB6" s="473" t="s">
        <v>496</v>
      </c>
      <c r="AC6" s="473" t="s">
        <v>489</v>
      </c>
      <c r="AD6" s="619"/>
      <c r="AE6" s="473" t="s">
        <v>494</v>
      </c>
      <c r="AF6" s="473" t="s">
        <v>495</v>
      </c>
      <c r="AG6" s="473" t="s">
        <v>496</v>
      </c>
      <c r="AH6" s="473" t="s">
        <v>489</v>
      </c>
      <c r="AI6" s="619"/>
      <c r="AJ6" s="473" t="s">
        <v>494</v>
      </c>
      <c r="AK6" s="473" t="s">
        <v>495</v>
      </c>
      <c r="AL6" s="473" t="s">
        <v>496</v>
      </c>
      <c r="AM6" s="473" t="s">
        <v>489</v>
      </c>
      <c r="AN6" s="619"/>
      <c r="AO6" s="473" t="s">
        <v>494</v>
      </c>
      <c r="AP6" s="473" t="s">
        <v>495</v>
      </c>
      <c r="AQ6" s="473" t="s">
        <v>496</v>
      </c>
      <c r="AR6" s="473" t="s">
        <v>489</v>
      </c>
      <c r="AS6" s="619"/>
      <c r="AT6" s="473" t="s">
        <v>494</v>
      </c>
      <c r="AU6" s="473" t="s">
        <v>495</v>
      </c>
      <c r="AV6" s="473" t="s">
        <v>496</v>
      </c>
      <c r="AW6" s="473" t="s">
        <v>489</v>
      </c>
      <c r="AX6" s="619"/>
    </row>
    <row r="7" spans="1:54">
      <c r="A7" s="81"/>
      <c r="B7" s="619" t="s">
        <v>499</v>
      </c>
      <c r="C7" s="470">
        <v>1</v>
      </c>
      <c r="D7" s="228" t="s">
        <v>835</v>
      </c>
      <c r="E7" s="183">
        <v>13</v>
      </c>
      <c r="F7" s="520">
        <v>1500</v>
      </c>
      <c r="G7" s="521">
        <v>115.38461538461539</v>
      </c>
      <c r="H7" s="661">
        <f>AVERAGE(G7:G21)</f>
        <v>115.38461538461539</v>
      </c>
      <c r="I7" s="472"/>
      <c r="J7" s="472"/>
      <c r="K7" s="201"/>
      <c r="L7" s="600">
        <f>IFERROR(AVERAGE(K7:K21),"-")</f>
        <v>114.33566433566435</v>
      </c>
      <c r="M7" s="475" t="e">
        <f>RANK(K7, $K$7:K$21)</f>
        <v>#N/A</v>
      </c>
      <c r="N7" s="619"/>
      <c r="O7" s="619"/>
      <c r="P7" s="183"/>
      <c r="Q7" s="183"/>
      <c r="R7" s="471"/>
      <c r="S7" s="470" t="e">
        <f>RANK(R7, R$7:R$21)</f>
        <v>#N/A</v>
      </c>
      <c r="T7" s="658" t="e">
        <f>AVERAGE(R7:R21)</f>
        <v>#DIV/0!</v>
      </c>
      <c r="U7" s="183"/>
      <c r="V7" s="183"/>
      <c r="W7" s="521"/>
      <c r="X7" s="520" t="e">
        <f t="shared" ref="X7:X21" si="0">RANK(W7, W$7:W$21)</f>
        <v>#N/A</v>
      </c>
      <c r="Y7" s="658" t="e">
        <f t="shared" ref="Y7" si="1">AVERAGE(W7:W21)</f>
        <v>#DIV/0!</v>
      </c>
      <c r="Z7" s="183"/>
      <c r="AA7" s="183"/>
      <c r="AB7" s="521"/>
      <c r="AC7" s="520" t="e">
        <f t="shared" ref="AC7:AC21" si="2">RANK(AB7, AB$7:AB$21)</f>
        <v>#N/A</v>
      </c>
      <c r="AD7" s="658" t="e">
        <f t="shared" ref="AD7" si="3">AVERAGE(AB7:AB21)</f>
        <v>#DIV/0!</v>
      </c>
      <c r="AE7" s="183"/>
      <c r="AF7" s="183"/>
      <c r="AG7" s="521"/>
      <c r="AH7" s="520" t="e">
        <f t="shared" ref="AH7:AH21" si="4">RANK(AG7, AG$7:AG$21)</f>
        <v>#N/A</v>
      </c>
      <c r="AI7" s="658" t="e">
        <f t="shared" ref="AI7" si="5">AVERAGE(AG7:AG21)</f>
        <v>#DIV/0!</v>
      </c>
      <c r="AJ7" s="183"/>
      <c r="AK7" s="183"/>
      <c r="AL7" s="521"/>
      <c r="AM7" s="520" t="e">
        <f t="shared" ref="AM7:AM21" si="6">RANK(AL7, AL$7:AL$21)</f>
        <v>#N/A</v>
      </c>
      <c r="AN7" s="658" t="e">
        <f t="shared" ref="AN7" si="7">AVERAGE(AL7:AL21)</f>
        <v>#DIV/0!</v>
      </c>
      <c r="AO7" s="183"/>
      <c r="AP7" s="183"/>
      <c r="AQ7" s="521"/>
      <c r="AR7" s="520" t="e">
        <f t="shared" ref="AR7:AR21" si="8">RANK(AQ7, AQ$7:AQ$21)</f>
        <v>#N/A</v>
      </c>
      <c r="AS7" s="658" t="e">
        <f t="shared" ref="AS7" si="9">AVERAGE(AQ7:AQ21)</f>
        <v>#DIV/0!</v>
      </c>
      <c r="AT7" s="183"/>
      <c r="AU7" s="183"/>
      <c r="AV7" s="521"/>
      <c r="AW7" s="470" t="e">
        <f>RANK(AV7, AV$7:AV$21)</f>
        <v>#N/A</v>
      </c>
      <c r="AX7" s="658">
        <f>AVERAGE(AV7:AV21)</f>
        <v>114.33566433566435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7"/>
      <c r="C8" s="470">
        <v>2</v>
      </c>
      <c r="D8" s="228" t="s">
        <v>867</v>
      </c>
      <c r="E8" s="183">
        <v>13</v>
      </c>
      <c r="F8" s="520">
        <v>1500</v>
      </c>
      <c r="G8" s="521">
        <v>115.38461538461539</v>
      </c>
      <c r="H8" s="662"/>
      <c r="I8" s="472">
        <f t="shared" ref="I8" si="10">AVERAGE(P8,U8,Z8,AE8,AJ8,AO8,AT8)</f>
        <v>13</v>
      </c>
      <c r="J8" s="472">
        <f t="shared" ref="J8" si="11">AVERAGE(Q8,V8,AA8,AF8,AK8,AP8,AU8)</f>
        <v>1486.3636363636365</v>
      </c>
      <c r="K8" s="201">
        <f t="shared" ref="K8" si="12">AVERAGE(R8,W8,AB8,AG8,AL8,AQ8,AV8)</f>
        <v>114.33566433566435</v>
      </c>
      <c r="L8" s="601"/>
      <c r="M8" s="475">
        <f>RANK(K8, $K$7:K$21)</f>
        <v>1</v>
      </c>
      <c r="N8" s="619"/>
      <c r="O8" s="619"/>
      <c r="P8" s="470"/>
      <c r="Q8" s="183"/>
      <c r="R8" s="471"/>
      <c r="S8" s="470" t="e">
        <f t="shared" ref="S8:S21" si="13">RANK(R8, R$7:R$21)</f>
        <v>#N/A</v>
      </c>
      <c r="T8" s="658"/>
      <c r="U8" s="520"/>
      <c r="V8" s="183"/>
      <c r="W8" s="521"/>
      <c r="X8" s="520" t="e">
        <f t="shared" si="0"/>
        <v>#N/A</v>
      </c>
      <c r="Y8" s="658"/>
      <c r="Z8" s="520"/>
      <c r="AA8" s="183"/>
      <c r="AB8" s="521"/>
      <c r="AC8" s="520" t="e">
        <f t="shared" si="2"/>
        <v>#N/A</v>
      </c>
      <c r="AD8" s="658"/>
      <c r="AE8" s="520"/>
      <c r="AF8" s="183"/>
      <c r="AG8" s="521"/>
      <c r="AH8" s="520" t="e">
        <f t="shared" si="4"/>
        <v>#N/A</v>
      </c>
      <c r="AI8" s="658"/>
      <c r="AJ8" s="520"/>
      <c r="AK8" s="183"/>
      <c r="AL8" s="521"/>
      <c r="AM8" s="520" t="e">
        <f t="shared" si="6"/>
        <v>#N/A</v>
      </c>
      <c r="AN8" s="658"/>
      <c r="AO8" s="520"/>
      <c r="AP8" s="183"/>
      <c r="AQ8" s="521"/>
      <c r="AR8" s="520" t="e">
        <f t="shared" si="8"/>
        <v>#N/A</v>
      </c>
      <c r="AS8" s="658"/>
      <c r="AT8" s="520">
        <v>13</v>
      </c>
      <c r="AU8" s="183">
        <v>1486.3636363636365</v>
      </c>
      <c r="AV8" s="521">
        <v>114.33566433566435</v>
      </c>
      <c r="AW8" s="470">
        <f t="shared" ref="AW8:AW21" si="14">RANK(AV8, AV$7:AV$21)</f>
        <v>1</v>
      </c>
      <c r="AX8" s="658"/>
      <c r="AZ8" s="379" t="e">
        <f>RANK(AX8, $K$7:AX$21)</f>
        <v>#N/A</v>
      </c>
      <c r="BB8" s="376" t="e">
        <f t="shared" ref="BB8:BB21" si="15">RANK(BA8, BA$7:BA$21)</f>
        <v>#N/A</v>
      </c>
    </row>
    <row r="9" spans="1:54">
      <c r="A9" s="81"/>
      <c r="B9" s="627"/>
      <c r="C9" s="470">
        <v>3</v>
      </c>
      <c r="D9" s="228"/>
      <c r="E9" s="183"/>
      <c r="F9" s="520"/>
      <c r="G9" s="521"/>
      <c r="H9" s="662"/>
      <c r="I9" s="472"/>
      <c r="J9" s="472"/>
      <c r="K9" s="201"/>
      <c r="L9" s="601"/>
      <c r="M9" s="475" t="e">
        <f>RANK(K9, $K$7:K$21)</f>
        <v>#N/A</v>
      </c>
      <c r="N9" s="619"/>
      <c r="O9" s="619"/>
      <c r="P9" s="470"/>
      <c r="Q9" s="470"/>
      <c r="R9" s="470"/>
      <c r="S9" s="470" t="e">
        <f t="shared" si="13"/>
        <v>#N/A</v>
      </c>
      <c r="T9" s="658"/>
      <c r="U9" s="520"/>
      <c r="V9" s="520"/>
      <c r="W9" s="520"/>
      <c r="X9" s="520" t="e">
        <f t="shared" si="0"/>
        <v>#N/A</v>
      </c>
      <c r="Y9" s="658"/>
      <c r="Z9" s="520"/>
      <c r="AA9" s="520"/>
      <c r="AB9" s="520"/>
      <c r="AC9" s="520" t="e">
        <f t="shared" si="2"/>
        <v>#N/A</v>
      </c>
      <c r="AD9" s="658"/>
      <c r="AE9" s="520"/>
      <c r="AF9" s="520"/>
      <c r="AG9" s="520"/>
      <c r="AH9" s="520" t="e">
        <f t="shared" si="4"/>
        <v>#N/A</v>
      </c>
      <c r="AI9" s="658"/>
      <c r="AJ9" s="520"/>
      <c r="AK9" s="520"/>
      <c r="AL9" s="520"/>
      <c r="AM9" s="520" t="e">
        <f t="shared" si="6"/>
        <v>#N/A</v>
      </c>
      <c r="AN9" s="658"/>
      <c r="AO9" s="520"/>
      <c r="AP9" s="520"/>
      <c r="AQ9" s="520"/>
      <c r="AR9" s="520" t="e">
        <f t="shared" si="8"/>
        <v>#N/A</v>
      </c>
      <c r="AS9" s="658"/>
      <c r="AT9" s="520"/>
      <c r="AU9" s="520"/>
      <c r="AV9" s="520"/>
      <c r="AW9" s="470" t="e">
        <f t="shared" si="14"/>
        <v>#N/A</v>
      </c>
      <c r="AX9" s="658"/>
      <c r="AZ9" s="379" t="e">
        <f>RANK(AX9, $K$7:AX$21)</f>
        <v>#N/A</v>
      </c>
      <c r="BB9" s="376" t="e">
        <f t="shared" si="15"/>
        <v>#N/A</v>
      </c>
    </row>
    <row r="10" spans="1:54">
      <c r="A10" s="81"/>
      <c r="B10" s="627"/>
      <c r="C10" s="470">
        <v>4</v>
      </c>
      <c r="D10" s="228"/>
      <c r="E10" s="183"/>
      <c r="F10" s="520"/>
      <c r="G10" s="521"/>
      <c r="H10" s="662"/>
      <c r="I10" s="472"/>
      <c r="J10" s="472"/>
      <c r="K10" s="201"/>
      <c r="L10" s="601"/>
      <c r="M10" s="475" t="e">
        <f>RANK(K10, $K$7:K$21)</f>
        <v>#N/A</v>
      </c>
      <c r="N10" s="619"/>
      <c r="O10" s="619"/>
      <c r="P10" s="470"/>
      <c r="Q10" s="470"/>
      <c r="R10" s="470"/>
      <c r="S10" s="470" t="e">
        <f t="shared" si="13"/>
        <v>#N/A</v>
      </c>
      <c r="T10" s="658"/>
      <c r="U10" s="520"/>
      <c r="V10" s="520"/>
      <c r="W10" s="520"/>
      <c r="X10" s="520" t="e">
        <f t="shared" si="0"/>
        <v>#N/A</v>
      </c>
      <c r="Y10" s="658"/>
      <c r="Z10" s="520"/>
      <c r="AA10" s="520"/>
      <c r="AB10" s="520"/>
      <c r="AC10" s="520" t="e">
        <f t="shared" si="2"/>
        <v>#N/A</v>
      </c>
      <c r="AD10" s="658"/>
      <c r="AE10" s="520"/>
      <c r="AF10" s="520"/>
      <c r="AG10" s="520"/>
      <c r="AH10" s="520" t="e">
        <f t="shared" si="4"/>
        <v>#N/A</v>
      </c>
      <c r="AI10" s="658"/>
      <c r="AJ10" s="520"/>
      <c r="AK10" s="520"/>
      <c r="AL10" s="520"/>
      <c r="AM10" s="520" t="e">
        <f t="shared" si="6"/>
        <v>#N/A</v>
      </c>
      <c r="AN10" s="658"/>
      <c r="AO10" s="520"/>
      <c r="AP10" s="520"/>
      <c r="AQ10" s="520"/>
      <c r="AR10" s="520" t="e">
        <f t="shared" si="8"/>
        <v>#N/A</v>
      </c>
      <c r="AS10" s="658"/>
      <c r="AT10" s="520"/>
      <c r="AU10" s="520"/>
      <c r="AV10" s="520"/>
      <c r="AW10" s="470" t="e">
        <f t="shared" si="14"/>
        <v>#N/A</v>
      </c>
      <c r="AX10" s="658"/>
      <c r="AZ10" s="379" t="e">
        <f>RANK(AX10, $K$7:AX$21)</f>
        <v>#N/A</v>
      </c>
      <c r="BB10" s="376" t="e">
        <f t="shared" si="15"/>
        <v>#N/A</v>
      </c>
    </row>
    <row r="11" spans="1:54">
      <c r="A11" s="81"/>
      <c r="B11" s="627"/>
      <c r="C11" s="470">
        <v>5</v>
      </c>
      <c r="D11" s="228"/>
      <c r="E11" s="183"/>
      <c r="F11" s="520"/>
      <c r="G11" s="521"/>
      <c r="H11" s="662"/>
      <c r="I11" s="472"/>
      <c r="J11" s="472"/>
      <c r="K11" s="201"/>
      <c r="L11" s="601"/>
      <c r="M11" s="475" t="e">
        <f>RANK(K11, $K$7:K$21)</f>
        <v>#N/A</v>
      </c>
      <c r="N11" s="619"/>
      <c r="O11" s="619"/>
      <c r="P11" s="470"/>
      <c r="Q11" s="470"/>
      <c r="R11" s="470"/>
      <c r="S11" s="470" t="e">
        <f t="shared" si="13"/>
        <v>#N/A</v>
      </c>
      <c r="T11" s="658"/>
      <c r="U11" s="520"/>
      <c r="V11" s="520"/>
      <c r="W11" s="520"/>
      <c r="X11" s="520" t="e">
        <f t="shared" si="0"/>
        <v>#N/A</v>
      </c>
      <c r="Y11" s="658"/>
      <c r="Z11" s="520"/>
      <c r="AA11" s="520"/>
      <c r="AB11" s="520"/>
      <c r="AC11" s="520" t="e">
        <f t="shared" si="2"/>
        <v>#N/A</v>
      </c>
      <c r="AD11" s="658"/>
      <c r="AE11" s="520"/>
      <c r="AF11" s="520"/>
      <c r="AG11" s="520"/>
      <c r="AH11" s="520" t="e">
        <f t="shared" si="4"/>
        <v>#N/A</v>
      </c>
      <c r="AI11" s="658"/>
      <c r="AJ11" s="520"/>
      <c r="AK11" s="520"/>
      <c r="AL11" s="520"/>
      <c r="AM11" s="520" t="e">
        <f t="shared" si="6"/>
        <v>#N/A</v>
      </c>
      <c r="AN11" s="658"/>
      <c r="AO11" s="520"/>
      <c r="AP11" s="520"/>
      <c r="AQ11" s="520"/>
      <c r="AR11" s="520" t="e">
        <f t="shared" si="8"/>
        <v>#N/A</v>
      </c>
      <c r="AS11" s="658"/>
      <c r="AT11" s="520"/>
      <c r="AU11" s="520"/>
      <c r="AV11" s="520"/>
      <c r="AW11" s="470" t="e">
        <f t="shared" si="14"/>
        <v>#N/A</v>
      </c>
      <c r="AX11" s="658"/>
      <c r="AZ11" s="379" t="e">
        <f>RANK(AX11, $K$7:AX$21)</f>
        <v>#N/A</v>
      </c>
      <c r="BB11" s="376" t="e">
        <f t="shared" si="15"/>
        <v>#N/A</v>
      </c>
    </row>
    <row r="12" spans="1:54">
      <c r="A12" s="81"/>
      <c r="B12" s="627"/>
      <c r="C12" s="470">
        <v>6</v>
      </c>
      <c r="D12" s="228"/>
      <c r="E12" s="183"/>
      <c r="F12" s="520"/>
      <c r="G12" s="521"/>
      <c r="H12" s="662"/>
      <c r="I12" s="472"/>
      <c r="J12" s="472"/>
      <c r="K12" s="201"/>
      <c r="L12" s="601"/>
      <c r="M12" s="475" t="e">
        <f>RANK(K12, $K$7:K$21)</f>
        <v>#N/A</v>
      </c>
      <c r="N12" s="619"/>
      <c r="O12" s="619"/>
      <c r="P12" s="470"/>
      <c r="Q12" s="470"/>
      <c r="R12" s="470"/>
      <c r="S12" s="470" t="e">
        <f t="shared" si="13"/>
        <v>#N/A</v>
      </c>
      <c r="T12" s="658"/>
      <c r="U12" s="520"/>
      <c r="V12" s="520"/>
      <c r="W12" s="520"/>
      <c r="X12" s="520" t="e">
        <f t="shared" si="0"/>
        <v>#N/A</v>
      </c>
      <c r="Y12" s="658"/>
      <c r="Z12" s="520"/>
      <c r="AA12" s="520"/>
      <c r="AB12" s="520"/>
      <c r="AC12" s="520" t="e">
        <f t="shared" si="2"/>
        <v>#N/A</v>
      </c>
      <c r="AD12" s="658"/>
      <c r="AE12" s="520"/>
      <c r="AF12" s="520"/>
      <c r="AG12" s="520"/>
      <c r="AH12" s="520" t="e">
        <f t="shared" si="4"/>
        <v>#N/A</v>
      </c>
      <c r="AI12" s="658"/>
      <c r="AJ12" s="520"/>
      <c r="AK12" s="520"/>
      <c r="AL12" s="520"/>
      <c r="AM12" s="520" t="e">
        <f t="shared" si="6"/>
        <v>#N/A</v>
      </c>
      <c r="AN12" s="658"/>
      <c r="AO12" s="520"/>
      <c r="AP12" s="520"/>
      <c r="AQ12" s="520"/>
      <c r="AR12" s="520" t="e">
        <f t="shared" si="8"/>
        <v>#N/A</v>
      </c>
      <c r="AS12" s="658"/>
      <c r="AT12" s="520"/>
      <c r="AU12" s="520"/>
      <c r="AV12" s="520"/>
      <c r="AW12" s="470" t="e">
        <f t="shared" si="14"/>
        <v>#N/A</v>
      </c>
      <c r="AX12" s="658"/>
      <c r="AZ12" s="379" t="e">
        <f>RANK(AX12, $K$7:AX$21)</f>
        <v>#N/A</v>
      </c>
      <c r="BB12" s="376" t="e">
        <f t="shared" si="15"/>
        <v>#N/A</v>
      </c>
    </row>
    <row r="13" spans="1:54">
      <c r="A13" s="81"/>
      <c r="B13" s="627"/>
      <c r="C13" s="470">
        <v>7</v>
      </c>
      <c r="D13" s="228"/>
      <c r="E13" s="183"/>
      <c r="F13" s="520"/>
      <c r="G13" s="521"/>
      <c r="H13" s="662"/>
      <c r="I13" s="472"/>
      <c r="J13" s="472"/>
      <c r="K13" s="201"/>
      <c r="L13" s="601"/>
      <c r="M13" s="475" t="e">
        <f>RANK(K13, $K$7:K$21)</f>
        <v>#N/A</v>
      </c>
      <c r="N13" s="619"/>
      <c r="O13" s="619"/>
      <c r="P13" s="470"/>
      <c r="Q13" s="470"/>
      <c r="R13" s="470"/>
      <c r="S13" s="470" t="e">
        <f t="shared" si="13"/>
        <v>#N/A</v>
      </c>
      <c r="T13" s="658"/>
      <c r="U13" s="520"/>
      <c r="V13" s="520"/>
      <c r="W13" s="520"/>
      <c r="X13" s="520" t="e">
        <f t="shared" si="0"/>
        <v>#N/A</v>
      </c>
      <c r="Y13" s="658"/>
      <c r="Z13" s="520"/>
      <c r="AA13" s="520"/>
      <c r="AB13" s="520"/>
      <c r="AC13" s="520" t="e">
        <f t="shared" si="2"/>
        <v>#N/A</v>
      </c>
      <c r="AD13" s="658"/>
      <c r="AE13" s="520"/>
      <c r="AF13" s="520"/>
      <c r="AG13" s="520"/>
      <c r="AH13" s="520" t="e">
        <f t="shared" si="4"/>
        <v>#N/A</v>
      </c>
      <c r="AI13" s="658"/>
      <c r="AJ13" s="520"/>
      <c r="AK13" s="520"/>
      <c r="AL13" s="520"/>
      <c r="AM13" s="520" t="e">
        <f t="shared" si="6"/>
        <v>#N/A</v>
      </c>
      <c r="AN13" s="658"/>
      <c r="AO13" s="520"/>
      <c r="AP13" s="520"/>
      <c r="AQ13" s="520"/>
      <c r="AR13" s="520" t="e">
        <f t="shared" si="8"/>
        <v>#N/A</v>
      </c>
      <c r="AS13" s="658"/>
      <c r="AT13" s="520"/>
      <c r="AU13" s="520"/>
      <c r="AV13" s="520"/>
      <c r="AW13" s="470" t="e">
        <f t="shared" si="14"/>
        <v>#N/A</v>
      </c>
      <c r="AX13" s="658"/>
      <c r="AZ13" s="379" t="e">
        <f>RANK(AX13, $K$7:AX$21)</f>
        <v>#N/A</v>
      </c>
      <c r="BB13" s="376" t="e">
        <f t="shared" si="15"/>
        <v>#N/A</v>
      </c>
    </row>
    <row r="14" spans="1:54">
      <c r="A14" s="81"/>
      <c r="B14" s="627"/>
      <c r="C14" s="470">
        <v>8</v>
      </c>
      <c r="D14" s="228"/>
      <c r="E14" s="183"/>
      <c r="F14" s="520"/>
      <c r="G14" s="521"/>
      <c r="H14" s="662"/>
      <c r="I14" s="472"/>
      <c r="J14" s="472"/>
      <c r="K14" s="201"/>
      <c r="L14" s="601"/>
      <c r="M14" s="475" t="e">
        <f>RANK(K14, $K$7:K$21)</f>
        <v>#N/A</v>
      </c>
      <c r="N14" s="619"/>
      <c r="O14" s="619"/>
      <c r="P14" s="470"/>
      <c r="Q14" s="470"/>
      <c r="R14" s="470"/>
      <c r="S14" s="470" t="e">
        <f t="shared" si="13"/>
        <v>#N/A</v>
      </c>
      <c r="T14" s="658"/>
      <c r="U14" s="520"/>
      <c r="V14" s="520"/>
      <c r="W14" s="520"/>
      <c r="X14" s="520" t="e">
        <f t="shared" si="0"/>
        <v>#N/A</v>
      </c>
      <c r="Y14" s="658"/>
      <c r="Z14" s="520"/>
      <c r="AA14" s="520"/>
      <c r="AB14" s="520"/>
      <c r="AC14" s="520" t="e">
        <f t="shared" si="2"/>
        <v>#N/A</v>
      </c>
      <c r="AD14" s="658"/>
      <c r="AE14" s="520"/>
      <c r="AF14" s="520"/>
      <c r="AG14" s="520"/>
      <c r="AH14" s="520" t="e">
        <f t="shared" si="4"/>
        <v>#N/A</v>
      </c>
      <c r="AI14" s="658"/>
      <c r="AJ14" s="520"/>
      <c r="AK14" s="520"/>
      <c r="AL14" s="520"/>
      <c r="AM14" s="520" t="e">
        <f t="shared" si="6"/>
        <v>#N/A</v>
      </c>
      <c r="AN14" s="658"/>
      <c r="AO14" s="520"/>
      <c r="AP14" s="520"/>
      <c r="AQ14" s="520"/>
      <c r="AR14" s="520" t="e">
        <f t="shared" si="8"/>
        <v>#N/A</v>
      </c>
      <c r="AS14" s="658"/>
      <c r="AT14" s="520"/>
      <c r="AU14" s="520"/>
      <c r="AV14" s="520"/>
      <c r="AW14" s="470" t="e">
        <f t="shared" si="14"/>
        <v>#N/A</v>
      </c>
      <c r="AX14" s="658"/>
      <c r="AZ14" s="379" t="e">
        <f>RANK(AX14, $K$7:AX$21)</f>
        <v>#N/A</v>
      </c>
      <c r="BB14" s="376" t="e">
        <f t="shared" si="15"/>
        <v>#N/A</v>
      </c>
    </row>
    <row r="15" spans="1:54">
      <c r="A15" s="81"/>
      <c r="B15" s="627"/>
      <c r="C15" s="470">
        <v>9</v>
      </c>
      <c r="D15" s="228"/>
      <c r="E15" s="183"/>
      <c r="F15" s="470"/>
      <c r="G15" s="471"/>
      <c r="H15" s="662"/>
      <c r="I15" s="472"/>
      <c r="J15" s="472"/>
      <c r="K15" s="201"/>
      <c r="L15" s="601"/>
      <c r="M15" s="475" t="e">
        <f>RANK(K15, $K$7:K$21)</f>
        <v>#N/A</v>
      </c>
      <c r="N15" s="619"/>
      <c r="O15" s="619"/>
      <c r="P15" s="470"/>
      <c r="Q15" s="470"/>
      <c r="R15" s="470"/>
      <c r="S15" s="470" t="e">
        <f t="shared" si="13"/>
        <v>#N/A</v>
      </c>
      <c r="T15" s="658"/>
      <c r="U15" s="520"/>
      <c r="V15" s="520"/>
      <c r="W15" s="520"/>
      <c r="X15" s="520" t="e">
        <f t="shared" si="0"/>
        <v>#N/A</v>
      </c>
      <c r="Y15" s="658"/>
      <c r="Z15" s="520"/>
      <c r="AA15" s="520"/>
      <c r="AB15" s="520"/>
      <c r="AC15" s="520" t="e">
        <f t="shared" si="2"/>
        <v>#N/A</v>
      </c>
      <c r="AD15" s="658"/>
      <c r="AE15" s="520"/>
      <c r="AF15" s="520"/>
      <c r="AG15" s="520"/>
      <c r="AH15" s="520" t="e">
        <f t="shared" si="4"/>
        <v>#N/A</v>
      </c>
      <c r="AI15" s="658"/>
      <c r="AJ15" s="520"/>
      <c r="AK15" s="520"/>
      <c r="AL15" s="520"/>
      <c r="AM15" s="520" t="e">
        <f t="shared" si="6"/>
        <v>#N/A</v>
      </c>
      <c r="AN15" s="658"/>
      <c r="AO15" s="520"/>
      <c r="AP15" s="520"/>
      <c r="AQ15" s="520"/>
      <c r="AR15" s="520" t="e">
        <f t="shared" si="8"/>
        <v>#N/A</v>
      </c>
      <c r="AS15" s="658"/>
      <c r="AT15" s="470"/>
      <c r="AU15" s="470"/>
      <c r="AV15" s="470"/>
      <c r="AW15" s="470" t="e">
        <f t="shared" si="14"/>
        <v>#N/A</v>
      </c>
      <c r="AX15" s="658"/>
      <c r="AZ15" s="379" t="e">
        <f>RANK(AX15, $K$7:AX$21)</f>
        <v>#N/A</v>
      </c>
      <c r="BB15" s="376" t="e">
        <f t="shared" si="15"/>
        <v>#N/A</v>
      </c>
    </row>
    <row r="16" spans="1:54">
      <c r="A16" s="81"/>
      <c r="B16" s="627"/>
      <c r="C16" s="470">
        <v>10</v>
      </c>
      <c r="D16" s="228"/>
      <c r="E16" s="183"/>
      <c r="F16" s="470"/>
      <c r="G16" s="471"/>
      <c r="H16" s="662"/>
      <c r="I16" s="472"/>
      <c r="J16" s="472"/>
      <c r="K16" s="201"/>
      <c r="L16" s="601"/>
      <c r="M16" s="475" t="e">
        <f>RANK(K16, $K$7:K$21)</f>
        <v>#N/A</v>
      </c>
      <c r="N16" s="619"/>
      <c r="O16" s="619"/>
      <c r="P16" s="470"/>
      <c r="Q16" s="470"/>
      <c r="R16" s="470"/>
      <c r="S16" s="470" t="e">
        <f t="shared" si="13"/>
        <v>#N/A</v>
      </c>
      <c r="T16" s="658"/>
      <c r="U16" s="520"/>
      <c r="V16" s="520"/>
      <c r="W16" s="520"/>
      <c r="X16" s="520" t="e">
        <f t="shared" si="0"/>
        <v>#N/A</v>
      </c>
      <c r="Y16" s="658"/>
      <c r="Z16" s="520"/>
      <c r="AA16" s="520"/>
      <c r="AB16" s="520"/>
      <c r="AC16" s="520" t="e">
        <f t="shared" si="2"/>
        <v>#N/A</v>
      </c>
      <c r="AD16" s="658"/>
      <c r="AE16" s="520"/>
      <c r="AF16" s="520"/>
      <c r="AG16" s="520"/>
      <c r="AH16" s="520" t="e">
        <f t="shared" si="4"/>
        <v>#N/A</v>
      </c>
      <c r="AI16" s="658"/>
      <c r="AJ16" s="520"/>
      <c r="AK16" s="520"/>
      <c r="AL16" s="520"/>
      <c r="AM16" s="520" t="e">
        <f t="shared" si="6"/>
        <v>#N/A</v>
      </c>
      <c r="AN16" s="658"/>
      <c r="AO16" s="520"/>
      <c r="AP16" s="520"/>
      <c r="AQ16" s="520"/>
      <c r="AR16" s="520" t="e">
        <f t="shared" si="8"/>
        <v>#N/A</v>
      </c>
      <c r="AS16" s="658"/>
      <c r="AT16" s="470"/>
      <c r="AU16" s="470"/>
      <c r="AV16" s="470"/>
      <c r="AW16" s="470" t="e">
        <f t="shared" si="14"/>
        <v>#N/A</v>
      </c>
      <c r="AX16" s="658"/>
      <c r="AZ16" s="379" t="e">
        <f>RANK(AX16, $K$7:AX$21)</f>
        <v>#N/A</v>
      </c>
      <c r="BB16" s="376" t="e">
        <f t="shared" si="15"/>
        <v>#N/A</v>
      </c>
    </row>
    <row r="17" spans="2:54">
      <c r="B17" s="627"/>
      <c r="C17" s="470">
        <v>11</v>
      </c>
      <c r="D17" s="228"/>
      <c r="E17" s="183"/>
      <c r="F17" s="470"/>
      <c r="G17" s="471"/>
      <c r="H17" s="662"/>
      <c r="I17" s="203"/>
      <c r="J17" s="203"/>
      <c r="K17" s="203"/>
      <c r="L17" s="601"/>
      <c r="M17" s="475" t="e">
        <f>RANK(K17, $K$7:K$21)</f>
        <v>#N/A</v>
      </c>
      <c r="N17" s="619"/>
      <c r="O17" s="619"/>
      <c r="P17" s="470"/>
      <c r="Q17" s="470"/>
      <c r="R17" s="470"/>
      <c r="S17" s="470" t="e">
        <f t="shared" si="13"/>
        <v>#N/A</v>
      </c>
      <c r="T17" s="658"/>
      <c r="U17" s="520"/>
      <c r="V17" s="520"/>
      <c r="W17" s="520"/>
      <c r="X17" s="520" t="e">
        <f t="shared" si="0"/>
        <v>#N/A</v>
      </c>
      <c r="Y17" s="658"/>
      <c r="Z17" s="520"/>
      <c r="AA17" s="520"/>
      <c r="AB17" s="520"/>
      <c r="AC17" s="520" t="e">
        <f t="shared" si="2"/>
        <v>#N/A</v>
      </c>
      <c r="AD17" s="658"/>
      <c r="AE17" s="520"/>
      <c r="AF17" s="520"/>
      <c r="AG17" s="520"/>
      <c r="AH17" s="520" t="e">
        <f t="shared" si="4"/>
        <v>#N/A</v>
      </c>
      <c r="AI17" s="658"/>
      <c r="AJ17" s="520"/>
      <c r="AK17" s="520"/>
      <c r="AL17" s="520"/>
      <c r="AM17" s="520" t="e">
        <f t="shared" si="6"/>
        <v>#N/A</v>
      </c>
      <c r="AN17" s="658"/>
      <c r="AO17" s="520"/>
      <c r="AP17" s="520"/>
      <c r="AQ17" s="520"/>
      <c r="AR17" s="520" t="e">
        <f t="shared" si="8"/>
        <v>#N/A</v>
      </c>
      <c r="AS17" s="658"/>
      <c r="AT17" s="470"/>
      <c r="AU17" s="470"/>
      <c r="AV17" s="470"/>
      <c r="AW17" s="470" t="e">
        <f t="shared" si="14"/>
        <v>#N/A</v>
      </c>
      <c r="AX17" s="658"/>
      <c r="AZ17" s="379" t="e">
        <f>RANK(AX17, $K$7:AX$21)</f>
        <v>#N/A</v>
      </c>
      <c r="BB17" s="376" t="e">
        <f t="shared" si="15"/>
        <v>#N/A</v>
      </c>
    </row>
    <row r="18" spans="2:54">
      <c r="B18" s="627"/>
      <c r="C18" s="470">
        <v>12</v>
      </c>
      <c r="D18" s="228"/>
      <c r="E18" s="183"/>
      <c r="F18" s="470"/>
      <c r="G18" s="471"/>
      <c r="H18" s="662"/>
      <c r="I18" s="203"/>
      <c r="J18" s="203"/>
      <c r="K18" s="203"/>
      <c r="L18" s="601"/>
      <c r="M18" s="475" t="e">
        <f>RANK(K18, $K$7:K$21)</f>
        <v>#N/A</v>
      </c>
      <c r="N18" s="619"/>
      <c r="O18" s="619"/>
      <c r="P18" s="470"/>
      <c r="Q18" s="470"/>
      <c r="R18" s="470"/>
      <c r="S18" s="470" t="e">
        <f t="shared" si="13"/>
        <v>#N/A</v>
      </c>
      <c r="T18" s="658"/>
      <c r="U18" s="520"/>
      <c r="V18" s="520"/>
      <c r="W18" s="520"/>
      <c r="X18" s="520" t="e">
        <f t="shared" si="0"/>
        <v>#N/A</v>
      </c>
      <c r="Y18" s="658"/>
      <c r="Z18" s="520"/>
      <c r="AA18" s="520"/>
      <c r="AB18" s="520"/>
      <c r="AC18" s="520" t="e">
        <f t="shared" si="2"/>
        <v>#N/A</v>
      </c>
      <c r="AD18" s="658"/>
      <c r="AE18" s="520"/>
      <c r="AF18" s="520"/>
      <c r="AG18" s="520"/>
      <c r="AH18" s="520" t="e">
        <f t="shared" si="4"/>
        <v>#N/A</v>
      </c>
      <c r="AI18" s="658"/>
      <c r="AJ18" s="520"/>
      <c r="AK18" s="520"/>
      <c r="AL18" s="520"/>
      <c r="AM18" s="520" t="e">
        <f t="shared" si="6"/>
        <v>#N/A</v>
      </c>
      <c r="AN18" s="658"/>
      <c r="AO18" s="520"/>
      <c r="AP18" s="520"/>
      <c r="AQ18" s="520"/>
      <c r="AR18" s="520" t="e">
        <f t="shared" si="8"/>
        <v>#N/A</v>
      </c>
      <c r="AS18" s="658"/>
      <c r="AT18" s="470"/>
      <c r="AU18" s="470"/>
      <c r="AV18" s="470"/>
      <c r="AW18" s="470" t="e">
        <f t="shared" si="14"/>
        <v>#N/A</v>
      </c>
      <c r="AX18" s="658"/>
      <c r="AZ18" s="379" t="e">
        <f>RANK(AX18, $K$7:AX$21)</f>
        <v>#N/A</v>
      </c>
      <c r="BB18" s="376" t="e">
        <f t="shared" si="15"/>
        <v>#N/A</v>
      </c>
    </row>
    <row r="19" spans="2:54">
      <c r="B19" s="627"/>
      <c r="C19" s="470">
        <v>13</v>
      </c>
      <c r="D19" s="228"/>
      <c r="E19" s="183"/>
      <c r="F19" s="470"/>
      <c r="G19" s="471"/>
      <c r="H19" s="662"/>
      <c r="I19" s="203"/>
      <c r="J19" s="203"/>
      <c r="K19" s="203"/>
      <c r="L19" s="601"/>
      <c r="M19" s="475" t="e">
        <f>RANK(K19, $K$7:K$21)</f>
        <v>#N/A</v>
      </c>
      <c r="N19" s="619"/>
      <c r="O19" s="619"/>
      <c r="P19" s="470"/>
      <c r="Q19" s="470"/>
      <c r="R19" s="470"/>
      <c r="S19" s="470" t="e">
        <f t="shared" si="13"/>
        <v>#N/A</v>
      </c>
      <c r="T19" s="658"/>
      <c r="U19" s="520"/>
      <c r="V19" s="520"/>
      <c r="W19" s="520"/>
      <c r="X19" s="520" t="e">
        <f t="shared" si="0"/>
        <v>#N/A</v>
      </c>
      <c r="Y19" s="658"/>
      <c r="Z19" s="520"/>
      <c r="AA19" s="520"/>
      <c r="AB19" s="520"/>
      <c r="AC19" s="520" t="e">
        <f t="shared" si="2"/>
        <v>#N/A</v>
      </c>
      <c r="AD19" s="658"/>
      <c r="AE19" s="520"/>
      <c r="AF19" s="520"/>
      <c r="AG19" s="520"/>
      <c r="AH19" s="520" t="e">
        <f t="shared" si="4"/>
        <v>#N/A</v>
      </c>
      <c r="AI19" s="658"/>
      <c r="AJ19" s="520"/>
      <c r="AK19" s="520"/>
      <c r="AL19" s="520"/>
      <c r="AM19" s="520" t="e">
        <f t="shared" si="6"/>
        <v>#N/A</v>
      </c>
      <c r="AN19" s="658"/>
      <c r="AO19" s="520"/>
      <c r="AP19" s="520"/>
      <c r="AQ19" s="520"/>
      <c r="AR19" s="520" t="e">
        <f t="shared" si="8"/>
        <v>#N/A</v>
      </c>
      <c r="AS19" s="658"/>
      <c r="AT19" s="470"/>
      <c r="AU19" s="470"/>
      <c r="AV19" s="470"/>
      <c r="AW19" s="470" t="e">
        <f t="shared" si="14"/>
        <v>#N/A</v>
      </c>
      <c r="AX19" s="658"/>
      <c r="AZ19" s="379" t="e">
        <f>RANK(AX19, $K$7:AX$21)</f>
        <v>#N/A</v>
      </c>
      <c r="BB19" s="376" t="e">
        <f t="shared" si="15"/>
        <v>#N/A</v>
      </c>
    </row>
    <row r="20" spans="2:54">
      <c r="B20" s="627"/>
      <c r="C20" s="470">
        <v>14</v>
      </c>
      <c r="D20" s="228"/>
      <c r="E20" s="183"/>
      <c r="F20" s="470"/>
      <c r="G20" s="471"/>
      <c r="H20" s="662"/>
      <c r="I20" s="203"/>
      <c r="J20" s="203"/>
      <c r="K20" s="203"/>
      <c r="L20" s="601"/>
      <c r="M20" s="475" t="e">
        <f>RANK(K20, $K$7:K$21)</f>
        <v>#N/A</v>
      </c>
      <c r="N20" s="619"/>
      <c r="O20" s="619"/>
      <c r="P20" s="470"/>
      <c r="Q20" s="470"/>
      <c r="R20" s="470"/>
      <c r="S20" s="470" t="e">
        <f t="shared" si="13"/>
        <v>#N/A</v>
      </c>
      <c r="T20" s="658"/>
      <c r="U20" s="520"/>
      <c r="V20" s="520"/>
      <c r="W20" s="520"/>
      <c r="X20" s="520" t="e">
        <f t="shared" si="0"/>
        <v>#N/A</v>
      </c>
      <c r="Y20" s="658"/>
      <c r="Z20" s="520"/>
      <c r="AA20" s="520"/>
      <c r="AB20" s="520"/>
      <c r="AC20" s="520" t="e">
        <f t="shared" si="2"/>
        <v>#N/A</v>
      </c>
      <c r="AD20" s="658"/>
      <c r="AE20" s="520"/>
      <c r="AF20" s="520"/>
      <c r="AG20" s="520"/>
      <c r="AH20" s="520" t="e">
        <f t="shared" si="4"/>
        <v>#N/A</v>
      </c>
      <c r="AI20" s="658"/>
      <c r="AJ20" s="520"/>
      <c r="AK20" s="520"/>
      <c r="AL20" s="520"/>
      <c r="AM20" s="520" t="e">
        <f t="shared" si="6"/>
        <v>#N/A</v>
      </c>
      <c r="AN20" s="658"/>
      <c r="AO20" s="520"/>
      <c r="AP20" s="520"/>
      <c r="AQ20" s="520"/>
      <c r="AR20" s="520" t="e">
        <f t="shared" si="8"/>
        <v>#N/A</v>
      </c>
      <c r="AS20" s="658"/>
      <c r="AT20" s="470"/>
      <c r="AU20" s="470"/>
      <c r="AV20" s="470"/>
      <c r="AW20" s="470" t="e">
        <f t="shared" si="14"/>
        <v>#N/A</v>
      </c>
      <c r="AX20" s="658"/>
      <c r="AZ20" s="379" t="e">
        <f>RANK(AX20, $K$7:AX$21)</f>
        <v>#N/A</v>
      </c>
      <c r="BB20" s="376" t="e">
        <f t="shared" si="15"/>
        <v>#N/A</v>
      </c>
    </row>
    <row r="21" spans="2:54">
      <c r="B21" s="627"/>
      <c r="C21" s="470">
        <v>15</v>
      </c>
      <c r="D21" s="228"/>
      <c r="E21" s="183"/>
      <c r="F21" s="470"/>
      <c r="G21" s="471"/>
      <c r="H21" s="663"/>
      <c r="I21" s="203"/>
      <c r="J21" s="203"/>
      <c r="K21" s="203"/>
      <c r="L21" s="602"/>
      <c r="M21" s="472" t="e">
        <f>RANK(K21, $K$7:K$21)</f>
        <v>#N/A</v>
      </c>
      <c r="N21" s="619"/>
      <c r="O21" s="619"/>
      <c r="P21" s="470"/>
      <c r="Q21" s="470"/>
      <c r="R21" s="470"/>
      <c r="S21" s="470" t="e">
        <f t="shared" si="13"/>
        <v>#N/A</v>
      </c>
      <c r="T21" s="658"/>
      <c r="U21" s="520"/>
      <c r="V21" s="520"/>
      <c r="W21" s="520"/>
      <c r="X21" s="520" t="e">
        <f t="shared" si="0"/>
        <v>#N/A</v>
      </c>
      <c r="Y21" s="658"/>
      <c r="Z21" s="520"/>
      <c r="AA21" s="520"/>
      <c r="AB21" s="520"/>
      <c r="AC21" s="520" t="e">
        <f t="shared" si="2"/>
        <v>#N/A</v>
      </c>
      <c r="AD21" s="658"/>
      <c r="AE21" s="520"/>
      <c r="AF21" s="520"/>
      <c r="AG21" s="520"/>
      <c r="AH21" s="520" t="e">
        <f t="shared" si="4"/>
        <v>#N/A</v>
      </c>
      <c r="AI21" s="658"/>
      <c r="AJ21" s="520"/>
      <c r="AK21" s="520"/>
      <c r="AL21" s="520"/>
      <c r="AM21" s="520" t="e">
        <f t="shared" si="6"/>
        <v>#N/A</v>
      </c>
      <c r="AN21" s="658"/>
      <c r="AO21" s="520"/>
      <c r="AP21" s="520"/>
      <c r="AQ21" s="520"/>
      <c r="AR21" s="520" t="e">
        <f t="shared" si="8"/>
        <v>#N/A</v>
      </c>
      <c r="AS21" s="658"/>
      <c r="AT21" s="470"/>
      <c r="AU21" s="470"/>
      <c r="AV21" s="470"/>
      <c r="AW21" s="470" t="e">
        <f t="shared" si="14"/>
        <v>#N/A</v>
      </c>
      <c r="AX21" s="658"/>
      <c r="AZ21" s="378" t="e">
        <f>RANK(AX21, $K$7:AX$21)</f>
        <v>#N/A</v>
      </c>
      <c r="BB21" s="376" t="e">
        <f t="shared" si="15"/>
        <v>#N/A</v>
      </c>
    </row>
    <row r="22" spans="2:54" ht="15.5">
      <c r="B22" s="644" t="s">
        <v>163</v>
      </c>
      <c r="C22" s="645"/>
      <c r="D22" s="645"/>
      <c r="E22" s="645"/>
      <c r="F22" s="645"/>
      <c r="G22" s="645"/>
      <c r="H22" s="645"/>
      <c r="I22" s="204"/>
      <c r="J22" s="204"/>
      <c r="K22" s="204"/>
      <c r="L22" s="204"/>
      <c r="M22" s="205"/>
      <c r="N22" s="620" t="s">
        <v>156</v>
      </c>
      <c r="O22" s="620" t="s">
        <v>105</v>
      </c>
      <c r="P22" s="664">
        <v>45993</v>
      </c>
      <c r="Q22" s="665"/>
      <c r="R22" s="665"/>
      <c r="S22" s="665"/>
      <c r="T22" s="665"/>
      <c r="U22" s="626">
        <f>P22+1</f>
        <v>45994</v>
      </c>
      <c r="V22" s="627"/>
      <c r="W22" s="627"/>
      <c r="X22" s="627"/>
      <c r="Y22" s="627"/>
      <c r="Z22" s="626">
        <f>U22+1</f>
        <v>45995</v>
      </c>
      <c r="AA22" s="627"/>
      <c r="AB22" s="627"/>
      <c r="AC22" s="627"/>
      <c r="AD22" s="627"/>
      <c r="AE22" s="626">
        <f>Z22+1</f>
        <v>45996</v>
      </c>
      <c r="AF22" s="627"/>
      <c r="AG22" s="627"/>
      <c r="AH22" s="627"/>
      <c r="AI22" s="627"/>
      <c r="AJ22" s="626">
        <f>AE22+1</f>
        <v>45997</v>
      </c>
      <c r="AK22" s="627"/>
      <c r="AL22" s="627"/>
      <c r="AM22" s="627"/>
      <c r="AN22" s="627"/>
      <c r="AO22" s="626">
        <f>AJ22+1</f>
        <v>45998</v>
      </c>
      <c r="AP22" s="627"/>
      <c r="AQ22" s="627"/>
      <c r="AR22" s="627"/>
      <c r="AS22" s="627"/>
      <c r="AT22" s="626">
        <f>AO22+1</f>
        <v>45999</v>
      </c>
      <c r="AU22" s="627"/>
      <c r="AV22" s="627"/>
      <c r="AW22" s="627"/>
      <c r="AX22" s="627"/>
    </row>
    <row r="23" spans="2:54" ht="15.5">
      <c r="B23" s="634"/>
      <c r="C23" s="634"/>
      <c r="D23" s="634"/>
      <c r="E23" s="634"/>
      <c r="F23" s="634"/>
      <c r="G23" s="634"/>
      <c r="H23" s="634"/>
      <c r="I23" s="206"/>
      <c r="J23" s="206"/>
      <c r="K23" s="206"/>
      <c r="L23" s="206"/>
      <c r="M23" s="207"/>
      <c r="N23" s="622"/>
      <c r="O23" s="622"/>
      <c r="P23" s="626" t="s">
        <v>336</v>
      </c>
      <c r="Q23" s="627"/>
      <c r="R23" s="627"/>
      <c r="S23" s="627"/>
      <c r="T23" s="627"/>
      <c r="U23" s="626" t="s">
        <v>337</v>
      </c>
      <c r="V23" s="627"/>
      <c r="W23" s="627"/>
      <c r="X23" s="627"/>
      <c r="Y23" s="627"/>
      <c r="Z23" s="626" t="s">
        <v>338</v>
      </c>
      <c r="AA23" s="627"/>
      <c r="AB23" s="627"/>
      <c r="AC23" s="627"/>
      <c r="AD23" s="627"/>
      <c r="AE23" s="626" t="s">
        <v>339</v>
      </c>
      <c r="AF23" s="627"/>
      <c r="AG23" s="627"/>
      <c r="AH23" s="627"/>
      <c r="AI23" s="627"/>
      <c r="AJ23" s="626" t="s">
        <v>340</v>
      </c>
      <c r="AK23" s="627"/>
      <c r="AL23" s="627"/>
      <c r="AM23" s="627"/>
      <c r="AN23" s="627"/>
      <c r="AO23" s="626" t="s">
        <v>341</v>
      </c>
      <c r="AP23" s="627"/>
      <c r="AQ23" s="627"/>
      <c r="AR23" s="627"/>
      <c r="AS23" s="627"/>
      <c r="AT23" s="626" t="s">
        <v>342</v>
      </c>
      <c r="AU23" s="627"/>
      <c r="AV23" s="627"/>
      <c r="AW23" s="627"/>
      <c r="AX23" s="627"/>
    </row>
    <row r="24" spans="2:54">
      <c r="B24" s="619" t="s">
        <v>154</v>
      </c>
      <c r="C24" s="619" t="s">
        <v>453</v>
      </c>
      <c r="D24" s="619"/>
      <c r="E24" s="619" t="s">
        <v>444</v>
      </c>
      <c r="F24" s="619"/>
      <c r="G24" s="619"/>
      <c r="H24" s="635" t="s">
        <v>440</v>
      </c>
      <c r="I24" s="603" t="s">
        <v>445</v>
      </c>
      <c r="J24" s="603"/>
      <c r="K24" s="603"/>
      <c r="L24" s="604" t="s">
        <v>440</v>
      </c>
      <c r="M24" s="610" t="s">
        <v>441</v>
      </c>
      <c r="N24" s="619"/>
      <c r="O24" s="619" t="s">
        <v>446</v>
      </c>
      <c r="P24" s="616" t="s">
        <v>442</v>
      </c>
      <c r="Q24" s="617"/>
      <c r="R24" s="617"/>
      <c r="S24" s="618"/>
      <c r="T24" s="619" t="s">
        <v>440</v>
      </c>
      <c r="U24" s="616" t="s">
        <v>442</v>
      </c>
      <c r="V24" s="617"/>
      <c r="W24" s="617"/>
      <c r="X24" s="618"/>
      <c r="Y24" s="619" t="s">
        <v>440</v>
      </c>
      <c r="Z24" s="616" t="s">
        <v>442</v>
      </c>
      <c r="AA24" s="617"/>
      <c r="AB24" s="617"/>
      <c r="AC24" s="618"/>
      <c r="AD24" s="619" t="s">
        <v>440</v>
      </c>
      <c r="AE24" s="616" t="s">
        <v>442</v>
      </c>
      <c r="AF24" s="617"/>
      <c r="AG24" s="617"/>
      <c r="AH24" s="618"/>
      <c r="AI24" s="619" t="s">
        <v>440</v>
      </c>
      <c r="AJ24" s="616" t="s">
        <v>442</v>
      </c>
      <c r="AK24" s="617"/>
      <c r="AL24" s="617"/>
      <c r="AM24" s="618"/>
      <c r="AN24" s="619" t="s">
        <v>440</v>
      </c>
      <c r="AO24" s="616" t="s">
        <v>442</v>
      </c>
      <c r="AP24" s="617"/>
      <c r="AQ24" s="617"/>
      <c r="AR24" s="618"/>
      <c r="AS24" s="619" t="s">
        <v>440</v>
      </c>
      <c r="AT24" s="616" t="s">
        <v>442</v>
      </c>
      <c r="AU24" s="617"/>
      <c r="AV24" s="617"/>
      <c r="AW24" s="618"/>
      <c r="AX24" s="619" t="s">
        <v>440</v>
      </c>
    </row>
    <row r="25" spans="2:54">
      <c r="B25" s="619"/>
      <c r="C25" s="619"/>
      <c r="D25" s="619"/>
      <c r="E25" s="619" t="s">
        <v>447</v>
      </c>
      <c r="F25" s="619"/>
      <c r="G25" s="619"/>
      <c r="H25" s="636"/>
      <c r="I25" s="603" t="s">
        <v>447</v>
      </c>
      <c r="J25" s="603"/>
      <c r="K25" s="603"/>
      <c r="L25" s="605"/>
      <c r="M25" s="611"/>
      <c r="N25" s="619"/>
      <c r="O25" s="619"/>
      <c r="P25" s="616" t="s">
        <v>448</v>
      </c>
      <c r="Q25" s="617"/>
      <c r="R25" s="617"/>
      <c r="S25" s="618"/>
      <c r="T25" s="619"/>
      <c r="U25" s="616" t="s">
        <v>448</v>
      </c>
      <c r="V25" s="617"/>
      <c r="W25" s="617"/>
      <c r="X25" s="618"/>
      <c r="Y25" s="619"/>
      <c r="Z25" s="616" t="s">
        <v>448</v>
      </c>
      <c r="AA25" s="617"/>
      <c r="AB25" s="617"/>
      <c r="AC25" s="618"/>
      <c r="AD25" s="619"/>
      <c r="AE25" s="616" t="s">
        <v>448</v>
      </c>
      <c r="AF25" s="617"/>
      <c r="AG25" s="617"/>
      <c r="AH25" s="618"/>
      <c r="AI25" s="619"/>
      <c r="AJ25" s="616" t="s">
        <v>448</v>
      </c>
      <c r="AK25" s="617"/>
      <c r="AL25" s="617"/>
      <c r="AM25" s="618"/>
      <c r="AN25" s="619"/>
      <c r="AO25" s="616" t="s">
        <v>448</v>
      </c>
      <c r="AP25" s="617"/>
      <c r="AQ25" s="617"/>
      <c r="AR25" s="618"/>
      <c r="AS25" s="619"/>
      <c r="AT25" s="616" t="s">
        <v>555</v>
      </c>
      <c r="AU25" s="617"/>
      <c r="AV25" s="617"/>
      <c r="AW25" s="618"/>
      <c r="AX25" s="619"/>
    </row>
    <row r="26" spans="2:54">
      <c r="B26" s="619"/>
      <c r="C26" s="619"/>
      <c r="D26" s="619"/>
      <c r="E26" s="329" t="s">
        <v>449</v>
      </c>
      <c r="F26" s="329" t="s">
        <v>450</v>
      </c>
      <c r="G26" s="329" t="s">
        <v>451</v>
      </c>
      <c r="H26" s="637"/>
      <c r="I26" s="328" t="s">
        <v>449</v>
      </c>
      <c r="J26" s="328" t="s">
        <v>450</v>
      </c>
      <c r="K26" s="328" t="s">
        <v>451</v>
      </c>
      <c r="L26" s="606"/>
      <c r="M26" s="612"/>
      <c r="N26" s="619"/>
      <c r="O26" s="619"/>
      <c r="P26" s="329" t="s">
        <v>449</v>
      </c>
      <c r="Q26" s="329" t="s">
        <v>450</v>
      </c>
      <c r="R26" s="329" t="s">
        <v>451</v>
      </c>
      <c r="S26" s="329" t="s">
        <v>441</v>
      </c>
      <c r="T26" s="619"/>
      <c r="U26" s="329" t="s">
        <v>449</v>
      </c>
      <c r="V26" s="329" t="s">
        <v>450</v>
      </c>
      <c r="W26" s="329" t="s">
        <v>451</v>
      </c>
      <c r="X26" s="329" t="s">
        <v>556</v>
      </c>
      <c r="Y26" s="619"/>
      <c r="Z26" s="329" t="s">
        <v>557</v>
      </c>
      <c r="AA26" s="329" t="s">
        <v>450</v>
      </c>
      <c r="AB26" s="329" t="s">
        <v>451</v>
      </c>
      <c r="AC26" s="329" t="s">
        <v>441</v>
      </c>
      <c r="AD26" s="619"/>
      <c r="AE26" s="329" t="s">
        <v>558</v>
      </c>
      <c r="AF26" s="329" t="s">
        <v>559</v>
      </c>
      <c r="AG26" s="329" t="s">
        <v>451</v>
      </c>
      <c r="AH26" s="329" t="s">
        <v>441</v>
      </c>
      <c r="AI26" s="619"/>
      <c r="AJ26" s="329" t="s">
        <v>557</v>
      </c>
      <c r="AK26" s="329" t="s">
        <v>559</v>
      </c>
      <c r="AL26" s="329" t="s">
        <v>451</v>
      </c>
      <c r="AM26" s="329" t="s">
        <v>441</v>
      </c>
      <c r="AN26" s="619"/>
      <c r="AO26" s="329" t="s">
        <v>449</v>
      </c>
      <c r="AP26" s="329" t="s">
        <v>559</v>
      </c>
      <c r="AQ26" s="329" t="s">
        <v>451</v>
      </c>
      <c r="AR26" s="329" t="s">
        <v>441</v>
      </c>
      <c r="AS26" s="619"/>
      <c r="AT26" s="329" t="s">
        <v>557</v>
      </c>
      <c r="AU26" s="329" t="s">
        <v>559</v>
      </c>
      <c r="AV26" s="329" t="s">
        <v>451</v>
      </c>
      <c r="AW26" s="329" t="s">
        <v>441</v>
      </c>
      <c r="AX26" s="619"/>
    </row>
    <row r="27" spans="2:54">
      <c r="B27" s="619" t="s">
        <v>454</v>
      </c>
      <c r="C27" s="330">
        <v>1</v>
      </c>
      <c r="D27" s="228" t="s">
        <v>867</v>
      </c>
      <c r="E27" s="183">
        <v>13</v>
      </c>
      <c r="F27" s="330">
        <v>1500</v>
      </c>
      <c r="G27" s="331">
        <v>115.38461538461539</v>
      </c>
      <c r="H27" s="661">
        <f>AVERAGE(G27:G41)</f>
        <v>115.38461538461539</v>
      </c>
      <c r="I27" s="200">
        <f t="shared" ref="I27:K27" si="16">AVERAGE(P27,U27,Z27,AE27,AJ27,AO27,AT27)</f>
        <v>13</v>
      </c>
      <c r="J27" s="200">
        <f t="shared" si="16"/>
        <v>1503.7244897959176</v>
      </c>
      <c r="K27" s="201">
        <f t="shared" si="16"/>
        <v>115.67111459968599</v>
      </c>
      <c r="L27" s="600">
        <f>IFERROR(AVERAGE(K27:K41),"-")</f>
        <v>115.67111459968599</v>
      </c>
      <c r="M27" s="202">
        <f>RANK(K27, K$27:$K$41)</f>
        <v>1</v>
      </c>
      <c r="N27" s="619"/>
      <c r="O27" s="619"/>
      <c r="P27" s="445">
        <v>13</v>
      </c>
      <c r="Q27" s="183">
        <v>1438.6666666666667</v>
      </c>
      <c r="R27" s="377">
        <v>110.66666666666667</v>
      </c>
      <c r="S27" s="330">
        <f t="shared" ref="S27:S41" si="17">RANK(R27, R$27:R$41)</f>
        <v>1</v>
      </c>
      <c r="T27" s="658">
        <f>AVERAGE(R27:R41)</f>
        <v>110.66666666666667</v>
      </c>
      <c r="U27" s="445">
        <v>13</v>
      </c>
      <c r="V27" s="183">
        <v>1493.3333333333333</v>
      </c>
      <c r="W27" s="523">
        <v>114.87179487179486</v>
      </c>
      <c r="X27" s="520">
        <f t="shared" ref="X27:X41" si="18">RANK(W27, W$27:W$41)</f>
        <v>1</v>
      </c>
      <c r="Y27" s="658">
        <f t="shared" ref="Y27" si="19">AVERAGE(W27:W41)</f>
        <v>114.87179487179486</v>
      </c>
      <c r="Z27" s="445">
        <v>13</v>
      </c>
      <c r="AA27" s="183">
        <v>1464</v>
      </c>
      <c r="AB27" s="523">
        <v>112.61538461538461</v>
      </c>
      <c r="AC27" s="520">
        <f t="shared" ref="AC27:AC41" si="20">RANK(AB27, AB$27:AB$41)</f>
        <v>1</v>
      </c>
      <c r="AD27" s="658">
        <f t="shared" ref="AD27" si="21">AVERAGE(AB27:AB41)</f>
        <v>112.61538461538461</v>
      </c>
      <c r="AE27" s="445">
        <f>'[1]（５-4）品群別人時生產性（4℃-壽司手卷)'!AE107</f>
        <v>13</v>
      </c>
      <c r="AF27" s="183">
        <f>'[1]（５-4）品群別人時生產性（4℃-壽司手卷)'!AF107</f>
        <v>1565.1428571428592</v>
      </c>
      <c r="AG27" s="523">
        <f>'[1]（５-4）品群別人時生產性（4℃-壽司手卷)'!AG107</f>
        <v>120.39560439560455</v>
      </c>
      <c r="AH27" s="520">
        <f t="shared" ref="AH27:AH41" si="22">RANK(AG27, AG$27:AG$41)</f>
        <v>1</v>
      </c>
      <c r="AI27" s="658">
        <f t="shared" ref="AI27" si="23">AVERAGE(AG27:AG41)</f>
        <v>120.39560439560455</v>
      </c>
      <c r="AJ27" s="445">
        <v>13</v>
      </c>
      <c r="AK27" s="183">
        <v>1551.4285714285697</v>
      </c>
      <c r="AL27" s="523">
        <v>119.34065934065922</v>
      </c>
      <c r="AM27" s="520">
        <f t="shared" ref="AM27:AM41" si="24">RANK(AL27, AL$27:AL$41)</f>
        <v>1</v>
      </c>
      <c r="AN27" s="658">
        <f t="shared" ref="AN27" si="25">AVERAGE(AL27:AL41)</f>
        <v>119.34065934065922</v>
      </c>
      <c r="AO27" s="445">
        <v>13</v>
      </c>
      <c r="AP27" s="183">
        <v>1507.4999999999993</v>
      </c>
      <c r="AQ27" s="523">
        <v>115.96153846153841</v>
      </c>
      <c r="AR27" s="520">
        <f t="shared" ref="AR27:AR41" si="26">RANK(AQ27, AQ$27:AQ$41)</f>
        <v>1</v>
      </c>
      <c r="AS27" s="658">
        <f t="shared" ref="AS27" si="27">AVERAGE(AQ27:AQ41)</f>
        <v>115.96153846153841</v>
      </c>
      <c r="AT27" s="445">
        <v>13</v>
      </c>
      <c r="AU27" s="183">
        <v>1505.9999999999964</v>
      </c>
      <c r="AV27" s="523">
        <v>115.84615384615357</v>
      </c>
      <c r="AW27" s="520">
        <f t="shared" ref="AW27:AW41" si="28">RANK(AV27, AV$27:AV$41)</f>
        <v>1</v>
      </c>
      <c r="AX27" s="658">
        <f t="shared" ref="AX27" si="29">AVERAGE(AV27:AV41)</f>
        <v>115.84615384615357</v>
      </c>
    </row>
    <row r="28" spans="2:54">
      <c r="B28" s="627"/>
      <c r="C28" s="330">
        <v>2</v>
      </c>
      <c r="D28" s="228"/>
      <c r="E28" s="183"/>
      <c r="F28" s="330"/>
      <c r="G28" s="331"/>
      <c r="H28" s="662"/>
      <c r="I28" s="443"/>
      <c r="J28" s="443"/>
      <c r="K28" s="201"/>
      <c r="L28" s="601"/>
      <c r="M28" s="202" t="e">
        <f>RANK(K28, K$27:$K$41)</f>
        <v>#N/A</v>
      </c>
      <c r="N28" s="619"/>
      <c r="O28" s="619"/>
      <c r="P28" s="376"/>
      <c r="Q28" s="183"/>
      <c r="R28" s="377"/>
      <c r="S28" s="330" t="e">
        <f t="shared" si="17"/>
        <v>#N/A</v>
      </c>
      <c r="T28" s="658"/>
      <c r="U28" s="520"/>
      <c r="V28" s="183"/>
      <c r="W28" s="521"/>
      <c r="X28" s="520" t="e">
        <f t="shared" si="18"/>
        <v>#N/A</v>
      </c>
      <c r="Y28" s="658"/>
      <c r="Z28" s="520"/>
      <c r="AA28" s="183"/>
      <c r="AB28" s="521"/>
      <c r="AC28" s="520" t="e">
        <f t="shared" si="20"/>
        <v>#N/A</v>
      </c>
      <c r="AD28" s="658"/>
      <c r="AE28" s="520"/>
      <c r="AF28" s="183"/>
      <c r="AG28" s="521"/>
      <c r="AH28" s="520" t="e">
        <f t="shared" si="22"/>
        <v>#N/A</v>
      </c>
      <c r="AI28" s="658"/>
      <c r="AJ28" s="520"/>
      <c r="AK28" s="183"/>
      <c r="AL28" s="521"/>
      <c r="AM28" s="520" t="e">
        <f t="shared" si="24"/>
        <v>#N/A</v>
      </c>
      <c r="AN28" s="658"/>
      <c r="AO28" s="520"/>
      <c r="AP28" s="183"/>
      <c r="AQ28" s="521"/>
      <c r="AR28" s="520" t="e">
        <f t="shared" si="26"/>
        <v>#N/A</v>
      </c>
      <c r="AS28" s="658"/>
      <c r="AT28" s="520"/>
      <c r="AU28" s="183"/>
      <c r="AV28" s="521"/>
      <c r="AW28" s="520" t="e">
        <f t="shared" si="28"/>
        <v>#N/A</v>
      </c>
      <c r="AX28" s="658"/>
    </row>
    <row r="29" spans="2:54">
      <c r="B29" s="627"/>
      <c r="C29" s="330">
        <v>3</v>
      </c>
      <c r="D29" s="228"/>
      <c r="E29" s="183"/>
      <c r="F29" s="330"/>
      <c r="G29" s="331"/>
      <c r="H29" s="662"/>
      <c r="I29" s="200"/>
      <c r="J29" s="200"/>
      <c r="K29" s="201"/>
      <c r="L29" s="601"/>
      <c r="M29" s="202" t="e">
        <f>RANK(K29, K$27:$K$41)</f>
        <v>#N/A</v>
      </c>
      <c r="N29" s="619"/>
      <c r="O29" s="619"/>
      <c r="P29" s="376"/>
      <c r="Q29" s="376"/>
      <c r="R29" s="376"/>
      <c r="S29" s="330" t="e">
        <f t="shared" si="17"/>
        <v>#N/A</v>
      </c>
      <c r="T29" s="658"/>
      <c r="U29" s="520"/>
      <c r="V29" s="520"/>
      <c r="W29" s="520"/>
      <c r="X29" s="520" t="e">
        <f t="shared" si="18"/>
        <v>#N/A</v>
      </c>
      <c r="Y29" s="658"/>
      <c r="Z29" s="520"/>
      <c r="AA29" s="520"/>
      <c r="AB29" s="520"/>
      <c r="AC29" s="520" t="e">
        <f t="shared" si="20"/>
        <v>#N/A</v>
      </c>
      <c r="AD29" s="658"/>
      <c r="AE29" s="520"/>
      <c r="AF29" s="520"/>
      <c r="AG29" s="520"/>
      <c r="AH29" s="520" t="e">
        <f t="shared" si="22"/>
        <v>#N/A</v>
      </c>
      <c r="AI29" s="658"/>
      <c r="AJ29" s="520"/>
      <c r="AK29" s="520"/>
      <c r="AL29" s="520"/>
      <c r="AM29" s="520" t="e">
        <f t="shared" si="24"/>
        <v>#N/A</v>
      </c>
      <c r="AN29" s="658"/>
      <c r="AO29" s="520"/>
      <c r="AP29" s="520"/>
      <c r="AQ29" s="520"/>
      <c r="AR29" s="520" t="e">
        <f t="shared" si="26"/>
        <v>#N/A</v>
      </c>
      <c r="AS29" s="658"/>
      <c r="AT29" s="520"/>
      <c r="AU29" s="520"/>
      <c r="AV29" s="520"/>
      <c r="AW29" s="520" t="e">
        <f t="shared" si="28"/>
        <v>#N/A</v>
      </c>
      <c r="AX29" s="658"/>
    </row>
    <row r="30" spans="2:54">
      <c r="B30" s="627"/>
      <c r="C30" s="330">
        <v>4</v>
      </c>
      <c r="D30" s="228"/>
      <c r="E30" s="183"/>
      <c r="F30" s="330"/>
      <c r="G30" s="331"/>
      <c r="H30" s="662"/>
      <c r="I30" s="200"/>
      <c r="J30" s="200"/>
      <c r="K30" s="201"/>
      <c r="L30" s="601"/>
      <c r="M30" s="202" t="e">
        <f>RANK(K30, K$27:$K$41)</f>
        <v>#N/A</v>
      </c>
      <c r="N30" s="619"/>
      <c r="O30" s="619"/>
      <c r="P30" s="376"/>
      <c r="Q30" s="376"/>
      <c r="R30" s="376"/>
      <c r="S30" s="330" t="e">
        <f t="shared" si="17"/>
        <v>#N/A</v>
      </c>
      <c r="T30" s="658"/>
      <c r="U30" s="520"/>
      <c r="V30" s="520"/>
      <c r="W30" s="520"/>
      <c r="X30" s="520" t="e">
        <f t="shared" si="18"/>
        <v>#N/A</v>
      </c>
      <c r="Y30" s="658"/>
      <c r="Z30" s="520"/>
      <c r="AA30" s="520"/>
      <c r="AB30" s="520"/>
      <c r="AC30" s="520" t="e">
        <f t="shared" si="20"/>
        <v>#N/A</v>
      </c>
      <c r="AD30" s="658"/>
      <c r="AE30" s="520"/>
      <c r="AF30" s="520"/>
      <c r="AG30" s="520"/>
      <c r="AH30" s="520" t="e">
        <f t="shared" si="22"/>
        <v>#N/A</v>
      </c>
      <c r="AI30" s="658"/>
      <c r="AJ30" s="520"/>
      <c r="AK30" s="520"/>
      <c r="AL30" s="520"/>
      <c r="AM30" s="520" t="e">
        <f t="shared" si="24"/>
        <v>#N/A</v>
      </c>
      <c r="AN30" s="658"/>
      <c r="AO30" s="520"/>
      <c r="AP30" s="520"/>
      <c r="AQ30" s="520"/>
      <c r="AR30" s="520" t="e">
        <f t="shared" si="26"/>
        <v>#N/A</v>
      </c>
      <c r="AS30" s="658"/>
      <c r="AT30" s="520"/>
      <c r="AU30" s="520"/>
      <c r="AV30" s="520"/>
      <c r="AW30" s="520" t="e">
        <f t="shared" si="28"/>
        <v>#N/A</v>
      </c>
      <c r="AX30" s="658"/>
    </row>
    <row r="31" spans="2:54">
      <c r="B31" s="627"/>
      <c r="C31" s="330">
        <v>5</v>
      </c>
      <c r="D31" s="228"/>
      <c r="E31" s="183"/>
      <c r="F31" s="330"/>
      <c r="G31" s="331"/>
      <c r="H31" s="662"/>
      <c r="I31" s="200"/>
      <c r="J31" s="200"/>
      <c r="K31" s="201"/>
      <c r="L31" s="601"/>
      <c r="M31" s="202" t="e">
        <f>RANK(K31, K$27:$K$41)</f>
        <v>#N/A</v>
      </c>
      <c r="N31" s="619"/>
      <c r="O31" s="619"/>
      <c r="P31" s="376"/>
      <c r="Q31" s="376"/>
      <c r="R31" s="376"/>
      <c r="S31" s="330" t="e">
        <f t="shared" si="17"/>
        <v>#N/A</v>
      </c>
      <c r="T31" s="658"/>
      <c r="U31" s="520"/>
      <c r="V31" s="520"/>
      <c r="W31" s="520"/>
      <c r="X31" s="520" t="e">
        <f t="shared" si="18"/>
        <v>#N/A</v>
      </c>
      <c r="Y31" s="658"/>
      <c r="Z31" s="520"/>
      <c r="AA31" s="520"/>
      <c r="AB31" s="520"/>
      <c r="AC31" s="520" t="e">
        <f t="shared" si="20"/>
        <v>#N/A</v>
      </c>
      <c r="AD31" s="658"/>
      <c r="AE31" s="520"/>
      <c r="AF31" s="520"/>
      <c r="AG31" s="520"/>
      <c r="AH31" s="520" t="e">
        <f t="shared" si="22"/>
        <v>#N/A</v>
      </c>
      <c r="AI31" s="658"/>
      <c r="AJ31" s="520"/>
      <c r="AK31" s="520"/>
      <c r="AL31" s="520"/>
      <c r="AM31" s="520" t="e">
        <f t="shared" si="24"/>
        <v>#N/A</v>
      </c>
      <c r="AN31" s="658"/>
      <c r="AO31" s="520"/>
      <c r="AP31" s="520"/>
      <c r="AQ31" s="520"/>
      <c r="AR31" s="520" t="e">
        <f t="shared" si="26"/>
        <v>#N/A</v>
      </c>
      <c r="AS31" s="658"/>
      <c r="AT31" s="520"/>
      <c r="AU31" s="520"/>
      <c r="AV31" s="520"/>
      <c r="AW31" s="520" t="e">
        <f t="shared" si="28"/>
        <v>#N/A</v>
      </c>
      <c r="AX31" s="658"/>
    </row>
    <row r="32" spans="2:54">
      <c r="B32" s="627"/>
      <c r="C32" s="330">
        <v>6</v>
      </c>
      <c r="D32" s="228"/>
      <c r="E32" s="183"/>
      <c r="F32" s="330"/>
      <c r="G32" s="331"/>
      <c r="H32" s="662"/>
      <c r="I32" s="200"/>
      <c r="J32" s="200"/>
      <c r="K32" s="201"/>
      <c r="L32" s="601"/>
      <c r="M32" s="202" t="e">
        <f>RANK(K32, K$27:$K$41)</f>
        <v>#N/A</v>
      </c>
      <c r="N32" s="619"/>
      <c r="O32" s="619"/>
      <c r="P32" s="376"/>
      <c r="Q32" s="376"/>
      <c r="R32" s="376"/>
      <c r="S32" s="330" t="e">
        <f t="shared" si="17"/>
        <v>#N/A</v>
      </c>
      <c r="T32" s="658"/>
      <c r="U32" s="520"/>
      <c r="V32" s="520"/>
      <c r="W32" s="520"/>
      <c r="X32" s="520" t="e">
        <f t="shared" si="18"/>
        <v>#N/A</v>
      </c>
      <c r="Y32" s="658"/>
      <c r="Z32" s="520"/>
      <c r="AA32" s="520"/>
      <c r="AB32" s="520"/>
      <c r="AC32" s="520" t="e">
        <f t="shared" si="20"/>
        <v>#N/A</v>
      </c>
      <c r="AD32" s="658"/>
      <c r="AE32" s="520"/>
      <c r="AF32" s="520"/>
      <c r="AG32" s="520"/>
      <c r="AH32" s="520" t="e">
        <f t="shared" si="22"/>
        <v>#N/A</v>
      </c>
      <c r="AI32" s="658"/>
      <c r="AJ32" s="520"/>
      <c r="AK32" s="520"/>
      <c r="AL32" s="520"/>
      <c r="AM32" s="520" t="e">
        <f t="shared" si="24"/>
        <v>#N/A</v>
      </c>
      <c r="AN32" s="658"/>
      <c r="AO32" s="520"/>
      <c r="AP32" s="520"/>
      <c r="AQ32" s="520"/>
      <c r="AR32" s="520" t="e">
        <f t="shared" si="26"/>
        <v>#N/A</v>
      </c>
      <c r="AS32" s="658"/>
      <c r="AT32" s="520"/>
      <c r="AU32" s="520"/>
      <c r="AV32" s="520"/>
      <c r="AW32" s="520" t="e">
        <f t="shared" si="28"/>
        <v>#N/A</v>
      </c>
      <c r="AX32" s="658"/>
    </row>
    <row r="33" spans="2:50">
      <c r="B33" s="627"/>
      <c r="C33" s="330">
        <v>7</v>
      </c>
      <c r="D33" s="228"/>
      <c r="E33" s="183"/>
      <c r="F33" s="330"/>
      <c r="G33" s="331"/>
      <c r="H33" s="662"/>
      <c r="I33" s="200"/>
      <c r="J33" s="200"/>
      <c r="K33" s="201"/>
      <c r="L33" s="601"/>
      <c r="M33" s="202" t="e">
        <f>RANK(K33, K$27:$K$41)</f>
        <v>#N/A</v>
      </c>
      <c r="N33" s="619"/>
      <c r="O33" s="619"/>
      <c r="P33" s="376"/>
      <c r="Q33" s="376"/>
      <c r="R33" s="376"/>
      <c r="S33" s="330" t="e">
        <f t="shared" si="17"/>
        <v>#N/A</v>
      </c>
      <c r="T33" s="658"/>
      <c r="U33" s="520"/>
      <c r="V33" s="520"/>
      <c r="W33" s="520"/>
      <c r="X33" s="520" t="e">
        <f t="shared" si="18"/>
        <v>#N/A</v>
      </c>
      <c r="Y33" s="658"/>
      <c r="Z33" s="520"/>
      <c r="AA33" s="520"/>
      <c r="AB33" s="520"/>
      <c r="AC33" s="520" t="e">
        <f t="shared" si="20"/>
        <v>#N/A</v>
      </c>
      <c r="AD33" s="658"/>
      <c r="AE33" s="520"/>
      <c r="AF33" s="520"/>
      <c r="AG33" s="520"/>
      <c r="AH33" s="520" t="e">
        <f t="shared" si="22"/>
        <v>#N/A</v>
      </c>
      <c r="AI33" s="658"/>
      <c r="AJ33" s="520"/>
      <c r="AK33" s="520"/>
      <c r="AL33" s="520"/>
      <c r="AM33" s="520" t="e">
        <f t="shared" si="24"/>
        <v>#N/A</v>
      </c>
      <c r="AN33" s="658"/>
      <c r="AO33" s="520"/>
      <c r="AP33" s="520"/>
      <c r="AQ33" s="520"/>
      <c r="AR33" s="520" t="e">
        <f t="shared" si="26"/>
        <v>#N/A</v>
      </c>
      <c r="AS33" s="658"/>
      <c r="AT33" s="520"/>
      <c r="AU33" s="520"/>
      <c r="AV33" s="520"/>
      <c r="AW33" s="520" t="e">
        <f t="shared" si="28"/>
        <v>#N/A</v>
      </c>
      <c r="AX33" s="658"/>
    </row>
    <row r="34" spans="2:50">
      <c r="B34" s="627"/>
      <c r="C34" s="330">
        <v>8</v>
      </c>
      <c r="D34" s="228"/>
      <c r="E34" s="183"/>
      <c r="F34" s="330"/>
      <c r="G34" s="331"/>
      <c r="H34" s="662"/>
      <c r="I34" s="200"/>
      <c r="J34" s="200"/>
      <c r="K34" s="201"/>
      <c r="L34" s="601"/>
      <c r="M34" s="202" t="e">
        <f>RANK(K34, K$27:$K$41)</f>
        <v>#N/A</v>
      </c>
      <c r="N34" s="619"/>
      <c r="O34" s="619"/>
      <c r="P34" s="376"/>
      <c r="Q34" s="376"/>
      <c r="R34" s="376"/>
      <c r="S34" s="330" t="e">
        <f t="shared" si="17"/>
        <v>#N/A</v>
      </c>
      <c r="T34" s="658"/>
      <c r="U34" s="520"/>
      <c r="V34" s="520"/>
      <c r="W34" s="520"/>
      <c r="X34" s="520" t="e">
        <f t="shared" si="18"/>
        <v>#N/A</v>
      </c>
      <c r="Y34" s="658"/>
      <c r="Z34" s="520"/>
      <c r="AA34" s="520"/>
      <c r="AB34" s="520"/>
      <c r="AC34" s="520" t="e">
        <f t="shared" si="20"/>
        <v>#N/A</v>
      </c>
      <c r="AD34" s="658"/>
      <c r="AE34" s="520"/>
      <c r="AF34" s="520"/>
      <c r="AG34" s="520"/>
      <c r="AH34" s="520" t="e">
        <f t="shared" si="22"/>
        <v>#N/A</v>
      </c>
      <c r="AI34" s="658"/>
      <c r="AJ34" s="520"/>
      <c r="AK34" s="520"/>
      <c r="AL34" s="520"/>
      <c r="AM34" s="520" t="e">
        <f t="shared" si="24"/>
        <v>#N/A</v>
      </c>
      <c r="AN34" s="658"/>
      <c r="AO34" s="520"/>
      <c r="AP34" s="520"/>
      <c r="AQ34" s="520"/>
      <c r="AR34" s="520" t="e">
        <f t="shared" si="26"/>
        <v>#N/A</v>
      </c>
      <c r="AS34" s="658"/>
      <c r="AT34" s="520"/>
      <c r="AU34" s="520"/>
      <c r="AV34" s="520"/>
      <c r="AW34" s="520" t="e">
        <f t="shared" si="28"/>
        <v>#N/A</v>
      </c>
      <c r="AX34" s="658"/>
    </row>
    <row r="35" spans="2:50">
      <c r="B35" s="627"/>
      <c r="C35" s="330">
        <v>9</v>
      </c>
      <c r="D35" s="228"/>
      <c r="E35" s="183"/>
      <c r="F35" s="330"/>
      <c r="G35" s="331"/>
      <c r="H35" s="662"/>
      <c r="I35" s="200"/>
      <c r="J35" s="200"/>
      <c r="K35" s="201"/>
      <c r="L35" s="601"/>
      <c r="M35" s="202" t="e">
        <f>RANK(K35, K$27:$K$41)</f>
        <v>#N/A</v>
      </c>
      <c r="N35" s="619"/>
      <c r="O35" s="619"/>
      <c r="P35" s="376"/>
      <c r="Q35" s="376"/>
      <c r="R35" s="376"/>
      <c r="S35" s="330" t="e">
        <f t="shared" si="17"/>
        <v>#N/A</v>
      </c>
      <c r="T35" s="658"/>
      <c r="U35" s="520"/>
      <c r="V35" s="520"/>
      <c r="W35" s="520"/>
      <c r="X35" s="520" t="e">
        <f t="shared" si="18"/>
        <v>#N/A</v>
      </c>
      <c r="Y35" s="658"/>
      <c r="Z35" s="520"/>
      <c r="AA35" s="520"/>
      <c r="AB35" s="520"/>
      <c r="AC35" s="520" t="e">
        <f t="shared" si="20"/>
        <v>#N/A</v>
      </c>
      <c r="AD35" s="658"/>
      <c r="AE35" s="520"/>
      <c r="AF35" s="520"/>
      <c r="AG35" s="520"/>
      <c r="AH35" s="520" t="e">
        <f t="shared" si="22"/>
        <v>#N/A</v>
      </c>
      <c r="AI35" s="658"/>
      <c r="AJ35" s="520"/>
      <c r="AK35" s="520"/>
      <c r="AL35" s="520"/>
      <c r="AM35" s="520" t="e">
        <f t="shared" si="24"/>
        <v>#N/A</v>
      </c>
      <c r="AN35" s="658"/>
      <c r="AO35" s="520"/>
      <c r="AP35" s="520"/>
      <c r="AQ35" s="520"/>
      <c r="AR35" s="520" t="e">
        <f t="shared" si="26"/>
        <v>#N/A</v>
      </c>
      <c r="AS35" s="658"/>
      <c r="AT35" s="520"/>
      <c r="AU35" s="520"/>
      <c r="AV35" s="520"/>
      <c r="AW35" s="520" t="e">
        <f t="shared" si="28"/>
        <v>#N/A</v>
      </c>
      <c r="AX35" s="658"/>
    </row>
    <row r="36" spans="2:50">
      <c r="B36" s="627"/>
      <c r="C36" s="330">
        <v>10</v>
      </c>
      <c r="D36" s="228"/>
      <c r="E36" s="183"/>
      <c r="F36" s="330"/>
      <c r="G36" s="331"/>
      <c r="H36" s="662"/>
      <c r="I36" s="200"/>
      <c r="J36" s="200"/>
      <c r="K36" s="201"/>
      <c r="L36" s="601"/>
      <c r="M36" s="202" t="e">
        <f>RANK(K36, K$27:$K$41)</f>
        <v>#N/A</v>
      </c>
      <c r="N36" s="619"/>
      <c r="O36" s="619"/>
      <c r="P36" s="376"/>
      <c r="Q36" s="376"/>
      <c r="R36" s="376"/>
      <c r="S36" s="330" t="e">
        <f t="shared" si="17"/>
        <v>#N/A</v>
      </c>
      <c r="T36" s="658"/>
      <c r="U36" s="520"/>
      <c r="V36" s="520"/>
      <c r="W36" s="520"/>
      <c r="X36" s="520" t="e">
        <f t="shared" si="18"/>
        <v>#N/A</v>
      </c>
      <c r="Y36" s="658"/>
      <c r="Z36" s="520"/>
      <c r="AA36" s="520"/>
      <c r="AB36" s="520"/>
      <c r="AC36" s="520" t="e">
        <f t="shared" si="20"/>
        <v>#N/A</v>
      </c>
      <c r="AD36" s="658"/>
      <c r="AE36" s="520"/>
      <c r="AF36" s="520"/>
      <c r="AG36" s="520"/>
      <c r="AH36" s="520" t="e">
        <f t="shared" si="22"/>
        <v>#N/A</v>
      </c>
      <c r="AI36" s="658"/>
      <c r="AJ36" s="520"/>
      <c r="AK36" s="520"/>
      <c r="AL36" s="520"/>
      <c r="AM36" s="520" t="e">
        <f t="shared" si="24"/>
        <v>#N/A</v>
      </c>
      <c r="AN36" s="658"/>
      <c r="AO36" s="520"/>
      <c r="AP36" s="520"/>
      <c r="AQ36" s="520"/>
      <c r="AR36" s="520" t="e">
        <f t="shared" si="26"/>
        <v>#N/A</v>
      </c>
      <c r="AS36" s="658"/>
      <c r="AT36" s="520"/>
      <c r="AU36" s="520"/>
      <c r="AV36" s="520"/>
      <c r="AW36" s="520" t="e">
        <f t="shared" si="28"/>
        <v>#N/A</v>
      </c>
      <c r="AX36" s="658"/>
    </row>
    <row r="37" spans="2:50">
      <c r="B37" s="627"/>
      <c r="C37" s="330">
        <v>11</v>
      </c>
      <c r="D37" s="228"/>
      <c r="E37" s="183"/>
      <c r="F37" s="330"/>
      <c r="G37" s="331"/>
      <c r="H37" s="662"/>
      <c r="I37" s="203"/>
      <c r="J37" s="203"/>
      <c r="K37" s="203"/>
      <c r="L37" s="601"/>
      <c r="M37" s="202" t="e">
        <f>RANK(K37, K$27:$K$41)</f>
        <v>#N/A</v>
      </c>
      <c r="N37" s="619"/>
      <c r="O37" s="619"/>
      <c r="P37" s="376"/>
      <c r="Q37" s="376"/>
      <c r="R37" s="376"/>
      <c r="S37" s="330" t="e">
        <f t="shared" si="17"/>
        <v>#N/A</v>
      </c>
      <c r="T37" s="658"/>
      <c r="U37" s="520"/>
      <c r="V37" s="520"/>
      <c r="W37" s="520"/>
      <c r="X37" s="520" t="e">
        <f t="shared" si="18"/>
        <v>#N/A</v>
      </c>
      <c r="Y37" s="658"/>
      <c r="Z37" s="520"/>
      <c r="AA37" s="520"/>
      <c r="AB37" s="520"/>
      <c r="AC37" s="520" t="e">
        <f t="shared" si="20"/>
        <v>#N/A</v>
      </c>
      <c r="AD37" s="658"/>
      <c r="AE37" s="520"/>
      <c r="AF37" s="520"/>
      <c r="AG37" s="520"/>
      <c r="AH37" s="520" t="e">
        <f t="shared" si="22"/>
        <v>#N/A</v>
      </c>
      <c r="AI37" s="658"/>
      <c r="AJ37" s="520"/>
      <c r="AK37" s="520"/>
      <c r="AL37" s="520"/>
      <c r="AM37" s="520" t="e">
        <f t="shared" si="24"/>
        <v>#N/A</v>
      </c>
      <c r="AN37" s="658"/>
      <c r="AO37" s="520"/>
      <c r="AP37" s="520"/>
      <c r="AQ37" s="520"/>
      <c r="AR37" s="520" t="e">
        <f t="shared" si="26"/>
        <v>#N/A</v>
      </c>
      <c r="AS37" s="658"/>
      <c r="AT37" s="520"/>
      <c r="AU37" s="520"/>
      <c r="AV37" s="520"/>
      <c r="AW37" s="520" t="e">
        <f t="shared" si="28"/>
        <v>#N/A</v>
      </c>
      <c r="AX37" s="658"/>
    </row>
    <row r="38" spans="2:50">
      <c r="B38" s="627"/>
      <c r="C38" s="330">
        <v>12</v>
      </c>
      <c r="D38" s="228"/>
      <c r="E38" s="183"/>
      <c r="F38" s="330"/>
      <c r="G38" s="331"/>
      <c r="H38" s="662"/>
      <c r="I38" s="203"/>
      <c r="J38" s="203"/>
      <c r="K38" s="203"/>
      <c r="L38" s="601"/>
      <c r="M38" s="202" t="e">
        <f>RANK(K38, K$27:$K$41)</f>
        <v>#N/A</v>
      </c>
      <c r="N38" s="619"/>
      <c r="O38" s="619"/>
      <c r="P38" s="376"/>
      <c r="Q38" s="376"/>
      <c r="R38" s="376"/>
      <c r="S38" s="330" t="e">
        <f t="shared" si="17"/>
        <v>#N/A</v>
      </c>
      <c r="T38" s="658"/>
      <c r="U38" s="520"/>
      <c r="V38" s="520"/>
      <c r="W38" s="520"/>
      <c r="X38" s="520" t="e">
        <f t="shared" si="18"/>
        <v>#N/A</v>
      </c>
      <c r="Y38" s="658"/>
      <c r="Z38" s="520"/>
      <c r="AA38" s="520"/>
      <c r="AB38" s="520"/>
      <c r="AC38" s="520" t="e">
        <f t="shared" si="20"/>
        <v>#N/A</v>
      </c>
      <c r="AD38" s="658"/>
      <c r="AE38" s="520"/>
      <c r="AF38" s="520"/>
      <c r="AG38" s="520"/>
      <c r="AH38" s="520" t="e">
        <f t="shared" si="22"/>
        <v>#N/A</v>
      </c>
      <c r="AI38" s="658"/>
      <c r="AJ38" s="520"/>
      <c r="AK38" s="520"/>
      <c r="AL38" s="520"/>
      <c r="AM38" s="520" t="e">
        <f t="shared" si="24"/>
        <v>#N/A</v>
      </c>
      <c r="AN38" s="658"/>
      <c r="AO38" s="520"/>
      <c r="AP38" s="520"/>
      <c r="AQ38" s="520"/>
      <c r="AR38" s="520" t="e">
        <f t="shared" si="26"/>
        <v>#N/A</v>
      </c>
      <c r="AS38" s="658"/>
      <c r="AT38" s="520"/>
      <c r="AU38" s="520"/>
      <c r="AV38" s="520"/>
      <c r="AW38" s="520" t="e">
        <f t="shared" si="28"/>
        <v>#N/A</v>
      </c>
      <c r="AX38" s="658"/>
    </row>
    <row r="39" spans="2:50">
      <c r="B39" s="627"/>
      <c r="C39" s="330">
        <v>13</v>
      </c>
      <c r="D39" s="228"/>
      <c r="E39" s="183"/>
      <c r="F39" s="330"/>
      <c r="G39" s="331"/>
      <c r="H39" s="662"/>
      <c r="I39" s="203"/>
      <c r="J39" s="203"/>
      <c r="K39" s="203"/>
      <c r="L39" s="601"/>
      <c r="M39" s="202" t="e">
        <f>RANK(K39, K$27:$K$41)</f>
        <v>#N/A</v>
      </c>
      <c r="N39" s="619"/>
      <c r="O39" s="619"/>
      <c r="P39" s="376"/>
      <c r="Q39" s="376"/>
      <c r="R39" s="376"/>
      <c r="S39" s="330" t="e">
        <f t="shared" si="17"/>
        <v>#N/A</v>
      </c>
      <c r="T39" s="658"/>
      <c r="U39" s="520"/>
      <c r="V39" s="520"/>
      <c r="W39" s="520"/>
      <c r="X39" s="520" t="e">
        <f t="shared" si="18"/>
        <v>#N/A</v>
      </c>
      <c r="Y39" s="658"/>
      <c r="Z39" s="520"/>
      <c r="AA39" s="520"/>
      <c r="AB39" s="520"/>
      <c r="AC39" s="520" t="e">
        <f t="shared" si="20"/>
        <v>#N/A</v>
      </c>
      <c r="AD39" s="658"/>
      <c r="AE39" s="520"/>
      <c r="AF39" s="520"/>
      <c r="AG39" s="520"/>
      <c r="AH39" s="520" t="e">
        <f t="shared" si="22"/>
        <v>#N/A</v>
      </c>
      <c r="AI39" s="658"/>
      <c r="AJ39" s="520"/>
      <c r="AK39" s="520"/>
      <c r="AL39" s="520"/>
      <c r="AM39" s="520" t="e">
        <f t="shared" si="24"/>
        <v>#N/A</v>
      </c>
      <c r="AN39" s="658"/>
      <c r="AO39" s="520"/>
      <c r="AP39" s="520"/>
      <c r="AQ39" s="520"/>
      <c r="AR39" s="520" t="e">
        <f t="shared" si="26"/>
        <v>#N/A</v>
      </c>
      <c r="AS39" s="658"/>
      <c r="AT39" s="520"/>
      <c r="AU39" s="520"/>
      <c r="AV39" s="520"/>
      <c r="AW39" s="520" t="e">
        <f t="shared" si="28"/>
        <v>#N/A</v>
      </c>
      <c r="AX39" s="658"/>
    </row>
    <row r="40" spans="2:50">
      <c r="B40" s="627"/>
      <c r="C40" s="330">
        <v>14</v>
      </c>
      <c r="D40" s="228"/>
      <c r="E40" s="183"/>
      <c r="F40" s="330"/>
      <c r="G40" s="331"/>
      <c r="H40" s="662"/>
      <c r="I40" s="203"/>
      <c r="J40" s="203"/>
      <c r="K40" s="203"/>
      <c r="L40" s="601"/>
      <c r="M40" s="202" t="e">
        <f>RANK(K40, K$27:$K$41)</f>
        <v>#N/A</v>
      </c>
      <c r="N40" s="619"/>
      <c r="O40" s="619"/>
      <c r="P40" s="376"/>
      <c r="Q40" s="376"/>
      <c r="R40" s="376"/>
      <c r="S40" s="330" t="e">
        <f t="shared" si="17"/>
        <v>#N/A</v>
      </c>
      <c r="T40" s="658"/>
      <c r="U40" s="520"/>
      <c r="V40" s="520"/>
      <c r="W40" s="520"/>
      <c r="X40" s="520" t="e">
        <f t="shared" si="18"/>
        <v>#N/A</v>
      </c>
      <c r="Y40" s="658"/>
      <c r="Z40" s="520"/>
      <c r="AA40" s="520"/>
      <c r="AB40" s="520"/>
      <c r="AC40" s="520" t="e">
        <f t="shared" si="20"/>
        <v>#N/A</v>
      </c>
      <c r="AD40" s="658"/>
      <c r="AE40" s="520"/>
      <c r="AF40" s="520"/>
      <c r="AG40" s="520"/>
      <c r="AH40" s="520" t="e">
        <f t="shared" si="22"/>
        <v>#N/A</v>
      </c>
      <c r="AI40" s="658"/>
      <c r="AJ40" s="520"/>
      <c r="AK40" s="520"/>
      <c r="AL40" s="520"/>
      <c r="AM40" s="520" t="e">
        <f t="shared" si="24"/>
        <v>#N/A</v>
      </c>
      <c r="AN40" s="658"/>
      <c r="AO40" s="520"/>
      <c r="AP40" s="520"/>
      <c r="AQ40" s="520"/>
      <c r="AR40" s="520" t="e">
        <f t="shared" si="26"/>
        <v>#N/A</v>
      </c>
      <c r="AS40" s="658"/>
      <c r="AT40" s="520"/>
      <c r="AU40" s="520"/>
      <c r="AV40" s="520"/>
      <c r="AW40" s="520" t="e">
        <f t="shared" si="28"/>
        <v>#N/A</v>
      </c>
      <c r="AX40" s="658"/>
    </row>
    <row r="41" spans="2:50">
      <c r="B41" s="627"/>
      <c r="C41" s="330">
        <v>15</v>
      </c>
      <c r="D41" s="228"/>
      <c r="E41" s="183"/>
      <c r="F41" s="330"/>
      <c r="G41" s="331"/>
      <c r="H41" s="663"/>
      <c r="I41" s="203"/>
      <c r="J41" s="203"/>
      <c r="K41" s="203"/>
      <c r="L41" s="602"/>
      <c r="M41" s="200" t="e">
        <f>RANK(K41, K$27:$K$41)</f>
        <v>#N/A</v>
      </c>
      <c r="N41" s="619"/>
      <c r="O41" s="619"/>
      <c r="P41" s="376"/>
      <c r="Q41" s="376"/>
      <c r="R41" s="376"/>
      <c r="S41" s="330" t="e">
        <f t="shared" si="17"/>
        <v>#N/A</v>
      </c>
      <c r="T41" s="658"/>
      <c r="U41" s="520"/>
      <c r="V41" s="520"/>
      <c r="W41" s="520"/>
      <c r="X41" s="520" t="e">
        <f t="shared" si="18"/>
        <v>#N/A</v>
      </c>
      <c r="Y41" s="658"/>
      <c r="Z41" s="520"/>
      <c r="AA41" s="520"/>
      <c r="AB41" s="520"/>
      <c r="AC41" s="520" t="e">
        <f t="shared" si="20"/>
        <v>#N/A</v>
      </c>
      <c r="AD41" s="658"/>
      <c r="AE41" s="520"/>
      <c r="AF41" s="520"/>
      <c r="AG41" s="520"/>
      <c r="AH41" s="520" t="e">
        <f t="shared" si="22"/>
        <v>#N/A</v>
      </c>
      <c r="AI41" s="658"/>
      <c r="AJ41" s="520"/>
      <c r="AK41" s="520"/>
      <c r="AL41" s="520"/>
      <c r="AM41" s="520" t="e">
        <f t="shared" si="24"/>
        <v>#N/A</v>
      </c>
      <c r="AN41" s="658"/>
      <c r="AO41" s="520"/>
      <c r="AP41" s="520"/>
      <c r="AQ41" s="520"/>
      <c r="AR41" s="520" t="e">
        <f t="shared" si="26"/>
        <v>#N/A</v>
      </c>
      <c r="AS41" s="658"/>
      <c r="AT41" s="520"/>
      <c r="AU41" s="520"/>
      <c r="AV41" s="520"/>
      <c r="AW41" s="520" t="e">
        <f t="shared" si="28"/>
        <v>#N/A</v>
      </c>
      <c r="AX41" s="658"/>
    </row>
    <row r="42" spans="2:50" ht="15.5">
      <c r="B42" s="644" t="s">
        <v>163</v>
      </c>
      <c r="C42" s="645"/>
      <c r="D42" s="645"/>
      <c r="E42" s="645"/>
      <c r="F42" s="645"/>
      <c r="G42" s="645"/>
      <c r="H42" s="645"/>
      <c r="I42" s="209"/>
      <c r="J42" s="204"/>
      <c r="K42" s="209"/>
      <c r="L42" s="209"/>
      <c r="M42" s="205"/>
      <c r="N42" s="620" t="s">
        <v>156</v>
      </c>
      <c r="O42" s="620" t="s">
        <v>105</v>
      </c>
      <c r="P42" s="626">
        <f>P22+7</f>
        <v>46000</v>
      </c>
      <c r="Q42" s="627"/>
      <c r="R42" s="627"/>
      <c r="S42" s="627"/>
      <c r="T42" s="627"/>
      <c r="U42" s="623">
        <f>P42+1</f>
        <v>46001</v>
      </c>
      <c r="V42" s="624"/>
      <c r="W42" s="624"/>
      <c r="X42" s="624"/>
      <c r="Y42" s="625"/>
      <c r="Z42" s="623">
        <f>U42+1</f>
        <v>46002</v>
      </c>
      <c r="AA42" s="624"/>
      <c r="AB42" s="624"/>
      <c r="AC42" s="624"/>
      <c r="AD42" s="625"/>
      <c r="AE42" s="623">
        <f>Z42+1</f>
        <v>46003</v>
      </c>
      <c r="AF42" s="624"/>
      <c r="AG42" s="624"/>
      <c r="AH42" s="624"/>
      <c r="AI42" s="625"/>
      <c r="AJ42" s="623">
        <f>AE42+1</f>
        <v>46004</v>
      </c>
      <c r="AK42" s="624"/>
      <c r="AL42" s="624"/>
      <c r="AM42" s="624"/>
      <c r="AN42" s="625"/>
      <c r="AO42" s="623">
        <f>AJ42+1</f>
        <v>46005</v>
      </c>
      <c r="AP42" s="624"/>
      <c r="AQ42" s="624"/>
      <c r="AR42" s="624"/>
      <c r="AS42" s="625"/>
      <c r="AT42" s="623">
        <f>AO42+1</f>
        <v>46006</v>
      </c>
      <c r="AU42" s="624"/>
      <c r="AV42" s="624"/>
      <c r="AW42" s="624"/>
      <c r="AX42" s="625"/>
    </row>
    <row r="43" spans="2:50" ht="15.5">
      <c r="B43" s="634"/>
      <c r="C43" s="634"/>
      <c r="D43" s="634"/>
      <c r="E43" s="634"/>
      <c r="F43" s="634"/>
      <c r="G43" s="634"/>
      <c r="H43" s="634"/>
      <c r="I43" s="206"/>
      <c r="J43" s="206"/>
      <c r="K43" s="206"/>
      <c r="L43" s="206"/>
      <c r="M43" s="207"/>
      <c r="N43" s="622"/>
      <c r="O43" s="622"/>
      <c r="P43" s="626" t="s">
        <v>336</v>
      </c>
      <c r="Q43" s="627"/>
      <c r="R43" s="627"/>
      <c r="S43" s="627"/>
      <c r="T43" s="627"/>
      <c r="U43" s="626" t="s">
        <v>337</v>
      </c>
      <c r="V43" s="627"/>
      <c r="W43" s="627"/>
      <c r="X43" s="627"/>
      <c r="Y43" s="627"/>
      <c r="Z43" s="626" t="s">
        <v>338</v>
      </c>
      <c r="AA43" s="627"/>
      <c r="AB43" s="627"/>
      <c r="AC43" s="627"/>
      <c r="AD43" s="627"/>
      <c r="AE43" s="626" t="s">
        <v>339</v>
      </c>
      <c r="AF43" s="627"/>
      <c r="AG43" s="627"/>
      <c r="AH43" s="627"/>
      <c r="AI43" s="627"/>
      <c r="AJ43" s="626" t="s">
        <v>340</v>
      </c>
      <c r="AK43" s="627"/>
      <c r="AL43" s="627"/>
      <c r="AM43" s="627"/>
      <c r="AN43" s="627"/>
      <c r="AO43" s="626" t="s">
        <v>341</v>
      </c>
      <c r="AP43" s="627"/>
      <c r="AQ43" s="627"/>
      <c r="AR43" s="627"/>
      <c r="AS43" s="627"/>
      <c r="AT43" s="626" t="s">
        <v>342</v>
      </c>
      <c r="AU43" s="627"/>
      <c r="AV43" s="627"/>
      <c r="AW43" s="627"/>
      <c r="AX43" s="627"/>
    </row>
    <row r="44" spans="2:50">
      <c r="B44" s="619" t="s">
        <v>649</v>
      </c>
      <c r="C44" s="619" t="s">
        <v>650</v>
      </c>
      <c r="D44" s="619"/>
      <c r="E44" s="619" t="s">
        <v>651</v>
      </c>
      <c r="F44" s="619"/>
      <c r="G44" s="619"/>
      <c r="H44" s="635" t="s">
        <v>652</v>
      </c>
      <c r="I44" s="603" t="s">
        <v>653</v>
      </c>
      <c r="J44" s="603"/>
      <c r="K44" s="603"/>
      <c r="L44" s="604" t="s">
        <v>652</v>
      </c>
      <c r="M44" s="610" t="s">
        <v>654</v>
      </c>
      <c r="N44" s="619"/>
      <c r="O44" s="619" t="s">
        <v>655</v>
      </c>
      <c r="P44" s="616" t="s">
        <v>656</v>
      </c>
      <c r="Q44" s="617"/>
      <c r="R44" s="617"/>
      <c r="S44" s="618"/>
      <c r="T44" s="619" t="s">
        <v>652</v>
      </c>
      <c r="U44" s="616" t="s">
        <v>656</v>
      </c>
      <c r="V44" s="617"/>
      <c r="W44" s="617"/>
      <c r="X44" s="618"/>
      <c r="Y44" s="619" t="s">
        <v>652</v>
      </c>
      <c r="Z44" s="616" t="s">
        <v>656</v>
      </c>
      <c r="AA44" s="617"/>
      <c r="AB44" s="617"/>
      <c r="AC44" s="618"/>
      <c r="AD44" s="619" t="s">
        <v>652</v>
      </c>
      <c r="AE44" s="616" t="s">
        <v>656</v>
      </c>
      <c r="AF44" s="617"/>
      <c r="AG44" s="617"/>
      <c r="AH44" s="618"/>
      <c r="AI44" s="619" t="s">
        <v>652</v>
      </c>
      <c r="AJ44" s="616" t="s">
        <v>656</v>
      </c>
      <c r="AK44" s="617"/>
      <c r="AL44" s="617"/>
      <c r="AM44" s="618"/>
      <c r="AN44" s="619" t="s">
        <v>652</v>
      </c>
      <c r="AO44" s="616" t="s">
        <v>656</v>
      </c>
      <c r="AP44" s="617"/>
      <c r="AQ44" s="617"/>
      <c r="AR44" s="618"/>
      <c r="AS44" s="619" t="s">
        <v>652</v>
      </c>
      <c r="AT44" s="616" t="s">
        <v>656</v>
      </c>
      <c r="AU44" s="617"/>
      <c r="AV44" s="617"/>
      <c r="AW44" s="618"/>
      <c r="AX44" s="619" t="s">
        <v>652</v>
      </c>
    </row>
    <row r="45" spans="2:50">
      <c r="B45" s="619"/>
      <c r="C45" s="619"/>
      <c r="D45" s="619"/>
      <c r="E45" s="619" t="s">
        <v>657</v>
      </c>
      <c r="F45" s="619"/>
      <c r="G45" s="619"/>
      <c r="H45" s="636"/>
      <c r="I45" s="603" t="s">
        <v>657</v>
      </c>
      <c r="J45" s="603"/>
      <c r="K45" s="603"/>
      <c r="L45" s="605"/>
      <c r="M45" s="611"/>
      <c r="N45" s="619"/>
      <c r="O45" s="619"/>
      <c r="P45" s="616" t="s">
        <v>658</v>
      </c>
      <c r="Q45" s="617"/>
      <c r="R45" s="617"/>
      <c r="S45" s="618"/>
      <c r="T45" s="619"/>
      <c r="U45" s="616" t="s">
        <v>658</v>
      </c>
      <c r="V45" s="617"/>
      <c r="W45" s="617"/>
      <c r="X45" s="618"/>
      <c r="Y45" s="619"/>
      <c r="Z45" s="616" t="s">
        <v>658</v>
      </c>
      <c r="AA45" s="617"/>
      <c r="AB45" s="617"/>
      <c r="AC45" s="618"/>
      <c r="AD45" s="619"/>
      <c r="AE45" s="616" t="s">
        <v>658</v>
      </c>
      <c r="AF45" s="617"/>
      <c r="AG45" s="617"/>
      <c r="AH45" s="618"/>
      <c r="AI45" s="619"/>
      <c r="AJ45" s="616" t="s">
        <v>658</v>
      </c>
      <c r="AK45" s="617"/>
      <c r="AL45" s="617"/>
      <c r="AM45" s="618"/>
      <c r="AN45" s="619"/>
      <c r="AO45" s="616" t="s">
        <v>658</v>
      </c>
      <c r="AP45" s="617"/>
      <c r="AQ45" s="617"/>
      <c r="AR45" s="618"/>
      <c r="AS45" s="619"/>
      <c r="AT45" s="616" t="s">
        <v>658</v>
      </c>
      <c r="AU45" s="617"/>
      <c r="AV45" s="617"/>
      <c r="AW45" s="618"/>
      <c r="AX45" s="619"/>
    </row>
    <row r="46" spans="2:50">
      <c r="B46" s="619"/>
      <c r="C46" s="619"/>
      <c r="D46" s="619"/>
      <c r="E46" s="335" t="s">
        <v>659</v>
      </c>
      <c r="F46" s="335" t="s">
        <v>660</v>
      </c>
      <c r="G46" s="335" t="s">
        <v>661</v>
      </c>
      <c r="H46" s="637"/>
      <c r="I46" s="334" t="s">
        <v>659</v>
      </c>
      <c r="J46" s="334" t="s">
        <v>660</v>
      </c>
      <c r="K46" s="334" t="s">
        <v>661</v>
      </c>
      <c r="L46" s="606"/>
      <c r="M46" s="612"/>
      <c r="N46" s="619"/>
      <c r="O46" s="619"/>
      <c r="P46" s="335" t="s">
        <v>659</v>
      </c>
      <c r="Q46" s="335" t="s">
        <v>660</v>
      </c>
      <c r="R46" s="335" t="s">
        <v>661</v>
      </c>
      <c r="S46" s="335" t="s">
        <v>654</v>
      </c>
      <c r="T46" s="619"/>
      <c r="U46" s="335" t="s">
        <v>659</v>
      </c>
      <c r="V46" s="335" t="s">
        <v>660</v>
      </c>
      <c r="W46" s="335" t="s">
        <v>661</v>
      </c>
      <c r="X46" s="335" t="s">
        <v>654</v>
      </c>
      <c r="Y46" s="619"/>
      <c r="Z46" s="335" t="s">
        <v>659</v>
      </c>
      <c r="AA46" s="335" t="s">
        <v>660</v>
      </c>
      <c r="AB46" s="335" t="s">
        <v>661</v>
      </c>
      <c r="AC46" s="335" t="s">
        <v>654</v>
      </c>
      <c r="AD46" s="619"/>
      <c r="AE46" s="335" t="s">
        <v>659</v>
      </c>
      <c r="AF46" s="335" t="s">
        <v>660</v>
      </c>
      <c r="AG46" s="335" t="s">
        <v>661</v>
      </c>
      <c r="AH46" s="335" t="s">
        <v>654</v>
      </c>
      <c r="AI46" s="619"/>
      <c r="AJ46" s="335" t="s">
        <v>659</v>
      </c>
      <c r="AK46" s="335" t="s">
        <v>660</v>
      </c>
      <c r="AL46" s="335" t="s">
        <v>661</v>
      </c>
      <c r="AM46" s="335" t="s">
        <v>654</v>
      </c>
      <c r="AN46" s="619"/>
      <c r="AO46" s="335" t="s">
        <v>659</v>
      </c>
      <c r="AP46" s="335" t="s">
        <v>660</v>
      </c>
      <c r="AQ46" s="335" t="s">
        <v>661</v>
      </c>
      <c r="AR46" s="335" t="s">
        <v>654</v>
      </c>
      <c r="AS46" s="619"/>
      <c r="AT46" s="335" t="s">
        <v>659</v>
      </c>
      <c r="AU46" s="335" t="s">
        <v>660</v>
      </c>
      <c r="AV46" s="335" t="s">
        <v>661</v>
      </c>
      <c r="AW46" s="335" t="s">
        <v>654</v>
      </c>
      <c r="AX46" s="619"/>
    </row>
    <row r="47" spans="2:50">
      <c r="B47" s="619" t="s">
        <v>662</v>
      </c>
      <c r="C47" s="336">
        <v>1</v>
      </c>
      <c r="D47" s="228" t="s">
        <v>867</v>
      </c>
      <c r="E47" s="183">
        <v>13</v>
      </c>
      <c r="F47" s="470">
        <v>1500</v>
      </c>
      <c r="G47" s="471">
        <v>115.38461538461539</v>
      </c>
      <c r="H47" s="661">
        <f>AVERAGE(G47:G61)</f>
        <v>115.38461538461539</v>
      </c>
      <c r="I47" s="200">
        <f>AVERAGE(P47,U47,Z47,AE47,AJ47,AO47,AT47)</f>
        <v>13</v>
      </c>
      <c r="J47" s="200">
        <f>AVERAGE(Q47,V47,AA47,AF47,AK47,AP47,AU47)</f>
        <v>1487.5</v>
      </c>
      <c r="K47" s="201">
        <f>AVERAGE(R47,W47,AB47,AG47,AL47,AQ47,AV47)</f>
        <v>114.4</v>
      </c>
      <c r="L47" s="600">
        <f>IFERROR(AVERAGE(K47:K61),"-")</f>
        <v>114.4</v>
      </c>
      <c r="M47" s="202">
        <f>RANK(K47, K$47:$K$61)</f>
        <v>1</v>
      </c>
      <c r="N47" s="619"/>
      <c r="O47" s="619"/>
      <c r="P47" s="183">
        <v>13</v>
      </c>
      <c r="Q47" s="183">
        <v>1498</v>
      </c>
      <c r="R47" s="471">
        <v>115.2</v>
      </c>
      <c r="S47" s="336">
        <f>RANK(R47, R$47:R$61)</f>
        <v>1</v>
      </c>
      <c r="T47" s="658">
        <f>AVERAGE(R47:R61)</f>
        <v>115.2</v>
      </c>
      <c r="U47" s="183">
        <v>13</v>
      </c>
      <c r="V47" s="183">
        <v>1477</v>
      </c>
      <c r="W47" s="521">
        <v>113.6</v>
      </c>
      <c r="X47" s="520">
        <f t="shared" ref="X47:X61" si="30">RANK(W47, W$47:W$61)</f>
        <v>1</v>
      </c>
      <c r="Y47" s="658">
        <f t="shared" ref="Y47" si="31">AVERAGE(W47:W61)</f>
        <v>113.6</v>
      </c>
      <c r="Z47" s="183"/>
      <c r="AA47" s="183"/>
      <c r="AB47" s="521"/>
      <c r="AC47" s="520" t="e">
        <f t="shared" ref="AC47:AC61" si="32">RANK(AB47, AB$47:AB$61)</f>
        <v>#N/A</v>
      </c>
      <c r="AD47" s="658" t="e">
        <f t="shared" ref="AD47" si="33">AVERAGE(AB47:AB61)</f>
        <v>#DIV/0!</v>
      </c>
      <c r="AE47" s="183"/>
      <c r="AF47" s="183"/>
      <c r="AG47" s="521"/>
      <c r="AH47" s="520" t="e">
        <f t="shared" ref="AH47:AH61" si="34">RANK(AG47, AG$47:AG$61)</f>
        <v>#N/A</v>
      </c>
      <c r="AI47" s="658" t="e">
        <f t="shared" ref="AI47" si="35">AVERAGE(AG47:AG61)</f>
        <v>#DIV/0!</v>
      </c>
      <c r="AJ47" s="183"/>
      <c r="AK47" s="183"/>
      <c r="AL47" s="521"/>
      <c r="AM47" s="520" t="e">
        <f t="shared" ref="AM47:AM61" si="36">RANK(AL47, AL$47:AL$61)</f>
        <v>#N/A</v>
      </c>
      <c r="AN47" s="658" t="e">
        <f t="shared" ref="AN47" si="37">AVERAGE(AL47:AL61)</f>
        <v>#DIV/0!</v>
      </c>
      <c r="AO47" s="183"/>
      <c r="AP47" s="183"/>
      <c r="AQ47" s="521"/>
      <c r="AR47" s="520" t="e">
        <f t="shared" ref="AR47:AR61" si="38">RANK(AQ47, AQ$47:AQ$61)</f>
        <v>#N/A</v>
      </c>
      <c r="AS47" s="658" t="e">
        <f t="shared" ref="AS47" si="39">AVERAGE(AQ47:AQ61)</f>
        <v>#DIV/0!</v>
      </c>
      <c r="AT47" s="183"/>
      <c r="AU47" s="183"/>
      <c r="AV47" s="521"/>
      <c r="AW47" s="520" t="e">
        <f t="shared" ref="AW47:AW61" si="40">RANK(AV47, AV$47:AV$61)</f>
        <v>#N/A</v>
      </c>
      <c r="AX47" s="658" t="e">
        <f t="shared" ref="AX47" si="41">AVERAGE(AV47:AV61)</f>
        <v>#DIV/0!</v>
      </c>
    </row>
    <row r="48" spans="2:50">
      <c r="B48" s="627"/>
      <c r="C48" s="336">
        <v>2</v>
      </c>
      <c r="D48" s="228"/>
      <c r="E48" s="183"/>
      <c r="F48" s="470"/>
      <c r="G48" s="471"/>
      <c r="H48" s="662"/>
      <c r="I48" s="493"/>
      <c r="J48" s="493"/>
      <c r="K48" s="201"/>
      <c r="L48" s="601"/>
      <c r="M48" s="202" t="e">
        <f>RANK(K48, K$47:$K$61)</f>
        <v>#N/A</v>
      </c>
      <c r="N48" s="619"/>
      <c r="O48" s="619"/>
      <c r="P48" s="470"/>
      <c r="Q48" s="183"/>
      <c r="R48" s="492"/>
      <c r="S48" s="343" t="e">
        <f t="shared" ref="S48:S61" si="42">RANK(R48, R$47:R$61)</f>
        <v>#N/A</v>
      </c>
      <c r="T48" s="658"/>
      <c r="U48" s="520"/>
      <c r="V48" s="183"/>
      <c r="W48" s="521"/>
      <c r="X48" s="520" t="e">
        <f t="shared" si="30"/>
        <v>#N/A</v>
      </c>
      <c r="Y48" s="658"/>
      <c r="Z48" s="520"/>
      <c r="AA48" s="183"/>
      <c r="AB48" s="521"/>
      <c r="AC48" s="520" t="e">
        <f t="shared" si="32"/>
        <v>#N/A</v>
      </c>
      <c r="AD48" s="658"/>
      <c r="AE48" s="520"/>
      <c r="AF48" s="183"/>
      <c r="AG48" s="521"/>
      <c r="AH48" s="520" t="e">
        <f t="shared" si="34"/>
        <v>#N/A</v>
      </c>
      <c r="AI48" s="658"/>
      <c r="AJ48" s="520"/>
      <c r="AK48" s="183"/>
      <c r="AL48" s="521"/>
      <c r="AM48" s="520" t="e">
        <f t="shared" si="36"/>
        <v>#N/A</v>
      </c>
      <c r="AN48" s="658"/>
      <c r="AO48" s="520"/>
      <c r="AP48" s="183"/>
      <c r="AQ48" s="521"/>
      <c r="AR48" s="520" t="e">
        <f t="shared" si="38"/>
        <v>#N/A</v>
      </c>
      <c r="AS48" s="658"/>
      <c r="AT48" s="520"/>
      <c r="AU48" s="183"/>
      <c r="AV48" s="521"/>
      <c r="AW48" s="520" t="e">
        <f t="shared" si="40"/>
        <v>#N/A</v>
      </c>
      <c r="AX48" s="658"/>
    </row>
    <row r="49" spans="2:50">
      <c r="B49" s="627"/>
      <c r="C49" s="336">
        <v>3</v>
      </c>
      <c r="D49" s="228"/>
      <c r="E49" s="183"/>
      <c r="F49" s="470"/>
      <c r="G49" s="471"/>
      <c r="H49" s="662"/>
      <c r="I49" s="493"/>
      <c r="J49" s="493"/>
      <c r="K49" s="201"/>
      <c r="L49" s="601"/>
      <c r="M49" s="202" t="e">
        <f>RANK(K49, K$47:$K$61)</f>
        <v>#N/A</v>
      </c>
      <c r="N49" s="619"/>
      <c r="O49" s="619"/>
      <c r="P49" s="470"/>
      <c r="Q49" s="183"/>
      <c r="R49" s="492"/>
      <c r="S49" s="343" t="e">
        <f t="shared" si="42"/>
        <v>#N/A</v>
      </c>
      <c r="T49" s="658"/>
      <c r="U49" s="520"/>
      <c r="V49" s="183"/>
      <c r="W49" s="521"/>
      <c r="X49" s="520" t="e">
        <f t="shared" si="30"/>
        <v>#N/A</v>
      </c>
      <c r="Y49" s="658"/>
      <c r="Z49" s="520"/>
      <c r="AA49" s="183"/>
      <c r="AB49" s="521"/>
      <c r="AC49" s="520" t="e">
        <f t="shared" si="32"/>
        <v>#N/A</v>
      </c>
      <c r="AD49" s="658"/>
      <c r="AE49" s="520"/>
      <c r="AF49" s="183"/>
      <c r="AG49" s="521"/>
      <c r="AH49" s="520" t="e">
        <f t="shared" si="34"/>
        <v>#N/A</v>
      </c>
      <c r="AI49" s="658"/>
      <c r="AJ49" s="520"/>
      <c r="AK49" s="183"/>
      <c r="AL49" s="521"/>
      <c r="AM49" s="520" t="e">
        <f t="shared" si="36"/>
        <v>#N/A</v>
      </c>
      <c r="AN49" s="658"/>
      <c r="AO49" s="520"/>
      <c r="AP49" s="183"/>
      <c r="AQ49" s="521"/>
      <c r="AR49" s="520" t="e">
        <f t="shared" si="38"/>
        <v>#N/A</v>
      </c>
      <c r="AS49" s="658"/>
      <c r="AT49" s="520"/>
      <c r="AU49" s="183"/>
      <c r="AV49" s="521"/>
      <c r="AW49" s="520" t="e">
        <f t="shared" si="40"/>
        <v>#N/A</v>
      </c>
      <c r="AX49" s="658"/>
    </row>
    <row r="50" spans="2:50">
      <c r="B50" s="627"/>
      <c r="C50" s="336">
        <v>4</v>
      </c>
      <c r="D50" s="228"/>
      <c r="E50" s="183"/>
      <c r="F50" s="470"/>
      <c r="G50" s="471"/>
      <c r="H50" s="662"/>
      <c r="I50" s="200"/>
      <c r="J50" s="200"/>
      <c r="K50" s="201"/>
      <c r="L50" s="601"/>
      <c r="M50" s="202" t="e">
        <f>RANK(K50, K$47:$K$61)</f>
        <v>#N/A</v>
      </c>
      <c r="N50" s="619"/>
      <c r="O50" s="619"/>
      <c r="P50" s="470"/>
      <c r="Q50" s="470"/>
      <c r="R50" s="470"/>
      <c r="S50" s="343" t="e">
        <f t="shared" si="42"/>
        <v>#N/A</v>
      </c>
      <c r="T50" s="658"/>
      <c r="U50" s="520"/>
      <c r="V50" s="520"/>
      <c r="W50" s="520"/>
      <c r="X50" s="520" t="e">
        <f t="shared" si="30"/>
        <v>#N/A</v>
      </c>
      <c r="Y50" s="658"/>
      <c r="Z50" s="520"/>
      <c r="AA50" s="520"/>
      <c r="AB50" s="520"/>
      <c r="AC50" s="520" t="e">
        <f t="shared" si="32"/>
        <v>#N/A</v>
      </c>
      <c r="AD50" s="658"/>
      <c r="AE50" s="520"/>
      <c r="AF50" s="520"/>
      <c r="AG50" s="520"/>
      <c r="AH50" s="520" t="e">
        <f t="shared" si="34"/>
        <v>#N/A</v>
      </c>
      <c r="AI50" s="658"/>
      <c r="AJ50" s="520"/>
      <c r="AK50" s="520"/>
      <c r="AL50" s="520"/>
      <c r="AM50" s="520" t="e">
        <f t="shared" si="36"/>
        <v>#N/A</v>
      </c>
      <c r="AN50" s="658"/>
      <c r="AO50" s="520"/>
      <c r="AP50" s="520"/>
      <c r="AQ50" s="520"/>
      <c r="AR50" s="520" t="e">
        <f t="shared" si="38"/>
        <v>#N/A</v>
      </c>
      <c r="AS50" s="658"/>
      <c r="AT50" s="520"/>
      <c r="AU50" s="520"/>
      <c r="AV50" s="520"/>
      <c r="AW50" s="520" t="e">
        <f t="shared" si="40"/>
        <v>#N/A</v>
      </c>
      <c r="AX50" s="658"/>
    </row>
    <row r="51" spans="2:50">
      <c r="B51" s="627"/>
      <c r="C51" s="336">
        <v>5</v>
      </c>
      <c r="D51" s="228"/>
      <c r="E51" s="183"/>
      <c r="F51" s="470"/>
      <c r="G51" s="471"/>
      <c r="H51" s="662"/>
      <c r="I51" s="200"/>
      <c r="J51" s="200"/>
      <c r="K51" s="201"/>
      <c r="L51" s="601"/>
      <c r="M51" s="202" t="e">
        <f>RANK(K51, K$47:$K$61)</f>
        <v>#N/A</v>
      </c>
      <c r="N51" s="619"/>
      <c r="O51" s="619"/>
      <c r="P51" s="470"/>
      <c r="Q51" s="470"/>
      <c r="R51" s="470"/>
      <c r="S51" s="343" t="e">
        <f t="shared" si="42"/>
        <v>#N/A</v>
      </c>
      <c r="T51" s="658"/>
      <c r="U51" s="520"/>
      <c r="V51" s="520"/>
      <c r="W51" s="520"/>
      <c r="X51" s="520" t="e">
        <f t="shared" si="30"/>
        <v>#N/A</v>
      </c>
      <c r="Y51" s="658"/>
      <c r="Z51" s="520"/>
      <c r="AA51" s="520"/>
      <c r="AB51" s="520"/>
      <c r="AC51" s="520" t="e">
        <f t="shared" si="32"/>
        <v>#N/A</v>
      </c>
      <c r="AD51" s="658"/>
      <c r="AE51" s="520"/>
      <c r="AF51" s="520"/>
      <c r="AG51" s="520"/>
      <c r="AH51" s="520" t="e">
        <f t="shared" si="34"/>
        <v>#N/A</v>
      </c>
      <c r="AI51" s="658"/>
      <c r="AJ51" s="520"/>
      <c r="AK51" s="520"/>
      <c r="AL51" s="520"/>
      <c r="AM51" s="520" t="e">
        <f t="shared" si="36"/>
        <v>#N/A</v>
      </c>
      <c r="AN51" s="658"/>
      <c r="AO51" s="520"/>
      <c r="AP51" s="520"/>
      <c r="AQ51" s="520"/>
      <c r="AR51" s="520" t="e">
        <f t="shared" si="38"/>
        <v>#N/A</v>
      </c>
      <c r="AS51" s="658"/>
      <c r="AT51" s="520"/>
      <c r="AU51" s="520"/>
      <c r="AV51" s="520"/>
      <c r="AW51" s="520" t="e">
        <f t="shared" si="40"/>
        <v>#N/A</v>
      </c>
      <c r="AX51" s="658"/>
    </row>
    <row r="52" spans="2:50">
      <c r="B52" s="627"/>
      <c r="C52" s="336">
        <v>6</v>
      </c>
      <c r="D52" s="228"/>
      <c r="E52" s="183"/>
      <c r="F52" s="470"/>
      <c r="G52" s="471"/>
      <c r="H52" s="662"/>
      <c r="I52" s="200"/>
      <c r="J52" s="200"/>
      <c r="K52" s="201"/>
      <c r="L52" s="601"/>
      <c r="M52" s="202" t="e">
        <f>RANK(K52, K$47:$K$61)</f>
        <v>#N/A</v>
      </c>
      <c r="N52" s="619"/>
      <c r="O52" s="619"/>
      <c r="P52" s="470"/>
      <c r="Q52" s="470"/>
      <c r="R52" s="470"/>
      <c r="S52" s="343" t="e">
        <f t="shared" si="42"/>
        <v>#N/A</v>
      </c>
      <c r="T52" s="658"/>
      <c r="U52" s="520"/>
      <c r="V52" s="520"/>
      <c r="W52" s="520"/>
      <c r="X52" s="520" t="e">
        <f t="shared" si="30"/>
        <v>#N/A</v>
      </c>
      <c r="Y52" s="658"/>
      <c r="Z52" s="520"/>
      <c r="AA52" s="520"/>
      <c r="AB52" s="520"/>
      <c r="AC52" s="520" t="e">
        <f t="shared" si="32"/>
        <v>#N/A</v>
      </c>
      <c r="AD52" s="658"/>
      <c r="AE52" s="520"/>
      <c r="AF52" s="520"/>
      <c r="AG52" s="520"/>
      <c r="AH52" s="520" t="e">
        <f t="shared" si="34"/>
        <v>#N/A</v>
      </c>
      <c r="AI52" s="658"/>
      <c r="AJ52" s="520"/>
      <c r="AK52" s="520"/>
      <c r="AL52" s="520"/>
      <c r="AM52" s="520" t="e">
        <f t="shared" si="36"/>
        <v>#N/A</v>
      </c>
      <c r="AN52" s="658"/>
      <c r="AO52" s="520"/>
      <c r="AP52" s="520"/>
      <c r="AQ52" s="520"/>
      <c r="AR52" s="520" t="e">
        <f t="shared" si="38"/>
        <v>#N/A</v>
      </c>
      <c r="AS52" s="658"/>
      <c r="AT52" s="520"/>
      <c r="AU52" s="520"/>
      <c r="AV52" s="520"/>
      <c r="AW52" s="520" t="e">
        <f t="shared" si="40"/>
        <v>#N/A</v>
      </c>
      <c r="AX52" s="658"/>
    </row>
    <row r="53" spans="2:50">
      <c r="B53" s="627"/>
      <c r="C53" s="336">
        <v>7</v>
      </c>
      <c r="D53" s="228"/>
      <c r="E53" s="183"/>
      <c r="F53" s="470"/>
      <c r="G53" s="471"/>
      <c r="H53" s="662"/>
      <c r="I53" s="200"/>
      <c r="J53" s="200"/>
      <c r="K53" s="201"/>
      <c r="L53" s="601"/>
      <c r="M53" s="202" t="e">
        <f>RANK(K53, K$47:$K$61)</f>
        <v>#N/A</v>
      </c>
      <c r="N53" s="619"/>
      <c r="O53" s="619"/>
      <c r="P53" s="470"/>
      <c r="Q53" s="470"/>
      <c r="R53" s="470"/>
      <c r="S53" s="343" t="e">
        <f t="shared" si="42"/>
        <v>#N/A</v>
      </c>
      <c r="T53" s="658"/>
      <c r="U53" s="520"/>
      <c r="V53" s="520"/>
      <c r="W53" s="520"/>
      <c r="X53" s="520" t="e">
        <f t="shared" si="30"/>
        <v>#N/A</v>
      </c>
      <c r="Y53" s="658"/>
      <c r="Z53" s="520"/>
      <c r="AA53" s="520"/>
      <c r="AB53" s="520"/>
      <c r="AC53" s="520" t="e">
        <f t="shared" si="32"/>
        <v>#N/A</v>
      </c>
      <c r="AD53" s="658"/>
      <c r="AE53" s="520"/>
      <c r="AF53" s="520"/>
      <c r="AG53" s="520"/>
      <c r="AH53" s="520" t="e">
        <f t="shared" si="34"/>
        <v>#N/A</v>
      </c>
      <c r="AI53" s="658"/>
      <c r="AJ53" s="520"/>
      <c r="AK53" s="520"/>
      <c r="AL53" s="520"/>
      <c r="AM53" s="520" t="e">
        <f t="shared" si="36"/>
        <v>#N/A</v>
      </c>
      <c r="AN53" s="658"/>
      <c r="AO53" s="520"/>
      <c r="AP53" s="520"/>
      <c r="AQ53" s="520"/>
      <c r="AR53" s="520" t="e">
        <f t="shared" si="38"/>
        <v>#N/A</v>
      </c>
      <c r="AS53" s="658"/>
      <c r="AT53" s="520"/>
      <c r="AU53" s="520"/>
      <c r="AV53" s="520"/>
      <c r="AW53" s="520" t="e">
        <f t="shared" si="40"/>
        <v>#N/A</v>
      </c>
      <c r="AX53" s="658"/>
    </row>
    <row r="54" spans="2:50">
      <c r="B54" s="627"/>
      <c r="C54" s="336">
        <v>8</v>
      </c>
      <c r="D54" s="228"/>
      <c r="E54" s="183"/>
      <c r="F54" s="470"/>
      <c r="G54" s="471"/>
      <c r="H54" s="662"/>
      <c r="I54" s="200"/>
      <c r="J54" s="200"/>
      <c r="K54" s="201"/>
      <c r="L54" s="601"/>
      <c r="M54" s="202" t="e">
        <f>RANK(K54, K$47:$K$61)</f>
        <v>#N/A</v>
      </c>
      <c r="N54" s="619"/>
      <c r="O54" s="619"/>
      <c r="P54" s="470"/>
      <c r="Q54" s="470"/>
      <c r="R54" s="470"/>
      <c r="S54" s="343" t="e">
        <f t="shared" si="42"/>
        <v>#N/A</v>
      </c>
      <c r="T54" s="658"/>
      <c r="U54" s="520"/>
      <c r="V54" s="520"/>
      <c r="W54" s="520"/>
      <c r="X54" s="520" t="e">
        <f t="shared" si="30"/>
        <v>#N/A</v>
      </c>
      <c r="Y54" s="658"/>
      <c r="Z54" s="520"/>
      <c r="AA54" s="520"/>
      <c r="AB54" s="520"/>
      <c r="AC54" s="520" t="e">
        <f t="shared" si="32"/>
        <v>#N/A</v>
      </c>
      <c r="AD54" s="658"/>
      <c r="AE54" s="520"/>
      <c r="AF54" s="520"/>
      <c r="AG54" s="520"/>
      <c r="AH54" s="520" t="e">
        <f t="shared" si="34"/>
        <v>#N/A</v>
      </c>
      <c r="AI54" s="658"/>
      <c r="AJ54" s="520"/>
      <c r="AK54" s="520"/>
      <c r="AL54" s="520"/>
      <c r="AM54" s="520" t="e">
        <f t="shared" si="36"/>
        <v>#N/A</v>
      </c>
      <c r="AN54" s="658"/>
      <c r="AO54" s="520"/>
      <c r="AP54" s="520"/>
      <c r="AQ54" s="520"/>
      <c r="AR54" s="520" t="e">
        <f t="shared" si="38"/>
        <v>#N/A</v>
      </c>
      <c r="AS54" s="658"/>
      <c r="AT54" s="520"/>
      <c r="AU54" s="520"/>
      <c r="AV54" s="520"/>
      <c r="AW54" s="520" t="e">
        <f t="shared" si="40"/>
        <v>#N/A</v>
      </c>
      <c r="AX54" s="658"/>
    </row>
    <row r="55" spans="2:50">
      <c r="B55" s="627"/>
      <c r="C55" s="336">
        <v>9</v>
      </c>
      <c r="D55" s="228"/>
      <c r="E55" s="183"/>
      <c r="F55" s="470"/>
      <c r="G55" s="471"/>
      <c r="H55" s="662"/>
      <c r="I55" s="200"/>
      <c r="J55" s="200"/>
      <c r="K55" s="201"/>
      <c r="L55" s="601"/>
      <c r="M55" s="202" t="e">
        <f>RANK(K55, K$47:$K$61)</f>
        <v>#N/A</v>
      </c>
      <c r="N55" s="619"/>
      <c r="O55" s="619"/>
      <c r="P55" s="470"/>
      <c r="Q55" s="470"/>
      <c r="R55" s="470"/>
      <c r="S55" s="343" t="e">
        <f t="shared" si="42"/>
        <v>#N/A</v>
      </c>
      <c r="T55" s="658"/>
      <c r="U55" s="520"/>
      <c r="V55" s="520"/>
      <c r="W55" s="520"/>
      <c r="X55" s="520" t="e">
        <f t="shared" si="30"/>
        <v>#N/A</v>
      </c>
      <c r="Y55" s="658"/>
      <c r="Z55" s="520"/>
      <c r="AA55" s="520"/>
      <c r="AB55" s="520"/>
      <c r="AC55" s="520" t="e">
        <f t="shared" si="32"/>
        <v>#N/A</v>
      </c>
      <c r="AD55" s="658"/>
      <c r="AE55" s="520"/>
      <c r="AF55" s="520"/>
      <c r="AG55" s="520"/>
      <c r="AH55" s="520" t="e">
        <f t="shared" si="34"/>
        <v>#N/A</v>
      </c>
      <c r="AI55" s="658"/>
      <c r="AJ55" s="520"/>
      <c r="AK55" s="520"/>
      <c r="AL55" s="520"/>
      <c r="AM55" s="520" t="e">
        <f t="shared" si="36"/>
        <v>#N/A</v>
      </c>
      <c r="AN55" s="658"/>
      <c r="AO55" s="520"/>
      <c r="AP55" s="520"/>
      <c r="AQ55" s="520"/>
      <c r="AR55" s="520" t="e">
        <f t="shared" si="38"/>
        <v>#N/A</v>
      </c>
      <c r="AS55" s="658"/>
      <c r="AT55" s="520"/>
      <c r="AU55" s="520"/>
      <c r="AV55" s="520"/>
      <c r="AW55" s="520" t="e">
        <f t="shared" si="40"/>
        <v>#N/A</v>
      </c>
      <c r="AX55" s="658"/>
    </row>
    <row r="56" spans="2:50">
      <c r="B56" s="627"/>
      <c r="C56" s="336">
        <v>10</v>
      </c>
      <c r="D56" s="228"/>
      <c r="E56" s="183"/>
      <c r="F56" s="470"/>
      <c r="G56" s="471"/>
      <c r="H56" s="662"/>
      <c r="I56" s="200"/>
      <c r="J56" s="200"/>
      <c r="K56" s="201"/>
      <c r="L56" s="601"/>
      <c r="M56" s="202" t="e">
        <f>RANK(K56, K$47:$K$61)</f>
        <v>#N/A</v>
      </c>
      <c r="N56" s="619"/>
      <c r="O56" s="619"/>
      <c r="P56" s="470"/>
      <c r="Q56" s="470"/>
      <c r="R56" s="470"/>
      <c r="S56" s="343" t="e">
        <f t="shared" si="42"/>
        <v>#N/A</v>
      </c>
      <c r="T56" s="658"/>
      <c r="U56" s="520"/>
      <c r="V56" s="520"/>
      <c r="W56" s="520"/>
      <c r="X56" s="520" t="e">
        <f t="shared" si="30"/>
        <v>#N/A</v>
      </c>
      <c r="Y56" s="658"/>
      <c r="Z56" s="520"/>
      <c r="AA56" s="520"/>
      <c r="AB56" s="520"/>
      <c r="AC56" s="520" t="e">
        <f t="shared" si="32"/>
        <v>#N/A</v>
      </c>
      <c r="AD56" s="658"/>
      <c r="AE56" s="520"/>
      <c r="AF56" s="520"/>
      <c r="AG56" s="520"/>
      <c r="AH56" s="520" t="e">
        <f t="shared" si="34"/>
        <v>#N/A</v>
      </c>
      <c r="AI56" s="658"/>
      <c r="AJ56" s="520"/>
      <c r="AK56" s="520"/>
      <c r="AL56" s="520"/>
      <c r="AM56" s="520" t="e">
        <f t="shared" si="36"/>
        <v>#N/A</v>
      </c>
      <c r="AN56" s="658"/>
      <c r="AO56" s="520"/>
      <c r="AP56" s="520"/>
      <c r="AQ56" s="520"/>
      <c r="AR56" s="520" t="e">
        <f t="shared" si="38"/>
        <v>#N/A</v>
      </c>
      <c r="AS56" s="658"/>
      <c r="AT56" s="520"/>
      <c r="AU56" s="520"/>
      <c r="AV56" s="520"/>
      <c r="AW56" s="520" t="e">
        <f t="shared" si="40"/>
        <v>#N/A</v>
      </c>
      <c r="AX56" s="658"/>
    </row>
    <row r="57" spans="2:50">
      <c r="B57" s="627"/>
      <c r="C57" s="336">
        <v>11</v>
      </c>
      <c r="D57" s="228"/>
      <c r="E57" s="183"/>
      <c r="F57" s="470"/>
      <c r="G57" s="471"/>
      <c r="H57" s="662"/>
      <c r="I57" s="203"/>
      <c r="J57" s="203"/>
      <c r="K57" s="203"/>
      <c r="L57" s="601"/>
      <c r="M57" s="202" t="e">
        <f>RANK(K57, K$47:$K$61)</f>
        <v>#N/A</v>
      </c>
      <c r="N57" s="619"/>
      <c r="O57" s="619"/>
      <c r="P57" s="470"/>
      <c r="Q57" s="470"/>
      <c r="R57" s="470"/>
      <c r="S57" s="343" t="e">
        <f t="shared" si="42"/>
        <v>#N/A</v>
      </c>
      <c r="T57" s="658"/>
      <c r="U57" s="520"/>
      <c r="V57" s="520"/>
      <c r="W57" s="520"/>
      <c r="X57" s="520" t="e">
        <f t="shared" si="30"/>
        <v>#N/A</v>
      </c>
      <c r="Y57" s="658"/>
      <c r="Z57" s="520"/>
      <c r="AA57" s="520"/>
      <c r="AB57" s="520"/>
      <c r="AC57" s="520" t="e">
        <f t="shared" si="32"/>
        <v>#N/A</v>
      </c>
      <c r="AD57" s="658"/>
      <c r="AE57" s="520"/>
      <c r="AF57" s="520"/>
      <c r="AG57" s="520"/>
      <c r="AH57" s="520" t="e">
        <f t="shared" si="34"/>
        <v>#N/A</v>
      </c>
      <c r="AI57" s="658"/>
      <c r="AJ57" s="520"/>
      <c r="AK57" s="520"/>
      <c r="AL57" s="520"/>
      <c r="AM57" s="520" t="e">
        <f t="shared" si="36"/>
        <v>#N/A</v>
      </c>
      <c r="AN57" s="658"/>
      <c r="AO57" s="520"/>
      <c r="AP57" s="520"/>
      <c r="AQ57" s="520"/>
      <c r="AR57" s="520" t="e">
        <f t="shared" si="38"/>
        <v>#N/A</v>
      </c>
      <c r="AS57" s="658"/>
      <c r="AT57" s="520"/>
      <c r="AU57" s="520"/>
      <c r="AV57" s="520"/>
      <c r="AW57" s="520" t="e">
        <f t="shared" si="40"/>
        <v>#N/A</v>
      </c>
      <c r="AX57" s="658"/>
    </row>
    <row r="58" spans="2:50">
      <c r="B58" s="627"/>
      <c r="C58" s="336">
        <v>12</v>
      </c>
      <c r="D58" s="228"/>
      <c r="E58" s="183"/>
      <c r="F58" s="470"/>
      <c r="G58" s="471"/>
      <c r="H58" s="662"/>
      <c r="I58" s="203"/>
      <c r="J58" s="203"/>
      <c r="K58" s="203"/>
      <c r="L58" s="601"/>
      <c r="M58" s="202" t="e">
        <f>RANK(K58, K$47:$K$61)</f>
        <v>#N/A</v>
      </c>
      <c r="N58" s="619"/>
      <c r="O58" s="619"/>
      <c r="P58" s="470"/>
      <c r="Q58" s="470"/>
      <c r="R58" s="470"/>
      <c r="S58" s="343" t="e">
        <f t="shared" si="42"/>
        <v>#N/A</v>
      </c>
      <c r="T58" s="658"/>
      <c r="U58" s="520"/>
      <c r="V58" s="520"/>
      <c r="W58" s="520"/>
      <c r="X58" s="520" t="e">
        <f t="shared" si="30"/>
        <v>#N/A</v>
      </c>
      <c r="Y58" s="658"/>
      <c r="Z58" s="520"/>
      <c r="AA58" s="520"/>
      <c r="AB58" s="520"/>
      <c r="AC58" s="520" t="e">
        <f t="shared" si="32"/>
        <v>#N/A</v>
      </c>
      <c r="AD58" s="658"/>
      <c r="AE58" s="520"/>
      <c r="AF58" s="520"/>
      <c r="AG58" s="520"/>
      <c r="AH58" s="520" t="e">
        <f t="shared" si="34"/>
        <v>#N/A</v>
      </c>
      <c r="AI58" s="658"/>
      <c r="AJ58" s="520"/>
      <c r="AK58" s="520"/>
      <c r="AL58" s="520"/>
      <c r="AM58" s="520" t="e">
        <f t="shared" si="36"/>
        <v>#N/A</v>
      </c>
      <c r="AN58" s="658"/>
      <c r="AO58" s="520"/>
      <c r="AP58" s="520"/>
      <c r="AQ58" s="520"/>
      <c r="AR58" s="520" t="e">
        <f t="shared" si="38"/>
        <v>#N/A</v>
      </c>
      <c r="AS58" s="658"/>
      <c r="AT58" s="520"/>
      <c r="AU58" s="520"/>
      <c r="AV58" s="520"/>
      <c r="AW58" s="520" t="e">
        <f t="shared" si="40"/>
        <v>#N/A</v>
      </c>
      <c r="AX58" s="658"/>
    </row>
    <row r="59" spans="2:50">
      <c r="B59" s="627"/>
      <c r="C59" s="336">
        <v>13</v>
      </c>
      <c r="D59" s="228"/>
      <c r="E59" s="183"/>
      <c r="F59" s="470"/>
      <c r="G59" s="471"/>
      <c r="H59" s="662"/>
      <c r="I59" s="203"/>
      <c r="J59" s="203"/>
      <c r="K59" s="203"/>
      <c r="L59" s="601"/>
      <c r="M59" s="202" t="e">
        <f>RANK(K59, K$47:$K$61)</f>
        <v>#N/A</v>
      </c>
      <c r="N59" s="619"/>
      <c r="O59" s="619"/>
      <c r="P59" s="470"/>
      <c r="Q59" s="470"/>
      <c r="R59" s="470"/>
      <c r="S59" s="343" t="e">
        <f t="shared" si="42"/>
        <v>#N/A</v>
      </c>
      <c r="T59" s="658"/>
      <c r="U59" s="520"/>
      <c r="V59" s="520"/>
      <c r="W59" s="520"/>
      <c r="X59" s="520" t="e">
        <f t="shared" si="30"/>
        <v>#N/A</v>
      </c>
      <c r="Y59" s="658"/>
      <c r="Z59" s="520"/>
      <c r="AA59" s="520"/>
      <c r="AB59" s="520"/>
      <c r="AC59" s="520" t="e">
        <f t="shared" si="32"/>
        <v>#N/A</v>
      </c>
      <c r="AD59" s="658"/>
      <c r="AE59" s="520"/>
      <c r="AF59" s="520"/>
      <c r="AG59" s="520"/>
      <c r="AH59" s="520" t="e">
        <f t="shared" si="34"/>
        <v>#N/A</v>
      </c>
      <c r="AI59" s="658"/>
      <c r="AJ59" s="520"/>
      <c r="AK59" s="520"/>
      <c r="AL59" s="520"/>
      <c r="AM59" s="520" t="e">
        <f t="shared" si="36"/>
        <v>#N/A</v>
      </c>
      <c r="AN59" s="658"/>
      <c r="AO59" s="520"/>
      <c r="AP59" s="520"/>
      <c r="AQ59" s="520"/>
      <c r="AR59" s="520" t="e">
        <f t="shared" si="38"/>
        <v>#N/A</v>
      </c>
      <c r="AS59" s="658"/>
      <c r="AT59" s="520"/>
      <c r="AU59" s="520"/>
      <c r="AV59" s="520"/>
      <c r="AW59" s="520" t="e">
        <f t="shared" si="40"/>
        <v>#N/A</v>
      </c>
      <c r="AX59" s="658"/>
    </row>
    <row r="60" spans="2:50">
      <c r="B60" s="627"/>
      <c r="C60" s="336">
        <v>14</v>
      </c>
      <c r="D60" s="228"/>
      <c r="E60" s="183"/>
      <c r="F60" s="470"/>
      <c r="G60" s="471"/>
      <c r="H60" s="662"/>
      <c r="I60" s="203"/>
      <c r="J60" s="203"/>
      <c r="K60" s="203"/>
      <c r="L60" s="601"/>
      <c r="M60" s="202" t="e">
        <f>RANK(K60, K$47:$K$61)</f>
        <v>#N/A</v>
      </c>
      <c r="N60" s="619"/>
      <c r="O60" s="619"/>
      <c r="P60" s="470"/>
      <c r="Q60" s="470"/>
      <c r="R60" s="470"/>
      <c r="S60" s="343" t="e">
        <f t="shared" si="42"/>
        <v>#N/A</v>
      </c>
      <c r="T60" s="658"/>
      <c r="U60" s="520"/>
      <c r="V60" s="520"/>
      <c r="W60" s="520"/>
      <c r="X60" s="520" t="e">
        <f t="shared" si="30"/>
        <v>#N/A</v>
      </c>
      <c r="Y60" s="658"/>
      <c r="Z60" s="520"/>
      <c r="AA60" s="520"/>
      <c r="AB60" s="520"/>
      <c r="AC60" s="520" t="e">
        <f t="shared" si="32"/>
        <v>#N/A</v>
      </c>
      <c r="AD60" s="658"/>
      <c r="AE60" s="520"/>
      <c r="AF60" s="520"/>
      <c r="AG60" s="520"/>
      <c r="AH60" s="520" t="e">
        <f t="shared" si="34"/>
        <v>#N/A</v>
      </c>
      <c r="AI60" s="658"/>
      <c r="AJ60" s="520"/>
      <c r="AK60" s="520"/>
      <c r="AL60" s="520"/>
      <c r="AM60" s="520" t="e">
        <f t="shared" si="36"/>
        <v>#N/A</v>
      </c>
      <c r="AN60" s="658"/>
      <c r="AO60" s="520"/>
      <c r="AP60" s="520"/>
      <c r="AQ60" s="520"/>
      <c r="AR60" s="520" t="e">
        <f t="shared" si="38"/>
        <v>#N/A</v>
      </c>
      <c r="AS60" s="658"/>
      <c r="AT60" s="520"/>
      <c r="AU60" s="520"/>
      <c r="AV60" s="520"/>
      <c r="AW60" s="520" t="e">
        <f t="shared" si="40"/>
        <v>#N/A</v>
      </c>
      <c r="AX60" s="658"/>
    </row>
    <row r="61" spans="2:50">
      <c r="B61" s="627"/>
      <c r="C61" s="336">
        <v>15</v>
      </c>
      <c r="D61" s="228"/>
      <c r="E61" s="183"/>
      <c r="F61" s="470"/>
      <c r="G61" s="471"/>
      <c r="H61" s="663"/>
      <c r="I61" s="203"/>
      <c r="J61" s="203"/>
      <c r="K61" s="203"/>
      <c r="L61" s="602"/>
      <c r="M61" s="202" t="e">
        <f>RANK(K61, K$47:$K$61)</f>
        <v>#N/A</v>
      </c>
      <c r="N61" s="619"/>
      <c r="O61" s="619"/>
      <c r="P61" s="470"/>
      <c r="Q61" s="470"/>
      <c r="R61" s="470"/>
      <c r="S61" s="343" t="e">
        <f t="shared" si="42"/>
        <v>#N/A</v>
      </c>
      <c r="T61" s="658"/>
      <c r="U61" s="520"/>
      <c r="V61" s="520"/>
      <c r="W61" s="520"/>
      <c r="X61" s="520" t="e">
        <f t="shared" si="30"/>
        <v>#N/A</v>
      </c>
      <c r="Y61" s="658"/>
      <c r="Z61" s="520"/>
      <c r="AA61" s="520"/>
      <c r="AB61" s="520"/>
      <c r="AC61" s="520" t="e">
        <f t="shared" si="32"/>
        <v>#N/A</v>
      </c>
      <c r="AD61" s="658"/>
      <c r="AE61" s="520"/>
      <c r="AF61" s="520"/>
      <c r="AG61" s="520"/>
      <c r="AH61" s="520" t="e">
        <f t="shared" si="34"/>
        <v>#N/A</v>
      </c>
      <c r="AI61" s="658"/>
      <c r="AJ61" s="520"/>
      <c r="AK61" s="520"/>
      <c r="AL61" s="520"/>
      <c r="AM61" s="520" t="e">
        <f t="shared" si="36"/>
        <v>#N/A</v>
      </c>
      <c r="AN61" s="658"/>
      <c r="AO61" s="520"/>
      <c r="AP61" s="520"/>
      <c r="AQ61" s="520"/>
      <c r="AR61" s="520" t="e">
        <f t="shared" si="38"/>
        <v>#N/A</v>
      </c>
      <c r="AS61" s="658"/>
      <c r="AT61" s="520"/>
      <c r="AU61" s="520"/>
      <c r="AV61" s="520"/>
      <c r="AW61" s="520" t="e">
        <f t="shared" si="40"/>
        <v>#N/A</v>
      </c>
      <c r="AX61" s="658"/>
    </row>
    <row r="62" spans="2:50" ht="15.5">
      <c r="B62" s="631" t="s">
        <v>163</v>
      </c>
      <c r="C62" s="632"/>
      <c r="D62" s="632"/>
      <c r="E62" s="632"/>
      <c r="F62" s="632"/>
      <c r="G62" s="632"/>
      <c r="H62" s="633"/>
      <c r="I62" s="209"/>
      <c r="J62" s="209"/>
      <c r="K62" s="209"/>
      <c r="L62" s="209"/>
      <c r="M62" s="208"/>
      <c r="N62" s="620" t="s">
        <v>156</v>
      </c>
      <c r="O62" s="620" t="s">
        <v>105</v>
      </c>
      <c r="P62" s="626">
        <f>P42+7</f>
        <v>46007</v>
      </c>
      <c r="Q62" s="627"/>
      <c r="R62" s="627"/>
      <c r="S62" s="627"/>
      <c r="T62" s="627"/>
      <c r="U62" s="623">
        <f>P62+1</f>
        <v>46008</v>
      </c>
      <c r="V62" s="624"/>
      <c r="W62" s="624"/>
      <c r="X62" s="624"/>
      <c r="Y62" s="625"/>
      <c r="Z62" s="623">
        <f>U62+1</f>
        <v>46009</v>
      </c>
      <c r="AA62" s="624"/>
      <c r="AB62" s="624"/>
      <c r="AC62" s="624"/>
      <c r="AD62" s="625"/>
      <c r="AE62" s="623">
        <f>Z62+1</f>
        <v>46010</v>
      </c>
      <c r="AF62" s="624"/>
      <c r="AG62" s="624"/>
      <c r="AH62" s="624"/>
      <c r="AI62" s="625"/>
      <c r="AJ62" s="623">
        <f>AE62+1</f>
        <v>46011</v>
      </c>
      <c r="AK62" s="624"/>
      <c r="AL62" s="624"/>
      <c r="AM62" s="624"/>
      <c r="AN62" s="625"/>
      <c r="AO62" s="623">
        <f>AJ62+1</f>
        <v>46012</v>
      </c>
      <c r="AP62" s="624"/>
      <c r="AQ62" s="624"/>
      <c r="AR62" s="624"/>
      <c r="AS62" s="625"/>
      <c r="AT62" s="623">
        <f>AO62+1</f>
        <v>46013</v>
      </c>
      <c r="AU62" s="624"/>
      <c r="AV62" s="624"/>
      <c r="AW62" s="624"/>
      <c r="AX62" s="625"/>
    </row>
    <row r="63" spans="2:50" ht="15.5">
      <c r="B63" s="634"/>
      <c r="C63" s="634"/>
      <c r="D63" s="634"/>
      <c r="E63" s="634"/>
      <c r="F63" s="634"/>
      <c r="G63" s="634"/>
      <c r="H63" s="634"/>
      <c r="I63" s="206"/>
      <c r="J63" s="206"/>
      <c r="K63" s="206"/>
      <c r="L63" s="206"/>
      <c r="M63" s="207"/>
      <c r="N63" s="622"/>
      <c r="O63" s="622"/>
      <c r="P63" s="626" t="s">
        <v>336</v>
      </c>
      <c r="Q63" s="627"/>
      <c r="R63" s="627"/>
      <c r="S63" s="627"/>
      <c r="T63" s="627"/>
      <c r="U63" s="626" t="s">
        <v>337</v>
      </c>
      <c r="V63" s="627"/>
      <c r="W63" s="627"/>
      <c r="X63" s="627"/>
      <c r="Y63" s="627"/>
      <c r="Z63" s="626" t="s">
        <v>338</v>
      </c>
      <c r="AA63" s="627"/>
      <c r="AB63" s="627"/>
      <c r="AC63" s="627"/>
      <c r="AD63" s="627"/>
      <c r="AE63" s="626" t="s">
        <v>339</v>
      </c>
      <c r="AF63" s="627"/>
      <c r="AG63" s="627"/>
      <c r="AH63" s="627"/>
      <c r="AI63" s="627"/>
      <c r="AJ63" s="626" t="s">
        <v>340</v>
      </c>
      <c r="AK63" s="627"/>
      <c r="AL63" s="627"/>
      <c r="AM63" s="627"/>
      <c r="AN63" s="627"/>
      <c r="AO63" s="626" t="s">
        <v>341</v>
      </c>
      <c r="AP63" s="627"/>
      <c r="AQ63" s="627"/>
      <c r="AR63" s="627"/>
      <c r="AS63" s="627"/>
      <c r="AT63" s="626" t="s">
        <v>342</v>
      </c>
      <c r="AU63" s="627"/>
      <c r="AV63" s="627"/>
      <c r="AW63" s="627"/>
      <c r="AX63" s="627"/>
    </row>
    <row r="64" spans="2:50">
      <c r="B64" s="619" t="s">
        <v>443</v>
      </c>
      <c r="C64" s="619" t="s">
        <v>453</v>
      </c>
      <c r="D64" s="619"/>
      <c r="E64" s="619" t="s">
        <v>444</v>
      </c>
      <c r="F64" s="619"/>
      <c r="G64" s="619"/>
      <c r="H64" s="635" t="s">
        <v>440</v>
      </c>
      <c r="I64" s="603" t="s">
        <v>445</v>
      </c>
      <c r="J64" s="603"/>
      <c r="K64" s="603"/>
      <c r="L64" s="604" t="s">
        <v>440</v>
      </c>
      <c r="M64" s="610" t="s">
        <v>441</v>
      </c>
      <c r="N64" s="619"/>
      <c r="O64" s="619" t="s">
        <v>446</v>
      </c>
      <c r="P64" s="616" t="s">
        <v>442</v>
      </c>
      <c r="Q64" s="617"/>
      <c r="R64" s="617"/>
      <c r="S64" s="618"/>
      <c r="T64" s="619" t="s">
        <v>440</v>
      </c>
      <c r="U64" s="616" t="s">
        <v>442</v>
      </c>
      <c r="V64" s="617"/>
      <c r="W64" s="617"/>
      <c r="X64" s="618"/>
      <c r="Y64" s="619" t="s">
        <v>440</v>
      </c>
      <c r="Z64" s="616" t="s">
        <v>442</v>
      </c>
      <c r="AA64" s="617"/>
      <c r="AB64" s="617"/>
      <c r="AC64" s="618"/>
      <c r="AD64" s="619" t="s">
        <v>440</v>
      </c>
      <c r="AE64" s="616" t="s">
        <v>442</v>
      </c>
      <c r="AF64" s="617"/>
      <c r="AG64" s="617"/>
      <c r="AH64" s="618"/>
      <c r="AI64" s="619" t="s">
        <v>440</v>
      </c>
      <c r="AJ64" s="616" t="s">
        <v>442</v>
      </c>
      <c r="AK64" s="617"/>
      <c r="AL64" s="617"/>
      <c r="AM64" s="618"/>
      <c r="AN64" s="619" t="s">
        <v>440</v>
      </c>
      <c r="AO64" s="616" t="s">
        <v>442</v>
      </c>
      <c r="AP64" s="617"/>
      <c r="AQ64" s="617"/>
      <c r="AR64" s="618"/>
      <c r="AS64" s="619" t="s">
        <v>440</v>
      </c>
      <c r="AT64" s="616" t="s">
        <v>442</v>
      </c>
      <c r="AU64" s="617"/>
      <c r="AV64" s="617"/>
      <c r="AW64" s="618"/>
      <c r="AX64" s="619" t="s">
        <v>440</v>
      </c>
    </row>
    <row r="65" spans="2:50">
      <c r="B65" s="619"/>
      <c r="C65" s="619"/>
      <c r="D65" s="619"/>
      <c r="E65" s="619" t="s">
        <v>447</v>
      </c>
      <c r="F65" s="619"/>
      <c r="G65" s="619"/>
      <c r="H65" s="636"/>
      <c r="I65" s="603" t="s">
        <v>447</v>
      </c>
      <c r="J65" s="603"/>
      <c r="K65" s="603"/>
      <c r="L65" s="605"/>
      <c r="M65" s="611"/>
      <c r="N65" s="619"/>
      <c r="O65" s="619"/>
      <c r="P65" s="616" t="s">
        <v>448</v>
      </c>
      <c r="Q65" s="617"/>
      <c r="R65" s="617"/>
      <c r="S65" s="618"/>
      <c r="T65" s="619"/>
      <c r="U65" s="616" t="s">
        <v>448</v>
      </c>
      <c r="V65" s="617"/>
      <c r="W65" s="617"/>
      <c r="X65" s="618"/>
      <c r="Y65" s="619"/>
      <c r="Z65" s="616" t="s">
        <v>448</v>
      </c>
      <c r="AA65" s="617"/>
      <c r="AB65" s="617"/>
      <c r="AC65" s="618"/>
      <c r="AD65" s="619"/>
      <c r="AE65" s="616" t="s">
        <v>448</v>
      </c>
      <c r="AF65" s="617"/>
      <c r="AG65" s="617"/>
      <c r="AH65" s="618"/>
      <c r="AI65" s="619"/>
      <c r="AJ65" s="616" t="s">
        <v>448</v>
      </c>
      <c r="AK65" s="617"/>
      <c r="AL65" s="617"/>
      <c r="AM65" s="618"/>
      <c r="AN65" s="619"/>
      <c r="AO65" s="616" t="s">
        <v>448</v>
      </c>
      <c r="AP65" s="617"/>
      <c r="AQ65" s="617"/>
      <c r="AR65" s="618"/>
      <c r="AS65" s="619"/>
      <c r="AT65" s="616" t="s">
        <v>448</v>
      </c>
      <c r="AU65" s="617"/>
      <c r="AV65" s="617"/>
      <c r="AW65" s="618"/>
      <c r="AX65" s="619"/>
    </row>
    <row r="66" spans="2:50">
      <c r="B66" s="619"/>
      <c r="C66" s="619"/>
      <c r="D66" s="619"/>
      <c r="E66" s="316" t="s">
        <v>449</v>
      </c>
      <c r="F66" s="316" t="s">
        <v>450</v>
      </c>
      <c r="G66" s="316" t="s">
        <v>451</v>
      </c>
      <c r="H66" s="637"/>
      <c r="I66" s="315" t="s">
        <v>449</v>
      </c>
      <c r="J66" s="315" t="s">
        <v>450</v>
      </c>
      <c r="K66" s="315" t="s">
        <v>451</v>
      </c>
      <c r="L66" s="606"/>
      <c r="M66" s="612"/>
      <c r="N66" s="619"/>
      <c r="O66" s="619"/>
      <c r="P66" s="316" t="s">
        <v>449</v>
      </c>
      <c r="Q66" s="316" t="s">
        <v>450</v>
      </c>
      <c r="R66" s="316" t="s">
        <v>451</v>
      </c>
      <c r="S66" s="316" t="s">
        <v>441</v>
      </c>
      <c r="T66" s="619"/>
      <c r="U66" s="316" t="s">
        <v>449</v>
      </c>
      <c r="V66" s="316" t="s">
        <v>450</v>
      </c>
      <c r="W66" s="316" t="s">
        <v>451</v>
      </c>
      <c r="X66" s="316" t="s">
        <v>441</v>
      </c>
      <c r="Y66" s="619"/>
      <c r="Z66" s="316" t="s">
        <v>449</v>
      </c>
      <c r="AA66" s="316" t="s">
        <v>450</v>
      </c>
      <c r="AB66" s="316" t="s">
        <v>451</v>
      </c>
      <c r="AC66" s="316" t="s">
        <v>441</v>
      </c>
      <c r="AD66" s="619"/>
      <c r="AE66" s="316" t="s">
        <v>449</v>
      </c>
      <c r="AF66" s="316" t="s">
        <v>450</v>
      </c>
      <c r="AG66" s="316" t="s">
        <v>451</v>
      </c>
      <c r="AH66" s="316" t="s">
        <v>441</v>
      </c>
      <c r="AI66" s="619"/>
      <c r="AJ66" s="316" t="s">
        <v>449</v>
      </c>
      <c r="AK66" s="316" t="s">
        <v>450</v>
      </c>
      <c r="AL66" s="316" t="s">
        <v>451</v>
      </c>
      <c r="AM66" s="316" t="s">
        <v>441</v>
      </c>
      <c r="AN66" s="619"/>
      <c r="AO66" s="316" t="s">
        <v>449</v>
      </c>
      <c r="AP66" s="316" t="s">
        <v>450</v>
      </c>
      <c r="AQ66" s="316" t="s">
        <v>451</v>
      </c>
      <c r="AR66" s="316" t="s">
        <v>441</v>
      </c>
      <c r="AS66" s="619"/>
      <c r="AT66" s="316" t="s">
        <v>449</v>
      </c>
      <c r="AU66" s="316" t="s">
        <v>450</v>
      </c>
      <c r="AV66" s="316" t="s">
        <v>451</v>
      </c>
      <c r="AW66" s="316" t="s">
        <v>441</v>
      </c>
      <c r="AX66" s="619"/>
    </row>
    <row r="67" spans="2:50">
      <c r="B67" s="619" t="s">
        <v>454</v>
      </c>
      <c r="C67" s="317">
        <v>1</v>
      </c>
      <c r="D67" s="228"/>
      <c r="E67" s="183"/>
      <c r="F67" s="470"/>
      <c r="G67" s="471"/>
      <c r="H67" s="661" t="e">
        <f>AVERAGE(G67:G81)</f>
        <v>#DIV/0!</v>
      </c>
      <c r="I67" s="200" t="e">
        <f t="shared" ref="I67:K68" si="43">AVERAGE(P67,U67,Z67,AE67,AJ67,AO67,AT67)</f>
        <v>#DIV/0!</v>
      </c>
      <c r="J67" s="200" t="e">
        <f t="shared" si="43"/>
        <v>#DIV/0!</v>
      </c>
      <c r="K67" s="201" t="e">
        <f t="shared" si="43"/>
        <v>#DIV/0!</v>
      </c>
      <c r="L67" s="600" t="str">
        <f>IFERROR(AVERAGE(K67:K81),"-")</f>
        <v>-</v>
      </c>
      <c r="M67" s="202" t="e">
        <f>RANK(K67, K$67:$K$81)</f>
        <v>#DIV/0!</v>
      </c>
      <c r="N67" s="619"/>
      <c r="O67" s="619"/>
      <c r="P67" s="183"/>
      <c r="Q67" s="183"/>
      <c r="R67" s="500"/>
      <c r="S67" s="317" t="e">
        <f>RANK(R67, R$67:R$81)</f>
        <v>#N/A</v>
      </c>
      <c r="T67" s="658" t="e">
        <f>AVERAGE(R67:R81)</f>
        <v>#DIV/0!</v>
      </c>
      <c r="U67" s="183"/>
      <c r="V67" s="183"/>
      <c r="W67" s="521"/>
      <c r="X67" s="520" t="e">
        <f t="shared" ref="X67:X81" si="44">RANK(W67, W$67:W$81)</f>
        <v>#N/A</v>
      </c>
      <c r="Y67" s="658" t="e">
        <f t="shared" ref="Y67" si="45">AVERAGE(W67:W81)</f>
        <v>#DIV/0!</v>
      </c>
      <c r="Z67" s="183"/>
      <c r="AA67" s="183"/>
      <c r="AB67" s="521"/>
      <c r="AC67" s="520" t="e">
        <f t="shared" ref="AC67:AC81" si="46">RANK(AB67, AB$67:AB$81)</f>
        <v>#N/A</v>
      </c>
      <c r="AD67" s="658" t="e">
        <f t="shared" ref="AD67" si="47">AVERAGE(AB67:AB81)</f>
        <v>#DIV/0!</v>
      </c>
      <c r="AE67" s="183"/>
      <c r="AF67" s="183"/>
      <c r="AG67" s="521"/>
      <c r="AH67" s="520" t="e">
        <f t="shared" ref="AH67:AH81" si="48">RANK(AG67, AG$67:AG$81)</f>
        <v>#N/A</v>
      </c>
      <c r="AI67" s="658" t="e">
        <f t="shared" ref="AI67" si="49">AVERAGE(AG67:AG81)</f>
        <v>#DIV/0!</v>
      </c>
      <c r="AJ67" s="183"/>
      <c r="AK67" s="183"/>
      <c r="AL67" s="521"/>
      <c r="AM67" s="520" t="e">
        <f t="shared" ref="AM67:AM81" si="50">RANK(AL67, AL$67:AL$81)</f>
        <v>#N/A</v>
      </c>
      <c r="AN67" s="658" t="e">
        <f t="shared" ref="AN67" si="51">AVERAGE(AL67:AL81)</f>
        <v>#DIV/0!</v>
      </c>
      <c r="AO67" s="183"/>
      <c r="AP67" s="183"/>
      <c r="AQ67" s="521"/>
      <c r="AR67" s="520" t="e">
        <f t="shared" ref="AR67:AR81" si="52">RANK(AQ67, AQ$67:AQ$81)</f>
        <v>#N/A</v>
      </c>
      <c r="AS67" s="658" t="e">
        <f t="shared" ref="AS67" si="53">AVERAGE(AQ67:AQ81)</f>
        <v>#DIV/0!</v>
      </c>
      <c r="AT67" s="183"/>
      <c r="AU67" s="183"/>
      <c r="AV67" s="521"/>
      <c r="AW67" s="520" t="e">
        <f t="shared" ref="AW67:AW81" si="54">RANK(AV67, AV$67:AV$81)</f>
        <v>#N/A</v>
      </c>
      <c r="AX67" s="658" t="e">
        <f t="shared" ref="AX67" si="55">AVERAGE(AV67:AV81)</f>
        <v>#DIV/0!</v>
      </c>
    </row>
    <row r="68" spans="2:50">
      <c r="B68" s="627"/>
      <c r="C68" s="317">
        <v>2</v>
      </c>
      <c r="D68" s="228"/>
      <c r="E68" s="183"/>
      <c r="F68" s="470"/>
      <c r="G68" s="471"/>
      <c r="H68" s="662"/>
      <c r="I68" s="469" t="e">
        <f t="shared" si="43"/>
        <v>#DIV/0!</v>
      </c>
      <c r="J68" s="469" t="e">
        <f t="shared" si="43"/>
        <v>#DIV/0!</v>
      </c>
      <c r="K68" s="201" t="e">
        <f t="shared" si="43"/>
        <v>#DIV/0!</v>
      </c>
      <c r="L68" s="601"/>
      <c r="M68" s="202" t="e">
        <f>RANK(K68, K$67:$K$81)</f>
        <v>#DIV/0!</v>
      </c>
      <c r="N68" s="619"/>
      <c r="O68" s="619"/>
      <c r="P68" s="499"/>
      <c r="Q68" s="183"/>
      <c r="R68" s="500"/>
      <c r="S68" s="349" t="e">
        <f t="shared" ref="S68:S81" si="56">RANK(R68, R$67:R$81)</f>
        <v>#N/A</v>
      </c>
      <c r="T68" s="658"/>
      <c r="U68" s="520"/>
      <c r="V68" s="183"/>
      <c r="W68" s="521"/>
      <c r="X68" s="520" t="e">
        <f t="shared" si="44"/>
        <v>#N/A</v>
      </c>
      <c r="Y68" s="658"/>
      <c r="Z68" s="520"/>
      <c r="AA68" s="183"/>
      <c r="AB68" s="521"/>
      <c r="AC68" s="520" t="e">
        <f t="shared" si="46"/>
        <v>#N/A</v>
      </c>
      <c r="AD68" s="658"/>
      <c r="AE68" s="520"/>
      <c r="AF68" s="183"/>
      <c r="AG68" s="521"/>
      <c r="AH68" s="520" t="e">
        <f t="shared" si="48"/>
        <v>#N/A</v>
      </c>
      <c r="AI68" s="658"/>
      <c r="AJ68" s="520"/>
      <c r="AK68" s="183"/>
      <c r="AL68" s="521"/>
      <c r="AM68" s="520" t="e">
        <f t="shared" si="50"/>
        <v>#N/A</v>
      </c>
      <c r="AN68" s="658"/>
      <c r="AO68" s="520"/>
      <c r="AP68" s="183"/>
      <c r="AQ68" s="521"/>
      <c r="AR68" s="520" t="e">
        <f t="shared" si="52"/>
        <v>#N/A</v>
      </c>
      <c r="AS68" s="658"/>
      <c r="AT68" s="520"/>
      <c r="AU68" s="183"/>
      <c r="AV68" s="521"/>
      <c r="AW68" s="520" t="e">
        <f t="shared" si="54"/>
        <v>#N/A</v>
      </c>
      <c r="AX68" s="658"/>
    </row>
    <row r="69" spans="2:50">
      <c r="B69" s="627"/>
      <c r="C69" s="317">
        <v>3</v>
      </c>
      <c r="D69" s="228"/>
      <c r="E69" s="183"/>
      <c r="F69" s="470"/>
      <c r="G69" s="471"/>
      <c r="H69" s="662"/>
      <c r="I69" s="200"/>
      <c r="J69" s="200"/>
      <c r="K69" s="201"/>
      <c r="L69" s="601"/>
      <c r="M69" s="202" t="e">
        <f>RANK(K69, K$67:$K$81)</f>
        <v>#DIV/0!</v>
      </c>
      <c r="N69" s="619"/>
      <c r="O69" s="619"/>
      <c r="P69" s="470"/>
      <c r="Q69" s="470"/>
      <c r="R69" s="470"/>
      <c r="S69" s="349" t="e">
        <f t="shared" si="56"/>
        <v>#N/A</v>
      </c>
      <c r="T69" s="658"/>
      <c r="U69" s="520"/>
      <c r="V69" s="520"/>
      <c r="W69" s="520"/>
      <c r="X69" s="520" t="e">
        <f t="shared" si="44"/>
        <v>#N/A</v>
      </c>
      <c r="Y69" s="658"/>
      <c r="Z69" s="520"/>
      <c r="AA69" s="520"/>
      <c r="AB69" s="520"/>
      <c r="AC69" s="520" t="e">
        <f t="shared" si="46"/>
        <v>#N/A</v>
      </c>
      <c r="AD69" s="658"/>
      <c r="AE69" s="520"/>
      <c r="AF69" s="520"/>
      <c r="AG69" s="520"/>
      <c r="AH69" s="520" t="e">
        <f t="shared" si="48"/>
        <v>#N/A</v>
      </c>
      <c r="AI69" s="658"/>
      <c r="AJ69" s="520"/>
      <c r="AK69" s="520"/>
      <c r="AL69" s="520"/>
      <c r="AM69" s="520" t="e">
        <f t="shared" si="50"/>
        <v>#N/A</v>
      </c>
      <c r="AN69" s="658"/>
      <c r="AO69" s="520"/>
      <c r="AP69" s="520"/>
      <c r="AQ69" s="520"/>
      <c r="AR69" s="520" t="e">
        <f t="shared" si="52"/>
        <v>#N/A</v>
      </c>
      <c r="AS69" s="658"/>
      <c r="AT69" s="520"/>
      <c r="AU69" s="520"/>
      <c r="AV69" s="520"/>
      <c r="AW69" s="520" t="e">
        <f t="shared" si="54"/>
        <v>#N/A</v>
      </c>
      <c r="AX69" s="658"/>
    </row>
    <row r="70" spans="2:50">
      <c r="B70" s="627"/>
      <c r="C70" s="317">
        <v>4</v>
      </c>
      <c r="D70" s="228"/>
      <c r="E70" s="183"/>
      <c r="F70" s="470"/>
      <c r="G70" s="471"/>
      <c r="H70" s="662"/>
      <c r="I70" s="200"/>
      <c r="J70" s="200"/>
      <c r="K70" s="201"/>
      <c r="L70" s="601"/>
      <c r="M70" s="202" t="e">
        <f>RANK(K70, K$67:$K$81)</f>
        <v>#DIV/0!</v>
      </c>
      <c r="N70" s="619"/>
      <c r="O70" s="619"/>
      <c r="P70" s="470"/>
      <c r="Q70" s="470"/>
      <c r="R70" s="470"/>
      <c r="S70" s="349" t="e">
        <f t="shared" si="56"/>
        <v>#N/A</v>
      </c>
      <c r="T70" s="658"/>
      <c r="U70" s="520"/>
      <c r="V70" s="520"/>
      <c r="W70" s="520"/>
      <c r="X70" s="520" t="e">
        <f t="shared" si="44"/>
        <v>#N/A</v>
      </c>
      <c r="Y70" s="658"/>
      <c r="Z70" s="520"/>
      <c r="AA70" s="520"/>
      <c r="AB70" s="520"/>
      <c r="AC70" s="520" t="e">
        <f t="shared" si="46"/>
        <v>#N/A</v>
      </c>
      <c r="AD70" s="658"/>
      <c r="AE70" s="520"/>
      <c r="AF70" s="520"/>
      <c r="AG70" s="520"/>
      <c r="AH70" s="520" t="e">
        <f t="shared" si="48"/>
        <v>#N/A</v>
      </c>
      <c r="AI70" s="658"/>
      <c r="AJ70" s="520"/>
      <c r="AK70" s="520"/>
      <c r="AL70" s="520"/>
      <c r="AM70" s="520" t="e">
        <f t="shared" si="50"/>
        <v>#N/A</v>
      </c>
      <c r="AN70" s="658"/>
      <c r="AO70" s="520"/>
      <c r="AP70" s="520"/>
      <c r="AQ70" s="520"/>
      <c r="AR70" s="520" t="e">
        <f t="shared" si="52"/>
        <v>#N/A</v>
      </c>
      <c r="AS70" s="658"/>
      <c r="AT70" s="520"/>
      <c r="AU70" s="520"/>
      <c r="AV70" s="520"/>
      <c r="AW70" s="520" t="e">
        <f t="shared" si="54"/>
        <v>#N/A</v>
      </c>
      <c r="AX70" s="658"/>
    </row>
    <row r="71" spans="2:50">
      <c r="B71" s="627"/>
      <c r="C71" s="317">
        <v>5</v>
      </c>
      <c r="D71" s="228"/>
      <c r="E71" s="183"/>
      <c r="F71" s="470"/>
      <c r="G71" s="471"/>
      <c r="H71" s="662"/>
      <c r="I71" s="200"/>
      <c r="J71" s="200"/>
      <c r="K71" s="201"/>
      <c r="L71" s="601"/>
      <c r="M71" s="202" t="e">
        <f>RANK(K71, K$67:$K$81)</f>
        <v>#DIV/0!</v>
      </c>
      <c r="N71" s="619"/>
      <c r="O71" s="619"/>
      <c r="P71" s="470"/>
      <c r="Q71" s="470"/>
      <c r="R71" s="470"/>
      <c r="S71" s="349" t="e">
        <f t="shared" si="56"/>
        <v>#N/A</v>
      </c>
      <c r="T71" s="658"/>
      <c r="U71" s="520"/>
      <c r="V71" s="520"/>
      <c r="W71" s="520"/>
      <c r="X71" s="520" t="e">
        <f t="shared" si="44"/>
        <v>#N/A</v>
      </c>
      <c r="Y71" s="658"/>
      <c r="Z71" s="520"/>
      <c r="AA71" s="520"/>
      <c r="AB71" s="520"/>
      <c r="AC71" s="520" t="e">
        <f t="shared" si="46"/>
        <v>#N/A</v>
      </c>
      <c r="AD71" s="658"/>
      <c r="AE71" s="520"/>
      <c r="AF71" s="520"/>
      <c r="AG71" s="520"/>
      <c r="AH71" s="520" t="e">
        <f t="shared" si="48"/>
        <v>#N/A</v>
      </c>
      <c r="AI71" s="658"/>
      <c r="AJ71" s="520"/>
      <c r="AK71" s="520"/>
      <c r="AL71" s="520"/>
      <c r="AM71" s="520" t="e">
        <f t="shared" si="50"/>
        <v>#N/A</v>
      </c>
      <c r="AN71" s="658"/>
      <c r="AO71" s="520"/>
      <c r="AP71" s="520"/>
      <c r="AQ71" s="520"/>
      <c r="AR71" s="520" t="e">
        <f t="shared" si="52"/>
        <v>#N/A</v>
      </c>
      <c r="AS71" s="658"/>
      <c r="AT71" s="520"/>
      <c r="AU71" s="520"/>
      <c r="AV71" s="520"/>
      <c r="AW71" s="520" t="e">
        <f t="shared" si="54"/>
        <v>#N/A</v>
      </c>
      <c r="AX71" s="658"/>
    </row>
    <row r="72" spans="2:50">
      <c r="B72" s="627"/>
      <c r="C72" s="317">
        <v>6</v>
      </c>
      <c r="D72" s="228"/>
      <c r="E72" s="183"/>
      <c r="F72" s="470"/>
      <c r="G72" s="471"/>
      <c r="H72" s="662"/>
      <c r="I72" s="200"/>
      <c r="J72" s="200"/>
      <c r="K72" s="201"/>
      <c r="L72" s="601"/>
      <c r="M72" s="202" t="e">
        <f>RANK(K72, K$67:$K$81)</f>
        <v>#DIV/0!</v>
      </c>
      <c r="N72" s="619"/>
      <c r="O72" s="619"/>
      <c r="P72" s="470"/>
      <c r="Q72" s="470"/>
      <c r="R72" s="470"/>
      <c r="S72" s="349" t="e">
        <f t="shared" si="56"/>
        <v>#N/A</v>
      </c>
      <c r="T72" s="658"/>
      <c r="U72" s="520"/>
      <c r="V72" s="520"/>
      <c r="W72" s="520"/>
      <c r="X72" s="520" t="e">
        <f t="shared" si="44"/>
        <v>#N/A</v>
      </c>
      <c r="Y72" s="658"/>
      <c r="Z72" s="520"/>
      <c r="AA72" s="520"/>
      <c r="AB72" s="520"/>
      <c r="AC72" s="520" t="e">
        <f t="shared" si="46"/>
        <v>#N/A</v>
      </c>
      <c r="AD72" s="658"/>
      <c r="AE72" s="520"/>
      <c r="AF72" s="520"/>
      <c r="AG72" s="520"/>
      <c r="AH72" s="520" t="e">
        <f t="shared" si="48"/>
        <v>#N/A</v>
      </c>
      <c r="AI72" s="658"/>
      <c r="AJ72" s="520"/>
      <c r="AK72" s="520"/>
      <c r="AL72" s="520"/>
      <c r="AM72" s="520" t="e">
        <f t="shared" si="50"/>
        <v>#N/A</v>
      </c>
      <c r="AN72" s="658"/>
      <c r="AO72" s="520"/>
      <c r="AP72" s="520"/>
      <c r="AQ72" s="520"/>
      <c r="AR72" s="520" t="e">
        <f t="shared" si="52"/>
        <v>#N/A</v>
      </c>
      <c r="AS72" s="658"/>
      <c r="AT72" s="520"/>
      <c r="AU72" s="520"/>
      <c r="AV72" s="520"/>
      <c r="AW72" s="520" t="e">
        <f t="shared" si="54"/>
        <v>#N/A</v>
      </c>
      <c r="AX72" s="658"/>
    </row>
    <row r="73" spans="2:50">
      <c r="B73" s="627"/>
      <c r="C73" s="317">
        <v>7</v>
      </c>
      <c r="D73" s="228"/>
      <c r="E73" s="183"/>
      <c r="F73" s="470"/>
      <c r="G73" s="471"/>
      <c r="H73" s="662"/>
      <c r="I73" s="200"/>
      <c r="J73" s="200"/>
      <c r="K73" s="201"/>
      <c r="L73" s="601"/>
      <c r="M73" s="202" t="e">
        <f>RANK(K73, K$67:$K$81)</f>
        <v>#DIV/0!</v>
      </c>
      <c r="N73" s="619"/>
      <c r="O73" s="619"/>
      <c r="P73" s="470"/>
      <c r="Q73" s="470"/>
      <c r="R73" s="470"/>
      <c r="S73" s="349" t="e">
        <f t="shared" si="56"/>
        <v>#N/A</v>
      </c>
      <c r="T73" s="658"/>
      <c r="U73" s="520"/>
      <c r="V73" s="520"/>
      <c r="W73" s="520"/>
      <c r="X73" s="520" t="e">
        <f t="shared" si="44"/>
        <v>#N/A</v>
      </c>
      <c r="Y73" s="658"/>
      <c r="Z73" s="520"/>
      <c r="AA73" s="520"/>
      <c r="AB73" s="520"/>
      <c r="AC73" s="520" t="e">
        <f t="shared" si="46"/>
        <v>#N/A</v>
      </c>
      <c r="AD73" s="658"/>
      <c r="AE73" s="520"/>
      <c r="AF73" s="520"/>
      <c r="AG73" s="520"/>
      <c r="AH73" s="520" t="e">
        <f t="shared" si="48"/>
        <v>#N/A</v>
      </c>
      <c r="AI73" s="658"/>
      <c r="AJ73" s="520"/>
      <c r="AK73" s="520"/>
      <c r="AL73" s="520"/>
      <c r="AM73" s="520" t="e">
        <f t="shared" si="50"/>
        <v>#N/A</v>
      </c>
      <c r="AN73" s="658"/>
      <c r="AO73" s="520"/>
      <c r="AP73" s="520"/>
      <c r="AQ73" s="520"/>
      <c r="AR73" s="520" t="e">
        <f t="shared" si="52"/>
        <v>#N/A</v>
      </c>
      <c r="AS73" s="658"/>
      <c r="AT73" s="520"/>
      <c r="AU73" s="520"/>
      <c r="AV73" s="520"/>
      <c r="AW73" s="520" t="e">
        <f t="shared" si="54"/>
        <v>#N/A</v>
      </c>
      <c r="AX73" s="658"/>
    </row>
    <row r="74" spans="2:50">
      <c r="B74" s="627"/>
      <c r="C74" s="317">
        <v>8</v>
      </c>
      <c r="D74" s="228"/>
      <c r="E74" s="183"/>
      <c r="F74" s="470"/>
      <c r="G74" s="471"/>
      <c r="H74" s="662"/>
      <c r="I74" s="200"/>
      <c r="J74" s="200"/>
      <c r="K74" s="201"/>
      <c r="L74" s="601"/>
      <c r="M74" s="202" t="e">
        <f>RANK(K74, K$67:$K$81)</f>
        <v>#DIV/0!</v>
      </c>
      <c r="N74" s="619"/>
      <c r="O74" s="619"/>
      <c r="P74" s="470"/>
      <c r="Q74" s="470"/>
      <c r="R74" s="470"/>
      <c r="S74" s="349" t="e">
        <f t="shared" si="56"/>
        <v>#N/A</v>
      </c>
      <c r="T74" s="658"/>
      <c r="U74" s="520"/>
      <c r="V74" s="520"/>
      <c r="W74" s="520"/>
      <c r="X74" s="520" t="e">
        <f t="shared" si="44"/>
        <v>#N/A</v>
      </c>
      <c r="Y74" s="658"/>
      <c r="Z74" s="520"/>
      <c r="AA74" s="520"/>
      <c r="AB74" s="520"/>
      <c r="AC74" s="520" t="e">
        <f t="shared" si="46"/>
        <v>#N/A</v>
      </c>
      <c r="AD74" s="658"/>
      <c r="AE74" s="520"/>
      <c r="AF74" s="520"/>
      <c r="AG74" s="520"/>
      <c r="AH74" s="520" t="e">
        <f t="shared" si="48"/>
        <v>#N/A</v>
      </c>
      <c r="AI74" s="658"/>
      <c r="AJ74" s="520"/>
      <c r="AK74" s="520"/>
      <c r="AL74" s="520"/>
      <c r="AM74" s="520" t="e">
        <f t="shared" si="50"/>
        <v>#N/A</v>
      </c>
      <c r="AN74" s="658"/>
      <c r="AO74" s="520"/>
      <c r="AP74" s="520"/>
      <c r="AQ74" s="520"/>
      <c r="AR74" s="520" t="e">
        <f t="shared" si="52"/>
        <v>#N/A</v>
      </c>
      <c r="AS74" s="658"/>
      <c r="AT74" s="520"/>
      <c r="AU74" s="520"/>
      <c r="AV74" s="520"/>
      <c r="AW74" s="520" t="e">
        <f t="shared" si="54"/>
        <v>#N/A</v>
      </c>
      <c r="AX74" s="658"/>
    </row>
    <row r="75" spans="2:50">
      <c r="B75" s="627"/>
      <c r="C75" s="317">
        <v>9</v>
      </c>
      <c r="D75" s="228"/>
      <c r="E75" s="183"/>
      <c r="F75" s="470"/>
      <c r="G75" s="471"/>
      <c r="H75" s="662"/>
      <c r="I75" s="200"/>
      <c r="J75" s="200"/>
      <c r="K75" s="201"/>
      <c r="L75" s="601"/>
      <c r="M75" s="202" t="e">
        <f>RANK(K75, K$67:$K$81)</f>
        <v>#DIV/0!</v>
      </c>
      <c r="N75" s="619"/>
      <c r="O75" s="619"/>
      <c r="P75" s="470"/>
      <c r="Q75" s="470"/>
      <c r="R75" s="470"/>
      <c r="S75" s="349" t="e">
        <f t="shared" si="56"/>
        <v>#N/A</v>
      </c>
      <c r="T75" s="658"/>
      <c r="U75" s="520"/>
      <c r="V75" s="520"/>
      <c r="W75" s="520"/>
      <c r="X75" s="520" t="e">
        <f t="shared" si="44"/>
        <v>#N/A</v>
      </c>
      <c r="Y75" s="658"/>
      <c r="Z75" s="520"/>
      <c r="AA75" s="520"/>
      <c r="AB75" s="520"/>
      <c r="AC75" s="520" t="e">
        <f t="shared" si="46"/>
        <v>#N/A</v>
      </c>
      <c r="AD75" s="658"/>
      <c r="AE75" s="520"/>
      <c r="AF75" s="520"/>
      <c r="AG75" s="520"/>
      <c r="AH75" s="520" t="e">
        <f t="shared" si="48"/>
        <v>#N/A</v>
      </c>
      <c r="AI75" s="658"/>
      <c r="AJ75" s="520"/>
      <c r="AK75" s="520"/>
      <c r="AL75" s="520"/>
      <c r="AM75" s="520" t="e">
        <f t="shared" si="50"/>
        <v>#N/A</v>
      </c>
      <c r="AN75" s="658"/>
      <c r="AO75" s="520"/>
      <c r="AP75" s="520"/>
      <c r="AQ75" s="520"/>
      <c r="AR75" s="520" t="e">
        <f t="shared" si="52"/>
        <v>#N/A</v>
      </c>
      <c r="AS75" s="658"/>
      <c r="AT75" s="520"/>
      <c r="AU75" s="520"/>
      <c r="AV75" s="520"/>
      <c r="AW75" s="520" t="e">
        <f t="shared" si="54"/>
        <v>#N/A</v>
      </c>
      <c r="AX75" s="658"/>
    </row>
    <row r="76" spans="2:50">
      <c r="B76" s="627"/>
      <c r="C76" s="317">
        <v>10</v>
      </c>
      <c r="D76" s="228"/>
      <c r="E76" s="183"/>
      <c r="F76" s="470"/>
      <c r="G76" s="471"/>
      <c r="H76" s="662"/>
      <c r="I76" s="200"/>
      <c r="J76" s="200"/>
      <c r="K76" s="201"/>
      <c r="L76" s="601"/>
      <c r="M76" s="202" t="e">
        <f>RANK(K76, K$67:$K$81)</f>
        <v>#DIV/0!</v>
      </c>
      <c r="N76" s="619"/>
      <c r="O76" s="619"/>
      <c r="P76" s="470"/>
      <c r="Q76" s="470"/>
      <c r="R76" s="470"/>
      <c r="S76" s="349" t="e">
        <f t="shared" si="56"/>
        <v>#N/A</v>
      </c>
      <c r="T76" s="658"/>
      <c r="U76" s="520"/>
      <c r="V76" s="520"/>
      <c r="W76" s="520"/>
      <c r="X76" s="520" t="e">
        <f t="shared" si="44"/>
        <v>#N/A</v>
      </c>
      <c r="Y76" s="658"/>
      <c r="Z76" s="520"/>
      <c r="AA76" s="520"/>
      <c r="AB76" s="520"/>
      <c r="AC76" s="520" t="e">
        <f t="shared" si="46"/>
        <v>#N/A</v>
      </c>
      <c r="AD76" s="658"/>
      <c r="AE76" s="520"/>
      <c r="AF76" s="520"/>
      <c r="AG76" s="520"/>
      <c r="AH76" s="520" t="e">
        <f t="shared" si="48"/>
        <v>#N/A</v>
      </c>
      <c r="AI76" s="658"/>
      <c r="AJ76" s="520"/>
      <c r="AK76" s="520"/>
      <c r="AL76" s="520"/>
      <c r="AM76" s="520" t="e">
        <f t="shared" si="50"/>
        <v>#N/A</v>
      </c>
      <c r="AN76" s="658"/>
      <c r="AO76" s="520"/>
      <c r="AP76" s="520"/>
      <c r="AQ76" s="520"/>
      <c r="AR76" s="520" t="e">
        <f t="shared" si="52"/>
        <v>#N/A</v>
      </c>
      <c r="AS76" s="658"/>
      <c r="AT76" s="520"/>
      <c r="AU76" s="520"/>
      <c r="AV76" s="520"/>
      <c r="AW76" s="520" t="e">
        <f t="shared" si="54"/>
        <v>#N/A</v>
      </c>
      <c r="AX76" s="658"/>
    </row>
    <row r="77" spans="2:50">
      <c r="B77" s="627"/>
      <c r="C77" s="317">
        <v>11</v>
      </c>
      <c r="D77" s="228"/>
      <c r="E77" s="183"/>
      <c r="F77" s="470"/>
      <c r="G77" s="471"/>
      <c r="H77" s="662"/>
      <c r="I77" s="203"/>
      <c r="J77" s="203"/>
      <c r="K77" s="203"/>
      <c r="L77" s="601"/>
      <c r="M77" s="202" t="e">
        <f>RANK(K77, K$67:$K$81)</f>
        <v>#DIV/0!</v>
      </c>
      <c r="N77" s="619"/>
      <c r="O77" s="619"/>
      <c r="P77" s="470"/>
      <c r="Q77" s="470"/>
      <c r="R77" s="470"/>
      <c r="S77" s="349" t="e">
        <f t="shared" si="56"/>
        <v>#N/A</v>
      </c>
      <c r="T77" s="658"/>
      <c r="U77" s="520"/>
      <c r="V77" s="520"/>
      <c r="W77" s="520"/>
      <c r="X77" s="520" t="e">
        <f t="shared" si="44"/>
        <v>#N/A</v>
      </c>
      <c r="Y77" s="658"/>
      <c r="Z77" s="520"/>
      <c r="AA77" s="520"/>
      <c r="AB77" s="520"/>
      <c r="AC77" s="520" t="e">
        <f t="shared" si="46"/>
        <v>#N/A</v>
      </c>
      <c r="AD77" s="658"/>
      <c r="AE77" s="520"/>
      <c r="AF77" s="520"/>
      <c r="AG77" s="520"/>
      <c r="AH77" s="520" t="e">
        <f t="shared" si="48"/>
        <v>#N/A</v>
      </c>
      <c r="AI77" s="658"/>
      <c r="AJ77" s="520"/>
      <c r="AK77" s="520"/>
      <c r="AL77" s="520"/>
      <c r="AM77" s="520" t="e">
        <f t="shared" si="50"/>
        <v>#N/A</v>
      </c>
      <c r="AN77" s="658"/>
      <c r="AO77" s="520"/>
      <c r="AP77" s="520"/>
      <c r="AQ77" s="520"/>
      <c r="AR77" s="520" t="e">
        <f t="shared" si="52"/>
        <v>#N/A</v>
      </c>
      <c r="AS77" s="658"/>
      <c r="AT77" s="520"/>
      <c r="AU77" s="520"/>
      <c r="AV77" s="520"/>
      <c r="AW77" s="520" t="e">
        <f t="shared" si="54"/>
        <v>#N/A</v>
      </c>
      <c r="AX77" s="658"/>
    </row>
    <row r="78" spans="2:50">
      <c r="B78" s="627"/>
      <c r="C78" s="317">
        <v>12</v>
      </c>
      <c r="D78" s="228"/>
      <c r="E78" s="183"/>
      <c r="F78" s="470"/>
      <c r="G78" s="471"/>
      <c r="H78" s="662"/>
      <c r="I78" s="203"/>
      <c r="J78" s="203"/>
      <c r="K78" s="203"/>
      <c r="L78" s="601"/>
      <c r="M78" s="202" t="e">
        <f>RANK(K78, K$67:$K$81)</f>
        <v>#DIV/0!</v>
      </c>
      <c r="N78" s="619"/>
      <c r="O78" s="619"/>
      <c r="P78" s="470"/>
      <c r="Q78" s="470"/>
      <c r="R78" s="470"/>
      <c r="S78" s="349" t="e">
        <f t="shared" si="56"/>
        <v>#N/A</v>
      </c>
      <c r="T78" s="658"/>
      <c r="U78" s="520"/>
      <c r="V78" s="520"/>
      <c r="W78" s="520"/>
      <c r="X78" s="520" t="e">
        <f t="shared" si="44"/>
        <v>#N/A</v>
      </c>
      <c r="Y78" s="658"/>
      <c r="Z78" s="520"/>
      <c r="AA78" s="520"/>
      <c r="AB78" s="520"/>
      <c r="AC78" s="520" t="e">
        <f t="shared" si="46"/>
        <v>#N/A</v>
      </c>
      <c r="AD78" s="658"/>
      <c r="AE78" s="520"/>
      <c r="AF78" s="520"/>
      <c r="AG78" s="520"/>
      <c r="AH78" s="520" t="e">
        <f t="shared" si="48"/>
        <v>#N/A</v>
      </c>
      <c r="AI78" s="658"/>
      <c r="AJ78" s="520"/>
      <c r="AK78" s="520"/>
      <c r="AL78" s="520"/>
      <c r="AM78" s="520" t="e">
        <f t="shared" si="50"/>
        <v>#N/A</v>
      </c>
      <c r="AN78" s="658"/>
      <c r="AO78" s="520"/>
      <c r="AP78" s="520"/>
      <c r="AQ78" s="520"/>
      <c r="AR78" s="520" t="e">
        <f t="shared" si="52"/>
        <v>#N/A</v>
      </c>
      <c r="AS78" s="658"/>
      <c r="AT78" s="520"/>
      <c r="AU78" s="520"/>
      <c r="AV78" s="520"/>
      <c r="AW78" s="520" t="e">
        <f t="shared" si="54"/>
        <v>#N/A</v>
      </c>
      <c r="AX78" s="658"/>
    </row>
    <row r="79" spans="2:50">
      <c r="B79" s="627"/>
      <c r="C79" s="317">
        <v>13</v>
      </c>
      <c r="D79" s="228"/>
      <c r="E79" s="183"/>
      <c r="F79" s="470"/>
      <c r="G79" s="471"/>
      <c r="H79" s="662"/>
      <c r="I79" s="203"/>
      <c r="J79" s="203"/>
      <c r="K79" s="203"/>
      <c r="L79" s="601"/>
      <c r="M79" s="202" t="e">
        <f>RANK(K79, K$67:$K$81)</f>
        <v>#DIV/0!</v>
      </c>
      <c r="N79" s="619"/>
      <c r="O79" s="619"/>
      <c r="P79" s="470"/>
      <c r="Q79" s="470"/>
      <c r="R79" s="470"/>
      <c r="S79" s="349" t="e">
        <f t="shared" si="56"/>
        <v>#N/A</v>
      </c>
      <c r="T79" s="658"/>
      <c r="U79" s="520"/>
      <c r="V79" s="520"/>
      <c r="W79" s="520"/>
      <c r="X79" s="520" t="e">
        <f t="shared" si="44"/>
        <v>#N/A</v>
      </c>
      <c r="Y79" s="658"/>
      <c r="Z79" s="520"/>
      <c r="AA79" s="520"/>
      <c r="AB79" s="520"/>
      <c r="AC79" s="520" t="e">
        <f t="shared" si="46"/>
        <v>#N/A</v>
      </c>
      <c r="AD79" s="658"/>
      <c r="AE79" s="520"/>
      <c r="AF79" s="520"/>
      <c r="AG79" s="520"/>
      <c r="AH79" s="520" t="e">
        <f t="shared" si="48"/>
        <v>#N/A</v>
      </c>
      <c r="AI79" s="658"/>
      <c r="AJ79" s="520"/>
      <c r="AK79" s="520"/>
      <c r="AL79" s="520"/>
      <c r="AM79" s="520" t="e">
        <f t="shared" si="50"/>
        <v>#N/A</v>
      </c>
      <c r="AN79" s="658"/>
      <c r="AO79" s="520"/>
      <c r="AP79" s="520"/>
      <c r="AQ79" s="520"/>
      <c r="AR79" s="520" t="e">
        <f t="shared" si="52"/>
        <v>#N/A</v>
      </c>
      <c r="AS79" s="658"/>
      <c r="AT79" s="520"/>
      <c r="AU79" s="520"/>
      <c r="AV79" s="520"/>
      <c r="AW79" s="520" t="e">
        <f t="shared" si="54"/>
        <v>#N/A</v>
      </c>
      <c r="AX79" s="658"/>
    </row>
    <row r="80" spans="2:50">
      <c r="B80" s="627"/>
      <c r="C80" s="317">
        <v>14</v>
      </c>
      <c r="D80" s="228"/>
      <c r="E80" s="183"/>
      <c r="F80" s="470"/>
      <c r="G80" s="471"/>
      <c r="H80" s="662"/>
      <c r="I80" s="203"/>
      <c r="J80" s="203"/>
      <c r="K80" s="203"/>
      <c r="L80" s="601"/>
      <c r="M80" s="202" t="e">
        <f>RANK(K80, K$67:$K$81)</f>
        <v>#DIV/0!</v>
      </c>
      <c r="N80" s="619"/>
      <c r="O80" s="619"/>
      <c r="P80" s="470"/>
      <c r="Q80" s="470"/>
      <c r="R80" s="470"/>
      <c r="S80" s="349" t="e">
        <f t="shared" si="56"/>
        <v>#N/A</v>
      </c>
      <c r="T80" s="658"/>
      <c r="U80" s="520"/>
      <c r="V80" s="520"/>
      <c r="W80" s="520"/>
      <c r="X80" s="520" t="e">
        <f t="shared" si="44"/>
        <v>#N/A</v>
      </c>
      <c r="Y80" s="658"/>
      <c r="Z80" s="520"/>
      <c r="AA80" s="520"/>
      <c r="AB80" s="520"/>
      <c r="AC80" s="520" t="e">
        <f t="shared" si="46"/>
        <v>#N/A</v>
      </c>
      <c r="AD80" s="658"/>
      <c r="AE80" s="520"/>
      <c r="AF80" s="520"/>
      <c r="AG80" s="520"/>
      <c r="AH80" s="520" t="e">
        <f t="shared" si="48"/>
        <v>#N/A</v>
      </c>
      <c r="AI80" s="658"/>
      <c r="AJ80" s="520"/>
      <c r="AK80" s="520"/>
      <c r="AL80" s="520"/>
      <c r="AM80" s="520" t="e">
        <f t="shared" si="50"/>
        <v>#N/A</v>
      </c>
      <c r="AN80" s="658"/>
      <c r="AO80" s="520"/>
      <c r="AP80" s="520"/>
      <c r="AQ80" s="520"/>
      <c r="AR80" s="520" t="e">
        <f t="shared" si="52"/>
        <v>#N/A</v>
      </c>
      <c r="AS80" s="658"/>
      <c r="AT80" s="520"/>
      <c r="AU80" s="520"/>
      <c r="AV80" s="520"/>
      <c r="AW80" s="520" t="e">
        <f t="shared" si="54"/>
        <v>#N/A</v>
      </c>
      <c r="AX80" s="658"/>
    </row>
    <row r="81" spans="2:50">
      <c r="B81" s="627"/>
      <c r="C81" s="317">
        <v>15</v>
      </c>
      <c r="D81" s="228"/>
      <c r="E81" s="183"/>
      <c r="F81" s="470"/>
      <c r="G81" s="471"/>
      <c r="H81" s="663"/>
      <c r="I81" s="203"/>
      <c r="J81" s="203"/>
      <c r="K81" s="203"/>
      <c r="L81" s="602"/>
      <c r="M81" s="202" t="e">
        <f>RANK(K81, K$67:$K$81)</f>
        <v>#DIV/0!</v>
      </c>
      <c r="N81" s="619"/>
      <c r="O81" s="619"/>
      <c r="P81" s="470"/>
      <c r="Q81" s="470"/>
      <c r="R81" s="470"/>
      <c r="S81" s="349" t="e">
        <f t="shared" si="56"/>
        <v>#N/A</v>
      </c>
      <c r="T81" s="658"/>
      <c r="U81" s="520"/>
      <c r="V81" s="520"/>
      <c r="W81" s="520"/>
      <c r="X81" s="520" t="e">
        <f t="shared" si="44"/>
        <v>#N/A</v>
      </c>
      <c r="Y81" s="658"/>
      <c r="Z81" s="520"/>
      <c r="AA81" s="520"/>
      <c r="AB81" s="520"/>
      <c r="AC81" s="520" t="e">
        <f t="shared" si="46"/>
        <v>#N/A</v>
      </c>
      <c r="AD81" s="658"/>
      <c r="AE81" s="520"/>
      <c r="AF81" s="520"/>
      <c r="AG81" s="520"/>
      <c r="AH81" s="520" t="e">
        <f t="shared" si="48"/>
        <v>#N/A</v>
      </c>
      <c r="AI81" s="658"/>
      <c r="AJ81" s="520"/>
      <c r="AK81" s="520"/>
      <c r="AL81" s="520"/>
      <c r="AM81" s="520" t="e">
        <f t="shared" si="50"/>
        <v>#N/A</v>
      </c>
      <c r="AN81" s="658"/>
      <c r="AO81" s="520"/>
      <c r="AP81" s="520"/>
      <c r="AQ81" s="520"/>
      <c r="AR81" s="520" t="e">
        <f t="shared" si="52"/>
        <v>#N/A</v>
      </c>
      <c r="AS81" s="658"/>
      <c r="AT81" s="520"/>
      <c r="AU81" s="520"/>
      <c r="AV81" s="520"/>
      <c r="AW81" s="520" t="e">
        <f t="shared" si="54"/>
        <v>#N/A</v>
      </c>
      <c r="AX81" s="658"/>
    </row>
    <row r="82" spans="2:50" ht="15.5">
      <c r="B82" s="631" t="s">
        <v>163</v>
      </c>
      <c r="C82" s="632"/>
      <c r="D82" s="632"/>
      <c r="E82" s="632"/>
      <c r="F82" s="632"/>
      <c r="G82" s="632"/>
      <c r="H82" s="633"/>
      <c r="I82" s="209"/>
      <c r="J82" s="209"/>
      <c r="K82" s="209"/>
      <c r="L82" s="209"/>
      <c r="M82" s="208"/>
      <c r="N82" s="620" t="s">
        <v>156</v>
      </c>
      <c r="O82" s="620" t="s">
        <v>105</v>
      </c>
      <c r="P82" s="626">
        <f>P62+7</f>
        <v>46014</v>
      </c>
      <c r="Q82" s="627"/>
      <c r="R82" s="627"/>
      <c r="S82" s="627"/>
      <c r="T82" s="627"/>
      <c r="U82" s="623">
        <f>P82+1</f>
        <v>46015</v>
      </c>
      <c r="V82" s="624"/>
      <c r="W82" s="624"/>
      <c r="X82" s="624"/>
      <c r="Y82" s="625"/>
      <c r="Z82" s="623">
        <f>U82+1</f>
        <v>46016</v>
      </c>
      <c r="AA82" s="624"/>
      <c r="AB82" s="624"/>
      <c r="AC82" s="624"/>
      <c r="AD82" s="625"/>
      <c r="AE82" s="623">
        <f>Z82+1</f>
        <v>46017</v>
      </c>
      <c r="AF82" s="624"/>
      <c r="AG82" s="624"/>
      <c r="AH82" s="624"/>
      <c r="AI82" s="625"/>
      <c r="AJ82" s="623">
        <f>AE82+1</f>
        <v>46018</v>
      </c>
      <c r="AK82" s="624"/>
      <c r="AL82" s="624"/>
      <c r="AM82" s="624"/>
      <c r="AN82" s="625"/>
      <c r="AO82" s="623">
        <f>AJ82+1</f>
        <v>46019</v>
      </c>
      <c r="AP82" s="624"/>
      <c r="AQ82" s="624"/>
      <c r="AR82" s="624"/>
      <c r="AS82" s="625"/>
      <c r="AT82" s="623">
        <f>AO82+1</f>
        <v>46020</v>
      </c>
      <c r="AU82" s="624"/>
      <c r="AV82" s="624"/>
      <c r="AW82" s="624"/>
      <c r="AX82" s="625"/>
    </row>
    <row r="83" spans="2:50" ht="15.5">
      <c r="B83" s="634"/>
      <c r="C83" s="634"/>
      <c r="D83" s="634"/>
      <c r="E83" s="634"/>
      <c r="F83" s="634"/>
      <c r="G83" s="634"/>
      <c r="H83" s="634"/>
      <c r="I83" s="206"/>
      <c r="J83" s="206"/>
      <c r="K83" s="206"/>
      <c r="L83" s="206"/>
      <c r="M83" s="207"/>
      <c r="N83" s="622"/>
      <c r="O83" s="622"/>
      <c r="P83" s="626" t="s">
        <v>336</v>
      </c>
      <c r="Q83" s="627"/>
      <c r="R83" s="627"/>
      <c r="S83" s="627"/>
      <c r="T83" s="627"/>
      <c r="U83" s="626" t="s">
        <v>337</v>
      </c>
      <c r="V83" s="627"/>
      <c r="W83" s="627"/>
      <c r="X83" s="627"/>
      <c r="Y83" s="627"/>
      <c r="Z83" s="626" t="s">
        <v>338</v>
      </c>
      <c r="AA83" s="627"/>
      <c r="AB83" s="627"/>
      <c r="AC83" s="627"/>
      <c r="AD83" s="627"/>
      <c r="AE83" s="626" t="s">
        <v>339</v>
      </c>
      <c r="AF83" s="627"/>
      <c r="AG83" s="627"/>
      <c r="AH83" s="627"/>
      <c r="AI83" s="627"/>
      <c r="AJ83" s="626" t="s">
        <v>340</v>
      </c>
      <c r="AK83" s="627"/>
      <c r="AL83" s="627"/>
      <c r="AM83" s="627"/>
      <c r="AN83" s="627"/>
      <c r="AO83" s="626" t="s">
        <v>341</v>
      </c>
      <c r="AP83" s="627"/>
      <c r="AQ83" s="627"/>
      <c r="AR83" s="627"/>
      <c r="AS83" s="627"/>
      <c r="AT83" s="626" t="s">
        <v>342</v>
      </c>
      <c r="AU83" s="627"/>
      <c r="AV83" s="627"/>
      <c r="AW83" s="627"/>
      <c r="AX83" s="627"/>
    </row>
    <row r="84" spans="2:50">
      <c r="B84" s="619" t="s">
        <v>484</v>
      </c>
      <c r="C84" s="619" t="s">
        <v>485</v>
      </c>
      <c r="D84" s="619"/>
      <c r="E84" s="619" t="s">
        <v>486</v>
      </c>
      <c r="F84" s="619"/>
      <c r="G84" s="619"/>
      <c r="H84" s="635" t="s">
        <v>487</v>
      </c>
      <c r="I84" s="603" t="s">
        <v>488</v>
      </c>
      <c r="J84" s="603"/>
      <c r="K84" s="603"/>
      <c r="L84" s="604" t="s">
        <v>487</v>
      </c>
      <c r="M84" s="610" t="s">
        <v>489</v>
      </c>
      <c r="N84" s="619"/>
      <c r="O84" s="619" t="s">
        <v>490</v>
      </c>
      <c r="P84" s="616" t="s">
        <v>491</v>
      </c>
      <c r="Q84" s="617"/>
      <c r="R84" s="617"/>
      <c r="S84" s="618"/>
      <c r="T84" s="619" t="s">
        <v>487</v>
      </c>
      <c r="U84" s="616" t="s">
        <v>491</v>
      </c>
      <c r="V84" s="617"/>
      <c r="W84" s="617"/>
      <c r="X84" s="618"/>
      <c r="Y84" s="619" t="s">
        <v>487</v>
      </c>
      <c r="Z84" s="616" t="s">
        <v>491</v>
      </c>
      <c r="AA84" s="617"/>
      <c r="AB84" s="617"/>
      <c r="AC84" s="618"/>
      <c r="AD84" s="619" t="s">
        <v>487</v>
      </c>
      <c r="AE84" s="616" t="s">
        <v>491</v>
      </c>
      <c r="AF84" s="617"/>
      <c r="AG84" s="617"/>
      <c r="AH84" s="618"/>
      <c r="AI84" s="619" t="s">
        <v>487</v>
      </c>
      <c r="AJ84" s="616" t="s">
        <v>491</v>
      </c>
      <c r="AK84" s="617"/>
      <c r="AL84" s="617"/>
      <c r="AM84" s="618"/>
      <c r="AN84" s="619" t="s">
        <v>487</v>
      </c>
      <c r="AO84" s="616" t="s">
        <v>491</v>
      </c>
      <c r="AP84" s="617"/>
      <c r="AQ84" s="617"/>
      <c r="AR84" s="618"/>
      <c r="AS84" s="619" t="s">
        <v>487</v>
      </c>
      <c r="AT84" s="616" t="s">
        <v>491</v>
      </c>
      <c r="AU84" s="617"/>
      <c r="AV84" s="617"/>
      <c r="AW84" s="618"/>
      <c r="AX84" s="619" t="s">
        <v>487</v>
      </c>
    </row>
    <row r="85" spans="2:50">
      <c r="B85" s="619"/>
      <c r="C85" s="619"/>
      <c r="D85" s="619"/>
      <c r="E85" s="619" t="s">
        <v>492</v>
      </c>
      <c r="F85" s="619"/>
      <c r="G85" s="619"/>
      <c r="H85" s="636"/>
      <c r="I85" s="603" t="s">
        <v>492</v>
      </c>
      <c r="J85" s="603"/>
      <c r="K85" s="603"/>
      <c r="L85" s="605"/>
      <c r="M85" s="611"/>
      <c r="N85" s="619"/>
      <c r="O85" s="619"/>
      <c r="P85" s="616" t="s">
        <v>493</v>
      </c>
      <c r="Q85" s="617"/>
      <c r="R85" s="617"/>
      <c r="S85" s="618"/>
      <c r="T85" s="619"/>
      <c r="U85" s="616" t="s">
        <v>493</v>
      </c>
      <c r="V85" s="617"/>
      <c r="W85" s="617"/>
      <c r="X85" s="618"/>
      <c r="Y85" s="619"/>
      <c r="Z85" s="616" t="s">
        <v>493</v>
      </c>
      <c r="AA85" s="617"/>
      <c r="AB85" s="617"/>
      <c r="AC85" s="618"/>
      <c r="AD85" s="619"/>
      <c r="AE85" s="616" t="s">
        <v>493</v>
      </c>
      <c r="AF85" s="617"/>
      <c r="AG85" s="617"/>
      <c r="AH85" s="618"/>
      <c r="AI85" s="619"/>
      <c r="AJ85" s="616" t="s">
        <v>493</v>
      </c>
      <c r="AK85" s="617"/>
      <c r="AL85" s="617"/>
      <c r="AM85" s="618"/>
      <c r="AN85" s="619"/>
      <c r="AO85" s="616" t="s">
        <v>493</v>
      </c>
      <c r="AP85" s="617"/>
      <c r="AQ85" s="617"/>
      <c r="AR85" s="618"/>
      <c r="AS85" s="619"/>
      <c r="AT85" s="616" t="s">
        <v>493</v>
      </c>
      <c r="AU85" s="617"/>
      <c r="AV85" s="617"/>
      <c r="AW85" s="618"/>
      <c r="AX85" s="619"/>
    </row>
    <row r="86" spans="2:50">
      <c r="B86" s="619"/>
      <c r="C86" s="619"/>
      <c r="D86" s="619"/>
      <c r="E86" s="307" t="s">
        <v>494</v>
      </c>
      <c r="F86" s="307" t="s">
        <v>495</v>
      </c>
      <c r="G86" s="307" t="s">
        <v>496</v>
      </c>
      <c r="H86" s="637"/>
      <c r="I86" s="308" t="s">
        <v>494</v>
      </c>
      <c r="J86" s="308" t="s">
        <v>495</v>
      </c>
      <c r="K86" s="308" t="s">
        <v>496</v>
      </c>
      <c r="L86" s="606"/>
      <c r="M86" s="612"/>
      <c r="N86" s="619"/>
      <c r="O86" s="619"/>
      <c r="P86" s="307" t="s">
        <v>494</v>
      </c>
      <c r="Q86" s="307" t="s">
        <v>495</v>
      </c>
      <c r="R86" s="307" t="s">
        <v>496</v>
      </c>
      <c r="S86" s="307" t="s">
        <v>489</v>
      </c>
      <c r="T86" s="619"/>
      <c r="U86" s="307" t="s">
        <v>494</v>
      </c>
      <c r="V86" s="307" t="s">
        <v>495</v>
      </c>
      <c r="W86" s="307" t="s">
        <v>496</v>
      </c>
      <c r="X86" s="307" t="s">
        <v>489</v>
      </c>
      <c r="Y86" s="619"/>
      <c r="Z86" s="307" t="s">
        <v>494</v>
      </c>
      <c r="AA86" s="307" t="s">
        <v>495</v>
      </c>
      <c r="AB86" s="307" t="s">
        <v>496</v>
      </c>
      <c r="AC86" s="307" t="s">
        <v>489</v>
      </c>
      <c r="AD86" s="619"/>
      <c r="AE86" s="307" t="s">
        <v>494</v>
      </c>
      <c r="AF86" s="307" t="s">
        <v>495</v>
      </c>
      <c r="AG86" s="307" t="s">
        <v>496</v>
      </c>
      <c r="AH86" s="307" t="s">
        <v>489</v>
      </c>
      <c r="AI86" s="619"/>
      <c r="AJ86" s="307" t="s">
        <v>494</v>
      </c>
      <c r="AK86" s="307" t="s">
        <v>495</v>
      </c>
      <c r="AL86" s="307" t="s">
        <v>496</v>
      </c>
      <c r="AM86" s="307" t="s">
        <v>489</v>
      </c>
      <c r="AN86" s="619"/>
      <c r="AO86" s="307" t="s">
        <v>494</v>
      </c>
      <c r="AP86" s="307" t="s">
        <v>495</v>
      </c>
      <c r="AQ86" s="307" t="s">
        <v>496</v>
      </c>
      <c r="AR86" s="307" t="s">
        <v>489</v>
      </c>
      <c r="AS86" s="619"/>
      <c r="AT86" s="307" t="s">
        <v>494</v>
      </c>
      <c r="AU86" s="307" t="s">
        <v>495</v>
      </c>
      <c r="AV86" s="307" t="s">
        <v>496</v>
      </c>
      <c r="AW86" s="307" t="s">
        <v>489</v>
      </c>
      <c r="AX86" s="619"/>
    </row>
    <row r="87" spans="2:50">
      <c r="B87" s="619" t="s">
        <v>499</v>
      </c>
      <c r="C87" s="306">
        <v>1</v>
      </c>
      <c r="D87" s="228"/>
      <c r="E87" s="183"/>
      <c r="F87" s="470"/>
      <c r="G87" s="471"/>
      <c r="H87" s="661" t="e">
        <f>AVERAGE(G87:G101)</f>
        <v>#DIV/0!</v>
      </c>
      <c r="I87" s="200" t="e">
        <f t="shared" ref="I87:K88" si="57">AVERAGE(P87,U87,Z87,AE87,AJ87,AO87,AT87)</f>
        <v>#DIV/0!</v>
      </c>
      <c r="J87" s="200" t="e">
        <f t="shared" si="57"/>
        <v>#DIV/0!</v>
      </c>
      <c r="K87" s="201" t="e">
        <f t="shared" si="57"/>
        <v>#DIV/0!</v>
      </c>
      <c r="L87" s="600" t="str">
        <f>IFERROR(AVERAGE(K87:K101),"-")</f>
        <v>-</v>
      </c>
      <c r="M87" s="202" t="e">
        <f>RANK(K87, K$87:$K$101)</f>
        <v>#DIV/0!</v>
      </c>
      <c r="N87" s="619"/>
      <c r="O87" s="619"/>
      <c r="P87" s="183"/>
      <c r="Q87" s="183"/>
      <c r="R87" s="471"/>
      <c r="S87" s="306" t="e">
        <f>RANK(R87, R$87:R$101)</f>
        <v>#N/A</v>
      </c>
      <c r="T87" s="658" t="e">
        <f>AVERAGE(R87:R101)</f>
        <v>#DIV/0!</v>
      </c>
      <c r="U87" s="183"/>
      <c r="V87" s="183"/>
      <c r="W87" s="521"/>
      <c r="X87" s="520" t="e">
        <f t="shared" ref="X87:X101" si="58">RANK(W87, W$87:W$101)</f>
        <v>#N/A</v>
      </c>
      <c r="Y87" s="658" t="e">
        <f t="shared" ref="Y87" si="59">AVERAGE(W87:W101)</f>
        <v>#DIV/0!</v>
      </c>
      <c r="Z87" s="183"/>
      <c r="AA87" s="183"/>
      <c r="AB87" s="521"/>
      <c r="AC87" s="520" t="e">
        <f t="shared" ref="AC87:AC101" si="60">RANK(AB87, AB$87:AB$101)</f>
        <v>#N/A</v>
      </c>
      <c r="AD87" s="658" t="e">
        <f t="shared" ref="AD87" si="61">AVERAGE(AB87:AB101)</f>
        <v>#DIV/0!</v>
      </c>
      <c r="AE87" s="183"/>
      <c r="AF87" s="183"/>
      <c r="AG87" s="521"/>
      <c r="AH87" s="520" t="e">
        <f t="shared" ref="AH87:AH101" si="62">RANK(AG87, AG$87:AG$101)</f>
        <v>#N/A</v>
      </c>
      <c r="AI87" s="658" t="e">
        <f t="shared" ref="AI87" si="63">AVERAGE(AG87:AG101)</f>
        <v>#DIV/0!</v>
      </c>
      <c r="AJ87" s="183"/>
      <c r="AK87" s="183"/>
      <c r="AL87" s="521"/>
      <c r="AM87" s="520" t="e">
        <f t="shared" ref="AM87:AM101" si="64">RANK(AL87, AL$87:AL$101)</f>
        <v>#N/A</v>
      </c>
      <c r="AN87" s="658" t="e">
        <f t="shared" ref="AN87" si="65">AVERAGE(AL87:AL101)</f>
        <v>#DIV/0!</v>
      </c>
      <c r="AO87" s="183"/>
      <c r="AP87" s="183"/>
      <c r="AQ87" s="521"/>
      <c r="AR87" s="520" t="e">
        <f t="shared" ref="AR87:AR101" si="66">RANK(AQ87, AQ$87:AQ$101)</f>
        <v>#N/A</v>
      </c>
      <c r="AS87" s="658" t="e">
        <f t="shared" ref="AS87" si="67">AVERAGE(AQ87:AQ101)</f>
        <v>#DIV/0!</v>
      </c>
      <c r="AT87" s="183"/>
      <c r="AU87" s="183"/>
      <c r="AV87" s="521"/>
      <c r="AW87" s="520" t="e">
        <f t="shared" ref="AW87:AW101" si="68">RANK(AV87, AV$87:AV$101)</f>
        <v>#N/A</v>
      </c>
      <c r="AX87" s="658" t="e">
        <f t="shared" ref="AX87" si="69">AVERAGE(AV87:AV101)</f>
        <v>#DIV/0!</v>
      </c>
    </row>
    <row r="88" spans="2:50">
      <c r="B88" s="627"/>
      <c r="C88" s="306">
        <v>2</v>
      </c>
      <c r="D88" s="228"/>
      <c r="E88" s="183"/>
      <c r="F88" s="470"/>
      <c r="G88" s="471"/>
      <c r="H88" s="662"/>
      <c r="I88" s="469" t="e">
        <f t="shared" si="57"/>
        <v>#DIV/0!</v>
      </c>
      <c r="J88" s="469" t="e">
        <f t="shared" si="57"/>
        <v>#DIV/0!</v>
      </c>
      <c r="K88" s="201" t="e">
        <f t="shared" si="57"/>
        <v>#DIV/0!</v>
      </c>
      <c r="L88" s="601"/>
      <c r="M88" s="202" t="e">
        <f>RANK(K88, K$87:$K$101)</f>
        <v>#DIV/0!</v>
      </c>
      <c r="N88" s="619"/>
      <c r="O88" s="619"/>
      <c r="P88" s="470"/>
      <c r="Q88" s="183"/>
      <c r="R88" s="471"/>
      <c r="S88" s="306" t="e">
        <f t="shared" ref="S88:S101" si="70">RANK(R88, R$87:R$101)</f>
        <v>#N/A</v>
      </c>
      <c r="T88" s="658"/>
      <c r="U88" s="520"/>
      <c r="V88" s="183"/>
      <c r="W88" s="521"/>
      <c r="X88" s="520" t="e">
        <f t="shared" si="58"/>
        <v>#N/A</v>
      </c>
      <c r="Y88" s="658"/>
      <c r="Z88" s="520"/>
      <c r="AA88" s="183"/>
      <c r="AB88" s="521"/>
      <c r="AC88" s="520" t="e">
        <f t="shared" si="60"/>
        <v>#N/A</v>
      </c>
      <c r="AD88" s="658"/>
      <c r="AE88" s="520"/>
      <c r="AF88" s="183"/>
      <c r="AG88" s="521"/>
      <c r="AH88" s="520" t="e">
        <f t="shared" si="62"/>
        <v>#N/A</v>
      </c>
      <c r="AI88" s="658"/>
      <c r="AJ88" s="520"/>
      <c r="AK88" s="183"/>
      <c r="AL88" s="521"/>
      <c r="AM88" s="520" t="e">
        <f t="shared" si="64"/>
        <v>#N/A</v>
      </c>
      <c r="AN88" s="658"/>
      <c r="AO88" s="520"/>
      <c r="AP88" s="183"/>
      <c r="AQ88" s="521"/>
      <c r="AR88" s="520" t="e">
        <f t="shared" si="66"/>
        <v>#N/A</v>
      </c>
      <c r="AS88" s="658"/>
      <c r="AT88" s="520"/>
      <c r="AU88" s="183"/>
      <c r="AV88" s="521"/>
      <c r="AW88" s="520" t="e">
        <f t="shared" si="68"/>
        <v>#N/A</v>
      </c>
      <c r="AX88" s="658"/>
    </row>
    <row r="89" spans="2:50">
      <c r="B89" s="627"/>
      <c r="C89" s="306">
        <v>3</v>
      </c>
      <c r="D89" s="228"/>
      <c r="E89" s="183"/>
      <c r="F89" s="470"/>
      <c r="G89" s="471"/>
      <c r="H89" s="662"/>
      <c r="I89" s="200"/>
      <c r="J89" s="200"/>
      <c r="K89" s="201"/>
      <c r="L89" s="601"/>
      <c r="M89" s="202" t="e">
        <f>RANK(K89, K$87:$K$101)</f>
        <v>#DIV/0!</v>
      </c>
      <c r="N89" s="619"/>
      <c r="O89" s="619"/>
      <c r="P89" s="470"/>
      <c r="Q89" s="470"/>
      <c r="R89" s="470"/>
      <c r="S89" s="306" t="e">
        <f t="shared" si="70"/>
        <v>#N/A</v>
      </c>
      <c r="T89" s="658"/>
      <c r="U89" s="520"/>
      <c r="V89" s="520"/>
      <c r="W89" s="520"/>
      <c r="X89" s="520" t="e">
        <f t="shared" si="58"/>
        <v>#N/A</v>
      </c>
      <c r="Y89" s="658"/>
      <c r="Z89" s="520"/>
      <c r="AA89" s="520"/>
      <c r="AB89" s="520"/>
      <c r="AC89" s="520" t="e">
        <f t="shared" si="60"/>
        <v>#N/A</v>
      </c>
      <c r="AD89" s="658"/>
      <c r="AE89" s="520"/>
      <c r="AF89" s="520"/>
      <c r="AG89" s="520"/>
      <c r="AH89" s="520" t="e">
        <f t="shared" si="62"/>
        <v>#N/A</v>
      </c>
      <c r="AI89" s="658"/>
      <c r="AJ89" s="520"/>
      <c r="AK89" s="520"/>
      <c r="AL89" s="520"/>
      <c r="AM89" s="520" t="e">
        <f t="shared" si="64"/>
        <v>#N/A</v>
      </c>
      <c r="AN89" s="658"/>
      <c r="AO89" s="520"/>
      <c r="AP89" s="520"/>
      <c r="AQ89" s="520"/>
      <c r="AR89" s="520" t="e">
        <f t="shared" si="66"/>
        <v>#N/A</v>
      </c>
      <c r="AS89" s="658"/>
      <c r="AT89" s="520"/>
      <c r="AU89" s="520"/>
      <c r="AV89" s="520"/>
      <c r="AW89" s="520" t="e">
        <f t="shared" si="68"/>
        <v>#N/A</v>
      </c>
      <c r="AX89" s="658"/>
    </row>
    <row r="90" spans="2:50">
      <c r="B90" s="627"/>
      <c r="C90" s="306">
        <v>4</v>
      </c>
      <c r="D90" s="228"/>
      <c r="E90" s="183"/>
      <c r="F90" s="470"/>
      <c r="G90" s="471"/>
      <c r="H90" s="662"/>
      <c r="I90" s="200"/>
      <c r="J90" s="200"/>
      <c r="K90" s="201"/>
      <c r="L90" s="601"/>
      <c r="M90" s="202" t="e">
        <f>RANK(K90, K$87:$K$101)</f>
        <v>#DIV/0!</v>
      </c>
      <c r="N90" s="619"/>
      <c r="O90" s="619"/>
      <c r="P90" s="470"/>
      <c r="Q90" s="470"/>
      <c r="R90" s="470"/>
      <c r="S90" s="306" t="e">
        <f t="shared" si="70"/>
        <v>#N/A</v>
      </c>
      <c r="T90" s="658"/>
      <c r="U90" s="520"/>
      <c r="V90" s="520"/>
      <c r="W90" s="520"/>
      <c r="X90" s="520" t="e">
        <f t="shared" si="58"/>
        <v>#N/A</v>
      </c>
      <c r="Y90" s="658"/>
      <c r="Z90" s="520"/>
      <c r="AA90" s="520"/>
      <c r="AB90" s="520"/>
      <c r="AC90" s="520" t="e">
        <f t="shared" si="60"/>
        <v>#N/A</v>
      </c>
      <c r="AD90" s="658"/>
      <c r="AE90" s="520"/>
      <c r="AF90" s="520"/>
      <c r="AG90" s="520"/>
      <c r="AH90" s="520" t="e">
        <f t="shared" si="62"/>
        <v>#N/A</v>
      </c>
      <c r="AI90" s="658"/>
      <c r="AJ90" s="520"/>
      <c r="AK90" s="520"/>
      <c r="AL90" s="520"/>
      <c r="AM90" s="520" t="e">
        <f t="shared" si="64"/>
        <v>#N/A</v>
      </c>
      <c r="AN90" s="658"/>
      <c r="AO90" s="520"/>
      <c r="AP90" s="520"/>
      <c r="AQ90" s="520"/>
      <c r="AR90" s="520" t="e">
        <f t="shared" si="66"/>
        <v>#N/A</v>
      </c>
      <c r="AS90" s="658"/>
      <c r="AT90" s="520"/>
      <c r="AU90" s="520"/>
      <c r="AV90" s="520"/>
      <c r="AW90" s="520" t="e">
        <f t="shared" si="68"/>
        <v>#N/A</v>
      </c>
      <c r="AX90" s="658"/>
    </row>
    <row r="91" spans="2:50">
      <c r="B91" s="627"/>
      <c r="C91" s="306">
        <v>5</v>
      </c>
      <c r="D91" s="228"/>
      <c r="E91" s="183"/>
      <c r="F91" s="470"/>
      <c r="G91" s="471"/>
      <c r="H91" s="662"/>
      <c r="I91" s="200"/>
      <c r="J91" s="200"/>
      <c r="K91" s="201"/>
      <c r="L91" s="601"/>
      <c r="M91" s="202" t="e">
        <f>RANK(K91, K$87:$K$101)</f>
        <v>#DIV/0!</v>
      </c>
      <c r="N91" s="619"/>
      <c r="O91" s="619"/>
      <c r="P91" s="470"/>
      <c r="Q91" s="470"/>
      <c r="R91" s="470"/>
      <c r="S91" s="306" t="e">
        <f t="shared" si="70"/>
        <v>#N/A</v>
      </c>
      <c r="T91" s="658"/>
      <c r="U91" s="520"/>
      <c r="V91" s="520"/>
      <c r="W91" s="520"/>
      <c r="X91" s="520" t="e">
        <f t="shared" si="58"/>
        <v>#N/A</v>
      </c>
      <c r="Y91" s="658"/>
      <c r="Z91" s="520"/>
      <c r="AA91" s="520"/>
      <c r="AB91" s="520"/>
      <c r="AC91" s="520" t="e">
        <f t="shared" si="60"/>
        <v>#N/A</v>
      </c>
      <c r="AD91" s="658"/>
      <c r="AE91" s="520"/>
      <c r="AF91" s="520"/>
      <c r="AG91" s="520"/>
      <c r="AH91" s="520" t="e">
        <f t="shared" si="62"/>
        <v>#N/A</v>
      </c>
      <c r="AI91" s="658"/>
      <c r="AJ91" s="520"/>
      <c r="AK91" s="520"/>
      <c r="AL91" s="520"/>
      <c r="AM91" s="520" t="e">
        <f t="shared" si="64"/>
        <v>#N/A</v>
      </c>
      <c r="AN91" s="658"/>
      <c r="AO91" s="520"/>
      <c r="AP91" s="520"/>
      <c r="AQ91" s="520"/>
      <c r="AR91" s="520" t="e">
        <f t="shared" si="66"/>
        <v>#N/A</v>
      </c>
      <c r="AS91" s="658"/>
      <c r="AT91" s="520"/>
      <c r="AU91" s="520"/>
      <c r="AV91" s="520"/>
      <c r="AW91" s="520" t="e">
        <f t="shared" si="68"/>
        <v>#N/A</v>
      </c>
      <c r="AX91" s="658"/>
    </row>
    <row r="92" spans="2:50">
      <c r="B92" s="627"/>
      <c r="C92" s="306">
        <v>6</v>
      </c>
      <c r="D92" s="228"/>
      <c r="E92" s="183"/>
      <c r="F92" s="470"/>
      <c r="G92" s="471"/>
      <c r="H92" s="662"/>
      <c r="I92" s="200"/>
      <c r="J92" s="200"/>
      <c r="K92" s="201"/>
      <c r="L92" s="601"/>
      <c r="M92" s="202" t="e">
        <f>RANK(K92, K$87:$K$101)</f>
        <v>#DIV/0!</v>
      </c>
      <c r="N92" s="619"/>
      <c r="O92" s="619"/>
      <c r="P92" s="470"/>
      <c r="Q92" s="470"/>
      <c r="R92" s="470"/>
      <c r="S92" s="306" t="e">
        <f t="shared" si="70"/>
        <v>#N/A</v>
      </c>
      <c r="T92" s="658"/>
      <c r="U92" s="520"/>
      <c r="V92" s="520"/>
      <c r="W92" s="520"/>
      <c r="X92" s="520" t="e">
        <f t="shared" si="58"/>
        <v>#N/A</v>
      </c>
      <c r="Y92" s="658"/>
      <c r="Z92" s="520"/>
      <c r="AA92" s="520"/>
      <c r="AB92" s="520"/>
      <c r="AC92" s="520" t="e">
        <f t="shared" si="60"/>
        <v>#N/A</v>
      </c>
      <c r="AD92" s="658"/>
      <c r="AE92" s="520"/>
      <c r="AF92" s="520"/>
      <c r="AG92" s="520"/>
      <c r="AH92" s="520" t="e">
        <f t="shared" si="62"/>
        <v>#N/A</v>
      </c>
      <c r="AI92" s="658"/>
      <c r="AJ92" s="520"/>
      <c r="AK92" s="520"/>
      <c r="AL92" s="520"/>
      <c r="AM92" s="520" t="e">
        <f t="shared" si="64"/>
        <v>#N/A</v>
      </c>
      <c r="AN92" s="658"/>
      <c r="AO92" s="520"/>
      <c r="AP92" s="520"/>
      <c r="AQ92" s="520"/>
      <c r="AR92" s="520" t="e">
        <f t="shared" si="66"/>
        <v>#N/A</v>
      </c>
      <c r="AS92" s="658"/>
      <c r="AT92" s="520"/>
      <c r="AU92" s="520"/>
      <c r="AV92" s="520"/>
      <c r="AW92" s="520" t="e">
        <f t="shared" si="68"/>
        <v>#N/A</v>
      </c>
      <c r="AX92" s="658"/>
    </row>
    <row r="93" spans="2:50">
      <c r="B93" s="627"/>
      <c r="C93" s="306">
        <v>7</v>
      </c>
      <c r="D93" s="228"/>
      <c r="E93" s="183"/>
      <c r="F93" s="470"/>
      <c r="G93" s="471"/>
      <c r="H93" s="662"/>
      <c r="I93" s="200"/>
      <c r="J93" s="200"/>
      <c r="K93" s="201"/>
      <c r="L93" s="601"/>
      <c r="M93" s="202" t="e">
        <f>RANK(K93, K$87:$K$101)</f>
        <v>#DIV/0!</v>
      </c>
      <c r="N93" s="619"/>
      <c r="O93" s="619"/>
      <c r="P93" s="470"/>
      <c r="Q93" s="470"/>
      <c r="R93" s="470"/>
      <c r="S93" s="306" t="e">
        <f t="shared" si="70"/>
        <v>#N/A</v>
      </c>
      <c r="T93" s="658"/>
      <c r="U93" s="520"/>
      <c r="V93" s="520"/>
      <c r="W93" s="520"/>
      <c r="X93" s="520" t="e">
        <f t="shared" si="58"/>
        <v>#N/A</v>
      </c>
      <c r="Y93" s="658"/>
      <c r="Z93" s="520"/>
      <c r="AA93" s="520"/>
      <c r="AB93" s="520"/>
      <c r="AC93" s="520" t="e">
        <f t="shared" si="60"/>
        <v>#N/A</v>
      </c>
      <c r="AD93" s="658"/>
      <c r="AE93" s="520"/>
      <c r="AF93" s="520"/>
      <c r="AG93" s="520"/>
      <c r="AH93" s="520" t="e">
        <f t="shared" si="62"/>
        <v>#N/A</v>
      </c>
      <c r="AI93" s="658"/>
      <c r="AJ93" s="520"/>
      <c r="AK93" s="520"/>
      <c r="AL93" s="520"/>
      <c r="AM93" s="520" t="e">
        <f t="shared" si="64"/>
        <v>#N/A</v>
      </c>
      <c r="AN93" s="658"/>
      <c r="AO93" s="520"/>
      <c r="AP93" s="520"/>
      <c r="AQ93" s="520"/>
      <c r="AR93" s="520" t="e">
        <f t="shared" si="66"/>
        <v>#N/A</v>
      </c>
      <c r="AS93" s="658"/>
      <c r="AT93" s="520"/>
      <c r="AU93" s="520"/>
      <c r="AV93" s="520"/>
      <c r="AW93" s="520" t="e">
        <f t="shared" si="68"/>
        <v>#N/A</v>
      </c>
      <c r="AX93" s="658"/>
    </row>
    <row r="94" spans="2:50">
      <c r="B94" s="627"/>
      <c r="C94" s="306">
        <v>8</v>
      </c>
      <c r="D94" s="228"/>
      <c r="E94" s="183"/>
      <c r="F94" s="470"/>
      <c r="G94" s="471"/>
      <c r="H94" s="662"/>
      <c r="I94" s="200"/>
      <c r="J94" s="200"/>
      <c r="K94" s="201"/>
      <c r="L94" s="601"/>
      <c r="M94" s="202" t="e">
        <f>RANK(K94, K$87:$K$101)</f>
        <v>#DIV/0!</v>
      </c>
      <c r="N94" s="619"/>
      <c r="O94" s="619"/>
      <c r="P94" s="470"/>
      <c r="Q94" s="470"/>
      <c r="R94" s="470"/>
      <c r="S94" s="306" t="e">
        <f t="shared" si="70"/>
        <v>#N/A</v>
      </c>
      <c r="T94" s="658"/>
      <c r="U94" s="520"/>
      <c r="V94" s="520"/>
      <c r="W94" s="520"/>
      <c r="X94" s="520" t="e">
        <f t="shared" si="58"/>
        <v>#N/A</v>
      </c>
      <c r="Y94" s="658"/>
      <c r="Z94" s="520"/>
      <c r="AA94" s="520"/>
      <c r="AB94" s="520"/>
      <c r="AC94" s="520" t="e">
        <f t="shared" si="60"/>
        <v>#N/A</v>
      </c>
      <c r="AD94" s="658"/>
      <c r="AE94" s="520"/>
      <c r="AF94" s="520"/>
      <c r="AG94" s="520"/>
      <c r="AH94" s="520" t="e">
        <f t="shared" si="62"/>
        <v>#N/A</v>
      </c>
      <c r="AI94" s="658"/>
      <c r="AJ94" s="520"/>
      <c r="AK94" s="520"/>
      <c r="AL94" s="520"/>
      <c r="AM94" s="520" t="e">
        <f t="shared" si="64"/>
        <v>#N/A</v>
      </c>
      <c r="AN94" s="658"/>
      <c r="AO94" s="520"/>
      <c r="AP94" s="520"/>
      <c r="AQ94" s="520"/>
      <c r="AR94" s="520" t="e">
        <f t="shared" si="66"/>
        <v>#N/A</v>
      </c>
      <c r="AS94" s="658"/>
      <c r="AT94" s="520"/>
      <c r="AU94" s="520"/>
      <c r="AV94" s="520"/>
      <c r="AW94" s="520" t="e">
        <f t="shared" si="68"/>
        <v>#N/A</v>
      </c>
      <c r="AX94" s="658"/>
    </row>
    <row r="95" spans="2:50">
      <c r="B95" s="627"/>
      <c r="C95" s="306">
        <v>9</v>
      </c>
      <c r="D95" s="228"/>
      <c r="E95" s="183"/>
      <c r="F95" s="470"/>
      <c r="G95" s="471"/>
      <c r="H95" s="662"/>
      <c r="I95" s="200"/>
      <c r="J95" s="200"/>
      <c r="K95" s="201"/>
      <c r="L95" s="601"/>
      <c r="M95" s="202" t="e">
        <f>RANK(K95, K$87:$K$101)</f>
        <v>#DIV/0!</v>
      </c>
      <c r="N95" s="619"/>
      <c r="O95" s="619"/>
      <c r="P95" s="470"/>
      <c r="Q95" s="470"/>
      <c r="R95" s="470"/>
      <c r="S95" s="306" t="e">
        <f t="shared" si="70"/>
        <v>#N/A</v>
      </c>
      <c r="T95" s="658"/>
      <c r="U95" s="520"/>
      <c r="V95" s="520"/>
      <c r="W95" s="520"/>
      <c r="X95" s="520" t="e">
        <f t="shared" si="58"/>
        <v>#N/A</v>
      </c>
      <c r="Y95" s="658"/>
      <c r="Z95" s="520"/>
      <c r="AA95" s="520"/>
      <c r="AB95" s="520"/>
      <c r="AC95" s="520" t="e">
        <f t="shared" si="60"/>
        <v>#N/A</v>
      </c>
      <c r="AD95" s="658"/>
      <c r="AE95" s="520"/>
      <c r="AF95" s="520"/>
      <c r="AG95" s="520"/>
      <c r="AH95" s="520" t="e">
        <f t="shared" si="62"/>
        <v>#N/A</v>
      </c>
      <c r="AI95" s="658"/>
      <c r="AJ95" s="520"/>
      <c r="AK95" s="520"/>
      <c r="AL95" s="520"/>
      <c r="AM95" s="520" t="e">
        <f t="shared" si="64"/>
        <v>#N/A</v>
      </c>
      <c r="AN95" s="658"/>
      <c r="AO95" s="520"/>
      <c r="AP95" s="520"/>
      <c r="AQ95" s="520"/>
      <c r="AR95" s="520" t="e">
        <f t="shared" si="66"/>
        <v>#N/A</v>
      </c>
      <c r="AS95" s="658"/>
      <c r="AT95" s="520"/>
      <c r="AU95" s="520"/>
      <c r="AV95" s="520"/>
      <c r="AW95" s="520" t="e">
        <f t="shared" si="68"/>
        <v>#N/A</v>
      </c>
      <c r="AX95" s="658"/>
    </row>
    <row r="96" spans="2:50">
      <c r="B96" s="627"/>
      <c r="C96" s="306">
        <v>10</v>
      </c>
      <c r="D96" s="228"/>
      <c r="E96" s="183"/>
      <c r="F96" s="470"/>
      <c r="G96" s="471"/>
      <c r="H96" s="662"/>
      <c r="I96" s="200"/>
      <c r="J96" s="200"/>
      <c r="K96" s="201"/>
      <c r="L96" s="601"/>
      <c r="M96" s="202" t="e">
        <f>RANK(K96, K$87:$K$101)</f>
        <v>#DIV/0!</v>
      </c>
      <c r="N96" s="619"/>
      <c r="O96" s="619"/>
      <c r="P96" s="470"/>
      <c r="Q96" s="470"/>
      <c r="R96" s="470"/>
      <c r="S96" s="306" t="e">
        <f t="shared" si="70"/>
        <v>#N/A</v>
      </c>
      <c r="T96" s="658"/>
      <c r="U96" s="520"/>
      <c r="V96" s="520"/>
      <c r="W96" s="520"/>
      <c r="X96" s="520" t="e">
        <f t="shared" si="58"/>
        <v>#N/A</v>
      </c>
      <c r="Y96" s="658"/>
      <c r="Z96" s="520"/>
      <c r="AA96" s="520"/>
      <c r="AB96" s="520"/>
      <c r="AC96" s="520" t="e">
        <f t="shared" si="60"/>
        <v>#N/A</v>
      </c>
      <c r="AD96" s="658"/>
      <c r="AE96" s="520"/>
      <c r="AF96" s="520"/>
      <c r="AG96" s="520"/>
      <c r="AH96" s="520" t="e">
        <f t="shared" si="62"/>
        <v>#N/A</v>
      </c>
      <c r="AI96" s="658"/>
      <c r="AJ96" s="520"/>
      <c r="AK96" s="520"/>
      <c r="AL96" s="520"/>
      <c r="AM96" s="520" t="e">
        <f t="shared" si="64"/>
        <v>#N/A</v>
      </c>
      <c r="AN96" s="658"/>
      <c r="AO96" s="520"/>
      <c r="AP96" s="520"/>
      <c r="AQ96" s="520"/>
      <c r="AR96" s="520" t="e">
        <f t="shared" si="66"/>
        <v>#N/A</v>
      </c>
      <c r="AS96" s="658"/>
      <c r="AT96" s="520"/>
      <c r="AU96" s="520"/>
      <c r="AV96" s="520"/>
      <c r="AW96" s="520" t="e">
        <f t="shared" si="68"/>
        <v>#N/A</v>
      </c>
      <c r="AX96" s="658"/>
    </row>
    <row r="97" spans="2:50">
      <c r="B97" s="627"/>
      <c r="C97" s="306">
        <v>11</v>
      </c>
      <c r="D97" s="228"/>
      <c r="E97" s="183"/>
      <c r="F97" s="470"/>
      <c r="G97" s="471"/>
      <c r="H97" s="662"/>
      <c r="I97" s="203"/>
      <c r="J97" s="203"/>
      <c r="K97" s="203"/>
      <c r="L97" s="601"/>
      <c r="M97" s="202" t="e">
        <f>RANK(K97, K$87:$K$101)</f>
        <v>#DIV/0!</v>
      </c>
      <c r="N97" s="619"/>
      <c r="O97" s="619"/>
      <c r="P97" s="470"/>
      <c r="Q97" s="470"/>
      <c r="R97" s="470"/>
      <c r="S97" s="306" t="e">
        <f t="shared" si="70"/>
        <v>#N/A</v>
      </c>
      <c r="T97" s="658"/>
      <c r="U97" s="520"/>
      <c r="V97" s="520"/>
      <c r="W97" s="520"/>
      <c r="X97" s="520" t="e">
        <f t="shared" si="58"/>
        <v>#N/A</v>
      </c>
      <c r="Y97" s="658"/>
      <c r="Z97" s="520"/>
      <c r="AA97" s="520"/>
      <c r="AB97" s="520"/>
      <c r="AC97" s="520" t="e">
        <f t="shared" si="60"/>
        <v>#N/A</v>
      </c>
      <c r="AD97" s="658"/>
      <c r="AE97" s="520"/>
      <c r="AF97" s="520"/>
      <c r="AG97" s="520"/>
      <c r="AH97" s="520" t="e">
        <f t="shared" si="62"/>
        <v>#N/A</v>
      </c>
      <c r="AI97" s="658"/>
      <c r="AJ97" s="520"/>
      <c r="AK97" s="520"/>
      <c r="AL97" s="520"/>
      <c r="AM97" s="520" t="e">
        <f t="shared" si="64"/>
        <v>#N/A</v>
      </c>
      <c r="AN97" s="658"/>
      <c r="AO97" s="520"/>
      <c r="AP97" s="520"/>
      <c r="AQ97" s="520"/>
      <c r="AR97" s="520" t="e">
        <f t="shared" si="66"/>
        <v>#N/A</v>
      </c>
      <c r="AS97" s="658"/>
      <c r="AT97" s="520"/>
      <c r="AU97" s="520"/>
      <c r="AV97" s="520"/>
      <c r="AW97" s="520" t="e">
        <f t="shared" si="68"/>
        <v>#N/A</v>
      </c>
      <c r="AX97" s="658"/>
    </row>
    <row r="98" spans="2:50">
      <c r="B98" s="627"/>
      <c r="C98" s="306">
        <v>12</v>
      </c>
      <c r="D98" s="228"/>
      <c r="E98" s="183"/>
      <c r="F98" s="470"/>
      <c r="G98" s="471"/>
      <c r="H98" s="662"/>
      <c r="I98" s="203"/>
      <c r="J98" s="203"/>
      <c r="K98" s="203"/>
      <c r="L98" s="601"/>
      <c r="M98" s="202" t="e">
        <f>RANK(K98, K$87:$K$101)</f>
        <v>#DIV/0!</v>
      </c>
      <c r="N98" s="619"/>
      <c r="O98" s="619"/>
      <c r="P98" s="470"/>
      <c r="Q98" s="470"/>
      <c r="R98" s="470"/>
      <c r="S98" s="306" t="e">
        <f t="shared" si="70"/>
        <v>#N/A</v>
      </c>
      <c r="T98" s="658"/>
      <c r="U98" s="520"/>
      <c r="V98" s="520"/>
      <c r="W98" s="520"/>
      <c r="X98" s="520" t="e">
        <f t="shared" si="58"/>
        <v>#N/A</v>
      </c>
      <c r="Y98" s="658"/>
      <c r="Z98" s="520"/>
      <c r="AA98" s="520"/>
      <c r="AB98" s="520"/>
      <c r="AC98" s="520" t="e">
        <f t="shared" si="60"/>
        <v>#N/A</v>
      </c>
      <c r="AD98" s="658"/>
      <c r="AE98" s="520"/>
      <c r="AF98" s="520"/>
      <c r="AG98" s="520"/>
      <c r="AH98" s="520" t="e">
        <f t="shared" si="62"/>
        <v>#N/A</v>
      </c>
      <c r="AI98" s="658"/>
      <c r="AJ98" s="520"/>
      <c r="AK98" s="520"/>
      <c r="AL98" s="520"/>
      <c r="AM98" s="520" t="e">
        <f t="shared" si="64"/>
        <v>#N/A</v>
      </c>
      <c r="AN98" s="658"/>
      <c r="AO98" s="520"/>
      <c r="AP98" s="520"/>
      <c r="AQ98" s="520"/>
      <c r="AR98" s="520" t="e">
        <f t="shared" si="66"/>
        <v>#N/A</v>
      </c>
      <c r="AS98" s="658"/>
      <c r="AT98" s="520"/>
      <c r="AU98" s="520"/>
      <c r="AV98" s="520"/>
      <c r="AW98" s="520" t="e">
        <f t="shared" si="68"/>
        <v>#N/A</v>
      </c>
      <c r="AX98" s="658"/>
    </row>
    <row r="99" spans="2:50">
      <c r="B99" s="627"/>
      <c r="C99" s="306">
        <v>13</v>
      </c>
      <c r="D99" s="228"/>
      <c r="E99" s="183"/>
      <c r="F99" s="470"/>
      <c r="G99" s="471"/>
      <c r="H99" s="662"/>
      <c r="I99" s="203"/>
      <c r="J99" s="203"/>
      <c r="K99" s="203"/>
      <c r="L99" s="601"/>
      <c r="M99" s="202" t="e">
        <f>RANK(K99, K$87:$K$101)</f>
        <v>#DIV/0!</v>
      </c>
      <c r="N99" s="619"/>
      <c r="O99" s="619"/>
      <c r="P99" s="470"/>
      <c r="Q99" s="470"/>
      <c r="R99" s="470"/>
      <c r="S99" s="306" t="e">
        <f t="shared" si="70"/>
        <v>#N/A</v>
      </c>
      <c r="T99" s="658"/>
      <c r="U99" s="520"/>
      <c r="V99" s="520"/>
      <c r="W99" s="520"/>
      <c r="X99" s="520" t="e">
        <f t="shared" si="58"/>
        <v>#N/A</v>
      </c>
      <c r="Y99" s="658"/>
      <c r="Z99" s="520"/>
      <c r="AA99" s="520"/>
      <c r="AB99" s="520"/>
      <c r="AC99" s="520" t="e">
        <f t="shared" si="60"/>
        <v>#N/A</v>
      </c>
      <c r="AD99" s="658"/>
      <c r="AE99" s="520"/>
      <c r="AF99" s="520"/>
      <c r="AG99" s="520"/>
      <c r="AH99" s="520" t="e">
        <f t="shared" si="62"/>
        <v>#N/A</v>
      </c>
      <c r="AI99" s="658"/>
      <c r="AJ99" s="520"/>
      <c r="AK99" s="520"/>
      <c r="AL99" s="520"/>
      <c r="AM99" s="520" t="e">
        <f t="shared" si="64"/>
        <v>#N/A</v>
      </c>
      <c r="AN99" s="658"/>
      <c r="AO99" s="520"/>
      <c r="AP99" s="520"/>
      <c r="AQ99" s="520"/>
      <c r="AR99" s="520" t="e">
        <f t="shared" si="66"/>
        <v>#N/A</v>
      </c>
      <c r="AS99" s="658"/>
      <c r="AT99" s="520"/>
      <c r="AU99" s="520"/>
      <c r="AV99" s="520"/>
      <c r="AW99" s="520" t="e">
        <f t="shared" si="68"/>
        <v>#N/A</v>
      </c>
      <c r="AX99" s="658"/>
    </row>
    <row r="100" spans="2:50">
      <c r="B100" s="627"/>
      <c r="C100" s="306">
        <v>14</v>
      </c>
      <c r="D100" s="228"/>
      <c r="E100" s="183"/>
      <c r="F100" s="470"/>
      <c r="G100" s="471"/>
      <c r="H100" s="662"/>
      <c r="I100" s="203"/>
      <c r="J100" s="203"/>
      <c r="K100" s="203"/>
      <c r="L100" s="601"/>
      <c r="M100" s="202" t="e">
        <f>RANK(K100, K$87:$K$101)</f>
        <v>#DIV/0!</v>
      </c>
      <c r="N100" s="619"/>
      <c r="O100" s="619"/>
      <c r="P100" s="470"/>
      <c r="Q100" s="470"/>
      <c r="R100" s="470"/>
      <c r="S100" s="306" t="e">
        <f t="shared" si="70"/>
        <v>#N/A</v>
      </c>
      <c r="T100" s="658"/>
      <c r="U100" s="520"/>
      <c r="V100" s="520"/>
      <c r="W100" s="520"/>
      <c r="X100" s="520" t="e">
        <f t="shared" si="58"/>
        <v>#N/A</v>
      </c>
      <c r="Y100" s="658"/>
      <c r="Z100" s="520"/>
      <c r="AA100" s="520"/>
      <c r="AB100" s="520"/>
      <c r="AC100" s="520" t="e">
        <f t="shared" si="60"/>
        <v>#N/A</v>
      </c>
      <c r="AD100" s="658"/>
      <c r="AE100" s="520"/>
      <c r="AF100" s="520"/>
      <c r="AG100" s="520"/>
      <c r="AH100" s="520" t="e">
        <f t="shared" si="62"/>
        <v>#N/A</v>
      </c>
      <c r="AI100" s="658"/>
      <c r="AJ100" s="520"/>
      <c r="AK100" s="520"/>
      <c r="AL100" s="520"/>
      <c r="AM100" s="520" t="e">
        <f t="shared" si="64"/>
        <v>#N/A</v>
      </c>
      <c r="AN100" s="658"/>
      <c r="AO100" s="520"/>
      <c r="AP100" s="520"/>
      <c r="AQ100" s="520"/>
      <c r="AR100" s="520" t="e">
        <f t="shared" si="66"/>
        <v>#N/A</v>
      </c>
      <c r="AS100" s="658"/>
      <c r="AT100" s="520"/>
      <c r="AU100" s="520"/>
      <c r="AV100" s="520"/>
      <c r="AW100" s="520" t="e">
        <f t="shared" si="68"/>
        <v>#N/A</v>
      </c>
      <c r="AX100" s="658"/>
    </row>
    <row r="101" spans="2:50">
      <c r="B101" s="627"/>
      <c r="C101" s="306">
        <v>15</v>
      </c>
      <c r="D101" s="228"/>
      <c r="E101" s="183"/>
      <c r="F101" s="470"/>
      <c r="G101" s="471"/>
      <c r="H101" s="663"/>
      <c r="I101" s="203"/>
      <c r="J101" s="203"/>
      <c r="K101" s="203"/>
      <c r="L101" s="602"/>
      <c r="M101" s="200" t="e">
        <f>RANK(K101, K$87:$K$101)</f>
        <v>#DIV/0!</v>
      </c>
      <c r="N101" s="619"/>
      <c r="O101" s="619"/>
      <c r="P101" s="470"/>
      <c r="Q101" s="470"/>
      <c r="R101" s="470"/>
      <c r="S101" s="306" t="e">
        <f t="shared" si="70"/>
        <v>#N/A</v>
      </c>
      <c r="T101" s="658"/>
      <c r="U101" s="520"/>
      <c r="V101" s="520"/>
      <c r="W101" s="520"/>
      <c r="X101" s="520" t="e">
        <f t="shared" si="58"/>
        <v>#N/A</v>
      </c>
      <c r="Y101" s="658"/>
      <c r="Z101" s="520"/>
      <c r="AA101" s="520"/>
      <c r="AB101" s="520"/>
      <c r="AC101" s="520" t="e">
        <f t="shared" si="60"/>
        <v>#N/A</v>
      </c>
      <c r="AD101" s="658"/>
      <c r="AE101" s="520"/>
      <c r="AF101" s="520"/>
      <c r="AG101" s="520"/>
      <c r="AH101" s="520" t="e">
        <f t="shared" si="62"/>
        <v>#N/A</v>
      </c>
      <c r="AI101" s="658"/>
      <c r="AJ101" s="520"/>
      <c r="AK101" s="520"/>
      <c r="AL101" s="520"/>
      <c r="AM101" s="520" t="e">
        <f t="shared" si="64"/>
        <v>#N/A</v>
      </c>
      <c r="AN101" s="658"/>
      <c r="AO101" s="520"/>
      <c r="AP101" s="520"/>
      <c r="AQ101" s="520"/>
      <c r="AR101" s="520" t="e">
        <f t="shared" si="66"/>
        <v>#N/A</v>
      </c>
      <c r="AS101" s="658"/>
      <c r="AT101" s="520"/>
      <c r="AU101" s="520"/>
      <c r="AV101" s="520"/>
      <c r="AW101" s="520" t="e">
        <f t="shared" si="68"/>
        <v>#N/A</v>
      </c>
      <c r="AX101" s="658"/>
    </row>
    <row r="102" spans="2:50" ht="15.5">
      <c r="B102" s="631" t="s">
        <v>163</v>
      </c>
      <c r="C102" s="632"/>
      <c r="D102" s="632"/>
      <c r="E102" s="632"/>
      <c r="F102" s="632"/>
      <c r="G102" s="632"/>
      <c r="H102" s="633"/>
      <c r="I102" s="209"/>
      <c r="J102" s="209"/>
      <c r="K102" s="209"/>
      <c r="L102" s="209"/>
      <c r="M102" s="208"/>
      <c r="N102" s="620" t="s">
        <v>156</v>
      </c>
      <c r="O102" s="620" t="s">
        <v>105</v>
      </c>
      <c r="P102" s="626">
        <f>P82+7</f>
        <v>46021</v>
      </c>
      <c r="Q102" s="627"/>
      <c r="R102" s="627"/>
      <c r="S102" s="627"/>
      <c r="T102" s="627"/>
      <c r="U102" s="623">
        <f>P102+1</f>
        <v>46022</v>
      </c>
      <c r="V102" s="624"/>
      <c r="W102" s="624"/>
      <c r="X102" s="624"/>
      <c r="Y102" s="625"/>
      <c r="Z102" s="623">
        <f>U102+1</f>
        <v>46023</v>
      </c>
      <c r="AA102" s="624"/>
      <c r="AB102" s="624"/>
      <c r="AC102" s="624"/>
      <c r="AD102" s="625"/>
      <c r="AE102" s="623">
        <f>Z102+1</f>
        <v>46024</v>
      </c>
      <c r="AF102" s="624"/>
      <c r="AG102" s="624"/>
      <c r="AH102" s="624"/>
      <c r="AI102" s="625"/>
      <c r="AJ102" s="623">
        <f>AE102+1</f>
        <v>46025</v>
      </c>
      <c r="AK102" s="624"/>
      <c r="AL102" s="624"/>
      <c r="AM102" s="624"/>
      <c r="AN102" s="625"/>
      <c r="AO102" s="623">
        <f>AJ102+1</f>
        <v>46026</v>
      </c>
      <c r="AP102" s="624"/>
      <c r="AQ102" s="624"/>
      <c r="AR102" s="624"/>
      <c r="AS102" s="625"/>
      <c r="AT102" s="623">
        <f>AO102+1</f>
        <v>46027</v>
      </c>
      <c r="AU102" s="624"/>
      <c r="AV102" s="624"/>
      <c r="AW102" s="624"/>
      <c r="AX102" s="625"/>
    </row>
    <row r="103" spans="2:50" ht="15.5">
      <c r="B103" s="634"/>
      <c r="C103" s="634"/>
      <c r="D103" s="634"/>
      <c r="E103" s="634"/>
      <c r="F103" s="634"/>
      <c r="G103" s="634"/>
      <c r="H103" s="634"/>
      <c r="I103" s="206"/>
      <c r="J103" s="206"/>
      <c r="K103" s="206"/>
      <c r="L103" s="206"/>
      <c r="M103" s="207"/>
      <c r="N103" s="622"/>
      <c r="O103" s="622"/>
      <c r="P103" s="626" t="s">
        <v>158</v>
      </c>
      <c r="Q103" s="627"/>
      <c r="R103" s="627"/>
      <c r="S103" s="627"/>
      <c r="T103" s="627"/>
      <c r="U103" s="626" t="s">
        <v>114</v>
      </c>
      <c r="V103" s="627"/>
      <c r="W103" s="627"/>
      <c r="X103" s="627"/>
      <c r="Y103" s="627"/>
      <c r="Z103" s="626" t="s">
        <v>159</v>
      </c>
      <c r="AA103" s="627"/>
      <c r="AB103" s="627"/>
      <c r="AC103" s="627"/>
      <c r="AD103" s="627"/>
      <c r="AE103" s="626" t="s">
        <v>157</v>
      </c>
      <c r="AF103" s="627"/>
      <c r="AG103" s="627"/>
      <c r="AH103" s="627"/>
      <c r="AI103" s="627"/>
      <c r="AJ103" s="626" t="s">
        <v>160</v>
      </c>
      <c r="AK103" s="627"/>
      <c r="AL103" s="627"/>
      <c r="AM103" s="627"/>
      <c r="AN103" s="627"/>
      <c r="AO103" s="626" t="s">
        <v>115</v>
      </c>
      <c r="AP103" s="627"/>
      <c r="AQ103" s="627"/>
      <c r="AR103" s="627"/>
      <c r="AS103" s="627"/>
      <c r="AT103" s="626" t="s">
        <v>162</v>
      </c>
      <c r="AU103" s="627"/>
      <c r="AV103" s="627"/>
      <c r="AW103" s="627"/>
      <c r="AX103" s="627"/>
    </row>
    <row r="104" spans="2:50">
      <c r="B104" s="619" t="s">
        <v>154</v>
      </c>
      <c r="C104" s="619" t="s">
        <v>453</v>
      </c>
      <c r="D104" s="619"/>
      <c r="E104" s="619" t="s">
        <v>444</v>
      </c>
      <c r="F104" s="619"/>
      <c r="G104" s="619"/>
      <c r="H104" s="635" t="s">
        <v>440</v>
      </c>
      <c r="I104" s="603" t="s">
        <v>445</v>
      </c>
      <c r="J104" s="603"/>
      <c r="K104" s="603"/>
      <c r="L104" s="604" t="s">
        <v>440</v>
      </c>
      <c r="M104" s="610" t="s">
        <v>441</v>
      </c>
      <c r="N104" s="619"/>
      <c r="O104" s="619" t="s">
        <v>446</v>
      </c>
      <c r="P104" s="616" t="s">
        <v>442</v>
      </c>
      <c r="Q104" s="617"/>
      <c r="R104" s="617"/>
      <c r="S104" s="618"/>
      <c r="T104" s="619" t="s">
        <v>440</v>
      </c>
      <c r="U104" s="616" t="s">
        <v>442</v>
      </c>
      <c r="V104" s="617"/>
      <c r="W104" s="617"/>
      <c r="X104" s="618"/>
      <c r="Y104" s="619" t="s">
        <v>440</v>
      </c>
      <c r="Z104" s="616" t="s">
        <v>442</v>
      </c>
      <c r="AA104" s="617"/>
      <c r="AB104" s="617"/>
      <c r="AC104" s="618"/>
      <c r="AD104" s="619" t="s">
        <v>440</v>
      </c>
      <c r="AE104" s="616" t="s">
        <v>442</v>
      </c>
      <c r="AF104" s="617"/>
      <c r="AG104" s="617"/>
      <c r="AH104" s="618"/>
      <c r="AI104" s="619" t="s">
        <v>440</v>
      </c>
      <c r="AJ104" s="616" t="s">
        <v>442</v>
      </c>
      <c r="AK104" s="617"/>
      <c r="AL104" s="617"/>
      <c r="AM104" s="618"/>
      <c r="AN104" s="619" t="s">
        <v>440</v>
      </c>
      <c r="AO104" s="616" t="s">
        <v>442</v>
      </c>
      <c r="AP104" s="617"/>
      <c r="AQ104" s="617"/>
      <c r="AR104" s="618"/>
      <c r="AS104" s="619" t="s">
        <v>440</v>
      </c>
      <c r="AT104" s="616" t="s">
        <v>442</v>
      </c>
      <c r="AU104" s="617"/>
      <c r="AV104" s="617"/>
      <c r="AW104" s="618"/>
      <c r="AX104" s="619" t="s">
        <v>440</v>
      </c>
    </row>
    <row r="105" spans="2:50">
      <c r="B105" s="619"/>
      <c r="C105" s="619"/>
      <c r="D105" s="619"/>
      <c r="E105" s="619" t="s">
        <v>447</v>
      </c>
      <c r="F105" s="619"/>
      <c r="G105" s="619"/>
      <c r="H105" s="636"/>
      <c r="I105" s="603" t="s">
        <v>447</v>
      </c>
      <c r="J105" s="603"/>
      <c r="K105" s="603"/>
      <c r="L105" s="605"/>
      <c r="M105" s="611"/>
      <c r="N105" s="619"/>
      <c r="O105" s="619"/>
      <c r="P105" s="616" t="s">
        <v>448</v>
      </c>
      <c r="Q105" s="617"/>
      <c r="R105" s="617"/>
      <c r="S105" s="618"/>
      <c r="T105" s="619"/>
      <c r="U105" s="616" t="s">
        <v>448</v>
      </c>
      <c r="V105" s="617"/>
      <c r="W105" s="617"/>
      <c r="X105" s="618"/>
      <c r="Y105" s="619"/>
      <c r="Z105" s="616" t="s">
        <v>448</v>
      </c>
      <c r="AA105" s="617"/>
      <c r="AB105" s="617"/>
      <c r="AC105" s="618"/>
      <c r="AD105" s="619"/>
      <c r="AE105" s="616" t="s">
        <v>448</v>
      </c>
      <c r="AF105" s="617"/>
      <c r="AG105" s="617"/>
      <c r="AH105" s="618"/>
      <c r="AI105" s="619"/>
      <c r="AJ105" s="616" t="s">
        <v>448</v>
      </c>
      <c r="AK105" s="617"/>
      <c r="AL105" s="617"/>
      <c r="AM105" s="618"/>
      <c r="AN105" s="619"/>
      <c r="AO105" s="616" t="s">
        <v>448</v>
      </c>
      <c r="AP105" s="617"/>
      <c r="AQ105" s="617"/>
      <c r="AR105" s="618"/>
      <c r="AS105" s="619"/>
      <c r="AT105" s="616" t="s">
        <v>448</v>
      </c>
      <c r="AU105" s="617"/>
      <c r="AV105" s="617"/>
      <c r="AW105" s="618"/>
      <c r="AX105" s="619"/>
    </row>
    <row r="106" spans="2:50">
      <c r="B106" s="619"/>
      <c r="C106" s="619"/>
      <c r="D106" s="619"/>
      <c r="E106" s="357" t="s">
        <v>449</v>
      </c>
      <c r="F106" s="357" t="s">
        <v>450</v>
      </c>
      <c r="G106" s="357" t="s">
        <v>451</v>
      </c>
      <c r="H106" s="637"/>
      <c r="I106" s="358" t="s">
        <v>449</v>
      </c>
      <c r="J106" s="358" t="s">
        <v>450</v>
      </c>
      <c r="K106" s="358" t="s">
        <v>451</v>
      </c>
      <c r="L106" s="606"/>
      <c r="M106" s="612"/>
      <c r="N106" s="619"/>
      <c r="O106" s="619"/>
      <c r="P106" s="357" t="s">
        <v>449</v>
      </c>
      <c r="Q106" s="357" t="s">
        <v>450</v>
      </c>
      <c r="R106" s="357" t="s">
        <v>451</v>
      </c>
      <c r="S106" s="357" t="s">
        <v>441</v>
      </c>
      <c r="T106" s="619"/>
      <c r="U106" s="357" t="s">
        <v>449</v>
      </c>
      <c r="V106" s="357" t="s">
        <v>450</v>
      </c>
      <c r="W106" s="357" t="s">
        <v>451</v>
      </c>
      <c r="X106" s="357" t="s">
        <v>441</v>
      </c>
      <c r="Y106" s="619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9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9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9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9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9"/>
    </row>
    <row r="107" spans="2:50">
      <c r="B107" s="619" t="s">
        <v>454</v>
      </c>
      <c r="C107" s="356">
        <v>1</v>
      </c>
      <c r="D107" s="228"/>
      <c r="E107" s="183"/>
      <c r="F107" s="356"/>
      <c r="G107" s="359"/>
      <c r="H107" s="661" t="e">
        <f>AVERAGE(G107:G121)</f>
        <v>#DIV/0!</v>
      </c>
      <c r="I107" s="200" t="e">
        <f t="shared" ref="I107:K108" si="71">AVERAGE(P107,U107,Z107,AE107,AJ107,AO107,AT107)</f>
        <v>#DIV/0!</v>
      </c>
      <c r="J107" s="200" t="e">
        <f t="shared" si="71"/>
        <v>#DIV/0!</v>
      </c>
      <c r="K107" s="201" t="e">
        <f t="shared" si="71"/>
        <v>#DIV/0!</v>
      </c>
      <c r="L107" s="600" t="str">
        <f>IFERROR(AVERAGE(K107:K121),"-")</f>
        <v>-</v>
      </c>
      <c r="M107" s="202" t="e">
        <f>RANK(K107, K$87:$K$101)</f>
        <v>#DIV/0!</v>
      </c>
      <c r="N107" s="619"/>
      <c r="O107" s="619"/>
      <c r="P107" s="183"/>
      <c r="Q107" s="183"/>
      <c r="R107" s="359"/>
      <c r="S107" s="356" t="e">
        <f>RANK(R107, R$107:R$121)</f>
        <v>#N/A</v>
      </c>
      <c r="T107" s="658" t="e">
        <f>AVERAGE(R107:R121)</f>
        <v>#DIV/0!</v>
      </c>
      <c r="U107" s="183"/>
      <c r="V107" s="183"/>
      <c r="W107" s="377"/>
      <c r="X107" s="370" t="e">
        <f>RANK(W107, W$107:W$121)</f>
        <v>#N/A</v>
      </c>
      <c r="Y107" s="658" t="e">
        <f>AVERAGE(W107:W121)</f>
        <v>#DIV/0!</v>
      </c>
      <c r="Z107" s="183"/>
      <c r="AA107" s="183"/>
      <c r="AB107" s="377"/>
      <c r="AC107" s="370" t="e">
        <f>RANK(AB107, AB$107:AB$121)</f>
        <v>#N/A</v>
      </c>
      <c r="AD107" s="658" t="e">
        <f>AVERAGE(AB107:AB121)</f>
        <v>#DIV/0!</v>
      </c>
      <c r="AE107" s="183"/>
      <c r="AF107" s="183"/>
      <c r="AG107" s="377"/>
      <c r="AH107" s="370" t="e">
        <f>RANK(AG107, AG$107:AG$121)</f>
        <v>#N/A</v>
      </c>
      <c r="AI107" s="658" t="e">
        <f>AVERAGE(AG107:AG121)</f>
        <v>#DIV/0!</v>
      </c>
      <c r="AJ107" s="183"/>
      <c r="AK107" s="183"/>
      <c r="AL107" s="377"/>
      <c r="AM107" s="370" t="e">
        <f>RANK(AL107, AL$107:AL$121)</f>
        <v>#N/A</v>
      </c>
      <c r="AN107" s="658" t="e">
        <f>AVERAGE(AL107:AL121)</f>
        <v>#DIV/0!</v>
      </c>
      <c r="AO107" s="183"/>
      <c r="AP107" s="183"/>
      <c r="AQ107" s="377"/>
      <c r="AR107" s="370" t="e">
        <f>RANK(AQ107, AQ$107:AQ$121)</f>
        <v>#N/A</v>
      </c>
      <c r="AS107" s="658" t="e">
        <f>AVERAGE(AQ107:AQ121)</f>
        <v>#DIV/0!</v>
      </c>
      <c r="AT107" s="183"/>
      <c r="AU107" s="183"/>
      <c r="AV107" s="377"/>
      <c r="AW107" s="370" t="e">
        <f>RANK(AV107, AV$107:AV$121)</f>
        <v>#N/A</v>
      </c>
      <c r="AX107" s="658" t="e">
        <f>AVERAGE(AV107:AV121)</f>
        <v>#DIV/0!</v>
      </c>
    </row>
    <row r="108" spans="2:50">
      <c r="B108" s="627"/>
      <c r="C108" s="356">
        <v>2</v>
      </c>
      <c r="D108" s="228"/>
      <c r="E108" s="183"/>
      <c r="F108" s="356"/>
      <c r="G108" s="359"/>
      <c r="H108" s="662"/>
      <c r="I108" s="372" t="e">
        <f t="shared" si="71"/>
        <v>#DIV/0!</v>
      </c>
      <c r="J108" s="372" t="e">
        <f t="shared" si="71"/>
        <v>#DIV/0!</v>
      </c>
      <c r="K108" s="201" t="e">
        <f t="shared" si="71"/>
        <v>#DIV/0!</v>
      </c>
      <c r="L108" s="601"/>
      <c r="M108" s="202" t="e">
        <f>RANK(K108, K$87:$K$101)</f>
        <v>#DIV/0!</v>
      </c>
      <c r="N108" s="619"/>
      <c r="O108" s="619"/>
      <c r="P108" s="356"/>
      <c r="Q108" s="183"/>
      <c r="R108" s="371"/>
      <c r="S108" s="370" t="e">
        <f t="shared" ref="S108:S121" si="72">RANK(R108, R$107:R$121)</f>
        <v>#N/A</v>
      </c>
      <c r="T108" s="658"/>
      <c r="U108" s="376"/>
      <c r="V108" s="183"/>
      <c r="W108" s="377"/>
      <c r="X108" s="370" t="e">
        <f t="shared" ref="X108:X121" si="73">RANK(W108, W$107:W$121)</f>
        <v>#N/A</v>
      </c>
      <c r="Y108" s="658"/>
      <c r="Z108" s="376"/>
      <c r="AA108" s="183"/>
      <c r="AB108" s="377"/>
      <c r="AC108" s="370" t="e">
        <f t="shared" ref="AC108:AC121" si="74">RANK(AB108, AB$107:AB$121)</f>
        <v>#N/A</v>
      </c>
      <c r="AD108" s="658"/>
      <c r="AE108" s="376"/>
      <c r="AF108" s="183"/>
      <c r="AG108" s="377"/>
      <c r="AH108" s="370" t="e">
        <f t="shared" ref="AH108:AH121" si="75">RANK(AG108, AG$107:AG$121)</f>
        <v>#N/A</v>
      </c>
      <c r="AI108" s="658"/>
      <c r="AJ108" s="376"/>
      <c r="AK108" s="183"/>
      <c r="AL108" s="377"/>
      <c r="AM108" s="370" t="e">
        <f t="shared" ref="AM108:AM121" si="76">RANK(AL108, AL$107:AL$121)</f>
        <v>#N/A</v>
      </c>
      <c r="AN108" s="658"/>
      <c r="AO108" s="376"/>
      <c r="AP108" s="183"/>
      <c r="AQ108" s="377"/>
      <c r="AR108" s="370" t="e">
        <f t="shared" ref="AR108:AR121" si="77">RANK(AQ108, AQ$107:AQ$121)</f>
        <v>#N/A</v>
      </c>
      <c r="AS108" s="658"/>
      <c r="AT108" s="376"/>
      <c r="AU108" s="183"/>
      <c r="AV108" s="377"/>
      <c r="AW108" s="370" t="e">
        <f t="shared" ref="AW108:AW121" si="78">RANK(AV108, AV$107:AV$121)</f>
        <v>#N/A</v>
      </c>
      <c r="AX108" s="658"/>
    </row>
    <row r="109" spans="2:50">
      <c r="B109" s="627"/>
      <c r="C109" s="356">
        <v>3</v>
      </c>
      <c r="D109" s="228"/>
      <c r="E109" s="183"/>
      <c r="F109" s="356"/>
      <c r="G109" s="359"/>
      <c r="H109" s="662"/>
      <c r="I109" s="200"/>
      <c r="J109" s="200"/>
      <c r="K109" s="201"/>
      <c r="L109" s="601"/>
      <c r="M109" s="202" t="e">
        <f>RANK(K109, K$87:$K$101)</f>
        <v>#DIV/0!</v>
      </c>
      <c r="N109" s="619"/>
      <c r="O109" s="619"/>
      <c r="P109" s="356"/>
      <c r="Q109" s="356"/>
      <c r="R109" s="356"/>
      <c r="S109" s="370" t="e">
        <f t="shared" si="72"/>
        <v>#N/A</v>
      </c>
      <c r="T109" s="658"/>
      <c r="U109" s="376"/>
      <c r="V109" s="376"/>
      <c r="W109" s="376"/>
      <c r="X109" s="370" t="e">
        <f t="shared" si="73"/>
        <v>#N/A</v>
      </c>
      <c r="Y109" s="658"/>
      <c r="Z109" s="376"/>
      <c r="AA109" s="376"/>
      <c r="AB109" s="376"/>
      <c r="AC109" s="370" t="e">
        <f t="shared" si="74"/>
        <v>#N/A</v>
      </c>
      <c r="AD109" s="658"/>
      <c r="AE109" s="376"/>
      <c r="AF109" s="376"/>
      <c r="AG109" s="376"/>
      <c r="AH109" s="370" t="e">
        <f t="shared" si="75"/>
        <v>#N/A</v>
      </c>
      <c r="AI109" s="658"/>
      <c r="AJ109" s="376"/>
      <c r="AK109" s="376"/>
      <c r="AL109" s="376"/>
      <c r="AM109" s="370" t="e">
        <f t="shared" si="76"/>
        <v>#N/A</v>
      </c>
      <c r="AN109" s="658"/>
      <c r="AO109" s="376"/>
      <c r="AP109" s="376"/>
      <c r="AQ109" s="376"/>
      <c r="AR109" s="370" t="e">
        <f t="shared" si="77"/>
        <v>#N/A</v>
      </c>
      <c r="AS109" s="658"/>
      <c r="AT109" s="376"/>
      <c r="AU109" s="376"/>
      <c r="AV109" s="376"/>
      <c r="AW109" s="370" t="e">
        <f t="shared" si="78"/>
        <v>#N/A</v>
      </c>
      <c r="AX109" s="658"/>
    </row>
    <row r="110" spans="2:50">
      <c r="B110" s="627"/>
      <c r="C110" s="356">
        <v>4</v>
      </c>
      <c r="D110" s="228"/>
      <c r="E110" s="183"/>
      <c r="F110" s="356"/>
      <c r="G110" s="359"/>
      <c r="H110" s="662"/>
      <c r="I110" s="200"/>
      <c r="J110" s="200"/>
      <c r="K110" s="201"/>
      <c r="L110" s="601"/>
      <c r="M110" s="202" t="e">
        <f>RANK(K110, K$87:$K$101)</f>
        <v>#DIV/0!</v>
      </c>
      <c r="N110" s="619"/>
      <c r="O110" s="619"/>
      <c r="P110" s="356"/>
      <c r="Q110" s="356"/>
      <c r="R110" s="356"/>
      <c r="S110" s="370" t="e">
        <f t="shared" si="72"/>
        <v>#N/A</v>
      </c>
      <c r="T110" s="658"/>
      <c r="U110" s="376"/>
      <c r="V110" s="376"/>
      <c r="W110" s="376"/>
      <c r="X110" s="370" t="e">
        <f t="shared" si="73"/>
        <v>#N/A</v>
      </c>
      <c r="Y110" s="658"/>
      <c r="Z110" s="376"/>
      <c r="AA110" s="376"/>
      <c r="AB110" s="376"/>
      <c r="AC110" s="370" t="e">
        <f t="shared" si="74"/>
        <v>#N/A</v>
      </c>
      <c r="AD110" s="658"/>
      <c r="AE110" s="376"/>
      <c r="AF110" s="376"/>
      <c r="AG110" s="376"/>
      <c r="AH110" s="370" t="e">
        <f t="shared" si="75"/>
        <v>#N/A</v>
      </c>
      <c r="AI110" s="658"/>
      <c r="AJ110" s="376"/>
      <c r="AK110" s="376"/>
      <c r="AL110" s="376"/>
      <c r="AM110" s="370" t="e">
        <f t="shared" si="76"/>
        <v>#N/A</v>
      </c>
      <c r="AN110" s="658"/>
      <c r="AO110" s="376"/>
      <c r="AP110" s="376"/>
      <c r="AQ110" s="376"/>
      <c r="AR110" s="370" t="e">
        <f t="shared" si="77"/>
        <v>#N/A</v>
      </c>
      <c r="AS110" s="658"/>
      <c r="AT110" s="376"/>
      <c r="AU110" s="376"/>
      <c r="AV110" s="376"/>
      <c r="AW110" s="370" t="e">
        <f t="shared" si="78"/>
        <v>#N/A</v>
      </c>
      <c r="AX110" s="658"/>
    </row>
    <row r="111" spans="2:50">
      <c r="B111" s="627"/>
      <c r="C111" s="356">
        <v>5</v>
      </c>
      <c r="D111" s="228"/>
      <c r="E111" s="183"/>
      <c r="F111" s="356"/>
      <c r="G111" s="359"/>
      <c r="H111" s="662"/>
      <c r="I111" s="200"/>
      <c r="J111" s="200"/>
      <c r="K111" s="201"/>
      <c r="L111" s="601"/>
      <c r="M111" s="202" t="e">
        <f>RANK(K111, K$87:$K$101)</f>
        <v>#DIV/0!</v>
      </c>
      <c r="N111" s="619"/>
      <c r="O111" s="619"/>
      <c r="P111" s="356"/>
      <c r="Q111" s="356"/>
      <c r="R111" s="356"/>
      <c r="S111" s="370" t="e">
        <f t="shared" si="72"/>
        <v>#N/A</v>
      </c>
      <c r="T111" s="658"/>
      <c r="U111" s="376"/>
      <c r="V111" s="376"/>
      <c r="W111" s="376"/>
      <c r="X111" s="370" t="e">
        <f t="shared" si="73"/>
        <v>#N/A</v>
      </c>
      <c r="Y111" s="658"/>
      <c r="Z111" s="376"/>
      <c r="AA111" s="376"/>
      <c r="AB111" s="376"/>
      <c r="AC111" s="370" t="e">
        <f t="shared" si="74"/>
        <v>#N/A</v>
      </c>
      <c r="AD111" s="658"/>
      <c r="AE111" s="376"/>
      <c r="AF111" s="376"/>
      <c r="AG111" s="376"/>
      <c r="AH111" s="370" t="e">
        <f t="shared" si="75"/>
        <v>#N/A</v>
      </c>
      <c r="AI111" s="658"/>
      <c r="AJ111" s="376"/>
      <c r="AK111" s="376"/>
      <c r="AL111" s="376"/>
      <c r="AM111" s="370" t="e">
        <f t="shared" si="76"/>
        <v>#N/A</v>
      </c>
      <c r="AN111" s="658"/>
      <c r="AO111" s="376"/>
      <c r="AP111" s="376"/>
      <c r="AQ111" s="376"/>
      <c r="AR111" s="370" t="e">
        <f t="shared" si="77"/>
        <v>#N/A</v>
      </c>
      <c r="AS111" s="658"/>
      <c r="AT111" s="376"/>
      <c r="AU111" s="376"/>
      <c r="AV111" s="376"/>
      <c r="AW111" s="370" t="e">
        <f t="shared" si="78"/>
        <v>#N/A</v>
      </c>
      <c r="AX111" s="658"/>
    </row>
    <row r="112" spans="2:50">
      <c r="B112" s="627"/>
      <c r="C112" s="356">
        <v>6</v>
      </c>
      <c r="D112" s="228"/>
      <c r="E112" s="183"/>
      <c r="F112" s="356"/>
      <c r="G112" s="359"/>
      <c r="H112" s="662"/>
      <c r="I112" s="200"/>
      <c r="J112" s="200"/>
      <c r="K112" s="201"/>
      <c r="L112" s="601"/>
      <c r="M112" s="202" t="e">
        <f>RANK(K112, K$87:$K$101)</f>
        <v>#DIV/0!</v>
      </c>
      <c r="N112" s="619"/>
      <c r="O112" s="619"/>
      <c r="P112" s="356"/>
      <c r="Q112" s="356"/>
      <c r="R112" s="356"/>
      <c r="S112" s="370" t="e">
        <f t="shared" si="72"/>
        <v>#N/A</v>
      </c>
      <c r="T112" s="658"/>
      <c r="U112" s="376"/>
      <c r="V112" s="376"/>
      <c r="W112" s="376"/>
      <c r="X112" s="370" t="e">
        <f t="shared" si="73"/>
        <v>#N/A</v>
      </c>
      <c r="Y112" s="658"/>
      <c r="Z112" s="376"/>
      <c r="AA112" s="376"/>
      <c r="AB112" s="376"/>
      <c r="AC112" s="370" t="e">
        <f t="shared" si="74"/>
        <v>#N/A</v>
      </c>
      <c r="AD112" s="658"/>
      <c r="AE112" s="376"/>
      <c r="AF112" s="376"/>
      <c r="AG112" s="376"/>
      <c r="AH112" s="370" t="e">
        <f t="shared" si="75"/>
        <v>#N/A</v>
      </c>
      <c r="AI112" s="658"/>
      <c r="AJ112" s="376"/>
      <c r="AK112" s="376"/>
      <c r="AL112" s="376"/>
      <c r="AM112" s="370" t="e">
        <f t="shared" si="76"/>
        <v>#N/A</v>
      </c>
      <c r="AN112" s="658"/>
      <c r="AO112" s="376"/>
      <c r="AP112" s="376"/>
      <c r="AQ112" s="376"/>
      <c r="AR112" s="370" t="e">
        <f t="shared" si="77"/>
        <v>#N/A</v>
      </c>
      <c r="AS112" s="658"/>
      <c r="AT112" s="376"/>
      <c r="AU112" s="376"/>
      <c r="AV112" s="376"/>
      <c r="AW112" s="370" t="e">
        <f t="shared" si="78"/>
        <v>#N/A</v>
      </c>
      <c r="AX112" s="658"/>
    </row>
    <row r="113" spans="2:50">
      <c r="B113" s="627"/>
      <c r="C113" s="356">
        <v>7</v>
      </c>
      <c r="D113" s="228"/>
      <c r="E113" s="183"/>
      <c r="F113" s="356"/>
      <c r="G113" s="359"/>
      <c r="H113" s="662"/>
      <c r="I113" s="200"/>
      <c r="J113" s="200"/>
      <c r="K113" s="201"/>
      <c r="L113" s="601"/>
      <c r="M113" s="202" t="e">
        <f>RANK(K113, K$87:$K$101)</f>
        <v>#DIV/0!</v>
      </c>
      <c r="N113" s="619"/>
      <c r="O113" s="619"/>
      <c r="P113" s="356"/>
      <c r="Q113" s="356"/>
      <c r="R113" s="356"/>
      <c r="S113" s="370" t="e">
        <f t="shared" si="72"/>
        <v>#N/A</v>
      </c>
      <c r="T113" s="658"/>
      <c r="U113" s="376"/>
      <c r="V113" s="376"/>
      <c r="W113" s="376"/>
      <c r="X113" s="370" t="e">
        <f t="shared" si="73"/>
        <v>#N/A</v>
      </c>
      <c r="Y113" s="658"/>
      <c r="Z113" s="376"/>
      <c r="AA113" s="376"/>
      <c r="AB113" s="376"/>
      <c r="AC113" s="370" t="e">
        <f t="shared" si="74"/>
        <v>#N/A</v>
      </c>
      <c r="AD113" s="658"/>
      <c r="AE113" s="376"/>
      <c r="AF113" s="376"/>
      <c r="AG113" s="376"/>
      <c r="AH113" s="370" t="e">
        <f t="shared" si="75"/>
        <v>#N/A</v>
      </c>
      <c r="AI113" s="658"/>
      <c r="AJ113" s="376"/>
      <c r="AK113" s="376"/>
      <c r="AL113" s="376"/>
      <c r="AM113" s="370" t="e">
        <f t="shared" si="76"/>
        <v>#N/A</v>
      </c>
      <c r="AN113" s="658"/>
      <c r="AO113" s="376"/>
      <c r="AP113" s="376"/>
      <c r="AQ113" s="376"/>
      <c r="AR113" s="370" t="e">
        <f t="shared" si="77"/>
        <v>#N/A</v>
      </c>
      <c r="AS113" s="658"/>
      <c r="AT113" s="376"/>
      <c r="AU113" s="376"/>
      <c r="AV113" s="376"/>
      <c r="AW113" s="370" t="e">
        <f t="shared" si="78"/>
        <v>#N/A</v>
      </c>
      <c r="AX113" s="658"/>
    </row>
    <row r="114" spans="2:50">
      <c r="B114" s="627"/>
      <c r="C114" s="356">
        <v>8</v>
      </c>
      <c r="D114" s="228"/>
      <c r="E114" s="183"/>
      <c r="F114" s="356"/>
      <c r="G114" s="359"/>
      <c r="H114" s="662"/>
      <c r="I114" s="200"/>
      <c r="J114" s="200"/>
      <c r="K114" s="201"/>
      <c r="L114" s="601"/>
      <c r="M114" s="202" t="e">
        <f>RANK(K114, K$87:$K$101)</f>
        <v>#DIV/0!</v>
      </c>
      <c r="N114" s="619"/>
      <c r="O114" s="619"/>
      <c r="P114" s="356"/>
      <c r="Q114" s="356"/>
      <c r="R114" s="356"/>
      <c r="S114" s="370" t="e">
        <f t="shared" si="72"/>
        <v>#N/A</v>
      </c>
      <c r="T114" s="658"/>
      <c r="U114" s="376"/>
      <c r="V114" s="376"/>
      <c r="W114" s="376"/>
      <c r="X114" s="370" t="e">
        <f t="shared" si="73"/>
        <v>#N/A</v>
      </c>
      <c r="Y114" s="658"/>
      <c r="Z114" s="376"/>
      <c r="AA114" s="376"/>
      <c r="AB114" s="376"/>
      <c r="AC114" s="370" t="e">
        <f t="shared" si="74"/>
        <v>#N/A</v>
      </c>
      <c r="AD114" s="658"/>
      <c r="AE114" s="376"/>
      <c r="AF114" s="376"/>
      <c r="AG114" s="376"/>
      <c r="AH114" s="370" t="e">
        <f t="shared" si="75"/>
        <v>#N/A</v>
      </c>
      <c r="AI114" s="658"/>
      <c r="AJ114" s="376"/>
      <c r="AK114" s="376"/>
      <c r="AL114" s="376"/>
      <c r="AM114" s="370" t="e">
        <f t="shared" si="76"/>
        <v>#N/A</v>
      </c>
      <c r="AN114" s="658"/>
      <c r="AO114" s="376"/>
      <c r="AP114" s="376"/>
      <c r="AQ114" s="376"/>
      <c r="AR114" s="370" t="e">
        <f t="shared" si="77"/>
        <v>#N/A</v>
      </c>
      <c r="AS114" s="658"/>
      <c r="AT114" s="376"/>
      <c r="AU114" s="376"/>
      <c r="AV114" s="376"/>
      <c r="AW114" s="370" t="e">
        <f t="shared" si="78"/>
        <v>#N/A</v>
      </c>
      <c r="AX114" s="658"/>
    </row>
    <row r="115" spans="2:50">
      <c r="B115" s="627"/>
      <c r="C115" s="356">
        <v>9</v>
      </c>
      <c r="D115" s="228"/>
      <c r="E115" s="183"/>
      <c r="F115" s="356"/>
      <c r="G115" s="359"/>
      <c r="H115" s="662"/>
      <c r="I115" s="200"/>
      <c r="J115" s="200"/>
      <c r="K115" s="201"/>
      <c r="L115" s="601"/>
      <c r="M115" s="202" t="e">
        <f>RANK(K115, K$87:$K$101)</f>
        <v>#DIV/0!</v>
      </c>
      <c r="N115" s="619"/>
      <c r="O115" s="619"/>
      <c r="P115" s="356"/>
      <c r="Q115" s="356"/>
      <c r="R115" s="356"/>
      <c r="S115" s="370" t="e">
        <f t="shared" si="72"/>
        <v>#N/A</v>
      </c>
      <c r="T115" s="658"/>
      <c r="U115" s="376"/>
      <c r="V115" s="376"/>
      <c r="W115" s="376"/>
      <c r="X115" s="370" t="e">
        <f t="shared" si="73"/>
        <v>#N/A</v>
      </c>
      <c r="Y115" s="658"/>
      <c r="Z115" s="376"/>
      <c r="AA115" s="376"/>
      <c r="AB115" s="376"/>
      <c r="AC115" s="370" t="e">
        <f t="shared" si="74"/>
        <v>#N/A</v>
      </c>
      <c r="AD115" s="658"/>
      <c r="AE115" s="376"/>
      <c r="AF115" s="376"/>
      <c r="AG115" s="376"/>
      <c r="AH115" s="370" t="e">
        <f t="shared" si="75"/>
        <v>#N/A</v>
      </c>
      <c r="AI115" s="658"/>
      <c r="AJ115" s="376"/>
      <c r="AK115" s="376"/>
      <c r="AL115" s="376"/>
      <c r="AM115" s="370" t="e">
        <f t="shared" si="76"/>
        <v>#N/A</v>
      </c>
      <c r="AN115" s="658"/>
      <c r="AO115" s="376"/>
      <c r="AP115" s="376"/>
      <c r="AQ115" s="376"/>
      <c r="AR115" s="370" t="e">
        <f t="shared" si="77"/>
        <v>#N/A</v>
      </c>
      <c r="AS115" s="658"/>
      <c r="AT115" s="376"/>
      <c r="AU115" s="376"/>
      <c r="AV115" s="376"/>
      <c r="AW115" s="370" t="e">
        <f t="shared" si="78"/>
        <v>#N/A</v>
      </c>
      <c r="AX115" s="658"/>
    </row>
    <row r="116" spans="2:50">
      <c r="B116" s="627"/>
      <c r="C116" s="356">
        <v>10</v>
      </c>
      <c r="D116" s="228"/>
      <c r="E116" s="183"/>
      <c r="F116" s="356"/>
      <c r="G116" s="359"/>
      <c r="H116" s="662"/>
      <c r="I116" s="200"/>
      <c r="J116" s="200"/>
      <c r="K116" s="201"/>
      <c r="L116" s="601"/>
      <c r="M116" s="202" t="e">
        <f>RANK(K116, K$87:$K$101)</f>
        <v>#DIV/0!</v>
      </c>
      <c r="N116" s="619"/>
      <c r="O116" s="619"/>
      <c r="P116" s="356"/>
      <c r="Q116" s="356"/>
      <c r="R116" s="356"/>
      <c r="S116" s="370" t="e">
        <f t="shared" si="72"/>
        <v>#N/A</v>
      </c>
      <c r="T116" s="658"/>
      <c r="U116" s="376"/>
      <c r="V116" s="376"/>
      <c r="W116" s="376"/>
      <c r="X116" s="370" t="e">
        <f t="shared" si="73"/>
        <v>#N/A</v>
      </c>
      <c r="Y116" s="658"/>
      <c r="Z116" s="376"/>
      <c r="AA116" s="376"/>
      <c r="AB116" s="376"/>
      <c r="AC116" s="370" t="e">
        <f t="shared" si="74"/>
        <v>#N/A</v>
      </c>
      <c r="AD116" s="658"/>
      <c r="AE116" s="376"/>
      <c r="AF116" s="376"/>
      <c r="AG116" s="376"/>
      <c r="AH116" s="370" t="e">
        <f t="shared" si="75"/>
        <v>#N/A</v>
      </c>
      <c r="AI116" s="658"/>
      <c r="AJ116" s="376"/>
      <c r="AK116" s="376"/>
      <c r="AL116" s="376"/>
      <c r="AM116" s="370" t="e">
        <f t="shared" si="76"/>
        <v>#N/A</v>
      </c>
      <c r="AN116" s="658"/>
      <c r="AO116" s="376"/>
      <c r="AP116" s="376"/>
      <c r="AQ116" s="376"/>
      <c r="AR116" s="370" t="e">
        <f t="shared" si="77"/>
        <v>#N/A</v>
      </c>
      <c r="AS116" s="658"/>
      <c r="AT116" s="376"/>
      <c r="AU116" s="376"/>
      <c r="AV116" s="376"/>
      <c r="AW116" s="370" t="e">
        <f t="shared" si="78"/>
        <v>#N/A</v>
      </c>
      <c r="AX116" s="658"/>
    </row>
    <row r="117" spans="2:50">
      <c r="B117" s="627"/>
      <c r="C117" s="356">
        <v>11</v>
      </c>
      <c r="D117" s="228"/>
      <c r="E117" s="183"/>
      <c r="F117" s="356"/>
      <c r="G117" s="359"/>
      <c r="H117" s="662"/>
      <c r="I117" s="203"/>
      <c r="J117" s="203"/>
      <c r="K117" s="203"/>
      <c r="L117" s="601"/>
      <c r="M117" s="202" t="e">
        <f>RANK(K117, K$87:$K$101)</f>
        <v>#DIV/0!</v>
      </c>
      <c r="N117" s="619"/>
      <c r="O117" s="619"/>
      <c r="P117" s="356"/>
      <c r="Q117" s="356"/>
      <c r="R117" s="356"/>
      <c r="S117" s="370" t="e">
        <f t="shared" si="72"/>
        <v>#N/A</v>
      </c>
      <c r="T117" s="658"/>
      <c r="U117" s="376"/>
      <c r="V117" s="376"/>
      <c r="W117" s="376"/>
      <c r="X117" s="370" t="e">
        <f t="shared" si="73"/>
        <v>#N/A</v>
      </c>
      <c r="Y117" s="658"/>
      <c r="Z117" s="376"/>
      <c r="AA117" s="376"/>
      <c r="AB117" s="376"/>
      <c r="AC117" s="370" t="e">
        <f t="shared" si="74"/>
        <v>#N/A</v>
      </c>
      <c r="AD117" s="658"/>
      <c r="AE117" s="376"/>
      <c r="AF117" s="376"/>
      <c r="AG117" s="376"/>
      <c r="AH117" s="370" t="e">
        <f t="shared" si="75"/>
        <v>#N/A</v>
      </c>
      <c r="AI117" s="658"/>
      <c r="AJ117" s="376"/>
      <c r="AK117" s="376"/>
      <c r="AL117" s="376"/>
      <c r="AM117" s="370" t="e">
        <f t="shared" si="76"/>
        <v>#N/A</v>
      </c>
      <c r="AN117" s="658"/>
      <c r="AO117" s="376"/>
      <c r="AP117" s="376"/>
      <c r="AQ117" s="376"/>
      <c r="AR117" s="370" t="e">
        <f t="shared" si="77"/>
        <v>#N/A</v>
      </c>
      <c r="AS117" s="658"/>
      <c r="AT117" s="376"/>
      <c r="AU117" s="376"/>
      <c r="AV117" s="376"/>
      <c r="AW117" s="370" t="e">
        <f t="shared" si="78"/>
        <v>#N/A</v>
      </c>
      <c r="AX117" s="658"/>
    </row>
    <row r="118" spans="2:50">
      <c r="B118" s="627"/>
      <c r="C118" s="356">
        <v>12</v>
      </c>
      <c r="D118" s="228"/>
      <c r="E118" s="183"/>
      <c r="F118" s="356"/>
      <c r="G118" s="359"/>
      <c r="H118" s="662"/>
      <c r="I118" s="203"/>
      <c r="J118" s="203"/>
      <c r="K118" s="203"/>
      <c r="L118" s="601"/>
      <c r="M118" s="202" t="e">
        <f>RANK(K118, K$87:$K$101)</f>
        <v>#DIV/0!</v>
      </c>
      <c r="N118" s="619"/>
      <c r="O118" s="619"/>
      <c r="P118" s="356"/>
      <c r="Q118" s="356"/>
      <c r="R118" s="356"/>
      <c r="S118" s="370" t="e">
        <f t="shared" si="72"/>
        <v>#N/A</v>
      </c>
      <c r="T118" s="658"/>
      <c r="U118" s="376"/>
      <c r="V118" s="376"/>
      <c r="W118" s="376"/>
      <c r="X118" s="370" t="e">
        <f t="shared" si="73"/>
        <v>#N/A</v>
      </c>
      <c r="Y118" s="658"/>
      <c r="Z118" s="376"/>
      <c r="AA118" s="376"/>
      <c r="AB118" s="376"/>
      <c r="AC118" s="370" t="e">
        <f t="shared" si="74"/>
        <v>#N/A</v>
      </c>
      <c r="AD118" s="658"/>
      <c r="AE118" s="376"/>
      <c r="AF118" s="376"/>
      <c r="AG118" s="376"/>
      <c r="AH118" s="370" t="e">
        <f t="shared" si="75"/>
        <v>#N/A</v>
      </c>
      <c r="AI118" s="658"/>
      <c r="AJ118" s="376"/>
      <c r="AK118" s="376"/>
      <c r="AL118" s="376"/>
      <c r="AM118" s="370" t="e">
        <f t="shared" si="76"/>
        <v>#N/A</v>
      </c>
      <c r="AN118" s="658"/>
      <c r="AO118" s="376"/>
      <c r="AP118" s="376"/>
      <c r="AQ118" s="376"/>
      <c r="AR118" s="370" t="e">
        <f t="shared" si="77"/>
        <v>#N/A</v>
      </c>
      <c r="AS118" s="658"/>
      <c r="AT118" s="376"/>
      <c r="AU118" s="376"/>
      <c r="AV118" s="376"/>
      <c r="AW118" s="370" t="e">
        <f t="shared" si="78"/>
        <v>#N/A</v>
      </c>
      <c r="AX118" s="658"/>
    </row>
    <row r="119" spans="2:50">
      <c r="B119" s="627"/>
      <c r="C119" s="356">
        <v>13</v>
      </c>
      <c r="D119" s="228"/>
      <c r="E119" s="183"/>
      <c r="F119" s="356"/>
      <c r="G119" s="359"/>
      <c r="H119" s="662"/>
      <c r="I119" s="203"/>
      <c r="J119" s="203"/>
      <c r="K119" s="203"/>
      <c r="L119" s="601"/>
      <c r="M119" s="202" t="e">
        <f>RANK(K119, K$87:$K$101)</f>
        <v>#DIV/0!</v>
      </c>
      <c r="N119" s="619"/>
      <c r="O119" s="619"/>
      <c r="P119" s="356"/>
      <c r="Q119" s="356"/>
      <c r="R119" s="356"/>
      <c r="S119" s="370" t="e">
        <f t="shared" si="72"/>
        <v>#N/A</v>
      </c>
      <c r="T119" s="658"/>
      <c r="U119" s="376"/>
      <c r="V119" s="376"/>
      <c r="W119" s="376"/>
      <c r="X119" s="370" t="e">
        <f t="shared" si="73"/>
        <v>#N/A</v>
      </c>
      <c r="Y119" s="658"/>
      <c r="Z119" s="376"/>
      <c r="AA119" s="376"/>
      <c r="AB119" s="376"/>
      <c r="AC119" s="370" t="e">
        <f t="shared" si="74"/>
        <v>#N/A</v>
      </c>
      <c r="AD119" s="658"/>
      <c r="AE119" s="376"/>
      <c r="AF119" s="376"/>
      <c r="AG119" s="376"/>
      <c r="AH119" s="370" t="e">
        <f t="shared" si="75"/>
        <v>#N/A</v>
      </c>
      <c r="AI119" s="658"/>
      <c r="AJ119" s="376"/>
      <c r="AK119" s="376"/>
      <c r="AL119" s="376"/>
      <c r="AM119" s="370" t="e">
        <f t="shared" si="76"/>
        <v>#N/A</v>
      </c>
      <c r="AN119" s="658"/>
      <c r="AO119" s="376"/>
      <c r="AP119" s="376"/>
      <c r="AQ119" s="376"/>
      <c r="AR119" s="370" t="e">
        <f t="shared" si="77"/>
        <v>#N/A</v>
      </c>
      <c r="AS119" s="658"/>
      <c r="AT119" s="376"/>
      <c r="AU119" s="376"/>
      <c r="AV119" s="376"/>
      <c r="AW119" s="370" t="e">
        <f t="shared" si="78"/>
        <v>#N/A</v>
      </c>
      <c r="AX119" s="658"/>
    </row>
    <row r="120" spans="2:50">
      <c r="B120" s="627"/>
      <c r="C120" s="356">
        <v>14</v>
      </c>
      <c r="D120" s="228"/>
      <c r="E120" s="183"/>
      <c r="F120" s="356"/>
      <c r="G120" s="359"/>
      <c r="H120" s="662"/>
      <c r="I120" s="203"/>
      <c r="J120" s="203"/>
      <c r="K120" s="203"/>
      <c r="L120" s="601"/>
      <c r="M120" s="202" t="e">
        <f>RANK(K120, K$87:$K$101)</f>
        <v>#DIV/0!</v>
      </c>
      <c r="N120" s="619"/>
      <c r="O120" s="619"/>
      <c r="P120" s="356"/>
      <c r="Q120" s="356"/>
      <c r="R120" s="356"/>
      <c r="S120" s="370" t="e">
        <f t="shared" si="72"/>
        <v>#N/A</v>
      </c>
      <c r="T120" s="658"/>
      <c r="U120" s="376"/>
      <c r="V120" s="376"/>
      <c r="W120" s="376"/>
      <c r="X120" s="370" t="e">
        <f t="shared" si="73"/>
        <v>#N/A</v>
      </c>
      <c r="Y120" s="658"/>
      <c r="Z120" s="376"/>
      <c r="AA120" s="376"/>
      <c r="AB120" s="376"/>
      <c r="AC120" s="370" t="e">
        <f t="shared" si="74"/>
        <v>#N/A</v>
      </c>
      <c r="AD120" s="658"/>
      <c r="AE120" s="376"/>
      <c r="AF120" s="376"/>
      <c r="AG120" s="376"/>
      <c r="AH120" s="370" t="e">
        <f t="shared" si="75"/>
        <v>#N/A</v>
      </c>
      <c r="AI120" s="658"/>
      <c r="AJ120" s="376"/>
      <c r="AK120" s="376"/>
      <c r="AL120" s="376"/>
      <c r="AM120" s="370" t="e">
        <f t="shared" si="76"/>
        <v>#N/A</v>
      </c>
      <c r="AN120" s="658"/>
      <c r="AO120" s="376"/>
      <c r="AP120" s="376"/>
      <c r="AQ120" s="376"/>
      <c r="AR120" s="370" t="e">
        <f t="shared" si="77"/>
        <v>#N/A</v>
      </c>
      <c r="AS120" s="658"/>
      <c r="AT120" s="376"/>
      <c r="AU120" s="376"/>
      <c r="AV120" s="376"/>
      <c r="AW120" s="370" t="e">
        <f t="shared" si="78"/>
        <v>#N/A</v>
      </c>
      <c r="AX120" s="658"/>
    </row>
    <row r="121" spans="2:50">
      <c r="B121" s="627"/>
      <c r="C121" s="356">
        <v>15</v>
      </c>
      <c r="D121" s="228"/>
      <c r="E121" s="183"/>
      <c r="F121" s="356"/>
      <c r="G121" s="359"/>
      <c r="H121" s="663"/>
      <c r="I121" s="203"/>
      <c r="J121" s="203"/>
      <c r="K121" s="203"/>
      <c r="L121" s="602"/>
      <c r="M121" s="200" t="e">
        <f>RANK(K121, K$87:$K$101)</f>
        <v>#DIV/0!</v>
      </c>
      <c r="N121" s="619"/>
      <c r="O121" s="619"/>
      <c r="P121" s="356"/>
      <c r="Q121" s="356"/>
      <c r="R121" s="356"/>
      <c r="S121" s="370" t="e">
        <f t="shared" si="72"/>
        <v>#N/A</v>
      </c>
      <c r="T121" s="658"/>
      <c r="U121" s="376"/>
      <c r="V121" s="376"/>
      <c r="W121" s="376"/>
      <c r="X121" s="370" t="e">
        <f t="shared" si="73"/>
        <v>#N/A</v>
      </c>
      <c r="Y121" s="658"/>
      <c r="Z121" s="376"/>
      <c r="AA121" s="376"/>
      <c r="AB121" s="376"/>
      <c r="AC121" s="370" t="e">
        <f t="shared" si="74"/>
        <v>#N/A</v>
      </c>
      <c r="AD121" s="658"/>
      <c r="AE121" s="376"/>
      <c r="AF121" s="376"/>
      <c r="AG121" s="376"/>
      <c r="AH121" s="370" t="e">
        <f t="shared" si="75"/>
        <v>#N/A</v>
      </c>
      <c r="AI121" s="658"/>
      <c r="AJ121" s="376"/>
      <c r="AK121" s="376"/>
      <c r="AL121" s="376"/>
      <c r="AM121" s="370" t="e">
        <f t="shared" si="76"/>
        <v>#N/A</v>
      </c>
      <c r="AN121" s="658"/>
      <c r="AO121" s="376"/>
      <c r="AP121" s="376"/>
      <c r="AQ121" s="376"/>
      <c r="AR121" s="370" t="e">
        <f t="shared" si="77"/>
        <v>#N/A</v>
      </c>
      <c r="AS121" s="658"/>
      <c r="AT121" s="376"/>
      <c r="AU121" s="376"/>
      <c r="AV121" s="376"/>
      <c r="AW121" s="370" t="e">
        <f t="shared" si="78"/>
        <v>#N/A</v>
      </c>
      <c r="AX121" s="658"/>
    </row>
    <row r="123" spans="2:50" ht="15.5">
      <c r="B123" s="652" t="s">
        <v>712</v>
      </c>
      <c r="C123" s="653"/>
      <c r="D123" s="653"/>
      <c r="E123" s="653"/>
      <c r="F123" s="653"/>
      <c r="G123" s="653"/>
      <c r="H123" s="654"/>
      <c r="I123" s="360"/>
      <c r="J123" s="360"/>
      <c r="K123" s="360"/>
      <c r="L123" s="360"/>
      <c r="M123" s="361"/>
    </row>
    <row r="124" spans="2:50" ht="15.5">
      <c r="B124" s="655"/>
      <c r="C124" s="655"/>
      <c r="D124" s="655"/>
      <c r="E124" s="655"/>
      <c r="F124" s="655"/>
      <c r="G124" s="655"/>
      <c r="H124" s="655"/>
      <c r="I124" s="362"/>
      <c r="J124" s="362"/>
      <c r="K124" s="362"/>
      <c r="L124" s="362"/>
      <c r="M124" s="363"/>
    </row>
    <row r="125" spans="2:50">
      <c r="B125" s="619" t="s">
        <v>713</v>
      </c>
      <c r="C125" s="619" t="s">
        <v>714</v>
      </c>
      <c r="D125" s="619"/>
      <c r="E125" s="619" t="s">
        <v>715</v>
      </c>
      <c r="F125" s="619"/>
      <c r="G125" s="619"/>
      <c r="H125" s="635" t="s">
        <v>716</v>
      </c>
      <c r="I125" s="656" t="s">
        <v>717</v>
      </c>
      <c r="J125" s="656"/>
      <c r="K125" s="656"/>
      <c r="L125" s="672" t="s">
        <v>716</v>
      </c>
      <c r="M125" s="675" t="s">
        <v>718</v>
      </c>
    </row>
    <row r="126" spans="2:50">
      <c r="B126" s="619"/>
      <c r="C126" s="619"/>
      <c r="D126" s="619"/>
      <c r="E126" s="619" t="s">
        <v>719</v>
      </c>
      <c r="F126" s="619"/>
      <c r="G126" s="619"/>
      <c r="H126" s="636"/>
      <c r="I126" s="656" t="s">
        <v>719</v>
      </c>
      <c r="J126" s="656"/>
      <c r="K126" s="656"/>
      <c r="L126" s="673"/>
      <c r="M126" s="676"/>
    </row>
    <row r="127" spans="2:50">
      <c r="B127" s="619"/>
      <c r="C127" s="619"/>
      <c r="D127" s="619"/>
      <c r="E127" s="357" t="s">
        <v>720</v>
      </c>
      <c r="F127" s="357" t="s">
        <v>721</v>
      </c>
      <c r="G127" s="357" t="s">
        <v>722</v>
      </c>
      <c r="H127" s="637"/>
      <c r="I127" s="364" t="s">
        <v>720</v>
      </c>
      <c r="J127" s="364" t="s">
        <v>721</v>
      </c>
      <c r="K127" s="364" t="s">
        <v>722</v>
      </c>
      <c r="L127" s="674"/>
      <c r="M127" s="677"/>
    </row>
    <row r="128" spans="2:50">
      <c r="B128" s="619" t="s">
        <v>726</v>
      </c>
      <c r="C128" s="356">
        <v>1</v>
      </c>
      <c r="D128" s="228"/>
      <c r="E128" s="183"/>
      <c r="F128" s="356"/>
      <c r="G128" s="359"/>
      <c r="H128" s="661" t="e">
        <f>AVERAGE(G128:G142)</f>
        <v>#DIV/0!</v>
      </c>
      <c r="I128" s="200" t="e">
        <f t="shared" ref="I128:J128" si="79">AVERAGEIF($D$7:$D$121,$D128,I$7:I$121)</f>
        <v>#DIV/0!</v>
      </c>
      <c r="J128" s="200" t="e">
        <f t="shared" si="79"/>
        <v>#DIV/0!</v>
      </c>
      <c r="K128" s="200" t="e">
        <f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27"/>
      <c r="C129" s="356">
        <v>2</v>
      </c>
      <c r="D129" s="228"/>
      <c r="E129" s="183"/>
      <c r="F129" s="356"/>
      <c r="G129" s="359"/>
      <c r="H129" s="662"/>
      <c r="I129" s="200"/>
      <c r="J129" s="200"/>
      <c r="K129" s="200"/>
      <c r="L129" s="670"/>
      <c r="M129" s="200" t="e">
        <f>RANK(K129, K$128:$K$142)</f>
        <v>#DIV/0!</v>
      </c>
    </row>
    <row r="130" spans="2:13">
      <c r="B130" s="627"/>
      <c r="C130" s="356">
        <v>3</v>
      </c>
      <c r="D130" s="228"/>
      <c r="E130" s="183"/>
      <c r="F130" s="356"/>
      <c r="G130" s="359"/>
      <c r="H130" s="662"/>
      <c r="I130" s="200"/>
      <c r="J130" s="200"/>
      <c r="K130" s="200"/>
      <c r="L130" s="670"/>
      <c r="M130" s="200" t="e">
        <f>RANK(K130, K$128:$K$142)</f>
        <v>#DIV/0!</v>
      </c>
    </row>
    <row r="131" spans="2:13">
      <c r="B131" s="627"/>
      <c r="C131" s="356">
        <v>4</v>
      </c>
      <c r="D131" s="228"/>
      <c r="E131" s="183"/>
      <c r="F131" s="356"/>
      <c r="G131" s="359"/>
      <c r="H131" s="662"/>
      <c r="I131" s="200"/>
      <c r="J131" s="200"/>
      <c r="K131" s="200"/>
      <c r="L131" s="670"/>
      <c r="M131" s="200" t="e">
        <f>RANK(K131, K$128:$K$142)</f>
        <v>#DIV/0!</v>
      </c>
    </row>
    <row r="132" spans="2:13">
      <c r="B132" s="627"/>
      <c r="C132" s="356">
        <v>5</v>
      </c>
      <c r="D132" s="228"/>
      <c r="E132" s="183"/>
      <c r="F132" s="356"/>
      <c r="G132" s="359"/>
      <c r="H132" s="662"/>
      <c r="I132" s="200"/>
      <c r="J132" s="200"/>
      <c r="K132" s="200"/>
      <c r="L132" s="670"/>
      <c r="M132" s="200" t="e">
        <f>RANK(K132, K$128:$K$142)</f>
        <v>#DIV/0!</v>
      </c>
    </row>
    <row r="133" spans="2:13">
      <c r="B133" s="627"/>
      <c r="C133" s="356">
        <v>6</v>
      </c>
      <c r="D133" s="365"/>
      <c r="E133" s="183"/>
      <c r="F133" s="356"/>
      <c r="G133" s="359"/>
      <c r="H133" s="662"/>
      <c r="I133" s="200"/>
      <c r="J133" s="200"/>
      <c r="K133" s="200"/>
      <c r="L133" s="670"/>
      <c r="M133" s="200" t="e">
        <f>RANK(K133, K$128:$K$142)</f>
        <v>#DIV/0!</v>
      </c>
    </row>
    <row r="134" spans="2:13">
      <c r="B134" s="627"/>
      <c r="C134" s="356">
        <v>7</v>
      </c>
      <c r="D134" s="228"/>
      <c r="E134" s="183"/>
      <c r="F134" s="356"/>
      <c r="G134" s="359"/>
      <c r="H134" s="662"/>
      <c r="I134" s="200"/>
      <c r="J134" s="200"/>
      <c r="K134" s="200"/>
      <c r="L134" s="670"/>
      <c r="M134" s="200" t="e">
        <f>RANK(K134, K$128:$K$142)</f>
        <v>#DIV/0!</v>
      </c>
    </row>
    <row r="135" spans="2:13">
      <c r="B135" s="627"/>
      <c r="C135" s="356">
        <v>8</v>
      </c>
      <c r="D135" s="228"/>
      <c r="E135" s="183"/>
      <c r="F135" s="356"/>
      <c r="G135" s="359"/>
      <c r="H135" s="662"/>
      <c r="I135" s="200"/>
      <c r="J135" s="200"/>
      <c r="K135" s="200"/>
      <c r="L135" s="670"/>
      <c r="M135" s="200" t="e">
        <f>RANK(K135, K$128:$K$142)</f>
        <v>#DIV/0!</v>
      </c>
    </row>
    <row r="136" spans="2:13">
      <c r="B136" s="627"/>
      <c r="C136" s="356">
        <v>9</v>
      </c>
      <c r="D136" s="228"/>
      <c r="E136" s="356"/>
      <c r="F136" s="356"/>
      <c r="G136" s="356"/>
      <c r="H136" s="662"/>
      <c r="I136" s="200"/>
      <c r="J136" s="200"/>
      <c r="K136" s="200"/>
      <c r="L136" s="670"/>
      <c r="M136" s="200" t="e">
        <f>RANK(K136, K$128:$K$142)</f>
        <v>#DIV/0!</v>
      </c>
    </row>
    <row r="137" spans="2:13">
      <c r="B137" s="627"/>
      <c r="C137" s="356">
        <v>10</v>
      </c>
      <c r="D137" s="228"/>
      <c r="E137" s="356"/>
      <c r="F137" s="356"/>
      <c r="G137" s="356"/>
      <c r="H137" s="662"/>
      <c r="I137" s="200"/>
      <c r="J137" s="200"/>
      <c r="K137" s="200"/>
      <c r="L137" s="670"/>
      <c r="M137" s="200" t="e">
        <f>RANK(K137, K$128:$K$142)</f>
        <v>#DIV/0!</v>
      </c>
    </row>
    <row r="138" spans="2:13">
      <c r="B138" s="627"/>
      <c r="C138" s="356">
        <v>11</v>
      </c>
      <c r="D138" s="228"/>
      <c r="E138" s="356"/>
      <c r="F138" s="356"/>
      <c r="G138" s="356"/>
      <c r="H138" s="662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27"/>
      <c r="C139" s="356">
        <v>12</v>
      </c>
      <c r="D139" s="228"/>
      <c r="E139" s="356"/>
      <c r="F139" s="356"/>
      <c r="G139" s="356"/>
      <c r="H139" s="662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27"/>
      <c r="C140" s="356">
        <v>13</v>
      </c>
      <c r="D140" s="228"/>
      <c r="E140" s="356"/>
      <c r="F140" s="356"/>
      <c r="G140" s="356"/>
      <c r="H140" s="662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27"/>
      <c r="C141" s="356">
        <v>14</v>
      </c>
      <c r="D141" s="228"/>
      <c r="E141" s="356"/>
      <c r="F141" s="356"/>
      <c r="G141" s="356"/>
      <c r="H141" s="662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27"/>
      <c r="C142" s="356">
        <v>15</v>
      </c>
      <c r="D142" s="228"/>
      <c r="E142" s="356"/>
      <c r="F142" s="356"/>
      <c r="G142" s="356"/>
      <c r="H142" s="663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zoomScale="55" zoomScaleNormal="55" workbookViewId="0">
      <pane xSplit="15" topLeftCell="P1" activePane="topRight" state="frozen"/>
      <selection activeCell="P37" sqref="P37:T37"/>
      <selection pane="topRight" activeCell="D94" sqref="D94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AVERAGE(L7,L42,L77,L112,L147,L182)</f>
        <v>87.269122395697039</v>
      </c>
    </row>
    <row r="2" spans="1:54" ht="15.5">
      <c r="A2" s="81"/>
      <c r="B2" s="631" t="s">
        <v>163</v>
      </c>
      <c r="C2" s="631"/>
      <c r="D2" s="631"/>
      <c r="E2" s="631"/>
      <c r="F2" s="631"/>
      <c r="G2" s="631"/>
      <c r="H2" s="631"/>
      <c r="I2" s="318"/>
      <c r="J2" s="318"/>
      <c r="K2" s="318"/>
      <c r="L2" s="318"/>
      <c r="M2" s="198"/>
      <c r="N2" s="620" t="s">
        <v>156</v>
      </c>
      <c r="O2" s="620" t="s">
        <v>155</v>
      </c>
      <c r="P2" s="623">
        <v>45986</v>
      </c>
      <c r="Q2" s="624"/>
      <c r="R2" s="624"/>
      <c r="S2" s="624"/>
      <c r="T2" s="625"/>
      <c r="U2" s="626">
        <f>P2+1</f>
        <v>45987</v>
      </c>
      <c r="V2" s="627"/>
      <c r="W2" s="627"/>
      <c r="X2" s="627"/>
      <c r="Y2" s="627"/>
      <c r="Z2" s="626">
        <f>U2+1</f>
        <v>45988</v>
      </c>
      <c r="AA2" s="627"/>
      <c r="AB2" s="627"/>
      <c r="AC2" s="627"/>
      <c r="AD2" s="627"/>
      <c r="AE2" s="626">
        <f>Z2+1</f>
        <v>45989</v>
      </c>
      <c r="AF2" s="627"/>
      <c r="AG2" s="627"/>
      <c r="AH2" s="627"/>
      <c r="AI2" s="627"/>
      <c r="AJ2" s="626">
        <f>AE2+1</f>
        <v>45990</v>
      </c>
      <c r="AK2" s="627"/>
      <c r="AL2" s="627"/>
      <c r="AM2" s="627"/>
      <c r="AN2" s="627"/>
      <c r="AO2" s="626">
        <f>AJ2+1</f>
        <v>45991</v>
      </c>
      <c r="AP2" s="627"/>
      <c r="AQ2" s="627"/>
      <c r="AR2" s="627"/>
      <c r="AS2" s="627"/>
      <c r="AT2" s="626">
        <f>AO2+1</f>
        <v>45992</v>
      </c>
      <c r="AU2" s="627"/>
      <c r="AV2" s="627"/>
      <c r="AW2" s="627"/>
      <c r="AX2" s="627"/>
    </row>
    <row r="3" spans="1:54" ht="15.5">
      <c r="A3" s="81"/>
      <c r="B3" s="651"/>
      <c r="C3" s="651"/>
      <c r="D3" s="651"/>
      <c r="E3" s="651"/>
      <c r="F3" s="651"/>
      <c r="G3" s="651"/>
      <c r="H3" s="651"/>
      <c r="I3" s="319"/>
      <c r="J3" s="319"/>
      <c r="K3" s="319"/>
      <c r="L3" s="319"/>
      <c r="M3" s="199"/>
      <c r="N3" s="622"/>
      <c r="O3" s="622"/>
      <c r="P3" s="623" t="s">
        <v>158</v>
      </c>
      <c r="Q3" s="624"/>
      <c r="R3" s="624"/>
      <c r="S3" s="624"/>
      <c r="T3" s="625"/>
      <c r="U3" s="623" t="s">
        <v>114</v>
      </c>
      <c r="V3" s="624"/>
      <c r="W3" s="624"/>
      <c r="X3" s="624"/>
      <c r="Y3" s="625"/>
      <c r="Z3" s="623" t="s">
        <v>159</v>
      </c>
      <c r="AA3" s="624"/>
      <c r="AB3" s="624"/>
      <c r="AC3" s="624"/>
      <c r="AD3" s="625"/>
      <c r="AE3" s="623" t="s">
        <v>157</v>
      </c>
      <c r="AF3" s="624"/>
      <c r="AG3" s="624"/>
      <c r="AH3" s="624"/>
      <c r="AI3" s="625"/>
      <c r="AJ3" s="623" t="s">
        <v>160</v>
      </c>
      <c r="AK3" s="624"/>
      <c r="AL3" s="624"/>
      <c r="AM3" s="624"/>
      <c r="AN3" s="625"/>
      <c r="AO3" s="623" t="s">
        <v>161</v>
      </c>
      <c r="AP3" s="624"/>
      <c r="AQ3" s="624"/>
      <c r="AR3" s="624"/>
      <c r="AS3" s="625"/>
      <c r="AT3" s="623" t="s">
        <v>162</v>
      </c>
      <c r="AU3" s="624"/>
      <c r="AV3" s="624"/>
      <c r="AW3" s="624"/>
      <c r="AX3" s="625"/>
    </row>
    <row r="4" spans="1:54">
      <c r="A4" s="81"/>
      <c r="B4" s="619" t="s">
        <v>502</v>
      </c>
      <c r="C4" s="619" t="s">
        <v>503</v>
      </c>
      <c r="D4" s="619"/>
      <c r="E4" s="619" t="s">
        <v>504</v>
      </c>
      <c r="F4" s="619"/>
      <c r="G4" s="619"/>
      <c r="H4" s="635" t="s">
        <v>505</v>
      </c>
      <c r="I4" s="603" t="s">
        <v>506</v>
      </c>
      <c r="J4" s="603"/>
      <c r="K4" s="603"/>
      <c r="L4" s="604" t="s">
        <v>505</v>
      </c>
      <c r="M4" s="610" t="s">
        <v>507</v>
      </c>
      <c r="N4" s="619"/>
      <c r="O4" s="619" t="s">
        <v>508</v>
      </c>
      <c r="P4" s="616" t="s">
        <v>509</v>
      </c>
      <c r="Q4" s="617"/>
      <c r="R4" s="617"/>
      <c r="S4" s="618"/>
      <c r="T4" s="619" t="s">
        <v>505</v>
      </c>
      <c r="U4" s="616" t="s">
        <v>509</v>
      </c>
      <c r="V4" s="617"/>
      <c r="W4" s="617"/>
      <c r="X4" s="618"/>
      <c r="Y4" s="619" t="s">
        <v>505</v>
      </c>
      <c r="Z4" s="616" t="s">
        <v>509</v>
      </c>
      <c r="AA4" s="617"/>
      <c r="AB4" s="617"/>
      <c r="AC4" s="618"/>
      <c r="AD4" s="619" t="s">
        <v>505</v>
      </c>
      <c r="AE4" s="616" t="s">
        <v>509</v>
      </c>
      <c r="AF4" s="617"/>
      <c r="AG4" s="617"/>
      <c r="AH4" s="618"/>
      <c r="AI4" s="619" t="s">
        <v>505</v>
      </c>
      <c r="AJ4" s="616" t="s">
        <v>509</v>
      </c>
      <c r="AK4" s="617"/>
      <c r="AL4" s="617"/>
      <c r="AM4" s="618"/>
      <c r="AN4" s="619" t="s">
        <v>505</v>
      </c>
      <c r="AO4" s="616" t="s">
        <v>509</v>
      </c>
      <c r="AP4" s="617"/>
      <c r="AQ4" s="617"/>
      <c r="AR4" s="618"/>
      <c r="AS4" s="619" t="s">
        <v>505</v>
      </c>
      <c r="AT4" s="616" t="s">
        <v>509</v>
      </c>
      <c r="AU4" s="617"/>
      <c r="AV4" s="617"/>
      <c r="AW4" s="618"/>
      <c r="AX4" s="619" t="s">
        <v>505</v>
      </c>
    </row>
    <row r="5" spans="1:54">
      <c r="A5" s="81"/>
      <c r="B5" s="619"/>
      <c r="C5" s="619"/>
      <c r="D5" s="619"/>
      <c r="E5" s="619" t="s">
        <v>510</v>
      </c>
      <c r="F5" s="619"/>
      <c r="G5" s="619"/>
      <c r="H5" s="636"/>
      <c r="I5" s="603" t="s">
        <v>510</v>
      </c>
      <c r="J5" s="603"/>
      <c r="K5" s="603"/>
      <c r="L5" s="605"/>
      <c r="M5" s="611"/>
      <c r="N5" s="619"/>
      <c r="O5" s="619"/>
      <c r="P5" s="616" t="s">
        <v>511</v>
      </c>
      <c r="Q5" s="617"/>
      <c r="R5" s="617"/>
      <c r="S5" s="618"/>
      <c r="T5" s="619"/>
      <c r="U5" s="616" t="s">
        <v>511</v>
      </c>
      <c r="V5" s="617"/>
      <c r="W5" s="617"/>
      <c r="X5" s="618"/>
      <c r="Y5" s="619"/>
      <c r="Z5" s="616" t="s">
        <v>511</v>
      </c>
      <c r="AA5" s="617"/>
      <c r="AB5" s="617"/>
      <c r="AC5" s="618"/>
      <c r="AD5" s="619"/>
      <c r="AE5" s="616" t="s">
        <v>511</v>
      </c>
      <c r="AF5" s="617"/>
      <c r="AG5" s="617"/>
      <c r="AH5" s="618"/>
      <c r="AI5" s="619"/>
      <c r="AJ5" s="616" t="s">
        <v>511</v>
      </c>
      <c r="AK5" s="617"/>
      <c r="AL5" s="617"/>
      <c r="AM5" s="618"/>
      <c r="AN5" s="619"/>
      <c r="AO5" s="616" t="s">
        <v>511</v>
      </c>
      <c r="AP5" s="617"/>
      <c r="AQ5" s="617"/>
      <c r="AR5" s="618"/>
      <c r="AS5" s="619"/>
      <c r="AT5" s="616" t="s">
        <v>511</v>
      </c>
      <c r="AU5" s="617"/>
      <c r="AV5" s="617"/>
      <c r="AW5" s="618"/>
      <c r="AX5" s="619"/>
    </row>
    <row r="6" spans="1:54">
      <c r="A6" s="79"/>
      <c r="B6" s="619"/>
      <c r="C6" s="619"/>
      <c r="D6" s="619"/>
      <c r="E6" s="473" t="s">
        <v>512</v>
      </c>
      <c r="F6" s="473" t="s">
        <v>513</v>
      </c>
      <c r="G6" s="473" t="s">
        <v>514</v>
      </c>
      <c r="H6" s="637"/>
      <c r="I6" s="474" t="s">
        <v>512</v>
      </c>
      <c r="J6" s="474" t="s">
        <v>513</v>
      </c>
      <c r="K6" s="474" t="s">
        <v>514</v>
      </c>
      <c r="L6" s="606"/>
      <c r="M6" s="612"/>
      <c r="N6" s="619"/>
      <c r="O6" s="619"/>
      <c r="P6" s="473" t="s">
        <v>512</v>
      </c>
      <c r="Q6" s="473" t="s">
        <v>513</v>
      </c>
      <c r="R6" s="473" t="s">
        <v>514</v>
      </c>
      <c r="S6" s="473" t="s">
        <v>507</v>
      </c>
      <c r="T6" s="619"/>
      <c r="U6" s="473" t="s">
        <v>512</v>
      </c>
      <c r="V6" s="473" t="s">
        <v>513</v>
      </c>
      <c r="W6" s="473" t="s">
        <v>514</v>
      </c>
      <c r="X6" s="473" t="s">
        <v>507</v>
      </c>
      <c r="Y6" s="619"/>
      <c r="Z6" s="473" t="s">
        <v>512</v>
      </c>
      <c r="AA6" s="473" t="s">
        <v>513</v>
      </c>
      <c r="AB6" s="473" t="s">
        <v>514</v>
      </c>
      <c r="AC6" s="473" t="s">
        <v>507</v>
      </c>
      <c r="AD6" s="619"/>
      <c r="AE6" s="473" t="s">
        <v>512</v>
      </c>
      <c r="AF6" s="473" t="s">
        <v>513</v>
      </c>
      <c r="AG6" s="473" t="s">
        <v>514</v>
      </c>
      <c r="AH6" s="473" t="s">
        <v>507</v>
      </c>
      <c r="AI6" s="619"/>
      <c r="AJ6" s="473" t="s">
        <v>512</v>
      </c>
      <c r="AK6" s="473" t="s">
        <v>513</v>
      </c>
      <c r="AL6" s="473" t="s">
        <v>514</v>
      </c>
      <c r="AM6" s="473" t="s">
        <v>507</v>
      </c>
      <c r="AN6" s="619"/>
      <c r="AO6" s="473" t="s">
        <v>512</v>
      </c>
      <c r="AP6" s="473" t="s">
        <v>513</v>
      </c>
      <c r="AQ6" s="473" t="s">
        <v>514</v>
      </c>
      <c r="AR6" s="473" t="s">
        <v>507</v>
      </c>
      <c r="AS6" s="619"/>
      <c r="AT6" s="473" t="s">
        <v>512</v>
      </c>
      <c r="AU6" s="473" t="s">
        <v>513</v>
      </c>
      <c r="AV6" s="473" t="s">
        <v>514</v>
      </c>
      <c r="AW6" s="473" t="s">
        <v>507</v>
      </c>
      <c r="AX6" s="619"/>
    </row>
    <row r="7" spans="1:54">
      <c r="A7" s="81"/>
      <c r="B7" s="619" t="s">
        <v>515</v>
      </c>
      <c r="C7" s="470">
        <v>1</v>
      </c>
      <c r="D7" s="228" t="s">
        <v>376</v>
      </c>
      <c r="E7" s="183">
        <v>6</v>
      </c>
      <c r="F7" s="470">
        <v>1600</v>
      </c>
      <c r="G7" s="471">
        <v>266.66666666666669</v>
      </c>
      <c r="H7" s="661">
        <f>AVERAGE(G7:G36)</f>
        <v>98.811670602789007</v>
      </c>
      <c r="I7" s="472">
        <f>AVERAGE(P7,U7,Z7,AE7,AJ7,AO7,AT7)</f>
        <v>6</v>
      </c>
      <c r="J7" s="472">
        <f>AVERAGE(Q7,V7,AA7,AF7,AK7,AP7,AU7)</f>
        <v>1516.6903553299487</v>
      </c>
      <c r="K7" s="201">
        <f>AVERAGE(R7,W7,AB7,AG7,AL7,AQ7,AV7)</f>
        <v>252.78172588832479</v>
      </c>
      <c r="L7" s="600">
        <f>IFERROR(AVERAGE(K7:K36),"-")</f>
        <v>87.459454242736371</v>
      </c>
      <c r="M7" s="475">
        <f>RANK(K7, $K$7:K$36)</f>
        <v>1</v>
      </c>
      <c r="N7" s="619"/>
      <c r="O7" s="619"/>
      <c r="P7" s="183"/>
      <c r="Q7" s="183"/>
      <c r="R7" s="183"/>
      <c r="S7" s="470" t="e">
        <f t="shared" ref="S7:S36" si="0">RANK(R7, R$7:R$36)</f>
        <v>#N/A</v>
      </c>
      <c r="T7" s="658" t="e">
        <f>AVERAGE(R7:R36)</f>
        <v>#DIV/0!</v>
      </c>
      <c r="U7" s="183"/>
      <c r="V7" s="183"/>
      <c r="W7" s="183"/>
      <c r="X7" s="470" t="e">
        <f t="shared" ref="X7:X36" si="1">RANK(W7, W$7:W$36)</f>
        <v>#N/A</v>
      </c>
      <c r="Y7" s="658" t="e">
        <f>AVERAGE(W7:W36)</f>
        <v>#DIV/0!</v>
      </c>
      <c r="Z7" s="183"/>
      <c r="AA7" s="183"/>
      <c r="AB7" s="183"/>
      <c r="AC7" s="470" t="e">
        <f t="shared" ref="AC7:AC36" si="2">RANK(AB7, AB$7:AB$36)</f>
        <v>#N/A</v>
      </c>
      <c r="AD7" s="658" t="e">
        <f>AVERAGE(AB7:AB36)</f>
        <v>#DIV/0!</v>
      </c>
      <c r="AE7" s="183"/>
      <c r="AF7" s="183"/>
      <c r="AG7" s="183"/>
      <c r="AH7" s="470" t="e">
        <f t="shared" ref="AH7:AH36" si="3">RANK(AG7, AG$7:AG$36)</f>
        <v>#N/A</v>
      </c>
      <c r="AI7" s="658" t="e">
        <f>AVERAGE(AG7:AG36)</f>
        <v>#DIV/0!</v>
      </c>
      <c r="AJ7" s="183"/>
      <c r="AK7" s="183"/>
      <c r="AL7" s="183"/>
      <c r="AM7" s="470" t="e">
        <f t="shared" ref="AM7:AM36" si="4">RANK(AL7, AL$7:AL$36)</f>
        <v>#N/A</v>
      </c>
      <c r="AN7" s="658" t="e">
        <f>AVERAGE(AL7:AL36)</f>
        <v>#DIV/0!</v>
      </c>
      <c r="AO7" s="183"/>
      <c r="AP7" s="183"/>
      <c r="AQ7" s="183"/>
      <c r="AR7" s="470" t="e">
        <f t="shared" ref="AR7:AR36" si="5">RANK(AQ7, AQ$7:AQ$36)</f>
        <v>#N/A</v>
      </c>
      <c r="AS7" s="658" t="e">
        <f>AVERAGE(AQ7:AQ36)</f>
        <v>#DIV/0!</v>
      </c>
      <c r="AT7" s="183">
        <v>6</v>
      </c>
      <c r="AU7" s="183">
        <v>1516.6903553299487</v>
      </c>
      <c r="AV7" s="183">
        <v>252.78172588832479</v>
      </c>
      <c r="AW7" s="470">
        <f t="shared" ref="AW7:AW36" si="6">RANK(AV7, AV$7:AV$36)</f>
        <v>1</v>
      </c>
      <c r="AX7" s="658">
        <f>AVERAGE(AV7:AV36)</f>
        <v>86.296928392236623</v>
      </c>
      <c r="AZ7" s="379" t="e">
        <f>RANK(AX7, $K$7:AX$36)</f>
        <v>#N/A</v>
      </c>
      <c r="BB7" s="376" t="e">
        <f t="shared" ref="BB7:BB36" si="7">RANK(BA7, BA$7:BA$36)</f>
        <v>#N/A</v>
      </c>
    </row>
    <row r="8" spans="1:54" ht="15" customHeight="1">
      <c r="A8" s="81"/>
      <c r="B8" s="627"/>
      <c r="C8" s="470">
        <v>2</v>
      </c>
      <c r="D8" s="228" t="s">
        <v>400</v>
      </c>
      <c r="E8" s="183">
        <v>6</v>
      </c>
      <c r="F8" s="470">
        <v>1500</v>
      </c>
      <c r="G8" s="471">
        <v>250</v>
      </c>
      <c r="H8" s="662"/>
      <c r="I8" s="472">
        <f t="shared" ref="I8:I31" si="8">AVERAGE(P8,U8,Z8,AE8,AJ8,AO8,AT8)</f>
        <v>6</v>
      </c>
      <c r="J8" s="472">
        <f t="shared" ref="J8:J31" si="9">AVERAGE(Q8,V8,AA8,AF8,AK8,AP8,AU8)</f>
        <v>1499.3814432989689</v>
      </c>
      <c r="K8" s="201">
        <f t="shared" ref="K8:K31" si="10">AVERAGE(R8,W8,AB8,AG8,AL8,AQ8,AV8)</f>
        <v>249.89690721649481</v>
      </c>
      <c r="L8" s="601"/>
      <c r="M8" s="475">
        <f>RANK(K8, $K$7:K$36)</f>
        <v>2</v>
      </c>
      <c r="N8" s="619"/>
      <c r="O8" s="619"/>
      <c r="P8" s="183"/>
      <c r="Q8" s="183"/>
      <c r="R8" s="183"/>
      <c r="S8" s="470" t="e">
        <f t="shared" si="0"/>
        <v>#N/A</v>
      </c>
      <c r="T8" s="658"/>
      <c r="U8" s="183"/>
      <c r="V8" s="183"/>
      <c r="W8" s="183"/>
      <c r="X8" s="470" t="e">
        <f t="shared" si="1"/>
        <v>#N/A</v>
      </c>
      <c r="Y8" s="658"/>
      <c r="Z8" s="183"/>
      <c r="AA8" s="183"/>
      <c r="AB8" s="183"/>
      <c r="AC8" s="470" t="e">
        <f t="shared" si="2"/>
        <v>#N/A</v>
      </c>
      <c r="AD8" s="658"/>
      <c r="AE8" s="183"/>
      <c r="AF8" s="183"/>
      <c r="AG8" s="183"/>
      <c r="AH8" s="470" t="e">
        <f t="shared" si="3"/>
        <v>#N/A</v>
      </c>
      <c r="AI8" s="658"/>
      <c r="AJ8" s="183"/>
      <c r="AK8" s="183"/>
      <c r="AL8" s="183"/>
      <c r="AM8" s="470" t="e">
        <f t="shared" si="4"/>
        <v>#N/A</v>
      </c>
      <c r="AN8" s="658"/>
      <c r="AO8" s="183"/>
      <c r="AP8" s="183"/>
      <c r="AQ8" s="183"/>
      <c r="AR8" s="470" t="e">
        <f t="shared" si="5"/>
        <v>#N/A</v>
      </c>
      <c r="AS8" s="658"/>
      <c r="AT8" s="183">
        <v>6</v>
      </c>
      <c r="AU8" s="183">
        <v>1499.3814432989689</v>
      </c>
      <c r="AV8" s="183">
        <v>249.89690721649481</v>
      </c>
      <c r="AW8" s="470">
        <f t="shared" si="6"/>
        <v>2</v>
      </c>
      <c r="AX8" s="658"/>
      <c r="AZ8" s="379" t="e">
        <f>RANK(AX8, $K$7:AX$36)</f>
        <v>#N/A</v>
      </c>
      <c r="BB8" s="376" t="e">
        <f t="shared" si="7"/>
        <v>#N/A</v>
      </c>
    </row>
    <row r="9" spans="1:54">
      <c r="A9" s="81"/>
      <c r="B9" s="627"/>
      <c r="C9" s="470">
        <v>3</v>
      </c>
      <c r="D9" s="228" t="s">
        <v>377</v>
      </c>
      <c r="E9" s="183">
        <v>17</v>
      </c>
      <c r="F9" s="470">
        <v>1500</v>
      </c>
      <c r="G9" s="471">
        <v>88.235294117647058</v>
      </c>
      <c r="H9" s="662"/>
      <c r="I9" s="472">
        <f t="shared" si="8"/>
        <v>17</v>
      </c>
      <c r="J9" s="472">
        <f t="shared" si="9"/>
        <v>1247.8651685393259</v>
      </c>
      <c r="K9" s="201">
        <f t="shared" si="10"/>
        <v>73.403833443489759</v>
      </c>
      <c r="L9" s="601"/>
      <c r="M9" s="475">
        <f>RANK(K9, $K$7:K$36)</f>
        <v>14</v>
      </c>
      <c r="N9" s="619"/>
      <c r="O9" s="619"/>
      <c r="P9" s="183"/>
      <c r="Q9" s="183"/>
      <c r="R9" s="183"/>
      <c r="S9" s="470" t="e">
        <f t="shared" si="0"/>
        <v>#N/A</v>
      </c>
      <c r="T9" s="658"/>
      <c r="U9" s="183"/>
      <c r="V9" s="183"/>
      <c r="W9" s="183"/>
      <c r="X9" s="470" t="e">
        <f t="shared" si="1"/>
        <v>#N/A</v>
      </c>
      <c r="Y9" s="658"/>
      <c r="Z9" s="183"/>
      <c r="AA9" s="183"/>
      <c r="AB9" s="183"/>
      <c r="AC9" s="470" t="e">
        <f t="shared" si="2"/>
        <v>#N/A</v>
      </c>
      <c r="AD9" s="658"/>
      <c r="AE9" s="183"/>
      <c r="AF9" s="183"/>
      <c r="AG9" s="183"/>
      <c r="AH9" s="470" t="e">
        <f t="shared" si="3"/>
        <v>#N/A</v>
      </c>
      <c r="AI9" s="658"/>
      <c r="AJ9" s="183"/>
      <c r="AK9" s="183"/>
      <c r="AL9" s="183"/>
      <c r="AM9" s="470" t="e">
        <f t="shared" si="4"/>
        <v>#N/A</v>
      </c>
      <c r="AN9" s="658"/>
      <c r="AO9" s="183"/>
      <c r="AP9" s="183"/>
      <c r="AQ9" s="183"/>
      <c r="AR9" s="470" t="e">
        <f t="shared" si="5"/>
        <v>#N/A</v>
      </c>
      <c r="AS9" s="658"/>
      <c r="AT9" s="183">
        <v>17</v>
      </c>
      <c r="AU9" s="183">
        <v>1247.8651685393259</v>
      </c>
      <c r="AV9" s="183">
        <v>73.403833443489759</v>
      </c>
      <c r="AW9" s="470">
        <f t="shared" si="6"/>
        <v>14</v>
      </c>
      <c r="AX9" s="658"/>
      <c r="AZ9" s="379" t="e">
        <f>RANK(AX9, $K$7:AX$36)</f>
        <v>#N/A</v>
      </c>
      <c r="BB9" s="376" t="e">
        <f t="shared" si="7"/>
        <v>#N/A</v>
      </c>
    </row>
    <row r="10" spans="1:54">
      <c r="A10" s="81"/>
      <c r="B10" s="627"/>
      <c r="C10" s="470">
        <v>4</v>
      </c>
      <c r="D10" s="228" t="s">
        <v>357</v>
      </c>
      <c r="E10" s="183">
        <v>19</v>
      </c>
      <c r="F10" s="470">
        <v>1500</v>
      </c>
      <c r="G10" s="471">
        <v>78.94736842105263</v>
      </c>
      <c r="H10" s="662"/>
      <c r="I10" s="472">
        <f t="shared" si="8"/>
        <v>19</v>
      </c>
      <c r="J10" s="472">
        <f t="shared" si="9"/>
        <v>1261.2244897959188</v>
      </c>
      <c r="K10" s="201">
        <f t="shared" si="10"/>
        <v>66.380236305048356</v>
      </c>
      <c r="L10" s="601"/>
      <c r="M10" s="475">
        <f>RANK(K10, $K$7:K$36)</f>
        <v>24</v>
      </c>
      <c r="N10" s="619"/>
      <c r="O10" s="619"/>
      <c r="P10" s="183"/>
      <c r="Q10" s="183"/>
      <c r="R10" s="183"/>
      <c r="S10" s="470" t="e">
        <f t="shared" si="0"/>
        <v>#N/A</v>
      </c>
      <c r="T10" s="658"/>
      <c r="U10" s="183"/>
      <c r="V10" s="183"/>
      <c r="W10" s="183"/>
      <c r="X10" s="470" t="e">
        <f t="shared" si="1"/>
        <v>#N/A</v>
      </c>
      <c r="Y10" s="658"/>
      <c r="Z10" s="183"/>
      <c r="AA10" s="183"/>
      <c r="AB10" s="183"/>
      <c r="AC10" s="470" t="e">
        <f t="shared" si="2"/>
        <v>#N/A</v>
      </c>
      <c r="AD10" s="658"/>
      <c r="AE10" s="183"/>
      <c r="AF10" s="183"/>
      <c r="AG10" s="183"/>
      <c r="AH10" s="470" t="e">
        <f t="shared" si="3"/>
        <v>#N/A</v>
      </c>
      <c r="AI10" s="658"/>
      <c r="AJ10" s="183"/>
      <c r="AK10" s="183"/>
      <c r="AL10" s="183"/>
      <c r="AM10" s="470" t="e">
        <f t="shared" si="4"/>
        <v>#N/A</v>
      </c>
      <c r="AN10" s="658"/>
      <c r="AO10" s="183"/>
      <c r="AP10" s="183"/>
      <c r="AQ10" s="183"/>
      <c r="AR10" s="470" t="e">
        <f t="shared" si="5"/>
        <v>#N/A</v>
      </c>
      <c r="AS10" s="658"/>
      <c r="AT10" s="183">
        <v>19</v>
      </c>
      <c r="AU10" s="183">
        <v>1261.2244897959188</v>
      </c>
      <c r="AV10" s="183">
        <v>66.380236305048356</v>
      </c>
      <c r="AW10" s="470">
        <f t="shared" si="6"/>
        <v>24</v>
      </c>
      <c r="AX10" s="658"/>
      <c r="AZ10" s="379" t="e">
        <f>RANK(AX10, $K$7:AX$36)</f>
        <v>#N/A</v>
      </c>
      <c r="BB10" s="376" t="e">
        <f t="shared" si="7"/>
        <v>#N/A</v>
      </c>
    </row>
    <row r="11" spans="1:54">
      <c r="A11" s="81"/>
      <c r="B11" s="627"/>
      <c r="C11" s="470">
        <v>5</v>
      </c>
      <c r="D11" s="228" t="s">
        <v>355</v>
      </c>
      <c r="E11" s="183">
        <v>16</v>
      </c>
      <c r="F11" s="470">
        <v>1500</v>
      </c>
      <c r="G11" s="471">
        <v>93.75</v>
      </c>
      <c r="H11" s="662"/>
      <c r="I11" s="472">
        <f t="shared" si="8"/>
        <v>16</v>
      </c>
      <c r="J11" s="472">
        <f t="shared" si="9"/>
        <v>1324.6153846153832</v>
      </c>
      <c r="K11" s="201">
        <f t="shared" si="10"/>
        <v>82.788461538461448</v>
      </c>
      <c r="L11" s="601"/>
      <c r="M11" s="475">
        <f>RANK(K11, $K$7:K$36)</f>
        <v>4</v>
      </c>
      <c r="N11" s="619"/>
      <c r="O11" s="619"/>
      <c r="P11" s="183"/>
      <c r="Q11" s="183"/>
      <c r="R11" s="183"/>
      <c r="S11" s="470" t="e">
        <f t="shared" si="0"/>
        <v>#N/A</v>
      </c>
      <c r="T11" s="658"/>
      <c r="U11" s="183"/>
      <c r="V11" s="183"/>
      <c r="W11" s="183"/>
      <c r="X11" s="470" t="e">
        <f t="shared" si="1"/>
        <v>#N/A</v>
      </c>
      <c r="Y11" s="658"/>
      <c r="Z11" s="183"/>
      <c r="AA11" s="183"/>
      <c r="AB11" s="183"/>
      <c r="AC11" s="470" t="e">
        <f t="shared" si="2"/>
        <v>#N/A</v>
      </c>
      <c r="AD11" s="658"/>
      <c r="AE11" s="183"/>
      <c r="AF11" s="183"/>
      <c r="AG11" s="183"/>
      <c r="AH11" s="470" t="e">
        <f t="shared" si="3"/>
        <v>#N/A</v>
      </c>
      <c r="AI11" s="658"/>
      <c r="AJ11" s="183"/>
      <c r="AK11" s="183"/>
      <c r="AL11" s="183"/>
      <c r="AM11" s="470" t="e">
        <f t="shared" si="4"/>
        <v>#N/A</v>
      </c>
      <c r="AN11" s="658"/>
      <c r="AO11" s="183"/>
      <c r="AP11" s="183"/>
      <c r="AQ11" s="183"/>
      <c r="AR11" s="470" t="e">
        <f t="shared" si="5"/>
        <v>#N/A</v>
      </c>
      <c r="AS11" s="658"/>
      <c r="AT11" s="183">
        <v>16</v>
      </c>
      <c r="AU11" s="183">
        <v>1324.6153846153832</v>
      </c>
      <c r="AV11" s="183">
        <v>82.788461538461448</v>
      </c>
      <c r="AW11" s="470">
        <f t="shared" si="6"/>
        <v>4</v>
      </c>
      <c r="AX11" s="658"/>
      <c r="AZ11" s="379" t="e">
        <f>RANK(AX11, $K$7:AX$36)</f>
        <v>#N/A</v>
      </c>
      <c r="BB11" s="376" t="e">
        <f t="shared" si="7"/>
        <v>#N/A</v>
      </c>
    </row>
    <row r="12" spans="1:54">
      <c r="A12" s="81"/>
      <c r="B12" s="627"/>
      <c r="C12" s="470">
        <v>6</v>
      </c>
      <c r="D12" s="228" t="s">
        <v>384</v>
      </c>
      <c r="E12" s="183">
        <v>16</v>
      </c>
      <c r="F12" s="470">
        <v>1565</v>
      </c>
      <c r="G12" s="471">
        <v>97.8125</v>
      </c>
      <c r="H12" s="662"/>
      <c r="I12" s="472">
        <f t="shared" si="8"/>
        <v>16</v>
      </c>
      <c r="J12" s="472">
        <f t="shared" si="9"/>
        <v>1343.5955056179776</v>
      </c>
      <c r="K12" s="201">
        <f t="shared" si="10"/>
        <v>83.974719101123597</v>
      </c>
      <c r="L12" s="601"/>
      <c r="M12" s="475">
        <f>RANK(K12, $K$7:K$36)</f>
        <v>3</v>
      </c>
      <c r="N12" s="619"/>
      <c r="O12" s="619"/>
      <c r="P12" s="183"/>
      <c r="Q12" s="183"/>
      <c r="R12" s="183"/>
      <c r="S12" s="470" t="e">
        <f t="shared" si="0"/>
        <v>#N/A</v>
      </c>
      <c r="T12" s="658"/>
      <c r="U12" s="183"/>
      <c r="V12" s="183"/>
      <c r="W12" s="183"/>
      <c r="X12" s="470" t="e">
        <f t="shared" si="1"/>
        <v>#N/A</v>
      </c>
      <c r="Y12" s="658"/>
      <c r="Z12" s="183"/>
      <c r="AA12" s="183"/>
      <c r="AB12" s="183"/>
      <c r="AC12" s="470" t="e">
        <f t="shared" si="2"/>
        <v>#N/A</v>
      </c>
      <c r="AD12" s="658"/>
      <c r="AE12" s="183"/>
      <c r="AF12" s="183"/>
      <c r="AG12" s="183"/>
      <c r="AH12" s="470" t="e">
        <f t="shared" si="3"/>
        <v>#N/A</v>
      </c>
      <c r="AI12" s="658"/>
      <c r="AJ12" s="183"/>
      <c r="AK12" s="183"/>
      <c r="AL12" s="183"/>
      <c r="AM12" s="470" t="e">
        <f t="shared" si="4"/>
        <v>#N/A</v>
      </c>
      <c r="AN12" s="658"/>
      <c r="AO12" s="183"/>
      <c r="AP12" s="183"/>
      <c r="AQ12" s="183"/>
      <c r="AR12" s="470" t="e">
        <f t="shared" si="5"/>
        <v>#N/A</v>
      </c>
      <c r="AS12" s="658"/>
      <c r="AT12" s="183">
        <v>16</v>
      </c>
      <c r="AU12" s="183">
        <v>1343.5955056179776</v>
      </c>
      <c r="AV12" s="183">
        <v>83.974719101123597</v>
      </c>
      <c r="AW12" s="470">
        <f t="shared" si="6"/>
        <v>3</v>
      </c>
      <c r="AX12" s="658"/>
      <c r="AZ12" s="379" t="e">
        <f>RANK(AX12, $K$7:AX$36)</f>
        <v>#N/A</v>
      </c>
      <c r="BB12" s="376" t="e">
        <f t="shared" si="7"/>
        <v>#N/A</v>
      </c>
    </row>
    <row r="13" spans="1:54">
      <c r="A13" s="81"/>
      <c r="B13" s="627"/>
      <c r="C13" s="470">
        <v>7</v>
      </c>
      <c r="D13" s="228" t="s">
        <v>345</v>
      </c>
      <c r="E13" s="183">
        <v>16</v>
      </c>
      <c r="F13" s="470">
        <v>1440</v>
      </c>
      <c r="G13" s="471">
        <v>90</v>
      </c>
      <c r="H13" s="662"/>
      <c r="I13" s="472">
        <f t="shared" si="8"/>
        <v>16</v>
      </c>
      <c r="J13" s="472">
        <f t="shared" si="9"/>
        <v>1138.3333333333323</v>
      </c>
      <c r="K13" s="201">
        <f t="shared" si="10"/>
        <v>71.145833333333272</v>
      </c>
      <c r="L13" s="601"/>
      <c r="M13" s="475">
        <f>RANK(K13, $K$7:K$36)</f>
        <v>17</v>
      </c>
      <c r="N13" s="619"/>
      <c r="O13" s="619"/>
      <c r="P13" s="183"/>
      <c r="Q13" s="183"/>
      <c r="R13" s="183"/>
      <c r="S13" s="470" t="e">
        <f t="shared" si="0"/>
        <v>#N/A</v>
      </c>
      <c r="T13" s="658"/>
      <c r="U13" s="183"/>
      <c r="V13" s="183"/>
      <c r="W13" s="183"/>
      <c r="X13" s="470" t="e">
        <f t="shared" si="1"/>
        <v>#N/A</v>
      </c>
      <c r="Y13" s="658"/>
      <c r="Z13" s="183"/>
      <c r="AA13" s="183"/>
      <c r="AB13" s="183"/>
      <c r="AC13" s="470" t="e">
        <f t="shared" si="2"/>
        <v>#N/A</v>
      </c>
      <c r="AD13" s="658"/>
      <c r="AE13" s="183"/>
      <c r="AF13" s="183"/>
      <c r="AG13" s="183"/>
      <c r="AH13" s="470" t="e">
        <f t="shared" si="3"/>
        <v>#N/A</v>
      </c>
      <c r="AI13" s="658"/>
      <c r="AJ13" s="183"/>
      <c r="AK13" s="183"/>
      <c r="AL13" s="183"/>
      <c r="AM13" s="470" t="e">
        <f t="shared" si="4"/>
        <v>#N/A</v>
      </c>
      <c r="AN13" s="658"/>
      <c r="AO13" s="183"/>
      <c r="AP13" s="183"/>
      <c r="AQ13" s="183"/>
      <c r="AR13" s="470" t="e">
        <f t="shared" si="5"/>
        <v>#N/A</v>
      </c>
      <c r="AS13" s="658"/>
      <c r="AT13" s="183">
        <v>16</v>
      </c>
      <c r="AU13" s="183">
        <v>1138.3333333333323</v>
      </c>
      <c r="AV13" s="183">
        <v>71.145833333333272</v>
      </c>
      <c r="AW13" s="470">
        <f t="shared" si="6"/>
        <v>17</v>
      </c>
      <c r="AX13" s="658"/>
      <c r="AZ13" s="379" t="e">
        <f>RANK(AX13, $K$7:AX$36)</f>
        <v>#N/A</v>
      </c>
      <c r="BB13" s="376" t="e">
        <f t="shared" si="7"/>
        <v>#N/A</v>
      </c>
    </row>
    <row r="14" spans="1:54">
      <c r="A14" s="81"/>
      <c r="B14" s="627"/>
      <c r="C14" s="470">
        <v>8</v>
      </c>
      <c r="D14" s="228" t="s">
        <v>383</v>
      </c>
      <c r="E14" s="183">
        <v>17</v>
      </c>
      <c r="F14" s="470">
        <v>1440</v>
      </c>
      <c r="G14" s="471">
        <v>84.705882352941174</v>
      </c>
      <c r="H14" s="662"/>
      <c r="I14" s="472">
        <f t="shared" si="8"/>
        <v>17</v>
      </c>
      <c r="J14" s="472">
        <f t="shared" si="9"/>
        <v>1147.0588235294122</v>
      </c>
      <c r="K14" s="201">
        <f t="shared" si="10"/>
        <v>67.474048442906593</v>
      </c>
      <c r="L14" s="601"/>
      <c r="M14" s="475">
        <f>RANK(K14, $K$7:K$36)</f>
        <v>22</v>
      </c>
      <c r="N14" s="619"/>
      <c r="O14" s="619"/>
      <c r="P14" s="183"/>
      <c r="Q14" s="183"/>
      <c r="R14" s="183"/>
      <c r="S14" s="470" t="e">
        <f t="shared" si="0"/>
        <v>#N/A</v>
      </c>
      <c r="T14" s="658"/>
      <c r="U14" s="183"/>
      <c r="V14" s="183"/>
      <c r="W14" s="183"/>
      <c r="X14" s="470" t="e">
        <f t="shared" si="1"/>
        <v>#N/A</v>
      </c>
      <c r="Y14" s="658"/>
      <c r="Z14" s="183"/>
      <c r="AA14" s="183"/>
      <c r="AB14" s="183"/>
      <c r="AC14" s="470" t="e">
        <f t="shared" si="2"/>
        <v>#N/A</v>
      </c>
      <c r="AD14" s="658"/>
      <c r="AE14" s="183"/>
      <c r="AF14" s="183"/>
      <c r="AG14" s="183"/>
      <c r="AH14" s="470" t="e">
        <f t="shared" si="3"/>
        <v>#N/A</v>
      </c>
      <c r="AI14" s="658"/>
      <c r="AJ14" s="183"/>
      <c r="AK14" s="183"/>
      <c r="AL14" s="183"/>
      <c r="AM14" s="470" t="e">
        <f t="shared" si="4"/>
        <v>#N/A</v>
      </c>
      <c r="AN14" s="658"/>
      <c r="AO14" s="183"/>
      <c r="AP14" s="183"/>
      <c r="AQ14" s="183"/>
      <c r="AR14" s="470" t="e">
        <f t="shared" si="5"/>
        <v>#N/A</v>
      </c>
      <c r="AS14" s="658"/>
      <c r="AT14" s="183">
        <v>17</v>
      </c>
      <c r="AU14" s="183">
        <v>1147.0588235294122</v>
      </c>
      <c r="AV14" s="183">
        <v>67.474048442906593</v>
      </c>
      <c r="AW14" s="470">
        <f t="shared" si="6"/>
        <v>22</v>
      </c>
      <c r="AX14" s="658"/>
      <c r="AZ14" s="379" t="e">
        <f>RANK(AX14, $K$7:AX$36)</f>
        <v>#N/A</v>
      </c>
      <c r="BB14" s="376" t="e">
        <f t="shared" si="7"/>
        <v>#N/A</v>
      </c>
    </row>
    <row r="15" spans="1:54">
      <c r="A15" s="81"/>
      <c r="B15" s="627"/>
      <c r="C15" s="470">
        <v>9</v>
      </c>
      <c r="D15" s="228" t="s">
        <v>379</v>
      </c>
      <c r="E15" s="183">
        <v>18</v>
      </c>
      <c r="F15" s="470">
        <v>1440</v>
      </c>
      <c r="G15" s="471">
        <v>80</v>
      </c>
      <c r="H15" s="662"/>
      <c r="I15" s="472">
        <f t="shared" si="8"/>
        <v>18</v>
      </c>
      <c r="J15" s="472">
        <f t="shared" si="9"/>
        <v>1201.8181818181831</v>
      </c>
      <c r="K15" s="201">
        <f t="shared" si="10"/>
        <v>66.767676767676846</v>
      </c>
      <c r="L15" s="601"/>
      <c r="M15" s="475">
        <f>RANK(K15, $K$7:K$36)</f>
        <v>23</v>
      </c>
      <c r="N15" s="619"/>
      <c r="O15" s="619"/>
      <c r="P15" s="183"/>
      <c r="Q15" s="183"/>
      <c r="R15" s="183"/>
      <c r="S15" s="470" t="e">
        <f t="shared" si="0"/>
        <v>#N/A</v>
      </c>
      <c r="T15" s="658"/>
      <c r="U15" s="183"/>
      <c r="V15" s="183"/>
      <c r="W15" s="183"/>
      <c r="X15" s="470" t="e">
        <f t="shared" si="1"/>
        <v>#N/A</v>
      </c>
      <c r="Y15" s="658"/>
      <c r="Z15" s="183"/>
      <c r="AA15" s="183"/>
      <c r="AB15" s="183"/>
      <c r="AC15" s="470" t="e">
        <f t="shared" si="2"/>
        <v>#N/A</v>
      </c>
      <c r="AD15" s="658"/>
      <c r="AE15" s="183"/>
      <c r="AF15" s="183"/>
      <c r="AG15" s="183"/>
      <c r="AH15" s="470" t="e">
        <f t="shared" si="3"/>
        <v>#N/A</v>
      </c>
      <c r="AI15" s="658"/>
      <c r="AJ15" s="183"/>
      <c r="AK15" s="183"/>
      <c r="AL15" s="183"/>
      <c r="AM15" s="470" t="e">
        <f t="shared" si="4"/>
        <v>#N/A</v>
      </c>
      <c r="AN15" s="658"/>
      <c r="AO15" s="183"/>
      <c r="AP15" s="183"/>
      <c r="AQ15" s="183"/>
      <c r="AR15" s="470" t="e">
        <f t="shared" si="5"/>
        <v>#N/A</v>
      </c>
      <c r="AS15" s="658"/>
      <c r="AT15" s="183">
        <v>18</v>
      </c>
      <c r="AU15" s="183">
        <v>1201.8181818181831</v>
      </c>
      <c r="AV15" s="183">
        <v>66.767676767676846</v>
      </c>
      <c r="AW15" s="470">
        <f t="shared" si="6"/>
        <v>23</v>
      </c>
      <c r="AX15" s="658"/>
      <c r="AZ15" s="379" t="e">
        <f>RANK(AX15, $K$7:AX$36)</f>
        <v>#N/A</v>
      </c>
      <c r="BB15" s="376" t="e">
        <f t="shared" si="7"/>
        <v>#N/A</v>
      </c>
    </row>
    <row r="16" spans="1:54">
      <c r="A16" s="81"/>
      <c r="B16" s="627"/>
      <c r="C16" s="470">
        <v>10</v>
      </c>
      <c r="D16" s="228" t="s">
        <v>382</v>
      </c>
      <c r="E16" s="183">
        <v>19</v>
      </c>
      <c r="F16" s="470">
        <v>1636</v>
      </c>
      <c r="G16" s="471">
        <v>86.10526315789474</v>
      </c>
      <c r="H16" s="662"/>
      <c r="I16" s="472">
        <f t="shared" si="8"/>
        <v>18</v>
      </c>
      <c r="J16" s="472">
        <f t="shared" si="9"/>
        <v>1245.6338028169002</v>
      </c>
      <c r="K16" s="201">
        <f t="shared" si="10"/>
        <v>69.201877934272233</v>
      </c>
      <c r="L16" s="601"/>
      <c r="M16" s="475">
        <f>RANK(K16, $K$7:K$36)</f>
        <v>20</v>
      </c>
      <c r="N16" s="619"/>
      <c r="O16" s="619"/>
      <c r="P16" s="183"/>
      <c r="Q16" s="183"/>
      <c r="R16" s="183"/>
      <c r="S16" s="470" t="e">
        <f t="shared" si="0"/>
        <v>#N/A</v>
      </c>
      <c r="T16" s="658"/>
      <c r="U16" s="183"/>
      <c r="V16" s="183"/>
      <c r="W16" s="183"/>
      <c r="X16" s="470" t="e">
        <f t="shared" si="1"/>
        <v>#N/A</v>
      </c>
      <c r="Y16" s="658"/>
      <c r="Z16" s="183"/>
      <c r="AA16" s="183"/>
      <c r="AB16" s="183"/>
      <c r="AC16" s="470" t="e">
        <f t="shared" si="2"/>
        <v>#N/A</v>
      </c>
      <c r="AD16" s="658"/>
      <c r="AE16" s="183"/>
      <c r="AF16" s="183"/>
      <c r="AG16" s="183"/>
      <c r="AH16" s="470" t="e">
        <f t="shared" si="3"/>
        <v>#N/A</v>
      </c>
      <c r="AI16" s="658"/>
      <c r="AJ16" s="183"/>
      <c r="AK16" s="183"/>
      <c r="AL16" s="183"/>
      <c r="AM16" s="470" t="e">
        <f t="shared" si="4"/>
        <v>#N/A</v>
      </c>
      <c r="AN16" s="658"/>
      <c r="AO16" s="183"/>
      <c r="AP16" s="183"/>
      <c r="AQ16" s="183"/>
      <c r="AR16" s="470" t="e">
        <f t="shared" si="5"/>
        <v>#N/A</v>
      </c>
      <c r="AS16" s="658"/>
      <c r="AT16" s="183">
        <v>18</v>
      </c>
      <c r="AU16" s="183">
        <v>1245.6338028169002</v>
      </c>
      <c r="AV16" s="183">
        <v>69.201877934272233</v>
      </c>
      <c r="AW16" s="470">
        <f t="shared" si="6"/>
        <v>20</v>
      </c>
      <c r="AX16" s="658"/>
      <c r="AZ16" s="379" t="e">
        <f>RANK(AX16, $K$7:AX$36)</f>
        <v>#N/A</v>
      </c>
      <c r="BB16" s="376" t="e">
        <f t="shared" si="7"/>
        <v>#N/A</v>
      </c>
    </row>
    <row r="17" spans="2:54">
      <c r="B17" s="627"/>
      <c r="C17" s="470">
        <v>11</v>
      </c>
      <c r="D17" s="228" t="s">
        <v>381</v>
      </c>
      <c r="E17" s="183">
        <v>19</v>
      </c>
      <c r="F17" s="470">
        <v>1636</v>
      </c>
      <c r="G17" s="471">
        <v>86.10526315789474</v>
      </c>
      <c r="H17" s="662"/>
      <c r="I17" s="472">
        <f t="shared" si="8"/>
        <v>18</v>
      </c>
      <c r="J17" s="472">
        <f t="shared" si="9"/>
        <v>1271.1111111111118</v>
      </c>
      <c r="K17" s="201">
        <f t="shared" si="10"/>
        <v>70.61728395061732</v>
      </c>
      <c r="L17" s="601"/>
      <c r="M17" s="475">
        <f>RANK(K17, $K$7:K$36)</f>
        <v>18</v>
      </c>
      <c r="N17" s="619"/>
      <c r="O17" s="619"/>
      <c r="P17" s="183"/>
      <c r="Q17" s="183"/>
      <c r="R17" s="183"/>
      <c r="S17" s="470" t="e">
        <f t="shared" si="0"/>
        <v>#N/A</v>
      </c>
      <c r="T17" s="658"/>
      <c r="U17" s="183"/>
      <c r="V17" s="183"/>
      <c r="W17" s="183"/>
      <c r="X17" s="470" t="e">
        <f t="shared" si="1"/>
        <v>#N/A</v>
      </c>
      <c r="Y17" s="658"/>
      <c r="Z17" s="183"/>
      <c r="AA17" s="183"/>
      <c r="AB17" s="183"/>
      <c r="AC17" s="470" t="e">
        <f t="shared" si="2"/>
        <v>#N/A</v>
      </c>
      <c r="AD17" s="658"/>
      <c r="AE17" s="183"/>
      <c r="AF17" s="183"/>
      <c r="AG17" s="183"/>
      <c r="AH17" s="470" t="e">
        <f t="shared" si="3"/>
        <v>#N/A</v>
      </c>
      <c r="AI17" s="658"/>
      <c r="AJ17" s="183"/>
      <c r="AK17" s="183"/>
      <c r="AL17" s="183"/>
      <c r="AM17" s="470" t="e">
        <f t="shared" si="4"/>
        <v>#N/A</v>
      </c>
      <c r="AN17" s="658"/>
      <c r="AO17" s="183"/>
      <c r="AP17" s="183"/>
      <c r="AQ17" s="183"/>
      <c r="AR17" s="470" t="e">
        <f t="shared" si="5"/>
        <v>#N/A</v>
      </c>
      <c r="AS17" s="658"/>
      <c r="AT17" s="183">
        <v>18</v>
      </c>
      <c r="AU17" s="183">
        <v>1271.1111111111118</v>
      </c>
      <c r="AV17" s="183">
        <v>70.61728395061732</v>
      </c>
      <c r="AW17" s="470">
        <f t="shared" si="6"/>
        <v>18</v>
      </c>
      <c r="AX17" s="658"/>
      <c r="AZ17" s="379" t="e">
        <f>RANK(AX17, $K$7:AX$36)</f>
        <v>#N/A</v>
      </c>
      <c r="BB17" s="376" t="e">
        <f t="shared" si="7"/>
        <v>#N/A</v>
      </c>
    </row>
    <row r="18" spans="2:54">
      <c r="B18" s="627"/>
      <c r="C18" s="470">
        <v>12</v>
      </c>
      <c r="D18" s="228" t="s">
        <v>385</v>
      </c>
      <c r="E18" s="183">
        <v>17</v>
      </c>
      <c r="F18" s="470">
        <v>1500</v>
      </c>
      <c r="G18" s="471">
        <v>88.235294117647058</v>
      </c>
      <c r="H18" s="662"/>
      <c r="I18" s="472">
        <f t="shared" si="8"/>
        <v>17</v>
      </c>
      <c r="J18" s="472">
        <f t="shared" si="9"/>
        <v>1298.9189189189178</v>
      </c>
      <c r="K18" s="201">
        <f t="shared" si="10"/>
        <v>76.406995230524572</v>
      </c>
      <c r="L18" s="601"/>
      <c r="M18" s="475">
        <f>RANK(K18, $K$7:K$36)</f>
        <v>8</v>
      </c>
      <c r="N18" s="619"/>
      <c r="O18" s="619"/>
      <c r="P18" s="183"/>
      <c r="Q18" s="183"/>
      <c r="R18" s="183"/>
      <c r="S18" s="470" t="e">
        <f t="shared" si="0"/>
        <v>#N/A</v>
      </c>
      <c r="T18" s="658"/>
      <c r="U18" s="183"/>
      <c r="V18" s="183"/>
      <c r="W18" s="183"/>
      <c r="X18" s="470" t="e">
        <f t="shared" si="1"/>
        <v>#N/A</v>
      </c>
      <c r="Y18" s="658"/>
      <c r="Z18" s="183"/>
      <c r="AA18" s="183"/>
      <c r="AB18" s="183"/>
      <c r="AC18" s="470" t="e">
        <f t="shared" si="2"/>
        <v>#N/A</v>
      </c>
      <c r="AD18" s="658"/>
      <c r="AE18" s="183"/>
      <c r="AF18" s="183"/>
      <c r="AG18" s="183"/>
      <c r="AH18" s="470" t="e">
        <f t="shared" si="3"/>
        <v>#N/A</v>
      </c>
      <c r="AI18" s="658"/>
      <c r="AJ18" s="183"/>
      <c r="AK18" s="183"/>
      <c r="AL18" s="183"/>
      <c r="AM18" s="470" t="e">
        <f t="shared" si="4"/>
        <v>#N/A</v>
      </c>
      <c r="AN18" s="658"/>
      <c r="AO18" s="183"/>
      <c r="AP18" s="183"/>
      <c r="AQ18" s="183"/>
      <c r="AR18" s="470" t="e">
        <f t="shared" si="5"/>
        <v>#N/A</v>
      </c>
      <c r="AS18" s="658"/>
      <c r="AT18" s="183">
        <v>17</v>
      </c>
      <c r="AU18" s="183">
        <v>1298.9189189189178</v>
      </c>
      <c r="AV18" s="183">
        <v>76.406995230524572</v>
      </c>
      <c r="AW18" s="470">
        <f t="shared" si="6"/>
        <v>8</v>
      </c>
      <c r="AX18" s="658"/>
      <c r="AZ18" s="379" t="e">
        <f>RANK(AX18, $K$7:AX$36)</f>
        <v>#N/A</v>
      </c>
      <c r="BB18" s="376" t="e">
        <f t="shared" si="7"/>
        <v>#N/A</v>
      </c>
    </row>
    <row r="19" spans="2:54">
      <c r="B19" s="627"/>
      <c r="C19" s="470">
        <v>13</v>
      </c>
      <c r="D19" s="228" t="s">
        <v>358</v>
      </c>
      <c r="E19" s="183">
        <v>17</v>
      </c>
      <c r="F19" s="470">
        <v>1500</v>
      </c>
      <c r="G19" s="471">
        <v>88.235294117647058</v>
      </c>
      <c r="H19" s="662"/>
      <c r="I19" s="472">
        <f t="shared" si="8"/>
        <v>18</v>
      </c>
      <c r="J19" s="472">
        <f t="shared" si="9"/>
        <v>1301.8604651162789</v>
      </c>
      <c r="K19" s="201">
        <f t="shared" si="10"/>
        <v>72.32558139534882</v>
      </c>
      <c r="L19" s="601"/>
      <c r="M19" s="475">
        <f>RANK(K19, $K$7:K$36)</f>
        <v>16</v>
      </c>
      <c r="N19" s="619"/>
      <c r="O19" s="619"/>
      <c r="P19" s="183"/>
      <c r="Q19" s="183"/>
      <c r="R19" s="183"/>
      <c r="S19" s="470" t="e">
        <f t="shared" si="0"/>
        <v>#N/A</v>
      </c>
      <c r="T19" s="658"/>
      <c r="U19" s="183"/>
      <c r="V19" s="183"/>
      <c r="W19" s="183"/>
      <c r="X19" s="470" t="e">
        <f t="shared" si="1"/>
        <v>#N/A</v>
      </c>
      <c r="Y19" s="658"/>
      <c r="Z19" s="183"/>
      <c r="AA19" s="183"/>
      <c r="AB19" s="183"/>
      <c r="AC19" s="470" t="e">
        <f t="shared" si="2"/>
        <v>#N/A</v>
      </c>
      <c r="AD19" s="658"/>
      <c r="AE19" s="183"/>
      <c r="AF19" s="183"/>
      <c r="AG19" s="183"/>
      <c r="AH19" s="470" t="e">
        <f t="shared" si="3"/>
        <v>#N/A</v>
      </c>
      <c r="AI19" s="658"/>
      <c r="AJ19" s="183"/>
      <c r="AK19" s="183"/>
      <c r="AL19" s="183"/>
      <c r="AM19" s="470" t="e">
        <f t="shared" si="4"/>
        <v>#N/A</v>
      </c>
      <c r="AN19" s="658"/>
      <c r="AO19" s="183"/>
      <c r="AP19" s="183"/>
      <c r="AQ19" s="183"/>
      <c r="AR19" s="470" t="e">
        <f t="shared" si="5"/>
        <v>#N/A</v>
      </c>
      <c r="AS19" s="658"/>
      <c r="AT19" s="183">
        <v>18</v>
      </c>
      <c r="AU19" s="183">
        <v>1301.8604651162789</v>
      </c>
      <c r="AV19" s="183">
        <v>72.32558139534882</v>
      </c>
      <c r="AW19" s="470">
        <f t="shared" si="6"/>
        <v>16</v>
      </c>
      <c r="AX19" s="658"/>
      <c r="AZ19" s="379" t="e">
        <f>RANK(AX19, $K$7:AX$36)</f>
        <v>#N/A</v>
      </c>
      <c r="BB19" s="376" t="e">
        <f t="shared" si="7"/>
        <v>#N/A</v>
      </c>
    </row>
    <row r="20" spans="2:54">
      <c r="B20" s="627"/>
      <c r="C20" s="470">
        <v>14</v>
      </c>
      <c r="D20" s="228" t="s">
        <v>863</v>
      </c>
      <c r="E20" s="183">
        <v>17</v>
      </c>
      <c r="F20" s="470">
        <v>1440</v>
      </c>
      <c r="G20" s="471">
        <v>84.705882352941174</v>
      </c>
      <c r="H20" s="662"/>
      <c r="I20" s="472">
        <f t="shared" si="8"/>
        <v>17</v>
      </c>
      <c r="J20" s="472">
        <f t="shared" si="9"/>
        <v>1305</v>
      </c>
      <c r="K20" s="201">
        <f t="shared" si="10"/>
        <v>76.764705882352942</v>
      </c>
      <c r="L20" s="601"/>
      <c r="M20" s="475">
        <f>RANK(K20, $K$7:K$36)</f>
        <v>7</v>
      </c>
      <c r="N20" s="619"/>
      <c r="O20" s="619"/>
      <c r="P20" s="183"/>
      <c r="Q20" s="183"/>
      <c r="R20" s="183"/>
      <c r="S20" s="470" t="e">
        <f t="shared" si="0"/>
        <v>#N/A</v>
      </c>
      <c r="T20" s="658"/>
      <c r="U20" s="183"/>
      <c r="V20" s="183"/>
      <c r="W20" s="183"/>
      <c r="X20" s="470" t="e">
        <f t="shared" si="1"/>
        <v>#N/A</v>
      </c>
      <c r="Y20" s="658"/>
      <c r="Z20" s="183"/>
      <c r="AA20" s="183"/>
      <c r="AB20" s="183"/>
      <c r="AC20" s="470" t="e">
        <f t="shared" si="2"/>
        <v>#N/A</v>
      </c>
      <c r="AD20" s="658"/>
      <c r="AE20" s="183"/>
      <c r="AF20" s="183"/>
      <c r="AG20" s="183"/>
      <c r="AH20" s="470" t="e">
        <f t="shared" si="3"/>
        <v>#N/A</v>
      </c>
      <c r="AI20" s="658"/>
      <c r="AJ20" s="183"/>
      <c r="AK20" s="183"/>
      <c r="AL20" s="183"/>
      <c r="AM20" s="470" t="e">
        <f t="shared" si="4"/>
        <v>#N/A</v>
      </c>
      <c r="AN20" s="658"/>
      <c r="AO20" s="183"/>
      <c r="AP20" s="183"/>
      <c r="AQ20" s="183"/>
      <c r="AR20" s="470" t="e">
        <f t="shared" si="5"/>
        <v>#N/A</v>
      </c>
      <c r="AS20" s="658"/>
      <c r="AT20" s="183">
        <v>17</v>
      </c>
      <c r="AU20" s="183">
        <v>1305</v>
      </c>
      <c r="AV20" s="183">
        <v>76.764705882352942</v>
      </c>
      <c r="AW20" s="470">
        <f t="shared" si="6"/>
        <v>7</v>
      </c>
      <c r="AX20" s="658"/>
      <c r="AZ20" s="379" t="e">
        <f>RANK(AX20, $K$7:AX$36)</f>
        <v>#N/A</v>
      </c>
      <c r="BB20" s="376" t="e">
        <f t="shared" si="7"/>
        <v>#N/A</v>
      </c>
    </row>
    <row r="21" spans="2:54">
      <c r="B21" s="627"/>
      <c r="C21" s="470">
        <v>15</v>
      </c>
      <c r="D21" s="228" t="s">
        <v>386</v>
      </c>
      <c r="E21" s="183">
        <v>15</v>
      </c>
      <c r="F21" s="470">
        <v>1440</v>
      </c>
      <c r="G21" s="471">
        <v>96</v>
      </c>
      <c r="H21" s="662"/>
      <c r="I21" s="472">
        <f t="shared" si="8"/>
        <v>16</v>
      </c>
      <c r="J21" s="472">
        <f t="shared" si="9"/>
        <v>1264.8387096774204</v>
      </c>
      <c r="K21" s="201">
        <f t="shared" si="10"/>
        <v>79.052419354838776</v>
      </c>
      <c r="L21" s="601"/>
      <c r="M21" s="472">
        <f>RANK(K21, $K$7:K$36)</f>
        <v>6</v>
      </c>
      <c r="N21" s="619"/>
      <c r="O21" s="619"/>
      <c r="P21" s="183"/>
      <c r="Q21" s="183"/>
      <c r="R21" s="183"/>
      <c r="S21" s="470" t="e">
        <f t="shared" si="0"/>
        <v>#N/A</v>
      </c>
      <c r="T21" s="658"/>
      <c r="U21" s="183"/>
      <c r="V21" s="183"/>
      <c r="W21" s="183"/>
      <c r="X21" s="470" t="e">
        <f t="shared" si="1"/>
        <v>#N/A</v>
      </c>
      <c r="Y21" s="658"/>
      <c r="Z21" s="183"/>
      <c r="AA21" s="183"/>
      <c r="AB21" s="183"/>
      <c r="AC21" s="470" t="e">
        <f t="shared" si="2"/>
        <v>#N/A</v>
      </c>
      <c r="AD21" s="658"/>
      <c r="AE21" s="183"/>
      <c r="AF21" s="183"/>
      <c r="AG21" s="183"/>
      <c r="AH21" s="470" t="e">
        <f t="shared" si="3"/>
        <v>#N/A</v>
      </c>
      <c r="AI21" s="658"/>
      <c r="AJ21" s="183"/>
      <c r="AK21" s="183"/>
      <c r="AL21" s="183"/>
      <c r="AM21" s="470" t="e">
        <f t="shared" si="4"/>
        <v>#N/A</v>
      </c>
      <c r="AN21" s="658"/>
      <c r="AO21" s="183"/>
      <c r="AP21" s="183"/>
      <c r="AQ21" s="183"/>
      <c r="AR21" s="470" t="e">
        <f t="shared" si="5"/>
        <v>#N/A</v>
      </c>
      <c r="AS21" s="658"/>
      <c r="AT21" s="183">
        <v>16</v>
      </c>
      <c r="AU21" s="183">
        <v>1264.8387096774204</v>
      </c>
      <c r="AV21" s="183">
        <v>79.052419354838776</v>
      </c>
      <c r="AW21" s="470">
        <f t="shared" si="6"/>
        <v>6</v>
      </c>
      <c r="AX21" s="658"/>
      <c r="AZ21" s="378" t="e">
        <f>RANK(AX21, $K$7:AX$36)</f>
        <v>#N/A</v>
      </c>
      <c r="BB21" s="376" t="e">
        <f t="shared" si="7"/>
        <v>#N/A</v>
      </c>
    </row>
    <row r="22" spans="2:54">
      <c r="B22" s="627"/>
      <c r="C22" s="470">
        <v>16</v>
      </c>
      <c r="D22" s="228" t="s">
        <v>347</v>
      </c>
      <c r="E22" s="183">
        <v>16</v>
      </c>
      <c r="F22" s="470">
        <v>1440</v>
      </c>
      <c r="G22" s="471">
        <v>90</v>
      </c>
      <c r="H22" s="662"/>
      <c r="I22" s="472">
        <f t="shared" si="8"/>
        <v>16</v>
      </c>
      <c r="J22" s="472">
        <f t="shared" si="9"/>
        <v>1303.6893203883501</v>
      </c>
      <c r="K22" s="201">
        <f t="shared" si="10"/>
        <v>81.480582524271881</v>
      </c>
      <c r="L22" s="601"/>
      <c r="M22" s="472">
        <f>RANK(K22, $K$7:K$36)</f>
        <v>5</v>
      </c>
      <c r="N22" s="619"/>
      <c r="O22" s="619"/>
      <c r="P22" s="183"/>
      <c r="Q22" s="183"/>
      <c r="R22" s="183"/>
      <c r="S22" s="470" t="e">
        <f t="shared" si="0"/>
        <v>#N/A</v>
      </c>
      <c r="T22" s="658"/>
      <c r="U22" s="183"/>
      <c r="V22" s="183"/>
      <c r="W22" s="183"/>
      <c r="X22" s="470" t="e">
        <f t="shared" si="1"/>
        <v>#N/A</v>
      </c>
      <c r="Y22" s="658"/>
      <c r="Z22" s="183"/>
      <c r="AA22" s="183"/>
      <c r="AB22" s="183"/>
      <c r="AC22" s="470" t="e">
        <f t="shared" si="2"/>
        <v>#N/A</v>
      </c>
      <c r="AD22" s="658"/>
      <c r="AE22" s="183"/>
      <c r="AF22" s="183"/>
      <c r="AG22" s="183"/>
      <c r="AH22" s="470" t="e">
        <f t="shared" si="3"/>
        <v>#N/A</v>
      </c>
      <c r="AI22" s="658"/>
      <c r="AJ22" s="183"/>
      <c r="AK22" s="183"/>
      <c r="AL22" s="183"/>
      <c r="AM22" s="470" t="e">
        <f t="shared" si="4"/>
        <v>#N/A</v>
      </c>
      <c r="AN22" s="658"/>
      <c r="AO22" s="183"/>
      <c r="AP22" s="183"/>
      <c r="AQ22" s="183"/>
      <c r="AR22" s="470" t="e">
        <f t="shared" si="5"/>
        <v>#N/A</v>
      </c>
      <c r="AS22" s="658"/>
      <c r="AT22" s="183">
        <v>16</v>
      </c>
      <c r="AU22" s="183">
        <v>1303.6893203883501</v>
      </c>
      <c r="AV22" s="183">
        <v>81.480582524271881</v>
      </c>
      <c r="AW22" s="470">
        <f t="shared" si="6"/>
        <v>5</v>
      </c>
      <c r="AX22" s="658"/>
      <c r="AZ22" s="378" t="e">
        <f>RANK(AX22, $K$7:AX$36)</f>
        <v>#N/A</v>
      </c>
      <c r="BB22" s="376" t="e">
        <f t="shared" si="7"/>
        <v>#N/A</v>
      </c>
    </row>
    <row r="23" spans="2:54">
      <c r="B23" s="627"/>
      <c r="C23" s="470">
        <v>17</v>
      </c>
      <c r="D23" s="228" t="s">
        <v>378</v>
      </c>
      <c r="E23" s="183">
        <v>17</v>
      </c>
      <c r="F23" s="470">
        <v>1636</v>
      </c>
      <c r="G23" s="471">
        <v>96.235294117647058</v>
      </c>
      <c r="H23" s="662"/>
      <c r="I23" s="472">
        <f t="shared" si="8"/>
        <v>17</v>
      </c>
      <c r="J23" s="472">
        <f t="shared" si="9"/>
        <v>1273.1249999999982</v>
      </c>
      <c r="K23" s="201">
        <f t="shared" si="10"/>
        <v>74.889705882352828</v>
      </c>
      <c r="L23" s="601"/>
      <c r="M23" s="472">
        <f>RANK(K23, $K$7:K$36)</f>
        <v>11</v>
      </c>
      <c r="N23" s="619"/>
      <c r="O23" s="619"/>
      <c r="P23" s="183"/>
      <c r="Q23" s="183"/>
      <c r="R23" s="183"/>
      <c r="S23" s="470" t="e">
        <f t="shared" si="0"/>
        <v>#N/A</v>
      </c>
      <c r="T23" s="658"/>
      <c r="U23" s="183"/>
      <c r="V23" s="183"/>
      <c r="W23" s="183"/>
      <c r="X23" s="470" t="e">
        <f t="shared" si="1"/>
        <v>#N/A</v>
      </c>
      <c r="Y23" s="658"/>
      <c r="Z23" s="183"/>
      <c r="AA23" s="183"/>
      <c r="AB23" s="183"/>
      <c r="AC23" s="470" t="e">
        <f t="shared" si="2"/>
        <v>#N/A</v>
      </c>
      <c r="AD23" s="658"/>
      <c r="AE23" s="183"/>
      <c r="AF23" s="183"/>
      <c r="AG23" s="183"/>
      <c r="AH23" s="470" t="e">
        <f t="shared" si="3"/>
        <v>#N/A</v>
      </c>
      <c r="AI23" s="658"/>
      <c r="AJ23" s="183"/>
      <c r="AK23" s="183"/>
      <c r="AL23" s="183"/>
      <c r="AM23" s="470" t="e">
        <f t="shared" si="4"/>
        <v>#N/A</v>
      </c>
      <c r="AN23" s="658"/>
      <c r="AO23" s="183"/>
      <c r="AP23" s="183"/>
      <c r="AQ23" s="183"/>
      <c r="AR23" s="470" t="e">
        <f t="shared" si="5"/>
        <v>#N/A</v>
      </c>
      <c r="AS23" s="658"/>
      <c r="AT23" s="183">
        <v>17</v>
      </c>
      <c r="AU23" s="183">
        <v>1273.1249999999982</v>
      </c>
      <c r="AV23" s="183">
        <v>74.889705882352828</v>
      </c>
      <c r="AW23" s="470">
        <f t="shared" si="6"/>
        <v>11</v>
      </c>
      <c r="AX23" s="658"/>
      <c r="AZ23" s="378" t="e">
        <f>RANK(AX23, $K$7:AX$36)</f>
        <v>#N/A</v>
      </c>
      <c r="BB23" s="376" t="e">
        <f t="shared" si="7"/>
        <v>#N/A</v>
      </c>
    </row>
    <row r="24" spans="2:54">
      <c r="B24" s="627"/>
      <c r="C24" s="470">
        <v>18</v>
      </c>
      <c r="D24" s="228" t="s">
        <v>380</v>
      </c>
      <c r="E24" s="183">
        <v>18</v>
      </c>
      <c r="F24" s="470">
        <v>1440</v>
      </c>
      <c r="G24" s="471">
        <v>80</v>
      </c>
      <c r="H24" s="662"/>
      <c r="I24" s="472">
        <f t="shared" si="8"/>
        <v>17</v>
      </c>
      <c r="J24" s="472">
        <f t="shared" si="9"/>
        <v>1283.823529411763</v>
      </c>
      <c r="K24" s="201">
        <f t="shared" si="10"/>
        <v>75.51903114186841</v>
      </c>
      <c r="L24" s="601"/>
      <c r="M24" s="472">
        <f>RANK(K24, $K$7:K$36)</f>
        <v>10</v>
      </c>
      <c r="N24" s="619"/>
      <c r="O24" s="619"/>
      <c r="P24" s="183"/>
      <c r="Q24" s="183"/>
      <c r="R24" s="183"/>
      <c r="S24" s="470" t="e">
        <f t="shared" si="0"/>
        <v>#N/A</v>
      </c>
      <c r="T24" s="658"/>
      <c r="U24" s="183"/>
      <c r="V24" s="183"/>
      <c r="W24" s="183"/>
      <c r="X24" s="470" t="e">
        <f t="shared" si="1"/>
        <v>#N/A</v>
      </c>
      <c r="Y24" s="658"/>
      <c r="Z24" s="183"/>
      <c r="AA24" s="183"/>
      <c r="AB24" s="183"/>
      <c r="AC24" s="470" t="e">
        <f t="shared" si="2"/>
        <v>#N/A</v>
      </c>
      <c r="AD24" s="658"/>
      <c r="AE24" s="183"/>
      <c r="AF24" s="183"/>
      <c r="AG24" s="183"/>
      <c r="AH24" s="470" t="e">
        <f t="shared" si="3"/>
        <v>#N/A</v>
      </c>
      <c r="AI24" s="658"/>
      <c r="AJ24" s="183"/>
      <c r="AK24" s="183"/>
      <c r="AL24" s="183"/>
      <c r="AM24" s="470" t="e">
        <f t="shared" si="4"/>
        <v>#N/A</v>
      </c>
      <c r="AN24" s="658"/>
      <c r="AO24" s="183"/>
      <c r="AP24" s="183"/>
      <c r="AQ24" s="183"/>
      <c r="AR24" s="470" t="e">
        <f t="shared" si="5"/>
        <v>#N/A</v>
      </c>
      <c r="AS24" s="658"/>
      <c r="AT24" s="183">
        <v>17</v>
      </c>
      <c r="AU24" s="183">
        <v>1283.823529411763</v>
      </c>
      <c r="AV24" s="183">
        <v>75.51903114186841</v>
      </c>
      <c r="AW24" s="470">
        <f t="shared" si="6"/>
        <v>10</v>
      </c>
      <c r="AX24" s="658"/>
      <c r="AZ24" s="378" t="e">
        <f>RANK(AX24, $K$7:AX$36)</f>
        <v>#N/A</v>
      </c>
      <c r="BB24" s="376" t="e">
        <f t="shared" si="7"/>
        <v>#N/A</v>
      </c>
    </row>
    <row r="25" spans="2:54">
      <c r="B25" s="627"/>
      <c r="C25" s="470">
        <v>19</v>
      </c>
      <c r="D25" s="228" t="s">
        <v>697</v>
      </c>
      <c r="E25" s="183">
        <v>18</v>
      </c>
      <c r="F25" s="470">
        <v>1500</v>
      </c>
      <c r="G25" s="471">
        <v>83.333333333333329</v>
      </c>
      <c r="H25" s="662"/>
      <c r="I25" s="472">
        <f t="shared" si="8"/>
        <v>18</v>
      </c>
      <c r="J25" s="472">
        <f t="shared" si="9"/>
        <v>1107.0000000000041</v>
      </c>
      <c r="K25" s="201">
        <f t="shared" si="10"/>
        <v>61.500000000000227</v>
      </c>
      <c r="L25" s="601"/>
      <c r="M25" s="472">
        <f>RANK(K25, $K$7:K$36)</f>
        <v>25</v>
      </c>
      <c r="N25" s="619"/>
      <c r="O25" s="619"/>
      <c r="P25" s="183"/>
      <c r="Q25" s="183"/>
      <c r="R25" s="183"/>
      <c r="S25" s="470" t="e">
        <f t="shared" si="0"/>
        <v>#N/A</v>
      </c>
      <c r="T25" s="658"/>
      <c r="U25" s="183"/>
      <c r="V25" s="183"/>
      <c r="W25" s="183"/>
      <c r="X25" s="470" t="e">
        <f t="shared" si="1"/>
        <v>#N/A</v>
      </c>
      <c r="Y25" s="658"/>
      <c r="Z25" s="183"/>
      <c r="AA25" s="183"/>
      <c r="AB25" s="183"/>
      <c r="AC25" s="470" t="e">
        <f t="shared" si="2"/>
        <v>#N/A</v>
      </c>
      <c r="AD25" s="658"/>
      <c r="AE25" s="183"/>
      <c r="AF25" s="183"/>
      <c r="AG25" s="183"/>
      <c r="AH25" s="470" t="e">
        <f t="shared" si="3"/>
        <v>#N/A</v>
      </c>
      <c r="AI25" s="658"/>
      <c r="AJ25" s="183"/>
      <c r="AK25" s="183"/>
      <c r="AL25" s="183"/>
      <c r="AM25" s="470" t="e">
        <f t="shared" si="4"/>
        <v>#N/A</v>
      </c>
      <c r="AN25" s="658"/>
      <c r="AO25" s="183"/>
      <c r="AP25" s="183"/>
      <c r="AQ25" s="183"/>
      <c r="AR25" s="470" t="e">
        <f t="shared" si="5"/>
        <v>#N/A</v>
      </c>
      <c r="AS25" s="658"/>
      <c r="AT25" s="183">
        <v>18</v>
      </c>
      <c r="AU25" s="183">
        <v>1107.0000000000041</v>
      </c>
      <c r="AV25" s="183">
        <v>61.500000000000227</v>
      </c>
      <c r="AW25" s="470">
        <f t="shared" si="6"/>
        <v>25</v>
      </c>
      <c r="AX25" s="658"/>
      <c r="AZ25" s="378" t="e">
        <f>RANK(AX25, $K$7:AX$36)</f>
        <v>#N/A</v>
      </c>
      <c r="BB25" s="376" t="e">
        <f t="shared" si="7"/>
        <v>#N/A</v>
      </c>
    </row>
    <row r="26" spans="2:54">
      <c r="B26" s="627"/>
      <c r="C26" s="470">
        <v>20</v>
      </c>
      <c r="D26" s="228" t="s">
        <v>387</v>
      </c>
      <c r="E26" s="183">
        <v>18</v>
      </c>
      <c r="F26" s="470">
        <v>1500</v>
      </c>
      <c r="G26" s="471">
        <v>83.333333333333329</v>
      </c>
      <c r="H26" s="662"/>
      <c r="I26" s="472">
        <f t="shared" si="8"/>
        <v>18</v>
      </c>
      <c r="J26" s="472">
        <f t="shared" si="9"/>
        <v>1308.0000000000009</v>
      </c>
      <c r="K26" s="201">
        <f t="shared" si="10"/>
        <v>72.666666666666714</v>
      </c>
      <c r="L26" s="601"/>
      <c r="M26" s="472">
        <f>RANK(K26, $K$7:K$36)</f>
        <v>15</v>
      </c>
      <c r="N26" s="619"/>
      <c r="O26" s="619"/>
      <c r="P26" s="183"/>
      <c r="Q26" s="183"/>
      <c r="R26" s="183"/>
      <c r="S26" s="470" t="e">
        <f t="shared" si="0"/>
        <v>#N/A</v>
      </c>
      <c r="T26" s="658"/>
      <c r="U26" s="183"/>
      <c r="V26" s="183"/>
      <c r="W26" s="183"/>
      <c r="X26" s="470" t="e">
        <f t="shared" si="1"/>
        <v>#N/A</v>
      </c>
      <c r="Y26" s="658"/>
      <c r="Z26" s="183"/>
      <c r="AA26" s="183"/>
      <c r="AB26" s="183"/>
      <c r="AC26" s="470" t="e">
        <f t="shared" si="2"/>
        <v>#N/A</v>
      </c>
      <c r="AD26" s="658"/>
      <c r="AE26" s="183"/>
      <c r="AF26" s="183"/>
      <c r="AG26" s="183"/>
      <c r="AH26" s="470" t="e">
        <f t="shared" si="3"/>
        <v>#N/A</v>
      </c>
      <c r="AI26" s="658"/>
      <c r="AJ26" s="183"/>
      <c r="AK26" s="183"/>
      <c r="AL26" s="183"/>
      <c r="AM26" s="470" t="e">
        <f t="shared" si="4"/>
        <v>#N/A</v>
      </c>
      <c r="AN26" s="658"/>
      <c r="AO26" s="183"/>
      <c r="AP26" s="183"/>
      <c r="AQ26" s="183"/>
      <c r="AR26" s="470" t="e">
        <f t="shared" si="5"/>
        <v>#N/A</v>
      </c>
      <c r="AS26" s="658"/>
      <c r="AT26" s="183">
        <v>18</v>
      </c>
      <c r="AU26" s="183">
        <v>1308.0000000000009</v>
      </c>
      <c r="AV26" s="183">
        <v>72.666666666666714</v>
      </c>
      <c r="AW26" s="470">
        <f t="shared" si="6"/>
        <v>15</v>
      </c>
      <c r="AX26" s="658"/>
      <c r="AZ26" s="378" t="e">
        <f>RANK(AX26, $K$7:AX$36)</f>
        <v>#N/A</v>
      </c>
      <c r="BB26" s="376" t="e">
        <f t="shared" si="7"/>
        <v>#N/A</v>
      </c>
    </row>
    <row r="27" spans="2:54">
      <c r="B27" s="627"/>
      <c r="C27" s="470">
        <v>21</v>
      </c>
      <c r="D27" s="228" t="s">
        <v>560</v>
      </c>
      <c r="E27" s="183">
        <v>17</v>
      </c>
      <c r="F27" s="470">
        <v>1440</v>
      </c>
      <c r="G27" s="471">
        <v>84.705882352941174</v>
      </c>
      <c r="H27" s="662"/>
      <c r="I27" s="472">
        <f t="shared" si="8"/>
        <v>17</v>
      </c>
      <c r="J27" s="472">
        <f t="shared" si="9"/>
        <v>1262.9999999999995</v>
      </c>
      <c r="K27" s="201">
        <f t="shared" si="10"/>
        <v>74.294117647058798</v>
      </c>
      <c r="L27" s="601"/>
      <c r="M27" s="472">
        <f>RANK(K27, $K$7:K$36)</f>
        <v>12</v>
      </c>
      <c r="N27" s="619"/>
      <c r="O27" s="619"/>
      <c r="P27" s="183"/>
      <c r="Q27" s="183"/>
      <c r="R27" s="183"/>
      <c r="S27" s="470" t="e">
        <f t="shared" si="0"/>
        <v>#N/A</v>
      </c>
      <c r="T27" s="658"/>
      <c r="U27" s="183"/>
      <c r="V27" s="183"/>
      <c r="W27" s="183"/>
      <c r="X27" s="470" t="e">
        <f t="shared" si="1"/>
        <v>#N/A</v>
      </c>
      <c r="Y27" s="658"/>
      <c r="Z27" s="183"/>
      <c r="AA27" s="183"/>
      <c r="AB27" s="183"/>
      <c r="AC27" s="470" t="e">
        <f t="shared" si="2"/>
        <v>#N/A</v>
      </c>
      <c r="AD27" s="658"/>
      <c r="AE27" s="183"/>
      <c r="AF27" s="183"/>
      <c r="AG27" s="183"/>
      <c r="AH27" s="470" t="e">
        <f t="shared" si="3"/>
        <v>#N/A</v>
      </c>
      <c r="AI27" s="658"/>
      <c r="AJ27" s="183"/>
      <c r="AK27" s="183"/>
      <c r="AL27" s="183"/>
      <c r="AM27" s="470" t="e">
        <f t="shared" si="4"/>
        <v>#N/A</v>
      </c>
      <c r="AN27" s="658"/>
      <c r="AO27" s="183"/>
      <c r="AP27" s="183"/>
      <c r="AQ27" s="183"/>
      <c r="AR27" s="470" t="e">
        <f t="shared" si="5"/>
        <v>#N/A</v>
      </c>
      <c r="AS27" s="658"/>
      <c r="AT27" s="183">
        <v>17</v>
      </c>
      <c r="AU27" s="183">
        <v>1262.9999999999995</v>
      </c>
      <c r="AV27" s="183">
        <v>74.294117647058798</v>
      </c>
      <c r="AW27" s="470">
        <f t="shared" si="6"/>
        <v>12</v>
      </c>
      <c r="AX27" s="658"/>
      <c r="AZ27" s="378" t="e">
        <f>RANK(AX27, $K$7:AX$36)</f>
        <v>#N/A</v>
      </c>
      <c r="BB27" s="376" t="e">
        <f t="shared" si="7"/>
        <v>#N/A</v>
      </c>
    </row>
    <row r="28" spans="2:54">
      <c r="B28" s="627"/>
      <c r="C28" s="470">
        <v>22</v>
      </c>
      <c r="D28" s="228" t="s">
        <v>761</v>
      </c>
      <c r="E28" s="183">
        <v>18</v>
      </c>
      <c r="F28" s="470">
        <v>1385</v>
      </c>
      <c r="G28" s="471">
        <v>76.944444444444443</v>
      </c>
      <c r="H28" s="662"/>
      <c r="I28" s="472">
        <f t="shared" si="8"/>
        <v>17</v>
      </c>
      <c r="J28" s="472">
        <f t="shared" si="9"/>
        <v>1186.5517241379318</v>
      </c>
      <c r="K28" s="201">
        <f t="shared" si="10"/>
        <v>69.79716024340776</v>
      </c>
      <c r="L28" s="601"/>
      <c r="M28" s="472">
        <f>RANK(K28, $K$7:K$36)</f>
        <v>19</v>
      </c>
      <c r="N28" s="619"/>
      <c r="O28" s="619"/>
      <c r="P28" s="183"/>
      <c r="Q28" s="183"/>
      <c r="R28" s="183"/>
      <c r="S28" s="470" t="e">
        <f t="shared" si="0"/>
        <v>#N/A</v>
      </c>
      <c r="T28" s="658"/>
      <c r="U28" s="183"/>
      <c r="V28" s="183"/>
      <c r="W28" s="183"/>
      <c r="X28" s="470" t="e">
        <f t="shared" si="1"/>
        <v>#N/A</v>
      </c>
      <c r="Y28" s="658"/>
      <c r="Z28" s="183"/>
      <c r="AA28" s="183"/>
      <c r="AB28" s="183"/>
      <c r="AC28" s="470" t="e">
        <f t="shared" si="2"/>
        <v>#N/A</v>
      </c>
      <c r="AD28" s="658"/>
      <c r="AE28" s="183"/>
      <c r="AF28" s="183"/>
      <c r="AG28" s="183"/>
      <c r="AH28" s="470" t="e">
        <f t="shared" si="3"/>
        <v>#N/A</v>
      </c>
      <c r="AI28" s="658"/>
      <c r="AJ28" s="183"/>
      <c r="AK28" s="183"/>
      <c r="AL28" s="183"/>
      <c r="AM28" s="470" t="e">
        <f t="shared" si="4"/>
        <v>#N/A</v>
      </c>
      <c r="AN28" s="658"/>
      <c r="AO28" s="183"/>
      <c r="AP28" s="183"/>
      <c r="AQ28" s="183"/>
      <c r="AR28" s="470" t="e">
        <f t="shared" si="5"/>
        <v>#N/A</v>
      </c>
      <c r="AS28" s="658"/>
      <c r="AT28" s="183">
        <v>17</v>
      </c>
      <c r="AU28" s="183">
        <v>1186.5517241379318</v>
      </c>
      <c r="AV28" s="183">
        <v>69.79716024340776</v>
      </c>
      <c r="AW28" s="470">
        <f t="shared" si="6"/>
        <v>19</v>
      </c>
      <c r="AX28" s="658"/>
      <c r="AZ28" s="378" t="e">
        <f>RANK(AX28, $K$7:AX$36)</f>
        <v>#N/A</v>
      </c>
      <c r="BB28" s="376" t="e">
        <f t="shared" si="7"/>
        <v>#N/A</v>
      </c>
    </row>
    <row r="29" spans="2:54">
      <c r="B29" s="627"/>
      <c r="C29" s="470">
        <v>23</v>
      </c>
      <c r="D29" s="228" t="s">
        <v>836</v>
      </c>
      <c r="E29" s="183">
        <v>17</v>
      </c>
      <c r="F29" s="470">
        <v>1440</v>
      </c>
      <c r="G29" s="471">
        <v>84.705882352941174</v>
      </c>
      <c r="H29" s="662"/>
      <c r="I29" s="472">
        <f t="shared" si="8"/>
        <v>17</v>
      </c>
      <c r="J29" s="472">
        <f t="shared" si="9"/>
        <v>1249.3548387096785</v>
      </c>
      <c r="K29" s="201">
        <f t="shared" si="10"/>
        <v>73.491461100569325</v>
      </c>
      <c r="L29" s="601"/>
      <c r="M29" s="472">
        <f>RANK(K29, $K$7:K$36)</f>
        <v>13</v>
      </c>
      <c r="N29" s="619"/>
      <c r="O29" s="619"/>
      <c r="P29" s="183"/>
      <c r="Q29" s="183"/>
      <c r="R29" s="183"/>
      <c r="S29" s="470" t="e">
        <f t="shared" si="0"/>
        <v>#N/A</v>
      </c>
      <c r="T29" s="658"/>
      <c r="U29" s="183"/>
      <c r="V29" s="183"/>
      <c r="W29" s="183"/>
      <c r="X29" s="470" t="e">
        <f t="shared" si="1"/>
        <v>#N/A</v>
      </c>
      <c r="Y29" s="658"/>
      <c r="Z29" s="183"/>
      <c r="AA29" s="183"/>
      <c r="AB29" s="183"/>
      <c r="AC29" s="470" t="e">
        <f t="shared" si="2"/>
        <v>#N/A</v>
      </c>
      <c r="AD29" s="658"/>
      <c r="AE29" s="183"/>
      <c r="AF29" s="183"/>
      <c r="AG29" s="183"/>
      <c r="AH29" s="470" t="e">
        <f t="shared" si="3"/>
        <v>#N/A</v>
      </c>
      <c r="AI29" s="658"/>
      <c r="AJ29" s="183"/>
      <c r="AK29" s="183"/>
      <c r="AL29" s="183"/>
      <c r="AM29" s="470" t="e">
        <f t="shared" si="4"/>
        <v>#N/A</v>
      </c>
      <c r="AN29" s="658"/>
      <c r="AO29" s="183"/>
      <c r="AP29" s="183"/>
      <c r="AQ29" s="183"/>
      <c r="AR29" s="470" t="e">
        <f t="shared" si="5"/>
        <v>#N/A</v>
      </c>
      <c r="AS29" s="658"/>
      <c r="AT29" s="183">
        <v>17</v>
      </c>
      <c r="AU29" s="183">
        <v>1249.3548387096785</v>
      </c>
      <c r="AV29" s="183">
        <v>73.491461100569325</v>
      </c>
      <c r="AW29" s="470">
        <f t="shared" si="6"/>
        <v>13</v>
      </c>
      <c r="AX29" s="658"/>
      <c r="AZ29" s="378" t="e">
        <f>RANK(AX29, $K$7:AX$36)</f>
        <v>#N/A</v>
      </c>
      <c r="BB29" s="376" t="e">
        <f t="shared" si="7"/>
        <v>#N/A</v>
      </c>
    </row>
    <row r="30" spans="2:54">
      <c r="B30" s="627"/>
      <c r="C30" s="470">
        <v>24</v>
      </c>
      <c r="D30" s="228" t="s">
        <v>864</v>
      </c>
      <c r="E30" s="183">
        <v>19</v>
      </c>
      <c r="F30" s="470">
        <v>1500</v>
      </c>
      <c r="G30" s="471">
        <v>78.94736842105263</v>
      </c>
      <c r="H30" s="662"/>
      <c r="I30" s="472">
        <f t="shared" si="8"/>
        <v>19</v>
      </c>
      <c r="J30" s="472">
        <f t="shared" si="9"/>
        <v>1290.0000000000007</v>
      </c>
      <c r="K30" s="201">
        <f t="shared" si="10"/>
        <v>67.894736842105303</v>
      </c>
      <c r="L30" s="601"/>
      <c r="M30" s="472">
        <f>RANK(K30, $K$7:K$36)</f>
        <v>21</v>
      </c>
      <c r="N30" s="619"/>
      <c r="O30" s="619"/>
      <c r="P30" s="520"/>
      <c r="Q30" s="521"/>
      <c r="R30" s="521"/>
      <c r="S30" s="470" t="e">
        <f t="shared" si="0"/>
        <v>#N/A</v>
      </c>
      <c r="T30" s="658"/>
      <c r="U30" s="520"/>
      <c r="V30" s="521"/>
      <c r="W30" s="521"/>
      <c r="X30" s="470" t="e">
        <f t="shared" si="1"/>
        <v>#N/A</v>
      </c>
      <c r="Y30" s="658"/>
      <c r="Z30" s="520"/>
      <c r="AA30" s="521"/>
      <c r="AB30" s="521"/>
      <c r="AC30" s="470" t="e">
        <f t="shared" si="2"/>
        <v>#N/A</v>
      </c>
      <c r="AD30" s="658"/>
      <c r="AE30" s="520"/>
      <c r="AF30" s="521"/>
      <c r="AG30" s="521"/>
      <c r="AH30" s="470" t="e">
        <f t="shared" si="3"/>
        <v>#N/A</v>
      </c>
      <c r="AI30" s="658"/>
      <c r="AJ30" s="520"/>
      <c r="AK30" s="521"/>
      <c r="AL30" s="521"/>
      <c r="AM30" s="470" t="e">
        <f t="shared" si="4"/>
        <v>#N/A</v>
      </c>
      <c r="AN30" s="658"/>
      <c r="AO30" s="470"/>
      <c r="AP30" s="471"/>
      <c r="AQ30" s="471"/>
      <c r="AR30" s="470" t="e">
        <f t="shared" si="5"/>
        <v>#N/A</v>
      </c>
      <c r="AS30" s="658"/>
      <c r="AT30" s="520">
        <v>19</v>
      </c>
      <c r="AU30" s="521">
        <v>1290.0000000000007</v>
      </c>
      <c r="AV30" s="521">
        <v>67.894736842105303</v>
      </c>
      <c r="AW30" s="470">
        <f t="shared" si="6"/>
        <v>21</v>
      </c>
      <c r="AX30" s="658"/>
      <c r="AZ30" s="378" t="e">
        <f>RANK(AX30, $K$7:AX$36)</f>
        <v>#N/A</v>
      </c>
      <c r="BB30" s="376" t="e">
        <f t="shared" si="7"/>
        <v>#N/A</v>
      </c>
    </row>
    <row r="31" spans="2:54">
      <c r="B31" s="627"/>
      <c r="C31" s="470">
        <v>25</v>
      </c>
      <c r="D31" s="228" t="s">
        <v>872</v>
      </c>
      <c r="E31" s="183">
        <v>17</v>
      </c>
      <c r="F31" s="470">
        <v>1500</v>
      </c>
      <c r="G31" s="471">
        <v>88.235294117647058</v>
      </c>
      <c r="H31" s="662"/>
      <c r="I31" s="472">
        <f t="shared" si="8"/>
        <v>17</v>
      </c>
      <c r="J31" s="472">
        <f t="shared" si="9"/>
        <v>1291.4999999999995</v>
      </c>
      <c r="K31" s="201">
        <f t="shared" si="10"/>
        <v>75.970588235294088</v>
      </c>
      <c r="L31" s="601"/>
      <c r="M31" s="472">
        <f>RANK(K31, $K$7:K$36)</f>
        <v>9</v>
      </c>
      <c r="N31" s="619"/>
      <c r="O31" s="619"/>
      <c r="P31" s="520"/>
      <c r="Q31" s="521"/>
      <c r="R31" s="521"/>
      <c r="S31" s="470" t="e">
        <f t="shared" si="0"/>
        <v>#N/A</v>
      </c>
      <c r="T31" s="658"/>
      <c r="U31" s="520"/>
      <c r="V31" s="521"/>
      <c r="W31" s="521"/>
      <c r="X31" s="470" t="e">
        <f t="shared" si="1"/>
        <v>#N/A</v>
      </c>
      <c r="Y31" s="658"/>
      <c r="Z31" s="520"/>
      <c r="AA31" s="521"/>
      <c r="AB31" s="521"/>
      <c r="AC31" s="470" t="e">
        <f t="shared" si="2"/>
        <v>#N/A</v>
      </c>
      <c r="AD31" s="658"/>
      <c r="AE31" s="520"/>
      <c r="AF31" s="521"/>
      <c r="AG31" s="521"/>
      <c r="AH31" s="470" t="e">
        <f t="shared" si="3"/>
        <v>#N/A</v>
      </c>
      <c r="AI31" s="658"/>
      <c r="AJ31" s="520"/>
      <c r="AK31" s="521"/>
      <c r="AL31" s="521"/>
      <c r="AM31" s="470" t="e">
        <f t="shared" si="4"/>
        <v>#N/A</v>
      </c>
      <c r="AN31" s="658"/>
      <c r="AO31" s="470"/>
      <c r="AP31" s="471"/>
      <c r="AQ31" s="471"/>
      <c r="AR31" s="470" t="e">
        <f t="shared" si="5"/>
        <v>#N/A</v>
      </c>
      <c r="AS31" s="658"/>
      <c r="AT31" s="520">
        <v>17</v>
      </c>
      <c r="AU31" s="521">
        <v>1291.4999999999995</v>
      </c>
      <c r="AV31" s="521">
        <v>75.970588235294088</v>
      </c>
      <c r="AW31" s="470">
        <f t="shared" si="6"/>
        <v>9</v>
      </c>
      <c r="AX31" s="658"/>
      <c r="AZ31" s="378" t="e">
        <f>RANK(AX31, $K$7:AX$36)</f>
        <v>#N/A</v>
      </c>
      <c r="BB31" s="376" t="e">
        <f t="shared" si="7"/>
        <v>#N/A</v>
      </c>
    </row>
    <row r="32" spans="2:54">
      <c r="B32" s="627"/>
      <c r="C32" s="470">
        <v>26</v>
      </c>
      <c r="D32" s="228" t="s">
        <v>873</v>
      </c>
      <c r="E32" s="183">
        <v>19</v>
      </c>
      <c r="F32" s="470">
        <v>1200</v>
      </c>
      <c r="G32" s="471">
        <v>63.157894736842103</v>
      </c>
      <c r="H32" s="662"/>
      <c r="I32" s="472"/>
      <c r="J32" s="472"/>
      <c r="K32" s="201"/>
      <c r="L32" s="601"/>
      <c r="M32" s="472" t="e">
        <f>RANK(K32, $K$7:K$36)</f>
        <v>#N/A</v>
      </c>
      <c r="N32" s="619"/>
      <c r="O32" s="619"/>
      <c r="P32" s="470"/>
      <c r="Q32" s="471"/>
      <c r="R32" s="471"/>
      <c r="S32" s="470" t="e">
        <f t="shared" si="0"/>
        <v>#N/A</v>
      </c>
      <c r="T32" s="658"/>
      <c r="U32" s="470"/>
      <c r="V32" s="471"/>
      <c r="W32" s="471"/>
      <c r="X32" s="470" t="e">
        <f t="shared" si="1"/>
        <v>#N/A</v>
      </c>
      <c r="Y32" s="658"/>
      <c r="Z32" s="470"/>
      <c r="AA32" s="471"/>
      <c r="AB32" s="471"/>
      <c r="AC32" s="470" t="e">
        <f t="shared" si="2"/>
        <v>#N/A</v>
      </c>
      <c r="AD32" s="658"/>
      <c r="AE32" s="470"/>
      <c r="AF32" s="471"/>
      <c r="AG32" s="471"/>
      <c r="AH32" s="470" t="e">
        <f t="shared" si="3"/>
        <v>#N/A</v>
      </c>
      <c r="AI32" s="658"/>
      <c r="AJ32" s="470"/>
      <c r="AK32" s="471"/>
      <c r="AL32" s="471"/>
      <c r="AM32" s="470" t="e">
        <f t="shared" si="4"/>
        <v>#N/A</v>
      </c>
      <c r="AN32" s="658"/>
      <c r="AO32" s="470"/>
      <c r="AP32" s="471"/>
      <c r="AQ32" s="471"/>
      <c r="AR32" s="470" t="e">
        <f t="shared" si="5"/>
        <v>#N/A</v>
      </c>
      <c r="AS32" s="658"/>
      <c r="AT32" s="520">
        <v>19</v>
      </c>
      <c r="AU32" s="521">
        <v>1087.4418604651162</v>
      </c>
      <c r="AV32" s="521">
        <v>57.233782129742956</v>
      </c>
      <c r="AW32" s="470">
        <f t="shared" si="6"/>
        <v>26</v>
      </c>
      <c r="AX32" s="658"/>
      <c r="AZ32" s="378" t="e">
        <f>RANK(AX32, $K$7:AX$36)</f>
        <v>#N/A</v>
      </c>
      <c r="BB32" s="376" t="e">
        <f t="shared" si="7"/>
        <v>#N/A</v>
      </c>
    </row>
    <row r="33" spans="2:54">
      <c r="B33" s="627"/>
      <c r="C33" s="470">
        <v>27</v>
      </c>
      <c r="D33" s="228"/>
      <c r="E33" s="183"/>
      <c r="F33" s="470"/>
      <c r="G33" s="471"/>
      <c r="H33" s="662"/>
      <c r="I33" s="472"/>
      <c r="J33" s="472"/>
      <c r="K33" s="201"/>
      <c r="L33" s="601"/>
      <c r="M33" s="472" t="e">
        <f>RANK(K33, $K$7:K$36)</f>
        <v>#N/A</v>
      </c>
      <c r="N33" s="619"/>
      <c r="O33" s="619"/>
      <c r="P33" s="470"/>
      <c r="Q33" s="471"/>
      <c r="R33" s="471"/>
      <c r="S33" s="470" t="e">
        <f t="shared" si="0"/>
        <v>#N/A</v>
      </c>
      <c r="T33" s="658"/>
      <c r="U33" s="470"/>
      <c r="V33" s="471"/>
      <c r="W33" s="471"/>
      <c r="X33" s="470" t="e">
        <f t="shared" si="1"/>
        <v>#N/A</v>
      </c>
      <c r="Y33" s="658"/>
      <c r="Z33" s="470"/>
      <c r="AA33" s="471"/>
      <c r="AB33" s="471"/>
      <c r="AC33" s="470" t="e">
        <f t="shared" si="2"/>
        <v>#N/A</v>
      </c>
      <c r="AD33" s="658"/>
      <c r="AE33" s="470"/>
      <c r="AF33" s="471"/>
      <c r="AG33" s="471"/>
      <c r="AH33" s="470" t="e">
        <f t="shared" si="3"/>
        <v>#N/A</v>
      </c>
      <c r="AI33" s="658"/>
      <c r="AJ33" s="470"/>
      <c r="AK33" s="471"/>
      <c r="AL33" s="471"/>
      <c r="AM33" s="470" t="e">
        <f t="shared" si="4"/>
        <v>#N/A</v>
      </c>
      <c r="AN33" s="658"/>
      <c r="AO33" s="470"/>
      <c r="AP33" s="471"/>
      <c r="AQ33" s="471"/>
      <c r="AR33" s="470" t="e">
        <f t="shared" si="5"/>
        <v>#N/A</v>
      </c>
      <c r="AS33" s="658"/>
      <c r="AT33" s="470"/>
      <c r="AU33" s="471"/>
      <c r="AV33" s="471"/>
      <c r="AW33" s="470" t="e">
        <f t="shared" si="6"/>
        <v>#N/A</v>
      </c>
      <c r="AX33" s="658"/>
      <c r="AZ33" s="378" t="e">
        <f>RANK(AX33, $K$7:AX$36)</f>
        <v>#N/A</v>
      </c>
      <c r="BB33" s="376" t="e">
        <f t="shared" si="7"/>
        <v>#N/A</v>
      </c>
    </row>
    <row r="34" spans="2:54">
      <c r="B34" s="627"/>
      <c r="C34" s="470">
        <v>28</v>
      </c>
      <c r="D34" s="228"/>
      <c r="E34" s="183"/>
      <c r="F34" s="470"/>
      <c r="G34" s="471"/>
      <c r="H34" s="662"/>
      <c r="I34" s="472"/>
      <c r="J34" s="472"/>
      <c r="K34" s="201"/>
      <c r="L34" s="601"/>
      <c r="M34" s="472" t="e">
        <f>RANK(K34, $K$7:K$36)</f>
        <v>#N/A</v>
      </c>
      <c r="N34" s="619"/>
      <c r="O34" s="619"/>
      <c r="P34" s="470"/>
      <c r="Q34" s="471"/>
      <c r="R34" s="471"/>
      <c r="S34" s="470" t="e">
        <f t="shared" si="0"/>
        <v>#N/A</v>
      </c>
      <c r="T34" s="658"/>
      <c r="U34" s="470"/>
      <c r="V34" s="471"/>
      <c r="W34" s="471"/>
      <c r="X34" s="470" t="e">
        <f t="shared" si="1"/>
        <v>#N/A</v>
      </c>
      <c r="Y34" s="658"/>
      <c r="Z34" s="470"/>
      <c r="AA34" s="471"/>
      <c r="AB34" s="471"/>
      <c r="AC34" s="470" t="e">
        <f t="shared" si="2"/>
        <v>#N/A</v>
      </c>
      <c r="AD34" s="658"/>
      <c r="AE34" s="470"/>
      <c r="AF34" s="471"/>
      <c r="AG34" s="471"/>
      <c r="AH34" s="470" t="e">
        <f t="shared" si="3"/>
        <v>#N/A</v>
      </c>
      <c r="AI34" s="658"/>
      <c r="AJ34" s="470"/>
      <c r="AK34" s="471"/>
      <c r="AL34" s="471"/>
      <c r="AM34" s="470" t="e">
        <f t="shared" si="4"/>
        <v>#N/A</v>
      </c>
      <c r="AN34" s="658"/>
      <c r="AO34" s="470"/>
      <c r="AP34" s="470"/>
      <c r="AQ34" s="470"/>
      <c r="AR34" s="470" t="e">
        <f t="shared" si="5"/>
        <v>#N/A</v>
      </c>
      <c r="AS34" s="658"/>
      <c r="AT34" s="470"/>
      <c r="AU34" s="471"/>
      <c r="AV34" s="471"/>
      <c r="AW34" s="470" t="e">
        <f t="shared" si="6"/>
        <v>#N/A</v>
      </c>
      <c r="AX34" s="658"/>
      <c r="AZ34" s="378" t="e">
        <f>RANK(AX34, $K$7:AX$36)</f>
        <v>#N/A</v>
      </c>
      <c r="BB34" s="376" t="e">
        <f t="shared" si="7"/>
        <v>#N/A</v>
      </c>
    </row>
    <row r="35" spans="2:54">
      <c r="B35" s="627"/>
      <c r="C35" s="470">
        <v>29</v>
      </c>
      <c r="D35" s="228"/>
      <c r="E35" s="183"/>
      <c r="F35" s="470"/>
      <c r="G35" s="471"/>
      <c r="H35" s="662"/>
      <c r="I35" s="203"/>
      <c r="J35" s="203"/>
      <c r="K35" s="203"/>
      <c r="L35" s="601"/>
      <c r="M35" s="472" t="e">
        <f>RANK(K35, $K$7:K$36)</f>
        <v>#N/A</v>
      </c>
      <c r="N35" s="619"/>
      <c r="O35" s="619"/>
      <c r="P35" s="470"/>
      <c r="Q35" s="470"/>
      <c r="R35" s="470"/>
      <c r="S35" s="470" t="e">
        <f t="shared" si="0"/>
        <v>#N/A</v>
      </c>
      <c r="T35" s="658"/>
      <c r="U35" s="470"/>
      <c r="V35" s="470"/>
      <c r="W35" s="470"/>
      <c r="X35" s="470" t="e">
        <f t="shared" si="1"/>
        <v>#N/A</v>
      </c>
      <c r="Y35" s="658"/>
      <c r="Z35" s="470"/>
      <c r="AA35" s="470"/>
      <c r="AB35" s="470"/>
      <c r="AC35" s="470" t="e">
        <f t="shared" si="2"/>
        <v>#N/A</v>
      </c>
      <c r="AD35" s="658"/>
      <c r="AE35" s="470"/>
      <c r="AF35" s="470"/>
      <c r="AG35" s="470"/>
      <c r="AH35" s="470" t="e">
        <f t="shared" si="3"/>
        <v>#N/A</v>
      </c>
      <c r="AI35" s="658"/>
      <c r="AJ35" s="470"/>
      <c r="AK35" s="470"/>
      <c r="AL35" s="470"/>
      <c r="AM35" s="470" t="e">
        <f t="shared" si="4"/>
        <v>#N/A</v>
      </c>
      <c r="AN35" s="658"/>
      <c r="AO35" s="470"/>
      <c r="AP35" s="470"/>
      <c r="AQ35" s="470"/>
      <c r="AR35" s="470" t="e">
        <f t="shared" si="5"/>
        <v>#N/A</v>
      </c>
      <c r="AS35" s="658"/>
      <c r="AT35" s="470"/>
      <c r="AU35" s="470"/>
      <c r="AV35" s="470"/>
      <c r="AW35" s="470" t="e">
        <f t="shared" si="6"/>
        <v>#N/A</v>
      </c>
      <c r="AX35" s="658"/>
      <c r="AZ35" s="378" t="e">
        <f>RANK(AX35, $K$7:AX$36)</f>
        <v>#N/A</v>
      </c>
      <c r="BB35" s="376" t="e">
        <f t="shared" si="7"/>
        <v>#N/A</v>
      </c>
    </row>
    <row r="36" spans="2:54">
      <c r="B36" s="627"/>
      <c r="C36" s="470">
        <v>30</v>
      </c>
      <c r="D36" s="228"/>
      <c r="E36" s="183"/>
      <c r="F36" s="470"/>
      <c r="G36" s="471"/>
      <c r="H36" s="663"/>
      <c r="I36" s="203"/>
      <c r="J36" s="203"/>
      <c r="K36" s="203"/>
      <c r="L36" s="602"/>
      <c r="M36" s="472" t="e">
        <f>RANK(K36, $K$7:K$36)</f>
        <v>#N/A</v>
      </c>
      <c r="N36" s="619"/>
      <c r="O36" s="619"/>
      <c r="P36" s="470"/>
      <c r="Q36" s="470"/>
      <c r="R36" s="470"/>
      <c r="S36" s="470" t="e">
        <f t="shared" si="0"/>
        <v>#N/A</v>
      </c>
      <c r="T36" s="658"/>
      <c r="U36" s="470"/>
      <c r="V36" s="470"/>
      <c r="W36" s="470"/>
      <c r="X36" s="470" t="e">
        <f t="shared" si="1"/>
        <v>#N/A</v>
      </c>
      <c r="Y36" s="658"/>
      <c r="Z36" s="470"/>
      <c r="AA36" s="470"/>
      <c r="AB36" s="470"/>
      <c r="AC36" s="470" t="e">
        <f t="shared" si="2"/>
        <v>#N/A</v>
      </c>
      <c r="AD36" s="658"/>
      <c r="AE36" s="470"/>
      <c r="AF36" s="470"/>
      <c r="AG36" s="470"/>
      <c r="AH36" s="470" t="e">
        <f t="shared" si="3"/>
        <v>#N/A</v>
      </c>
      <c r="AI36" s="658"/>
      <c r="AJ36" s="470"/>
      <c r="AK36" s="470"/>
      <c r="AL36" s="470"/>
      <c r="AM36" s="470" t="e">
        <f t="shared" si="4"/>
        <v>#N/A</v>
      </c>
      <c r="AN36" s="658"/>
      <c r="AO36" s="470"/>
      <c r="AP36" s="470"/>
      <c r="AQ36" s="470"/>
      <c r="AR36" s="470" t="e">
        <f t="shared" si="5"/>
        <v>#N/A</v>
      </c>
      <c r="AS36" s="658"/>
      <c r="AT36" s="470"/>
      <c r="AU36" s="470"/>
      <c r="AV36" s="470"/>
      <c r="AW36" s="470" t="e">
        <f t="shared" si="6"/>
        <v>#N/A</v>
      </c>
      <c r="AX36" s="658"/>
      <c r="AZ36" s="472" t="e">
        <f>RANK(AX36, $K$7:AX$36)</f>
        <v>#N/A</v>
      </c>
      <c r="BB36" s="376" t="e">
        <f t="shared" si="7"/>
        <v>#N/A</v>
      </c>
    </row>
    <row r="37" spans="2:54" ht="15.5">
      <c r="B37" s="644" t="s">
        <v>163</v>
      </c>
      <c r="C37" s="645"/>
      <c r="D37" s="645"/>
      <c r="E37" s="645"/>
      <c r="F37" s="645"/>
      <c r="G37" s="645"/>
      <c r="H37" s="645"/>
      <c r="I37" s="204"/>
      <c r="J37" s="204"/>
      <c r="K37" s="204"/>
      <c r="L37" s="204"/>
      <c r="M37" s="205"/>
      <c r="N37" s="620" t="s">
        <v>156</v>
      </c>
      <c r="O37" s="620" t="s">
        <v>105</v>
      </c>
      <c r="P37" s="664">
        <v>45993</v>
      </c>
      <c r="Q37" s="665"/>
      <c r="R37" s="665"/>
      <c r="S37" s="665"/>
      <c r="T37" s="665"/>
      <c r="U37" s="626">
        <f>P37+1</f>
        <v>45994</v>
      </c>
      <c r="V37" s="627"/>
      <c r="W37" s="627"/>
      <c r="X37" s="627"/>
      <c r="Y37" s="627"/>
      <c r="Z37" s="626">
        <f>U37+1</f>
        <v>45995</v>
      </c>
      <c r="AA37" s="627"/>
      <c r="AB37" s="627"/>
      <c r="AC37" s="627"/>
      <c r="AD37" s="627"/>
      <c r="AE37" s="626">
        <f>Z37+1</f>
        <v>45996</v>
      </c>
      <c r="AF37" s="627"/>
      <c r="AG37" s="627"/>
      <c r="AH37" s="627"/>
      <c r="AI37" s="627"/>
      <c r="AJ37" s="626">
        <f>AE37+1</f>
        <v>45997</v>
      </c>
      <c r="AK37" s="627"/>
      <c r="AL37" s="627"/>
      <c r="AM37" s="627"/>
      <c r="AN37" s="627"/>
      <c r="AO37" s="626">
        <f>AJ37+1</f>
        <v>45998</v>
      </c>
      <c r="AP37" s="627"/>
      <c r="AQ37" s="627"/>
      <c r="AR37" s="627"/>
      <c r="AS37" s="627"/>
      <c r="AT37" s="626">
        <f>AO37+1</f>
        <v>45999</v>
      </c>
      <c r="AU37" s="627"/>
      <c r="AV37" s="627"/>
      <c r="AW37" s="627"/>
      <c r="AX37" s="627"/>
    </row>
    <row r="38" spans="2:54" ht="15.5">
      <c r="B38" s="634"/>
      <c r="C38" s="634"/>
      <c r="D38" s="634"/>
      <c r="E38" s="634"/>
      <c r="F38" s="634"/>
      <c r="G38" s="634"/>
      <c r="H38" s="634"/>
      <c r="I38" s="206"/>
      <c r="J38" s="206"/>
      <c r="K38" s="206"/>
      <c r="L38" s="206"/>
      <c r="M38" s="207"/>
      <c r="N38" s="622"/>
      <c r="O38" s="622"/>
      <c r="P38" s="626" t="s">
        <v>336</v>
      </c>
      <c r="Q38" s="627"/>
      <c r="R38" s="627"/>
      <c r="S38" s="627"/>
      <c r="T38" s="627"/>
      <c r="U38" s="626" t="s">
        <v>337</v>
      </c>
      <c r="V38" s="627"/>
      <c r="W38" s="627"/>
      <c r="X38" s="627"/>
      <c r="Y38" s="627"/>
      <c r="Z38" s="626" t="s">
        <v>338</v>
      </c>
      <c r="AA38" s="627"/>
      <c r="AB38" s="627"/>
      <c r="AC38" s="627"/>
      <c r="AD38" s="627"/>
      <c r="AE38" s="626" t="s">
        <v>339</v>
      </c>
      <c r="AF38" s="627"/>
      <c r="AG38" s="627"/>
      <c r="AH38" s="627"/>
      <c r="AI38" s="627"/>
      <c r="AJ38" s="626" t="s">
        <v>340</v>
      </c>
      <c r="AK38" s="627"/>
      <c r="AL38" s="627"/>
      <c r="AM38" s="627"/>
      <c r="AN38" s="627"/>
      <c r="AO38" s="626" t="s">
        <v>341</v>
      </c>
      <c r="AP38" s="627"/>
      <c r="AQ38" s="627"/>
      <c r="AR38" s="627"/>
      <c r="AS38" s="627"/>
      <c r="AT38" s="626" t="s">
        <v>342</v>
      </c>
      <c r="AU38" s="627"/>
      <c r="AV38" s="627"/>
      <c r="AW38" s="627"/>
      <c r="AX38" s="627"/>
    </row>
    <row r="39" spans="2:54">
      <c r="B39" s="619" t="s">
        <v>502</v>
      </c>
      <c r="C39" s="619" t="s">
        <v>503</v>
      </c>
      <c r="D39" s="619"/>
      <c r="E39" s="619" t="s">
        <v>504</v>
      </c>
      <c r="F39" s="619"/>
      <c r="G39" s="619"/>
      <c r="H39" s="635" t="s">
        <v>505</v>
      </c>
      <c r="I39" s="603" t="s">
        <v>506</v>
      </c>
      <c r="J39" s="603"/>
      <c r="K39" s="603"/>
      <c r="L39" s="604" t="s">
        <v>505</v>
      </c>
      <c r="M39" s="610" t="s">
        <v>507</v>
      </c>
      <c r="N39" s="619"/>
      <c r="O39" s="619" t="s">
        <v>508</v>
      </c>
      <c r="P39" s="616" t="s">
        <v>509</v>
      </c>
      <c r="Q39" s="617"/>
      <c r="R39" s="617"/>
      <c r="S39" s="618"/>
      <c r="T39" s="619" t="s">
        <v>505</v>
      </c>
      <c r="U39" s="616" t="s">
        <v>509</v>
      </c>
      <c r="V39" s="617"/>
      <c r="W39" s="617"/>
      <c r="X39" s="618"/>
      <c r="Y39" s="619" t="s">
        <v>505</v>
      </c>
      <c r="Z39" s="616" t="s">
        <v>509</v>
      </c>
      <c r="AA39" s="617"/>
      <c r="AB39" s="617"/>
      <c r="AC39" s="618"/>
      <c r="AD39" s="619" t="s">
        <v>505</v>
      </c>
      <c r="AE39" s="616" t="s">
        <v>509</v>
      </c>
      <c r="AF39" s="617"/>
      <c r="AG39" s="617"/>
      <c r="AH39" s="618"/>
      <c r="AI39" s="619" t="s">
        <v>505</v>
      </c>
      <c r="AJ39" s="616" t="s">
        <v>509</v>
      </c>
      <c r="AK39" s="617"/>
      <c r="AL39" s="617"/>
      <c r="AM39" s="618"/>
      <c r="AN39" s="619" t="s">
        <v>505</v>
      </c>
      <c r="AO39" s="616" t="s">
        <v>509</v>
      </c>
      <c r="AP39" s="617"/>
      <c r="AQ39" s="617"/>
      <c r="AR39" s="618"/>
      <c r="AS39" s="619" t="s">
        <v>505</v>
      </c>
      <c r="AT39" s="616" t="s">
        <v>509</v>
      </c>
      <c r="AU39" s="617"/>
      <c r="AV39" s="617"/>
      <c r="AW39" s="618"/>
      <c r="AX39" s="619" t="s">
        <v>505</v>
      </c>
    </row>
    <row r="40" spans="2:54">
      <c r="B40" s="619"/>
      <c r="C40" s="619"/>
      <c r="D40" s="619"/>
      <c r="E40" s="619" t="s">
        <v>510</v>
      </c>
      <c r="F40" s="619"/>
      <c r="G40" s="619"/>
      <c r="H40" s="636"/>
      <c r="I40" s="603" t="s">
        <v>510</v>
      </c>
      <c r="J40" s="603"/>
      <c r="K40" s="603"/>
      <c r="L40" s="605"/>
      <c r="M40" s="611"/>
      <c r="N40" s="619"/>
      <c r="O40" s="619"/>
      <c r="P40" s="616" t="s">
        <v>511</v>
      </c>
      <c r="Q40" s="617"/>
      <c r="R40" s="617"/>
      <c r="S40" s="618"/>
      <c r="T40" s="619"/>
      <c r="U40" s="616" t="s">
        <v>511</v>
      </c>
      <c r="V40" s="617"/>
      <c r="W40" s="617"/>
      <c r="X40" s="618"/>
      <c r="Y40" s="619"/>
      <c r="Z40" s="616" t="s">
        <v>511</v>
      </c>
      <c r="AA40" s="617"/>
      <c r="AB40" s="617"/>
      <c r="AC40" s="618"/>
      <c r="AD40" s="619"/>
      <c r="AE40" s="616" t="s">
        <v>511</v>
      </c>
      <c r="AF40" s="617"/>
      <c r="AG40" s="617"/>
      <c r="AH40" s="618"/>
      <c r="AI40" s="619"/>
      <c r="AJ40" s="616" t="s">
        <v>511</v>
      </c>
      <c r="AK40" s="617"/>
      <c r="AL40" s="617"/>
      <c r="AM40" s="618"/>
      <c r="AN40" s="619"/>
      <c r="AO40" s="616" t="s">
        <v>511</v>
      </c>
      <c r="AP40" s="617"/>
      <c r="AQ40" s="617"/>
      <c r="AR40" s="618"/>
      <c r="AS40" s="619"/>
      <c r="AT40" s="616" t="s">
        <v>511</v>
      </c>
      <c r="AU40" s="617"/>
      <c r="AV40" s="617"/>
      <c r="AW40" s="618"/>
      <c r="AX40" s="619"/>
    </row>
    <row r="41" spans="2:54">
      <c r="B41" s="619"/>
      <c r="C41" s="619"/>
      <c r="D41" s="619"/>
      <c r="E41" s="316" t="s">
        <v>512</v>
      </c>
      <c r="F41" s="316" t="s">
        <v>513</v>
      </c>
      <c r="G41" s="316" t="s">
        <v>514</v>
      </c>
      <c r="H41" s="637"/>
      <c r="I41" s="315" t="s">
        <v>512</v>
      </c>
      <c r="J41" s="315" t="s">
        <v>513</v>
      </c>
      <c r="K41" s="315" t="s">
        <v>514</v>
      </c>
      <c r="L41" s="606"/>
      <c r="M41" s="612"/>
      <c r="N41" s="619"/>
      <c r="O41" s="619"/>
      <c r="P41" s="316" t="s">
        <v>512</v>
      </c>
      <c r="Q41" s="316" t="s">
        <v>513</v>
      </c>
      <c r="R41" s="316" t="s">
        <v>514</v>
      </c>
      <c r="S41" s="316" t="s">
        <v>507</v>
      </c>
      <c r="T41" s="619"/>
      <c r="U41" s="316" t="s">
        <v>512</v>
      </c>
      <c r="V41" s="316" t="s">
        <v>513</v>
      </c>
      <c r="W41" s="316" t="s">
        <v>514</v>
      </c>
      <c r="X41" s="316" t="s">
        <v>507</v>
      </c>
      <c r="Y41" s="619"/>
      <c r="Z41" s="316" t="s">
        <v>512</v>
      </c>
      <c r="AA41" s="316" t="s">
        <v>513</v>
      </c>
      <c r="AB41" s="316" t="s">
        <v>514</v>
      </c>
      <c r="AC41" s="316" t="s">
        <v>507</v>
      </c>
      <c r="AD41" s="619"/>
      <c r="AE41" s="316" t="s">
        <v>512</v>
      </c>
      <c r="AF41" s="316" t="s">
        <v>513</v>
      </c>
      <c r="AG41" s="316" t="s">
        <v>514</v>
      </c>
      <c r="AH41" s="316" t="s">
        <v>507</v>
      </c>
      <c r="AI41" s="619"/>
      <c r="AJ41" s="316" t="s">
        <v>512</v>
      </c>
      <c r="AK41" s="316" t="s">
        <v>513</v>
      </c>
      <c r="AL41" s="316" t="s">
        <v>514</v>
      </c>
      <c r="AM41" s="316" t="s">
        <v>507</v>
      </c>
      <c r="AN41" s="619"/>
      <c r="AO41" s="316" t="s">
        <v>512</v>
      </c>
      <c r="AP41" s="316" t="s">
        <v>513</v>
      </c>
      <c r="AQ41" s="316" t="s">
        <v>514</v>
      </c>
      <c r="AR41" s="316" t="s">
        <v>507</v>
      </c>
      <c r="AS41" s="619"/>
      <c r="AT41" s="316" t="s">
        <v>512</v>
      </c>
      <c r="AU41" s="316" t="s">
        <v>513</v>
      </c>
      <c r="AV41" s="316" t="s">
        <v>514</v>
      </c>
      <c r="AW41" s="316" t="s">
        <v>507</v>
      </c>
      <c r="AX41" s="619"/>
    </row>
    <row r="42" spans="2:54">
      <c r="B42" s="619" t="s">
        <v>515</v>
      </c>
      <c r="C42" s="317">
        <v>1</v>
      </c>
      <c r="D42" s="228" t="s">
        <v>376</v>
      </c>
      <c r="E42" s="183">
        <v>6</v>
      </c>
      <c r="F42" s="317">
        <v>1500</v>
      </c>
      <c r="G42" s="320">
        <v>250</v>
      </c>
      <c r="H42" s="661">
        <f>AVERAGE(G42:G71)</f>
        <v>99.74444444444444</v>
      </c>
      <c r="I42" s="200">
        <f>AVERAGE(P42,U42,Z42,AE42,AJ42,AO42,AT42)</f>
        <v>6</v>
      </c>
      <c r="J42" s="200">
        <f>AVERAGE(Q42,V42,AA42,AF42,AK42,AP42,AU42)</f>
        <v>1468.084047334743</v>
      </c>
      <c r="K42" s="201">
        <f>AVERAGE(R42,W42,AB42,AG42,AL42,AQ42,AV42)</f>
        <v>244.68067455579049</v>
      </c>
      <c r="L42" s="600">
        <f>IFERROR(AVERAGE(K42:K71),"-")</f>
        <v>87.821277525233683</v>
      </c>
      <c r="M42" s="202">
        <f>RANK(K42, K$42:$K$71)</f>
        <v>2</v>
      </c>
      <c r="N42" s="619"/>
      <c r="O42" s="619"/>
      <c r="P42" s="183">
        <v>6</v>
      </c>
      <c r="Q42" s="183">
        <v>1481.2826086956518</v>
      </c>
      <c r="R42" s="183">
        <v>246.88043478260863</v>
      </c>
      <c r="S42" s="317">
        <f t="shared" ref="S42:S71" si="11">RANK(R42, R$42:R$71)</f>
        <v>1</v>
      </c>
      <c r="T42" s="658">
        <f>AVERAGE(R42:R71)</f>
        <v>87.981686209824616</v>
      </c>
      <c r="U42" s="183">
        <v>6</v>
      </c>
      <c r="V42" s="183">
        <v>1470.4615384615379</v>
      </c>
      <c r="W42" s="183">
        <v>245.07692307692298</v>
      </c>
      <c r="X42" s="317">
        <f t="shared" ref="X42:X71" si="12">RANK(W42, W$42:W$71)</f>
        <v>1</v>
      </c>
      <c r="Y42" s="658">
        <f>AVERAGE(W42:W71)</f>
        <v>87.310374467671096</v>
      </c>
      <c r="Z42" s="183">
        <v>6</v>
      </c>
      <c r="AA42" s="183">
        <v>1468.7796610169496</v>
      </c>
      <c r="AB42" s="183">
        <v>244.7966101694916</v>
      </c>
      <c r="AC42" s="317">
        <f t="shared" ref="AC42:AC71" si="13">RANK(AB42, AB$42:AB$71)</f>
        <v>2</v>
      </c>
      <c r="AD42" s="658">
        <f>AVERAGE(AB42:AB71)</f>
        <v>86.613471439004741</v>
      </c>
      <c r="AE42" s="183">
        <v>6</v>
      </c>
      <c r="AF42" s="183">
        <v>1448.8941176470591</v>
      </c>
      <c r="AG42" s="183">
        <v>241.48235294117652</v>
      </c>
      <c r="AH42" s="317">
        <f t="shared" ref="AH42:AH71" si="14">RANK(AG42, AG$42:AG$71)</f>
        <v>2</v>
      </c>
      <c r="AI42" s="658">
        <f>AVERAGE(AG42:AG71)</f>
        <v>88.534454308929512</v>
      </c>
      <c r="AJ42" s="183">
        <v>6</v>
      </c>
      <c r="AK42" s="183">
        <v>1491.1967213114754</v>
      </c>
      <c r="AL42" s="183">
        <v>248.53278688524588</v>
      </c>
      <c r="AM42" s="317">
        <f t="shared" ref="AM42:AM71" si="15">RANK(AL42, AL$42:AL$71)</f>
        <v>1</v>
      </c>
      <c r="AN42" s="658">
        <f>AVERAGE(AL42:AL71)</f>
        <v>88.429094370587123</v>
      </c>
      <c r="AO42" s="183">
        <v>6</v>
      </c>
      <c r="AP42" s="183">
        <v>1486.5</v>
      </c>
      <c r="AQ42" s="183">
        <v>247.75</v>
      </c>
      <c r="AR42" s="317">
        <f t="shared" ref="AR42:AR71" si="16">RANK(AQ42, AQ$42:AQ$71)</f>
        <v>1</v>
      </c>
      <c r="AS42" s="658">
        <f>AVERAGE(AQ42:AQ71)</f>
        <v>88.633142913699956</v>
      </c>
      <c r="AT42" s="183">
        <v>6</v>
      </c>
      <c r="AU42" s="183">
        <v>1429.4736842105269</v>
      </c>
      <c r="AV42" s="183">
        <v>238.24561403508781</v>
      </c>
      <c r="AW42" s="317">
        <f t="shared" ref="AW42:AW71" si="17">RANK(AV42, AV$42:AV$71)</f>
        <v>2</v>
      </c>
      <c r="AX42" s="658">
        <f>AVERAGE(AV42:AV71)</f>
        <v>88.518105178829245</v>
      </c>
    </row>
    <row r="43" spans="2:54">
      <c r="B43" s="627"/>
      <c r="C43" s="317">
        <v>2</v>
      </c>
      <c r="D43" s="228" t="s">
        <v>400</v>
      </c>
      <c r="E43" s="183">
        <v>6</v>
      </c>
      <c r="F43" s="317">
        <v>1500</v>
      </c>
      <c r="G43" s="320">
        <v>250</v>
      </c>
      <c r="H43" s="662"/>
      <c r="I43" s="200">
        <f t="shared" ref="I43:I65" si="18">AVERAGE(P43,U43,Z43,AE43,AJ43,AO43,AT43)</f>
        <v>6</v>
      </c>
      <c r="J43" s="200">
        <f t="shared" ref="J43:J65" si="19">AVERAGE(Q43,V43,AA43,AF43,AK43,AP43,AU43)</f>
        <v>1473.6771042961743</v>
      </c>
      <c r="K43" s="201">
        <f t="shared" ref="K43:K65" si="20">AVERAGE(R43,W43,AB43,AG43,AL43,AQ43,AV43)</f>
        <v>245.6128507160291</v>
      </c>
      <c r="L43" s="601"/>
      <c r="M43" s="202">
        <f>RANK(K43, K$42:$K$71)</f>
        <v>1</v>
      </c>
      <c r="N43" s="619"/>
      <c r="O43" s="619"/>
      <c r="P43" s="183">
        <v>6</v>
      </c>
      <c r="Q43" s="183">
        <v>1469.0909090909088</v>
      </c>
      <c r="R43" s="183">
        <v>244.84848484848479</v>
      </c>
      <c r="S43" s="317">
        <f t="shared" si="11"/>
        <v>2</v>
      </c>
      <c r="T43" s="658"/>
      <c r="U43" s="183">
        <v>6</v>
      </c>
      <c r="V43" s="183">
        <v>1459.7938144329894</v>
      </c>
      <c r="W43" s="183">
        <v>243.29896907216491</v>
      </c>
      <c r="X43" s="317">
        <f t="shared" si="12"/>
        <v>2</v>
      </c>
      <c r="Y43" s="658"/>
      <c r="Z43" s="183">
        <v>6</v>
      </c>
      <c r="AA43" s="183">
        <v>1485.7731958762886</v>
      </c>
      <c r="AB43" s="183">
        <v>247.62886597938143</v>
      </c>
      <c r="AC43" s="317">
        <f t="shared" si="13"/>
        <v>1</v>
      </c>
      <c r="AD43" s="658"/>
      <c r="AE43" s="183">
        <v>6</v>
      </c>
      <c r="AF43" s="183">
        <v>1472.530120481928</v>
      </c>
      <c r="AG43" s="183">
        <v>245.421686746988</v>
      </c>
      <c r="AH43" s="317">
        <f t="shared" si="14"/>
        <v>1</v>
      </c>
      <c r="AI43" s="658"/>
      <c r="AJ43" s="183">
        <v>6</v>
      </c>
      <c r="AK43" s="183">
        <v>1450.2127659574464</v>
      </c>
      <c r="AL43" s="183">
        <v>241.70212765957442</v>
      </c>
      <c r="AM43" s="317">
        <f t="shared" si="15"/>
        <v>2</v>
      </c>
      <c r="AN43" s="658"/>
      <c r="AO43" s="183">
        <v>6</v>
      </c>
      <c r="AP43" s="183">
        <v>1467.7894736842102</v>
      </c>
      <c r="AQ43" s="183">
        <v>244.63157894736835</v>
      </c>
      <c r="AR43" s="317">
        <f t="shared" si="16"/>
        <v>2</v>
      </c>
      <c r="AS43" s="658"/>
      <c r="AT43" s="183">
        <v>6</v>
      </c>
      <c r="AU43" s="183">
        <v>1510.5494505494505</v>
      </c>
      <c r="AV43" s="183">
        <v>251.75824175824175</v>
      </c>
      <c r="AW43" s="317">
        <f t="shared" si="17"/>
        <v>1</v>
      </c>
      <c r="AX43" s="658"/>
    </row>
    <row r="44" spans="2:54">
      <c r="B44" s="627"/>
      <c r="C44" s="317">
        <v>3</v>
      </c>
      <c r="D44" s="228" t="s">
        <v>377</v>
      </c>
      <c r="E44" s="183">
        <v>17</v>
      </c>
      <c r="F44" s="317">
        <v>1500</v>
      </c>
      <c r="G44" s="320">
        <v>88.2</v>
      </c>
      <c r="H44" s="662"/>
      <c r="I44" s="200">
        <f t="shared" si="18"/>
        <v>17</v>
      </c>
      <c r="J44" s="200">
        <f t="shared" si="19"/>
        <v>1286.4541001002758</v>
      </c>
      <c r="K44" s="201">
        <f t="shared" si="20"/>
        <v>75.67377059413387</v>
      </c>
      <c r="L44" s="601"/>
      <c r="M44" s="202">
        <f>RANK(K44, K$42:$K$71)</f>
        <v>13</v>
      </c>
      <c r="N44" s="619"/>
      <c r="O44" s="619"/>
      <c r="P44" s="183">
        <v>17</v>
      </c>
      <c r="Q44" s="183">
        <v>1300.5</v>
      </c>
      <c r="R44" s="183">
        <v>76.5</v>
      </c>
      <c r="S44" s="317">
        <f t="shared" si="11"/>
        <v>12</v>
      </c>
      <c r="T44" s="658"/>
      <c r="U44" s="183">
        <v>17</v>
      </c>
      <c r="V44" s="183">
        <v>1281.6000000000004</v>
      </c>
      <c r="W44" s="183">
        <v>75.388235294117663</v>
      </c>
      <c r="X44" s="317">
        <f t="shared" si="12"/>
        <v>12</v>
      </c>
      <c r="Y44" s="658"/>
      <c r="Z44" s="183">
        <v>17</v>
      </c>
      <c r="AA44" s="183">
        <v>1277.3684210526321</v>
      </c>
      <c r="AB44" s="183">
        <v>75.139318885448944</v>
      </c>
      <c r="AC44" s="317">
        <f t="shared" si="13"/>
        <v>13</v>
      </c>
      <c r="AD44" s="658"/>
      <c r="AE44" s="183">
        <v>17</v>
      </c>
      <c r="AF44" s="183">
        <v>1261.0169491525419</v>
      </c>
      <c r="AG44" s="183">
        <v>74.177467597208349</v>
      </c>
      <c r="AH44" s="317">
        <f t="shared" si="14"/>
        <v>17</v>
      </c>
      <c r="AI44" s="658"/>
      <c r="AJ44" s="183">
        <v>17</v>
      </c>
      <c r="AK44" s="183">
        <v>1308.8571428571431</v>
      </c>
      <c r="AL44" s="183">
        <v>76.99159663865548</v>
      </c>
      <c r="AM44" s="317">
        <f t="shared" si="15"/>
        <v>12</v>
      </c>
      <c r="AN44" s="658"/>
      <c r="AO44" s="183">
        <v>17</v>
      </c>
      <c r="AP44" s="183">
        <v>1301.0126582278488</v>
      </c>
      <c r="AQ44" s="183">
        <v>76.530156366344045</v>
      </c>
      <c r="AR44" s="317">
        <f t="shared" si="16"/>
        <v>12</v>
      </c>
      <c r="AS44" s="658"/>
      <c r="AT44" s="183">
        <v>17</v>
      </c>
      <c r="AU44" s="183">
        <v>1274.8235294117644</v>
      </c>
      <c r="AV44" s="183">
        <v>74.989619377162612</v>
      </c>
      <c r="AW44" s="317">
        <f t="shared" si="17"/>
        <v>15</v>
      </c>
      <c r="AX44" s="658"/>
    </row>
    <row r="45" spans="2:54">
      <c r="B45" s="627"/>
      <c r="C45" s="317">
        <v>4</v>
      </c>
      <c r="D45" s="228" t="s">
        <v>357</v>
      </c>
      <c r="E45" s="183">
        <v>21</v>
      </c>
      <c r="F45" s="317">
        <v>1500</v>
      </c>
      <c r="G45" s="320">
        <v>71.400000000000006</v>
      </c>
      <c r="H45" s="662"/>
      <c r="I45" s="200">
        <f t="shared" si="18"/>
        <v>20.571428571428573</v>
      </c>
      <c r="J45" s="200">
        <f t="shared" si="19"/>
        <v>1287.911841898728</v>
      </c>
      <c r="K45" s="201">
        <f t="shared" si="20"/>
        <v>62.644319445635972</v>
      </c>
      <c r="L45" s="601"/>
      <c r="M45" s="202">
        <f>RANK(K45, K$42:$K$71)</f>
        <v>25</v>
      </c>
      <c r="N45" s="619"/>
      <c r="O45" s="619"/>
      <c r="P45" s="183">
        <v>20</v>
      </c>
      <c r="Q45" s="183">
        <v>1291.2500000000005</v>
      </c>
      <c r="R45" s="183">
        <v>64.562500000000028</v>
      </c>
      <c r="S45" s="317">
        <f t="shared" si="11"/>
        <v>24</v>
      </c>
      <c r="T45" s="658"/>
      <c r="U45" s="183">
        <v>20</v>
      </c>
      <c r="V45" s="183">
        <v>1287.391304347826</v>
      </c>
      <c r="W45" s="183">
        <v>64.369565217391298</v>
      </c>
      <c r="X45" s="317">
        <f t="shared" si="12"/>
        <v>24</v>
      </c>
      <c r="Y45" s="658"/>
      <c r="Z45" s="183">
        <v>20</v>
      </c>
      <c r="AA45" s="183">
        <v>1288</v>
      </c>
      <c r="AB45" s="183">
        <v>64.400000000000006</v>
      </c>
      <c r="AC45" s="317">
        <f t="shared" si="13"/>
        <v>24</v>
      </c>
      <c r="AD45" s="658"/>
      <c r="AE45" s="183">
        <v>21</v>
      </c>
      <c r="AF45" s="183">
        <v>1303.0769230769222</v>
      </c>
      <c r="AG45" s="183">
        <v>62.051282051282008</v>
      </c>
      <c r="AH45" s="317">
        <f t="shared" si="14"/>
        <v>24</v>
      </c>
      <c r="AI45" s="658"/>
      <c r="AJ45" s="183">
        <v>21</v>
      </c>
      <c r="AK45" s="183">
        <v>1297.3333333333335</v>
      </c>
      <c r="AL45" s="183">
        <v>61.777777777777786</v>
      </c>
      <c r="AM45" s="317">
        <f t="shared" si="15"/>
        <v>24</v>
      </c>
      <c r="AN45" s="658"/>
      <c r="AO45" s="183">
        <v>21</v>
      </c>
      <c r="AP45" s="183">
        <v>1262.4489795918371</v>
      </c>
      <c r="AQ45" s="183">
        <v>60.116618075801767</v>
      </c>
      <c r="AR45" s="317">
        <f t="shared" si="16"/>
        <v>24</v>
      </c>
      <c r="AS45" s="658"/>
      <c r="AT45" s="183">
        <v>21</v>
      </c>
      <c r="AU45" s="183">
        <v>1285.882352941177</v>
      </c>
      <c r="AV45" s="183">
        <v>61.232492997198904</v>
      </c>
      <c r="AW45" s="317">
        <f t="shared" si="17"/>
        <v>25</v>
      </c>
      <c r="AX45" s="658"/>
    </row>
    <row r="46" spans="2:54">
      <c r="B46" s="627"/>
      <c r="C46" s="317">
        <v>5</v>
      </c>
      <c r="D46" s="228" t="s">
        <v>355</v>
      </c>
      <c r="E46" s="183">
        <v>16</v>
      </c>
      <c r="F46" s="317">
        <v>1500</v>
      </c>
      <c r="G46" s="320">
        <v>93.8</v>
      </c>
      <c r="H46" s="662"/>
      <c r="I46" s="200">
        <f t="shared" si="18"/>
        <v>16.142857142857142</v>
      </c>
      <c r="J46" s="200">
        <f t="shared" si="19"/>
        <v>1331.7322375076835</v>
      </c>
      <c r="K46" s="201">
        <f t="shared" si="20"/>
        <v>82.549634249135039</v>
      </c>
      <c r="L46" s="601"/>
      <c r="M46" s="202">
        <f>RANK(K46, K$42:$K$71)</f>
        <v>7</v>
      </c>
      <c r="N46" s="619"/>
      <c r="O46" s="619"/>
      <c r="P46" s="183">
        <v>16</v>
      </c>
      <c r="Q46" s="183">
        <v>1363.2000000000003</v>
      </c>
      <c r="R46" s="183">
        <v>85.200000000000017</v>
      </c>
      <c r="S46" s="317">
        <f t="shared" si="11"/>
        <v>4</v>
      </c>
      <c r="T46" s="658"/>
      <c r="U46" s="183">
        <v>17</v>
      </c>
      <c r="V46" s="183">
        <v>1301.6326530612248</v>
      </c>
      <c r="W46" s="183">
        <v>76.566626650660282</v>
      </c>
      <c r="X46" s="317">
        <f t="shared" si="12"/>
        <v>11</v>
      </c>
      <c r="Y46" s="658"/>
      <c r="Z46" s="183">
        <v>16</v>
      </c>
      <c r="AA46" s="183">
        <v>1316.2500000000005</v>
      </c>
      <c r="AB46" s="183">
        <v>82.265625000000028</v>
      </c>
      <c r="AC46" s="317">
        <f t="shared" si="13"/>
        <v>6</v>
      </c>
      <c r="AD46" s="658"/>
      <c r="AE46" s="183">
        <v>16</v>
      </c>
      <c r="AF46" s="183">
        <v>1361.4285714285709</v>
      </c>
      <c r="AG46" s="183">
        <v>85.08928571428568</v>
      </c>
      <c r="AH46" s="317">
        <f t="shared" si="14"/>
        <v>5</v>
      </c>
      <c r="AI46" s="658"/>
      <c r="AJ46" s="183">
        <v>16</v>
      </c>
      <c r="AK46" s="183">
        <v>1365.6521739130435</v>
      </c>
      <c r="AL46" s="183">
        <v>85.353260869565219</v>
      </c>
      <c r="AM46" s="317">
        <f t="shared" si="15"/>
        <v>4</v>
      </c>
      <c r="AN46" s="658"/>
      <c r="AO46" s="183">
        <v>16</v>
      </c>
      <c r="AP46" s="183">
        <v>1297.3584905660384</v>
      </c>
      <c r="AQ46" s="183">
        <v>81.084905660377402</v>
      </c>
      <c r="AR46" s="317">
        <f t="shared" si="16"/>
        <v>7</v>
      </c>
      <c r="AS46" s="658"/>
      <c r="AT46" s="183">
        <v>16</v>
      </c>
      <c r="AU46" s="183">
        <v>1316.6037735849063</v>
      </c>
      <c r="AV46" s="183">
        <v>82.287735849056645</v>
      </c>
      <c r="AW46" s="317">
        <f t="shared" si="17"/>
        <v>7</v>
      </c>
      <c r="AX46" s="658"/>
    </row>
    <row r="47" spans="2:54">
      <c r="B47" s="627"/>
      <c r="C47" s="317">
        <v>6</v>
      </c>
      <c r="D47" s="228" t="s">
        <v>384</v>
      </c>
      <c r="E47" s="183">
        <v>15</v>
      </c>
      <c r="F47" s="317">
        <v>1565</v>
      </c>
      <c r="G47" s="320">
        <v>104.3</v>
      </c>
      <c r="H47" s="662"/>
      <c r="I47" s="200">
        <f t="shared" si="18"/>
        <v>15.428571428571429</v>
      </c>
      <c r="J47" s="200">
        <f t="shared" si="19"/>
        <v>1376.6321956040852</v>
      </c>
      <c r="K47" s="201">
        <f t="shared" si="20"/>
        <v>89.334646833087717</v>
      </c>
      <c r="L47" s="601"/>
      <c r="M47" s="202">
        <f>RANK(K47, K$42:$K$71)</f>
        <v>4</v>
      </c>
      <c r="N47" s="619"/>
      <c r="O47" s="619"/>
      <c r="P47" s="183">
        <v>15</v>
      </c>
      <c r="Q47" s="183">
        <v>1413.7499999999995</v>
      </c>
      <c r="R47" s="183">
        <v>94.249999999999972</v>
      </c>
      <c r="S47" s="317">
        <f t="shared" si="11"/>
        <v>3</v>
      </c>
      <c r="T47" s="658"/>
      <c r="U47" s="183">
        <v>16</v>
      </c>
      <c r="V47" s="183">
        <v>1383.1578947368425</v>
      </c>
      <c r="W47" s="183">
        <v>86.447368421052659</v>
      </c>
      <c r="X47" s="317">
        <f t="shared" si="12"/>
        <v>3</v>
      </c>
      <c r="Y47" s="658"/>
      <c r="Z47" s="183">
        <v>16</v>
      </c>
      <c r="AA47" s="183">
        <v>1360.8333333333337</v>
      </c>
      <c r="AB47" s="183">
        <v>85.052083333333357</v>
      </c>
      <c r="AC47" s="317">
        <f t="shared" si="13"/>
        <v>4</v>
      </c>
      <c r="AD47" s="658"/>
      <c r="AE47" s="183">
        <v>15</v>
      </c>
      <c r="AF47" s="183">
        <v>1390.8333333333337</v>
      </c>
      <c r="AG47" s="183">
        <v>92.722222222222243</v>
      </c>
      <c r="AH47" s="317">
        <f t="shared" si="14"/>
        <v>3</v>
      </c>
      <c r="AI47" s="658"/>
      <c r="AJ47" s="183">
        <v>15</v>
      </c>
      <c r="AK47" s="183">
        <v>1369.0909090909097</v>
      </c>
      <c r="AL47" s="183">
        <v>91.272727272727309</v>
      </c>
      <c r="AM47" s="317">
        <f t="shared" si="15"/>
        <v>3</v>
      </c>
      <c r="AN47" s="658"/>
      <c r="AO47" s="183">
        <v>15</v>
      </c>
      <c r="AP47" s="183">
        <v>1362.1518987341765</v>
      </c>
      <c r="AQ47" s="183">
        <v>90.810126582278428</v>
      </c>
      <c r="AR47" s="317">
        <f t="shared" si="16"/>
        <v>3</v>
      </c>
      <c r="AS47" s="658"/>
      <c r="AT47" s="183">
        <v>16</v>
      </c>
      <c r="AU47" s="183">
        <v>1356.6080000000004</v>
      </c>
      <c r="AV47" s="183">
        <v>84.788000000000025</v>
      </c>
      <c r="AW47" s="317">
        <f t="shared" si="17"/>
        <v>5</v>
      </c>
      <c r="AX47" s="658"/>
    </row>
    <row r="48" spans="2:54">
      <c r="B48" s="627"/>
      <c r="C48" s="317">
        <v>7</v>
      </c>
      <c r="D48" s="228" t="s">
        <v>345</v>
      </c>
      <c r="E48" s="183">
        <v>14</v>
      </c>
      <c r="F48" s="317">
        <v>1440</v>
      </c>
      <c r="G48" s="320">
        <v>102.9</v>
      </c>
      <c r="H48" s="662"/>
      <c r="I48" s="200">
        <f t="shared" si="18"/>
        <v>15</v>
      </c>
      <c r="J48" s="200">
        <f t="shared" si="19"/>
        <v>1245.9981992797098</v>
      </c>
      <c r="K48" s="201">
        <f t="shared" si="20"/>
        <v>83.066546618647322</v>
      </c>
      <c r="L48" s="601"/>
      <c r="M48" s="202">
        <f>RANK(K48, K$42:$K$71)</f>
        <v>6</v>
      </c>
      <c r="N48" s="619"/>
      <c r="O48" s="619"/>
      <c r="P48" s="183">
        <v>15</v>
      </c>
      <c r="Q48" s="183">
        <v>1245.9999999999977</v>
      </c>
      <c r="R48" s="183">
        <v>83.066666666666521</v>
      </c>
      <c r="S48" s="317">
        <f t="shared" si="11"/>
        <v>5</v>
      </c>
      <c r="T48" s="658"/>
      <c r="U48" s="183">
        <v>15</v>
      </c>
      <c r="V48" s="183">
        <v>1271.9999999999977</v>
      </c>
      <c r="W48" s="183">
        <v>84.799999999999855</v>
      </c>
      <c r="X48" s="317">
        <f t="shared" si="12"/>
        <v>5</v>
      </c>
      <c r="Y48" s="658"/>
      <c r="Z48" s="183">
        <v>15</v>
      </c>
      <c r="AA48" s="183">
        <v>1087.4999999999984</v>
      </c>
      <c r="AB48" s="183">
        <v>72.499999999999901</v>
      </c>
      <c r="AC48" s="317">
        <f t="shared" si="13"/>
        <v>17</v>
      </c>
      <c r="AD48" s="658"/>
      <c r="AE48" s="183">
        <v>15</v>
      </c>
      <c r="AF48" s="183">
        <v>1324.2857142857115</v>
      </c>
      <c r="AG48" s="183">
        <v>88.285714285714093</v>
      </c>
      <c r="AH48" s="317">
        <f t="shared" si="14"/>
        <v>4</v>
      </c>
      <c r="AI48" s="658"/>
      <c r="AJ48" s="183">
        <v>15</v>
      </c>
      <c r="AK48" s="183">
        <v>1259.999999999998</v>
      </c>
      <c r="AL48" s="183">
        <v>83.999999999999858</v>
      </c>
      <c r="AM48" s="317">
        <f t="shared" si="15"/>
        <v>5</v>
      </c>
      <c r="AN48" s="658"/>
      <c r="AO48" s="183">
        <v>15</v>
      </c>
      <c r="AP48" s="183">
        <v>1265.1428571428557</v>
      </c>
      <c r="AQ48" s="183">
        <v>84.342857142857056</v>
      </c>
      <c r="AR48" s="317">
        <f t="shared" si="16"/>
        <v>5</v>
      </c>
      <c r="AS48" s="658"/>
      <c r="AT48" s="183">
        <v>15</v>
      </c>
      <c r="AU48" s="183">
        <v>1267.0588235294103</v>
      </c>
      <c r="AV48" s="183">
        <v>84.470588235294016</v>
      </c>
      <c r="AW48" s="317">
        <f t="shared" si="17"/>
        <v>6</v>
      </c>
      <c r="AX48" s="658"/>
    </row>
    <row r="49" spans="2:50">
      <c r="B49" s="627"/>
      <c r="C49" s="317">
        <v>8</v>
      </c>
      <c r="D49" s="228" t="s">
        <v>383</v>
      </c>
      <c r="E49" s="183">
        <v>16</v>
      </c>
      <c r="F49" s="317">
        <v>1440</v>
      </c>
      <c r="G49" s="320">
        <v>90</v>
      </c>
      <c r="H49" s="662"/>
      <c r="I49" s="200">
        <f t="shared" si="18"/>
        <v>16</v>
      </c>
      <c r="J49" s="200">
        <f t="shared" si="19"/>
        <v>1259.5987976585982</v>
      </c>
      <c r="K49" s="201">
        <f t="shared" si="20"/>
        <v>78.724924853662387</v>
      </c>
      <c r="L49" s="601"/>
      <c r="M49" s="202">
        <f>RANK(K49, K$42:$K$71)</f>
        <v>11</v>
      </c>
      <c r="N49" s="619"/>
      <c r="O49" s="619"/>
      <c r="P49" s="183">
        <v>16</v>
      </c>
      <c r="Q49" s="183">
        <v>1252</v>
      </c>
      <c r="R49" s="183">
        <v>78.25</v>
      </c>
      <c r="S49" s="317">
        <f t="shared" si="11"/>
        <v>10</v>
      </c>
      <c r="T49" s="658"/>
      <c r="U49" s="183">
        <v>16</v>
      </c>
      <c r="V49" s="183">
        <v>1265.7142857142853</v>
      </c>
      <c r="W49" s="183">
        <v>79.107142857142833</v>
      </c>
      <c r="X49" s="317">
        <f t="shared" si="12"/>
        <v>10</v>
      </c>
      <c r="Y49" s="658"/>
      <c r="Z49" s="183">
        <v>16</v>
      </c>
      <c r="AA49" s="183">
        <v>1259.9999999999995</v>
      </c>
      <c r="AB49" s="183">
        <v>78.749999999999972</v>
      </c>
      <c r="AC49" s="317">
        <f t="shared" si="13"/>
        <v>9</v>
      </c>
      <c r="AD49" s="658"/>
      <c r="AE49" s="183">
        <v>16</v>
      </c>
      <c r="AF49" s="183">
        <v>1238.6666666666667</v>
      </c>
      <c r="AG49" s="183">
        <v>77.416666666666671</v>
      </c>
      <c r="AH49" s="317">
        <f t="shared" si="14"/>
        <v>11</v>
      </c>
      <c r="AI49" s="658"/>
      <c r="AJ49" s="183">
        <v>16</v>
      </c>
      <c r="AK49" s="183">
        <v>1273.9534883720928</v>
      </c>
      <c r="AL49" s="183">
        <v>79.6220930232558</v>
      </c>
      <c r="AM49" s="317">
        <f t="shared" si="15"/>
        <v>10</v>
      </c>
      <c r="AN49" s="658"/>
      <c r="AO49" s="183">
        <v>16</v>
      </c>
      <c r="AP49" s="183">
        <v>1242.8571428571431</v>
      </c>
      <c r="AQ49" s="183">
        <v>77.678571428571445</v>
      </c>
      <c r="AR49" s="317">
        <f t="shared" si="16"/>
        <v>10</v>
      </c>
      <c r="AS49" s="658"/>
      <c r="AT49" s="183">
        <v>16</v>
      </c>
      <c r="AU49" s="183">
        <v>1284</v>
      </c>
      <c r="AV49" s="183">
        <v>80.25</v>
      </c>
      <c r="AW49" s="317">
        <f t="shared" si="17"/>
        <v>9</v>
      </c>
      <c r="AX49" s="658"/>
    </row>
    <row r="50" spans="2:50">
      <c r="B50" s="627"/>
      <c r="C50" s="317">
        <v>9</v>
      </c>
      <c r="D50" s="228" t="s">
        <v>379</v>
      </c>
      <c r="E50" s="183">
        <v>18</v>
      </c>
      <c r="F50" s="317">
        <v>1440</v>
      </c>
      <c r="G50" s="320">
        <v>80</v>
      </c>
      <c r="H50" s="662"/>
      <c r="I50" s="200">
        <f t="shared" si="18"/>
        <v>18</v>
      </c>
      <c r="J50" s="200">
        <f t="shared" si="19"/>
        <v>1189.1885460930189</v>
      </c>
      <c r="K50" s="201">
        <f t="shared" si="20"/>
        <v>66.066030338501051</v>
      </c>
      <c r="L50" s="601"/>
      <c r="M50" s="202">
        <f>RANK(K50, K$42:$K$71)</f>
        <v>23</v>
      </c>
      <c r="N50" s="619"/>
      <c r="O50" s="619"/>
      <c r="P50" s="183">
        <v>18</v>
      </c>
      <c r="Q50" s="183">
        <v>1210.8196721311485</v>
      </c>
      <c r="R50" s="183">
        <v>67.26775956284159</v>
      </c>
      <c r="S50" s="317">
        <f t="shared" si="11"/>
        <v>22</v>
      </c>
      <c r="T50" s="658"/>
      <c r="U50" s="183">
        <v>18</v>
      </c>
      <c r="V50" s="183">
        <v>1206.2068965517251</v>
      </c>
      <c r="W50" s="183">
        <v>67.011494252873618</v>
      </c>
      <c r="X50" s="317">
        <f t="shared" si="12"/>
        <v>22</v>
      </c>
      <c r="Y50" s="658"/>
      <c r="Z50" s="183">
        <v>18</v>
      </c>
      <c r="AA50" s="183">
        <v>1161.1111111111118</v>
      </c>
      <c r="AB50" s="183">
        <v>64.506172839506206</v>
      </c>
      <c r="AC50" s="317">
        <f t="shared" si="13"/>
        <v>23</v>
      </c>
      <c r="AD50" s="658"/>
      <c r="AE50" s="183">
        <v>18</v>
      </c>
      <c r="AF50" s="183">
        <v>1167.8571428571438</v>
      </c>
      <c r="AG50" s="183">
        <v>64.880952380952436</v>
      </c>
      <c r="AH50" s="317">
        <f t="shared" si="14"/>
        <v>23</v>
      </c>
      <c r="AI50" s="658"/>
      <c r="AJ50" s="183">
        <v>18</v>
      </c>
      <c r="AK50" s="183">
        <v>1195.2000000000003</v>
      </c>
      <c r="AL50" s="183">
        <v>66.40000000000002</v>
      </c>
      <c r="AM50" s="317">
        <f t="shared" si="15"/>
        <v>22</v>
      </c>
      <c r="AN50" s="658"/>
      <c r="AO50" s="183">
        <v>18</v>
      </c>
      <c r="AP50" s="183">
        <v>1207.5000000000014</v>
      </c>
      <c r="AQ50" s="183">
        <v>67.083333333333414</v>
      </c>
      <c r="AR50" s="317">
        <f t="shared" si="16"/>
        <v>22</v>
      </c>
      <c r="AS50" s="658"/>
      <c r="AT50" s="183">
        <v>18</v>
      </c>
      <c r="AU50" s="183">
        <v>1175.6250000000014</v>
      </c>
      <c r="AV50" s="183">
        <v>65.312500000000071</v>
      </c>
      <c r="AW50" s="317">
        <f t="shared" si="17"/>
        <v>24</v>
      </c>
      <c r="AX50" s="658"/>
    </row>
    <row r="51" spans="2:50">
      <c r="B51" s="627"/>
      <c r="C51" s="317">
        <v>10</v>
      </c>
      <c r="D51" s="228" t="s">
        <v>382</v>
      </c>
      <c r="E51" s="183">
        <v>18</v>
      </c>
      <c r="F51" s="317">
        <v>1636</v>
      </c>
      <c r="G51" s="320">
        <v>90.9</v>
      </c>
      <c r="H51" s="662"/>
      <c r="I51" s="200">
        <f t="shared" si="18"/>
        <v>18</v>
      </c>
      <c r="J51" s="200">
        <f t="shared" si="19"/>
        <v>1278.6500813272937</v>
      </c>
      <c r="K51" s="201">
        <f t="shared" si="20"/>
        <v>71.036115629294088</v>
      </c>
      <c r="L51" s="601"/>
      <c r="M51" s="202">
        <f>RANK(K51, K$42:$K$71)</f>
        <v>20</v>
      </c>
      <c r="N51" s="619"/>
      <c r="O51" s="619"/>
      <c r="P51" s="183">
        <v>18</v>
      </c>
      <c r="Q51" s="183">
        <v>1260.9090909090921</v>
      </c>
      <c r="R51" s="183">
        <v>70.050505050505123</v>
      </c>
      <c r="S51" s="317">
        <f t="shared" si="11"/>
        <v>21</v>
      </c>
      <c r="T51" s="658"/>
      <c r="U51" s="183">
        <v>18</v>
      </c>
      <c r="V51" s="183">
        <v>1246.2295081967225</v>
      </c>
      <c r="W51" s="183">
        <v>69.234972677595692</v>
      </c>
      <c r="X51" s="317">
        <f t="shared" si="12"/>
        <v>21</v>
      </c>
      <c r="Y51" s="658"/>
      <c r="Z51" s="183">
        <v>18</v>
      </c>
      <c r="AA51" s="183">
        <v>1308.6792452830196</v>
      </c>
      <c r="AB51" s="183">
        <v>72.704402515723302</v>
      </c>
      <c r="AC51" s="317">
        <f t="shared" si="13"/>
        <v>16</v>
      </c>
      <c r="AD51" s="658"/>
      <c r="AE51" s="183">
        <v>18</v>
      </c>
      <c r="AF51" s="183">
        <v>1298.6440677966111</v>
      </c>
      <c r="AG51" s="183">
        <v>72.146892655367282</v>
      </c>
      <c r="AH51" s="317">
        <f t="shared" si="14"/>
        <v>18</v>
      </c>
      <c r="AI51" s="658"/>
      <c r="AJ51" s="183">
        <v>18</v>
      </c>
      <c r="AK51" s="183">
        <v>1297.6271186440688</v>
      </c>
      <c r="AL51" s="183">
        <v>72.09039548022605</v>
      </c>
      <c r="AM51" s="317">
        <f t="shared" si="15"/>
        <v>17</v>
      </c>
      <c r="AN51" s="658"/>
      <c r="AO51" s="183">
        <v>18</v>
      </c>
      <c r="AP51" s="183">
        <v>1277.538461538463</v>
      </c>
      <c r="AQ51" s="183">
        <v>70.974358974359063</v>
      </c>
      <c r="AR51" s="317">
        <f t="shared" si="16"/>
        <v>19</v>
      </c>
      <c r="AS51" s="658"/>
      <c r="AT51" s="183">
        <v>18</v>
      </c>
      <c r="AU51" s="183">
        <v>1260.9230769230783</v>
      </c>
      <c r="AV51" s="183">
        <v>70.051282051282129</v>
      </c>
      <c r="AW51" s="317">
        <f t="shared" si="17"/>
        <v>20</v>
      </c>
      <c r="AX51" s="658"/>
    </row>
    <row r="52" spans="2:50">
      <c r="B52" s="627"/>
      <c r="C52" s="317">
        <v>11</v>
      </c>
      <c r="D52" s="228" t="s">
        <v>381</v>
      </c>
      <c r="E52" s="183">
        <v>18</v>
      </c>
      <c r="F52" s="317">
        <v>1636</v>
      </c>
      <c r="G52" s="320">
        <v>90.9</v>
      </c>
      <c r="H52" s="662"/>
      <c r="I52" s="200">
        <f t="shared" si="18"/>
        <v>18</v>
      </c>
      <c r="J52" s="200">
        <f t="shared" si="19"/>
        <v>1273.0136950163449</v>
      </c>
      <c r="K52" s="201">
        <f t="shared" si="20"/>
        <v>70.722983056463605</v>
      </c>
      <c r="L52" s="601"/>
      <c r="M52" s="202">
        <f>RANK(K52, K$42:$K$71)</f>
        <v>22</v>
      </c>
      <c r="N52" s="619"/>
      <c r="O52" s="619"/>
      <c r="P52" s="183">
        <v>18</v>
      </c>
      <c r="Q52" s="183">
        <v>1310.4000000000003</v>
      </c>
      <c r="R52" s="183">
        <v>72.800000000000011</v>
      </c>
      <c r="S52" s="317">
        <f t="shared" si="11"/>
        <v>18</v>
      </c>
      <c r="T52" s="658"/>
      <c r="U52" s="183">
        <v>18</v>
      </c>
      <c r="V52" s="183">
        <v>1255.0000000000002</v>
      </c>
      <c r="W52" s="183">
        <v>69.722222222222229</v>
      </c>
      <c r="X52" s="317">
        <f t="shared" si="12"/>
        <v>20</v>
      </c>
      <c r="Y52" s="658"/>
      <c r="Z52" s="183">
        <v>18</v>
      </c>
      <c r="AA52" s="183">
        <v>1251.0638297872342</v>
      </c>
      <c r="AB52" s="183">
        <v>69.503546099290787</v>
      </c>
      <c r="AC52" s="317">
        <f t="shared" si="13"/>
        <v>20</v>
      </c>
      <c r="AD52" s="658"/>
      <c r="AE52" s="183">
        <v>18</v>
      </c>
      <c r="AF52" s="183">
        <v>1279.1489361702129</v>
      </c>
      <c r="AG52" s="183">
        <v>71.063829787234056</v>
      </c>
      <c r="AH52" s="317">
        <f t="shared" si="14"/>
        <v>19</v>
      </c>
      <c r="AI52" s="658"/>
      <c r="AJ52" s="183">
        <v>18</v>
      </c>
      <c r="AK52" s="183">
        <v>1247.2340425531916</v>
      </c>
      <c r="AL52" s="183">
        <v>69.290780141843982</v>
      </c>
      <c r="AM52" s="317">
        <f t="shared" si="15"/>
        <v>21</v>
      </c>
      <c r="AN52" s="658"/>
      <c r="AO52" s="183">
        <v>18</v>
      </c>
      <c r="AP52" s="183">
        <v>1275.8490566037742</v>
      </c>
      <c r="AQ52" s="183">
        <v>70.880503144654128</v>
      </c>
      <c r="AR52" s="317">
        <f t="shared" si="16"/>
        <v>20</v>
      </c>
      <c r="AS52" s="658"/>
      <c r="AT52" s="183">
        <v>18</v>
      </c>
      <c r="AU52" s="183">
        <v>1292.4000000000003</v>
      </c>
      <c r="AV52" s="183">
        <v>71.800000000000011</v>
      </c>
      <c r="AW52" s="317">
        <f t="shared" si="17"/>
        <v>18</v>
      </c>
      <c r="AX52" s="658"/>
    </row>
    <row r="53" spans="2:50">
      <c r="B53" s="627"/>
      <c r="C53" s="317">
        <v>12</v>
      </c>
      <c r="D53" s="228" t="s">
        <v>385</v>
      </c>
      <c r="E53" s="183">
        <v>16</v>
      </c>
      <c r="F53" s="317">
        <v>1500</v>
      </c>
      <c r="G53" s="320">
        <v>93.8</v>
      </c>
      <c r="H53" s="662"/>
      <c r="I53" s="200">
        <f t="shared" si="18"/>
        <v>16</v>
      </c>
      <c r="J53" s="200">
        <f t="shared" si="19"/>
        <v>1261.2522058523061</v>
      </c>
      <c r="K53" s="201">
        <f t="shared" si="20"/>
        <v>78.828262865769133</v>
      </c>
      <c r="L53" s="601"/>
      <c r="M53" s="202">
        <f>RANK(K53, K$42:$K$71)</f>
        <v>10</v>
      </c>
      <c r="N53" s="619"/>
      <c r="O53" s="619"/>
      <c r="P53" s="183">
        <v>16</v>
      </c>
      <c r="Q53" s="183">
        <v>1282.7586206896526</v>
      </c>
      <c r="R53" s="183">
        <v>80.172413793103289</v>
      </c>
      <c r="S53" s="317">
        <f t="shared" si="11"/>
        <v>9</v>
      </c>
      <c r="T53" s="658"/>
      <c r="U53" s="183">
        <v>16</v>
      </c>
      <c r="V53" s="183">
        <v>1301.9999999999984</v>
      </c>
      <c r="W53" s="183">
        <v>81.374999999999901</v>
      </c>
      <c r="X53" s="317">
        <f t="shared" si="12"/>
        <v>8</v>
      </c>
      <c r="Y53" s="658"/>
      <c r="Z53" s="183">
        <v>16</v>
      </c>
      <c r="AA53" s="183">
        <v>1290.8571428571399</v>
      </c>
      <c r="AB53" s="183">
        <v>80.678571428571246</v>
      </c>
      <c r="AC53" s="317">
        <f t="shared" si="13"/>
        <v>7</v>
      </c>
      <c r="AD53" s="658"/>
      <c r="AE53" s="183">
        <v>16</v>
      </c>
      <c r="AF53" s="183">
        <v>1289.5999999999979</v>
      </c>
      <c r="AG53" s="183">
        <v>80.599999999999866</v>
      </c>
      <c r="AH53" s="317">
        <f t="shared" si="14"/>
        <v>8</v>
      </c>
      <c r="AI53" s="658"/>
      <c r="AJ53" s="183">
        <v>16</v>
      </c>
      <c r="AK53" s="183">
        <v>1299.8399999999965</v>
      </c>
      <c r="AL53" s="183">
        <v>81.239999999999782</v>
      </c>
      <c r="AM53" s="317">
        <f t="shared" si="15"/>
        <v>6</v>
      </c>
      <c r="AN53" s="658"/>
      <c r="AO53" s="183">
        <v>16</v>
      </c>
      <c r="AP53" s="183">
        <v>1286.7096774193528</v>
      </c>
      <c r="AQ53" s="183">
        <v>80.419354838709552</v>
      </c>
      <c r="AR53" s="317">
        <f t="shared" si="16"/>
        <v>8</v>
      </c>
      <c r="AS53" s="658"/>
      <c r="AT53" s="183">
        <v>16</v>
      </c>
      <c r="AU53" s="183">
        <v>1077.0000000000039</v>
      </c>
      <c r="AV53" s="183">
        <v>67.312500000000242</v>
      </c>
      <c r="AW53" s="317">
        <f t="shared" si="17"/>
        <v>22</v>
      </c>
      <c r="AX53" s="658"/>
    </row>
    <row r="54" spans="2:50">
      <c r="B54" s="627"/>
      <c r="C54" s="317">
        <v>13</v>
      </c>
      <c r="D54" s="228" t="s">
        <v>358</v>
      </c>
      <c r="E54" s="183">
        <v>17</v>
      </c>
      <c r="F54" s="317">
        <v>1500</v>
      </c>
      <c r="G54" s="320">
        <v>88.2</v>
      </c>
      <c r="H54" s="662"/>
      <c r="I54" s="200">
        <f t="shared" si="18"/>
        <v>17</v>
      </c>
      <c r="J54" s="200">
        <f t="shared" si="19"/>
        <v>1279.6375310982605</v>
      </c>
      <c r="K54" s="201">
        <f t="shared" si="20"/>
        <v>75.272795946956492</v>
      </c>
      <c r="L54" s="601"/>
      <c r="M54" s="202">
        <f>RANK(K54, K$42:$K$71)</f>
        <v>15</v>
      </c>
      <c r="N54" s="619"/>
      <c r="O54" s="619"/>
      <c r="P54" s="183">
        <v>17</v>
      </c>
      <c r="Q54" s="183">
        <v>1270.4347826086957</v>
      </c>
      <c r="R54" s="183">
        <v>74.731457800511521</v>
      </c>
      <c r="S54" s="317">
        <f t="shared" si="11"/>
        <v>16</v>
      </c>
      <c r="T54" s="658"/>
      <c r="U54" s="183">
        <v>17</v>
      </c>
      <c r="V54" s="183">
        <v>1265.5813953488371</v>
      </c>
      <c r="W54" s="183">
        <v>74.445964432284541</v>
      </c>
      <c r="X54" s="317">
        <f t="shared" si="12"/>
        <v>15</v>
      </c>
      <c r="Y54" s="658"/>
      <c r="Z54" s="183">
        <v>17</v>
      </c>
      <c r="AA54" s="183">
        <v>1285.2631578947357</v>
      </c>
      <c r="AB54" s="183">
        <v>75.603715170278576</v>
      </c>
      <c r="AC54" s="317">
        <f t="shared" si="13"/>
        <v>12</v>
      </c>
      <c r="AD54" s="658"/>
      <c r="AE54" s="183">
        <v>17</v>
      </c>
      <c r="AF54" s="183">
        <v>1282.8571428571424</v>
      </c>
      <c r="AG54" s="183">
        <v>75.462184873949553</v>
      </c>
      <c r="AH54" s="317">
        <f t="shared" si="14"/>
        <v>14</v>
      </c>
      <c r="AI54" s="658"/>
      <c r="AJ54" s="183">
        <v>17</v>
      </c>
      <c r="AK54" s="183">
        <v>1296.9230769230762</v>
      </c>
      <c r="AL54" s="183">
        <v>76.289592760180952</v>
      </c>
      <c r="AM54" s="317">
        <f t="shared" si="15"/>
        <v>14</v>
      </c>
      <c r="AN54" s="658"/>
      <c r="AO54" s="183">
        <v>17</v>
      </c>
      <c r="AP54" s="183">
        <v>1269.1304347826085</v>
      </c>
      <c r="AQ54" s="183">
        <v>74.654731457800494</v>
      </c>
      <c r="AR54" s="317">
        <f t="shared" si="16"/>
        <v>16</v>
      </c>
      <c r="AS54" s="658"/>
      <c r="AT54" s="183">
        <v>17</v>
      </c>
      <c r="AU54" s="183">
        <v>1287.2727272727273</v>
      </c>
      <c r="AV54" s="183">
        <v>75.721925133689837</v>
      </c>
      <c r="AW54" s="317">
        <f t="shared" si="17"/>
        <v>14</v>
      </c>
      <c r="AX54" s="658"/>
    </row>
    <row r="55" spans="2:50">
      <c r="B55" s="627"/>
      <c r="C55" s="317">
        <v>14</v>
      </c>
      <c r="D55" s="228" t="s">
        <v>863</v>
      </c>
      <c r="E55" s="183">
        <v>18</v>
      </c>
      <c r="F55" s="317">
        <v>1440</v>
      </c>
      <c r="G55" s="320">
        <v>80</v>
      </c>
      <c r="H55" s="662"/>
      <c r="I55" s="200">
        <f t="shared" si="18"/>
        <v>18</v>
      </c>
      <c r="J55" s="200">
        <f t="shared" si="19"/>
        <v>1339.3844070776897</v>
      </c>
      <c r="K55" s="201">
        <f t="shared" si="20"/>
        <v>74.410244837649415</v>
      </c>
      <c r="L55" s="601"/>
      <c r="M55" s="202">
        <f>RANK(K55, K$42:$K$71)</f>
        <v>17</v>
      </c>
      <c r="N55" s="619"/>
      <c r="O55" s="619"/>
      <c r="P55" s="183">
        <v>18</v>
      </c>
      <c r="Q55" s="183">
        <v>1335.4029850746253</v>
      </c>
      <c r="R55" s="183">
        <v>74.18905472636807</v>
      </c>
      <c r="S55" s="317">
        <f t="shared" si="11"/>
        <v>17</v>
      </c>
      <c r="T55" s="658"/>
      <c r="U55" s="183">
        <v>18</v>
      </c>
      <c r="V55" s="183">
        <v>1336.0000000000011</v>
      </c>
      <c r="W55" s="183">
        <v>74.222222222222285</v>
      </c>
      <c r="X55" s="317">
        <f t="shared" si="12"/>
        <v>17</v>
      </c>
      <c r="Y55" s="658"/>
      <c r="Z55" s="183">
        <v>18</v>
      </c>
      <c r="AA55" s="183">
        <v>1346.6666666666674</v>
      </c>
      <c r="AB55" s="183">
        <v>74.814814814814852</v>
      </c>
      <c r="AC55" s="317">
        <f t="shared" si="13"/>
        <v>14</v>
      </c>
      <c r="AD55" s="658"/>
      <c r="AE55" s="183">
        <v>18</v>
      </c>
      <c r="AF55" s="183">
        <v>1347.3103448275874</v>
      </c>
      <c r="AG55" s="183">
        <v>74.850574712643748</v>
      </c>
      <c r="AH55" s="317">
        <f t="shared" si="14"/>
        <v>15</v>
      </c>
      <c r="AI55" s="658"/>
      <c r="AJ55" s="183">
        <v>18</v>
      </c>
      <c r="AK55" s="183">
        <v>1330.7076923076938</v>
      </c>
      <c r="AL55" s="183">
        <v>73.928205128205207</v>
      </c>
      <c r="AM55" s="317">
        <f t="shared" si="15"/>
        <v>15</v>
      </c>
      <c r="AN55" s="658"/>
      <c r="AO55" s="183">
        <v>18</v>
      </c>
      <c r="AP55" s="183">
        <v>1349.0149253731327</v>
      </c>
      <c r="AQ55" s="183">
        <v>74.945273631840706</v>
      </c>
      <c r="AR55" s="317">
        <f t="shared" si="16"/>
        <v>15</v>
      </c>
      <c r="AS55" s="658"/>
      <c r="AT55" s="183">
        <v>18</v>
      </c>
      <c r="AU55" s="183">
        <v>1330.5882352941194</v>
      </c>
      <c r="AV55" s="183">
        <v>73.92156862745108</v>
      </c>
      <c r="AW55" s="317">
        <f t="shared" si="17"/>
        <v>16</v>
      </c>
      <c r="AX55" s="658"/>
    </row>
    <row r="56" spans="2:50">
      <c r="B56" s="627"/>
      <c r="C56" s="317">
        <v>15</v>
      </c>
      <c r="D56" s="228" t="s">
        <v>386</v>
      </c>
      <c r="E56" s="183">
        <v>15</v>
      </c>
      <c r="F56" s="317">
        <v>1440</v>
      </c>
      <c r="G56" s="320">
        <v>96</v>
      </c>
      <c r="H56" s="662"/>
      <c r="I56" s="200">
        <f t="shared" si="18"/>
        <v>15.571428571428571</v>
      </c>
      <c r="J56" s="200">
        <f t="shared" si="19"/>
        <v>1280.2008342978115</v>
      </c>
      <c r="K56" s="201">
        <f t="shared" si="20"/>
        <v>82.299006833172001</v>
      </c>
      <c r="L56" s="601"/>
      <c r="M56" s="200">
        <f>RANK(K56, K$42:$K$71)</f>
        <v>8</v>
      </c>
      <c r="N56" s="619"/>
      <c r="O56" s="619"/>
      <c r="P56" s="183">
        <v>16</v>
      </c>
      <c r="Q56" s="183">
        <v>1292.3809523809537</v>
      </c>
      <c r="R56" s="183">
        <v>80.773809523809604</v>
      </c>
      <c r="S56" s="317">
        <f t="shared" si="11"/>
        <v>8</v>
      </c>
      <c r="T56" s="658"/>
      <c r="U56" s="183">
        <v>15</v>
      </c>
      <c r="V56" s="183">
        <v>1281.2903225806463</v>
      </c>
      <c r="W56" s="183">
        <v>85.419354838709751</v>
      </c>
      <c r="X56" s="317">
        <f t="shared" si="12"/>
        <v>4</v>
      </c>
      <c r="Y56" s="658"/>
      <c r="Z56" s="183">
        <v>15</v>
      </c>
      <c r="AA56" s="183">
        <v>1306.4150943396232</v>
      </c>
      <c r="AB56" s="183">
        <v>87.094339622641556</v>
      </c>
      <c r="AC56" s="317">
        <f t="shared" si="13"/>
        <v>3</v>
      </c>
      <c r="AD56" s="658"/>
      <c r="AE56" s="183">
        <v>16</v>
      </c>
      <c r="AF56" s="183">
        <v>1292.5423728813571</v>
      </c>
      <c r="AG56" s="183">
        <v>80.783898305084819</v>
      </c>
      <c r="AH56" s="317">
        <f t="shared" si="14"/>
        <v>7</v>
      </c>
      <c r="AI56" s="658"/>
      <c r="AJ56" s="183">
        <v>16</v>
      </c>
      <c r="AK56" s="183">
        <v>1288.3636363636372</v>
      </c>
      <c r="AL56" s="183">
        <v>80.522727272727323</v>
      </c>
      <c r="AM56" s="317">
        <f t="shared" si="15"/>
        <v>8</v>
      </c>
      <c r="AN56" s="658"/>
      <c r="AO56" s="183">
        <v>15</v>
      </c>
      <c r="AP56" s="183">
        <v>1253.5384615384628</v>
      </c>
      <c r="AQ56" s="183">
        <v>83.569230769230856</v>
      </c>
      <c r="AR56" s="317">
        <f t="shared" si="16"/>
        <v>6</v>
      </c>
      <c r="AS56" s="658"/>
      <c r="AT56" s="183">
        <v>16</v>
      </c>
      <c r="AU56" s="183">
        <v>1246.8750000000014</v>
      </c>
      <c r="AV56" s="183">
        <v>77.929687500000085</v>
      </c>
      <c r="AW56" s="317">
        <f t="shared" si="17"/>
        <v>10</v>
      </c>
      <c r="AX56" s="658"/>
    </row>
    <row r="57" spans="2:50">
      <c r="B57" s="627"/>
      <c r="C57" s="317">
        <v>16</v>
      </c>
      <c r="D57" s="228" t="s">
        <v>347</v>
      </c>
      <c r="E57" s="183">
        <v>17</v>
      </c>
      <c r="F57" s="317">
        <v>1440</v>
      </c>
      <c r="G57" s="320">
        <v>84.7</v>
      </c>
      <c r="H57" s="662"/>
      <c r="I57" s="200">
        <f t="shared" si="18"/>
        <v>17</v>
      </c>
      <c r="J57" s="200">
        <f t="shared" si="19"/>
        <v>1321.5079689729616</v>
      </c>
      <c r="K57" s="201">
        <f t="shared" si="20"/>
        <v>77.735762880762451</v>
      </c>
      <c r="L57" s="601"/>
      <c r="M57" s="200">
        <f>RANK(K57, K$42:$K$71)</f>
        <v>12</v>
      </c>
      <c r="N57" s="619"/>
      <c r="O57" s="619"/>
      <c r="P57" s="183">
        <v>17</v>
      </c>
      <c r="Q57" s="183">
        <v>1308.1445783132526</v>
      </c>
      <c r="R57" s="183">
        <v>76.949681077250148</v>
      </c>
      <c r="S57" s="317">
        <f t="shared" si="11"/>
        <v>11</v>
      </c>
      <c r="T57" s="658"/>
      <c r="U57" s="183">
        <v>17</v>
      </c>
      <c r="V57" s="183">
        <v>1355.6571428571415</v>
      </c>
      <c r="W57" s="183">
        <v>79.744537815125966</v>
      </c>
      <c r="X57" s="317">
        <f t="shared" si="12"/>
        <v>9</v>
      </c>
      <c r="Y57" s="658"/>
      <c r="Z57" s="183">
        <v>17</v>
      </c>
      <c r="AA57" s="183">
        <v>1308.1904761904777</v>
      </c>
      <c r="AB57" s="183">
        <v>76.952380952381048</v>
      </c>
      <c r="AC57" s="317">
        <f t="shared" si="13"/>
        <v>10</v>
      </c>
      <c r="AD57" s="658"/>
      <c r="AE57" s="183">
        <v>17</v>
      </c>
      <c r="AF57" s="183">
        <v>1335.4029850746285</v>
      </c>
      <c r="AG57" s="183">
        <v>78.553116769095794</v>
      </c>
      <c r="AH57" s="317">
        <f t="shared" si="14"/>
        <v>10</v>
      </c>
      <c r="AI57" s="658"/>
      <c r="AJ57" s="183">
        <v>17</v>
      </c>
      <c r="AK57" s="183">
        <v>1323.6923076923069</v>
      </c>
      <c r="AL57" s="183">
        <v>77.864253393665109</v>
      </c>
      <c r="AM57" s="317">
        <f t="shared" si="15"/>
        <v>11</v>
      </c>
      <c r="AN57" s="658"/>
      <c r="AO57" s="183">
        <v>17</v>
      </c>
      <c r="AP57" s="183">
        <v>1318.1999999999998</v>
      </c>
      <c r="AQ57" s="183">
        <v>77.541176470588226</v>
      </c>
      <c r="AR57" s="317">
        <f t="shared" si="16"/>
        <v>11</v>
      </c>
      <c r="AS57" s="658"/>
      <c r="AT57" s="183">
        <v>17</v>
      </c>
      <c r="AU57" s="183">
        <v>1301.2682926829264</v>
      </c>
      <c r="AV57" s="183">
        <v>76.545193687230963</v>
      </c>
      <c r="AW57" s="317">
        <f t="shared" si="17"/>
        <v>12</v>
      </c>
      <c r="AX57" s="658"/>
    </row>
    <row r="58" spans="2:50">
      <c r="B58" s="627"/>
      <c r="C58" s="317">
        <v>17</v>
      </c>
      <c r="D58" s="228" t="s">
        <v>378</v>
      </c>
      <c r="E58" s="183">
        <v>17</v>
      </c>
      <c r="F58" s="317">
        <v>1636</v>
      </c>
      <c r="G58" s="320">
        <v>96.3</v>
      </c>
      <c r="H58" s="662"/>
      <c r="I58" s="200">
        <f t="shared" si="18"/>
        <v>17</v>
      </c>
      <c r="J58" s="200">
        <f t="shared" si="19"/>
        <v>1249.4580756056073</v>
      </c>
      <c r="K58" s="201">
        <f t="shared" si="20"/>
        <v>73.49753385915335</v>
      </c>
      <c r="L58" s="601"/>
      <c r="M58" s="200">
        <f>RANK(K58, K$42:$K$71)</f>
        <v>18</v>
      </c>
      <c r="N58" s="619"/>
      <c r="O58" s="619"/>
      <c r="P58" s="183">
        <v>17</v>
      </c>
      <c r="Q58" s="183">
        <v>1271.2499999999982</v>
      </c>
      <c r="R58" s="183">
        <v>74.77941176470577</v>
      </c>
      <c r="S58" s="317">
        <f t="shared" si="11"/>
        <v>15</v>
      </c>
      <c r="T58" s="658"/>
      <c r="U58" s="183">
        <v>17</v>
      </c>
      <c r="V58" s="183">
        <v>1269.6774193548367</v>
      </c>
      <c r="W58" s="183">
        <v>74.686907020872752</v>
      </c>
      <c r="X58" s="317">
        <f t="shared" si="12"/>
        <v>14</v>
      </c>
      <c r="Y58" s="658"/>
      <c r="Z58" s="183">
        <v>17</v>
      </c>
      <c r="AA58" s="183">
        <v>1134.193548387095</v>
      </c>
      <c r="AB58" s="183">
        <v>66.717267552182065</v>
      </c>
      <c r="AC58" s="317">
        <f t="shared" si="13"/>
        <v>21</v>
      </c>
      <c r="AD58" s="658"/>
      <c r="AE58" s="183">
        <v>17</v>
      </c>
      <c r="AF58" s="183">
        <v>1293.9999999999977</v>
      </c>
      <c r="AG58" s="183">
        <v>76.117647058823394</v>
      </c>
      <c r="AH58" s="317">
        <f t="shared" si="14"/>
        <v>12</v>
      </c>
      <c r="AI58" s="658"/>
      <c r="AJ58" s="183">
        <v>17</v>
      </c>
      <c r="AK58" s="183">
        <v>1244.9999999999982</v>
      </c>
      <c r="AL58" s="183">
        <v>73.235294117646959</v>
      </c>
      <c r="AM58" s="317">
        <f t="shared" si="15"/>
        <v>16</v>
      </c>
      <c r="AN58" s="658"/>
      <c r="AO58" s="183">
        <v>17</v>
      </c>
      <c r="AP58" s="183">
        <v>1281.1764705882338</v>
      </c>
      <c r="AQ58" s="183">
        <v>75.363321799307869</v>
      </c>
      <c r="AR58" s="317">
        <f t="shared" si="16"/>
        <v>13</v>
      </c>
      <c r="AS58" s="658"/>
      <c r="AT58" s="183">
        <v>17</v>
      </c>
      <c r="AU58" s="183">
        <v>1250.9090909090894</v>
      </c>
      <c r="AV58" s="183">
        <v>73.58288770053467</v>
      </c>
      <c r="AW58" s="317">
        <f t="shared" si="17"/>
        <v>17</v>
      </c>
      <c r="AX58" s="658"/>
    </row>
    <row r="59" spans="2:50">
      <c r="B59" s="627"/>
      <c r="C59" s="317">
        <v>18</v>
      </c>
      <c r="D59" s="228" t="s">
        <v>380</v>
      </c>
      <c r="E59" s="183">
        <v>18</v>
      </c>
      <c r="F59" s="317">
        <v>1440</v>
      </c>
      <c r="G59" s="320">
        <v>80</v>
      </c>
      <c r="H59" s="662"/>
      <c r="I59" s="200">
        <f t="shared" si="18"/>
        <v>17.142857142857142</v>
      </c>
      <c r="J59" s="200">
        <f t="shared" si="19"/>
        <v>1275.5319879352239</v>
      </c>
      <c r="K59" s="201">
        <f t="shared" si="20"/>
        <v>74.432284573651387</v>
      </c>
      <c r="L59" s="601"/>
      <c r="M59" s="200">
        <f>RANK(K59, K$42:$K$71)</f>
        <v>16</v>
      </c>
      <c r="N59" s="619"/>
      <c r="O59" s="619"/>
      <c r="P59" s="183">
        <v>17</v>
      </c>
      <c r="Q59" s="183">
        <v>1277.0149253731358</v>
      </c>
      <c r="R59" s="183">
        <v>75.118525021949168</v>
      </c>
      <c r="S59" s="317">
        <f t="shared" si="11"/>
        <v>13</v>
      </c>
      <c r="T59" s="658"/>
      <c r="U59" s="183">
        <v>17</v>
      </c>
      <c r="V59" s="183">
        <v>1264.9180327868864</v>
      </c>
      <c r="W59" s="183">
        <v>74.406943105110969</v>
      </c>
      <c r="X59" s="317">
        <f t="shared" si="12"/>
        <v>16</v>
      </c>
      <c r="Y59" s="658"/>
      <c r="Z59" s="183">
        <v>17</v>
      </c>
      <c r="AA59" s="183">
        <v>1291.0344827586216</v>
      </c>
      <c r="AB59" s="183">
        <v>75.943204868154211</v>
      </c>
      <c r="AC59" s="317">
        <f t="shared" si="13"/>
        <v>11</v>
      </c>
      <c r="AD59" s="658"/>
      <c r="AE59" s="183">
        <v>17</v>
      </c>
      <c r="AF59" s="183">
        <v>1269.6774193548399</v>
      </c>
      <c r="AG59" s="183">
        <v>74.686907020872937</v>
      </c>
      <c r="AH59" s="317">
        <f t="shared" si="14"/>
        <v>16</v>
      </c>
      <c r="AI59" s="658"/>
      <c r="AJ59" s="183">
        <v>18</v>
      </c>
      <c r="AK59" s="183">
        <v>1283.0769230769245</v>
      </c>
      <c r="AL59" s="183">
        <v>71.282051282051356</v>
      </c>
      <c r="AM59" s="317">
        <f t="shared" si="15"/>
        <v>20</v>
      </c>
      <c r="AN59" s="658"/>
      <c r="AO59" s="183">
        <v>17</v>
      </c>
      <c r="AP59" s="183">
        <v>1246.2857142857131</v>
      </c>
      <c r="AQ59" s="183">
        <v>73.310924369747823</v>
      </c>
      <c r="AR59" s="317">
        <f t="shared" si="16"/>
        <v>17</v>
      </c>
      <c r="AS59" s="658"/>
      <c r="AT59" s="183">
        <v>17</v>
      </c>
      <c r="AU59" s="183">
        <v>1296.7164179104461</v>
      </c>
      <c r="AV59" s="183">
        <v>76.277436347673301</v>
      </c>
      <c r="AW59" s="317">
        <f t="shared" si="17"/>
        <v>13</v>
      </c>
      <c r="AX59" s="658"/>
    </row>
    <row r="60" spans="2:50">
      <c r="B60" s="627"/>
      <c r="C60" s="317">
        <v>19</v>
      </c>
      <c r="D60" s="228" t="s">
        <v>697</v>
      </c>
      <c r="E60" s="183">
        <v>18</v>
      </c>
      <c r="F60" s="317">
        <v>1500</v>
      </c>
      <c r="G60" s="320">
        <v>83.3</v>
      </c>
      <c r="H60" s="662"/>
      <c r="I60" s="200">
        <f t="shared" si="18"/>
        <v>18</v>
      </c>
      <c r="J60" s="200">
        <f t="shared" si="19"/>
        <v>1111.7647058823516</v>
      </c>
      <c r="K60" s="201">
        <f t="shared" si="20"/>
        <v>61.764705882352864</v>
      </c>
      <c r="L60" s="601"/>
      <c r="M60" s="200">
        <f>RANK(K60, K$42:$K$71)</f>
        <v>26</v>
      </c>
      <c r="N60" s="619"/>
      <c r="O60" s="619"/>
      <c r="P60" s="183">
        <v>18</v>
      </c>
      <c r="Q60" s="183">
        <v>1154.1176470588221</v>
      </c>
      <c r="R60" s="183">
        <v>64.117647058823451</v>
      </c>
      <c r="S60" s="317">
        <f t="shared" si="11"/>
        <v>25</v>
      </c>
      <c r="T60" s="658"/>
      <c r="U60" s="183">
        <v>18</v>
      </c>
      <c r="V60" s="183">
        <v>1101.176470588234</v>
      </c>
      <c r="W60" s="183">
        <v>61.176470588235219</v>
      </c>
      <c r="X60" s="317">
        <f t="shared" si="12"/>
        <v>25</v>
      </c>
      <c r="Y60" s="658"/>
      <c r="Z60" s="183">
        <v>18</v>
      </c>
      <c r="AA60" s="183">
        <v>1079.9999999999986</v>
      </c>
      <c r="AB60" s="183">
        <v>59.999999999999922</v>
      </c>
      <c r="AC60" s="317">
        <f t="shared" si="13"/>
        <v>25</v>
      </c>
      <c r="AD60" s="658"/>
      <c r="AE60" s="183"/>
      <c r="AF60" s="183"/>
      <c r="AG60" s="183"/>
      <c r="AH60" s="317" t="e">
        <f t="shared" si="14"/>
        <v>#N/A</v>
      </c>
      <c r="AI60" s="658"/>
      <c r="AJ60" s="183"/>
      <c r="AK60" s="183"/>
      <c r="AL60" s="183"/>
      <c r="AM60" s="317" t="e">
        <f t="shared" si="15"/>
        <v>#N/A</v>
      </c>
      <c r="AN60" s="658"/>
      <c r="AO60" s="183"/>
      <c r="AP60" s="183"/>
      <c r="AQ60" s="183"/>
      <c r="AR60" s="317" t="e">
        <f t="shared" si="16"/>
        <v>#N/A</v>
      </c>
      <c r="AS60" s="658"/>
      <c r="AT60" s="183"/>
      <c r="AU60" s="183"/>
      <c r="AV60" s="183"/>
      <c r="AW60" s="317" t="e">
        <f t="shared" si="17"/>
        <v>#N/A</v>
      </c>
      <c r="AX60" s="658"/>
    </row>
    <row r="61" spans="2:50">
      <c r="B61" s="627"/>
      <c r="C61" s="317">
        <v>20</v>
      </c>
      <c r="D61" s="228" t="s">
        <v>387</v>
      </c>
      <c r="E61" s="183">
        <v>18</v>
      </c>
      <c r="F61" s="317">
        <v>1500</v>
      </c>
      <c r="G61" s="320">
        <v>83.3</v>
      </c>
      <c r="H61" s="662"/>
      <c r="I61" s="200">
        <f t="shared" si="18"/>
        <v>18</v>
      </c>
      <c r="J61" s="200">
        <f t="shared" si="19"/>
        <v>1276.3650043730645</v>
      </c>
      <c r="K61" s="201">
        <f t="shared" si="20"/>
        <v>70.909166909614683</v>
      </c>
      <c r="L61" s="601"/>
      <c r="M61" s="200">
        <f>RANK(K61, K$42:$K$71)</f>
        <v>21</v>
      </c>
      <c r="N61" s="619"/>
      <c r="O61" s="619"/>
      <c r="P61" s="183">
        <v>18</v>
      </c>
      <c r="Q61" s="183">
        <v>1292.5714285714282</v>
      </c>
      <c r="R61" s="183">
        <v>71.809523809523796</v>
      </c>
      <c r="S61" s="317">
        <f t="shared" si="11"/>
        <v>20</v>
      </c>
      <c r="T61" s="658"/>
      <c r="U61" s="183">
        <v>18</v>
      </c>
      <c r="V61" s="183">
        <v>1301.7142857142853</v>
      </c>
      <c r="W61" s="183">
        <v>72.317460317460302</v>
      </c>
      <c r="X61" s="317">
        <f t="shared" si="12"/>
        <v>18</v>
      </c>
      <c r="Y61" s="658"/>
      <c r="Z61" s="183">
        <v>18</v>
      </c>
      <c r="AA61" s="183">
        <v>1270.1538461538455</v>
      </c>
      <c r="AB61" s="183">
        <v>70.564102564102527</v>
      </c>
      <c r="AC61" s="317">
        <f t="shared" si="13"/>
        <v>18</v>
      </c>
      <c r="AD61" s="658"/>
      <c r="AE61" s="183">
        <v>18</v>
      </c>
      <c r="AF61" s="183">
        <v>1244.8</v>
      </c>
      <c r="AG61" s="183">
        <v>69.155555555555551</v>
      </c>
      <c r="AH61" s="317">
        <f t="shared" si="14"/>
        <v>21</v>
      </c>
      <c r="AI61" s="658"/>
      <c r="AJ61" s="183">
        <v>18</v>
      </c>
      <c r="AK61" s="183">
        <v>1284.8372093023254</v>
      </c>
      <c r="AL61" s="183">
        <v>71.379844961240295</v>
      </c>
      <c r="AM61" s="317">
        <f t="shared" si="15"/>
        <v>19</v>
      </c>
      <c r="AN61" s="658"/>
      <c r="AO61" s="183">
        <v>18</v>
      </c>
      <c r="AP61" s="183">
        <v>1283.4782608695652</v>
      </c>
      <c r="AQ61" s="183">
        <v>71.304347826086953</v>
      </c>
      <c r="AR61" s="317">
        <f t="shared" si="16"/>
        <v>18</v>
      </c>
      <c r="AS61" s="658"/>
      <c r="AT61" s="183">
        <v>18</v>
      </c>
      <c r="AU61" s="183">
        <v>1257.0000000000005</v>
      </c>
      <c r="AV61" s="183">
        <v>69.833333333333357</v>
      </c>
      <c r="AW61" s="317">
        <f t="shared" si="17"/>
        <v>21</v>
      </c>
      <c r="AX61" s="658"/>
    </row>
    <row r="62" spans="2:50">
      <c r="B62" s="627"/>
      <c r="C62" s="317">
        <v>21</v>
      </c>
      <c r="D62" s="228" t="s">
        <v>560</v>
      </c>
      <c r="E62" s="183">
        <v>17</v>
      </c>
      <c r="F62" s="317">
        <v>1440</v>
      </c>
      <c r="G62" s="320">
        <v>84.7</v>
      </c>
      <c r="H62" s="662"/>
      <c r="I62" s="200">
        <f t="shared" si="18"/>
        <v>17</v>
      </c>
      <c r="J62" s="200">
        <f t="shared" si="19"/>
        <v>1284.234522710565</v>
      </c>
      <c r="K62" s="201">
        <f t="shared" si="20"/>
        <v>75.54320721826852</v>
      </c>
      <c r="L62" s="601"/>
      <c r="M62" s="200">
        <f>RANK(K62, K$42:$K$71)</f>
        <v>14</v>
      </c>
      <c r="N62" s="619"/>
      <c r="O62" s="619"/>
      <c r="P62" s="183">
        <v>17</v>
      </c>
      <c r="Q62" s="183">
        <v>1276.2162162162151</v>
      </c>
      <c r="R62" s="183">
        <v>75.0715421303656</v>
      </c>
      <c r="S62" s="317">
        <f t="shared" si="11"/>
        <v>14</v>
      </c>
      <c r="T62" s="658"/>
      <c r="U62" s="183">
        <v>17</v>
      </c>
      <c r="V62" s="183">
        <v>1274.1176470588221</v>
      </c>
      <c r="W62" s="183">
        <v>74.948096885813058</v>
      </c>
      <c r="X62" s="317">
        <f t="shared" si="12"/>
        <v>13</v>
      </c>
      <c r="Y62" s="658"/>
      <c r="Z62" s="183">
        <v>17</v>
      </c>
      <c r="AA62" s="183">
        <v>1263.8709677419336</v>
      </c>
      <c r="AB62" s="183">
        <v>74.345351043643149</v>
      </c>
      <c r="AC62" s="317">
        <f t="shared" si="13"/>
        <v>15</v>
      </c>
      <c r="AD62" s="658"/>
      <c r="AE62" s="183">
        <v>17</v>
      </c>
      <c r="AF62" s="183">
        <v>1288.1249999999982</v>
      </c>
      <c r="AG62" s="183">
        <v>75.772058823529306</v>
      </c>
      <c r="AH62" s="317">
        <f t="shared" si="14"/>
        <v>13</v>
      </c>
      <c r="AI62" s="658"/>
      <c r="AJ62" s="183">
        <v>17</v>
      </c>
      <c r="AK62" s="183">
        <v>1300.6451612903206</v>
      </c>
      <c r="AL62" s="183">
        <v>76.508538899430619</v>
      </c>
      <c r="AM62" s="317">
        <f t="shared" si="15"/>
        <v>13</v>
      </c>
      <c r="AN62" s="658"/>
      <c r="AO62" s="183">
        <v>17</v>
      </c>
      <c r="AP62" s="183">
        <v>1278.3333333333323</v>
      </c>
      <c r="AQ62" s="183">
        <v>75.196078431372484</v>
      </c>
      <c r="AR62" s="317">
        <f t="shared" si="16"/>
        <v>14</v>
      </c>
      <c r="AS62" s="658"/>
      <c r="AT62" s="183">
        <v>17</v>
      </c>
      <c r="AU62" s="183">
        <v>1308.3333333333323</v>
      </c>
      <c r="AV62" s="183">
        <v>76.960784313725426</v>
      </c>
      <c r="AW62" s="317">
        <f t="shared" si="17"/>
        <v>11</v>
      </c>
      <c r="AX62" s="658"/>
    </row>
    <row r="63" spans="2:50">
      <c r="B63" s="627"/>
      <c r="C63" s="317">
        <v>22</v>
      </c>
      <c r="D63" s="228" t="s">
        <v>761</v>
      </c>
      <c r="E63" s="183">
        <v>18</v>
      </c>
      <c r="F63" s="317">
        <v>1385</v>
      </c>
      <c r="G63" s="320">
        <v>76.900000000000006</v>
      </c>
      <c r="H63" s="662"/>
      <c r="I63" s="200">
        <f t="shared" si="18"/>
        <v>18</v>
      </c>
      <c r="J63" s="200">
        <f t="shared" si="19"/>
        <v>1186.7587913606149</v>
      </c>
      <c r="K63" s="201">
        <f t="shared" si="20"/>
        <v>65.931043964478604</v>
      </c>
      <c r="L63" s="601"/>
      <c r="M63" s="200">
        <f>RANK(K63, K$42:$K$71)</f>
        <v>24</v>
      </c>
      <c r="N63" s="619"/>
      <c r="O63" s="619"/>
      <c r="P63" s="183">
        <v>18</v>
      </c>
      <c r="Q63" s="183">
        <v>1177.5319148936173</v>
      </c>
      <c r="R63" s="183">
        <v>65.418439716312079</v>
      </c>
      <c r="S63" s="317">
        <f t="shared" si="11"/>
        <v>23</v>
      </c>
      <c r="T63" s="658"/>
      <c r="U63" s="183">
        <v>18</v>
      </c>
      <c r="V63" s="183">
        <v>1187.6923076923072</v>
      </c>
      <c r="W63" s="183">
        <v>65.982905982905947</v>
      </c>
      <c r="X63" s="317">
        <f t="shared" si="12"/>
        <v>23</v>
      </c>
      <c r="Y63" s="658"/>
      <c r="Z63" s="183">
        <v>18</v>
      </c>
      <c r="AA63" s="183">
        <v>1194.1818181818169</v>
      </c>
      <c r="AB63" s="183">
        <v>66.343434343434268</v>
      </c>
      <c r="AC63" s="317">
        <f t="shared" si="13"/>
        <v>22</v>
      </c>
      <c r="AD63" s="658"/>
      <c r="AE63" s="183">
        <v>18</v>
      </c>
      <c r="AF63" s="183">
        <v>1181.0909090909076</v>
      </c>
      <c r="AG63" s="183">
        <v>65.616161616161534</v>
      </c>
      <c r="AH63" s="317">
        <f t="shared" si="14"/>
        <v>22</v>
      </c>
      <c r="AI63" s="658"/>
      <c r="AJ63" s="183">
        <v>18</v>
      </c>
      <c r="AK63" s="183">
        <v>1182.8571428571424</v>
      </c>
      <c r="AL63" s="183">
        <v>65.714285714285694</v>
      </c>
      <c r="AM63" s="317">
        <f t="shared" si="15"/>
        <v>23</v>
      </c>
      <c r="AN63" s="658"/>
      <c r="AO63" s="183">
        <v>18</v>
      </c>
      <c r="AP63" s="183">
        <v>1186.0000000000005</v>
      </c>
      <c r="AQ63" s="183">
        <v>65.888888888888914</v>
      </c>
      <c r="AR63" s="317">
        <f t="shared" si="16"/>
        <v>23</v>
      </c>
      <c r="AS63" s="658"/>
      <c r="AT63" s="183">
        <v>18</v>
      </c>
      <c r="AU63" s="183">
        <v>1197.9574468085111</v>
      </c>
      <c r="AV63" s="183">
        <v>66.553191489361723</v>
      </c>
      <c r="AW63" s="317">
        <f t="shared" si="17"/>
        <v>23</v>
      </c>
      <c r="AX63" s="658"/>
    </row>
    <row r="64" spans="2:50">
      <c r="B64" s="627"/>
      <c r="C64" s="317">
        <v>23</v>
      </c>
      <c r="D64" s="228" t="s">
        <v>836</v>
      </c>
      <c r="E64" s="183">
        <v>18</v>
      </c>
      <c r="F64" s="317">
        <v>1440</v>
      </c>
      <c r="G64" s="320">
        <v>80</v>
      </c>
      <c r="H64" s="662"/>
      <c r="I64" s="200">
        <f t="shared" si="18"/>
        <v>18</v>
      </c>
      <c r="J64" s="200">
        <f t="shared" si="19"/>
        <v>1278.7029079214985</v>
      </c>
      <c r="K64" s="201">
        <f t="shared" si="20"/>
        <v>71.039050440083258</v>
      </c>
      <c r="L64" s="601"/>
      <c r="M64" s="200">
        <f>RANK(K64, K$42:$K$71)</f>
        <v>19</v>
      </c>
      <c r="N64" s="619"/>
      <c r="O64" s="619"/>
      <c r="P64" s="183">
        <v>18</v>
      </c>
      <c r="Q64" s="183">
        <v>1295.4098360655751</v>
      </c>
      <c r="R64" s="183">
        <v>71.967213114754173</v>
      </c>
      <c r="S64" s="317">
        <f t="shared" si="11"/>
        <v>19</v>
      </c>
      <c r="T64" s="658"/>
      <c r="U64" s="183">
        <v>18</v>
      </c>
      <c r="V64" s="183">
        <v>1294.8387096774204</v>
      </c>
      <c r="W64" s="183">
        <v>71.935483870967801</v>
      </c>
      <c r="X64" s="317">
        <f t="shared" si="12"/>
        <v>19</v>
      </c>
      <c r="Y64" s="658"/>
      <c r="Z64" s="183">
        <v>18</v>
      </c>
      <c r="AA64" s="183">
        <v>1263.3333333333342</v>
      </c>
      <c r="AB64" s="183">
        <v>70.185185185185233</v>
      </c>
      <c r="AC64" s="317">
        <f t="shared" si="13"/>
        <v>19</v>
      </c>
      <c r="AD64" s="658"/>
      <c r="AE64" s="183">
        <v>18</v>
      </c>
      <c r="AF64" s="183">
        <v>1260.0000000000007</v>
      </c>
      <c r="AG64" s="183">
        <v>70.000000000000043</v>
      </c>
      <c r="AH64" s="317">
        <f t="shared" si="14"/>
        <v>20</v>
      </c>
      <c r="AI64" s="658"/>
      <c r="AJ64" s="183">
        <v>18</v>
      </c>
      <c r="AK64" s="183">
        <v>1291.7647058823534</v>
      </c>
      <c r="AL64" s="183">
        <v>71.76470588235297</v>
      </c>
      <c r="AM64" s="317">
        <f t="shared" si="15"/>
        <v>18</v>
      </c>
      <c r="AN64" s="658"/>
      <c r="AO64" s="183">
        <v>18</v>
      </c>
      <c r="AP64" s="183">
        <v>1260.0000000000014</v>
      </c>
      <c r="AQ64" s="183">
        <v>70.000000000000071</v>
      </c>
      <c r="AR64" s="317">
        <f t="shared" si="16"/>
        <v>21</v>
      </c>
      <c r="AS64" s="658"/>
      <c r="AT64" s="183">
        <v>18</v>
      </c>
      <c r="AU64" s="183">
        <v>1285.5737704918045</v>
      </c>
      <c r="AV64" s="183">
        <v>71.420765027322474</v>
      </c>
      <c r="AW64" s="317">
        <f t="shared" si="17"/>
        <v>19</v>
      </c>
      <c r="AX64" s="658"/>
    </row>
    <row r="65" spans="2:50">
      <c r="B65" s="627"/>
      <c r="C65" s="317">
        <v>24</v>
      </c>
      <c r="D65" s="228" t="s">
        <v>864</v>
      </c>
      <c r="E65" s="183">
        <v>15</v>
      </c>
      <c r="F65" s="317">
        <v>1500</v>
      </c>
      <c r="G65" s="320">
        <v>100</v>
      </c>
      <c r="H65" s="662"/>
      <c r="I65" s="200">
        <f t="shared" si="18"/>
        <v>15.571428571428571</v>
      </c>
      <c r="J65" s="200">
        <f t="shared" si="19"/>
        <v>1296.3970771934733</v>
      </c>
      <c r="K65" s="201">
        <f t="shared" si="20"/>
        <v>83.427250917076677</v>
      </c>
      <c r="L65" s="601"/>
      <c r="M65" s="200">
        <f>RANK(K65, K$42:$K$71)</f>
        <v>5</v>
      </c>
      <c r="N65" s="619"/>
      <c r="O65" s="619"/>
      <c r="P65" s="520">
        <v>16</v>
      </c>
      <c r="Q65" s="521">
        <v>1311.0280373831763</v>
      </c>
      <c r="R65" s="521">
        <v>81.939252336448519</v>
      </c>
      <c r="S65" s="317">
        <f t="shared" si="11"/>
        <v>6</v>
      </c>
      <c r="T65" s="658"/>
      <c r="U65" s="522">
        <v>16</v>
      </c>
      <c r="V65" s="523">
        <v>1311.9587628865961</v>
      </c>
      <c r="W65" s="523">
        <v>81.997422680412257</v>
      </c>
      <c r="X65" s="317">
        <f t="shared" si="12"/>
        <v>6</v>
      </c>
      <c r="Y65" s="658"/>
      <c r="Z65" s="522">
        <v>16</v>
      </c>
      <c r="AA65" s="523">
        <v>1316.4705882352939</v>
      </c>
      <c r="AB65" s="523">
        <v>82.27941176470587</v>
      </c>
      <c r="AC65" s="317">
        <f t="shared" si="13"/>
        <v>5</v>
      </c>
      <c r="AD65" s="658"/>
      <c r="AE65" s="522">
        <v>16</v>
      </c>
      <c r="AF65" s="523">
        <v>1270.344827586209</v>
      </c>
      <c r="AG65" s="523">
        <v>79.396551724138064</v>
      </c>
      <c r="AH65" s="317">
        <f t="shared" si="14"/>
        <v>9</v>
      </c>
      <c r="AI65" s="658"/>
      <c r="AJ65" s="522">
        <v>16</v>
      </c>
      <c r="AK65" s="523">
        <v>1277.1428571428571</v>
      </c>
      <c r="AL65" s="523">
        <v>79.821428571428569</v>
      </c>
      <c r="AM65" s="317">
        <f t="shared" si="15"/>
        <v>9</v>
      </c>
      <c r="AN65" s="658"/>
      <c r="AO65" s="522">
        <v>15</v>
      </c>
      <c r="AP65" s="523">
        <v>1320.6122448979575</v>
      </c>
      <c r="AQ65" s="523">
        <v>88.040816326530503</v>
      </c>
      <c r="AR65" s="317">
        <f t="shared" si="16"/>
        <v>4</v>
      </c>
      <c r="AS65" s="658"/>
      <c r="AT65" s="522">
        <v>14</v>
      </c>
      <c r="AU65" s="523">
        <v>1267.2222222222229</v>
      </c>
      <c r="AV65" s="523">
        <v>90.515873015873055</v>
      </c>
      <c r="AW65" s="317">
        <f t="shared" si="17"/>
        <v>4</v>
      </c>
      <c r="AX65" s="658"/>
    </row>
    <row r="66" spans="2:50">
      <c r="B66" s="627"/>
      <c r="C66" s="317">
        <v>25</v>
      </c>
      <c r="D66" s="228" t="s">
        <v>872</v>
      </c>
      <c r="E66" s="183">
        <v>16</v>
      </c>
      <c r="F66" s="317">
        <v>1500</v>
      </c>
      <c r="G66" s="320">
        <v>93.8</v>
      </c>
      <c r="H66" s="662"/>
      <c r="I66" s="524">
        <f t="shared" ref="I66:I68" si="21">AVERAGE(P66,U66,Z66,AE66,AJ66,AO66,AT66)</f>
        <v>16</v>
      </c>
      <c r="J66" s="524">
        <f t="shared" ref="J66:J68" si="22">AVERAGE(Q66,V66,AA66,AF66,AK66,AP66,AU66)</f>
        <v>1294.5387493633255</v>
      </c>
      <c r="K66" s="201">
        <f t="shared" ref="K66:K68" si="23">AVERAGE(R66,W66,AB66,AG66,AL66,AQ66,AV66)</f>
        <v>80.908671835207841</v>
      </c>
      <c r="L66" s="601"/>
      <c r="M66" s="200">
        <f>RANK(K66, K$42:$K$71)</f>
        <v>9</v>
      </c>
      <c r="N66" s="619"/>
      <c r="O66" s="619"/>
      <c r="P66" s="520">
        <v>16</v>
      </c>
      <c r="Q66" s="521">
        <v>1302.4390243902435</v>
      </c>
      <c r="R66" s="521">
        <v>81.402439024390219</v>
      </c>
      <c r="S66" s="317">
        <f t="shared" si="11"/>
        <v>7</v>
      </c>
      <c r="T66" s="658"/>
      <c r="U66" s="522">
        <v>16</v>
      </c>
      <c r="V66" s="523">
        <v>1302.6315789473674</v>
      </c>
      <c r="W66" s="523">
        <v>81.414473684210463</v>
      </c>
      <c r="X66" s="317">
        <f t="shared" si="12"/>
        <v>7</v>
      </c>
      <c r="Y66" s="658"/>
      <c r="Z66" s="522">
        <v>16</v>
      </c>
      <c r="AA66" s="523">
        <v>1281.0810810810801</v>
      </c>
      <c r="AB66" s="523">
        <v>80.067567567567508</v>
      </c>
      <c r="AC66" s="317">
        <f t="shared" si="13"/>
        <v>8</v>
      </c>
      <c r="AD66" s="658"/>
      <c r="AE66" s="522">
        <v>16</v>
      </c>
      <c r="AF66" s="523">
        <v>1310.6249999999982</v>
      </c>
      <c r="AG66" s="523">
        <v>81.914062499999886</v>
      </c>
      <c r="AH66" s="317">
        <f t="shared" si="14"/>
        <v>6</v>
      </c>
      <c r="AI66" s="658"/>
      <c r="AJ66" s="522">
        <v>16</v>
      </c>
      <c r="AK66" s="523">
        <v>1293.5294117647043</v>
      </c>
      <c r="AL66" s="523">
        <v>80.845588235294016</v>
      </c>
      <c r="AM66" s="317">
        <f t="shared" si="15"/>
        <v>7</v>
      </c>
      <c r="AN66" s="658"/>
      <c r="AO66" s="522">
        <v>16</v>
      </c>
      <c r="AP66" s="523">
        <v>1275.7894736842095</v>
      </c>
      <c r="AQ66" s="523">
        <v>79.736842105263094</v>
      </c>
      <c r="AR66" s="317">
        <f t="shared" si="16"/>
        <v>9</v>
      </c>
      <c r="AS66" s="658"/>
      <c r="AT66" s="522">
        <v>16</v>
      </c>
      <c r="AU66" s="523">
        <v>1295.6756756756747</v>
      </c>
      <c r="AV66" s="523">
        <v>80.979729729729669</v>
      </c>
      <c r="AW66" s="317">
        <f t="shared" si="17"/>
        <v>8</v>
      </c>
      <c r="AX66" s="658"/>
    </row>
    <row r="67" spans="2:50">
      <c r="B67" s="627"/>
      <c r="C67" s="317">
        <v>26</v>
      </c>
      <c r="D67" s="228" t="s">
        <v>873</v>
      </c>
      <c r="E67" s="183">
        <v>20</v>
      </c>
      <c r="F67" s="317">
        <v>1500</v>
      </c>
      <c r="G67" s="320">
        <v>75</v>
      </c>
      <c r="H67" s="662"/>
      <c r="I67" s="524">
        <f t="shared" si="21"/>
        <v>19.857142857142858</v>
      </c>
      <c r="J67" s="524">
        <f t="shared" si="22"/>
        <v>1092.1064410651502</v>
      </c>
      <c r="K67" s="201">
        <f t="shared" si="23"/>
        <v>55.024545788270721</v>
      </c>
      <c r="L67" s="601"/>
      <c r="M67" s="200">
        <f>RANK(K67, K$42:$K$71)</f>
        <v>27</v>
      </c>
      <c r="N67" s="619"/>
      <c r="O67" s="619"/>
      <c r="P67" s="520">
        <v>20</v>
      </c>
      <c r="Q67" s="521">
        <v>1108.1415929203531</v>
      </c>
      <c r="R67" s="521">
        <v>55.407079646017657</v>
      </c>
      <c r="S67" s="317">
        <f t="shared" si="11"/>
        <v>26</v>
      </c>
      <c r="T67" s="658"/>
      <c r="U67" s="522">
        <v>20</v>
      </c>
      <c r="V67" s="523">
        <v>1099.4594594594603</v>
      </c>
      <c r="W67" s="523">
        <v>54.972972972973011</v>
      </c>
      <c r="X67" s="317">
        <f t="shared" si="12"/>
        <v>26</v>
      </c>
      <c r="Y67" s="658"/>
      <c r="Z67" s="522">
        <v>20</v>
      </c>
      <c r="AA67" s="523">
        <v>1062.2857142857147</v>
      </c>
      <c r="AB67" s="523">
        <v>53.114285714285735</v>
      </c>
      <c r="AC67" s="317">
        <f t="shared" si="13"/>
        <v>26</v>
      </c>
      <c r="AD67" s="658"/>
      <c r="AE67" s="522">
        <v>20</v>
      </c>
      <c r="AF67" s="523">
        <v>1114.2857142857147</v>
      </c>
      <c r="AG67" s="523">
        <v>55.714285714285737</v>
      </c>
      <c r="AH67" s="317">
        <f t="shared" si="14"/>
        <v>25</v>
      </c>
      <c r="AI67" s="658"/>
      <c r="AJ67" s="522">
        <v>20</v>
      </c>
      <c r="AK67" s="523">
        <v>1065.9459459459451</v>
      </c>
      <c r="AL67" s="523">
        <v>53.297297297297256</v>
      </c>
      <c r="AM67" s="317">
        <f t="shared" si="15"/>
        <v>25</v>
      </c>
      <c r="AN67" s="658"/>
      <c r="AO67" s="522">
        <v>20</v>
      </c>
      <c r="AP67" s="523">
        <v>1079.4915254237283</v>
      </c>
      <c r="AQ67" s="523">
        <v>53.974576271186415</v>
      </c>
      <c r="AR67" s="317">
        <f t="shared" si="16"/>
        <v>25</v>
      </c>
      <c r="AS67" s="658"/>
      <c r="AT67" s="522">
        <v>19</v>
      </c>
      <c r="AU67" s="523">
        <v>1115.1351351351359</v>
      </c>
      <c r="AV67" s="523">
        <v>58.691322901849254</v>
      </c>
      <c r="AW67" s="317">
        <f t="shared" si="17"/>
        <v>26</v>
      </c>
      <c r="AX67" s="658"/>
    </row>
    <row r="68" spans="2:50">
      <c r="B68" s="627"/>
      <c r="C68" s="317">
        <v>27</v>
      </c>
      <c r="D68" s="228" t="s">
        <v>893</v>
      </c>
      <c r="E68" s="183">
        <v>17</v>
      </c>
      <c r="F68" s="317">
        <v>1440</v>
      </c>
      <c r="G68" s="320">
        <v>84.7</v>
      </c>
      <c r="H68" s="662"/>
      <c r="I68" s="524">
        <f t="shared" si="21"/>
        <v>13</v>
      </c>
      <c r="J68" s="524">
        <f t="shared" si="22"/>
        <v>1300.5000000000009</v>
      </c>
      <c r="K68" s="201">
        <f t="shared" si="23"/>
        <v>100.0384615384616</v>
      </c>
      <c r="L68" s="601"/>
      <c r="M68" s="200">
        <f>RANK(K68, K$42:$K$71)</f>
        <v>3</v>
      </c>
      <c r="N68" s="619"/>
      <c r="O68" s="619"/>
      <c r="P68" s="376" t="str">
        <f>'[1]（５-5）品群別人時生產性(主食) '!P208</f>
        <v/>
      </c>
      <c r="Q68" s="377" t="str">
        <f>'[1]（５-5）品群別人時生產性(主食) '!Q208</f>
        <v/>
      </c>
      <c r="R68" s="377" t="str">
        <f>'[1]（５-5）品群別人時生產性(主食) '!R208</f>
        <v/>
      </c>
      <c r="S68" s="317" t="e">
        <f t="shared" si="11"/>
        <v>#VALUE!</v>
      </c>
      <c r="T68" s="658"/>
      <c r="U68" s="522" t="str">
        <f>'[1]（５-5）品群別人時生產性(主食) '!U208</f>
        <v/>
      </c>
      <c r="V68" s="523" t="str">
        <f>'[1]（５-5）品群別人時生產性(主食) '!V208</f>
        <v/>
      </c>
      <c r="W68" s="523" t="str">
        <f>'[1]（５-5）品群別人時生產性(主食) '!W208</f>
        <v/>
      </c>
      <c r="X68" s="317" t="e">
        <f t="shared" si="12"/>
        <v>#VALUE!</v>
      </c>
      <c r="Y68" s="658"/>
      <c r="Z68" s="522" t="str">
        <f>'[1]（５-5）品群別人時生產性(主食) '!Z208</f>
        <v/>
      </c>
      <c r="AA68" s="523" t="str">
        <f>'[1]（５-5）品群別人時生產性(主食) '!AA208</f>
        <v/>
      </c>
      <c r="AB68" s="523" t="str">
        <f>'[1]（５-5）品群別人時生產性(主食) '!AB208</f>
        <v/>
      </c>
      <c r="AC68" s="317" t="e">
        <f t="shared" si="13"/>
        <v>#VALUE!</v>
      </c>
      <c r="AD68" s="658"/>
      <c r="AE68" s="522" t="str">
        <f>'[1]（５-5）品群別人時生產性(主食) '!AE208</f>
        <v/>
      </c>
      <c r="AF68" s="523" t="str">
        <f>'[1]（５-5）品群別人時生產性(主食) '!AF208</f>
        <v/>
      </c>
      <c r="AG68" s="523" t="str">
        <f>'[1]（５-5）品群別人時生產性(主食) '!AG208</f>
        <v/>
      </c>
      <c r="AH68" s="317" t="e">
        <f t="shared" si="14"/>
        <v>#VALUE!</v>
      </c>
      <c r="AI68" s="658"/>
      <c r="AJ68" s="522" t="str">
        <f>'[1]（５-5）品群別人時生產性(主食) '!AJ208</f>
        <v/>
      </c>
      <c r="AK68" s="523" t="str">
        <f>'[1]（５-5）品群別人時生產性(主食) '!AK208</f>
        <v/>
      </c>
      <c r="AL68" s="523" t="str">
        <f>'[1]（５-5）品群別人時生產性(主食) '!AL208</f>
        <v/>
      </c>
      <c r="AM68" s="317" t="e">
        <f t="shared" si="15"/>
        <v>#VALUE!</v>
      </c>
      <c r="AN68" s="658"/>
      <c r="AO68" s="522" t="str">
        <f>'[1]（５-5）品群別人時生產性(主食) '!AO208</f>
        <v/>
      </c>
      <c r="AP68" s="523" t="str">
        <f>'[1]（５-5）品群別人時生產性(主食) '!AP208</f>
        <v/>
      </c>
      <c r="AQ68" s="523" t="str">
        <f>'[1]（５-5）品群別人時生產性(主食) '!AQ208</f>
        <v/>
      </c>
      <c r="AR68" s="317" t="e">
        <f t="shared" si="16"/>
        <v>#VALUE!</v>
      </c>
      <c r="AS68" s="658"/>
      <c r="AT68" s="522">
        <v>13</v>
      </c>
      <c r="AU68" s="523">
        <v>1300.5000000000009</v>
      </c>
      <c r="AV68" s="523">
        <v>100.0384615384616</v>
      </c>
      <c r="AW68" s="317">
        <f t="shared" si="17"/>
        <v>3</v>
      </c>
      <c r="AX68" s="658"/>
    </row>
    <row r="69" spans="2:50">
      <c r="B69" s="627"/>
      <c r="C69" s="317">
        <v>28</v>
      </c>
      <c r="D69" s="228"/>
      <c r="E69" s="183"/>
      <c r="F69" s="317"/>
      <c r="G69" s="320"/>
      <c r="H69" s="662"/>
      <c r="I69" s="200"/>
      <c r="J69" s="200"/>
      <c r="K69" s="201"/>
      <c r="L69" s="601"/>
      <c r="M69" s="200" t="e">
        <f>RANK(K69, K$42:$K$71)</f>
        <v>#N/A</v>
      </c>
      <c r="N69" s="619"/>
      <c r="O69" s="619"/>
      <c r="P69" s="317"/>
      <c r="Q69" s="320"/>
      <c r="R69" s="320"/>
      <c r="S69" s="317" t="e">
        <f t="shared" si="11"/>
        <v>#N/A</v>
      </c>
      <c r="T69" s="658"/>
      <c r="U69" s="317"/>
      <c r="V69" s="320"/>
      <c r="W69" s="320"/>
      <c r="X69" s="317" t="e">
        <f t="shared" si="12"/>
        <v>#N/A</v>
      </c>
      <c r="Y69" s="658"/>
      <c r="Z69" s="317"/>
      <c r="AA69" s="320"/>
      <c r="AB69" s="320"/>
      <c r="AC69" s="317" t="e">
        <f t="shared" si="13"/>
        <v>#N/A</v>
      </c>
      <c r="AD69" s="658"/>
      <c r="AE69" s="317"/>
      <c r="AF69" s="320"/>
      <c r="AG69" s="320"/>
      <c r="AH69" s="317" t="e">
        <f t="shared" si="14"/>
        <v>#N/A</v>
      </c>
      <c r="AI69" s="658"/>
      <c r="AJ69" s="317"/>
      <c r="AK69" s="320"/>
      <c r="AL69" s="320"/>
      <c r="AM69" s="317" t="e">
        <f t="shared" si="15"/>
        <v>#N/A</v>
      </c>
      <c r="AN69" s="658"/>
      <c r="AO69" s="317"/>
      <c r="AP69" s="320"/>
      <c r="AQ69" s="320"/>
      <c r="AR69" s="317" t="e">
        <f t="shared" si="16"/>
        <v>#N/A</v>
      </c>
      <c r="AS69" s="658"/>
      <c r="AT69" s="317"/>
      <c r="AU69" s="320"/>
      <c r="AV69" s="320"/>
      <c r="AW69" s="317" t="e">
        <f t="shared" si="17"/>
        <v>#N/A</v>
      </c>
      <c r="AX69" s="658"/>
    </row>
    <row r="70" spans="2:50">
      <c r="B70" s="627"/>
      <c r="C70" s="317">
        <v>29</v>
      </c>
      <c r="D70" s="228"/>
      <c r="E70" s="183"/>
      <c r="F70" s="317"/>
      <c r="G70" s="320"/>
      <c r="H70" s="662"/>
      <c r="I70" s="203"/>
      <c r="J70" s="203"/>
      <c r="K70" s="203"/>
      <c r="L70" s="601"/>
      <c r="M70" s="200" t="e">
        <f>RANK(K70, K$42:$K$71)</f>
        <v>#N/A</v>
      </c>
      <c r="N70" s="619"/>
      <c r="O70" s="619"/>
      <c r="P70" s="317"/>
      <c r="Q70" s="317"/>
      <c r="R70" s="317"/>
      <c r="S70" s="317" t="e">
        <f t="shared" si="11"/>
        <v>#N/A</v>
      </c>
      <c r="T70" s="658"/>
      <c r="U70" s="317"/>
      <c r="V70" s="317"/>
      <c r="W70" s="317"/>
      <c r="X70" s="317" t="e">
        <f t="shared" si="12"/>
        <v>#N/A</v>
      </c>
      <c r="Y70" s="658"/>
      <c r="Z70" s="317"/>
      <c r="AA70" s="317"/>
      <c r="AB70" s="317"/>
      <c r="AC70" s="317" t="e">
        <f t="shared" si="13"/>
        <v>#N/A</v>
      </c>
      <c r="AD70" s="658"/>
      <c r="AE70" s="317"/>
      <c r="AF70" s="317"/>
      <c r="AG70" s="317"/>
      <c r="AH70" s="317" t="e">
        <f t="shared" si="14"/>
        <v>#N/A</v>
      </c>
      <c r="AI70" s="658"/>
      <c r="AJ70" s="317"/>
      <c r="AK70" s="317"/>
      <c r="AL70" s="317"/>
      <c r="AM70" s="317" t="e">
        <f t="shared" si="15"/>
        <v>#N/A</v>
      </c>
      <c r="AN70" s="658"/>
      <c r="AO70" s="317"/>
      <c r="AP70" s="317"/>
      <c r="AQ70" s="317"/>
      <c r="AR70" s="317" t="e">
        <f t="shared" si="16"/>
        <v>#N/A</v>
      </c>
      <c r="AS70" s="658"/>
      <c r="AT70" s="317"/>
      <c r="AU70" s="317"/>
      <c r="AV70" s="317"/>
      <c r="AW70" s="317" t="e">
        <f t="shared" si="17"/>
        <v>#N/A</v>
      </c>
      <c r="AX70" s="658"/>
    </row>
    <row r="71" spans="2:50">
      <c r="B71" s="627"/>
      <c r="C71" s="317">
        <v>30</v>
      </c>
      <c r="D71" s="228"/>
      <c r="E71" s="183"/>
      <c r="F71" s="317"/>
      <c r="G71" s="320"/>
      <c r="H71" s="663"/>
      <c r="I71" s="203"/>
      <c r="J71" s="203"/>
      <c r="K71" s="203"/>
      <c r="L71" s="602"/>
      <c r="M71" s="200" t="e">
        <f>RANK(K71, K$42:$K$71)</f>
        <v>#N/A</v>
      </c>
      <c r="N71" s="619"/>
      <c r="O71" s="619"/>
      <c r="P71" s="317"/>
      <c r="Q71" s="317"/>
      <c r="R71" s="317"/>
      <c r="S71" s="317" t="e">
        <f t="shared" si="11"/>
        <v>#N/A</v>
      </c>
      <c r="T71" s="658"/>
      <c r="U71" s="317"/>
      <c r="V71" s="317"/>
      <c r="W71" s="317"/>
      <c r="X71" s="317" t="e">
        <f t="shared" si="12"/>
        <v>#N/A</v>
      </c>
      <c r="Y71" s="658"/>
      <c r="Z71" s="317"/>
      <c r="AA71" s="317"/>
      <c r="AB71" s="317"/>
      <c r="AC71" s="317" t="e">
        <f t="shared" si="13"/>
        <v>#N/A</v>
      </c>
      <c r="AD71" s="658"/>
      <c r="AE71" s="317"/>
      <c r="AF71" s="317"/>
      <c r="AG71" s="317"/>
      <c r="AH71" s="317" t="e">
        <f t="shared" si="14"/>
        <v>#N/A</v>
      </c>
      <c r="AI71" s="658"/>
      <c r="AJ71" s="317"/>
      <c r="AK71" s="317"/>
      <c r="AL71" s="317"/>
      <c r="AM71" s="317" t="e">
        <f t="shared" si="15"/>
        <v>#N/A</v>
      </c>
      <c r="AN71" s="658"/>
      <c r="AO71" s="317"/>
      <c r="AP71" s="317"/>
      <c r="AQ71" s="317"/>
      <c r="AR71" s="317" t="e">
        <f t="shared" si="16"/>
        <v>#N/A</v>
      </c>
      <c r="AS71" s="658"/>
      <c r="AT71" s="317"/>
      <c r="AU71" s="317"/>
      <c r="AV71" s="317"/>
      <c r="AW71" s="317" t="e">
        <f t="shared" si="17"/>
        <v>#N/A</v>
      </c>
      <c r="AX71" s="658"/>
    </row>
    <row r="72" spans="2:50" ht="15.5">
      <c r="B72" s="644" t="s">
        <v>163</v>
      </c>
      <c r="C72" s="645"/>
      <c r="D72" s="645"/>
      <c r="E72" s="645"/>
      <c r="F72" s="645"/>
      <c r="G72" s="645"/>
      <c r="H72" s="645"/>
      <c r="I72" s="209"/>
      <c r="J72" s="204"/>
      <c r="K72" s="209"/>
      <c r="L72" s="209"/>
      <c r="M72" s="205"/>
      <c r="N72" s="620" t="s">
        <v>156</v>
      </c>
      <c r="O72" s="620" t="s">
        <v>105</v>
      </c>
      <c r="P72" s="626">
        <f>P37+7</f>
        <v>46000</v>
      </c>
      <c r="Q72" s="627"/>
      <c r="R72" s="627"/>
      <c r="S72" s="627"/>
      <c r="T72" s="627"/>
      <c r="U72" s="623">
        <f>P72+1</f>
        <v>46001</v>
      </c>
      <c r="V72" s="624"/>
      <c r="W72" s="624"/>
      <c r="X72" s="624"/>
      <c r="Y72" s="625"/>
      <c r="Z72" s="623">
        <f>U72+1</f>
        <v>46002</v>
      </c>
      <c r="AA72" s="624"/>
      <c r="AB72" s="624"/>
      <c r="AC72" s="624"/>
      <c r="AD72" s="625"/>
      <c r="AE72" s="623">
        <f>Z72+1</f>
        <v>46003</v>
      </c>
      <c r="AF72" s="624"/>
      <c r="AG72" s="624"/>
      <c r="AH72" s="624"/>
      <c r="AI72" s="625"/>
      <c r="AJ72" s="623">
        <f>AE72+1</f>
        <v>46004</v>
      </c>
      <c r="AK72" s="624"/>
      <c r="AL72" s="624"/>
      <c r="AM72" s="624"/>
      <c r="AN72" s="625"/>
      <c r="AO72" s="623">
        <f>AJ72+1</f>
        <v>46005</v>
      </c>
      <c r="AP72" s="624"/>
      <c r="AQ72" s="624"/>
      <c r="AR72" s="624"/>
      <c r="AS72" s="625"/>
      <c r="AT72" s="623">
        <f>AO72+1</f>
        <v>46006</v>
      </c>
      <c r="AU72" s="624"/>
      <c r="AV72" s="624"/>
      <c r="AW72" s="624"/>
      <c r="AX72" s="625"/>
    </row>
    <row r="73" spans="2:50" ht="15.5">
      <c r="B73" s="634"/>
      <c r="C73" s="634"/>
      <c r="D73" s="634"/>
      <c r="E73" s="634"/>
      <c r="F73" s="634"/>
      <c r="G73" s="634"/>
      <c r="H73" s="634"/>
      <c r="I73" s="206"/>
      <c r="J73" s="206"/>
      <c r="K73" s="206"/>
      <c r="L73" s="206"/>
      <c r="M73" s="207"/>
      <c r="N73" s="622"/>
      <c r="O73" s="622"/>
      <c r="P73" s="626" t="s">
        <v>336</v>
      </c>
      <c r="Q73" s="627"/>
      <c r="R73" s="627"/>
      <c r="S73" s="627"/>
      <c r="T73" s="627"/>
      <c r="U73" s="626" t="s">
        <v>337</v>
      </c>
      <c r="V73" s="627"/>
      <c r="W73" s="627"/>
      <c r="X73" s="627"/>
      <c r="Y73" s="627"/>
      <c r="Z73" s="626" t="s">
        <v>338</v>
      </c>
      <c r="AA73" s="627"/>
      <c r="AB73" s="627"/>
      <c r="AC73" s="627"/>
      <c r="AD73" s="627"/>
      <c r="AE73" s="626" t="s">
        <v>339</v>
      </c>
      <c r="AF73" s="627"/>
      <c r="AG73" s="627"/>
      <c r="AH73" s="627"/>
      <c r="AI73" s="627"/>
      <c r="AJ73" s="626" t="s">
        <v>340</v>
      </c>
      <c r="AK73" s="627"/>
      <c r="AL73" s="627"/>
      <c r="AM73" s="627"/>
      <c r="AN73" s="627"/>
      <c r="AO73" s="626" t="s">
        <v>341</v>
      </c>
      <c r="AP73" s="627"/>
      <c r="AQ73" s="627"/>
      <c r="AR73" s="627"/>
      <c r="AS73" s="627"/>
      <c r="AT73" s="626" t="s">
        <v>342</v>
      </c>
      <c r="AU73" s="627"/>
      <c r="AV73" s="627"/>
      <c r="AW73" s="627"/>
      <c r="AX73" s="627"/>
    </row>
    <row r="74" spans="2:50">
      <c r="B74" s="619" t="s">
        <v>502</v>
      </c>
      <c r="C74" s="619" t="s">
        <v>503</v>
      </c>
      <c r="D74" s="619"/>
      <c r="E74" s="619" t="s">
        <v>504</v>
      </c>
      <c r="F74" s="619"/>
      <c r="G74" s="619"/>
      <c r="H74" s="635" t="s">
        <v>505</v>
      </c>
      <c r="I74" s="603" t="s">
        <v>506</v>
      </c>
      <c r="J74" s="603"/>
      <c r="K74" s="603"/>
      <c r="L74" s="604" t="s">
        <v>505</v>
      </c>
      <c r="M74" s="610" t="s">
        <v>507</v>
      </c>
      <c r="N74" s="619"/>
      <c r="O74" s="619" t="s">
        <v>508</v>
      </c>
      <c r="P74" s="616" t="s">
        <v>509</v>
      </c>
      <c r="Q74" s="617"/>
      <c r="R74" s="617"/>
      <c r="S74" s="618"/>
      <c r="T74" s="619" t="s">
        <v>505</v>
      </c>
      <c r="U74" s="616" t="s">
        <v>509</v>
      </c>
      <c r="V74" s="617"/>
      <c r="W74" s="617"/>
      <c r="X74" s="618"/>
      <c r="Y74" s="619" t="s">
        <v>505</v>
      </c>
      <c r="Z74" s="616" t="s">
        <v>509</v>
      </c>
      <c r="AA74" s="617"/>
      <c r="AB74" s="617"/>
      <c r="AC74" s="618"/>
      <c r="AD74" s="619" t="s">
        <v>505</v>
      </c>
      <c r="AE74" s="616" t="s">
        <v>509</v>
      </c>
      <c r="AF74" s="617"/>
      <c r="AG74" s="617"/>
      <c r="AH74" s="618"/>
      <c r="AI74" s="619" t="s">
        <v>505</v>
      </c>
      <c r="AJ74" s="616" t="s">
        <v>509</v>
      </c>
      <c r="AK74" s="617"/>
      <c r="AL74" s="617"/>
      <c r="AM74" s="618"/>
      <c r="AN74" s="619" t="s">
        <v>505</v>
      </c>
      <c r="AO74" s="616" t="s">
        <v>509</v>
      </c>
      <c r="AP74" s="617"/>
      <c r="AQ74" s="617"/>
      <c r="AR74" s="618"/>
      <c r="AS74" s="619" t="s">
        <v>505</v>
      </c>
      <c r="AT74" s="616" t="s">
        <v>509</v>
      </c>
      <c r="AU74" s="617"/>
      <c r="AV74" s="617"/>
      <c r="AW74" s="618"/>
      <c r="AX74" s="619" t="s">
        <v>505</v>
      </c>
    </row>
    <row r="75" spans="2:50">
      <c r="B75" s="619"/>
      <c r="C75" s="619"/>
      <c r="D75" s="619"/>
      <c r="E75" s="619" t="s">
        <v>510</v>
      </c>
      <c r="F75" s="619"/>
      <c r="G75" s="619"/>
      <c r="H75" s="636"/>
      <c r="I75" s="603" t="s">
        <v>510</v>
      </c>
      <c r="J75" s="603"/>
      <c r="K75" s="603"/>
      <c r="L75" s="605"/>
      <c r="M75" s="611"/>
      <c r="N75" s="619"/>
      <c r="O75" s="619"/>
      <c r="P75" s="616" t="s">
        <v>511</v>
      </c>
      <c r="Q75" s="617"/>
      <c r="R75" s="617"/>
      <c r="S75" s="618"/>
      <c r="T75" s="619"/>
      <c r="U75" s="616" t="s">
        <v>511</v>
      </c>
      <c r="V75" s="617"/>
      <c r="W75" s="617"/>
      <c r="X75" s="618"/>
      <c r="Y75" s="619"/>
      <c r="Z75" s="616" t="s">
        <v>511</v>
      </c>
      <c r="AA75" s="617"/>
      <c r="AB75" s="617"/>
      <c r="AC75" s="618"/>
      <c r="AD75" s="619"/>
      <c r="AE75" s="616" t="s">
        <v>511</v>
      </c>
      <c r="AF75" s="617"/>
      <c r="AG75" s="617"/>
      <c r="AH75" s="618"/>
      <c r="AI75" s="619"/>
      <c r="AJ75" s="616" t="s">
        <v>511</v>
      </c>
      <c r="AK75" s="617"/>
      <c r="AL75" s="617"/>
      <c r="AM75" s="618"/>
      <c r="AN75" s="619"/>
      <c r="AO75" s="616" t="s">
        <v>511</v>
      </c>
      <c r="AP75" s="617"/>
      <c r="AQ75" s="617"/>
      <c r="AR75" s="618"/>
      <c r="AS75" s="619"/>
      <c r="AT75" s="616" t="s">
        <v>511</v>
      </c>
      <c r="AU75" s="617"/>
      <c r="AV75" s="617"/>
      <c r="AW75" s="618"/>
      <c r="AX75" s="619"/>
    </row>
    <row r="76" spans="2:50">
      <c r="B76" s="619"/>
      <c r="C76" s="619"/>
      <c r="D76" s="619"/>
      <c r="E76" s="316" t="s">
        <v>512</v>
      </c>
      <c r="F76" s="316" t="s">
        <v>513</v>
      </c>
      <c r="G76" s="316" t="s">
        <v>514</v>
      </c>
      <c r="H76" s="637"/>
      <c r="I76" s="315" t="s">
        <v>512</v>
      </c>
      <c r="J76" s="315" t="s">
        <v>513</v>
      </c>
      <c r="K76" s="315" t="s">
        <v>514</v>
      </c>
      <c r="L76" s="606"/>
      <c r="M76" s="612"/>
      <c r="N76" s="619"/>
      <c r="O76" s="619"/>
      <c r="P76" s="316" t="s">
        <v>512</v>
      </c>
      <c r="Q76" s="316" t="s">
        <v>513</v>
      </c>
      <c r="R76" s="316" t="s">
        <v>514</v>
      </c>
      <c r="S76" s="316" t="s">
        <v>507</v>
      </c>
      <c r="T76" s="619"/>
      <c r="U76" s="316" t="s">
        <v>512</v>
      </c>
      <c r="V76" s="316" t="s">
        <v>513</v>
      </c>
      <c r="W76" s="316" t="s">
        <v>514</v>
      </c>
      <c r="X76" s="316" t="s">
        <v>507</v>
      </c>
      <c r="Y76" s="619"/>
      <c r="Z76" s="316" t="s">
        <v>512</v>
      </c>
      <c r="AA76" s="316" t="s">
        <v>513</v>
      </c>
      <c r="AB76" s="316" t="s">
        <v>514</v>
      </c>
      <c r="AC76" s="316" t="s">
        <v>507</v>
      </c>
      <c r="AD76" s="619"/>
      <c r="AE76" s="316" t="s">
        <v>512</v>
      </c>
      <c r="AF76" s="316" t="s">
        <v>513</v>
      </c>
      <c r="AG76" s="316" t="s">
        <v>514</v>
      </c>
      <c r="AH76" s="316" t="s">
        <v>507</v>
      </c>
      <c r="AI76" s="619"/>
      <c r="AJ76" s="316" t="s">
        <v>512</v>
      </c>
      <c r="AK76" s="316" t="s">
        <v>513</v>
      </c>
      <c r="AL76" s="316" t="s">
        <v>514</v>
      </c>
      <c r="AM76" s="316" t="s">
        <v>507</v>
      </c>
      <c r="AN76" s="619"/>
      <c r="AO76" s="316" t="s">
        <v>512</v>
      </c>
      <c r="AP76" s="316" t="s">
        <v>513</v>
      </c>
      <c r="AQ76" s="316" t="s">
        <v>514</v>
      </c>
      <c r="AR76" s="316" t="s">
        <v>507</v>
      </c>
      <c r="AS76" s="619"/>
      <c r="AT76" s="316" t="s">
        <v>512</v>
      </c>
      <c r="AU76" s="316" t="s">
        <v>513</v>
      </c>
      <c r="AV76" s="316" t="s">
        <v>514</v>
      </c>
      <c r="AW76" s="316" t="s">
        <v>507</v>
      </c>
      <c r="AX76" s="619"/>
    </row>
    <row r="77" spans="2:50">
      <c r="B77" s="619" t="s">
        <v>515</v>
      </c>
      <c r="C77" s="317">
        <v>1</v>
      </c>
      <c r="D77" s="228" t="s">
        <v>376</v>
      </c>
      <c r="E77" s="183">
        <v>6</v>
      </c>
      <c r="F77" s="317">
        <v>1500</v>
      </c>
      <c r="G77" s="320">
        <v>250</v>
      </c>
      <c r="H77" s="661">
        <f>AVERAGE(G77:G106)</f>
        <v>100.64</v>
      </c>
      <c r="I77" s="200">
        <f>AVERAGE(P77,U77,Z77,AE77,AJ77,AO77,AT77)</f>
        <v>6</v>
      </c>
      <c r="J77" s="200">
        <f>AVERAGE(Q77,V77,AA77,AF77,AK77,AP77,AU77)</f>
        <v>1505.3310446180676</v>
      </c>
      <c r="K77" s="201">
        <f>AVERAGE(R77,W77,AB77,AG77,AL77,AQ77,AV77)</f>
        <v>250.88850743634458</v>
      </c>
      <c r="L77" s="600">
        <f>IFERROR(AVERAGE(K77:K106),"-")</f>
        <v>86.526635419121106</v>
      </c>
      <c r="M77" s="202">
        <f>RANK(K77, K$77:$K$106)</f>
        <v>1</v>
      </c>
      <c r="N77" s="619"/>
      <c r="O77" s="619"/>
      <c r="P77" s="183">
        <v>6</v>
      </c>
      <c r="Q77" s="183">
        <v>1480.7273684210529</v>
      </c>
      <c r="R77" s="183">
        <v>246.78789473684216</v>
      </c>
      <c r="S77" s="317">
        <f>RANK(R77, R$77:R$106)</f>
        <v>1</v>
      </c>
      <c r="T77" s="658">
        <f>AVERAGE(R77:R106)</f>
        <v>86.8946970010483</v>
      </c>
      <c r="U77" s="183">
        <v>6</v>
      </c>
      <c r="V77" s="183">
        <v>1524.8152173913045</v>
      </c>
      <c r="W77" s="183">
        <v>254.1358695652174</v>
      </c>
      <c r="X77" s="343">
        <f>RANK(W77, W$77:W$106)</f>
        <v>1</v>
      </c>
      <c r="Y77" s="658">
        <f>AVERAGE(W77:W106)</f>
        <v>87.391056059005081</v>
      </c>
      <c r="Z77" s="183">
        <v>6</v>
      </c>
      <c r="AA77" s="183">
        <v>1538.3892857142857</v>
      </c>
      <c r="AB77" s="183">
        <v>256.39821428571429</v>
      </c>
      <c r="AC77" s="343">
        <f>RANK(AB77, AB$77:AB$106)</f>
        <v>1</v>
      </c>
      <c r="AD77" s="658">
        <f>AVERAGE(AB77:AB106)</f>
        <v>86.187108459619921</v>
      </c>
      <c r="AE77" s="183">
        <v>6</v>
      </c>
      <c r="AF77" s="183">
        <v>1501.0806629834251</v>
      </c>
      <c r="AG77" s="183">
        <v>250.18011049723751</v>
      </c>
      <c r="AH77" s="343">
        <f>RANK(AG77, AG$77:AG$106)</f>
        <v>1</v>
      </c>
      <c r="AI77" s="658">
        <f>AVERAGE(AG77:AG106)</f>
        <v>85.421304649320518</v>
      </c>
      <c r="AJ77" s="183">
        <v>6</v>
      </c>
      <c r="AK77" s="183">
        <v>1488.2078212290501</v>
      </c>
      <c r="AL77" s="183">
        <v>248.03463687150835</v>
      </c>
      <c r="AM77" s="343">
        <f>RANK(AL77, AL$77:AL$106)</f>
        <v>1</v>
      </c>
      <c r="AN77" s="658">
        <f>AVERAGE(AL77:AL106)</f>
        <v>85.800562372963327</v>
      </c>
      <c r="AO77" s="183">
        <v>6</v>
      </c>
      <c r="AP77" s="183">
        <v>1507.299029126214</v>
      </c>
      <c r="AQ77" s="183">
        <v>251.21650485436899</v>
      </c>
      <c r="AR77" s="343">
        <f>RANK(AQ77, AQ$77:AQ$106)</f>
        <v>1</v>
      </c>
      <c r="AS77" s="658">
        <f>AVERAGE(AQ77:AQ106)</f>
        <v>87.480365850454092</v>
      </c>
      <c r="AT77" s="183">
        <v>6</v>
      </c>
      <c r="AU77" s="183">
        <v>1496.7979274611403</v>
      </c>
      <c r="AV77" s="183">
        <v>249.46632124352337</v>
      </c>
      <c r="AW77" s="343">
        <f>RANK(AV77, AV$77:AV$106)</f>
        <v>1</v>
      </c>
      <c r="AX77" s="658">
        <f>AVERAGE(AV77:AV106)</f>
        <v>86.511353541436662</v>
      </c>
    </row>
    <row r="78" spans="2:50">
      <c r="B78" s="627"/>
      <c r="C78" s="317">
        <v>2</v>
      </c>
      <c r="D78" s="228" t="s">
        <v>400</v>
      </c>
      <c r="E78" s="183">
        <v>6</v>
      </c>
      <c r="F78" s="317">
        <v>1500</v>
      </c>
      <c r="G78" s="320">
        <v>250</v>
      </c>
      <c r="H78" s="662"/>
      <c r="I78" s="200">
        <f t="shared" ref="I78:I99" si="24">AVERAGE(P78,U78,Z78,AE78,AJ78,AO78,AT78)</f>
        <v>7</v>
      </c>
      <c r="J78" s="200">
        <f t="shared" ref="J78:J99" si="25">AVERAGE(Q78,V78,AA78,AF78,AK78,AP78,AU78)</f>
        <v>1442.3585400625248</v>
      </c>
      <c r="K78" s="201">
        <f t="shared" ref="K78:K99" si="26">AVERAGE(R78,W78,AB78,AG78,AL78,AQ78,AV78)</f>
        <v>206.05122000893206</v>
      </c>
      <c r="L78" s="601"/>
      <c r="M78" s="202">
        <f>RANK(K78, K$77:$K$106)</f>
        <v>2</v>
      </c>
      <c r="N78" s="619"/>
      <c r="O78" s="619"/>
      <c r="P78" s="183">
        <v>7</v>
      </c>
      <c r="Q78" s="183">
        <v>1474.2</v>
      </c>
      <c r="R78" s="183">
        <v>210.6</v>
      </c>
      <c r="S78" s="343">
        <f t="shared" ref="S78:S106" si="27">RANK(R78, R$77:R$106)</f>
        <v>2</v>
      </c>
      <c r="T78" s="658"/>
      <c r="U78" s="183">
        <v>7</v>
      </c>
      <c r="V78" s="183">
        <v>1438.8235294117646</v>
      </c>
      <c r="W78" s="183">
        <v>205.54621848739495</v>
      </c>
      <c r="X78" s="343">
        <f t="shared" ref="X78:X106" si="28">RANK(W78, W$77:W$106)</f>
        <v>2</v>
      </c>
      <c r="Y78" s="658"/>
      <c r="Z78" s="183">
        <v>7</v>
      </c>
      <c r="AA78" s="183">
        <v>1448.2352941176471</v>
      </c>
      <c r="AB78" s="183">
        <v>206.890756302521</v>
      </c>
      <c r="AC78" s="343">
        <f t="shared" ref="AC78:AC106" si="29">RANK(AB78, AB$77:AB$106)</f>
        <v>2</v>
      </c>
      <c r="AD78" s="658"/>
      <c r="AE78" s="183">
        <v>7</v>
      </c>
      <c r="AF78" s="183">
        <v>1426.5168539325841</v>
      </c>
      <c r="AG78" s="183">
        <v>203.78812199036915</v>
      </c>
      <c r="AH78" s="343">
        <f t="shared" ref="AH78:AH106" si="30">RANK(AG78, AG$77:AG$106)</f>
        <v>2</v>
      </c>
      <c r="AI78" s="658"/>
      <c r="AJ78" s="183">
        <v>7</v>
      </c>
      <c r="AK78" s="183">
        <v>1417.5824175824177</v>
      </c>
      <c r="AL78" s="183">
        <v>202.51177394034539</v>
      </c>
      <c r="AM78" s="343">
        <f t="shared" ref="AM78:AM106" si="31">RANK(AL78, AL$77:AL$106)</f>
        <v>2</v>
      </c>
      <c r="AN78" s="658"/>
      <c r="AO78" s="183">
        <v>7</v>
      </c>
      <c r="AP78" s="183">
        <v>1438.6516853932585</v>
      </c>
      <c r="AQ78" s="183">
        <v>205.52166934189407</v>
      </c>
      <c r="AR78" s="343">
        <f t="shared" ref="AR78:AR106" si="32">RANK(AQ78, AQ$77:AQ$106)</f>
        <v>2</v>
      </c>
      <c r="AS78" s="658"/>
      <c r="AT78" s="183">
        <v>7</v>
      </c>
      <c r="AU78" s="183">
        <v>1452.4999999999998</v>
      </c>
      <c r="AV78" s="183">
        <v>207.49999999999997</v>
      </c>
      <c r="AW78" s="343">
        <f t="shared" ref="AW78:AW106" si="33">RANK(AV78, AV$77:AV$106)</f>
        <v>2</v>
      </c>
      <c r="AX78" s="658"/>
    </row>
    <row r="79" spans="2:50">
      <c r="B79" s="627"/>
      <c r="C79" s="317">
        <v>3</v>
      </c>
      <c r="D79" s="228" t="s">
        <v>377</v>
      </c>
      <c r="E79" s="183">
        <v>17</v>
      </c>
      <c r="F79" s="317">
        <v>1500</v>
      </c>
      <c r="G79" s="320">
        <v>88.2</v>
      </c>
      <c r="H79" s="662"/>
      <c r="I79" s="200">
        <f t="shared" si="24"/>
        <v>17</v>
      </c>
      <c r="J79" s="200">
        <f t="shared" si="25"/>
        <v>1295.9978657738304</v>
      </c>
      <c r="K79" s="201">
        <f t="shared" si="26"/>
        <v>76.235168574931208</v>
      </c>
      <c r="L79" s="601"/>
      <c r="M79" s="202">
        <f>RANK(K79, K$77:$K$106)</f>
        <v>12</v>
      </c>
      <c r="N79" s="619"/>
      <c r="O79" s="619"/>
      <c r="P79" s="183">
        <v>17</v>
      </c>
      <c r="Q79" s="183">
        <v>1297.3170731707312</v>
      </c>
      <c r="R79" s="183">
        <v>76.312769010043013</v>
      </c>
      <c r="S79" s="343">
        <f t="shared" si="27"/>
        <v>12</v>
      </c>
      <c r="T79" s="658"/>
      <c r="U79" s="183">
        <v>17</v>
      </c>
      <c r="V79" s="183">
        <v>1278.9873417721526</v>
      </c>
      <c r="W79" s="183">
        <v>75.234549516008983</v>
      </c>
      <c r="X79" s="343">
        <f t="shared" si="28"/>
        <v>14</v>
      </c>
      <c r="Y79" s="658"/>
      <c r="Z79" s="183">
        <v>17</v>
      </c>
      <c r="AA79" s="183">
        <v>1315.3246753246758</v>
      </c>
      <c r="AB79" s="183">
        <v>77.372039724980937</v>
      </c>
      <c r="AC79" s="343">
        <f t="shared" si="29"/>
        <v>11</v>
      </c>
      <c r="AD79" s="658"/>
      <c r="AE79" s="183">
        <v>17</v>
      </c>
      <c r="AF79" s="183">
        <v>1283.9999999999995</v>
      </c>
      <c r="AG79" s="183">
        <v>75.529411764705856</v>
      </c>
      <c r="AH79" s="343">
        <f t="shared" si="30"/>
        <v>11</v>
      </c>
      <c r="AI79" s="658"/>
      <c r="AJ79" s="183">
        <v>17</v>
      </c>
      <c r="AK79" s="183">
        <v>1278.8059701492537</v>
      </c>
      <c r="AL79" s="183">
        <v>75.223880597014926</v>
      </c>
      <c r="AM79" s="343">
        <f t="shared" si="31"/>
        <v>11</v>
      </c>
      <c r="AN79" s="658"/>
      <c r="AO79" s="183">
        <v>17</v>
      </c>
      <c r="AP79" s="183">
        <v>1308.8000000000006</v>
      </c>
      <c r="AQ79" s="183">
        <v>76.988235294117686</v>
      </c>
      <c r="AR79" s="343">
        <f t="shared" si="32"/>
        <v>11</v>
      </c>
      <c r="AS79" s="658"/>
      <c r="AT79" s="183">
        <v>17</v>
      </c>
      <c r="AU79" s="183">
        <v>1308.7499999999995</v>
      </c>
      <c r="AV79" s="183">
        <v>76.98529411764703</v>
      </c>
      <c r="AW79" s="343">
        <f t="shared" si="33"/>
        <v>11</v>
      </c>
      <c r="AX79" s="658"/>
    </row>
    <row r="80" spans="2:50">
      <c r="B80" s="627"/>
      <c r="C80" s="317">
        <v>4</v>
      </c>
      <c r="D80" s="228" t="s">
        <v>357</v>
      </c>
      <c r="E80" s="183">
        <v>21</v>
      </c>
      <c r="F80" s="317">
        <v>1500</v>
      </c>
      <c r="G80" s="320">
        <v>71.400000000000006</v>
      </c>
      <c r="H80" s="662"/>
      <c r="I80" s="200">
        <f t="shared" si="24"/>
        <v>20</v>
      </c>
      <c r="J80" s="200">
        <f t="shared" si="25"/>
        <v>1284.7893347097499</v>
      </c>
      <c r="K80" s="201">
        <f t="shared" si="26"/>
        <v>64.239466735487483</v>
      </c>
      <c r="L80" s="601"/>
      <c r="M80" s="202">
        <f>RANK(K80, K$77:$K$106)</f>
        <v>24</v>
      </c>
      <c r="N80" s="619"/>
      <c r="O80" s="619"/>
      <c r="P80" s="183">
        <v>20</v>
      </c>
      <c r="Q80" s="183">
        <v>1275.6000000000004</v>
      </c>
      <c r="R80" s="183">
        <v>63.780000000000015</v>
      </c>
      <c r="S80" s="343">
        <f t="shared" si="27"/>
        <v>24</v>
      </c>
      <c r="T80" s="658"/>
      <c r="U80" s="183">
        <v>20</v>
      </c>
      <c r="V80" s="183">
        <v>1286.2500000000005</v>
      </c>
      <c r="W80" s="183">
        <v>64.312500000000028</v>
      </c>
      <c r="X80" s="343">
        <f t="shared" si="28"/>
        <v>24</v>
      </c>
      <c r="Y80" s="658"/>
      <c r="Z80" s="183">
        <v>20</v>
      </c>
      <c r="AA80" s="183">
        <v>1310.4545454545455</v>
      </c>
      <c r="AB80" s="183">
        <v>65.52272727272728</v>
      </c>
      <c r="AC80" s="343">
        <f t="shared" si="29"/>
        <v>22</v>
      </c>
      <c r="AD80" s="658"/>
      <c r="AE80" s="183">
        <v>20</v>
      </c>
      <c r="AF80" s="183">
        <v>1271.7073170731703</v>
      </c>
      <c r="AG80" s="183">
        <v>63.585365853658516</v>
      </c>
      <c r="AH80" s="343">
        <f t="shared" si="30"/>
        <v>24</v>
      </c>
      <c r="AI80" s="658"/>
      <c r="AJ80" s="183">
        <v>20</v>
      </c>
      <c r="AK80" s="183">
        <v>1288.6363636363635</v>
      </c>
      <c r="AL80" s="183">
        <v>64.431818181818173</v>
      </c>
      <c r="AM80" s="343">
        <f t="shared" si="31"/>
        <v>24</v>
      </c>
      <c r="AN80" s="658"/>
      <c r="AO80" s="183">
        <v>20</v>
      </c>
      <c r="AP80" s="183">
        <v>1271.489361702128</v>
      </c>
      <c r="AQ80" s="183">
        <v>63.574468085106403</v>
      </c>
      <c r="AR80" s="343">
        <f t="shared" si="32"/>
        <v>24</v>
      </c>
      <c r="AS80" s="658"/>
      <c r="AT80" s="183">
        <v>20</v>
      </c>
      <c r="AU80" s="183">
        <v>1289.3877551020412</v>
      </c>
      <c r="AV80" s="183">
        <v>64.469387755102062</v>
      </c>
      <c r="AW80" s="343">
        <f t="shared" si="33"/>
        <v>24</v>
      </c>
      <c r="AX80" s="658"/>
    </row>
    <row r="81" spans="2:50">
      <c r="B81" s="627"/>
      <c r="C81" s="317">
        <v>5</v>
      </c>
      <c r="D81" s="228" t="s">
        <v>355</v>
      </c>
      <c r="E81" s="183">
        <v>16</v>
      </c>
      <c r="F81" s="317">
        <v>1500</v>
      </c>
      <c r="G81" s="320">
        <v>93.8</v>
      </c>
      <c r="H81" s="662"/>
      <c r="I81" s="200">
        <f t="shared" si="24"/>
        <v>16</v>
      </c>
      <c r="J81" s="200">
        <f t="shared" si="25"/>
        <v>1278.03979641094</v>
      </c>
      <c r="K81" s="201">
        <f t="shared" si="26"/>
        <v>79.877487275683748</v>
      </c>
      <c r="L81" s="601"/>
      <c r="M81" s="202">
        <f>RANK(K81, K$77:$K$106)</f>
        <v>7</v>
      </c>
      <c r="N81" s="619"/>
      <c r="O81" s="619"/>
      <c r="P81" s="183">
        <v>16</v>
      </c>
      <c r="Q81" s="183">
        <v>1275.5555555555561</v>
      </c>
      <c r="R81" s="183">
        <v>79.722222222222257</v>
      </c>
      <c r="S81" s="343">
        <f t="shared" si="27"/>
        <v>9</v>
      </c>
      <c r="T81" s="658"/>
      <c r="U81" s="183">
        <v>16</v>
      </c>
      <c r="V81" s="183">
        <v>1272.0000000000005</v>
      </c>
      <c r="W81" s="183">
        <v>79.500000000000028</v>
      </c>
      <c r="X81" s="343">
        <f t="shared" si="28"/>
        <v>9</v>
      </c>
      <c r="Y81" s="658"/>
      <c r="Z81" s="183">
        <v>16</v>
      </c>
      <c r="AA81" s="183">
        <v>1278.3673469387759</v>
      </c>
      <c r="AB81" s="183">
        <v>79.897959183673493</v>
      </c>
      <c r="AC81" s="343">
        <f t="shared" si="29"/>
        <v>9</v>
      </c>
      <c r="AD81" s="658"/>
      <c r="AE81" s="183">
        <v>16</v>
      </c>
      <c r="AF81" s="183">
        <v>1262.7906976744184</v>
      </c>
      <c r="AG81" s="183">
        <v>78.924418604651152</v>
      </c>
      <c r="AH81" s="343">
        <f t="shared" si="30"/>
        <v>6</v>
      </c>
      <c r="AI81" s="658"/>
      <c r="AJ81" s="183">
        <v>16</v>
      </c>
      <c r="AK81" s="183">
        <v>1288.1632653061229</v>
      </c>
      <c r="AL81" s="183">
        <v>80.510204081632679</v>
      </c>
      <c r="AM81" s="343">
        <f t="shared" si="31"/>
        <v>8</v>
      </c>
      <c r="AN81" s="658"/>
      <c r="AO81" s="183">
        <v>16</v>
      </c>
      <c r="AP81" s="183">
        <v>1303.8461538461524</v>
      </c>
      <c r="AQ81" s="183">
        <v>81.490384615384528</v>
      </c>
      <c r="AR81" s="343">
        <f t="shared" si="32"/>
        <v>6</v>
      </c>
      <c r="AS81" s="658"/>
      <c r="AT81" s="183">
        <v>16</v>
      </c>
      <c r="AU81" s="183">
        <v>1265.5555555555545</v>
      </c>
      <c r="AV81" s="183">
        <v>79.097222222222157</v>
      </c>
      <c r="AW81" s="343">
        <f t="shared" si="33"/>
        <v>9</v>
      </c>
      <c r="AX81" s="658"/>
    </row>
    <row r="82" spans="2:50">
      <c r="B82" s="627"/>
      <c r="C82" s="317">
        <v>6</v>
      </c>
      <c r="D82" s="228" t="s">
        <v>384</v>
      </c>
      <c r="E82" s="183">
        <v>15</v>
      </c>
      <c r="F82" s="317">
        <v>1565</v>
      </c>
      <c r="G82" s="320">
        <v>104.3</v>
      </c>
      <c r="H82" s="662"/>
      <c r="I82" s="200">
        <f t="shared" si="24"/>
        <v>15</v>
      </c>
      <c r="J82" s="200">
        <f t="shared" si="25"/>
        <v>1343.7285645210773</v>
      </c>
      <c r="K82" s="201">
        <f t="shared" si="26"/>
        <v>89.581904301405146</v>
      </c>
      <c r="L82" s="601"/>
      <c r="M82" s="202">
        <f>RANK(K82, K$77:$K$106)</f>
        <v>3</v>
      </c>
      <c r="N82" s="619"/>
      <c r="O82" s="619"/>
      <c r="P82" s="183">
        <v>15</v>
      </c>
      <c r="Q82" s="183">
        <v>1351.7647058823527</v>
      </c>
      <c r="R82" s="183">
        <v>90.117647058823508</v>
      </c>
      <c r="S82" s="343">
        <f t="shared" si="27"/>
        <v>3</v>
      </c>
      <c r="T82" s="658"/>
      <c r="U82" s="183">
        <v>15</v>
      </c>
      <c r="V82" s="183">
        <v>1362.2222222222217</v>
      </c>
      <c r="W82" s="183">
        <v>90.814814814814781</v>
      </c>
      <c r="X82" s="343">
        <f t="shared" si="28"/>
        <v>3</v>
      </c>
      <c r="Y82" s="658"/>
      <c r="Z82" s="183">
        <v>15</v>
      </c>
      <c r="AA82" s="183">
        <v>1356.0000000000002</v>
      </c>
      <c r="AB82" s="183">
        <v>90.40000000000002</v>
      </c>
      <c r="AC82" s="343">
        <f t="shared" si="29"/>
        <v>3</v>
      </c>
      <c r="AD82" s="658"/>
      <c r="AE82" s="183">
        <v>15</v>
      </c>
      <c r="AF82" s="183">
        <v>1323.2432432432422</v>
      </c>
      <c r="AG82" s="183">
        <v>88.216216216216154</v>
      </c>
      <c r="AH82" s="343">
        <f t="shared" si="30"/>
        <v>3</v>
      </c>
      <c r="AI82" s="658"/>
      <c r="AJ82" s="183">
        <v>15</v>
      </c>
      <c r="AK82" s="183">
        <v>1336.7088607594928</v>
      </c>
      <c r="AL82" s="183">
        <v>89.11392405063286</v>
      </c>
      <c r="AM82" s="343">
        <f t="shared" si="31"/>
        <v>3</v>
      </c>
      <c r="AN82" s="658"/>
      <c r="AO82" s="183">
        <v>15</v>
      </c>
      <c r="AP82" s="183">
        <v>1344.8275862068963</v>
      </c>
      <c r="AQ82" s="183">
        <v>89.655172413793082</v>
      </c>
      <c r="AR82" s="343">
        <f t="shared" si="32"/>
        <v>3</v>
      </c>
      <c r="AS82" s="658"/>
      <c r="AT82" s="183">
        <v>15</v>
      </c>
      <c r="AU82" s="183">
        <v>1331.3333333333335</v>
      </c>
      <c r="AV82" s="183">
        <v>88.75555555555556</v>
      </c>
      <c r="AW82" s="343">
        <f t="shared" si="33"/>
        <v>3</v>
      </c>
      <c r="AX82" s="658"/>
    </row>
    <row r="83" spans="2:50">
      <c r="B83" s="627"/>
      <c r="C83" s="317">
        <v>7</v>
      </c>
      <c r="D83" s="228" t="s">
        <v>345</v>
      </c>
      <c r="E83" s="183">
        <v>14</v>
      </c>
      <c r="F83" s="317">
        <v>1440</v>
      </c>
      <c r="G83" s="320">
        <v>102.9</v>
      </c>
      <c r="H83" s="662"/>
      <c r="I83" s="200">
        <f t="shared" si="24"/>
        <v>15</v>
      </c>
      <c r="J83" s="200">
        <f t="shared" si="25"/>
        <v>1248.9207429356595</v>
      </c>
      <c r="K83" s="201">
        <f t="shared" si="26"/>
        <v>83.261382862377303</v>
      </c>
      <c r="L83" s="601"/>
      <c r="M83" s="202">
        <f>RANK(K83, K$77:$K$106)</f>
        <v>4</v>
      </c>
      <c r="N83" s="619"/>
      <c r="O83" s="619"/>
      <c r="P83" s="183">
        <v>15</v>
      </c>
      <c r="Q83" s="183">
        <v>1267.0588235294103</v>
      </c>
      <c r="R83" s="183">
        <v>84.470588235294016</v>
      </c>
      <c r="S83" s="343">
        <f t="shared" si="27"/>
        <v>4</v>
      </c>
      <c r="T83" s="658"/>
      <c r="U83" s="183">
        <v>15</v>
      </c>
      <c r="V83" s="183">
        <v>1268.823529411763</v>
      </c>
      <c r="W83" s="183">
        <v>84.588235294117538</v>
      </c>
      <c r="X83" s="343">
        <f t="shared" si="28"/>
        <v>4</v>
      </c>
      <c r="Y83" s="658"/>
      <c r="Z83" s="183">
        <v>15</v>
      </c>
      <c r="AA83" s="183">
        <v>1264.1379310344803</v>
      </c>
      <c r="AB83" s="183">
        <v>84.275862068965353</v>
      </c>
      <c r="AC83" s="343">
        <f t="shared" si="29"/>
        <v>5</v>
      </c>
      <c r="AD83" s="658"/>
      <c r="AE83" s="183">
        <v>15</v>
      </c>
      <c r="AF83" s="183">
        <v>1247.5862068965494</v>
      </c>
      <c r="AG83" s="183">
        <v>83.172413793103289</v>
      </c>
      <c r="AH83" s="343">
        <f t="shared" si="30"/>
        <v>5</v>
      </c>
      <c r="AI83" s="658"/>
      <c r="AJ83" s="183">
        <v>15</v>
      </c>
      <c r="AK83" s="183">
        <v>1109.0322580645145</v>
      </c>
      <c r="AL83" s="183">
        <v>73.93548387096763</v>
      </c>
      <c r="AM83" s="343">
        <f t="shared" si="31"/>
        <v>12</v>
      </c>
      <c r="AN83" s="658"/>
      <c r="AO83" s="183">
        <v>15</v>
      </c>
      <c r="AP83" s="183">
        <v>1269.6774193548367</v>
      </c>
      <c r="AQ83" s="183">
        <v>84.645161290322449</v>
      </c>
      <c r="AR83" s="343">
        <f t="shared" si="32"/>
        <v>5</v>
      </c>
      <c r="AS83" s="658"/>
      <c r="AT83" s="183">
        <v>15</v>
      </c>
      <c r="AU83" s="183">
        <v>1316.1290322580626</v>
      </c>
      <c r="AV83" s="183">
        <v>87.741935483870833</v>
      </c>
      <c r="AW83" s="343">
        <f t="shared" si="33"/>
        <v>4</v>
      </c>
      <c r="AX83" s="658"/>
    </row>
    <row r="84" spans="2:50">
      <c r="B84" s="627"/>
      <c r="C84" s="317">
        <v>8</v>
      </c>
      <c r="D84" s="228" t="s">
        <v>383</v>
      </c>
      <c r="E84" s="183">
        <v>16</v>
      </c>
      <c r="F84" s="317">
        <v>1440</v>
      </c>
      <c r="G84" s="320">
        <v>90</v>
      </c>
      <c r="H84" s="662"/>
      <c r="I84" s="200">
        <f t="shared" si="24"/>
        <v>16</v>
      </c>
      <c r="J84" s="200">
        <f t="shared" si="25"/>
        <v>1286.6940889954501</v>
      </c>
      <c r="K84" s="201">
        <f t="shared" si="26"/>
        <v>80.418380562215631</v>
      </c>
      <c r="L84" s="601"/>
      <c r="M84" s="202">
        <f>RANK(K84, K$77:$K$106)</f>
        <v>6</v>
      </c>
      <c r="N84" s="619"/>
      <c r="O84" s="619"/>
      <c r="P84" s="183">
        <v>16</v>
      </c>
      <c r="Q84" s="183">
        <v>1263.6000000000004</v>
      </c>
      <c r="R84" s="183">
        <v>78.975000000000023</v>
      </c>
      <c r="S84" s="343">
        <f t="shared" si="27"/>
        <v>10</v>
      </c>
      <c r="T84" s="658"/>
      <c r="U84" s="183">
        <v>16</v>
      </c>
      <c r="V84" s="183">
        <v>1280.8695652173915</v>
      </c>
      <c r="W84" s="183">
        <v>80.054347826086968</v>
      </c>
      <c r="X84" s="343">
        <f t="shared" si="28"/>
        <v>7</v>
      </c>
      <c r="Y84" s="658"/>
      <c r="Z84" s="183">
        <v>16</v>
      </c>
      <c r="AA84" s="183">
        <v>1313.9999999999995</v>
      </c>
      <c r="AB84" s="183">
        <v>82.124999999999972</v>
      </c>
      <c r="AC84" s="343">
        <f t="shared" si="29"/>
        <v>7</v>
      </c>
      <c r="AD84" s="658"/>
      <c r="AE84" s="183">
        <v>16</v>
      </c>
      <c r="AF84" s="183">
        <v>1244.2857142857138</v>
      </c>
      <c r="AG84" s="183">
        <v>77.76785714285711</v>
      </c>
      <c r="AH84" s="343">
        <f t="shared" si="30"/>
        <v>8</v>
      </c>
      <c r="AI84" s="658"/>
      <c r="AJ84" s="183">
        <v>16</v>
      </c>
      <c r="AK84" s="183">
        <v>1298.5714285714282</v>
      </c>
      <c r="AL84" s="183">
        <v>81.160714285714263</v>
      </c>
      <c r="AM84" s="343">
        <f t="shared" si="31"/>
        <v>6</v>
      </c>
      <c r="AN84" s="658"/>
      <c r="AO84" s="183">
        <v>16</v>
      </c>
      <c r="AP84" s="183">
        <v>1300.8510638297876</v>
      </c>
      <c r="AQ84" s="183">
        <v>81.303191489361723</v>
      </c>
      <c r="AR84" s="343">
        <f t="shared" si="32"/>
        <v>7</v>
      </c>
      <c r="AS84" s="658"/>
      <c r="AT84" s="183">
        <v>16</v>
      </c>
      <c r="AU84" s="183">
        <v>1304.68085106383</v>
      </c>
      <c r="AV84" s="183">
        <v>81.542553191489375</v>
      </c>
      <c r="AW84" s="343">
        <f t="shared" si="33"/>
        <v>7</v>
      </c>
      <c r="AX84" s="658"/>
    </row>
    <row r="85" spans="2:50">
      <c r="B85" s="627"/>
      <c r="C85" s="317">
        <v>9</v>
      </c>
      <c r="D85" s="228" t="s">
        <v>379</v>
      </c>
      <c r="E85" s="183">
        <v>18</v>
      </c>
      <c r="F85" s="317">
        <v>1440</v>
      </c>
      <c r="G85" s="320">
        <v>80</v>
      </c>
      <c r="H85" s="662"/>
      <c r="I85" s="200">
        <f t="shared" si="24"/>
        <v>18</v>
      </c>
      <c r="J85" s="200">
        <f t="shared" si="25"/>
        <v>1181.1458004749588</v>
      </c>
      <c r="K85" s="201">
        <f t="shared" si="26"/>
        <v>65.619211137497715</v>
      </c>
      <c r="L85" s="601"/>
      <c r="M85" s="202">
        <f>RANK(K85, K$77:$K$106)</f>
        <v>23</v>
      </c>
      <c r="N85" s="619"/>
      <c r="O85" s="619"/>
      <c r="P85" s="183">
        <v>18</v>
      </c>
      <c r="Q85" s="183">
        <v>1176.3636363636376</v>
      </c>
      <c r="R85" s="183">
        <v>65.35353535353542</v>
      </c>
      <c r="S85" s="343">
        <f t="shared" si="27"/>
        <v>23</v>
      </c>
      <c r="T85" s="658"/>
      <c r="U85" s="183">
        <v>18</v>
      </c>
      <c r="V85" s="183">
        <v>1170.4615384615399</v>
      </c>
      <c r="W85" s="183">
        <v>65.025641025641107</v>
      </c>
      <c r="X85" s="343">
        <f t="shared" si="28"/>
        <v>23</v>
      </c>
      <c r="Y85" s="658"/>
      <c r="Z85" s="183">
        <v>18</v>
      </c>
      <c r="AA85" s="183">
        <v>1220.0000000000005</v>
      </c>
      <c r="AB85" s="183">
        <v>67.7777777777778</v>
      </c>
      <c r="AC85" s="343">
        <f t="shared" si="29"/>
        <v>21</v>
      </c>
      <c r="AD85" s="658"/>
      <c r="AE85" s="183">
        <v>18</v>
      </c>
      <c r="AF85" s="183">
        <v>1178.4905660377365</v>
      </c>
      <c r="AG85" s="183">
        <v>65.47169811320758</v>
      </c>
      <c r="AH85" s="343">
        <f t="shared" si="30"/>
        <v>23</v>
      </c>
      <c r="AI85" s="658"/>
      <c r="AJ85" s="183">
        <v>18</v>
      </c>
      <c r="AK85" s="183">
        <v>1165.2000000000003</v>
      </c>
      <c r="AL85" s="183">
        <v>64.733333333333348</v>
      </c>
      <c r="AM85" s="343">
        <f t="shared" si="31"/>
        <v>23</v>
      </c>
      <c r="AN85" s="658"/>
      <c r="AO85" s="183">
        <v>18</v>
      </c>
      <c r="AP85" s="183">
        <v>1193.8983050847467</v>
      </c>
      <c r="AQ85" s="183">
        <v>66.327683615819254</v>
      </c>
      <c r="AR85" s="343">
        <f t="shared" si="32"/>
        <v>23</v>
      </c>
      <c r="AS85" s="658"/>
      <c r="AT85" s="183">
        <v>18</v>
      </c>
      <c r="AU85" s="183">
        <v>1163.6065573770502</v>
      </c>
      <c r="AV85" s="183">
        <v>64.644808743169449</v>
      </c>
      <c r="AW85" s="343">
        <f t="shared" si="33"/>
        <v>23</v>
      </c>
      <c r="AX85" s="658"/>
    </row>
    <row r="86" spans="2:50">
      <c r="B86" s="627"/>
      <c r="C86" s="317">
        <v>10</v>
      </c>
      <c r="D86" s="228" t="s">
        <v>382</v>
      </c>
      <c r="E86" s="183">
        <v>18</v>
      </c>
      <c r="F86" s="317">
        <v>1636</v>
      </c>
      <c r="G86" s="320">
        <v>90.9</v>
      </c>
      <c r="H86" s="662"/>
      <c r="I86" s="200">
        <f t="shared" si="24"/>
        <v>18</v>
      </c>
      <c r="J86" s="200">
        <f t="shared" si="25"/>
        <v>1278.4093098267253</v>
      </c>
      <c r="K86" s="201">
        <f t="shared" si="26"/>
        <v>71.022739434818078</v>
      </c>
      <c r="L86" s="601"/>
      <c r="M86" s="202">
        <f>RANK(K86, K$77:$K$106)</f>
        <v>17</v>
      </c>
      <c r="N86" s="619"/>
      <c r="O86" s="619"/>
      <c r="P86" s="183">
        <v>18</v>
      </c>
      <c r="Q86" s="183">
        <v>1281.2903225806463</v>
      </c>
      <c r="R86" s="183">
        <v>71.182795698924792</v>
      </c>
      <c r="S86" s="343">
        <f t="shared" si="27"/>
        <v>18</v>
      </c>
      <c r="T86" s="658"/>
      <c r="U86" s="183">
        <v>18</v>
      </c>
      <c r="V86" s="183">
        <v>1289.4545454545464</v>
      </c>
      <c r="W86" s="183">
        <v>71.636363636363683</v>
      </c>
      <c r="X86" s="343">
        <f t="shared" si="28"/>
        <v>19</v>
      </c>
      <c r="Y86" s="658"/>
      <c r="Z86" s="183">
        <v>18</v>
      </c>
      <c r="AA86" s="183">
        <v>1260.0000000000005</v>
      </c>
      <c r="AB86" s="183">
        <v>70.000000000000028</v>
      </c>
      <c r="AC86" s="343">
        <f t="shared" si="29"/>
        <v>17</v>
      </c>
      <c r="AD86" s="658"/>
      <c r="AE86" s="183">
        <v>18</v>
      </c>
      <c r="AF86" s="183">
        <v>1245.2631578947378</v>
      </c>
      <c r="AG86" s="183">
        <v>69.18128654970765</v>
      </c>
      <c r="AH86" s="343">
        <f t="shared" si="30"/>
        <v>19</v>
      </c>
      <c r="AI86" s="658"/>
      <c r="AJ86" s="183">
        <v>18</v>
      </c>
      <c r="AK86" s="183">
        <v>1283.3333333333339</v>
      </c>
      <c r="AL86" s="183">
        <v>71.296296296296333</v>
      </c>
      <c r="AM86" s="343">
        <f t="shared" si="31"/>
        <v>17</v>
      </c>
      <c r="AN86" s="658"/>
      <c r="AO86" s="183">
        <v>18</v>
      </c>
      <c r="AP86" s="183">
        <v>1303.8095238095252</v>
      </c>
      <c r="AQ86" s="183">
        <v>72.433862433862515</v>
      </c>
      <c r="AR86" s="343">
        <f t="shared" si="32"/>
        <v>19</v>
      </c>
      <c r="AS86" s="658"/>
      <c r="AT86" s="183">
        <v>18</v>
      </c>
      <c r="AU86" s="183">
        <v>1285.7142857142871</v>
      </c>
      <c r="AV86" s="183">
        <v>71.428571428571502</v>
      </c>
      <c r="AW86" s="343">
        <f t="shared" si="33"/>
        <v>15</v>
      </c>
      <c r="AX86" s="658"/>
    </row>
    <row r="87" spans="2:50">
      <c r="B87" s="627"/>
      <c r="C87" s="317">
        <v>11</v>
      </c>
      <c r="D87" s="228" t="s">
        <v>381</v>
      </c>
      <c r="E87" s="183">
        <v>18</v>
      </c>
      <c r="F87" s="317">
        <v>1636</v>
      </c>
      <c r="G87" s="320">
        <v>90.9</v>
      </c>
      <c r="H87" s="662"/>
      <c r="I87" s="200">
        <f t="shared" si="24"/>
        <v>18</v>
      </c>
      <c r="J87" s="200">
        <f t="shared" si="25"/>
        <v>1268.3272880951624</v>
      </c>
      <c r="K87" s="201">
        <f t="shared" si="26"/>
        <v>70.462627116397911</v>
      </c>
      <c r="L87" s="601"/>
      <c r="M87" s="202">
        <f>RANK(K87, K$77:$K$106)</f>
        <v>21</v>
      </c>
      <c r="N87" s="619"/>
      <c r="O87" s="619"/>
      <c r="P87" s="183">
        <v>18</v>
      </c>
      <c r="Q87" s="183">
        <v>1251.4285714285718</v>
      </c>
      <c r="R87" s="183">
        <v>69.523809523809547</v>
      </c>
      <c r="S87" s="343">
        <f t="shared" si="27"/>
        <v>20</v>
      </c>
      <c r="T87" s="658"/>
      <c r="U87" s="183">
        <v>18</v>
      </c>
      <c r="V87" s="183">
        <v>1258.6666666666667</v>
      </c>
      <c r="W87" s="183">
        <v>69.925925925925924</v>
      </c>
      <c r="X87" s="343">
        <f t="shared" si="28"/>
        <v>21</v>
      </c>
      <c r="Y87" s="658"/>
      <c r="Z87" s="183">
        <v>18</v>
      </c>
      <c r="AA87" s="183">
        <v>1243.9024390243897</v>
      </c>
      <c r="AB87" s="183">
        <v>69.10569105691053</v>
      </c>
      <c r="AC87" s="343">
        <f t="shared" si="29"/>
        <v>18</v>
      </c>
      <c r="AD87" s="658"/>
      <c r="AE87" s="183">
        <v>18</v>
      </c>
      <c r="AF87" s="183">
        <v>1305.365853658536</v>
      </c>
      <c r="AG87" s="183">
        <v>72.520325203252</v>
      </c>
      <c r="AH87" s="343">
        <f t="shared" si="30"/>
        <v>14</v>
      </c>
      <c r="AI87" s="658"/>
      <c r="AJ87" s="183">
        <v>18</v>
      </c>
      <c r="AK87" s="183">
        <v>1292.8571428571424</v>
      </c>
      <c r="AL87" s="183">
        <v>71.825396825396808</v>
      </c>
      <c r="AM87" s="343">
        <f t="shared" si="31"/>
        <v>15</v>
      </c>
      <c r="AN87" s="658"/>
      <c r="AO87" s="183">
        <v>18</v>
      </c>
      <c r="AP87" s="183">
        <v>1267.3469387755106</v>
      </c>
      <c r="AQ87" s="183">
        <v>70.408163265306143</v>
      </c>
      <c r="AR87" s="343">
        <f t="shared" si="32"/>
        <v>21</v>
      </c>
      <c r="AS87" s="658"/>
      <c r="AT87" s="183">
        <v>18</v>
      </c>
      <c r="AU87" s="183">
        <v>1258.7234042553193</v>
      </c>
      <c r="AV87" s="183">
        <v>69.929078014184412</v>
      </c>
      <c r="AW87" s="343">
        <f t="shared" si="33"/>
        <v>20</v>
      </c>
      <c r="AX87" s="658"/>
    </row>
    <row r="88" spans="2:50">
      <c r="B88" s="627"/>
      <c r="C88" s="317">
        <v>12</v>
      </c>
      <c r="D88" s="228" t="s">
        <v>358</v>
      </c>
      <c r="E88" s="183">
        <v>17</v>
      </c>
      <c r="F88" s="317">
        <v>1500</v>
      </c>
      <c r="G88" s="320">
        <v>88.2</v>
      </c>
      <c r="H88" s="662"/>
      <c r="I88" s="200">
        <f t="shared" si="24"/>
        <v>17.428571428571427</v>
      </c>
      <c r="J88" s="200">
        <f t="shared" si="25"/>
        <v>1288.940060403344</v>
      </c>
      <c r="K88" s="201">
        <f t="shared" si="26"/>
        <v>74.025727106721519</v>
      </c>
      <c r="L88" s="601"/>
      <c r="M88" s="202">
        <f>RANK(K88, K$77:$K$106)</f>
        <v>14</v>
      </c>
      <c r="N88" s="619"/>
      <c r="O88" s="619"/>
      <c r="P88" s="183">
        <v>17</v>
      </c>
      <c r="Q88" s="183">
        <v>1292.608695652174</v>
      </c>
      <c r="R88" s="183">
        <v>76.035805626598474</v>
      </c>
      <c r="S88" s="343">
        <f t="shared" si="27"/>
        <v>13</v>
      </c>
      <c r="T88" s="658"/>
      <c r="U88" s="183">
        <v>17</v>
      </c>
      <c r="V88" s="183">
        <v>1300</v>
      </c>
      <c r="W88" s="183">
        <v>76.470588235294116</v>
      </c>
      <c r="X88" s="343">
        <f t="shared" si="28"/>
        <v>11</v>
      </c>
      <c r="Y88" s="658"/>
      <c r="Z88" s="183">
        <v>18</v>
      </c>
      <c r="AA88" s="183">
        <v>1287.6923076923069</v>
      </c>
      <c r="AB88" s="183">
        <v>71.53846153846149</v>
      </c>
      <c r="AC88" s="343">
        <f t="shared" si="29"/>
        <v>13</v>
      </c>
      <c r="AD88" s="658"/>
      <c r="AE88" s="183">
        <v>17</v>
      </c>
      <c r="AF88" s="183">
        <v>1302.6315789473674</v>
      </c>
      <c r="AG88" s="183">
        <v>76.62538699690397</v>
      </c>
      <c r="AH88" s="343">
        <f t="shared" si="30"/>
        <v>9</v>
      </c>
      <c r="AI88" s="658"/>
      <c r="AJ88" s="183">
        <v>18</v>
      </c>
      <c r="AK88" s="183">
        <v>1292.8571428571424</v>
      </c>
      <c r="AL88" s="183">
        <v>71.825396825396808</v>
      </c>
      <c r="AM88" s="343">
        <f t="shared" si="31"/>
        <v>15</v>
      </c>
      <c r="AN88" s="658"/>
      <c r="AO88" s="183">
        <v>17</v>
      </c>
      <c r="AP88" s="183">
        <v>1284</v>
      </c>
      <c r="AQ88" s="183">
        <v>75.529411764705884</v>
      </c>
      <c r="AR88" s="343">
        <f t="shared" si="32"/>
        <v>13</v>
      </c>
      <c r="AS88" s="658"/>
      <c r="AT88" s="183">
        <v>18</v>
      </c>
      <c r="AU88" s="183">
        <v>1262.7906976744184</v>
      </c>
      <c r="AV88" s="183">
        <v>70.155038759689916</v>
      </c>
      <c r="AW88" s="343">
        <f t="shared" si="33"/>
        <v>19</v>
      </c>
      <c r="AX88" s="658"/>
    </row>
    <row r="89" spans="2:50">
      <c r="B89" s="627"/>
      <c r="C89" s="317">
        <v>13</v>
      </c>
      <c r="D89" s="228" t="s">
        <v>863</v>
      </c>
      <c r="E89" s="183">
        <v>18</v>
      </c>
      <c r="F89" s="317">
        <v>1440</v>
      </c>
      <c r="G89" s="320">
        <v>80</v>
      </c>
      <c r="H89" s="662"/>
      <c r="I89" s="200">
        <f t="shared" si="24"/>
        <v>18.428571428571427</v>
      </c>
      <c r="J89" s="200">
        <f t="shared" si="25"/>
        <v>1332.3266813605119</v>
      </c>
      <c r="K89" s="201">
        <f t="shared" si="26"/>
        <v>72.364605594006179</v>
      </c>
      <c r="L89" s="601"/>
      <c r="M89" s="202">
        <f>RANK(K89, K$77:$K$106)</f>
        <v>15</v>
      </c>
      <c r="N89" s="619"/>
      <c r="O89" s="619"/>
      <c r="P89" s="183">
        <v>18</v>
      </c>
      <c r="Q89" s="183">
        <v>1362.3529411764705</v>
      </c>
      <c r="R89" s="183">
        <v>75.686274509803923</v>
      </c>
      <c r="S89" s="343">
        <f t="shared" si="27"/>
        <v>15</v>
      </c>
      <c r="T89" s="658"/>
      <c r="U89" s="183">
        <v>18</v>
      </c>
      <c r="V89" s="183">
        <v>1352.3684210526305</v>
      </c>
      <c r="W89" s="183">
        <v>75.131578947368368</v>
      </c>
      <c r="X89" s="343">
        <f t="shared" si="28"/>
        <v>15</v>
      </c>
      <c r="Y89" s="658"/>
      <c r="Z89" s="183">
        <v>19</v>
      </c>
      <c r="AA89" s="183">
        <v>1312.3943661971816</v>
      </c>
      <c r="AB89" s="183">
        <v>69.073387694588504</v>
      </c>
      <c r="AC89" s="343">
        <f t="shared" si="29"/>
        <v>19</v>
      </c>
      <c r="AD89" s="658"/>
      <c r="AE89" s="183">
        <v>18</v>
      </c>
      <c r="AF89" s="183">
        <v>1303.7142857142844</v>
      </c>
      <c r="AG89" s="183">
        <v>72.42857142857136</v>
      </c>
      <c r="AH89" s="343">
        <f t="shared" si="30"/>
        <v>15</v>
      </c>
      <c r="AI89" s="658"/>
      <c r="AJ89" s="183">
        <v>19</v>
      </c>
      <c r="AK89" s="183">
        <v>1332.4675324675318</v>
      </c>
      <c r="AL89" s="183">
        <v>70.129870129870099</v>
      </c>
      <c r="AM89" s="343">
        <f t="shared" si="31"/>
        <v>21</v>
      </c>
      <c r="AN89" s="658"/>
      <c r="AO89" s="183">
        <v>18</v>
      </c>
      <c r="AP89" s="183">
        <v>1349.2682926829264</v>
      </c>
      <c r="AQ89" s="183">
        <v>74.959349593495915</v>
      </c>
      <c r="AR89" s="343">
        <f t="shared" si="32"/>
        <v>14</v>
      </c>
      <c r="AS89" s="658"/>
      <c r="AT89" s="183">
        <v>19</v>
      </c>
      <c r="AU89" s="183">
        <v>1313.7209302325577</v>
      </c>
      <c r="AV89" s="183">
        <v>69.143206854345138</v>
      </c>
      <c r="AW89" s="343">
        <f t="shared" si="33"/>
        <v>21</v>
      </c>
      <c r="AX89" s="658"/>
    </row>
    <row r="90" spans="2:50">
      <c r="B90" s="627"/>
      <c r="C90" s="317">
        <v>14</v>
      </c>
      <c r="D90" s="228" t="s">
        <v>386</v>
      </c>
      <c r="E90" s="183">
        <v>15</v>
      </c>
      <c r="F90" s="317">
        <v>1440</v>
      </c>
      <c r="G90" s="320">
        <v>96</v>
      </c>
      <c r="H90" s="662"/>
      <c r="I90" s="200">
        <f t="shared" si="24"/>
        <v>15.857142857142858</v>
      </c>
      <c r="J90" s="200">
        <f t="shared" si="25"/>
        <v>1295.4199829873728</v>
      </c>
      <c r="K90" s="201">
        <f t="shared" si="26"/>
        <v>81.737125560087421</v>
      </c>
      <c r="L90" s="601"/>
      <c r="M90" s="202">
        <f>RANK(K90, K$77:$K$106)</f>
        <v>5</v>
      </c>
      <c r="N90" s="619"/>
      <c r="O90" s="619"/>
      <c r="P90" s="183">
        <v>16</v>
      </c>
      <c r="Q90" s="183">
        <v>1284.0000000000014</v>
      </c>
      <c r="R90" s="183">
        <v>80.250000000000085</v>
      </c>
      <c r="S90" s="343">
        <f t="shared" si="27"/>
        <v>8</v>
      </c>
      <c r="T90" s="658"/>
      <c r="U90" s="183">
        <v>16</v>
      </c>
      <c r="V90" s="183">
        <v>1312.6153846153861</v>
      </c>
      <c r="W90" s="183">
        <v>82.038461538461632</v>
      </c>
      <c r="X90" s="343">
        <f t="shared" si="28"/>
        <v>5</v>
      </c>
      <c r="Y90" s="658"/>
      <c r="Z90" s="183">
        <v>15</v>
      </c>
      <c r="AA90" s="183">
        <v>1299.2727272727282</v>
      </c>
      <c r="AB90" s="183">
        <v>86.618181818181881</v>
      </c>
      <c r="AC90" s="343">
        <f t="shared" si="29"/>
        <v>4</v>
      </c>
      <c r="AD90" s="658"/>
      <c r="AE90" s="183">
        <v>16</v>
      </c>
      <c r="AF90" s="183">
        <v>1248.813559322035</v>
      </c>
      <c r="AG90" s="183">
        <v>78.050847457627185</v>
      </c>
      <c r="AH90" s="343">
        <f t="shared" si="30"/>
        <v>7</v>
      </c>
      <c r="AI90" s="658"/>
      <c r="AJ90" s="183">
        <v>16</v>
      </c>
      <c r="AK90" s="183">
        <v>1302.5454545454552</v>
      </c>
      <c r="AL90" s="183">
        <v>81.409090909090949</v>
      </c>
      <c r="AM90" s="343">
        <f t="shared" si="31"/>
        <v>5</v>
      </c>
      <c r="AN90" s="658"/>
      <c r="AO90" s="183">
        <v>16</v>
      </c>
      <c r="AP90" s="183">
        <v>1297.7419354838723</v>
      </c>
      <c r="AQ90" s="183">
        <v>81.108870967742021</v>
      </c>
      <c r="AR90" s="343">
        <f t="shared" si="32"/>
        <v>9</v>
      </c>
      <c r="AS90" s="658"/>
      <c r="AT90" s="183">
        <v>16</v>
      </c>
      <c r="AU90" s="183">
        <v>1322.9508196721322</v>
      </c>
      <c r="AV90" s="183">
        <v>82.684426229508261</v>
      </c>
      <c r="AW90" s="343">
        <f t="shared" si="33"/>
        <v>5</v>
      </c>
      <c r="AX90" s="658"/>
    </row>
    <row r="91" spans="2:50">
      <c r="B91" s="627"/>
      <c r="C91" s="317">
        <v>15</v>
      </c>
      <c r="D91" s="228" t="s">
        <v>347</v>
      </c>
      <c r="E91" s="183">
        <v>17</v>
      </c>
      <c r="F91" s="317">
        <v>1440</v>
      </c>
      <c r="G91" s="320">
        <v>84.7</v>
      </c>
      <c r="H91" s="662"/>
      <c r="I91" s="200">
        <f t="shared" si="24"/>
        <v>17</v>
      </c>
      <c r="J91" s="200">
        <f t="shared" si="25"/>
        <v>1324.6563750190719</v>
      </c>
      <c r="K91" s="201">
        <f t="shared" si="26"/>
        <v>77.920963236416</v>
      </c>
      <c r="L91" s="601"/>
      <c r="M91" s="202">
        <f>RANK(K91, K$77:$K$106)</f>
        <v>11</v>
      </c>
      <c r="N91" s="619"/>
      <c r="O91" s="619"/>
      <c r="P91" s="183">
        <v>17</v>
      </c>
      <c r="Q91" s="183">
        <v>1328.0412371134025</v>
      </c>
      <c r="R91" s="183">
        <v>78.120072771376613</v>
      </c>
      <c r="S91" s="343">
        <f t="shared" si="27"/>
        <v>11</v>
      </c>
      <c r="T91" s="658"/>
      <c r="U91" s="183">
        <v>17</v>
      </c>
      <c r="V91" s="183">
        <v>1349.3023255813951</v>
      </c>
      <c r="W91" s="183">
        <v>79.370725034199708</v>
      </c>
      <c r="X91" s="343">
        <f t="shared" si="28"/>
        <v>10</v>
      </c>
      <c r="Y91" s="658"/>
      <c r="Z91" s="183">
        <v>17</v>
      </c>
      <c r="AA91" s="183">
        <v>1308.1578947368412</v>
      </c>
      <c r="AB91" s="183">
        <v>76.950464396284772</v>
      </c>
      <c r="AC91" s="343">
        <f t="shared" si="29"/>
        <v>12</v>
      </c>
      <c r="AD91" s="658"/>
      <c r="AE91" s="183">
        <v>17</v>
      </c>
      <c r="AF91" s="183">
        <v>1302.1428571428567</v>
      </c>
      <c r="AG91" s="183">
        <v>76.596638655462158</v>
      </c>
      <c r="AH91" s="343">
        <f t="shared" si="30"/>
        <v>10</v>
      </c>
      <c r="AI91" s="658"/>
      <c r="AJ91" s="183">
        <v>17</v>
      </c>
      <c r="AK91" s="183">
        <v>1311.4285714285716</v>
      </c>
      <c r="AL91" s="183">
        <v>77.142857142857153</v>
      </c>
      <c r="AM91" s="343">
        <f t="shared" si="31"/>
        <v>10</v>
      </c>
      <c r="AN91" s="658"/>
      <c r="AO91" s="183">
        <v>17</v>
      </c>
      <c r="AP91" s="183">
        <v>1356.5217391304348</v>
      </c>
      <c r="AQ91" s="183">
        <v>79.795396419437338</v>
      </c>
      <c r="AR91" s="343">
        <f t="shared" si="32"/>
        <v>10</v>
      </c>
      <c r="AS91" s="658"/>
      <c r="AT91" s="183">
        <v>17</v>
      </c>
      <c r="AU91" s="183">
        <v>1317.0000000000005</v>
      </c>
      <c r="AV91" s="183">
        <v>77.470588235294144</v>
      </c>
      <c r="AW91" s="343">
        <f t="shared" si="33"/>
        <v>10</v>
      </c>
      <c r="AX91" s="658"/>
    </row>
    <row r="92" spans="2:50">
      <c r="B92" s="627"/>
      <c r="C92" s="317">
        <v>16</v>
      </c>
      <c r="D92" s="228" t="s">
        <v>378</v>
      </c>
      <c r="E92" s="183">
        <v>17</v>
      </c>
      <c r="F92" s="317">
        <v>1636</v>
      </c>
      <c r="G92" s="320">
        <v>96.3</v>
      </c>
      <c r="H92" s="662"/>
      <c r="I92" s="200">
        <f t="shared" si="24"/>
        <v>17</v>
      </c>
      <c r="J92" s="200">
        <f t="shared" si="25"/>
        <v>1200.9537808449277</v>
      </c>
      <c r="K92" s="201">
        <f t="shared" si="26"/>
        <v>70.644340049701611</v>
      </c>
      <c r="L92" s="601"/>
      <c r="M92" s="202">
        <f>RANK(K92, K$77:$K$106)</f>
        <v>20</v>
      </c>
      <c r="N92" s="619"/>
      <c r="O92" s="619"/>
      <c r="P92" s="183">
        <v>17</v>
      </c>
      <c r="Q92" s="183">
        <v>1287.0967741935463</v>
      </c>
      <c r="R92" s="183">
        <v>75.711574952561548</v>
      </c>
      <c r="S92" s="343">
        <f t="shared" si="27"/>
        <v>14</v>
      </c>
      <c r="T92" s="658"/>
      <c r="U92" s="183">
        <v>17</v>
      </c>
      <c r="V92" s="183">
        <v>1262.0689655172389</v>
      </c>
      <c r="W92" s="183">
        <v>74.239350912778761</v>
      </c>
      <c r="X92" s="343">
        <f t="shared" si="28"/>
        <v>16</v>
      </c>
      <c r="Y92" s="658"/>
      <c r="Z92" s="183">
        <v>17</v>
      </c>
      <c r="AA92" s="183">
        <v>1079.9999999999975</v>
      </c>
      <c r="AB92" s="183">
        <v>63.529411764705735</v>
      </c>
      <c r="AC92" s="343">
        <f t="shared" si="29"/>
        <v>23</v>
      </c>
      <c r="AD92" s="658"/>
      <c r="AE92" s="183">
        <v>17</v>
      </c>
      <c r="AF92" s="183">
        <v>1114.8387096774175</v>
      </c>
      <c r="AG92" s="183">
        <v>65.578747628083377</v>
      </c>
      <c r="AH92" s="343">
        <f t="shared" si="30"/>
        <v>22</v>
      </c>
      <c r="AI92" s="658"/>
      <c r="AJ92" s="183">
        <v>17</v>
      </c>
      <c r="AK92" s="183">
        <v>1120.7142857142833</v>
      </c>
      <c r="AL92" s="183">
        <v>65.924369747899021</v>
      </c>
      <c r="AM92" s="343">
        <f t="shared" si="31"/>
        <v>22</v>
      </c>
      <c r="AN92" s="658"/>
      <c r="AO92" s="183">
        <v>17</v>
      </c>
      <c r="AP92" s="183">
        <v>1271.6129032258045</v>
      </c>
      <c r="AQ92" s="183">
        <v>74.800759013282615</v>
      </c>
      <c r="AR92" s="343">
        <f t="shared" si="32"/>
        <v>15</v>
      </c>
      <c r="AS92" s="658"/>
      <c r="AT92" s="183">
        <v>17</v>
      </c>
      <c r="AU92" s="183">
        <v>1270.3448275862042</v>
      </c>
      <c r="AV92" s="183">
        <v>74.726166328600243</v>
      </c>
      <c r="AW92" s="343">
        <f t="shared" si="33"/>
        <v>14</v>
      </c>
      <c r="AX92" s="658"/>
    </row>
    <row r="93" spans="2:50">
      <c r="B93" s="627"/>
      <c r="C93" s="317">
        <v>17</v>
      </c>
      <c r="D93" s="228" t="s">
        <v>380</v>
      </c>
      <c r="E93" s="183">
        <v>18</v>
      </c>
      <c r="F93" s="317">
        <v>1440</v>
      </c>
      <c r="G93" s="320">
        <v>80</v>
      </c>
      <c r="H93" s="662"/>
      <c r="I93" s="200">
        <f t="shared" si="24"/>
        <v>17.142857142857142</v>
      </c>
      <c r="J93" s="200">
        <f t="shared" si="25"/>
        <v>1286.5098431549673</v>
      </c>
      <c r="K93" s="201">
        <f t="shared" si="26"/>
        <v>75.064804699391829</v>
      </c>
      <c r="L93" s="601"/>
      <c r="M93" s="202">
        <f>RANK(K93, K$77:$K$106)</f>
        <v>13</v>
      </c>
      <c r="N93" s="619"/>
      <c r="O93" s="619"/>
      <c r="P93" s="183">
        <v>18</v>
      </c>
      <c r="Q93" s="183">
        <v>1311.4285714285727</v>
      </c>
      <c r="R93" s="183">
        <v>72.857142857142932</v>
      </c>
      <c r="S93" s="343">
        <f t="shared" si="27"/>
        <v>17</v>
      </c>
      <c r="T93" s="658"/>
      <c r="U93" s="183">
        <v>17</v>
      </c>
      <c r="V93" s="183">
        <v>1293.2142857142867</v>
      </c>
      <c r="W93" s="183">
        <v>76.071428571428626</v>
      </c>
      <c r="X93" s="343">
        <f t="shared" si="28"/>
        <v>12</v>
      </c>
      <c r="Y93" s="658"/>
      <c r="Z93" s="183">
        <v>17</v>
      </c>
      <c r="AA93" s="183">
        <v>1316.4705882352948</v>
      </c>
      <c r="AB93" s="183">
        <v>77.43944636678205</v>
      </c>
      <c r="AC93" s="343">
        <f t="shared" si="29"/>
        <v>10</v>
      </c>
      <c r="AD93" s="658"/>
      <c r="AE93" s="183">
        <v>17</v>
      </c>
      <c r="AF93" s="183">
        <v>1272.0000000000009</v>
      </c>
      <c r="AG93" s="183">
        <v>74.823529411764753</v>
      </c>
      <c r="AH93" s="343">
        <f t="shared" si="30"/>
        <v>13</v>
      </c>
      <c r="AI93" s="658"/>
      <c r="AJ93" s="183">
        <v>17</v>
      </c>
      <c r="AK93" s="183">
        <v>1249.6551724137939</v>
      </c>
      <c r="AL93" s="183">
        <v>73.509127789046701</v>
      </c>
      <c r="AM93" s="343">
        <f t="shared" si="31"/>
        <v>13</v>
      </c>
      <c r="AN93" s="658"/>
      <c r="AO93" s="183">
        <v>17</v>
      </c>
      <c r="AP93" s="183">
        <v>1260.895522388058</v>
      </c>
      <c r="AQ93" s="183">
        <v>74.170324846356351</v>
      </c>
      <c r="AR93" s="343">
        <f t="shared" si="32"/>
        <v>16</v>
      </c>
      <c r="AS93" s="658"/>
      <c r="AT93" s="183">
        <v>17</v>
      </c>
      <c r="AU93" s="183">
        <v>1301.9047619047633</v>
      </c>
      <c r="AV93" s="183">
        <v>76.582633053221372</v>
      </c>
      <c r="AW93" s="343">
        <f t="shared" si="33"/>
        <v>12</v>
      </c>
      <c r="AX93" s="658"/>
    </row>
    <row r="94" spans="2:50">
      <c r="B94" s="627"/>
      <c r="C94" s="317">
        <v>18</v>
      </c>
      <c r="D94" s="228" t="s">
        <v>387</v>
      </c>
      <c r="E94" s="183">
        <v>18</v>
      </c>
      <c r="F94" s="317">
        <v>1500</v>
      </c>
      <c r="G94" s="320">
        <v>83.3</v>
      </c>
      <c r="H94" s="662"/>
      <c r="I94" s="200">
        <f t="shared" si="24"/>
        <v>18</v>
      </c>
      <c r="J94" s="200">
        <f t="shared" si="25"/>
        <v>1275.1936816570283</v>
      </c>
      <c r="K94" s="201">
        <f t="shared" si="26"/>
        <v>70.844093425390454</v>
      </c>
      <c r="L94" s="601"/>
      <c r="M94" s="202">
        <f>RANK(K94, K$77:$K$106)</f>
        <v>19</v>
      </c>
      <c r="N94" s="619"/>
      <c r="O94" s="619"/>
      <c r="P94" s="183">
        <v>18</v>
      </c>
      <c r="Q94" s="183">
        <v>1243.9285714285722</v>
      </c>
      <c r="R94" s="183">
        <v>69.107142857142904</v>
      </c>
      <c r="S94" s="343">
        <f t="shared" si="27"/>
        <v>21</v>
      </c>
      <c r="T94" s="658"/>
      <c r="U94" s="183">
        <v>18</v>
      </c>
      <c r="V94" s="183">
        <v>1306.4150943396232</v>
      </c>
      <c r="W94" s="183">
        <v>72.578616352201294</v>
      </c>
      <c r="X94" s="343">
        <f t="shared" si="28"/>
        <v>18</v>
      </c>
      <c r="Y94" s="658"/>
      <c r="Z94" s="183">
        <v>18</v>
      </c>
      <c r="AA94" s="183">
        <v>1269.7959183673472</v>
      </c>
      <c r="AB94" s="183">
        <v>70.544217687074848</v>
      </c>
      <c r="AC94" s="343">
        <f t="shared" si="29"/>
        <v>15</v>
      </c>
      <c r="AD94" s="658"/>
      <c r="AE94" s="183">
        <v>18</v>
      </c>
      <c r="AF94" s="183">
        <v>1276.4705882352946</v>
      </c>
      <c r="AG94" s="183">
        <v>70.915032679738587</v>
      </c>
      <c r="AH94" s="343">
        <f t="shared" si="30"/>
        <v>17</v>
      </c>
      <c r="AI94" s="658"/>
      <c r="AJ94" s="183">
        <v>18</v>
      </c>
      <c r="AK94" s="183">
        <v>1272.6923076923085</v>
      </c>
      <c r="AL94" s="183">
        <v>70.705128205128247</v>
      </c>
      <c r="AM94" s="343">
        <f t="shared" si="31"/>
        <v>19</v>
      </c>
      <c r="AN94" s="658"/>
      <c r="AO94" s="183">
        <v>18</v>
      </c>
      <c r="AP94" s="183">
        <v>1276.3636363636372</v>
      </c>
      <c r="AQ94" s="183">
        <v>70.909090909090949</v>
      </c>
      <c r="AR94" s="343">
        <f t="shared" si="32"/>
        <v>20</v>
      </c>
      <c r="AS94" s="658"/>
      <c r="AT94" s="183">
        <v>18</v>
      </c>
      <c r="AU94" s="183">
        <v>1280.6896551724146</v>
      </c>
      <c r="AV94" s="183">
        <v>71.149425287356365</v>
      </c>
      <c r="AW94" s="343">
        <f t="shared" si="33"/>
        <v>16</v>
      </c>
      <c r="AX94" s="658"/>
    </row>
    <row r="95" spans="2:50">
      <c r="B95" s="627"/>
      <c r="C95" s="317">
        <v>19</v>
      </c>
      <c r="D95" s="228" t="s">
        <v>560</v>
      </c>
      <c r="E95" s="183">
        <v>17</v>
      </c>
      <c r="F95" s="317">
        <v>1440</v>
      </c>
      <c r="G95" s="320">
        <v>84.7</v>
      </c>
      <c r="H95" s="662"/>
      <c r="I95" s="200">
        <f t="shared" si="24"/>
        <v>17</v>
      </c>
      <c r="J95" s="200">
        <f t="shared" si="25"/>
        <v>1224.4559446693006</v>
      </c>
      <c r="K95" s="201">
        <f t="shared" si="26"/>
        <v>72.026820274664757</v>
      </c>
      <c r="L95" s="601"/>
      <c r="M95" s="202">
        <f>RANK(K95, K$77:$K$106)</f>
        <v>16</v>
      </c>
      <c r="N95" s="619"/>
      <c r="O95" s="619"/>
      <c r="P95" s="183">
        <v>17</v>
      </c>
      <c r="Q95" s="183">
        <v>1246.6666666666656</v>
      </c>
      <c r="R95" s="183">
        <v>73.333333333333272</v>
      </c>
      <c r="S95" s="343">
        <f t="shared" si="27"/>
        <v>16</v>
      </c>
      <c r="T95" s="658"/>
      <c r="U95" s="183">
        <v>17</v>
      </c>
      <c r="V95" s="183">
        <v>1256.2499999999982</v>
      </c>
      <c r="W95" s="183">
        <v>73.897058823529306</v>
      </c>
      <c r="X95" s="343">
        <f t="shared" si="28"/>
        <v>17</v>
      </c>
      <c r="Y95" s="658"/>
      <c r="Z95" s="183">
        <v>17</v>
      </c>
      <c r="AA95" s="183">
        <v>1054.8387096774177</v>
      </c>
      <c r="AB95" s="183">
        <v>62.049335863377507</v>
      </c>
      <c r="AC95" s="343">
        <f t="shared" si="29"/>
        <v>24</v>
      </c>
      <c r="AD95" s="658"/>
      <c r="AE95" s="183">
        <v>17</v>
      </c>
      <c r="AF95" s="183">
        <v>1221.999999999998</v>
      </c>
      <c r="AG95" s="183">
        <v>71.88235294117635</v>
      </c>
      <c r="AH95" s="343">
        <f t="shared" si="30"/>
        <v>16</v>
      </c>
      <c r="AI95" s="658"/>
      <c r="AJ95" s="183">
        <v>17</v>
      </c>
      <c r="AK95" s="183">
        <v>1241.3793103448252</v>
      </c>
      <c r="AL95" s="183">
        <v>73.022312373225006</v>
      </c>
      <c r="AM95" s="343">
        <f t="shared" si="31"/>
        <v>14</v>
      </c>
      <c r="AN95" s="658"/>
      <c r="AO95" s="183">
        <v>17</v>
      </c>
      <c r="AP95" s="183">
        <v>1249.4117647058806</v>
      </c>
      <c r="AQ95" s="183">
        <v>73.494809688581213</v>
      </c>
      <c r="AR95" s="343">
        <f t="shared" si="32"/>
        <v>17</v>
      </c>
      <c r="AS95" s="658"/>
      <c r="AT95" s="183">
        <v>17</v>
      </c>
      <c r="AU95" s="183">
        <v>1300.6451612903206</v>
      </c>
      <c r="AV95" s="183">
        <v>76.508538899430619</v>
      </c>
      <c r="AW95" s="343">
        <f t="shared" si="33"/>
        <v>13</v>
      </c>
      <c r="AX95" s="658"/>
    </row>
    <row r="96" spans="2:50">
      <c r="B96" s="627"/>
      <c r="C96" s="317">
        <v>20</v>
      </c>
      <c r="D96" s="228" t="s">
        <v>761</v>
      </c>
      <c r="E96" s="183">
        <v>18</v>
      </c>
      <c r="F96" s="317">
        <v>1385</v>
      </c>
      <c r="G96" s="320">
        <v>76.900000000000006</v>
      </c>
      <c r="H96" s="662"/>
      <c r="I96" s="200">
        <f t="shared" si="24"/>
        <v>17.142857142857142</v>
      </c>
      <c r="J96" s="200">
        <f t="shared" si="25"/>
        <v>1186.5475804998678</v>
      </c>
      <c r="K96" s="201">
        <f t="shared" si="26"/>
        <v>69.240766767371909</v>
      </c>
      <c r="L96" s="601"/>
      <c r="M96" s="202">
        <f>RANK(K96, K$77:$K$106)</f>
        <v>22</v>
      </c>
      <c r="N96" s="619"/>
      <c r="O96" s="619"/>
      <c r="P96" s="183">
        <v>18</v>
      </c>
      <c r="Q96" s="183">
        <v>1191.2727272727279</v>
      </c>
      <c r="R96" s="183">
        <v>66.181818181818215</v>
      </c>
      <c r="S96" s="343">
        <f t="shared" si="27"/>
        <v>22</v>
      </c>
      <c r="T96" s="658"/>
      <c r="U96" s="183">
        <v>17</v>
      </c>
      <c r="V96" s="183">
        <v>1176.2264150943402</v>
      </c>
      <c r="W96" s="183">
        <v>69.189789123196476</v>
      </c>
      <c r="X96" s="343">
        <f t="shared" si="28"/>
        <v>22</v>
      </c>
      <c r="Y96" s="658"/>
      <c r="Z96" s="183">
        <v>17</v>
      </c>
      <c r="AA96" s="183">
        <v>1193.6842105263149</v>
      </c>
      <c r="AB96" s="183">
        <v>70.216718266253821</v>
      </c>
      <c r="AC96" s="343">
        <f t="shared" si="29"/>
        <v>16</v>
      </c>
      <c r="AD96" s="658"/>
      <c r="AE96" s="183">
        <v>17</v>
      </c>
      <c r="AF96" s="183">
        <v>1163.9999999999995</v>
      </c>
      <c r="AG96" s="183">
        <v>68.470588235294088</v>
      </c>
      <c r="AH96" s="343">
        <f t="shared" si="30"/>
        <v>21</v>
      </c>
      <c r="AI96" s="658"/>
      <c r="AJ96" s="183">
        <v>17</v>
      </c>
      <c r="AK96" s="183">
        <v>1203.8297872340427</v>
      </c>
      <c r="AL96" s="183">
        <v>70.813516896120163</v>
      </c>
      <c r="AM96" s="343">
        <f t="shared" si="31"/>
        <v>18</v>
      </c>
      <c r="AN96" s="658"/>
      <c r="AO96" s="183">
        <v>17</v>
      </c>
      <c r="AP96" s="183">
        <v>1167.9310344827595</v>
      </c>
      <c r="AQ96" s="183">
        <v>68.701825557809386</v>
      </c>
      <c r="AR96" s="343">
        <f t="shared" si="32"/>
        <v>22</v>
      </c>
      <c r="AS96" s="658"/>
      <c r="AT96" s="183">
        <v>17</v>
      </c>
      <c r="AU96" s="183">
        <v>1208.8888888888896</v>
      </c>
      <c r="AV96" s="183">
        <v>71.111111111111157</v>
      </c>
      <c r="AW96" s="343">
        <f t="shared" si="33"/>
        <v>17</v>
      </c>
      <c r="AX96" s="658"/>
    </row>
    <row r="97" spans="2:50">
      <c r="B97" s="627"/>
      <c r="C97" s="317">
        <v>21</v>
      </c>
      <c r="D97" s="228" t="s">
        <v>836</v>
      </c>
      <c r="E97" s="183">
        <v>18</v>
      </c>
      <c r="F97" s="317">
        <v>1440</v>
      </c>
      <c r="G97" s="320">
        <v>80</v>
      </c>
      <c r="H97" s="662"/>
      <c r="I97" s="200">
        <f t="shared" si="24"/>
        <v>18</v>
      </c>
      <c r="J97" s="200">
        <f t="shared" si="25"/>
        <v>1277.3740151247473</v>
      </c>
      <c r="K97" s="201">
        <f t="shared" si="26"/>
        <v>70.965223062485947</v>
      </c>
      <c r="L97" s="601"/>
      <c r="M97" s="202">
        <f>RANK(K97, K$77:$K$106)</f>
        <v>18</v>
      </c>
      <c r="N97" s="619"/>
      <c r="O97" s="619"/>
      <c r="P97" s="183">
        <v>18</v>
      </c>
      <c r="Q97" s="183">
        <v>1260.0000000000016</v>
      </c>
      <c r="R97" s="183">
        <v>70.000000000000085</v>
      </c>
      <c r="S97" s="343">
        <f t="shared" si="27"/>
        <v>19</v>
      </c>
      <c r="T97" s="658"/>
      <c r="U97" s="183">
        <v>18</v>
      </c>
      <c r="V97" s="183">
        <v>1275.4838709677433</v>
      </c>
      <c r="W97" s="183">
        <v>70.860215053763511</v>
      </c>
      <c r="X97" s="343">
        <f t="shared" si="28"/>
        <v>20</v>
      </c>
      <c r="Y97" s="658"/>
      <c r="Z97" s="183">
        <v>18</v>
      </c>
      <c r="AA97" s="183">
        <v>1274.4000000000003</v>
      </c>
      <c r="AB97" s="183">
        <v>70.800000000000011</v>
      </c>
      <c r="AC97" s="343">
        <f t="shared" si="29"/>
        <v>14</v>
      </c>
      <c r="AD97" s="658"/>
      <c r="AE97" s="183">
        <v>18</v>
      </c>
      <c r="AF97" s="183">
        <v>1264.7058823529419</v>
      </c>
      <c r="AG97" s="183">
        <v>70.261437908496774</v>
      </c>
      <c r="AH97" s="343">
        <f t="shared" si="30"/>
        <v>18</v>
      </c>
      <c r="AI97" s="658"/>
      <c r="AJ97" s="183">
        <v>18</v>
      </c>
      <c r="AK97" s="183">
        <v>1271.0204081632655</v>
      </c>
      <c r="AL97" s="183">
        <v>70.612244897959201</v>
      </c>
      <c r="AM97" s="343">
        <f t="shared" si="31"/>
        <v>20</v>
      </c>
      <c r="AN97" s="658"/>
      <c r="AO97" s="183">
        <v>18</v>
      </c>
      <c r="AP97" s="183">
        <v>1317.8947368421063</v>
      </c>
      <c r="AQ97" s="183">
        <v>73.216374269005911</v>
      </c>
      <c r="AR97" s="343">
        <f t="shared" si="32"/>
        <v>18</v>
      </c>
      <c r="AS97" s="658"/>
      <c r="AT97" s="183">
        <v>18</v>
      </c>
      <c r="AU97" s="183">
        <v>1278.1132075471705</v>
      </c>
      <c r="AV97" s="183">
        <v>71.006289308176136</v>
      </c>
      <c r="AW97" s="343">
        <f t="shared" si="33"/>
        <v>18</v>
      </c>
      <c r="AX97" s="658"/>
    </row>
    <row r="98" spans="2:50">
      <c r="B98" s="627"/>
      <c r="C98" s="317">
        <v>22</v>
      </c>
      <c r="D98" s="228" t="s">
        <v>864</v>
      </c>
      <c r="E98" s="183">
        <v>15</v>
      </c>
      <c r="F98" s="317">
        <v>1500</v>
      </c>
      <c r="G98" s="320">
        <v>100</v>
      </c>
      <c r="H98" s="662"/>
      <c r="I98" s="200">
        <f t="shared" si="24"/>
        <v>16.571428571428573</v>
      </c>
      <c r="J98" s="200">
        <f t="shared" si="25"/>
        <v>1280.7600636266102</v>
      </c>
      <c r="K98" s="201">
        <f t="shared" si="26"/>
        <v>77.973213649155994</v>
      </c>
      <c r="L98" s="601"/>
      <c r="M98" s="202">
        <f>RANK(K98, K$77:$K$106)</f>
        <v>10</v>
      </c>
      <c r="N98" s="619"/>
      <c r="O98" s="619"/>
      <c r="P98" s="183">
        <v>16</v>
      </c>
      <c r="Q98" s="183">
        <v>1303.2000000000003</v>
      </c>
      <c r="R98" s="183">
        <v>81.450000000000017</v>
      </c>
      <c r="S98" s="343">
        <f t="shared" si="27"/>
        <v>5</v>
      </c>
      <c r="T98" s="658"/>
      <c r="U98" s="183">
        <v>16</v>
      </c>
      <c r="V98" s="183">
        <v>1304.0425531914896</v>
      </c>
      <c r="W98" s="183">
        <v>81.502659574468098</v>
      </c>
      <c r="X98" s="343">
        <f t="shared" si="28"/>
        <v>6</v>
      </c>
      <c r="Y98" s="658"/>
      <c r="Z98" s="183">
        <v>19</v>
      </c>
      <c r="AA98" s="183">
        <v>1290.4109589041086</v>
      </c>
      <c r="AB98" s="183">
        <v>67.916366258110983</v>
      </c>
      <c r="AC98" s="343">
        <f t="shared" si="29"/>
        <v>20</v>
      </c>
      <c r="AD98" s="658"/>
      <c r="AE98" s="183">
        <v>15</v>
      </c>
      <c r="AF98" s="183">
        <v>1260.7142857142853</v>
      </c>
      <c r="AG98" s="183">
        <v>84.047619047619023</v>
      </c>
      <c r="AH98" s="343">
        <f t="shared" si="30"/>
        <v>4</v>
      </c>
      <c r="AI98" s="658"/>
      <c r="AJ98" s="183">
        <v>16</v>
      </c>
      <c r="AK98" s="183">
        <v>1286.4285714285709</v>
      </c>
      <c r="AL98" s="183">
        <v>80.40178571428568</v>
      </c>
      <c r="AM98" s="343">
        <f t="shared" si="31"/>
        <v>9</v>
      </c>
      <c r="AN98" s="658"/>
      <c r="AO98" s="183">
        <v>15</v>
      </c>
      <c r="AP98" s="183">
        <v>1270.7368421052633</v>
      </c>
      <c r="AQ98" s="183">
        <v>84.715789473684225</v>
      </c>
      <c r="AR98" s="343">
        <f t="shared" si="32"/>
        <v>4</v>
      </c>
      <c r="AS98" s="658"/>
      <c r="AT98" s="183">
        <v>19</v>
      </c>
      <c r="AU98" s="183">
        <v>1249.7872340425533</v>
      </c>
      <c r="AV98" s="183">
        <v>65.778275475923863</v>
      </c>
      <c r="AW98" s="343">
        <f t="shared" si="33"/>
        <v>22</v>
      </c>
      <c r="AX98" s="658"/>
    </row>
    <row r="99" spans="2:50">
      <c r="B99" s="627"/>
      <c r="C99" s="317">
        <v>23</v>
      </c>
      <c r="D99" s="228" t="s">
        <v>872</v>
      </c>
      <c r="E99" s="183">
        <v>16</v>
      </c>
      <c r="F99" s="317">
        <v>1500</v>
      </c>
      <c r="G99" s="320">
        <v>93.8</v>
      </c>
      <c r="H99" s="662"/>
      <c r="I99" s="200">
        <f t="shared" si="24"/>
        <v>16</v>
      </c>
      <c r="J99" s="200">
        <f t="shared" si="25"/>
        <v>1274.3860676639938</v>
      </c>
      <c r="K99" s="201">
        <f t="shared" si="26"/>
        <v>79.649129228999612</v>
      </c>
      <c r="L99" s="601"/>
      <c r="M99" s="202">
        <f>RANK(K99, K$77:$K$106)</f>
        <v>8</v>
      </c>
      <c r="N99" s="619"/>
      <c r="O99" s="619"/>
      <c r="P99" s="183">
        <v>16</v>
      </c>
      <c r="Q99" s="183">
        <v>1301.6666666666656</v>
      </c>
      <c r="R99" s="183">
        <v>81.3541666666666</v>
      </c>
      <c r="S99" s="343">
        <f t="shared" si="27"/>
        <v>6</v>
      </c>
      <c r="T99" s="658"/>
      <c r="U99" s="183">
        <v>16</v>
      </c>
      <c r="V99" s="183">
        <v>1276.6666666666656</v>
      </c>
      <c r="W99" s="183">
        <v>79.7916666666666</v>
      </c>
      <c r="X99" s="343">
        <f t="shared" si="28"/>
        <v>8</v>
      </c>
      <c r="Y99" s="658"/>
      <c r="Z99" s="183">
        <v>16</v>
      </c>
      <c r="AA99" s="183">
        <v>1318.0645161290302</v>
      </c>
      <c r="AB99" s="183">
        <v>82.379032258064385</v>
      </c>
      <c r="AC99" s="343">
        <f t="shared" si="29"/>
        <v>6</v>
      </c>
      <c r="AD99" s="658"/>
      <c r="AE99" s="183">
        <v>16</v>
      </c>
      <c r="AF99" s="183">
        <v>1103.2258064516111</v>
      </c>
      <c r="AG99" s="183">
        <v>68.951612903225694</v>
      </c>
      <c r="AH99" s="343">
        <f t="shared" si="30"/>
        <v>20</v>
      </c>
      <c r="AI99" s="658"/>
      <c r="AJ99" s="183">
        <v>16</v>
      </c>
      <c r="AK99" s="183">
        <v>1309.2857142857115</v>
      </c>
      <c r="AL99" s="183">
        <v>81.830357142856968</v>
      </c>
      <c r="AM99" s="343">
        <f t="shared" si="31"/>
        <v>4</v>
      </c>
      <c r="AN99" s="658"/>
      <c r="AO99" s="183">
        <v>16</v>
      </c>
      <c r="AP99" s="183">
        <v>1297.9999999999977</v>
      </c>
      <c r="AQ99" s="183">
        <v>81.124999999999858</v>
      </c>
      <c r="AR99" s="343">
        <f t="shared" si="32"/>
        <v>8</v>
      </c>
      <c r="AS99" s="658"/>
      <c r="AT99" s="183">
        <v>16</v>
      </c>
      <c r="AU99" s="183">
        <v>1313.7931034482733</v>
      </c>
      <c r="AV99" s="183">
        <v>82.112068965517082</v>
      </c>
      <c r="AW99" s="343">
        <f t="shared" si="33"/>
        <v>6</v>
      </c>
      <c r="AX99" s="658"/>
    </row>
    <row r="100" spans="2:50">
      <c r="B100" s="627"/>
      <c r="C100" s="317">
        <v>24</v>
      </c>
      <c r="D100" s="228" t="s">
        <v>873</v>
      </c>
      <c r="E100" s="183">
        <v>20</v>
      </c>
      <c r="F100" s="317">
        <v>1500</v>
      </c>
      <c r="G100" s="320">
        <v>75</v>
      </c>
      <c r="H100" s="662"/>
      <c r="I100" s="493">
        <f t="shared" ref="I100:I101" si="34">AVERAGE(P100,U100,Z100,AE100,AJ100,AO100,AT100)</f>
        <v>19.857142857142858</v>
      </c>
      <c r="J100" s="493">
        <f t="shared" ref="J100:J101" si="35">AVERAGE(Q100,V100,AA100,AF100,AK100,AP100,AU100)</f>
        <v>1083.1321008412128</v>
      </c>
      <c r="K100" s="201">
        <f t="shared" ref="K100:K101" si="36">AVERAGE(R100,W100,AB100,AG100,AL100,AQ100,AV100)</f>
        <v>54.563946926182709</v>
      </c>
      <c r="L100" s="601"/>
      <c r="M100" s="202">
        <f>RANK(K100, K$77:$K$106)</f>
        <v>25</v>
      </c>
      <c r="N100" s="619"/>
      <c r="O100" s="619"/>
      <c r="P100" s="376">
        <v>20</v>
      </c>
      <c r="Q100" s="377">
        <v>1086.0550458715604</v>
      </c>
      <c r="R100" s="377">
        <v>54.302752293578024</v>
      </c>
      <c r="S100" s="343">
        <f t="shared" si="27"/>
        <v>25</v>
      </c>
      <c r="T100" s="658"/>
      <c r="U100" s="532">
        <v>19</v>
      </c>
      <c r="V100" s="533">
        <v>1083.5294117647063</v>
      </c>
      <c r="W100" s="533">
        <v>57.027863777089806</v>
      </c>
      <c r="X100" s="343">
        <f t="shared" si="28"/>
        <v>25</v>
      </c>
      <c r="Y100" s="658"/>
      <c r="Z100" s="532">
        <v>20</v>
      </c>
      <c r="AA100" s="533">
        <v>1095.1724137931033</v>
      </c>
      <c r="AB100" s="533">
        <v>54.75862068965516</v>
      </c>
      <c r="AC100" s="343">
        <f t="shared" si="29"/>
        <v>25</v>
      </c>
      <c r="AD100" s="658"/>
      <c r="AE100" s="532">
        <v>20</v>
      </c>
      <c r="AF100" s="533">
        <v>1074.065934065934</v>
      </c>
      <c r="AG100" s="533">
        <v>53.703296703296701</v>
      </c>
      <c r="AH100" s="343">
        <f t="shared" si="30"/>
        <v>25</v>
      </c>
      <c r="AI100" s="658"/>
      <c r="AJ100" s="532">
        <v>20</v>
      </c>
      <c r="AK100" s="533">
        <v>1076.2500000000002</v>
      </c>
      <c r="AL100" s="533">
        <v>53.812500000000014</v>
      </c>
      <c r="AM100" s="343">
        <f t="shared" si="31"/>
        <v>25</v>
      </c>
      <c r="AN100" s="658"/>
      <c r="AO100" s="532">
        <v>20</v>
      </c>
      <c r="AP100" s="533">
        <v>1101.7142857142862</v>
      </c>
      <c r="AQ100" s="533">
        <v>55.08571428571431</v>
      </c>
      <c r="AR100" s="343">
        <f t="shared" si="32"/>
        <v>25</v>
      </c>
      <c r="AS100" s="658"/>
      <c r="AT100" s="532">
        <v>20</v>
      </c>
      <c r="AU100" s="533">
        <v>1065.1376146788998</v>
      </c>
      <c r="AV100" s="533">
        <v>53.256880733944989</v>
      </c>
      <c r="AW100" s="343">
        <f t="shared" si="33"/>
        <v>25</v>
      </c>
      <c r="AX100" s="658"/>
    </row>
    <row r="101" spans="2:50">
      <c r="B101" s="627"/>
      <c r="C101" s="317">
        <v>25</v>
      </c>
      <c r="D101" s="228" t="s">
        <v>893</v>
      </c>
      <c r="E101" s="183">
        <v>17</v>
      </c>
      <c r="F101" s="317">
        <v>1440</v>
      </c>
      <c r="G101" s="320">
        <v>84.7</v>
      </c>
      <c r="H101" s="662"/>
      <c r="I101" s="493">
        <f t="shared" si="34"/>
        <v>16.428571428571427</v>
      </c>
      <c r="J101" s="493">
        <f t="shared" si="35"/>
        <v>1288.1530006579283</v>
      </c>
      <c r="K101" s="201">
        <f t="shared" si="36"/>
        <v>78.487030451361534</v>
      </c>
      <c r="L101" s="601"/>
      <c r="M101" s="202">
        <f>RANK(K101, K$77:$K$106)</f>
        <v>9</v>
      </c>
      <c r="N101" s="619"/>
      <c r="O101" s="619"/>
      <c r="P101" s="376">
        <v>16</v>
      </c>
      <c r="Q101" s="377">
        <v>1298.4172661870505</v>
      </c>
      <c r="R101" s="377">
        <v>81.151079136690655</v>
      </c>
      <c r="S101" s="343">
        <f t="shared" si="27"/>
        <v>7</v>
      </c>
      <c r="T101" s="658"/>
      <c r="U101" s="532">
        <v>17</v>
      </c>
      <c r="V101" s="533">
        <v>1289.1428571428576</v>
      </c>
      <c r="W101" s="533">
        <v>75.831932773109273</v>
      </c>
      <c r="X101" s="343">
        <f t="shared" si="28"/>
        <v>13</v>
      </c>
      <c r="Y101" s="658"/>
      <c r="Z101" s="532">
        <v>16</v>
      </c>
      <c r="AA101" s="533">
        <v>1297.5686274509808</v>
      </c>
      <c r="AB101" s="533">
        <v>81.098039215686299</v>
      </c>
      <c r="AC101" s="343">
        <f t="shared" si="29"/>
        <v>8</v>
      </c>
      <c r="AD101" s="658"/>
      <c r="AE101" s="532">
        <v>17</v>
      </c>
      <c r="AF101" s="533">
        <v>1272.6153846153854</v>
      </c>
      <c r="AG101" s="533">
        <v>74.859728506787377</v>
      </c>
      <c r="AH101" s="343">
        <f t="shared" si="30"/>
        <v>12</v>
      </c>
      <c r="AI101" s="658"/>
      <c r="AJ101" s="532">
        <v>16</v>
      </c>
      <c r="AK101" s="533">
        <v>1297.5686274509808</v>
      </c>
      <c r="AL101" s="533">
        <v>81.098039215686299</v>
      </c>
      <c r="AM101" s="343">
        <f t="shared" si="31"/>
        <v>7</v>
      </c>
      <c r="AN101" s="658"/>
      <c r="AO101" s="532">
        <v>17</v>
      </c>
      <c r="AP101" s="533">
        <v>1289.1428571428578</v>
      </c>
      <c r="AQ101" s="533">
        <v>75.831932773109287</v>
      </c>
      <c r="AR101" s="343">
        <f t="shared" si="32"/>
        <v>12</v>
      </c>
      <c r="AS101" s="658"/>
      <c r="AT101" s="532">
        <v>16</v>
      </c>
      <c r="AU101" s="533">
        <v>1272.6153846153854</v>
      </c>
      <c r="AV101" s="533">
        <v>79.53846153846159</v>
      </c>
      <c r="AW101" s="343">
        <f t="shared" si="33"/>
        <v>8</v>
      </c>
      <c r="AX101" s="658"/>
    </row>
    <row r="102" spans="2:50">
      <c r="B102" s="627"/>
      <c r="C102" s="317">
        <v>26</v>
      </c>
      <c r="D102" s="228"/>
      <c r="E102" s="183"/>
      <c r="F102" s="317"/>
      <c r="G102" s="320"/>
      <c r="H102" s="662"/>
      <c r="I102" s="493"/>
      <c r="J102" s="493"/>
      <c r="K102" s="201"/>
      <c r="L102" s="601"/>
      <c r="M102" s="202" t="e">
        <f>RANK(K102, K$77:$K$106)</f>
        <v>#N/A</v>
      </c>
      <c r="N102" s="619"/>
      <c r="O102" s="619"/>
      <c r="P102" s="494"/>
      <c r="Q102" s="495"/>
      <c r="R102" s="495"/>
      <c r="S102" s="343" t="e">
        <f t="shared" si="27"/>
        <v>#N/A</v>
      </c>
      <c r="T102" s="658"/>
      <c r="U102" s="532"/>
      <c r="V102" s="533"/>
      <c r="W102" s="533"/>
      <c r="X102" s="343" t="e">
        <f t="shared" si="28"/>
        <v>#N/A</v>
      </c>
      <c r="Y102" s="658"/>
      <c r="Z102" s="532"/>
      <c r="AA102" s="533"/>
      <c r="AB102" s="533"/>
      <c r="AC102" s="343" t="e">
        <f t="shared" si="29"/>
        <v>#N/A</v>
      </c>
      <c r="AD102" s="658"/>
      <c r="AE102" s="532"/>
      <c r="AF102" s="533"/>
      <c r="AG102" s="533"/>
      <c r="AH102" s="343" t="e">
        <f t="shared" si="30"/>
        <v>#N/A</v>
      </c>
      <c r="AI102" s="658"/>
      <c r="AJ102" s="532"/>
      <c r="AK102" s="533"/>
      <c r="AL102" s="533"/>
      <c r="AM102" s="343" t="e">
        <f t="shared" si="31"/>
        <v>#N/A</v>
      </c>
      <c r="AN102" s="658"/>
      <c r="AO102" s="532"/>
      <c r="AP102" s="533"/>
      <c r="AQ102" s="533"/>
      <c r="AR102" s="343" t="e">
        <f t="shared" si="32"/>
        <v>#N/A</v>
      </c>
      <c r="AS102" s="658"/>
      <c r="AT102" s="532"/>
      <c r="AU102" s="533"/>
      <c r="AV102" s="533"/>
      <c r="AW102" s="343" t="e">
        <f t="shared" si="33"/>
        <v>#N/A</v>
      </c>
      <c r="AX102" s="658"/>
    </row>
    <row r="103" spans="2:50">
      <c r="B103" s="627"/>
      <c r="C103" s="317">
        <v>27</v>
      </c>
      <c r="D103" s="228"/>
      <c r="E103" s="183"/>
      <c r="F103" s="317"/>
      <c r="G103" s="320"/>
      <c r="H103" s="662"/>
      <c r="I103" s="200"/>
      <c r="J103" s="200"/>
      <c r="K103" s="201"/>
      <c r="L103" s="601"/>
      <c r="M103" s="202" t="e">
        <f>RANK(K103, K$77:$K$106)</f>
        <v>#N/A</v>
      </c>
      <c r="N103" s="619"/>
      <c r="O103" s="619"/>
      <c r="P103" s="376"/>
      <c r="Q103" s="377"/>
      <c r="R103" s="377"/>
      <c r="S103" s="343" t="e">
        <f t="shared" si="27"/>
        <v>#N/A</v>
      </c>
      <c r="T103" s="658"/>
      <c r="U103" s="376"/>
      <c r="V103" s="377"/>
      <c r="W103" s="377"/>
      <c r="X103" s="343" t="e">
        <f t="shared" si="28"/>
        <v>#N/A</v>
      </c>
      <c r="Y103" s="658"/>
      <c r="Z103" s="376"/>
      <c r="AA103" s="377"/>
      <c r="AB103" s="377"/>
      <c r="AC103" s="343" t="e">
        <f t="shared" si="29"/>
        <v>#N/A</v>
      </c>
      <c r="AD103" s="658"/>
      <c r="AE103" s="376"/>
      <c r="AF103" s="377"/>
      <c r="AG103" s="377"/>
      <c r="AH103" s="343" t="e">
        <f t="shared" si="30"/>
        <v>#N/A</v>
      </c>
      <c r="AI103" s="658"/>
      <c r="AJ103" s="376"/>
      <c r="AK103" s="377"/>
      <c r="AL103" s="377"/>
      <c r="AM103" s="343" t="e">
        <f t="shared" si="31"/>
        <v>#N/A</v>
      </c>
      <c r="AN103" s="658"/>
      <c r="AO103" s="376"/>
      <c r="AP103" s="377"/>
      <c r="AQ103" s="377"/>
      <c r="AR103" s="343" t="e">
        <f t="shared" si="32"/>
        <v>#N/A</v>
      </c>
      <c r="AS103" s="658"/>
      <c r="AT103" s="376"/>
      <c r="AU103" s="377"/>
      <c r="AV103" s="377"/>
      <c r="AW103" s="343" t="e">
        <f t="shared" si="33"/>
        <v>#N/A</v>
      </c>
      <c r="AX103" s="658"/>
    </row>
    <row r="104" spans="2:50">
      <c r="B104" s="627"/>
      <c r="C104" s="317">
        <v>28</v>
      </c>
      <c r="D104" s="228"/>
      <c r="E104" s="183"/>
      <c r="F104" s="317"/>
      <c r="G104" s="320"/>
      <c r="H104" s="662"/>
      <c r="I104" s="200"/>
      <c r="J104" s="200"/>
      <c r="K104" s="201"/>
      <c r="L104" s="601"/>
      <c r="M104" s="202" t="e">
        <f>RANK(K104, K$77:$K$106)</f>
        <v>#N/A</v>
      </c>
      <c r="N104" s="619"/>
      <c r="O104" s="619"/>
      <c r="P104" s="317"/>
      <c r="Q104" s="320"/>
      <c r="R104" s="320"/>
      <c r="S104" s="343" t="e">
        <f t="shared" si="27"/>
        <v>#N/A</v>
      </c>
      <c r="T104" s="658"/>
      <c r="U104" s="343"/>
      <c r="V104" s="346"/>
      <c r="W104" s="346"/>
      <c r="X104" s="343" t="e">
        <f t="shared" si="28"/>
        <v>#N/A</v>
      </c>
      <c r="Y104" s="658"/>
      <c r="Z104" s="343"/>
      <c r="AA104" s="346"/>
      <c r="AB104" s="346"/>
      <c r="AC104" s="343" t="e">
        <f t="shared" si="29"/>
        <v>#N/A</v>
      </c>
      <c r="AD104" s="658"/>
      <c r="AE104" s="343"/>
      <c r="AF104" s="346"/>
      <c r="AG104" s="346"/>
      <c r="AH104" s="343" t="e">
        <f t="shared" si="30"/>
        <v>#N/A</v>
      </c>
      <c r="AI104" s="658"/>
      <c r="AJ104" s="343"/>
      <c r="AK104" s="346"/>
      <c r="AL104" s="346"/>
      <c r="AM104" s="343" t="e">
        <f t="shared" si="31"/>
        <v>#N/A</v>
      </c>
      <c r="AN104" s="658"/>
      <c r="AO104" s="343"/>
      <c r="AP104" s="346"/>
      <c r="AQ104" s="346"/>
      <c r="AR104" s="343" t="e">
        <f t="shared" si="32"/>
        <v>#N/A</v>
      </c>
      <c r="AS104" s="658"/>
      <c r="AT104" s="343"/>
      <c r="AU104" s="346"/>
      <c r="AV104" s="346"/>
      <c r="AW104" s="343" t="e">
        <f t="shared" si="33"/>
        <v>#N/A</v>
      </c>
      <c r="AX104" s="658"/>
    </row>
    <row r="105" spans="2:50">
      <c r="B105" s="627"/>
      <c r="C105" s="317">
        <v>29</v>
      </c>
      <c r="D105" s="228"/>
      <c r="E105" s="183"/>
      <c r="F105" s="317"/>
      <c r="G105" s="320"/>
      <c r="H105" s="662"/>
      <c r="I105" s="203"/>
      <c r="J105" s="203"/>
      <c r="K105" s="203"/>
      <c r="L105" s="601"/>
      <c r="M105" s="202" t="e">
        <f>RANK(K105, K$77:$K$106)</f>
        <v>#N/A</v>
      </c>
      <c r="N105" s="619"/>
      <c r="O105" s="619"/>
      <c r="P105" s="317"/>
      <c r="Q105" s="317"/>
      <c r="R105" s="317"/>
      <c r="S105" s="343" t="e">
        <f t="shared" si="27"/>
        <v>#N/A</v>
      </c>
      <c r="T105" s="658"/>
      <c r="U105" s="343"/>
      <c r="V105" s="343"/>
      <c r="W105" s="343"/>
      <c r="X105" s="343" t="e">
        <f t="shared" si="28"/>
        <v>#N/A</v>
      </c>
      <c r="Y105" s="658"/>
      <c r="Z105" s="343"/>
      <c r="AA105" s="343"/>
      <c r="AB105" s="343"/>
      <c r="AC105" s="343" t="e">
        <f t="shared" si="29"/>
        <v>#N/A</v>
      </c>
      <c r="AD105" s="658"/>
      <c r="AE105" s="343"/>
      <c r="AF105" s="343"/>
      <c r="AG105" s="343"/>
      <c r="AH105" s="343" t="e">
        <f t="shared" si="30"/>
        <v>#N/A</v>
      </c>
      <c r="AI105" s="658"/>
      <c r="AJ105" s="343"/>
      <c r="AK105" s="343"/>
      <c r="AL105" s="343"/>
      <c r="AM105" s="343" t="e">
        <f t="shared" si="31"/>
        <v>#N/A</v>
      </c>
      <c r="AN105" s="658"/>
      <c r="AO105" s="343"/>
      <c r="AP105" s="343"/>
      <c r="AQ105" s="343"/>
      <c r="AR105" s="343" t="e">
        <f t="shared" si="32"/>
        <v>#N/A</v>
      </c>
      <c r="AS105" s="658"/>
      <c r="AT105" s="343"/>
      <c r="AU105" s="343"/>
      <c r="AV105" s="343"/>
      <c r="AW105" s="343" t="e">
        <f t="shared" si="33"/>
        <v>#N/A</v>
      </c>
      <c r="AX105" s="658"/>
    </row>
    <row r="106" spans="2:50">
      <c r="B106" s="627"/>
      <c r="C106" s="317">
        <v>30</v>
      </c>
      <c r="D106" s="228"/>
      <c r="E106" s="183"/>
      <c r="F106" s="317"/>
      <c r="G106" s="320"/>
      <c r="H106" s="663"/>
      <c r="I106" s="203"/>
      <c r="J106" s="203"/>
      <c r="K106" s="203"/>
      <c r="L106" s="602"/>
      <c r="M106" s="202" t="e">
        <f>RANK(K106, K$77:$K$106)</f>
        <v>#N/A</v>
      </c>
      <c r="N106" s="619"/>
      <c r="O106" s="619"/>
      <c r="P106" s="317"/>
      <c r="Q106" s="317"/>
      <c r="R106" s="317"/>
      <c r="S106" s="343" t="e">
        <f t="shared" si="27"/>
        <v>#N/A</v>
      </c>
      <c r="T106" s="658"/>
      <c r="U106" s="343"/>
      <c r="V106" s="343"/>
      <c r="W106" s="343"/>
      <c r="X106" s="343" t="e">
        <f t="shared" si="28"/>
        <v>#N/A</v>
      </c>
      <c r="Y106" s="658"/>
      <c r="Z106" s="343"/>
      <c r="AA106" s="343"/>
      <c r="AB106" s="343"/>
      <c r="AC106" s="343" t="e">
        <f t="shared" si="29"/>
        <v>#N/A</v>
      </c>
      <c r="AD106" s="658"/>
      <c r="AE106" s="343"/>
      <c r="AF106" s="343"/>
      <c r="AG106" s="343"/>
      <c r="AH106" s="343" t="e">
        <f t="shared" si="30"/>
        <v>#N/A</v>
      </c>
      <c r="AI106" s="658"/>
      <c r="AJ106" s="343"/>
      <c r="AK106" s="343"/>
      <c r="AL106" s="343"/>
      <c r="AM106" s="343" t="e">
        <f t="shared" si="31"/>
        <v>#N/A</v>
      </c>
      <c r="AN106" s="658"/>
      <c r="AO106" s="343"/>
      <c r="AP106" s="343"/>
      <c r="AQ106" s="343"/>
      <c r="AR106" s="343" t="e">
        <f t="shared" si="32"/>
        <v>#N/A</v>
      </c>
      <c r="AS106" s="658"/>
      <c r="AT106" s="343"/>
      <c r="AU106" s="343"/>
      <c r="AV106" s="343"/>
      <c r="AW106" s="343" t="e">
        <f t="shared" si="33"/>
        <v>#N/A</v>
      </c>
      <c r="AX106" s="658"/>
    </row>
    <row r="107" spans="2:50" ht="15.5">
      <c r="B107" s="631" t="s">
        <v>163</v>
      </c>
      <c r="C107" s="632"/>
      <c r="D107" s="632"/>
      <c r="E107" s="632"/>
      <c r="F107" s="632"/>
      <c r="G107" s="632"/>
      <c r="H107" s="633"/>
      <c r="I107" s="209"/>
      <c r="J107" s="209"/>
      <c r="K107" s="209"/>
      <c r="L107" s="209"/>
      <c r="M107" s="208"/>
      <c r="N107" s="620" t="s">
        <v>156</v>
      </c>
      <c r="O107" s="620" t="s">
        <v>105</v>
      </c>
      <c r="P107" s="626">
        <f>P72+7</f>
        <v>46007</v>
      </c>
      <c r="Q107" s="627"/>
      <c r="R107" s="627"/>
      <c r="S107" s="627"/>
      <c r="T107" s="627"/>
      <c r="U107" s="623">
        <f>P107+1</f>
        <v>46008</v>
      </c>
      <c r="V107" s="624"/>
      <c r="W107" s="624"/>
      <c r="X107" s="624"/>
      <c r="Y107" s="625"/>
      <c r="Z107" s="623">
        <f>U107+1</f>
        <v>46009</v>
      </c>
      <c r="AA107" s="624"/>
      <c r="AB107" s="624"/>
      <c r="AC107" s="624"/>
      <c r="AD107" s="625"/>
      <c r="AE107" s="623">
        <f>Z107+1</f>
        <v>46010</v>
      </c>
      <c r="AF107" s="624"/>
      <c r="AG107" s="624"/>
      <c r="AH107" s="624"/>
      <c r="AI107" s="625"/>
      <c r="AJ107" s="623">
        <f>AE107+1</f>
        <v>46011</v>
      </c>
      <c r="AK107" s="624"/>
      <c r="AL107" s="624"/>
      <c r="AM107" s="624"/>
      <c r="AN107" s="625"/>
      <c r="AO107" s="623">
        <f>AJ107+1</f>
        <v>46012</v>
      </c>
      <c r="AP107" s="624"/>
      <c r="AQ107" s="624"/>
      <c r="AR107" s="624"/>
      <c r="AS107" s="625"/>
      <c r="AT107" s="623">
        <f>AO107+1</f>
        <v>46013</v>
      </c>
      <c r="AU107" s="624"/>
      <c r="AV107" s="624"/>
      <c r="AW107" s="624"/>
      <c r="AX107" s="625"/>
    </row>
    <row r="108" spans="2:50" ht="15.5">
      <c r="B108" s="634"/>
      <c r="C108" s="634"/>
      <c r="D108" s="634"/>
      <c r="E108" s="634"/>
      <c r="F108" s="634"/>
      <c r="G108" s="634"/>
      <c r="H108" s="634"/>
      <c r="I108" s="206"/>
      <c r="J108" s="206"/>
      <c r="K108" s="206"/>
      <c r="L108" s="206"/>
      <c r="M108" s="207"/>
      <c r="N108" s="622"/>
      <c r="O108" s="622"/>
      <c r="P108" s="626" t="s">
        <v>336</v>
      </c>
      <c r="Q108" s="627"/>
      <c r="R108" s="627"/>
      <c r="S108" s="627"/>
      <c r="T108" s="627"/>
      <c r="U108" s="626" t="s">
        <v>337</v>
      </c>
      <c r="V108" s="627"/>
      <c r="W108" s="627"/>
      <c r="X108" s="627"/>
      <c r="Y108" s="627"/>
      <c r="Z108" s="626" t="s">
        <v>338</v>
      </c>
      <c r="AA108" s="627"/>
      <c r="AB108" s="627"/>
      <c r="AC108" s="627"/>
      <c r="AD108" s="627"/>
      <c r="AE108" s="626" t="s">
        <v>339</v>
      </c>
      <c r="AF108" s="627"/>
      <c r="AG108" s="627"/>
      <c r="AH108" s="627"/>
      <c r="AI108" s="627"/>
      <c r="AJ108" s="626" t="s">
        <v>340</v>
      </c>
      <c r="AK108" s="627"/>
      <c r="AL108" s="627"/>
      <c r="AM108" s="627"/>
      <c r="AN108" s="627"/>
      <c r="AO108" s="626" t="s">
        <v>341</v>
      </c>
      <c r="AP108" s="627"/>
      <c r="AQ108" s="627"/>
      <c r="AR108" s="627"/>
      <c r="AS108" s="627"/>
      <c r="AT108" s="626" t="s">
        <v>342</v>
      </c>
      <c r="AU108" s="627"/>
      <c r="AV108" s="627"/>
      <c r="AW108" s="627"/>
      <c r="AX108" s="627"/>
    </row>
    <row r="109" spans="2:50">
      <c r="B109" s="619" t="s">
        <v>502</v>
      </c>
      <c r="C109" s="619" t="s">
        <v>503</v>
      </c>
      <c r="D109" s="619"/>
      <c r="E109" s="619" t="s">
        <v>504</v>
      </c>
      <c r="F109" s="619"/>
      <c r="G109" s="619"/>
      <c r="H109" s="635" t="s">
        <v>505</v>
      </c>
      <c r="I109" s="603" t="s">
        <v>506</v>
      </c>
      <c r="J109" s="603"/>
      <c r="K109" s="603"/>
      <c r="L109" s="604" t="s">
        <v>505</v>
      </c>
      <c r="M109" s="610" t="s">
        <v>507</v>
      </c>
      <c r="N109" s="619"/>
      <c r="O109" s="619" t="s">
        <v>508</v>
      </c>
      <c r="P109" s="616" t="s">
        <v>509</v>
      </c>
      <c r="Q109" s="617"/>
      <c r="R109" s="617"/>
      <c r="S109" s="618"/>
      <c r="T109" s="619" t="s">
        <v>505</v>
      </c>
      <c r="U109" s="616" t="s">
        <v>509</v>
      </c>
      <c r="V109" s="617"/>
      <c r="W109" s="617"/>
      <c r="X109" s="618"/>
      <c r="Y109" s="619" t="s">
        <v>505</v>
      </c>
      <c r="Z109" s="616" t="s">
        <v>509</v>
      </c>
      <c r="AA109" s="617"/>
      <c r="AB109" s="617"/>
      <c r="AC109" s="618"/>
      <c r="AD109" s="619" t="s">
        <v>505</v>
      </c>
      <c r="AE109" s="616" t="s">
        <v>509</v>
      </c>
      <c r="AF109" s="617"/>
      <c r="AG109" s="617"/>
      <c r="AH109" s="618"/>
      <c r="AI109" s="619" t="s">
        <v>505</v>
      </c>
      <c r="AJ109" s="616" t="s">
        <v>509</v>
      </c>
      <c r="AK109" s="617"/>
      <c r="AL109" s="617"/>
      <c r="AM109" s="618"/>
      <c r="AN109" s="619" t="s">
        <v>505</v>
      </c>
      <c r="AO109" s="616" t="s">
        <v>509</v>
      </c>
      <c r="AP109" s="617"/>
      <c r="AQ109" s="617"/>
      <c r="AR109" s="618"/>
      <c r="AS109" s="619" t="s">
        <v>505</v>
      </c>
      <c r="AT109" s="616" t="s">
        <v>509</v>
      </c>
      <c r="AU109" s="617"/>
      <c r="AV109" s="617"/>
      <c r="AW109" s="618"/>
      <c r="AX109" s="619" t="s">
        <v>505</v>
      </c>
    </row>
    <row r="110" spans="2:50">
      <c r="B110" s="619"/>
      <c r="C110" s="619"/>
      <c r="D110" s="619"/>
      <c r="E110" s="619" t="s">
        <v>510</v>
      </c>
      <c r="F110" s="619"/>
      <c r="G110" s="619"/>
      <c r="H110" s="636"/>
      <c r="I110" s="603" t="s">
        <v>510</v>
      </c>
      <c r="J110" s="603"/>
      <c r="K110" s="603"/>
      <c r="L110" s="605"/>
      <c r="M110" s="611"/>
      <c r="N110" s="619"/>
      <c r="O110" s="619"/>
      <c r="P110" s="616" t="s">
        <v>511</v>
      </c>
      <c r="Q110" s="617"/>
      <c r="R110" s="617"/>
      <c r="S110" s="618"/>
      <c r="T110" s="619"/>
      <c r="U110" s="616" t="s">
        <v>511</v>
      </c>
      <c r="V110" s="617"/>
      <c r="W110" s="617"/>
      <c r="X110" s="618"/>
      <c r="Y110" s="619"/>
      <c r="Z110" s="616" t="s">
        <v>511</v>
      </c>
      <c r="AA110" s="617"/>
      <c r="AB110" s="617"/>
      <c r="AC110" s="618"/>
      <c r="AD110" s="619"/>
      <c r="AE110" s="616" t="s">
        <v>511</v>
      </c>
      <c r="AF110" s="617"/>
      <c r="AG110" s="617"/>
      <c r="AH110" s="618"/>
      <c r="AI110" s="619"/>
      <c r="AJ110" s="616" t="s">
        <v>511</v>
      </c>
      <c r="AK110" s="617"/>
      <c r="AL110" s="617"/>
      <c r="AM110" s="618"/>
      <c r="AN110" s="619"/>
      <c r="AO110" s="616" t="s">
        <v>511</v>
      </c>
      <c r="AP110" s="617"/>
      <c r="AQ110" s="617"/>
      <c r="AR110" s="618"/>
      <c r="AS110" s="619"/>
      <c r="AT110" s="616" t="s">
        <v>511</v>
      </c>
      <c r="AU110" s="617"/>
      <c r="AV110" s="617"/>
      <c r="AW110" s="618"/>
      <c r="AX110" s="619"/>
    </row>
    <row r="111" spans="2:50">
      <c r="B111" s="619"/>
      <c r="C111" s="619"/>
      <c r="D111" s="619"/>
      <c r="E111" s="316" t="s">
        <v>512</v>
      </c>
      <c r="F111" s="316" t="s">
        <v>513</v>
      </c>
      <c r="G111" s="316" t="s">
        <v>514</v>
      </c>
      <c r="H111" s="637"/>
      <c r="I111" s="315" t="s">
        <v>512</v>
      </c>
      <c r="J111" s="315" t="s">
        <v>513</v>
      </c>
      <c r="K111" s="315" t="s">
        <v>514</v>
      </c>
      <c r="L111" s="606"/>
      <c r="M111" s="612"/>
      <c r="N111" s="619"/>
      <c r="O111" s="619"/>
      <c r="P111" s="316" t="s">
        <v>512</v>
      </c>
      <c r="Q111" s="316" t="s">
        <v>513</v>
      </c>
      <c r="R111" s="316" t="s">
        <v>514</v>
      </c>
      <c r="S111" s="316" t="s">
        <v>507</v>
      </c>
      <c r="T111" s="619"/>
      <c r="U111" s="316" t="s">
        <v>512</v>
      </c>
      <c r="V111" s="316" t="s">
        <v>513</v>
      </c>
      <c r="W111" s="316" t="s">
        <v>514</v>
      </c>
      <c r="X111" s="316" t="s">
        <v>507</v>
      </c>
      <c r="Y111" s="619"/>
      <c r="Z111" s="316" t="s">
        <v>512</v>
      </c>
      <c r="AA111" s="316" t="s">
        <v>513</v>
      </c>
      <c r="AB111" s="316" t="s">
        <v>514</v>
      </c>
      <c r="AC111" s="316" t="s">
        <v>507</v>
      </c>
      <c r="AD111" s="619"/>
      <c r="AE111" s="316" t="s">
        <v>512</v>
      </c>
      <c r="AF111" s="316" t="s">
        <v>513</v>
      </c>
      <c r="AG111" s="316" t="s">
        <v>514</v>
      </c>
      <c r="AH111" s="316" t="s">
        <v>507</v>
      </c>
      <c r="AI111" s="619"/>
      <c r="AJ111" s="316" t="s">
        <v>512</v>
      </c>
      <c r="AK111" s="316" t="s">
        <v>513</v>
      </c>
      <c r="AL111" s="316" t="s">
        <v>514</v>
      </c>
      <c r="AM111" s="316" t="s">
        <v>507</v>
      </c>
      <c r="AN111" s="619"/>
      <c r="AO111" s="316" t="s">
        <v>512</v>
      </c>
      <c r="AP111" s="316" t="s">
        <v>513</v>
      </c>
      <c r="AQ111" s="316" t="s">
        <v>514</v>
      </c>
      <c r="AR111" s="316" t="s">
        <v>507</v>
      </c>
      <c r="AS111" s="619"/>
      <c r="AT111" s="316" t="s">
        <v>512</v>
      </c>
      <c r="AU111" s="316" t="s">
        <v>513</v>
      </c>
      <c r="AV111" s="316" t="s">
        <v>514</v>
      </c>
      <c r="AW111" s="316" t="s">
        <v>507</v>
      </c>
      <c r="AX111" s="619"/>
    </row>
    <row r="112" spans="2:50">
      <c r="B112" s="619" t="s">
        <v>515</v>
      </c>
      <c r="C112" s="317">
        <v>1</v>
      </c>
      <c r="D112" s="228"/>
      <c r="E112" s="183"/>
      <c r="F112" s="354"/>
      <c r="G112" s="355"/>
      <c r="H112" s="661" t="e">
        <f>AVERAGE(G112:G141)</f>
        <v>#DIV/0!</v>
      </c>
      <c r="I112" s="200" t="e">
        <f>AVERAGE(P112,U112,Z112,AE112,AJ112,AO112,AT112)</f>
        <v>#DIV/0!</v>
      </c>
      <c r="J112" s="200" t="e">
        <f>AVERAGE(Q112,V112,AA112,AF112,AK112,AP112,AU112)</f>
        <v>#DIV/0!</v>
      </c>
      <c r="K112" s="201" t="e">
        <f>AVERAGE(R112,W112,AB112,AG112,AL112,AQ112,AV112)</f>
        <v>#DIV/0!</v>
      </c>
      <c r="L112" s="600" t="str">
        <f>IFERROR(AVERAGE(K112:K141),"-")</f>
        <v>-</v>
      </c>
      <c r="M112" s="202" t="e">
        <f>RANK(K112, K$112:$K$141)</f>
        <v>#DIV/0!</v>
      </c>
      <c r="N112" s="619"/>
      <c r="O112" s="619"/>
      <c r="P112" s="183"/>
      <c r="Q112" s="183"/>
      <c r="R112" s="183"/>
      <c r="S112" s="317" t="e">
        <f>RANK(R112, R$112:R$141)</f>
        <v>#N/A</v>
      </c>
      <c r="T112" s="658" t="e">
        <f>AVERAGE(R112:R141)</f>
        <v>#DIV/0!</v>
      </c>
      <c r="U112" s="183"/>
      <c r="V112" s="183"/>
      <c r="W112" s="183"/>
      <c r="X112" s="349" t="e">
        <f>RANK(W112, W$112:W$141)</f>
        <v>#N/A</v>
      </c>
      <c r="Y112" s="658" t="e">
        <f>AVERAGE(W112:W141)</f>
        <v>#DIV/0!</v>
      </c>
      <c r="Z112" s="183"/>
      <c r="AA112" s="183"/>
      <c r="AB112" s="183"/>
      <c r="AC112" s="349" t="e">
        <f>RANK(AB112, AB$112:AB$141)</f>
        <v>#N/A</v>
      </c>
      <c r="AD112" s="658" t="e">
        <f>AVERAGE(AB112:AB141)</f>
        <v>#DIV/0!</v>
      </c>
      <c r="AE112" s="183"/>
      <c r="AF112" s="183"/>
      <c r="AG112" s="183"/>
      <c r="AH112" s="349" t="e">
        <f>RANK(AG112, AG$112:AG$141)</f>
        <v>#N/A</v>
      </c>
      <c r="AI112" s="658" t="e">
        <f>AVERAGE(AG112:AG141)</f>
        <v>#DIV/0!</v>
      </c>
      <c r="AJ112" s="183"/>
      <c r="AK112" s="183"/>
      <c r="AL112" s="183"/>
      <c r="AM112" s="349" t="e">
        <f>RANK(AL112, AL$112:AL$141)</f>
        <v>#N/A</v>
      </c>
      <c r="AN112" s="658" t="e">
        <f>AVERAGE(AL112:AL141)</f>
        <v>#DIV/0!</v>
      </c>
      <c r="AO112" s="183"/>
      <c r="AP112" s="183"/>
      <c r="AQ112" s="183"/>
      <c r="AR112" s="349" t="e">
        <f>RANK(AQ112, AQ$112:AQ$141)</f>
        <v>#N/A</v>
      </c>
      <c r="AS112" s="658" t="e">
        <f>AVERAGE(AQ112:AQ141)</f>
        <v>#DIV/0!</v>
      </c>
      <c r="AT112" s="183"/>
      <c r="AU112" s="183"/>
      <c r="AV112" s="183"/>
      <c r="AW112" s="349" t="e">
        <f>RANK(AV112, AV$112:AV$141)</f>
        <v>#N/A</v>
      </c>
      <c r="AX112" s="658" t="e">
        <f>AVERAGE(AV112:AV141)</f>
        <v>#DIV/0!</v>
      </c>
    </row>
    <row r="113" spans="2:50">
      <c r="B113" s="627"/>
      <c r="C113" s="317">
        <v>2</v>
      </c>
      <c r="D113" s="228"/>
      <c r="E113" s="183"/>
      <c r="F113" s="354"/>
      <c r="G113" s="355"/>
      <c r="H113" s="662"/>
      <c r="I113" s="200" t="e">
        <f t="shared" ref="I113:I135" si="37">AVERAGE(P113,U113,Z113,AE113,AJ113,AO113,AT113)</f>
        <v>#DIV/0!</v>
      </c>
      <c r="J113" s="200" t="e">
        <f t="shared" ref="J113:J135" si="38">AVERAGE(Q113,V113,AA113,AF113,AK113,AP113,AU113)</f>
        <v>#DIV/0!</v>
      </c>
      <c r="K113" s="201" t="e">
        <f t="shared" ref="K113:K135" si="39">AVERAGE(R113,W113,AB113,AG113,AL113,AQ113,AV113)</f>
        <v>#DIV/0!</v>
      </c>
      <c r="L113" s="601"/>
      <c r="M113" s="202" t="e">
        <f>RANK(K113, K$112:$K$141)</f>
        <v>#DIV/0!</v>
      </c>
      <c r="N113" s="619"/>
      <c r="O113" s="619"/>
      <c r="P113" s="183"/>
      <c r="Q113" s="183"/>
      <c r="R113" s="183"/>
      <c r="S113" s="349" t="e">
        <f t="shared" ref="S113:S141" si="40">RANK(R113, R$112:R$141)</f>
        <v>#N/A</v>
      </c>
      <c r="T113" s="658"/>
      <c r="U113" s="183"/>
      <c r="V113" s="183"/>
      <c r="W113" s="183"/>
      <c r="X113" s="349" t="e">
        <f t="shared" ref="X113:X141" si="41">RANK(W113, W$112:W$141)</f>
        <v>#N/A</v>
      </c>
      <c r="Y113" s="658"/>
      <c r="Z113" s="183"/>
      <c r="AA113" s="183"/>
      <c r="AB113" s="183"/>
      <c r="AC113" s="349" t="e">
        <f t="shared" ref="AC113:AC141" si="42">RANK(AB113, AB$112:AB$141)</f>
        <v>#N/A</v>
      </c>
      <c r="AD113" s="658"/>
      <c r="AE113" s="183"/>
      <c r="AF113" s="183"/>
      <c r="AG113" s="183"/>
      <c r="AH113" s="349" t="e">
        <f t="shared" ref="AH113:AH141" si="43">RANK(AG113, AG$112:AG$141)</f>
        <v>#N/A</v>
      </c>
      <c r="AI113" s="658"/>
      <c r="AJ113" s="183"/>
      <c r="AK113" s="183"/>
      <c r="AL113" s="183"/>
      <c r="AM113" s="349" t="e">
        <f t="shared" ref="AM113:AM141" si="44">RANK(AL113, AL$112:AL$141)</f>
        <v>#N/A</v>
      </c>
      <c r="AN113" s="658"/>
      <c r="AO113" s="183"/>
      <c r="AP113" s="183"/>
      <c r="AQ113" s="183"/>
      <c r="AR113" s="349" t="e">
        <f t="shared" ref="AR113:AR141" si="45">RANK(AQ113, AQ$112:AQ$141)</f>
        <v>#N/A</v>
      </c>
      <c r="AS113" s="658"/>
      <c r="AT113" s="183"/>
      <c r="AU113" s="183"/>
      <c r="AV113" s="183"/>
      <c r="AW113" s="349" t="e">
        <f t="shared" ref="AW113:AW141" si="46">RANK(AV113, AV$112:AV$141)</f>
        <v>#N/A</v>
      </c>
      <c r="AX113" s="658"/>
    </row>
    <row r="114" spans="2:50">
      <c r="B114" s="627"/>
      <c r="C114" s="317">
        <v>3</v>
      </c>
      <c r="D114" s="228"/>
      <c r="E114" s="183"/>
      <c r="F114" s="354"/>
      <c r="G114" s="355"/>
      <c r="H114" s="662"/>
      <c r="I114" s="200" t="e">
        <f t="shared" si="37"/>
        <v>#DIV/0!</v>
      </c>
      <c r="J114" s="200" t="e">
        <f t="shared" si="38"/>
        <v>#DIV/0!</v>
      </c>
      <c r="K114" s="201" t="e">
        <f t="shared" si="39"/>
        <v>#DIV/0!</v>
      </c>
      <c r="L114" s="601"/>
      <c r="M114" s="202" t="e">
        <f>RANK(K114, K$112:$K$141)</f>
        <v>#DIV/0!</v>
      </c>
      <c r="N114" s="619"/>
      <c r="O114" s="619"/>
      <c r="P114" s="183"/>
      <c r="Q114" s="183"/>
      <c r="R114" s="183"/>
      <c r="S114" s="349" t="e">
        <f t="shared" si="40"/>
        <v>#N/A</v>
      </c>
      <c r="T114" s="658"/>
      <c r="U114" s="183"/>
      <c r="V114" s="183"/>
      <c r="W114" s="183"/>
      <c r="X114" s="349" t="e">
        <f t="shared" si="41"/>
        <v>#N/A</v>
      </c>
      <c r="Y114" s="658"/>
      <c r="Z114" s="183"/>
      <c r="AA114" s="183"/>
      <c r="AB114" s="183"/>
      <c r="AC114" s="349" t="e">
        <f t="shared" si="42"/>
        <v>#N/A</v>
      </c>
      <c r="AD114" s="658"/>
      <c r="AE114" s="183"/>
      <c r="AF114" s="183"/>
      <c r="AG114" s="183"/>
      <c r="AH114" s="349" t="e">
        <f t="shared" si="43"/>
        <v>#N/A</v>
      </c>
      <c r="AI114" s="658"/>
      <c r="AJ114" s="183"/>
      <c r="AK114" s="183"/>
      <c r="AL114" s="183"/>
      <c r="AM114" s="349" t="e">
        <f t="shared" si="44"/>
        <v>#N/A</v>
      </c>
      <c r="AN114" s="658"/>
      <c r="AO114" s="183"/>
      <c r="AP114" s="183"/>
      <c r="AQ114" s="183"/>
      <c r="AR114" s="349" t="e">
        <f t="shared" si="45"/>
        <v>#N/A</v>
      </c>
      <c r="AS114" s="658"/>
      <c r="AT114" s="183"/>
      <c r="AU114" s="183"/>
      <c r="AV114" s="183"/>
      <c r="AW114" s="349" t="e">
        <f t="shared" si="46"/>
        <v>#N/A</v>
      </c>
      <c r="AX114" s="658"/>
    </row>
    <row r="115" spans="2:50">
      <c r="B115" s="627"/>
      <c r="C115" s="317">
        <v>4</v>
      </c>
      <c r="D115" s="228"/>
      <c r="E115" s="183"/>
      <c r="F115" s="354"/>
      <c r="G115" s="355"/>
      <c r="H115" s="662"/>
      <c r="I115" s="200" t="e">
        <f t="shared" si="37"/>
        <v>#DIV/0!</v>
      </c>
      <c r="J115" s="200" t="e">
        <f t="shared" si="38"/>
        <v>#DIV/0!</v>
      </c>
      <c r="K115" s="201" t="e">
        <f t="shared" si="39"/>
        <v>#DIV/0!</v>
      </c>
      <c r="L115" s="601"/>
      <c r="M115" s="202" t="e">
        <f>RANK(K115, K$112:$K$141)</f>
        <v>#DIV/0!</v>
      </c>
      <c r="N115" s="619"/>
      <c r="O115" s="619"/>
      <c r="P115" s="183"/>
      <c r="Q115" s="183"/>
      <c r="R115" s="183"/>
      <c r="S115" s="349" t="e">
        <f t="shared" si="40"/>
        <v>#N/A</v>
      </c>
      <c r="T115" s="658"/>
      <c r="U115" s="183"/>
      <c r="V115" s="183"/>
      <c r="W115" s="183"/>
      <c r="X115" s="349" t="e">
        <f t="shared" si="41"/>
        <v>#N/A</v>
      </c>
      <c r="Y115" s="658"/>
      <c r="Z115" s="183"/>
      <c r="AA115" s="183"/>
      <c r="AB115" s="183"/>
      <c r="AC115" s="349" t="e">
        <f t="shared" si="42"/>
        <v>#N/A</v>
      </c>
      <c r="AD115" s="658"/>
      <c r="AE115" s="183"/>
      <c r="AF115" s="183"/>
      <c r="AG115" s="183"/>
      <c r="AH115" s="349" t="e">
        <f t="shared" si="43"/>
        <v>#N/A</v>
      </c>
      <c r="AI115" s="658"/>
      <c r="AJ115" s="183"/>
      <c r="AK115" s="183"/>
      <c r="AL115" s="183"/>
      <c r="AM115" s="349" t="e">
        <f t="shared" si="44"/>
        <v>#N/A</v>
      </c>
      <c r="AN115" s="658"/>
      <c r="AO115" s="183"/>
      <c r="AP115" s="183"/>
      <c r="AQ115" s="183"/>
      <c r="AR115" s="349" t="e">
        <f t="shared" si="45"/>
        <v>#N/A</v>
      </c>
      <c r="AS115" s="658"/>
      <c r="AT115" s="183"/>
      <c r="AU115" s="183"/>
      <c r="AV115" s="183"/>
      <c r="AW115" s="349" t="e">
        <f t="shared" si="46"/>
        <v>#N/A</v>
      </c>
      <c r="AX115" s="658"/>
    </row>
    <row r="116" spans="2:50">
      <c r="B116" s="627"/>
      <c r="C116" s="317">
        <v>5</v>
      </c>
      <c r="D116" s="228"/>
      <c r="E116" s="183"/>
      <c r="F116" s="354"/>
      <c r="G116" s="355"/>
      <c r="H116" s="662"/>
      <c r="I116" s="200" t="e">
        <f t="shared" si="37"/>
        <v>#DIV/0!</v>
      </c>
      <c r="J116" s="200" t="e">
        <f t="shared" si="38"/>
        <v>#DIV/0!</v>
      </c>
      <c r="K116" s="201" t="e">
        <f t="shared" si="39"/>
        <v>#DIV/0!</v>
      </c>
      <c r="L116" s="601"/>
      <c r="M116" s="202" t="e">
        <f>RANK(K116, K$112:$K$141)</f>
        <v>#DIV/0!</v>
      </c>
      <c r="N116" s="619"/>
      <c r="O116" s="619"/>
      <c r="P116" s="183"/>
      <c r="Q116" s="183"/>
      <c r="R116" s="183"/>
      <c r="S116" s="349" t="e">
        <f t="shared" si="40"/>
        <v>#N/A</v>
      </c>
      <c r="T116" s="658"/>
      <c r="U116" s="183"/>
      <c r="V116" s="183"/>
      <c r="W116" s="183"/>
      <c r="X116" s="349" t="e">
        <f t="shared" si="41"/>
        <v>#N/A</v>
      </c>
      <c r="Y116" s="658"/>
      <c r="Z116" s="183"/>
      <c r="AA116" s="183"/>
      <c r="AB116" s="183"/>
      <c r="AC116" s="349" t="e">
        <f t="shared" si="42"/>
        <v>#N/A</v>
      </c>
      <c r="AD116" s="658"/>
      <c r="AE116" s="183"/>
      <c r="AF116" s="183"/>
      <c r="AG116" s="183"/>
      <c r="AH116" s="349" t="e">
        <f t="shared" si="43"/>
        <v>#N/A</v>
      </c>
      <c r="AI116" s="658"/>
      <c r="AJ116" s="183"/>
      <c r="AK116" s="183"/>
      <c r="AL116" s="183"/>
      <c r="AM116" s="349" t="e">
        <f t="shared" si="44"/>
        <v>#N/A</v>
      </c>
      <c r="AN116" s="658"/>
      <c r="AO116" s="183"/>
      <c r="AP116" s="183"/>
      <c r="AQ116" s="183"/>
      <c r="AR116" s="349" t="e">
        <f t="shared" si="45"/>
        <v>#N/A</v>
      </c>
      <c r="AS116" s="658"/>
      <c r="AT116" s="183"/>
      <c r="AU116" s="183"/>
      <c r="AV116" s="183"/>
      <c r="AW116" s="349" t="e">
        <f t="shared" si="46"/>
        <v>#N/A</v>
      </c>
      <c r="AX116" s="658"/>
    </row>
    <row r="117" spans="2:50">
      <c r="B117" s="627"/>
      <c r="C117" s="317">
        <v>6</v>
      </c>
      <c r="D117" s="228"/>
      <c r="E117" s="183"/>
      <c r="F117" s="354"/>
      <c r="G117" s="355"/>
      <c r="H117" s="662"/>
      <c r="I117" s="200" t="e">
        <f t="shared" si="37"/>
        <v>#DIV/0!</v>
      </c>
      <c r="J117" s="200" t="e">
        <f t="shared" si="38"/>
        <v>#DIV/0!</v>
      </c>
      <c r="K117" s="201" t="e">
        <f t="shared" si="39"/>
        <v>#DIV/0!</v>
      </c>
      <c r="L117" s="601"/>
      <c r="M117" s="202" t="e">
        <f>RANK(K117, K$112:$K$141)</f>
        <v>#DIV/0!</v>
      </c>
      <c r="N117" s="619"/>
      <c r="O117" s="619"/>
      <c r="P117" s="183"/>
      <c r="Q117" s="183"/>
      <c r="R117" s="183"/>
      <c r="S117" s="349" t="e">
        <f t="shared" si="40"/>
        <v>#N/A</v>
      </c>
      <c r="T117" s="658"/>
      <c r="U117" s="183"/>
      <c r="V117" s="183"/>
      <c r="W117" s="183"/>
      <c r="X117" s="349" t="e">
        <f t="shared" si="41"/>
        <v>#N/A</v>
      </c>
      <c r="Y117" s="658"/>
      <c r="Z117" s="183"/>
      <c r="AA117" s="183"/>
      <c r="AB117" s="183"/>
      <c r="AC117" s="349" t="e">
        <f t="shared" si="42"/>
        <v>#N/A</v>
      </c>
      <c r="AD117" s="658"/>
      <c r="AE117" s="183"/>
      <c r="AF117" s="183"/>
      <c r="AG117" s="183"/>
      <c r="AH117" s="349" t="e">
        <f t="shared" si="43"/>
        <v>#N/A</v>
      </c>
      <c r="AI117" s="658"/>
      <c r="AJ117" s="183"/>
      <c r="AK117" s="183"/>
      <c r="AL117" s="183"/>
      <c r="AM117" s="349" t="e">
        <f t="shared" si="44"/>
        <v>#N/A</v>
      </c>
      <c r="AN117" s="658"/>
      <c r="AO117" s="183"/>
      <c r="AP117" s="183"/>
      <c r="AQ117" s="183"/>
      <c r="AR117" s="349" t="e">
        <f t="shared" si="45"/>
        <v>#N/A</v>
      </c>
      <c r="AS117" s="658"/>
      <c r="AT117" s="183"/>
      <c r="AU117" s="183"/>
      <c r="AV117" s="183"/>
      <c r="AW117" s="349" t="e">
        <f t="shared" si="46"/>
        <v>#N/A</v>
      </c>
      <c r="AX117" s="658"/>
    </row>
    <row r="118" spans="2:50">
      <c r="B118" s="627"/>
      <c r="C118" s="317">
        <v>7</v>
      </c>
      <c r="D118" s="228"/>
      <c r="E118" s="183"/>
      <c r="F118" s="354"/>
      <c r="G118" s="355"/>
      <c r="H118" s="662"/>
      <c r="I118" s="200" t="e">
        <f t="shared" si="37"/>
        <v>#DIV/0!</v>
      </c>
      <c r="J118" s="200" t="e">
        <f t="shared" si="38"/>
        <v>#DIV/0!</v>
      </c>
      <c r="K118" s="201" t="e">
        <f t="shared" si="39"/>
        <v>#DIV/0!</v>
      </c>
      <c r="L118" s="601"/>
      <c r="M118" s="202" t="e">
        <f>RANK(K118, K$112:$K$141)</f>
        <v>#DIV/0!</v>
      </c>
      <c r="N118" s="619"/>
      <c r="O118" s="619"/>
      <c r="P118" s="183"/>
      <c r="Q118" s="183"/>
      <c r="R118" s="183"/>
      <c r="S118" s="349" t="e">
        <f t="shared" si="40"/>
        <v>#N/A</v>
      </c>
      <c r="T118" s="658"/>
      <c r="U118" s="183"/>
      <c r="V118" s="183"/>
      <c r="W118" s="183"/>
      <c r="X118" s="349" t="e">
        <f t="shared" si="41"/>
        <v>#N/A</v>
      </c>
      <c r="Y118" s="658"/>
      <c r="Z118" s="183"/>
      <c r="AA118" s="183"/>
      <c r="AB118" s="183"/>
      <c r="AC118" s="349" t="e">
        <f t="shared" si="42"/>
        <v>#N/A</v>
      </c>
      <c r="AD118" s="658"/>
      <c r="AE118" s="183"/>
      <c r="AF118" s="183"/>
      <c r="AG118" s="183"/>
      <c r="AH118" s="349" t="e">
        <f t="shared" si="43"/>
        <v>#N/A</v>
      </c>
      <c r="AI118" s="658"/>
      <c r="AJ118" s="183"/>
      <c r="AK118" s="183"/>
      <c r="AL118" s="183"/>
      <c r="AM118" s="349" t="e">
        <f t="shared" si="44"/>
        <v>#N/A</v>
      </c>
      <c r="AN118" s="658"/>
      <c r="AO118" s="183"/>
      <c r="AP118" s="183"/>
      <c r="AQ118" s="183"/>
      <c r="AR118" s="349" t="e">
        <f t="shared" si="45"/>
        <v>#N/A</v>
      </c>
      <c r="AS118" s="658"/>
      <c r="AT118" s="183"/>
      <c r="AU118" s="183"/>
      <c r="AV118" s="183"/>
      <c r="AW118" s="349" t="e">
        <f t="shared" si="46"/>
        <v>#N/A</v>
      </c>
      <c r="AX118" s="658"/>
    </row>
    <row r="119" spans="2:50">
      <c r="B119" s="627"/>
      <c r="C119" s="317">
        <v>8</v>
      </c>
      <c r="D119" s="228"/>
      <c r="E119" s="183"/>
      <c r="F119" s="354"/>
      <c r="G119" s="355"/>
      <c r="H119" s="662"/>
      <c r="I119" s="200" t="e">
        <f t="shared" si="37"/>
        <v>#DIV/0!</v>
      </c>
      <c r="J119" s="200" t="e">
        <f t="shared" si="38"/>
        <v>#DIV/0!</v>
      </c>
      <c r="K119" s="201" t="e">
        <f t="shared" si="39"/>
        <v>#DIV/0!</v>
      </c>
      <c r="L119" s="601"/>
      <c r="M119" s="202" t="e">
        <f>RANK(K119, K$112:$K$141)</f>
        <v>#DIV/0!</v>
      </c>
      <c r="N119" s="619"/>
      <c r="O119" s="619"/>
      <c r="P119" s="183"/>
      <c r="Q119" s="183"/>
      <c r="R119" s="183"/>
      <c r="S119" s="349" t="e">
        <f t="shared" si="40"/>
        <v>#N/A</v>
      </c>
      <c r="T119" s="658"/>
      <c r="U119" s="183"/>
      <c r="V119" s="183"/>
      <c r="W119" s="183"/>
      <c r="X119" s="349" t="e">
        <f t="shared" si="41"/>
        <v>#N/A</v>
      </c>
      <c r="Y119" s="658"/>
      <c r="Z119" s="183"/>
      <c r="AA119" s="183"/>
      <c r="AB119" s="183"/>
      <c r="AC119" s="349" t="e">
        <f t="shared" si="42"/>
        <v>#N/A</v>
      </c>
      <c r="AD119" s="658"/>
      <c r="AE119" s="183"/>
      <c r="AF119" s="183"/>
      <c r="AG119" s="183"/>
      <c r="AH119" s="349" t="e">
        <f t="shared" si="43"/>
        <v>#N/A</v>
      </c>
      <c r="AI119" s="658"/>
      <c r="AJ119" s="183"/>
      <c r="AK119" s="183"/>
      <c r="AL119" s="183"/>
      <c r="AM119" s="349" t="e">
        <f t="shared" si="44"/>
        <v>#N/A</v>
      </c>
      <c r="AN119" s="658"/>
      <c r="AO119" s="183"/>
      <c r="AP119" s="183"/>
      <c r="AQ119" s="183"/>
      <c r="AR119" s="349" t="e">
        <f t="shared" si="45"/>
        <v>#N/A</v>
      </c>
      <c r="AS119" s="658"/>
      <c r="AT119" s="183"/>
      <c r="AU119" s="183"/>
      <c r="AV119" s="183"/>
      <c r="AW119" s="349" t="e">
        <f t="shared" si="46"/>
        <v>#N/A</v>
      </c>
      <c r="AX119" s="658"/>
    </row>
    <row r="120" spans="2:50">
      <c r="B120" s="627"/>
      <c r="C120" s="317">
        <v>9</v>
      </c>
      <c r="D120" s="228"/>
      <c r="E120" s="183"/>
      <c r="F120" s="354"/>
      <c r="G120" s="355"/>
      <c r="H120" s="662"/>
      <c r="I120" s="200" t="e">
        <f t="shared" si="37"/>
        <v>#DIV/0!</v>
      </c>
      <c r="J120" s="200" t="e">
        <f t="shared" si="38"/>
        <v>#DIV/0!</v>
      </c>
      <c r="K120" s="201" t="e">
        <f t="shared" si="39"/>
        <v>#DIV/0!</v>
      </c>
      <c r="L120" s="601"/>
      <c r="M120" s="202" t="e">
        <f>RANK(K120, K$112:$K$141)</f>
        <v>#DIV/0!</v>
      </c>
      <c r="N120" s="619"/>
      <c r="O120" s="619"/>
      <c r="P120" s="183"/>
      <c r="Q120" s="183"/>
      <c r="R120" s="183"/>
      <c r="S120" s="349" t="e">
        <f t="shared" si="40"/>
        <v>#N/A</v>
      </c>
      <c r="T120" s="658"/>
      <c r="U120" s="183"/>
      <c r="V120" s="183"/>
      <c r="W120" s="183"/>
      <c r="X120" s="349" t="e">
        <f t="shared" si="41"/>
        <v>#N/A</v>
      </c>
      <c r="Y120" s="658"/>
      <c r="Z120" s="183"/>
      <c r="AA120" s="183"/>
      <c r="AB120" s="183"/>
      <c r="AC120" s="349" t="e">
        <f t="shared" si="42"/>
        <v>#N/A</v>
      </c>
      <c r="AD120" s="658"/>
      <c r="AE120" s="183"/>
      <c r="AF120" s="183"/>
      <c r="AG120" s="183"/>
      <c r="AH120" s="349" t="e">
        <f t="shared" si="43"/>
        <v>#N/A</v>
      </c>
      <c r="AI120" s="658"/>
      <c r="AJ120" s="183"/>
      <c r="AK120" s="183"/>
      <c r="AL120" s="183"/>
      <c r="AM120" s="349" t="e">
        <f t="shared" si="44"/>
        <v>#N/A</v>
      </c>
      <c r="AN120" s="658"/>
      <c r="AO120" s="183"/>
      <c r="AP120" s="183"/>
      <c r="AQ120" s="183"/>
      <c r="AR120" s="349" t="e">
        <f t="shared" si="45"/>
        <v>#N/A</v>
      </c>
      <c r="AS120" s="658"/>
      <c r="AT120" s="183"/>
      <c r="AU120" s="183"/>
      <c r="AV120" s="183"/>
      <c r="AW120" s="349" t="e">
        <f t="shared" si="46"/>
        <v>#N/A</v>
      </c>
      <c r="AX120" s="658"/>
    </row>
    <row r="121" spans="2:50">
      <c r="B121" s="627"/>
      <c r="C121" s="317">
        <v>10</v>
      </c>
      <c r="D121" s="228"/>
      <c r="E121" s="183"/>
      <c r="F121" s="354"/>
      <c r="G121" s="355"/>
      <c r="H121" s="662"/>
      <c r="I121" s="200" t="e">
        <f t="shared" si="37"/>
        <v>#DIV/0!</v>
      </c>
      <c r="J121" s="200" t="e">
        <f t="shared" si="38"/>
        <v>#DIV/0!</v>
      </c>
      <c r="K121" s="201" t="e">
        <f t="shared" si="39"/>
        <v>#DIV/0!</v>
      </c>
      <c r="L121" s="601"/>
      <c r="M121" s="202" t="e">
        <f>RANK(K121, K$112:$K$141)</f>
        <v>#DIV/0!</v>
      </c>
      <c r="N121" s="619"/>
      <c r="O121" s="619"/>
      <c r="P121" s="183"/>
      <c r="Q121" s="183"/>
      <c r="R121" s="183"/>
      <c r="S121" s="349" t="e">
        <f t="shared" si="40"/>
        <v>#N/A</v>
      </c>
      <c r="T121" s="658"/>
      <c r="U121" s="183"/>
      <c r="V121" s="183"/>
      <c r="W121" s="183"/>
      <c r="X121" s="349" t="e">
        <f t="shared" si="41"/>
        <v>#N/A</v>
      </c>
      <c r="Y121" s="658"/>
      <c r="Z121" s="183"/>
      <c r="AA121" s="183"/>
      <c r="AB121" s="183"/>
      <c r="AC121" s="349" t="e">
        <f t="shared" si="42"/>
        <v>#N/A</v>
      </c>
      <c r="AD121" s="658"/>
      <c r="AE121" s="183"/>
      <c r="AF121" s="183"/>
      <c r="AG121" s="183"/>
      <c r="AH121" s="349" t="e">
        <f t="shared" si="43"/>
        <v>#N/A</v>
      </c>
      <c r="AI121" s="658"/>
      <c r="AJ121" s="183"/>
      <c r="AK121" s="183"/>
      <c r="AL121" s="183"/>
      <c r="AM121" s="349" t="e">
        <f t="shared" si="44"/>
        <v>#N/A</v>
      </c>
      <c r="AN121" s="658"/>
      <c r="AO121" s="183"/>
      <c r="AP121" s="183"/>
      <c r="AQ121" s="183"/>
      <c r="AR121" s="349" t="e">
        <f t="shared" si="45"/>
        <v>#N/A</v>
      </c>
      <c r="AS121" s="658"/>
      <c r="AT121" s="183"/>
      <c r="AU121" s="183"/>
      <c r="AV121" s="183"/>
      <c r="AW121" s="349" t="e">
        <f t="shared" si="46"/>
        <v>#N/A</v>
      </c>
      <c r="AX121" s="658"/>
    </row>
    <row r="122" spans="2:50">
      <c r="B122" s="627"/>
      <c r="C122" s="317">
        <v>11</v>
      </c>
      <c r="D122" s="228"/>
      <c r="E122" s="183"/>
      <c r="F122" s="354"/>
      <c r="G122" s="355"/>
      <c r="H122" s="662"/>
      <c r="I122" s="200" t="e">
        <f t="shared" si="37"/>
        <v>#DIV/0!</v>
      </c>
      <c r="J122" s="200" t="e">
        <f t="shared" si="38"/>
        <v>#DIV/0!</v>
      </c>
      <c r="K122" s="201" t="e">
        <f t="shared" si="39"/>
        <v>#DIV/0!</v>
      </c>
      <c r="L122" s="601"/>
      <c r="M122" s="202" t="e">
        <f>RANK(K122, K$112:$K$141)</f>
        <v>#DIV/0!</v>
      </c>
      <c r="N122" s="619"/>
      <c r="O122" s="619"/>
      <c r="P122" s="183"/>
      <c r="Q122" s="183"/>
      <c r="R122" s="183"/>
      <c r="S122" s="349" t="e">
        <f t="shared" si="40"/>
        <v>#N/A</v>
      </c>
      <c r="T122" s="658"/>
      <c r="U122" s="183"/>
      <c r="V122" s="183"/>
      <c r="W122" s="183"/>
      <c r="X122" s="349" t="e">
        <f t="shared" si="41"/>
        <v>#N/A</v>
      </c>
      <c r="Y122" s="658"/>
      <c r="Z122" s="183"/>
      <c r="AA122" s="183"/>
      <c r="AB122" s="183"/>
      <c r="AC122" s="349" t="e">
        <f t="shared" si="42"/>
        <v>#N/A</v>
      </c>
      <c r="AD122" s="658"/>
      <c r="AE122" s="183"/>
      <c r="AF122" s="183"/>
      <c r="AG122" s="183"/>
      <c r="AH122" s="349" t="e">
        <f t="shared" si="43"/>
        <v>#N/A</v>
      </c>
      <c r="AI122" s="658"/>
      <c r="AJ122" s="183"/>
      <c r="AK122" s="183"/>
      <c r="AL122" s="183"/>
      <c r="AM122" s="349" t="e">
        <f t="shared" si="44"/>
        <v>#N/A</v>
      </c>
      <c r="AN122" s="658"/>
      <c r="AO122" s="183"/>
      <c r="AP122" s="183"/>
      <c r="AQ122" s="183"/>
      <c r="AR122" s="349" t="e">
        <f t="shared" si="45"/>
        <v>#N/A</v>
      </c>
      <c r="AS122" s="658"/>
      <c r="AT122" s="183"/>
      <c r="AU122" s="183"/>
      <c r="AV122" s="183"/>
      <c r="AW122" s="349" t="e">
        <f t="shared" si="46"/>
        <v>#N/A</v>
      </c>
      <c r="AX122" s="658"/>
    </row>
    <row r="123" spans="2:50">
      <c r="B123" s="627"/>
      <c r="C123" s="317">
        <v>12</v>
      </c>
      <c r="D123" s="228"/>
      <c r="E123" s="183"/>
      <c r="F123" s="354"/>
      <c r="G123" s="355"/>
      <c r="H123" s="662"/>
      <c r="I123" s="200" t="e">
        <f t="shared" si="37"/>
        <v>#DIV/0!</v>
      </c>
      <c r="J123" s="200" t="e">
        <f t="shared" si="38"/>
        <v>#DIV/0!</v>
      </c>
      <c r="K123" s="201" t="e">
        <f t="shared" si="39"/>
        <v>#DIV/0!</v>
      </c>
      <c r="L123" s="601"/>
      <c r="M123" s="202" t="e">
        <f>RANK(K123, K$112:$K$141)</f>
        <v>#DIV/0!</v>
      </c>
      <c r="N123" s="619"/>
      <c r="O123" s="619"/>
      <c r="P123" s="183"/>
      <c r="Q123" s="183"/>
      <c r="R123" s="183"/>
      <c r="S123" s="349" t="e">
        <f t="shared" si="40"/>
        <v>#N/A</v>
      </c>
      <c r="T123" s="658"/>
      <c r="U123" s="183"/>
      <c r="V123" s="183"/>
      <c r="W123" s="183"/>
      <c r="X123" s="349" t="e">
        <f t="shared" si="41"/>
        <v>#N/A</v>
      </c>
      <c r="Y123" s="658"/>
      <c r="Z123" s="183"/>
      <c r="AA123" s="183"/>
      <c r="AB123" s="183"/>
      <c r="AC123" s="349" t="e">
        <f t="shared" si="42"/>
        <v>#N/A</v>
      </c>
      <c r="AD123" s="658"/>
      <c r="AE123" s="183"/>
      <c r="AF123" s="183"/>
      <c r="AG123" s="183"/>
      <c r="AH123" s="349" t="e">
        <f t="shared" si="43"/>
        <v>#N/A</v>
      </c>
      <c r="AI123" s="658"/>
      <c r="AJ123" s="183"/>
      <c r="AK123" s="183"/>
      <c r="AL123" s="183"/>
      <c r="AM123" s="349" t="e">
        <f t="shared" si="44"/>
        <v>#N/A</v>
      </c>
      <c r="AN123" s="658"/>
      <c r="AO123" s="183"/>
      <c r="AP123" s="183"/>
      <c r="AQ123" s="183"/>
      <c r="AR123" s="349" t="e">
        <f t="shared" si="45"/>
        <v>#N/A</v>
      </c>
      <c r="AS123" s="658"/>
      <c r="AT123" s="183"/>
      <c r="AU123" s="183"/>
      <c r="AV123" s="183"/>
      <c r="AW123" s="349" t="e">
        <f t="shared" si="46"/>
        <v>#N/A</v>
      </c>
      <c r="AX123" s="658"/>
    </row>
    <row r="124" spans="2:50">
      <c r="B124" s="627"/>
      <c r="C124" s="317">
        <v>13</v>
      </c>
      <c r="D124" s="228"/>
      <c r="E124" s="183"/>
      <c r="F124" s="354"/>
      <c r="G124" s="355"/>
      <c r="H124" s="662"/>
      <c r="I124" s="200" t="e">
        <f t="shared" si="37"/>
        <v>#DIV/0!</v>
      </c>
      <c r="J124" s="200" t="e">
        <f t="shared" si="38"/>
        <v>#DIV/0!</v>
      </c>
      <c r="K124" s="201" t="e">
        <f t="shared" si="39"/>
        <v>#DIV/0!</v>
      </c>
      <c r="L124" s="601"/>
      <c r="M124" s="202" t="e">
        <f>RANK(K124, K$112:$K$141)</f>
        <v>#DIV/0!</v>
      </c>
      <c r="N124" s="619"/>
      <c r="O124" s="619"/>
      <c r="P124" s="183"/>
      <c r="Q124" s="183"/>
      <c r="R124" s="183"/>
      <c r="S124" s="349" t="e">
        <f t="shared" si="40"/>
        <v>#N/A</v>
      </c>
      <c r="T124" s="658"/>
      <c r="U124" s="183"/>
      <c r="V124" s="183"/>
      <c r="W124" s="183"/>
      <c r="X124" s="349" t="e">
        <f t="shared" si="41"/>
        <v>#N/A</v>
      </c>
      <c r="Y124" s="658"/>
      <c r="Z124" s="183"/>
      <c r="AA124" s="183"/>
      <c r="AB124" s="183"/>
      <c r="AC124" s="349" t="e">
        <f t="shared" si="42"/>
        <v>#N/A</v>
      </c>
      <c r="AD124" s="658"/>
      <c r="AE124" s="183"/>
      <c r="AF124" s="183"/>
      <c r="AG124" s="183"/>
      <c r="AH124" s="349" t="e">
        <f t="shared" si="43"/>
        <v>#N/A</v>
      </c>
      <c r="AI124" s="658"/>
      <c r="AJ124" s="183"/>
      <c r="AK124" s="183"/>
      <c r="AL124" s="183"/>
      <c r="AM124" s="349" t="e">
        <f t="shared" si="44"/>
        <v>#N/A</v>
      </c>
      <c r="AN124" s="658"/>
      <c r="AO124" s="183"/>
      <c r="AP124" s="183"/>
      <c r="AQ124" s="183"/>
      <c r="AR124" s="349" t="e">
        <f t="shared" si="45"/>
        <v>#N/A</v>
      </c>
      <c r="AS124" s="658"/>
      <c r="AT124" s="183"/>
      <c r="AU124" s="183"/>
      <c r="AV124" s="183"/>
      <c r="AW124" s="349" t="e">
        <f t="shared" si="46"/>
        <v>#N/A</v>
      </c>
      <c r="AX124" s="658"/>
    </row>
    <row r="125" spans="2:50">
      <c r="B125" s="627"/>
      <c r="C125" s="317">
        <v>14</v>
      </c>
      <c r="D125" s="228"/>
      <c r="E125" s="183"/>
      <c r="F125" s="354"/>
      <c r="G125" s="355"/>
      <c r="H125" s="662"/>
      <c r="I125" s="200" t="e">
        <f t="shared" si="37"/>
        <v>#DIV/0!</v>
      </c>
      <c r="J125" s="200" t="e">
        <f t="shared" si="38"/>
        <v>#DIV/0!</v>
      </c>
      <c r="K125" s="201" t="e">
        <f t="shared" si="39"/>
        <v>#DIV/0!</v>
      </c>
      <c r="L125" s="601"/>
      <c r="M125" s="202" t="e">
        <f>RANK(K125, K$112:$K$141)</f>
        <v>#DIV/0!</v>
      </c>
      <c r="N125" s="619"/>
      <c r="O125" s="619"/>
      <c r="P125" s="183"/>
      <c r="Q125" s="183"/>
      <c r="R125" s="183"/>
      <c r="S125" s="349" t="e">
        <f t="shared" si="40"/>
        <v>#N/A</v>
      </c>
      <c r="T125" s="658"/>
      <c r="U125" s="183"/>
      <c r="V125" s="183"/>
      <c r="W125" s="183"/>
      <c r="X125" s="349" t="e">
        <f t="shared" si="41"/>
        <v>#N/A</v>
      </c>
      <c r="Y125" s="658"/>
      <c r="Z125" s="183"/>
      <c r="AA125" s="183"/>
      <c r="AB125" s="183"/>
      <c r="AC125" s="349" t="e">
        <f t="shared" si="42"/>
        <v>#N/A</v>
      </c>
      <c r="AD125" s="658"/>
      <c r="AE125" s="183"/>
      <c r="AF125" s="183"/>
      <c r="AG125" s="183"/>
      <c r="AH125" s="349" t="e">
        <f t="shared" si="43"/>
        <v>#N/A</v>
      </c>
      <c r="AI125" s="658"/>
      <c r="AJ125" s="183"/>
      <c r="AK125" s="183"/>
      <c r="AL125" s="183"/>
      <c r="AM125" s="349" t="e">
        <f t="shared" si="44"/>
        <v>#N/A</v>
      </c>
      <c r="AN125" s="658"/>
      <c r="AO125" s="183"/>
      <c r="AP125" s="183"/>
      <c r="AQ125" s="183"/>
      <c r="AR125" s="349" t="e">
        <f t="shared" si="45"/>
        <v>#N/A</v>
      </c>
      <c r="AS125" s="658"/>
      <c r="AT125" s="183"/>
      <c r="AU125" s="183"/>
      <c r="AV125" s="183"/>
      <c r="AW125" s="349" t="e">
        <f t="shared" si="46"/>
        <v>#N/A</v>
      </c>
      <c r="AX125" s="658"/>
    </row>
    <row r="126" spans="2:50">
      <c r="B126" s="627"/>
      <c r="C126" s="317">
        <v>15</v>
      </c>
      <c r="D126" s="228"/>
      <c r="E126" s="183"/>
      <c r="F126" s="354"/>
      <c r="G126" s="355"/>
      <c r="H126" s="662"/>
      <c r="I126" s="200" t="e">
        <f t="shared" si="37"/>
        <v>#DIV/0!</v>
      </c>
      <c r="J126" s="200" t="e">
        <f t="shared" si="38"/>
        <v>#DIV/0!</v>
      </c>
      <c r="K126" s="201" t="e">
        <f t="shared" si="39"/>
        <v>#DIV/0!</v>
      </c>
      <c r="L126" s="601"/>
      <c r="M126" s="202" t="e">
        <f>RANK(K126, K$112:$K$141)</f>
        <v>#DIV/0!</v>
      </c>
      <c r="N126" s="619"/>
      <c r="O126" s="619"/>
      <c r="P126" s="183"/>
      <c r="Q126" s="183"/>
      <c r="R126" s="183"/>
      <c r="S126" s="349" t="e">
        <f t="shared" si="40"/>
        <v>#N/A</v>
      </c>
      <c r="T126" s="658"/>
      <c r="U126" s="183"/>
      <c r="V126" s="183"/>
      <c r="W126" s="183"/>
      <c r="X126" s="349" t="e">
        <f t="shared" si="41"/>
        <v>#N/A</v>
      </c>
      <c r="Y126" s="658"/>
      <c r="Z126" s="183"/>
      <c r="AA126" s="183"/>
      <c r="AB126" s="183"/>
      <c r="AC126" s="349" t="e">
        <f t="shared" si="42"/>
        <v>#N/A</v>
      </c>
      <c r="AD126" s="658"/>
      <c r="AE126" s="183"/>
      <c r="AF126" s="183"/>
      <c r="AG126" s="183"/>
      <c r="AH126" s="349" t="e">
        <f t="shared" si="43"/>
        <v>#N/A</v>
      </c>
      <c r="AI126" s="658"/>
      <c r="AJ126" s="183"/>
      <c r="AK126" s="183"/>
      <c r="AL126" s="183"/>
      <c r="AM126" s="349" t="e">
        <f t="shared" si="44"/>
        <v>#N/A</v>
      </c>
      <c r="AN126" s="658"/>
      <c r="AO126" s="183"/>
      <c r="AP126" s="183"/>
      <c r="AQ126" s="183"/>
      <c r="AR126" s="349" t="e">
        <f t="shared" si="45"/>
        <v>#N/A</v>
      </c>
      <c r="AS126" s="658"/>
      <c r="AT126" s="183"/>
      <c r="AU126" s="183"/>
      <c r="AV126" s="183"/>
      <c r="AW126" s="349" t="e">
        <f t="shared" si="46"/>
        <v>#N/A</v>
      </c>
      <c r="AX126" s="658"/>
    </row>
    <row r="127" spans="2:50">
      <c r="B127" s="627"/>
      <c r="C127" s="317">
        <v>16</v>
      </c>
      <c r="D127" s="228"/>
      <c r="E127" s="183"/>
      <c r="F127" s="354"/>
      <c r="G127" s="355"/>
      <c r="H127" s="662"/>
      <c r="I127" s="200" t="e">
        <f t="shared" si="37"/>
        <v>#DIV/0!</v>
      </c>
      <c r="J127" s="200" t="e">
        <f t="shared" si="38"/>
        <v>#DIV/0!</v>
      </c>
      <c r="K127" s="201" t="e">
        <f t="shared" si="39"/>
        <v>#DIV/0!</v>
      </c>
      <c r="L127" s="601"/>
      <c r="M127" s="202" t="e">
        <f>RANK(K127, K$112:$K$141)</f>
        <v>#DIV/0!</v>
      </c>
      <c r="N127" s="619"/>
      <c r="O127" s="619"/>
      <c r="P127" s="183"/>
      <c r="Q127" s="183"/>
      <c r="R127" s="183"/>
      <c r="S127" s="349" t="e">
        <f t="shared" si="40"/>
        <v>#N/A</v>
      </c>
      <c r="T127" s="658"/>
      <c r="U127" s="183"/>
      <c r="V127" s="183"/>
      <c r="W127" s="183"/>
      <c r="X127" s="349" t="e">
        <f t="shared" si="41"/>
        <v>#N/A</v>
      </c>
      <c r="Y127" s="658"/>
      <c r="Z127" s="183"/>
      <c r="AA127" s="183"/>
      <c r="AB127" s="183"/>
      <c r="AC127" s="349" t="e">
        <f t="shared" si="42"/>
        <v>#N/A</v>
      </c>
      <c r="AD127" s="658"/>
      <c r="AE127" s="183"/>
      <c r="AF127" s="183"/>
      <c r="AG127" s="183"/>
      <c r="AH127" s="349" t="e">
        <f t="shared" si="43"/>
        <v>#N/A</v>
      </c>
      <c r="AI127" s="658"/>
      <c r="AJ127" s="183"/>
      <c r="AK127" s="183"/>
      <c r="AL127" s="183"/>
      <c r="AM127" s="349" t="e">
        <f t="shared" si="44"/>
        <v>#N/A</v>
      </c>
      <c r="AN127" s="658"/>
      <c r="AO127" s="183"/>
      <c r="AP127" s="183"/>
      <c r="AQ127" s="183"/>
      <c r="AR127" s="349" t="e">
        <f t="shared" si="45"/>
        <v>#N/A</v>
      </c>
      <c r="AS127" s="658"/>
      <c r="AT127" s="183"/>
      <c r="AU127" s="183"/>
      <c r="AV127" s="183"/>
      <c r="AW127" s="349" t="e">
        <f t="shared" si="46"/>
        <v>#N/A</v>
      </c>
      <c r="AX127" s="658"/>
    </row>
    <row r="128" spans="2:50">
      <c r="B128" s="627"/>
      <c r="C128" s="317">
        <v>17</v>
      </c>
      <c r="D128" s="228"/>
      <c r="E128" s="183"/>
      <c r="F128" s="354"/>
      <c r="G128" s="355"/>
      <c r="H128" s="662"/>
      <c r="I128" s="200" t="e">
        <f t="shared" si="37"/>
        <v>#DIV/0!</v>
      </c>
      <c r="J128" s="200" t="e">
        <f t="shared" si="38"/>
        <v>#DIV/0!</v>
      </c>
      <c r="K128" s="201" t="e">
        <f t="shared" si="39"/>
        <v>#DIV/0!</v>
      </c>
      <c r="L128" s="601"/>
      <c r="M128" s="202" t="e">
        <f>RANK(K128, K$112:$K$141)</f>
        <v>#DIV/0!</v>
      </c>
      <c r="N128" s="619"/>
      <c r="O128" s="619"/>
      <c r="P128" s="183"/>
      <c r="Q128" s="183"/>
      <c r="R128" s="183"/>
      <c r="S128" s="349" t="e">
        <f t="shared" si="40"/>
        <v>#N/A</v>
      </c>
      <c r="T128" s="658"/>
      <c r="U128" s="183"/>
      <c r="V128" s="183"/>
      <c r="W128" s="183"/>
      <c r="X128" s="349" t="e">
        <f t="shared" si="41"/>
        <v>#N/A</v>
      </c>
      <c r="Y128" s="658"/>
      <c r="Z128" s="183"/>
      <c r="AA128" s="183"/>
      <c r="AB128" s="183"/>
      <c r="AC128" s="349" t="e">
        <f t="shared" si="42"/>
        <v>#N/A</v>
      </c>
      <c r="AD128" s="658"/>
      <c r="AE128" s="183"/>
      <c r="AF128" s="183"/>
      <c r="AG128" s="183"/>
      <c r="AH128" s="349" t="e">
        <f t="shared" si="43"/>
        <v>#N/A</v>
      </c>
      <c r="AI128" s="658"/>
      <c r="AJ128" s="183"/>
      <c r="AK128" s="183"/>
      <c r="AL128" s="183"/>
      <c r="AM128" s="349" t="e">
        <f t="shared" si="44"/>
        <v>#N/A</v>
      </c>
      <c r="AN128" s="658"/>
      <c r="AO128" s="183"/>
      <c r="AP128" s="183"/>
      <c r="AQ128" s="183"/>
      <c r="AR128" s="349" t="e">
        <f t="shared" si="45"/>
        <v>#N/A</v>
      </c>
      <c r="AS128" s="658"/>
      <c r="AT128" s="183"/>
      <c r="AU128" s="183"/>
      <c r="AV128" s="183"/>
      <c r="AW128" s="349" t="e">
        <f t="shared" si="46"/>
        <v>#N/A</v>
      </c>
      <c r="AX128" s="658"/>
    </row>
    <row r="129" spans="2:50">
      <c r="B129" s="627"/>
      <c r="C129" s="317">
        <v>18</v>
      </c>
      <c r="D129" s="228"/>
      <c r="E129" s="183"/>
      <c r="F129" s="354"/>
      <c r="G129" s="355"/>
      <c r="H129" s="662"/>
      <c r="I129" s="200" t="e">
        <f t="shared" si="37"/>
        <v>#DIV/0!</v>
      </c>
      <c r="J129" s="200" t="e">
        <f t="shared" si="38"/>
        <v>#DIV/0!</v>
      </c>
      <c r="K129" s="201" t="e">
        <f t="shared" si="39"/>
        <v>#DIV/0!</v>
      </c>
      <c r="L129" s="601"/>
      <c r="M129" s="202" t="e">
        <f>RANK(K129, K$112:$K$141)</f>
        <v>#DIV/0!</v>
      </c>
      <c r="N129" s="619"/>
      <c r="O129" s="619"/>
      <c r="P129" s="183"/>
      <c r="Q129" s="183"/>
      <c r="R129" s="183"/>
      <c r="S129" s="349" t="e">
        <f t="shared" si="40"/>
        <v>#N/A</v>
      </c>
      <c r="T129" s="658"/>
      <c r="U129" s="183"/>
      <c r="V129" s="183"/>
      <c r="W129" s="183"/>
      <c r="X129" s="349" t="e">
        <f t="shared" si="41"/>
        <v>#N/A</v>
      </c>
      <c r="Y129" s="658"/>
      <c r="Z129" s="183"/>
      <c r="AA129" s="183"/>
      <c r="AB129" s="183"/>
      <c r="AC129" s="349" t="e">
        <f t="shared" si="42"/>
        <v>#N/A</v>
      </c>
      <c r="AD129" s="658"/>
      <c r="AE129" s="183"/>
      <c r="AF129" s="183"/>
      <c r="AG129" s="183"/>
      <c r="AH129" s="349" t="e">
        <f t="shared" si="43"/>
        <v>#N/A</v>
      </c>
      <c r="AI129" s="658"/>
      <c r="AJ129" s="183"/>
      <c r="AK129" s="183"/>
      <c r="AL129" s="183"/>
      <c r="AM129" s="349" t="e">
        <f t="shared" si="44"/>
        <v>#N/A</v>
      </c>
      <c r="AN129" s="658"/>
      <c r="AO129" s="183"/>
      <c r="AP129" s="183"/>
      <c r="AQ129" s="183"/>
      <c r="AR129" s="349" t="e">
        <f t="shared" si="45"/>
        <v>#N/A</v>
      </c>
      <c r="AS129" s="658"/>
      <c r="AT129" s="183"/>
      <c r="AU129" s="183"/>
      <c r="AV129" s="183"/>
      <c r="AW129" s="349" t="e">
        <f t="shared" si="46"/>
        <v>#N/A</v>
      </c>
      <c r="AX129" s="658"/>
    </row>
    <row r="130" spans="2:50">
      <c r="B130" s="627"/>
      <c r="C130" s="317">
        <v>19</v>
      </c>
      <c r="D130" s="228"/>
      <c r="E130" s="183"/>
      <c r="F130" s="354"/>
      <c r="G130" s="355"/>
      <c r="H130" s="662"/>
      <c r="I130" s="200" t="e">
        <f t="shared" si="37"/>
        <v>#DIV/0!</v>
      </c>
      <c r="J130" s="200" t="e">
        <f t="shared" si="38"/>
        <v>#DIV/0!</v>
      </c>
      <c r="K130" s="201" t="e">
        <f t="shared" si="39"/>
        <v>#DIV/0!</v>
      </c>
      <c r="L130" s="601"/>
      <c r="M130" s="202" t="e">
        <f>RANK(K130, K$112:$K$141)</f>
        <v>#DIV/0!</v>
      </c>
      <c r="N130" s="619"/>
      <c r="O130" s="619"/>
      <c r="P130" s="183"/>
      <c r="Q130" s="183"/>
      <c r="R130" s="183"/>
      <c r="S130" s="349" t="e">
        <f t="shared" si="40"/>
        <v>#N/A</v>
      </c>
      <c r="T130" s="658"/>
      <c r="U130" s="183"/>
      <c r="V130" s="183"/>
      <c r="W130" s="183"/>
      <c r="X130" s="349" t="e">
        <f t="shared" si="41"/>
        <v>#N/A</v>
      </c>
      <c r="Y130" s="658"/>
      <c r="Z130" s="183"/>
      <c r="AA130" s="183"/>
      <c r="AB130" s="183"/>
      <c r="AC130" s="349" t="e">
        <f t="shared" si="42"/>
        <v>#N/A</v>
      </c>
      <c r="AD130" s="658"/>
      <c r="AE130" s="183"/>
      <c r="AF130" s="183"/>
      <c r="AG130" s="183"/>
      <c r="AH130" s="349" t="e">
        <f t="shared" si="43"/>
        <v>#N/A</v>
      </c>
      <c r="AI130" s="658"/>
      <c r="AJ130" s="183"/>
      <c r="AK130" s="183"/>
      <c r="AL130" s="183"/>
      <c r="AM130" s="349" t="e">
        <f t="shared" si="44"/>
        <v>#N/A</v>
      </c>
      <c r="AN130" s="658"/>
      <c r="AO130" s="183"/>
      <c r="AP130" s="183"/>
      <c r="AQ130" s="183"/>
      <c r="AR130" s="349" t="e">
        <f t="shared" si="45"/>
        <v>#N/A</v>
      </c>
      <c r="AS130" s="658"/>
      <c r="AT130" s="183"/>
      <c r="AU130" s="183"/>
      <c r="AV130" s="183"/>
      <c r="AW130" s="349" t="e">
        <f t="shared" si="46"/>
        <v>#N/A</v>
      </c>
      <c r="AX130" s="658"/>
    </row>
    <row r="131" spans="2:50">
      <c r="B131" s="627"/>
      <c r="C131" s="317">
        <v>20</v>
      </c>
      <c r="D131" s="228"/>
      <c r="E131" s="183"/>
      <c r="F131" s="354"/>
      <c r="G131" s="355"/>
      <c r="H131" s="662"/>
      <c r="I131" s="200" t="e">
        <f t="shared" si="37"/>
        <v>#DIV/0!</v>
      </c>
      <c r="J131" s="200" t="e">
        <f t="shared" si="38"/>
        <v>#DIV/0!</v>
      </c>
      <c r="K131" s="201" t="e">
        <f t="shared" si="39"/>
        <v>#DIV/0!</v>
      </c>
      <c r="L131" s="601"/>
      <c r="M131" s="202" t="e">
        <f>RANK(K131, K$112:$K$141)</f>
        <v>#DIV/0!</v>
      </c>
      <c r="N131" s="619"/>
      <c r="O131" s="619"/>
      <c r="P131" s="183"/>
      <c r="Q131" s="183"/>
      <c r="R131" s="183"/>
      <c r="S131" s="349" t="e">
        <f t="shared" si="40"/>
        <v>#N/A</v>
      </c>
      <c r="T131" s="658"/>
      <c r="U131" s="183"/>
      <c r="V131" s="183"/>
      <c r="W131" s="183"/>
      <c r="X131" s="349" t="e">
        <f t="shared" si="41"/>
        <v>#N/A</v>
      </c>
      <c r="Y131" s="658"/>
      <c r="Z131" s="183"/>
      <c r="AA131" s="183"/>
      <c r="AB131" s="183"/>
      <c r="AC131" s="349" t="e">
        <f t="shared" si="42"/>
        <v>#N/A</v>
      </c>
      <c r="AD131" s="658"/>
      <c r="AE131" s="183"/>
      <c r="AF131" s="183"/>
      <c r="AG131" s="183"/>
      <c r="AH131" s="349" t="e">
        <f t="shared" si="43"/>
        <v>#N/A</v>
      </c>
      <c r="AI131" s="658"/>
      <c r="AJ131" s="183"/>
      <c r="AK131" s="183"/>
      <c r="AL131" s="183"/>
      <c r="AM131" s="349" t="e">
        <f t="shared" si="44"/>
        <v>#N/A</v>
      </c>
      <c r="AN131" s="658"/>
      <c r="AO131" s="183"/>
      <c r="AP131" s="183"/>
      <c r="AQ131" s="183"/>
      <c r="AR131" s="349" t="e">
        <f t="shared" si="45"/>
        <v>#N/A</v>
      </c>
      <c r="AS131" s="658"/>
      <c r="AT131" s="183"/>
      <c r="AU131" s="183"/>
      <c r="AV131" s="183"/>
      <c r="AW131" s="349" t="e">
        <f t="shared" si="46"/>
        <v>#N/A</v>
      </c>
      <c r="AX131" s="658"/>
    </row>
    <row r="132" spans="2:50">
      <c r="B132" s="627"/>
      <c r="C132" s="317">
        <v>21</v>
      </c>
      <c r="D132" s="228"/>
      <c r="E132" s="183"/>
      <c r="F132" s="354"/>
      <c r="G132" s="355"/>
      <c r="H132" s="662"/>
      <c r="I132" s="200" t="e">
        <f t="shared" si="37"/>
        <v>#DIV/0!</v>
      </c>
      <c r="J132" s="200" t="e">
        <f t="shared" si="38"/>
        <v>#DIV/0!</v>
      </c>
      <c r="K132" s="201" t="e">
        <f t="shared" si="39"/>
        <v>#DIV/0!</v>
      </c>
      <c r="L132" s="601"/>
      <c r="M132" s="202" t="e">
        <f>RANK(K132, K$112:$K$141)</f>
        <v>#DIV/0!</v>
      </c>
      <c r="N132" s="619"/>
      <c r="O132" s="619"/>
      <c r="P132" s="183"/>
      <c r="Q132" s="183"/>
      <c r="R132" s="183"/>
      <c r="S132" s="349" t="e">
        <f t="shared" si="40"/>
        <v>#N/A</v>
      </c>
      <c r="T132" s="658"/>
      <c r="U132" s="183"/>
      <c r="V132" s="183"/>
      <c r="W132" s="183"/>
      <c r="X132" s="349" t="e">
        <f t="shared" si="41"/>
        <v>#N/A</v>
      </c>
      <c r="Y132" s="658"/>
      <c r="Z132" s="183"/>
      <c r="AA132" s="183"/>
      <c r="AB132" s="183"/>
      <c r="AC132" s="349" t="e">
        <f t="shared" si="42"/>
        <v>#N/A</v>
      </c>
      <c r="AD132" s="658"/>
      <c r="AE132" s="183"/>
      <c r="AF132" s="183"/>
      <c r="AG132" s="183"/>
      <c r="AH132" s="349" t="e">
        <f t="shared" si="43"/>
        <v>#N/A</v>
      </c>
      <c r="AI132" s="658"/>
      <c r="AJ132" s="183"/>
      <c r="AK132" s="183"/>
      <c r="AL132" s="183"/>
      <c r="AM132" s="349" t="e">
        <f t="shared" si="44"/>
        <v>#N/A</v>
      </c>
      <c r="AN132" s="658"/>
      <c r="AO132" s="183"/>
      <c r="AP132" s="183"/>
      <c r="AQ132" s="183"/>
      <c r="AR132" s="349" t="e">
        <f t="shared" si="45"/>
        <v>#N/A</v>
      </c>
      <c r="AS132" s="658"/>
      <c r="AT132" s="183"/>
      <c r="AU132" s="183"/>
      <c r="AV132" s="183"/>
      <c r="AW132" s="349" t="e">
        <f t="shared" si="46"/>
        <v>#N/A</v>
      </c>
      <c r="AX132" s="658"/>
    </row>
    <row r="133" spans="2:50">
      <c r="B133" s="627"/>
      <c r="C133" s="317">
        <v>22</v>
      </c>
      <c r="D133" s="228"/>
      <c r="E133" s="183"/>
      <c r="F133" s="354"/>
      <c r="G133" s="355"/>
      <c r="H133" s="662"/>
      <c r="I133" s="200" t="e">
        <f t="shared" si="37"/>
        <v>#DIV/0!</v>
      </c>
      <c r="J133" s="200" t="e">
        <f t="shared" si="38"/>
        <v>#DIV/0!</v>
      </c>
      <c r="K133" s="201" t="e">
        <f t="shared" si="39"/>
        <v>#DIV/0!</v>
      </c>
      <c r="L133" s="601"/>
      <c r="M133" s="202" t="e">
        <f>RANK(K133, K$112:$K$141)</f>
        <v>#DIV/0!</v>
      </c>
      <c r="N133" s="619"/>
      <c r="O133" s="619"/>
      <c r="P133" s="183"/>
      <c r="Q133" s="183"/>
      <c r="R133" s="183"/>
      <c r="S133" s="349" t="e">
        <f t="shared" si="40"/>
        <v>#N/A</v>
      </c>
      <c r="T133" s="658"/>
      <c r="U133" s="183"/>
      <c r="V133" s="183"/>
      <c r="W133" s="183"/>
      <c r="X133" s="349" t="e">
        <f t="shared" si="41"/>
        <v>#N/A</v>
      </c>
      <c r="Y133" s="658"/>
      <c r="Z133" s="183"/>
      <c r="AA133" s="183"/>
      <c r="AB133" s="183"/>
      <c r="AC133" s="349" t="e">
        <f t="shared" si="42"/>
        <v>#N/A</v>
      </c>
      <c r="AD133" s="658"/>
      <c r="AE133" s="183"/>
      <c r="AF133" s="183"/>
      <c r="AG133" s="183"/>
      <c r="AH133" s="349" t="e">
        <f t="shared" si="43"/>
        <v>#N/A</v>
      </c>
      <c r="AI133" s="658"/>
      <c r="AJ133" s="183"/>
      <c r="AK133" s="183"/>
      <c r="AL133" s="183"/>
      <c r="AM133" s="349" t="e">
        <f t="shared" si="44"/>
        <v>#N/A</v>
      </c>
      <c r="AN133" s="658"/>
      <c r="AO133" s="183"/>
      <c r="AP133" s="183"/>
      <c r="AQ133" s="183"/>
      <c r="AR133" s="349" t="e">
        <f t="shared" si="45"/>
        <v>#N/A</v>
      </c>
      <c r="AS133" s="658"/>
      <c r="AT133" s="183"/>
      <c r="AU133" s="183"/>
      <c r="AV133" s="183"/>
      <c r="AW133" s="349" t="e">
        <f t="shared" si="46"/>
        <v>#N/A</v>
      </c>
      <c r="AX133" s="658"/>
    </row>
    <row r="134" spans="2:50">
      <c r="B134" s="627"/>
      <c r="C134" s="317">
        <v>23</v>
      </c>
      <c r="D134" s="228"/>
      <c r="E134" s="183"/>
      <c r="F134" s="354"/>
      <c r="G134" s="355"/>
      <c r="H134" s="662"/>
      <c r="I134" s="200" t="e">
        <f t="shared" si="37"/>
        <v>#DIV/0!</v>
      </c>
      <c r="J134" s="200" t="e">
        <f t="shared" si="38"/>
        <v>#DIV/0!</v>
      </c>
      <c r="K134" s="201" t="e">
        <f t="shared" si="39"/>
        <v>#DIV/0!</v>
      </c>
      <c r="L134" s="601"/>
      <c r="M134" s="202" t="e">
        <f>RANK(K134, K$112:$K$141)</f>
        <v>#DIV/0!</v>
      </c>
      <c r="N134" s="619"/>
      <c r="O134" s="619"/>
      <c r="P134" s="183"/>
      <c r="Q134" s="183"/>
      <c r="R134" s="183"/>
      <c r="S134" s="349" t="e">
        <f t="shared" si="40"/>
        <v>#N/A</v>
      </c>
      <c r="T134" s="658"/>
      <c r="U134" s="183"/>
      <c r="V134" s="183"/>
      <c r="W134" s="183"/>
      <c r="X134" s="349" t="e">
        <f t="shared" si="41"/>
        <v>#N/A</v>
      </c>
      <c r="Y134" s="658"/>
      <c r="Z134" s="183"/>
      <c r="AA134" s="183"/>
      <c r="AB134" s="183"/>
      <c r="AC134" s="349" t="e">
        <f t="shared" si="42"/>
        <v>#N/A</v>
      </c>
      <c r="AD134" s="658"/>
      <c r="AE134" s="183"/>
      <c r="AF134" s="183"/>
      <c r="AG134" s="183"/>
      <c r="AH134" s="349" t="e">
        <f t="shared" si="43"/>
        <v>#N/A</v>
      </c>
      <c r="AI134" s="658"/>
      <c r="AJ134" s="183"/>
      <c r="AK134" s="183"/>
      <c r="AL134" s="183"/>
      <c r="AM134" s="349" t="e">
        <f t="shared" si="44"/>
        <v>#N/A</v>
      </c>
      <c r="AN134" s="658"/>
      <c r="AO134" s="183"/>
      <c r="AP134" s="183"/>
      <c r="AQ134" s="183"/>
      <c r="AR134" s="349" t="e">
        <f t="shared" si="45"/>
        <v>#N/A</v>
      </c>
      <c r="AS134" s="658"/>
      <c r="AT134" s="183"/>
      <c r="AU134" s="183"/>
      <c r="AV134" s="183"/>
      <c r="AW134" s="349" t="e">
        <f t="shared" si="46"/>
        <v>#N/A</v>
      </c>
      <c r="AX134" s="658"/>
    </row>
    <row r="135" spans="2:50">
      <c r="B135" s="627"/>
      <c r="C135" s="317">
        <v>24</v>
      </c>
      <c r="D135" s="228"/>
      <c r="E135" s="183"/>
      <c r="F135" s="354"/>
      <c r="G135" s="355"/>
      <c r="H135" s="662"/>
      <c r="I135" s="200" t="e">
        <f t="shared" si="37"/>
        <v>#DIV/0!</v>
      </c>
      <c r="J135" s="200" t="e">
        <f t="shared" si="38"/>
        <v>#DIV/0!</v>
      </c>
      <c r="K135" s="201" t="e">
        <f t="shared" si="39"/>
        <v>#DIV/0!</v>
      </c>
      <c r="L135" s="601"/>
      <c r="M135" s="202" t="e">
        <f>RANK(K135, K$112:$K$141)</f>
        <v>#DIV/0!</v>
      </c>
      <c r="N135" s="619"/>
      <c r="O135" s="619"/>
      <c r="P135" s="520"/>
      <c r="Q135" s="521"/>
      <c r="R135" s="521"/>
      <c r="S135" s="349" t="e">
        <f t="shared" si="40"/>
        <v>#N/A</v>
      </c>
      <c r="T135" s="658"/>
      <c r="U135" s="520"/>
      <c r="V135" s="521"/>
      <c r="W135" s="521"/>
      <c r="X135" s="349" t="e">
        <f t="shared" si="41"/>
        <v>#N/A</v>
      </c>
      <c r="Y135" s="658"/>
      <c r="Z135" s="520"/>
      <c r="AA135" s="521"/>
      <c r="AB135" s="521"/>
      <c r="AC135" s="349" t="e">
        <f t="shared" si="42"/>
        <v>#N/A</v>
      </c>
      <c r="AD135" s="658"/>
      <c r="AE135" s="520"/>
      <c r="AF135" s="521"/>
      <c r="AG135" s="521"/>
      <c r="AH135" s="349" t="e">
        <f t="shared" si="43"/>
        <v>#N/A</v>
      </c>
      <c r="AI135" s="658"/>
      <c r="AJ135" s="520"/>
      <c r="AK135" s="521"/>
      <c r="AL135" s="521"/>
      <c r="AM135" s="349" t="e">
        <f t="shared" si="44"/>
        <v>#N/A</v>
      </c>
      <c r="AN135" s="658"/>
      <c r="AO135" s="520"/>
      <c r="AP135" s="521"/>
      <c r="AQ135" s="521"/>
      <c r="AR135" s="349" t="e">
        <f t="shared" si="45"/>
        <v>#N/A</v>
      </c>
      <c r="AS135" s="658"/>
      <c r="AT135" s="520"/>
      <c r="AU135" s="521"/>
      <c r="AV135" s="521"/>
      <c r="AW135" s="349" t="e">
        <f t="shared" si="46"/>
        <v>#N/A</v>
      </c>
      <c r="AX135" s="658"/>
    </row>
    <row r="136" spans="2:50">
      <c r="B136" s="627"/>
      <c r="C136" s="317">
        <v>25</v>
      </c>
      <c r="D136" s="228"/>
      <c r="E136" s="183"/>
      <c r="F136" s="354"/>
      <c r="G136" s="355"/>
      <c r="H136" s="662"/>
      <c r="I136" s="501" t="e">
        <f t="shared" ref="I136:I137" si="47">AVERAGE(P136,U136,Z136,AE136,AJ136,AO136,AT136)</f>
        <v>#DIV/0!</v>
      </c>
      <c r="J136" s="501" t="e">
        <f t="shared" ref="J136:J137" si="48">AVERAGE(Q136,V136,AA136,AF136,AK136,AP136,AU136)</f>
        <v>#DIV/0!</v>
      </c>
      <c r="K136" s="201" t="e">
        <f t="shared" ref="K136:K137" si="49">AVERAGE(R136,W136,AB136,AG136,AL136,AQ136,AV136)</f>
        <v>#DIV/0!</v>
      </c>
      <c r="L136" s="601"/>
      <c r="M136" s="202" t="e">
        <f>RANK(K136, K$112:$K$141)</f>
        <v>#DIV/0!</v>
      </c>
      <c r="N136" s="619"/>
      <c r="O136" s="619"/>
      <c r="P136" s="520"/>
      <c r="Q136" s="521"/>
      <c r="R136" s="521"/>
      <c r="S136" s="349" t="e">
        <f t="shared" si="40"/>
        <v>#N/A</v>
      </c>
      <c r="T136" s="658"/>
      <c r="U136" s="520"/>
      <c r="V136" s="521"/>
      <c r="W136" s="521"/>
      <c r="X136" s="349" t="e">
        <f t="shared" si="41"/>
        <v>#N/A</v>
      </c>
      <c r="Y136" s="658"/>
      <c r="Z136" s="520"/>
      <c r="AA136" s="521"/>
      <c r="AB136" s="521"/>
      <c r="AC136" s="349" t="e">
        <f t="shared" si="42"/>
        <v>#N/A</v>
      </c>
      <c r="AD136" s="658"/>
      <c r="AE136" s="520"/>
      <c r="AF136" s="521"/>
      <c r="AG136" s="521"/>
      <c r="AH136" s="349" t="e">
        <f t="shared" si="43"/>
        <v>#N/A</v>
      </c>
      <c r="AI136" s="658"/>
      <c r="AJ136" s="520"/>
      <c r="AK136" s="521"/>
      <c r="AL136" s="521"/>
      <c r="AM136" s="349" t="e">
        <f t="shared" si="44"/>
        <v>#N/A</v>
      </c>
      <c r="AN136" s="658"/>
      <c r="AO136" s="520"/>
      <c r="AP136" s="521"/>
      <c r="AQ136" s="521"/>
      <c r="AR136" s="349" t="e">
        <f t="shared" si="45"/>
        <v>#N/A</v>
      </c>
      <c r="AS136" s="658"/>
      <c r="AT136" s="520"/>
      <c r="AU136" s="521"/>
      <c r="AV136" s="521"/>
      <c r="AW136" s="349" t="e">
        <f t="shared" si="46"/>
        <v>#N/A</v>
      </c>
      <c r="AX136" s="658"/>
    </row>
    <row r="137" spans="2:50">
      <c r="B137" s="627"/>
      <c r="C137" s="317">
        <v>26</v>
      </c>
      <c r="D137" s="228"/>
      <c r="E137" s="183"/>
      <c r="F137" s="317"/>
      <c r="G137" s="320"/>
      <c r="H137" s="662"/>
      <c r="I137" s="501" t="e">
        <f t="shared" si="47"/>
        <v>#DIV/0!</v>
      </c>
      <c r="J137" s="501" t="e">
        <f t="shared" si="48"/>
        <v>#DIV/0!</v>
      </c>
      <c r="K137" s="201" t="e">
        <f t="shared" si="49"/>
        <v>#DIV/0!</v>
      </c>
      <c r="L137" s="601"/>
      <c r="M137" s="202" t="e">
        <f>RANK(K137, K$112:$K$141)</f>
        <v>#DIV/0!</v>
      </c>
      <c r="N137" s="619"/>
      <c r="O137" s="619"/>
      <c r="P137" s="520"/>
      <c r="Q137" s="521"/>
      <c r="R137" s="521"/>
      <c r="S137" s="349" t="e">
        <f t="shared" si="40"/>
        <v>#N/A</v>
      </c>
      <c r="T137" s="658"/>
      <c r="U137" s="520"/>
      <c r="V137" s="521"/>
      <c r="W137" s="521"/>
      <c r="X137" s="349" t="e">
        <f t="shared" si="41"/>
        <v>#N/A</v>
      </c>
      <c r="Y137" s="658"/>
      <c r="Z137" s="520"/>
      <c r="AA137" s="521"/>
      <c r="AB137" s="521"/>
      <c r="AC137" s="349" t="e">
        <f t="shared" si="42"/>
        <v>#N/A</v>
      </c>
      <c r="AD137" s="658"/>
      <c r="AE137" s="520"/>
      <c r="AF137" s="521"/>
      <c r="AG137" s="521"/>
      <c r="AH137" s="349" t="e">
        <f t="shared" si="43"/>
        <v>#N/A</v>
      </c>
      <c r="AI137" s="658"/>
      <c r="AJ137" s="520"/>
      <c r="AK137" s="521"/>
      <c r="AL137" s="521"/>
      <c r="AM137" s="349" t="e">
        <f t="shared" si="44"/>
        <v>#N/A</v>
      </c>
      <c r="AN137" s="658"/>
      <c r="AO137" s="520"/>
      <c r="AP137" s="521"/>
      <c r="AQ137" s="521"/>
      <c r="AR137" s="349" t="e">
        <f t="shared" si="45"/>
        <v>#N/A</v>
      </c>
      <c r="AS137" s="658"/>
      <c r="AT137" s="376"/>
      <c r="AU137" s="377"/>
      <c r="AV137" s="377"/>
      <c r="AW137" s="349" t="e">
        <f t="shared" si="46"/>
        <v>#N/A</v>
      </c>
      <c r="AX137" s="658"/>
    </row>
    <row r="138" spans="2:50">
      <c r="B138" s="627"/>
      <c r="C138" s="317">
        <v>27</v>
      </c>
      <c r="D138" s="228"/>
      <c r="E138" s="183"/>
      <c r="F138" s="317"/>
      <c r="G138" s="320"/>
      <c r="H138" s="662"/>
      <c r="I138" s="200"/>
      <c r="J138" s="200"/>
      <c r="K138" s="201"/>
      <c r="L138" s="601"/>
      <c r="M138" s="202" t="e">
        <f>RANK(K138, K$112:$K$141)</f>
        <v>#DIV/0!</v>
      </c>
      <c r="N138" s="619"/>
      <c r="O138" s="619"/>
      <c r="P138" s="376"/>
      <c r="Q138" s="377"/>
      <c r="R138" s="377"/>
      <c r="S138" s="349" t="e">
        <f t="shared" si="40"/>
        <v>#N/A</v>
      </c>
      <c r="T138" s="658"/>
      <c r="U138" s="376"/>
      <c r="V138" s="377"/>
      <c r="W138" s="377"/>
      <c r="X138" s="349" t="e">
        <f t="shared" si="41"/>
        <v>#N/A</v>
      </c>
      <c r="Y138" s="658"/>
      <c r="Z138" s="376"/>
      <c r="AA138" s="377"/>
      <c r="AB138" s="377"/>
      <c r="AC138" s="349" t="e">
        <f t="shared" si="42"/>
        <v>#N/A</v>
      </c>
      <c r="AD138" s="658"/>
      <c r="AE138" s="376"/>
      <c r="AF138" s="377"/>
      <c r="AG138" s="377"/>
      <c r="AH138" s="349" t="e">
        <f t="shared" si="43"/>
        <v>#N/A</v>
      </c>
      <c r="AI138" s="658"/>
      <c r="AJ138" s="376"/>
      <c r="AK138" s="377"/>
      <c r="AL138" s="377"/>
      <c r="AM138" s="349" t="e">
        <f t="shared" si="44"/>
        <v>#N/A</v>
      </c>
      <c r="AN138" s="658"/>
      <c r="AO138" s="376"/>
      <c r="AP138" s="377"/>
      <c r="AQ138" s="377"/>
      <c r="AR138" s="349" t="e">
        <f t="shared" si="45"/>
        <v>#N/A</v>
      </c>
      <c r="AS138" s="658"/>
      <c r="AT138" s="376"/>
      <c r="AU138" s="377"/>
      <c r="AV138" s="377"/>
      <c r="AW138" s="349" t="e">
        <f t="shared" si="46"/>
        <v>#N/A</v>
      </c>
      <c r="AX138" s="658"/>
    </row>
    <row r="139" spans="2:50">
      <c r="B139" s="627"/>
      <c r="C139" s="317">
        <v>28</v>
      </c>
      <c r="D139" s="228"/>
      <c r="E139" s="183"/>
      <c r="F139" s="317"/>
      <c r="G139" s="320"/>
      <c r="H139" s="662"/>
      <c r="I139" s="200"/>
      <c r="J139" s="200"/>
      <c r="K139" s="201"/>
      <c r="L139" s="601"/>
      <c r="M139" s="202" t="e">
        <f>RANK(K139, K$112:$K$141)</f>
        <v>#DIV/0!</v>
      </c>
      <c r="N139" s="619"/>
      <c r="O139" s="619"/>
      <c r="P139" s="317"/>
      <c r="Q139" s="320"/>
      <c r="R139" s="320"/>
      <c r="S139" s="349" t="e">
        <f t="shared" si="40"/>
        <v>#N/A</v>
      </c>
      <c r="T139" s="658"/>
      <c r="U139" s="349"/>
      <c r="V139" s="350"/>
      <c r="W139" s="350"/>
      <c r="X139" s="349" t="e">
        <f t="shared" si="41"/>
        <v>#N/A</v>
      </c>
      <c r="Y139" s="658"/>
      <c r="Z139" s="349"/>
      <c r="AA139" s="350"/>
      <c r="AB139" s="350"/>
      <c r="AC139" s="349" t="e">
        <f t="shared" si="42"/>
        <v>#N/A</v>
      </c>
      <c r="AD139" s="658"/>
      <c r="AE139" s="349"/>
      <c r="AF139" s="350"/>
      <c r="AG139" s="350"/>
      <c r="AH139" s="349" t="e">
        <f t="shared" si="43"/>
        <v>#N/A</v>
      </c>
      <c r="AI139" s="658"/>
      <c r="AJ139" s="349"/>
      <c r="AK139" s="350"/>
      <c r="AL139" s="350"/>
      <c r="AM139" s="349" t="e">
        <f t="shared" si="44"/>
        <v>#N/A</v>
      </c>
      <c r="AN139" s="658"/>
      <c r="AO139" s="349"/>
      <c r="AP139" s="350"/>
      <c r="AQ139" s="350"/>
      <c r="AR139" s="349" t="e">
        <f t="shared" si="45"/>
        <v>#N/A</v>
      </c>
      <c r="AS139" s="658"/>
      <c r="AT139" s="349"/>
      <c r="AU139" s="350"/>
      <c r="AV139" s="350"/>
      <c r="AW139" s="349" t="e">
        <f t="shared" si="46"/>
        <v>#N/A</v>
      </c>
      <c r="AX139" s="658"/>
    </row>
    <row r="140" spans="2:50">
      <c r="B140" s="627"/>
      <c r="C140" s="317">
        <v>29</v>
      </c>
      <c r="D140" s="228"/>
      <c r="E140" s="183"/>
      <c r="F140" s="317"/>
      <c r="G140" s="320"/>
      <c r="H140" s="662"/>
      <c r="I140" s="203"/>
      <c r="J140" s="203"/>
      <c r="K140" s="203"/>
      <c r="L140" s="601"/>
      <c r="M140" s="202" t="e">
        <f>RANK(K140, K$112:$K$141)</f>
        <v>#DIV/0!</v>
      </c>
      <c r="N140" s="619"/>
      <c r="O140" s="619"/>
      <c r="P140" s="317"/>
      <c r="Q140" s="317"/>
      <c r="R140" s="317"/>
      <c r="S140" s="349" t="e">
        <f t="shared" si="40"/>
        <v>#N/A</v>
      </c>
      <c r="T140" s="658"/>
      <c r="U140" s="349"/>
      <c r="V140" s="349"/>
      <c r="W140" s="349"/>
      <c r="X140" s="349" t="e">
        <f t="shared" si="41"/>
        <v>#N/A</v>
      </c>
      <c r="Y140" s="658"/>
      <c r="Z140" s="349"/>
      <c r="AA140" s="349"/>
      <c r="AB140" s="349"/>
      <c r="AC140" s="349" t="e">
        <f t="shared" si="42"/>
        <v>#N/A</v>
      </c>
      <c r="AD140" s="658"/>
      <c r="AE140" s="349"/>
      <c r="AF140" s="349"/>
      <c r="AG140" s="349"/>
      <c r="AH140" s="349" t="e">
        <f t="shared" si="43"/>
        <v>#N/A</v>
      </c>
      <c r="AI140" s="658"/>
      <c r="AJ140" s="349"/>
      <c r="AK140" s="349"/>
      <c r="AL140" s="349"/>
      <c r="AM140" s="349" t="e">
        <f t="shared" si="44"/>
        <v>#N/A</v>
      </c>
      <c r="AN140" s="658"/>
      <c r="AO140" s="349"/>
      <c r="AP140" s="349"/>
      <c r="AQ140" s="349"/>
      <c r="AR140" s="349" t="e">
        <f t="shared" si="45"/>
        <v>#N/A</v>
      </c>
      <c r="AS140" s="658"/>
      <c r="AT140" s="349"/>
      <c r="AU140" s="349"/>
      <c r="AV140" s="349"/>
      <c r="AW140" s="349" t="e">
        <f t="shared" si="46"/>
        <v>#N/A</v>
      </c>
      <c r="AX140" s="658"/>
    </row>
    <row r="141" spans="2:50">
      <c r="B141" s="627"/>
      <c r="C141" s="317">
        <v>30</v>
      </c>
      <c r="D141" s="228"/>
      <c r="E141" s="183"/>
      <c r="F141" s="317"/>
      <c r="G141" s="320"/>
      <c r="H141" s="663"/>
      <c r="I141" s="203"/>
      <c r="J141" s="203"/>
      <c r="K141" s="203"/>
      <c r="L141" s="602"/>
      <c r="M141" s="202" t="e">
        <f>RANK(K141, K$112:$K$141)</f>
        <v>#DIV/0!</v>
      </c>
      <c r="N141" s="619"/>
      <c r="O141" s="619"/>
      <c r="P141" s="317"/>
      <c r="Q141" s="317"/>
      <c r="R141" s="317"/>
      <c r="S141" s="349" t="e">
        <f t="shared" si="40"/>
        <v>#N/A</v>
      </c>
      <c r="T141" s="658"/>
      <c r="U141" s="349"/>
      <c r="V141" s="349"/>
      <c r="W141" s="349"/>
      <c r="X141" s="349" t="e">
        <f t="shared" si="41"/>
        <v>#N/A</v>
      </c>
      <c r="Y141" s="658"/>
      <c r="Z141" s="349"/>
      <c r="AA141" s="349"/>
      <c r="AB141" s="349"/>
      <c r="AC141" s="349" t="e">
        <f t="shared" si="42"/>
        <v>#N/A</v>
      </c>
      <c r="AD141" s="658"/>
      <c r="AE141" s="349"/>
      <c r="AF141" s="349"/>
      <c r="AG141" s="349"/>
      <c r="AH141" s="349" t="e">
        <f t="shared" si="43"/>
        <v>#N/A</v>
      </c>
      <c r="AI141" s="658"/>
      <c r="AJ141" s="349"/>
      <c r="AK141" s="349"/>
      <c r="AL141" s="349"/>
      <c r="AM141" s="349" t="e">
        <f t="shared" si="44"/>
        <v>#N/A</v>
      </c>
      <c r="AN141" s="658"/>
      <c r="AO141" s="349"/>
      <c r="AP141" s="349"/>
      <c r="AQ141" s="349"/>
      <c r="AR141" s="349" t="e">
        <f t="shared" si="45"/>
        <v>#N/A</v>
      </c>
      <c r="AS141" s="658"/>
      <c r="AT141" s="349"/>
      <c r="AU141" s="349"/>
      <c r="AV141" s="349"/>
      <c r="AW141" s="349" t="e">
        <f t="shared" si="46"/>
        <v>#N/A</v>
      </c>
      <c r="AX141" s="658"/>
    </row>
    <row r="142" spans="2:50" ht="15.5">
      <c r="B142" s="631" t="s">
        <v>163</v>
      </c>
      <c r="C142" s="632"/>
      <c r="D142" s="632"/>
      <c r="E142" s="632"/>
      <c r="F142" s="632"/>
      <c r="G142" s="632"/>
      <c r="H142" s="633"/>
      <c r="I142" s="209"/>
      <c r="J142" s="209"/>
      <c r="K142" s="209"/>
      <c r="L142" s="209"/>
      <c r="M142" s="208"/>
      <c r="N142" s="620" t="s">
        <v>156</v>
      </c>
      <c r="O142" s="620" t="s">
        <v>105</v>
      </c>
      <c r="P142" s="626">
        <f>P107+7</f>
        <v>46014</v>
      </c>
      <c r="Q142" s="627"/>
      <c r="R142" s="627"/>
      <c r="S142" s="627"/>
      <c r="T142" s="627"/>
      <c r="U142" s="623">
        <f>P142+1</f>
        <v>46015</v>
      </c>
      <c r="V142" s="624"/>
      <c r="W142" s="624"/>
      <c r="X142" s="624"/>
      <c r="Y142" s="625"/>
      <c r="Z142" s="623">
        <f>U142+1</f>
        <v>46016</v>
      </c>
      <c r="AA142" s="624"/>
      <c r="AB142" s="624"/>
      <c r="AC142" s="624"/>
      <c r="AD142" s="625"/>
      <c r="AE142" s="623">
        <f>Z142+1</f>
        <v>46017</v>
      </c>
      <c r="AF142" s="624"/>
      <c r="AG142" s="624"/>
      <c r="AH142" s="624"/>
      <c r="AI142" s="625"/>
      <c r="AJ142" s="623">
        <f>AE142+1</f>
        <v>46018</v>
      </c>
      <c r="AK142" s="624"/>
      <c r="AL142" s="624"/>
      <c r="AM142" s="624"/>
      <c r="AN142" s="625"/>
      <c r="AO142" s="623">
        <f>AJ142+1</f>
        <v>46019</v>
      </c>
      <c r="AP142" s="624"/>
      <c r="AQ142" s="624"/>
      <c r="AR142" s="624"/>
      <c r="AS142" s="625"/>
      <c r="AT142" s="623">
        <f>AO142+1</f>
        <v>46020</v>
      </c>
      <c r="AU142" s="624"/>
      <c r="AV142" s="624"/>
      <c r="AW142" s="624"/>
      <c r="AX142" s="625"/>
    </row>
    <row r="143" spans="2:50" ht="15.5">
      <c r="B143" s="634"/>
      <c r="C143" s="634"/>
      <c r="D143" s="634"/>
      <c r="E143" s="634"/>
      <c r="F143" s="634"/>
      <c r="G143" s="634"/>
      <c r="H143" s="634"/>
      <c r="I143" s="206"/>
      <c r="J143" s="206"/>
      <c r="K143" s="206"/>
      <c r="L143" s="206"/>
      <c r="M143" s="207"/>
      <c r="N143" s="622"/>
      <c r="O143" s="622"/>
      <c r="P143" s="626" t="s">
        <v>336</v>
      </c>
      <c r="Q143" s="627"/>
      <c r="R143" s="627"/>
      <c r="S143" s="627"/>
      <c r="T143" s="627"/>
      <c r="U143" s="626" t="s">
        <v>337</v>
      </c>
      <c r="V143" s="627"/>
      <c r="W143" s="627"/>
      <c r="X143" s="627"/>
      <c r="Y143" s="627"/>
      <c r="Z143" s="626" t="s">
        <v>338</v>
      </c>
      <c r="AA143" s="627"/>
      <c r="AB143" s="627"/>
      <c r="AC143" s="627"/>
      <c r="AD143" s="627"/>
      <c r="AE143" s="626" t="s">
        <v>339</v>
      </c>
      <c r="AF143" s="627"/>
      <c r="AG143" s="627"/>
      <c r="AH143" s="627"/>
      <c r="AI143" s="627"/>
      <c r="AJ143" s="626" t="s">
        <v>340</v>
      </c>
      <c r="AK143" s="627"/>
      <c r="AL143" s="627"/>
      <c r="AM143" s="627"/>
      <c r="AN143" s="627"/>
      <c r="AO143" s="626" t="s">
        <v>341</v>
      </c>
      <c r="AP143" s="627"/>
      <c r="AQ143" s="627"/>
      <c r="AR143" s="627"/>
      <c r="AS143" s="627"/>
      <c r="AT143" s="626" t="s">
        <v>342</v>
      </c>
      <c r="AU143" s="627"/>
      <c r="AV143" s="627"/>
      <c r="AW143" s="627"/>
      <c r="AX143" s="627"/>
    </row>
    <row r="144" spans="2:50">
      <c r="B144" s="619" t="s">
        <v>502</v>
      </c>
      <c r="C144" s="619" t="s">
        <v>503</v>
      </c>
      <c r="D144" s="619"/>
      <c r="E144" s="619" t="s">
        <v>504</v>
      </c>
      <c r="F144" s="619"/>
      <c r="G144" s="619"/>
      <c r="H144" s="635" t="s">
        <v>505</v>
      </c>
      <c r="I144" s="603" t="s">
        <v>506</v>
      </c>
      <c r="J144" s="603"/>
      <c r="K144" s="603"/>
      <c r="L144" s="604" t="s">
        <v>505</v>
      </c>
      <c r="M144" s="610" t="s">
        <v>507</v>
      </c>
      <c r="N144" s="619"/>
      <c r="O144" s="619" t="s">
        <v>508</v>
      </c>
      <c r="P144" s="616" t="s">
        <v>509</v>
      </c>
      <c r="Q144" s="617"/>
      <c r="R144" s="617"/>
      <c r="S144" s="618"/>
      <c r="T144" s="619" t="s">
        <v>505</v>
      </c>
      <c r="U144" s="616" t="s">
        <v>509</v>
      </c>
      <c r="V144" s="617"/>
      <c r="W144" s="617"/>
      <c r="X144" s="618"/>
      <c r="Y144" s="619" t="s">
        <v>505</v>
      </c>
      <c r="Z144" s="616" t="s">
        <v>509</v>
      </c>
      <c r="AA144" s="617"/>
      <c r="AB144" s="617"/>
      <c r="AC144" s="618"/>
      <c r="AD144" s="619" t="s">
        <v>505</v>
      </c>
      <c r="AE144" s="616" t="s">
        <v>509</v>
      </c>
      <c r="AF144" s="617"/>
      <c r="AG144" s="617"/>
      <c r="AH144" s="618"/>
      <c r="AI144" s="619" t="s">
        <v>505</v>
      </c>
      <c r="AJ144" s="616" t="s">
        <v>509</v>
      </c>
      <c r="AK144" s="617"/>
      <c r="AL144" s="617"/>
      <c r="AM144" s="618"/>
      <c r="AN144" s="619" t="s">
        <v>505</v>
      </c>
      <c r="AO144" s="616" t="s">
        <v>509</v>
      </c>
      <c r="AP144" s="617"/>
      <c r="AQ144" s="617"/>
      <c r="AR144" s="618"/>
      <c r="AS144" s="619" t="s">
        <v>505</v>
      </c>
      <c r="AT144" s="616" t="s">
        <v>509</v>
      </c>
      <c r="AU144" s="617"/>
      <c r="AV144" s="617"/>
      <c r="AW144" s="618"/>
      <c r="AX144" s="619" t="s">
        <v>505</v>
      </c>
    </row>
    <row r="145" spans="2:50">
      <c r="B145" s="619"/>
      <c r="C145" s="619"/>
      <c r="D145" s="619"/>
      <c r="E145" s="619" t="s">
        <v>510</v>
      </c>
      <c r="F145" s="619"/>
      <c r="G145" s="619"/>
      <c r="H145" s="636"/>
      <c r="I145" s="603" t="s">
        <v>510</v>
      </c>
      <c r="J145" s="603"/>
      <c r="K145" s="603"/>
      <c r="L145" s="605"/>
      <c r="M145" s="611"/>
      <c r="N145" s="619"/>
      <c r="O145" s="619"/>
      <c r="P145" s="616" t="s">
        <v>511</v>
      </c>
      <c r="Q145" s="617"/>
      <c r="R145" s="617"/>
      <c r="S145" s="618"/>
      <c r="T145" s="619"/>
      <c r="U145" s="616" t="s">
        <v>511</v>
      </c>
      <c r="V145" s="617"/>
      <c r="W145" s="617"/>
      <c r="X145" s="618"/>
      <c r="Y145" s="619"/>
      <c r="Z145" s="616" t="s">
        <v>511</v>
      </c>
      <c r="AA145" s="617"/>
      <c r="AB145" s="617"/>
      <c r="AC145" s="618"/>
      <c r="AD145" s="619"/>
      <c r="AE145" s="616" t="s">
        <v>511</v>
      </c>
      <c r="AF145" s="617"/>
      <c r="AG145" s="617"/>
      <c r="AH145" s="618"/>
      <c r="AI145" s="619"/>
      <c r="AJ145" s="616" t="s">
        <v>511</v>
      </c>
      <c r="AK145" s="617"/>
      <c r="AL145" s="617"/>
      <c r="AM145" s="618"/>
      <c r="AN145" s="619"/>
      <c r="AO145" s="616" t="s">
        <v>511</v>
      </c>
      <c r="AP145" s="617"/>
      <c r="AQ145" s="617"/>
      <c r="AR145" s="618"/>
      <c r="AS145" s="619"/>
      <c r="AT145" s="616" t="s">
        <v>511</v>
      </c>
      <c r="AU145" s="617"/>
      <c r="AV145" s="617"/>
      <c r="AW145" s="618"/>
      <c r="AX145" s="619"/>
    </row>
    <row r="146" spans="2:50">
      <c r="B146" s="619"/>
      <c r="C146" s="619"/>
      <c r="D146" s="619"/>
      <c r="E146" s="310" t="s">
        <v>512</v>
      </c>
      <c r="F146" s="310" t="s">
        <v>513</v>
      </c>
      <c r="G146" s="310" t="s">
        <v>514</v>
      </c>
      <c r="H146" s="637"/>
      <c r="I146" s="312" t="s">
        <v>512</v>
      </c>
      <c r="J146" s="312" t="s">
        <v>513</v>
      </c>
      <c r="K146" s="312" t="s">
        <v>514</v>
      </c>
      <c r="L146" s="606"/>
      <c r="M146" s="612"/>
      <c r="N146" s="619"/>
      <c r="O146" s="619"/>
      <c r="P146" s="310" t="s">
        <v>512</v>
      </c>
      <c r="Q146" s="310" t="s">
        <v>513</v>
      </c>
      <c r="R146" s="310" t="s">
        <v>514</v>
      </c>
      <c r="S146" s="310" t="s">
        <v>507</v>
      </c>
      <c r="T146" s="619"/>
      <c r="U146" s="310" t="s">
        <v>512</v>
      </c>
      <c r="V146" s="310" t="s">
        <v>513</v>
      </c>
      <c r="W146" s="310" t="s">
        <v>514</v>
      </c>
      <c r="X146" s="310" t="s">
        <v>507</v>
      </c>
      <c r="Y146" s="619"/>
      <c r="Z146" s="310" t="s">
        <v>512</v>
      </c>
      <c r="AA146" s="310" t="s">
        <v>513</v>
      </c>
      <c r="AB146" s="310" t="s">
        <v>514</v>
      </c>
      <c r="AC146" s="310" t="s">
        <v>507</v>
      </c>
      <c r="AD146" s="619"/>
      <c r="AE146" s="310" t="s">
        <v>512</v>
      </c>
      <c r="AF146" s="310" t="s">
        <v>513</v>
      </c>
      <c r="AG146" s="310" t="s">
        <v>514</v>
      </c>
      <c r="AH146" s="310" t="s">
        <v>507</v>
      </c>
      <c r="AI146" s="619"/>
      <c r="AJ146" s="310" t="s">
        <v>512</v>
      </c>
      <c r="AK146" s="310" t="s">
        <v>513</v>
      </c>
      <c r="AL146" s="310" t="s">
        <v>514</v>
      </c>
      <c r="AM146" s="310" t="s">
        <v>507</v>
      </c>
      <c r="AN146" s="619"/>
      <c r="AO146" s="310" t="s">
        <v>512</v>
      </c>
      <c r="AP146" s="310" t="s">
        <v>513</v>
      </c>
      <c r="AQ146" s="310" t="s">
        <v>514</v>
      </c>
      <c r="AR146" s="310" t="s">
        <v>507</v>
      </c>
      <c r="AS146" s="619"/>
      <c r="AT146" s="310" t="s">
        <v>512</v>
      </c>
      <c r="AU146" s="310" t="s">
        <v>513</v>
      </c>
      <c r="AV146" s="310" t="s">
        <v>514</v>
      </c>
      <c r="AW146" s="310" t="s">
        <v>507</v>
      </c>
      <c r="AX146" s="619"/>
    </row>
    <row r="147" spans="2:50">
      <c r="B147" s="619" t="s">
        <v>515</v>
      </c>
      <c r="C147" s="309">
        <v>1</v>
      </c>
      <c r="D147" s="228"/>
      <c r="E147" s="183"/>
      <c r="F147" s="354"/>
      <c r="G147" s="355"/>
      <c r="H147" s="661" t="e">
        <f>AVERAGE(G147:G176)</f>
        <v>#DIV/0!</v>
      </c>
      <c r="I147" s="200" t="e">
        <f>AVERAGE(P147,U147,Z147,AE147,AJ147,AO147,AT147)</f>
        <v>#DIV/0!</v>
      </c>
      <c r="J147" s="200" t="e">
        <f>AVERAGE(Q147,V147,AA147,AF147,AK147,AP147,AU147)</f>
        <v>#DIV/0!</v>
      </c>
      <c r="K147" s="201" t="e">
        <f>AVERAGE(R147,W147,AB147,AG147,AL147,AQ147,AV147)</f>
        <v>#DIV/0!</v>
      </c>
      <c r="L147" s="600" t="str">
        <f>IFERROR(AVERAGE(K147:K176),"-")</f>
        <v>-</v>
      </c>
      <c r="M147" s="202" t="e">
        <f>RANK(K147, K$147:$K$176)</f>
        <v>#DIV/0!</v>
      </c>
      <c r="N147" s="619"/>
      <c r="O147" s="619"/>
      <c r="P147" s="183"/>
      <c r="Q147" s="183"/>
      <c r="R147" s="183"/>
      <c r="S147" s="309" t="e">
        <f>RANK(R147, R$147:R$176)</f>
        <v>#N/A</v>
      </c>
      <c r="T147" s="658" t="e">
        <f>AVERAGE(R147:R176)</f>
        <v>#DIV/0!</v>
      </c>
      <c r="U147" s="183"/>
      <c r="V147" s="183"/>
      <c r="W147" s="183"/>
      <c r="X147" s="309" t="e">
        <f>RANK(W147, W$147:W$176)</f>
        <v>#N/A</v>
      </c>
      <c r="Y147" s="658" t="e">
        <f>AVERAGE(W147:W176)</f>
        <v>#DIV/0!</v>
      </c>
      <c r="Z147" s="183"/>
      <c r="AA147" s="183"/>
      <c r="AB147" s="183"/>
      <c r="AC147" s="309" t="e">
        <f>RANK(AB147, AB$147:AB$176)</f>
        <v>#N/A</v>
      </c>
      <c r="AD147" s="658" t="e">
        <f>AVERAGE(AB147:AB176)</f>
        <v>#DIV/0!</v>
      </c>
      <c r="AE147" s="183"/>
      <c r="AF147" s="183"/>
      <c r="AG147" s="183"/>
      <c r="AH147" s="309" t="e">
        <f>RANK(AG147, AG$147:AG$176)</f>
        <v>#N/A</v>
      </c>
      <c r="AI147" s="658" t="e">
        <f>AVERAGE(AG147:AG176)</f>
        <v>#DIV/0!</v>
      </c>
      <c r="AJ147" s="183"/>
      <c r="AK147" s="183"/>
      <c r="AL147" s="183"/>
      <c r="AM147" s="309" t="e">
        <f>RANK(AL147, AL$147:AL$176)</f>
        <v>#N/A</v>
      </c>
      <c r="AN147" s="658" t="e">
        <f>AVERAGE(AL147:AL176)</f>
        <v>#DIV/0!</v>
      </c>
      <c r="AO147" s="183"/>
      <c r="AP147" s="183"/>
      <c r="AQ147" s="183"/>
      <c r="AR147" s="309" t="e">
        <f>RANK(AQ147, AQ$147:AQ$176)</f>
        <v>#N/A</v>
      </c>
      <c r="AS147" s="658" t="e">
        <f>AVERAGE(AQ147:AQ176)</f>
        <v>#DIV/0!</v>
      </c>
      <c r="AT147" s="183"/>
      <c r="AU147" s="183"/>
      <c r="AV147" s="183"/>
      <c r="AW147" s="309" t="e">
        <f>RANK(AV147, AV$147:AV$176)</f>
        <v>#N/A</v>
      </c>
      <c r="AX147" s="658" t="e">
        <f>AVERAGE(AV147:AV176)</f>
        <v>#DIV/0!</v>
      </c>
    </row>
    <row r="148" spans="2:50">
      <c r="B148" s="627"/>
      <c r="C148" s="309">
        <v>2</v>
      </c>
      <c r="D148" s="228"/>
      <c r="E148" s="183"/>
      <c r="F148" s="354"/>
      <c r="G148" s="355"/>
      <c r="H148" s="662"/>
      <c r="I148" s="200" t="e">
        <f t="shared" ref="I148:I170" si="50">AVERAGE(P148,U148,Z148,AE148,AJ148,AO148,AT148)</f>
        <v>#DIV/0!</v>
      </c>
      <c r="J148" s="200" t="e">
        <f t="shared" ref="J148:J170" si="51">AVERAGE(Q148,V148,AA148,AF148,AK148,AP148,AU148)</f>
        <v>#DIV/0!</v>
      </c>
      <c r="K148" s="201" t="e">
        <f t="shared" ref="K148:K170" si="52">AVERAGE(R148,W148,AB148,AG148,AL148,AQ148,AV148)</f>
        <v>#DIV/0!</v>
      </c>
      <c r="L148" s="601"/>
      <c r="M148" s="202" t="e">
        <f>RANK(K148, K$147:$K$176)</f>
        <v>#DIV/0!</v>
      </c>
      <c r="N148" s="619"/>
      <c r="O148" s="619"/>
      <c r="P148" s="183"/>
      <c r="Q148" s="183"/>
      <c r="R148" s="183"/>
      <c r="S148" s="309" t="e">
        <f t="shared" ref="S148:S176" si="53">RANK(R148, R$147:R$176)</f>
        <v>#N/A</v>
      </c>
      <c r="T148" s="658"/>
      <c r="U148" s="183"/>
      <c r="V148" s="183"/>
      <c r="W148" s="183"/>
      <c r="X148" s="309" t="e">
        <f t="shared" ref="X148:X176" si="54">RANK(W148, W$147:W$176)</f>
        <v>#N/A</v>
      </c>
      <c r="Y148" s="658"/>
      <c r="Z148" s="183"/>
      <c r="AA148" s="183"/>
      <c r="AB148" s="183"/>
      <c r="AC148" s="309" t="e">
        <f t="shared" ref="AC148:AC176" si="55">RANK(AB148, AB$147:AB$176)</f>
        <v>#N/A</v>
      </c>
      <c r="AD148" s="658"/>
      <c r="AE148" s="183"/>
      <c r="AF148" s="183"/>
      <c r="AG148" s="183"/>
      <c r="AH148" s="309" t="e">
        <f t="shared" ref="AH148:AH176" si="56">RANK(AG148, AG$147:AG$176)</f>
        <v>#N/A</v>
      </c>
      <c r="AI148" s="658"/>
      <c r="AJ148" s="183"/>
      <c r="AK148" s="183"/>
      <c r="AL148" s="183"/>
      <c r="AM148" s="309" t="e">
        <f t="shared" ref="AM148:AM176" si="57">RANK(AL148, AL$147:AL$176)</f>
        <v>#N/A</v>
      </c>
      <c r="AN148" s="658"/>
      <c r="AO148" s="183"/>
      <c r="AP148" s="183"/>
      <c r="AQ148" s="183"/>
      <c r="AR148" s="309" t="e">
        <f t="shared" ref="AR148:AR176" si="58">RANK(AQ148, AQ$147:AQ$176)</f>
        <v>#N/A</v>
      </c>
      <c r="AS148" s="658"/>
      <c r="AT148" s="183"/>
      <c r="AU148" s="183"/>
      <c r="AV148" s="183"/>
      <c r="AW148" s="309" t="e">
        <f t="shared" ref="AW148:AW176" si="59">RANK(AV148, AV$147:AV$176)</f>
        <v>#N/A</v>
      </c>
      <c r="AX148" s="658"/>
    </row>
    <row r="149" spans="2:50">
      <c r="B149" s="627"/>
      <c r="C149" s="309">
        <v>3</v>
      </c>
      <c r="D149" s="228"/>
      <c r="E149" s="183"/>
      <c r="F149" s="354"/>
      <c r="G149" s="355"/>
      <c r="H149" s="662"/>
      <c r="I149" s="200" t="e">
        <f t="shared" si="50"/>
        <v>#DIV/0!</v>
      </c>
      <c r="J149" s="200" t="e">
        <f t="shared" si="51"/>
        <v>#DIV/0!</v>
      </c>
      <c r="K149" s="201" t="e">
        <f t="shared" si="52"/>
        <v>#DIV/0!</v>
      </c>
      <c r="L149" s="601"/>
      <c r="M149" s="202" t="e">
        <f>RANK(K149, K$147:$K$176)</f>
        <v>#DIV/0!</v>
      </c>
      <c r="N149" s="619"/>
      <c r="O149" s="619"/>
      <c r="P149" s="183"/>
      <c r="Q149" s="183"/>
      <c r="R149" s="183"/>
      <c r="S149" s="309" t="e">
        <f t="shared" si="53"/>
        <v>#N/A</v>
      </c>
      <c r="T149" s="658"/>
      <c r="U149" s="183"/>
      <c r="V149" s="183"/>
      <c r="W149" s="183"/>
      <c r="X149" s="309" t="e">
        <f t="shared" si="54"/>
        <v>#N/A</v>
      </c>
      <c r="Y149" s="658"/>
      <c r="Z149" s="183"/>
      <c r="AA149" s="183"/>
      <c r="AB149" s="183"/>
      <c r="AC149" s="309" t="e">
        <f t="shared" si="55"/>
        <v>#N/A</v>
      </c>
      <c r="AD149" s="658"/>
      <c r="AE149" s="183"/>
      <c r="AF149" s="183"/>
      <c r="AG149" s="183"/>
      <c r="AH149" s="309" t="e">
        <f t="shared" si="56"/>
        <v>#N/A</v>
      </c>
      <c r="AI149" s="658"/>
      <c r="AJ149" s="183"/>
      <c r="AK149" s="183"/>
      <c r="AL149" s="183"/>
      <c r="AM149" s="309" t="e">
        <f t="shared" si="57"/>
        <v>#N/A</v>
      </c>
      <c r="AN149" s="658"/>
      <c r="AO149" s="183"/>
      <c r="AP149" s="183"/>
      <c r="AQ149" s="183"/>
      <c r="AR149" s="309" t="e">
        <f t="shared" si="58"/>
        <v>#N/A</v>
      </c>
      <c r="AS149" s="658"/>
      <c r="AT149" s="183"/>
      <c r="AU149" s="183"/>
      <c r="AV149" s="183"/>
      <c r="AW149" s="309" t="e">
        <f t="shared" si="59"/>
        <v>#N/A</v>
      </c>
      <c r="AX149" s="658"/>
    </row>
    <row r="150" spans="2:50">
      <c r="B150" s="627"/>
      <c r="C150" s="309">
        <v>4</v>
      </c>
      <c r="D150" s="228"/>
      <c r="E150" s="183"/>
      <c r="F150" s="354"/>
      <c r="G150" s="355"/>
      <c r="H150" s="662"/>
      <c r="I150" s="200" t="e">
        <f t="shared" si="50"/>
        <v>#DIV/0!</v>
      </c>
      <c r="J150" s="200" t="e">
        <f t="shared" si="51"/>
        <v>#DIV/0!</v>
      </c>
      <c r="K150" s="201" t="e">
        <f t="shared" si="52"/>
        <v>#DIV/0!</v>
      </c>
      <c r="L150" s="601"/>
      <c r="M150" s="202" t="e">
        <f>RANK(K150, K$147:$K$176)</f>
        <v>#DIV/0!</v>
      </c>
      <c r="N150" s="619"/>
      <c r="O150" s="619"/>
      <c r="P150" s="183"/>
      <c r="Q150" s="183"/>
      <c r="R150" s="183"/>
      <c r="S150" s="309" t="e">
        <f t="shared" si="53"/>
        <v>#N/A</v>
      </c>
      <c r="T150" s="658"/>
      <c r="U150" s="183"/>
      <c r="V150" s="183"/>
      <c r="W150" s="183"/>
      <c r="X150" s="309" t="e">
        <f t="shared" si="54"/>
        <v>#N/A</v>
      </c>
      <c r="Y150" s="658"/>
      <c r="Z150" s="183"/>
      <c r="AA150" s="183"/>
      <c r="AB150" s="183"/>
      <c r="AC150" s="309" t="e">
        <f t="shared" si="55"/>
        <v>#N/A</v>
      </c>
      <c r="AD150" s="658"/>
      <c r="AE150" s="183"/>
      <c r="AF150" s="183"/>
      <c r="AG150" s="183"/>
      <c r="AH150" s="309" t="e">
        <f t="shared" si="56"/>
        <v>#N/A</v>
      </c>
      <c r="AI150" s="658"/>
      <c r="AJ150" s="183"/>
      <c r="AK150" s="183"/>
      <c r="AL150" s="183"/>
      <c r="AM150" s="309" t="e">
        <f t="shared" si="57"/>
        <v>#N/A</v>
      </c>
      <c r="AN150" s="658"/>
      <c r="AO150" s="183"/>
      <c r="AP150" s="183"/>
      <c r="AQ150" s="183"/>
      <c r="AR150" s="309" t="e">
        <f t="shared" si="58"/>
        <v>#N/A</v>
      </c>
      <c r="AS150" s="658"/>
      <c r="AT150" s="183"/>
      <c r="AU150" s="183"/>
      <c r="AV150" s="183"/>
      <c r="AW150" s="309" t="e">
        <f t="shared" si="59"/>
        <v>#N/A</v>
      </c>
      <c r="AX150" s="658"/>
    </row>
    <row r="151" spans="2:50">
      <c r="B151" s="627"/>
      <c r="C151" s="309">
        <v>5</v>
      </c>
      <c r="D151" s="228"/>
      <c r="E151" s="183"/>
      <c r="F151" s="354"/>
      <c r="G151" s="355"/>
      <c r="H151" s="662"/>
      <c r="I151" s="200" t="e">
        <f t="shared" si="50"/>
        <v>#DIV/0!</v>
      </c>
      <c r="J151" s="200" t="e">
        <f t="shared" si="51"/>
        <v>#DIV/0!</v>
      </c>
      <c r="K151" s="201" t="e">
        <f t="shared" si="52"/>
        <v>#DIV/0!</v>
      </c>
      <c r="L151" s="601"/>
      <c r="M151" s="202" t="e">
        <f>RANK(K151, K$147:$K$176)</f>
        <v>#DIV/0!</v>
      </c>
      <c r="N151" s="619"/>
      <c r="O151" s="619"/>
      <c r="P151" s="183"/>
      <c r="Q151" s="183"/>
      <c r="R151" s="183"/>
      <c r="S151" s="309" t="e">
        <f t="shared" si="53"/>
        <v>#N/A</v>
      </c>
      <c r="T151" s="658"/>
      <c r="U151" s="183"/>
      <c r="V151" s="183"/>
      <c r="W151" s="183"/>
      <c r="X151" s="309" t="e">
        <f t="shared" si="54"/>
        <v>#N/A</v>
      </c>
      <c r="Y151" s="658"/>
      <c r="Z151" s="183"/>
      <c r="AA151" s="183"/>
      <c r="AB151" s="183"/>
      <c r="AC151" s="309" t="e">
        <f t="shared" si="55"/>
        <v>#N/A</v>
      </c>
      <c r="AD151" s="658"/>
      <c r="AE151" s="183"/>
      <c r="AF151" s="183"/>
      <c r="AG151" s="183"/>
      <c r="AH151" s="309" t="e">
        <f t="shared" si="56"/>
        <v>#N/A</v>
      </c>
      <c r="AI151" s="658"/>
      <c r="AJ151" s="183"/>
      <c r="AK151" s="183"/>
      <c r="AL151" s="183"/>
      <c r="AM151" s="309" t="e">
        <f t="shared" si="57"/>
        <v>#N/A</v>
      </c>
      <c r="AN151" s="658"/>
      <c r="AO151" s="183"/>
      <c r="AP151" s="183"/>
      <c r="AQ151" s="183"/>
      <c r="AR151" s="309" t="e">
        <f t="shared" si="58"/>
        <v>#N/A</v>
      </c>
      <c r="AS151" s="658"/>
      <c r="AT151" s="183"/>
      <c r="AU151" s="183"/>
      <c r="AV151" s="183"/>
      <c r="AW151" s="309" t="e">
        <f t="shared" si="59"/>
        <v>#N/A</v>
      </c>
      <c r="AX151" s="658"/>
    </row>
    <row r="152" spans="2:50">
      <c r="B152" s="627"/>
      <c r="C152" s="309">
        <v>6</v>
      </c>
      <c r="D152" s="228"/>
      <c r="E152" s="183"/>
      <c r="F152" s="354"/>
      <c r="G152" s="355"/>
      <c r="H152" s="662"/>
      <c r="I152" s="200" t="e">
        <f t="shared" si="50"/>
        <v>#DIV/0!</v>
      </c>
      <c r="J152" s="200" t="e">
        <f t="shared" si="51"/>
        <v>#DIV/0!</v>
      </c>
      <c r="K152" s="201" t="e">
        <f t="shared" si="52"/>
        <v>#DIV/0!</v>
      </c>
      <c r="L152" s="601"/>
      <c r="M152" s="202" t="e">
        <f>RANK(K152, K$147:$K$176)</f>
        <v>#DIV/0!</v>
      </c>
      <c r="N152" s="619"/>
      <c r="O152" s="619"/>
      <c r="P152" s="183"/>
      <c r="Q152" s="183"/>
      <c r="R152" s="183"/>
      <c r="S152" s="309" t="e">
        <f t="shared" si="53"/>
        <v>#N/A</v>
      </c>
      <c r="T152" s="658"/>
      <c r="U152" s="183"/>
      <c r="V152" s="183"/>
      <c r="W152" s="183"/>
      <c r="X152" s="309" t="e">
        <f t="shared" si="54"/>
        <v>#N/A</v>
      </c>
      <c r="Y152" s="658"/>
      <c r="Z152" s="183"/>
      <c r="AA152" s="183"/>
      <c r="AB152" s="183"/>
      <c r="AC152" s="309" t="e">
        <f t="shared" si="55"/>
        <v>#N/A</v>
      </c>
      <c r="AD152" s="658"/>
      <c r="AE152" s="183"/>
      <c r="AF152" s="183"/>
      <c r="AG152" s="183"/>
      <c r="AH152" s="309" t="e">
        <f t="shared" si="56"/>
        <v>#N/A</v>
      </c>
      <c r="AI152" s="658"/>
      <c r="AJ152" s="183"/>
      <c r="AK152" s="183"/>
      <c r="AL152" s="183"/>
      <c r="AM152" s="309" t="e">
        <f t="shared" si="57"/>
        <v>#N/A</v>
      </c>
      <c r="AN152" s="658"/>
      <c r="AO152" s="183"/>
      <c r="AP152" s="183"/>
      <c r="AQ152" s="183"/>
      <c r="AR152" s="309" t="e">
        <f t="shared" si="58"/>
        <v>#N/A</v>
      </c>
      <c r="AS152" s="658"/>
      <c r="AT152" s="183"/>
      <c r="AU152" s="183"/>
      <c r="AV152" s="183"/>
      <c r="AW152" s="309" t="e">
        <f t="shared" si="59"/>
        <v>#N/A</v>
      </c>
      <c r="AX152" s="658"/>
    </row>
    <row r="153" spans="2:50">
      <c r="B153" s="627"/>
      <c r="C153" s="309">
        <v>7</v>
      </c>
      <c r="D153" s="228"/>
      <c r="E153" s="183"/>
      <c r="F153" s="354"/>
      <c r="G153" s="355"/>
      <c r="H153" s="662"/>
      <c r="I153" s="200" t="e">
        <f t="shared" si="50"/>
        <v>#DIV/0!</v>
      </c>
      <c r="J153" s="200" t="e">
        <f t="shared" si="51"/>
        <v>#DIV/0!</v>
      </c>
      <c r="K153" s="201" t="e">
        <f t="shared" si="52"/>
        <v>#DIV/0!</v>
      </c>
      <c r="L153" s="601"/>
      <c r="M153" s="202" t="e">
        <f>RANK(K153, K$147:$K$176)</f>
        <v>#DIV/0!</v>
      </c>
      <c r="N153" s="619"/>
      <c r="O153" s="619"/>
      <c r="P153" s="183"/>
      <c r="Q153" s="183"/>
      <c r="R153" s="183"/>
      <c r="S153" s="309" t="e">
        <f t="shared" si="53"/>
        <v>#N/A</v>
      </c>
      <c r="T153" s="658"/>
      <c r="U153" s="183"/>
      <c r="V153" s="183"/>
      <c r="W153" s="183"/>
      <c r="X153" s="309" t="e">
        <f t="shared" si="54"/>
        <v>#N/A</v>
      </c>
      <c r="Y153" s="658"/>
      <c r="Z153" s="183"/>
      <c r="AA153" s="183"/>
      <c r="AB153" s="183"/>
      <c r="AC153" s="309" t="e">
        <f t="shared" si="55"/>
        <v>#N/A</v>
      </c>
      <c r="AD153" s="658"/>
      <c r="AE153" s="183"/>
      <c r="AF153" s="183"/>
      <c r="AG153" s="183"/>
      <c r="AH153" s="309" t="e">
        <f t="shared" si="56"/>
        <v>#N/A</v>
      </c>
      <c r="AI153" s="658"/>
      <c r="AJ153" s="183"/>
      <c r="AK153" s="183"/>
      <c r="AL153" s="183"/>
      <c r="AM153" s="309" t="e">
        <f t="shared" si="57"/>
        <v>#N/A</v>
      </c>
      <c r="AN153" s="658"/>
      <c r="AO153" s="183"/>
      <c r="AP153" s="183"/>
      <c r="AQ153" s="183"/>
      <c r="AR153" s="309" t="e">
        <f t="shared" si="58"/>
        <v>#N/A</v>
      </c>
      <c r="AS153" s="658"/>
      <c r="AT153" s="183"/>
      <c r="AU153" s="183"/>
      <c r="AV153" s="183"/>
      <c r="AW153" s="309" t="e">
        <f t="shared" si="59"/>
        <v>#N/A</v>
      </c>
      <c r="AX153" s="658"/>
    </row>
    <row r="154" spans="2:50">
      <c r="B154" s="627"/>
      <c r="C154" s="309">
        <v>8</v>
      </c>
      <c r="D154" s="228"/>
      <c r="E154" s="183"/>
      <c r="F154" s="354"/>
      <c r="G154" s="355"/>
      <c r="H154" s="662"/>
      <c r="I154" s="200" t="e">
        <f t="shared" si="50"/>
        <v>#DIV/0!</v>
      </c>
      <c r="J154" s="200" t="e">
        <f t="shared" si="51"/>
        <v>#DIV/0!</v>
      </c>
      <c r="K154" s="201" t="e">
        <f t="shared" si="52"/>
        <v>#DIV/0!</v>
      </c>
      <c r="L154" s="601"/>
      <c r="M154" s="202" t="e">
        <f>RANK(K154, K$147:$K$176)</f>
        <v>#DIV/0!</v>
      </c>
      <c r="N154" s="619"/>
      <c r="O154" s="619"/>
      <c r="P154" s="183"/>
      <c r="Q154" s="183"/>
      <c r="R154" s="183"/>
      <c r="S154" s="309" t="e">
        <f t="shared" si="53"/>
        <v>#N/A</v>
      </c>
      <c r="T154" s="658"/>
      <c r="U154" s="183"/>
      <c r="V154" s="183"/>
      <c r="W154" s="183"/>
      <c r="X154" s="309" t="e">
        <f t="shared" si="54"/>
        <v>#N/A</v>
      </c>
      <c r="Y154" s="658"/>
      <c r="Z154" s="183"/>
      <c r="AA154" s="183"/>
      <c r="AB154" s="183"/>
      <c r="AC154" s="309" t="e">
        <f t="shared" si="55"/>
        <v>#N/A</v>
      </c>
      <c r="AD154" s="658"/>
      <c r="AE154" s="183"/>
      <c r="AF154" s="183"/>
      <c r="AG154" s="183"/>
      <c r="AH154" s="309" t="e">
        <f t="shared" si="56"/>
        <v>#N/A</v>
      </c>
      <c r="AI154" s="658"/>
      <c r="AJ154" s="183"/>
      <c r="AK154" s="183"/>
      <c r="AL154" s="183"/>
      <c r="AM154" s="309" t="e">
        <f t="shared" si="57"/>
        <v>#N/A</v>
      </c>
      <c r="AN154" s="658"/>
      <c r="AO154" s="183"/>
      <c r="AP154" s="183"/>
      <c r="AQ154" s="183"/>
      <c r="AR154" s="309" t="e">
        <f t="shared" si="58"/>
        <v>#N/A</v>
      </c>
      <c r="AS154" s="658"/>
      <c r="AT154" s="183"/>
      <c r="AU154" s="183"/>
      <c r="AV154" s="183"/>
      <c r="AW154" s="309" t="e">
        <f t="shared" si="59"/>
        <v>#N/A</v>
      </c>
      <c r="AX154" s="658"/>
    </row>
    <row r="155" spans="2:50">
      <c r="B155" s="627"/>
      <c r="C155" s="309">
        <v>9</v>
      </c>
      <c r="D155" s="228"/>
      <c r="E155" s="183"/>
      <c r="F155" s="354"/>
      <c r="G155" s="355"/>
      <c r="H155" s="662"/>
      <c r="I155" s="200" t="e">
        <f t="shared" si="50"/>
        <v>#DIV/0!</v>
      </c>
      <c r="J155" s="200" t="e">
        <f t="shared" si="51"/>
        <v>#DIV/0!</v>
      </c>
      <c r="K155" s="201" t="e">
        <f t="shared" si="52"/>
        <v>#DIV/0!</v>
      </c>
      <c r="L155" s="601"/>
      <c r="M155" s="202" t="e">
        <f>RANK(K155, K$147:$K$176)</f>
        <v>#DIV/0!</v>
      </c>
      <c r="N155" s="619"/>
      <c r="O155" s="619"/>
      <c r="P155" s="183"/>
      <c r="Q155" s="183"/>
      <c r="R155" s="183"/>
      <c r="S155" s="309" t="e">
        <f t="shared" si="53"/>
        <v>#N/A</v>
      </c>
      <c r="T155" s="658"/>
      <c r="U155" s="183"/>
      <c r="V155" s="183"/>
      <c r="W155" s="183"/>
      <c r="X155" s="309" t="e">
        <f t="shared" si="54"/>
        <v>#N/A</v>
      </c>
      <c r="Y155" s="658"/>
      <c r="Z155" s="183"/>
      <c r="AA155" s="183"/>
      <c r="AB155" s="183"/>
      <c r="AC155" s="309" t="e">
        <f t="shared" si="55"/>
        <v>#N/A</v>
      </c>
      <c r="AD155" s="658"/>
      <c r="AE155" s="183"/>
      <c r="AF155" s="183"/>
      <c r="AG155" s="183"/>
      <c r="AH155" s="309" t="e">
        <f t="shared" si="56"/>
        <v>#N/A</v>
      </c>
      <c r="AI155" s="658"/>
      <c r="AJ155" s="183"/>
      <c r="AK155" s="183"/>
      <c r="AL155" s="183"/>
      <c r="AM155" s="309" t="e">
        <f t="shared" si="57"/>
        <v>#N/A</v>
      </c>
      <c r="AN155" s="658"/>
      <c r="AO155" s="183"/>
      <c r="AP155" s="183"/>
      <c r="AQ155" s="183"/>
      <c r="AR155" s="309" t="e">
        <f t="shared" si="58"/>
        <v>#N/A</v>
      </c>
      <c r="AS155" s="658"/>
      <c r="AT155" s="183"/>
      <c r="AU155" s="183"/>
      <c r="AV155" s="183"/>
      <c r="AW155" s="309" t="e">
        <f t="shared" si="59"/>
        <v>#N/A</v>
      </c>
      <c r="AX155" s="658"/>
    </row>
    <row r="156" spans="2:50">
      <c r="B156" s="627"/>
      <c r="C156" s="309">
        <v>10</v>
      </c>
      <c r="D156" s="228"/>
      <c r="E156" s="183"/>
      <c r="F156" s="354"/>
      <c r="G156" s="355"/>
      <c r="H156" s="662"/>
      <c r="I156" s="200" t="e">
        <f t="shared" si="50"/>
        <v>#DIV/0!</v>
      </c>
      <c r="J156" s="200" t="e">
        <f t="shared" si="51"/>
        <v>#DIV/0!</v>
      </c>
      <c r="K156" s="201" t="e">
        <f t="shared" si="52"/>
        <v>#DIV/0!</v>
      </c>
      <c r="L156" s="601"/>
      <c r="M156" s="202" t="e">
        <f>RANK(K156, K$147:$K$176)</f>
        <v>#DIV/0!</v>
      </c>
      <c r="N156" s="619"/>
      <c r="O156" s="619"/>
      <c r="P156" s="183"/>
      <c r="Q156" s="183"/>
      <c r="R156" s="183"/>
      <c r="S156" s="309" t="e">
        <f t="shared" si="53"/>
        <v>#N/A</v>
      </c>
      <c r="T156" s="658"/>
      <c r="U156" s="183"/>
      <c r="V156" s="183"/>
      <c r="W156" s="183"/>
      <c r="X156" s="309" t="e">
        <f t="shared" si="54"/>
        <v>#N/A</v>
      </c>
      <c r="Y156" s="658"/>
      <c r="Z156" s="183"/>
      <c r="AA156" s="183"/>
      <c r="AB156" s="183"/>
      <c r="AC156" s="309" t="e">
        <f t="shared" si="55"/>
        <v>#N/A</v>
      </c>
      <c r="AD156" s="658"/>
      <c r="AE156" s="183"/>
      <c r="AF156" s="183"/>
      <c r="AG156" s="183"/>
      <c r="AH156" s="309" t="e">
        <f t="shared" si="56"/>
        <v>#N/A</v>
      </c>
      <c r="AI156" s="658"/>
      <c r="AJ156" s="183"/>
      <c r="AK156" s="183"/>
      <c r="AL156" s="183"/>
      <c r="AM156" s="309" t="e">
        <f t="shared" si="57"/>
        <v>#N/A</v>
      </c>
      <c r="AN156" s="658"/>
      <c r="AO156" s="183"/>
      <c r="AP156" s="183"/>
      <c r="AQ156" s="183"/>
      <c r="AR156" s="309" t="e">
        <f t="shared" si="58"/>
        <v>#N/A</v>
      </c>
      <c r="AS156" s="658"/>
      <c r="AT156" s="183"/>
      <c r="AU156" s="183"/>
      <c r="AV156" s="183"/>
      <c r="AW156" s="309" t="e">
        <f t="shared" si="59"/>
        <v>#N/A</v>
      </c>
      <c r="AX156" s="658"/>
    </row>
    <row r="157" spans="2:50">
      <c r="B157" s="627"/>
      <c r="C157" s="309">
        <v>11</v>
      </c>
      <c r="D157" s="228"/>
      <c r="E157" s="183"/>
      <c r="F157" s="354"/>
      <c r="G157" s="355"/>
      <c r="H157" s="662"/>
      <c r="I157" s="200" t="e">
        <f t="shared" si="50"/>
        <v>#DIV/0!</v>
      </c>
      <c r="J157" s="200" t="e">
        <f t="shared" si="51"/>
        <v>#DIV/0!</v>
      </c>
      <c r="K157" s="201" t="e">
        <f t="shared" si="52"/>
        <v>#DIV/0!</v>
      </c>
      <c r="L157" s="601"/>
      <c r="M157" s="202" t="e">
        <f>RANK(K157, K$147:$K$176)</f>
        <v>#DIV/0!</v>
      </c>
      <c r="N157" s="619"/>
      <c r="O157" s="619"/>
      <c r="P157" s="183"/>
      <c r="Q157" s="183"/>
      <c r="R157" s="183"/>
      <c r="S157" s="309" t="e">
        <f t="shared" si="53"/>
        <v>#N/A</v>
      </c>
      <c r="T157" s="658"/>
      <c r="U157" s="183"/>
      <c r="V157" s="183"/>
      <c r="W157" s="183"/>
      <c r="X157" s="309" t="e">
        <f t="shared" si="54"/>
        <v>#N/A</v>
      </c>
      <c r="Y157" s="658"/>
      <c r="Z157" s="183"/>
      <c r="AA157" s="183"/>
      <c r="AB157" s="183"/>
      <c r="AC157" s="309" t="e">
        <f t="shared" si="55"/>
        <v>#N/A</v>
      </c>
      <c r="AD157" s="658"/>
      <c r="AE157" s="183"/>
      <c r="AF157" s="183"/>
      <c r="AG157" s="183"/>
      <c r="AH157" s="309" t="e">
        <f t="shared" si="56"/>
        <v>#N/A</v>
      </c>
      <c r="AI157" s="658"/>
      <c r="AJ157" s="183"/>
      <c r="AK157" s="183"/>
      <c r="AL157" s="183"/>
      <c r="AM157" s="309" t="e">
        <f t="shared" si="57"/>
        <v>#N/A</v>
      </c>
      <c r="AN157" s="658"/>
      <c r="AO157" s="183"/>
      <c r="AP157" s="183"/>
      <c r="AQ157" s="183"/>
      <c r="AR157" s="309" t="e">
        <f t="shared" si="58"/>
        <v>#N/A</v>
      </c>
      <c r="AS157" s="658"/>
      <c r="AT157" s="183"/>
      <c r="AU157" s="183"/>
      <c r="AV157" s="183"/>
      <c r="AW157" s="309" t="e">
        <f t="shared" si="59"/>
        <v>#N/A</v>
      </c>
      <c r="AX157" s="658"/>
    </row>
    <row r="158" spans="2:50">
      <c r="B158" s="627"/>
      <c r="C158" s="309">
        <v>12</v>
      </c>
      <c r="D158" s="228"/>
      <c r="E158" s="183"/>
      <c r="F158" s="354"/>
      <c r="G158" s="355"/>
      <c r="H158" s="662"/>
      <c r="I158" s="200" t="e">
        <f t="shared" si="50"/>
        <v>#DIV/0!</v>
      </c>
      <c r="J158" s="200" t="e">
        <f t="shared" si="51"/>
        <v>#DIV/0!</v>
      </c>
      <c r="K158" s="201" t="e">
        <f t="shared" si="52"/>
        <v>#DIV/0!</v>
      </c>
      <c r="L158" s="601"/>
      <c r="M158" s="202" t="e">
        <f>RANK(K158, K$147:$K$176)</f>
        <v>#DIV/0!</v>
      </c>
      <c r="N158" s="619"/>
      <c r="O158" s="619"/>
      <c r="P158" s="183"/>
      <c r="Q158" s="183"/>
      <c r="R158" s="183"/>
      <c r="S158" s="309" t="e">
        <f t="shared" si="53"/>
        <v>#N/A</v>
      </c>
      <c r="T158" s="658"/>
      <c r="U158" s="183"/>
      <c r="V158" s="183"/>
      <c r="W158" s="183"/>
      <c r="X158" s="309" t="e">
        <f t="shared" si="54"/>
        <v>#N/A</v>
      </c>
      <c r="Y158" s="658"/>
      <c r="Z158" s="183"/>
      <c r="AA158" s="183"/>
      <c r="AB158" s="183"/>
      <c r="AC158" s="309" t="e">
        <f t="shared" si="55"/>
        <v>#N/A</v>
      </c>
      <c r="AD158" s="658"/>
      <c r="AE158" s="183"/>
      <c r="AF158" s="183"/>
      <c r="AG158" s="183"/>
      <c r="AH158" s="309" t="e">
        <f t="shared" si="56"/>
        <v>#N/A</v>
      </c>
      <c r="AI158" s="658"/>
      <c r="AJ158" s="183"/>
      <c r="AK158" s="183"/>
      <c r="AL158" s="183"/>
      <c r="AM158" s="309" t="e">
        <f t="shared" si="57"/>
        <v>#N/A</v>
      </c>
      <c r="AN158" s="658"/>
      <c r="AO158" s="183"/>
      <c r="AP158" s="183"/>
      <c r="AQ158" s="183"/>
      <c r="AR158" s="309" t="e">
        <f t="shared" si="58"/>
        <v>#N/A</v>
      </c>
      <c r="AS158" s="658"/>
      <c r="AT158" s="183"/>
      <c r="AU158" s="183"/>
      <c r="AV158" s="183"/>
      <c r="AW158" s="309" t="e">
        <f t="shared" si="59"/>
        <v>#N/A</v>
      </c>
      <c r="AX158" s="658"/>
    </row>
    <row r="159" spans="2:50">
      <c r="B159" s="627"/>
      <c r="C159" s="309">
        <v>13</v>
      </c>
      <c r="D159" s="228"/>
      <c r="E159" s="183"/>
      <c r="F159" s="354"/>
      <c r="G159" s="355"/>
      <c r="H159" s="662"/>
      <c r="I159" s="200" t="e">
        <f t="shared" si="50"/>
        <v>#DIV/0!</v>
      </c>
      <c r="J159" s="200" t="e">
        <f t="shared" si="51"/>
        <v>#DIV/0!</v>
      </c>
      <c r="K159" s="201" t="e">
        <f t="shared" si="52"/>
        <v>#DIV/0!</v>
      </c>
      <c r="L159" s="601"/>
      <c r="M159" s="202" t="e">
        <f>RANK(K159, K$147:$K$176)</f>
        <v>#DIV/0!</v>
      </c>
      <c r="N159" s="619"/>
      <c r="O159" s="619"/>
      <c r="P159" s="183"/>
      <c r="Q159" s="183"/>
      <c r="R159" s="183"/>
      <c r="S159" s="309" t="e">
        <f t="shared" si="53"/>
        <v>#N/A</v>
      </c>
      <c r="T159" s="658"/>
      <c r="U159" s="183"/>
      <c r="V159" s="183"/>
      <c r="W159" s="183"/>
      <c r="X159" s="309" t="e">
        <f t="shared" si="54"/>
        <v>#N/A</v>
      </c>
      <c r="Y159" s="658"/>
      <c r="Z159" s="183"/>
      <c r="AA159" s="183"/>
      <c r="AB159" s="183"/>
      <c r="AC159" s="309" t="e">
        <f t="shared" si="55"/>
        <v>#N/A</v>
      </c>
      <c r="AD159" s="658"/>
      <c r="AE159" s="183"/>
      <c r="AF159" s="183"/>
      <c r="AG159" s="183"/>
      <c r="AH159" s="309" t="e">
        <f t="shared" si="56"/>
        <v>#N/A</v>
      </c>
      <c r="AI159" s="658"/>
      <c r="AJ159" s="183"/>
      <c r="AK159" s="183"/>
      <c r="AL159" s="183"/>
      <c r="AM159" s="309" t="e">
        <f t="shared" si="57"/>
        <v>#N/A</v>
      </c>
      <c r="AN159" s="658"/>
      <c r="AO159" s="183"/>
      <c r="AP159" s="183"/>
      <c r="AQ159" s="183"/>
      <c r="AR159" s="309" t="e">
        <f t="shared" si="58"/>
        <v>#N/A</v>
      </c>
      <c r="AS159" s="658"/>
      <c r="AT159" s="183"/>
      <c r="AU159" s="183"/>
      <c r="AV159" s="183"/>
      <c r="AW159" s="309" t="e">
        <f t="shared" si="59"/>
        <v>#N/A</v>
      </c>
      <c r="AX159" s="658"/>
    </row>
    <row r="160" spans="2:50">
      <c r="B160" s="627"/>
      <c r="C160" s="309">
        <v>14</v>
      </c>
      <c r="D160" s="228"/>
      <c r="E160" s="183"/>
      <c r="F160" s="354"/>
      <c r="G160" s="355"/>
      <c r="H160" s="662"/>
      <c r="I160" s="200" t="e">
        <f t="shared" si="50"/>
        <v>#DIV/0!</v>
      </c>
      <c r="J160" s="200" t="e">
        <f t="shared" si="51"/>
        <v>#DIV/0!</v>
      </c>
      <c r="K160" s="201" t="e">
        <f t="shared" si="52"/>
        <v>#DIV/0!</v>
      </c>
      <c r="L160" s="601"/>
      <c r="M160" s="202" t="e">
        <f>RANK(K160, K$147:$K$176)</f>
        <v>#DIV/0!</v>
      </c>
      <c r="N160" s="619"/>
      <c r="O160" s="619"/>
      <c r="P160" s="183"/>
      <c r="Q160" s="183"/>
      <c r="R160" s="183"/>
      <c r="S160" s="309" t="e">
        <f t="shared" si="53"/>
        <v>#N/A</v>
      </c>
      <c r="T160" s="658"/>
      <c r="U160" s="183"/>
      <c r="V160" s="183"/>
      <c r="W160" s="183"/>
      <c r="X160" s="309" t="e">
        <f t="shared" si="54"/>
        <v>#N/A</v>
      </c>
      <c r="Y160" s="658"/>
      <c r="Z160" s="183"/>
      <c r="AA160" s="183"/>
      <c r="AB160" s="183"/>
      <c r="AC160" s="309" t="e">
        <f t="shared" si="55"/>
        <v>#N/A</v>
      </c>
      <c r="AD160" s="658"/>
      <c r="AE160" s="183"/>
      <c r="AF160" s="183"/>
      <c r="AG160" s="183"/>
      <c r="AH160" s="309" t="e">
        <f t="shared" si="56"/>
        <v>#N/A</v>
      </c>
      <c r="AI160" s="658"/>
      <c r="AJ160" s="183"/>
      <c r="AK160" s="183"/>
      <c r="AL160" s="183"/>
      <c r="AM160" s="309" t="e">
        <f t="shared" si="57"/>
        <v>#N/A</v>
      </c>
      <c r="AN160" s="658"/>
      <c r="AO160" s="183"/>
      <c r="AP160" s="183"/>
      <c r="AQ160" s="183"/>
      <c r="AR160" s="309" t="e">
        <f t="shared" si="58"/>
        <v>#N/A</v>
      </c>
      <c r="AS160" s="658"/>
      <c r="AT160" s="183"/>
      <c r="AU160" s="183"/>
      <c r="AV160" s="183"/>
      <c r="AW160" s="309" t="e">
        <f t="shared" si="59"/>
        <v>#N/A</v>
      </c>
      <c r="AX160" s="658"/>
    </row>
    <row r="161" spans="2:50">
      <c r="B161" s="627"/>
      <c r="C161" s="309">
        <v>15</v>
      </c>
      <c r="D161" s="228"/>
      <c r="E161" s="183"/>
      <c r="F161" s="354"/>
      <c r="G161" s="355"/>
      <c r="H161" s="662"/>
      <c r="I161" s="200" t="e">
        <f t="shared" si="50"/>
        <v>#DIV/0!</v>
      </c>
      <c r="J161" s="200" t="e">
        <f t="shared" si="51"/>
        <v>#DIV/0!</v>
      </c>
      <c r="K161" s="201" t="e">
        <f t="shared" si="52"/>
        <v>#DIV/0!</v>
      </c>
      <c r="L161" s="601"/>
      <c r="M161" s="200" t="e">
        <f>RANK(K161, K$147:$K$176)</f>
        <v>#DIV/0!</v>
      </c>
      <c r="N161" s="619"/>
      <c r="O161" s="619"/>
      <c r="P161" s="183"/>
      <c r="Q161" s="183"/>
      <c r="R161" s="183"/>
      <c r="S161" s="309" t="e">
        <f t="shared" ref="S161:S175" si="60">RANK(R161, R$147:R$176)</f>
        <v>#N/A</v>
      </c>
      <c r="T161" s="658"/>
      <c r="U161" s="183"/>
      <c r="V161" s="183"/>
      <c r="W161" s="183"/>
      <c r="X161" s="309" t="e">
        <f t="shared" ref="X161:X175" si="61">RANK(W161, W$147:W$176)</f>
        <v>#N/A</v>
      </c>
      <c r="Y161" s="658"/>
      <c r="Z161" s="183"/>
      <c r="AA161" s="183"/>
      <c r="AB161" s="183"/>
      <c r="AC161" s="309" t="e">
        <f t="shared" ref="AC161:AC175" si="62">RANK(AB161, AB$147:AB$176)</f>
        <v>#N/A</v>
      </c>
      <c r="AD161" s="658"/>
      <c r="AE161" s="183"/>
      <c r="AF161" s="183"/>
      <c r="AG161" s="183"/>
      <c r="AH161" s="309" t="e">
        <f t="shared" ref="AH161:AH175" si="63">RANK(AG161, AG$147:AG$176)</f>
        <v>#N/A</v>
      </c>
      <c r="AI161" s="658"/>
      <c r="AJ161" s="183"/>
      <c r="AK161" s="183"/>
      <c r="AL161" s="183"/>
      <c r="AM161" s="309" t="e">
        <f t="shared" ref="AM161:AM175" si="64">RANK(AL161, AL$147:AL$176)</f>
        <v>#N/A</v>
      </c>
      <c r="AN161" s="658"/>
      <c r="AO161" s="183"/>
      <c r="AP161" s="183"/>
      <c r="AQ161" s="183"/>
      <c r="AR161" s="309" t="e">
        <f t="shared" ref="AR161:AR175" si="65">RANK(AQ161, AQ$147:AQ$176)</f>
        <v>#N/A</v>
      </c>
      <c r="AS161" s="658"/>
      <c r="AT161" s="183"/>
      <c r="AU161" s="183"/>
      <c r="AV161" s="183"/>
      <c r="AW161" s="309" t="e">
        <f t="shared" ref="AW161:AW175" si="66">RANK(AV161, AV$147:AV$176)</f>
        <v>#N/A</v>
      </c>
      <c r="AX161" s="658"/>
    </row>
    <row r="162" spans="2:50">
      <c r="B162" s="627"/>
      <c r="C162" s="309">
        <v>16</v>
      </c>
      <c r="D162" s="228"/>
      <c r="E162" s="183"/>
      <c r="F162" s="354"/>
      <c r="G162" s="355"/>
      <c r="H162" s="662"/>
      <c r="I162" s="200" t="e">
        <f t="shared" si="50"/>
        <v>#DIV/0!</v>
      </c>
      <c r="J162" s="200" t="e">
        <f t="shared" si="51"/>
        <v>#DIV/0!</v>
      </c>
      <c r="K162" s="201" t="e">
        <f t="shared" si="52"/>
        <v>#DIV/0!</v>
      </c>
      <c r="L162" s="601"/>
      <c r="M162" s="200" t="e">
        <f>RANK(K162, K$147:$K$176)</f>
        <v>#DIV/0!</v>
      </c>
      <c r="N162" s="619"/>
      <c r="O162" s="619"/>
      <c r="P162" s="183"/>
      <c r="Q162" s="183"/>
      <c r="R162" s="183"/>
      <c r="S162" s="309" t="e">
        <f t="shared" si="60"/>
        <v>#N/A</v>
      </c>
      <c r="T162" s="658"/>
      <c r="U162" s="183"/>
      <c r="V162" s="183"/>
      <c r="W162" s="183"/>
      <c r="X162" s="309" t="e">
        <f t="shared" si="61"/>
        <v>#N/A</v>
      </c>
      <c r="Y162" s="658"/>
      <c r="Z162" s="183"/>
      <c r="AA162" s="183"/>
      <c r="AB162" s="183"/>
      <c r="AC162" s="309" t="e">
        <f t="shared" si="62"/>
        <v>#N/A</v>
      </c>
      <c r="AD162" s="658"/>
      <c r="AE162" s="183"/>
      <c r="AF162" s="183"/>
      <c r="AG162" s="183"/>
      <c r="AH162" s="309" t="e">
        <f t="shared" si="63"/>
        <v>#N/A</v>
      </c>
      <c r="AI162" s="658"/>
      <c r="AJ162" s="183"/>
      <c r="AK162" s="183"/>
      <c r="AL162" s="183"/>
      <c r="AM162" s="309" t="e">
        <f t="shared" si="64"/>
        <v>#N/A</v>
      </c>
      <c r="AN162" s="658"/>
      <c r="AO162" s="183"/>
      <c r="AP162" s="183"/>
      <c r="AQ162" s="183"/>
      <c r="AR162" s="309" t="e">
        <f t="shared" si="65"/>
        <v>#N/A</v>
      </c>
      <c r="AS162" s="658"/>
      <c r="AT162" s="183"/>
      <c r="AU162" s="183"/>
      <c r="AV162" s="183"/>
      <c r="AW162" s="309" t="e">
        <f t="shared" si="66"/>
        <v>#N/A</v>
      </c>
      <c r="AX162" s="658"/>
    </row>
    <row r="163" spans="2:50">
      <c r="B163" s="627"/>
      <c r="C163" s="309">
        <v>17</v>
      </c>
      <c r="D163" s="228"/>
      <c r="E163" s="183"/>
      <c r="F163" s="354"/>
      <c r="G163" s="355"/>
      <c r="H163" s="662"/>
      <c r="I163" s="200" t="e">
        <f t="shared" si="50"/>
        <v>#DIV/0!</v>
      </c>
      <c r="J163" s="200" t="e">
        <f t="shared" si="51"/>
        <v>#DIV/0!</v>
      </c>
      <c r="K163" s="201" t="e">
        <f t="shared" si="52"/>
        <v>#DIV/0!</v>
      </c>
      <c r="L163" s="601"/>
      <c r="M163" s="200" t="e">
        <f>RANK(K163, K$147:$K$176)</f>
        <v>#DIV/0!</v>
      </c>
      <c r="N163" s="619"/>
      <c r="O163" s="619"/>
      <c r="P163" s="183"/>
      <c r="Q163" s="183"/>
      <c r="R163" s="183"/>
      <c r="S163" s="309" t="e">
        <f t="shared" si="60"/>
        <v>#N/A</v>
      </c>
      <c r="T163" s="658"/>
      <c r="U163" s="183"/>
      <c r="V163" s="183"/>
      <c r="W163" s="183"/>
      <c r="X163" s="309" t="e">
        <f t="shared" si="61"/>
        <v>#N/A</v>
      </c>
      <c r="Y163" s="658"/>
      <c r="Z163" s="183"/>
      <c r="AA163" s="183"/>
      <c r="AB163" s="183"/>
      <c r="AC163" s="309" t="e">
        <f t="shared" si="62"/>
        <v>#N/A</v>
      </c>
      <c r="AD163" s="658"/>
      <c r="AE163" s="183"/>
      <c r="AF163" s="183"/>
      <c r="AG163" s="183"/>
      <c r="AH163" s="309" t="e">
        <f t="shared" si="63"/>
        <v>#N/A</v>
      </c>
      <c r="AI163" s="658"/>
      <c r="AJ163" s="183"/>
      <c r="AK163" s="183"/>
      <c r="AL163" s="183"/>
      <c r="AM163" s="309" t="e">
        <f t="shared" si="64"/>
        <v>#N/A</v>
      </c>
      <c r="AN163" s="658"/>
      <c r="AO163" s="183"/>
      <c r="AP163" s="183"/>
      <c r="AQ163" s="183"/>
      <c r="AR163" s="309" t="e">
        <f t="shared" si="65"/>
        <v>#N/A</v>
      </c>
      <c r="AS163" s="658"/>
      <c r="AT163" s="183"/>
      <c r="AU163" s="183"/>
      <c r="AV163" s="183"/>
      <c r="AW163" s="309" t="e">
        <f t="shared" si="66"/>
        <v>#N/A</v>
      </c>
      <c r="AX163" s="658"/>
    </row>
    <row r="164" spans="2:50">
      <c r="B164" s="627"/>
      <c r="C164" s="309">
        <v>18</v>
      </c>
      <c r="D164" s="228"/>
      <c r="E164" s="183"/>
      <c r="F164" s="354"/>
      <c r="G164" s="355"/>
      <c r="H164" s="662"/>
      <c r="I164" s="200" t="e">
        <f t="shared" si="50"/>
        <v>#DIV/0!</v>
      </c>
      <c r="J164" s="200" t="e">
        <f t="shared" si="51"/>
        <v>#DIV/0!</v>
      </c>
      <c r="K164" s="201" t="e">
        <f t="shared" si="52"/>
        <v>#DIV/0!</v>
      </c>
      <c r="L164" s="601"/>
      <c r="M164" s="200" t="e">
        <f>RANK(K164, K$147:$K$176)</f>
        <v>#DIV/0!</v>
      </c>
      <c r="N164" s="619"/>
      <c r="O164" s="619"/>
      <c r="P164" s="183"/>
      <c r="Q164" s="183"/>
      <c r="R164" s="183"/>
      <c r="S164" s="309" t="e">
        <f t="shared" si="60"/>
        <v>#N/A</v>
      </c>
      <c r="T164" s="658"/>
      <c r="U164" s="183"/>
      <c r="V164" s="183"/>
      <c r="W164" s="183"/>
      <c r="X164" s="309" t="e">
        <f t="shared" si="61"/>
        <v>#N/A</v>
      </c>
      <c r="Y164" s="658"/>
      <c r="Z164" s="183"/>
      <c r="AA164" s="183"/>
      <c r="AB164" s="183"/>
      <c r="AC164" s="309" t="e">
        <f t="shared" si="62"/>
        <v>#N/A</v>
      </c>
      <c r="AD164" s="658"/>
      <c r="AE164" s="183"/>
      <c r="AF164" s="183"/>
      <c r="AG164" s="183"/>
      <c r="AH164" s="309" t="e">
        <f t="shared" si="63"/>
        <v>#N/A</v>
      </c>
      <c r="AI164" s="658"/>
      <c r="AJ164" s="183"/>
      <c r="AK164" s="183"/>
      <c r="AL164" s="183"/>
      <c r="AM164" s="309" t="e">
        <f t="shared" si="64"/>
        <v>#N/A</v>
      </c>
      <c r="AN164" s="658"/>
      <c r="AO164" s="183"/>
      <c r="AP164" s="183"/>
      <c r="AQ164" s="183"/>
      <c r="AR164" s="309" t="e">
        <f t="shared" si="65"/>
        <v>#N/A</v>
      </c>
      <c r="AS164" s="658"/>
      <c r="AT164" s="183"/>
      <c r="AU164" s="183"/>
      <c r="AV164" s="183"/>
      <c r="AW164" s="309" t="e">
        <f t="shared" si="66"/>
        <v>#N/A</v>
      </c>
      <c r="AX164" s="658"/>
    </row>
    <row r="165" spans="2:50">
      <c r="B165" s="627"/>
      <c r="C165" s="309">
        <v>19</v>
      </c>
      <c r="D165" s="228"/>
      <c r="E165" s="183"/>
      <c r="F165" s="354"/>
      <c r="G165" s="355"/>
      <c r="H165" s="662"/>
      <c r="I165" s="200" t="e">
        <f t="shared" si="50"/>
        <v>#DIV/0!</v>
      </c>
      <c r="J165" s="200" t="e">
        <f t="shared" si="51"/>
        <v>#DIV/0!</v>
      </c>
      <c r="K165" s="201" t="e">
        <f t="shared" si="52"/>
        <v>#DIV/0!</v>
      </c>
      <c r="L165" s="601"/>
      <c r="M165" s="200" t="e">
        <f>RANK(K165, K$147:$K$176)</f>
        <v>#DIV/0!</v>
      </c>
      <c r="N165" s="619"/>
      <c r="O165" s="619"/>
      <c r="P165" s="183"/>
      <c r="Q165" s="183"/>
      <c r="R165" s="183"/>
      <c r="S165" s="309" t="e">
        <f t="shared" si="60"/>
        <v>#N/A</v>
      </c>
      <c r="T165" s="658"/>
      <c r="U165" s="183"/>
      <c r="V165" s="183"/>
      <c r="W165" s="183"/>
      <c r="X165" s="309" t="e">
        <f t="shared" si="61"/>
        <v>#N/A</v>
      </c>
      <c r="Y165" s="658"/>
      <c r="Z165" s="183"/>
      <c r="AA165" s="183"/>
      <c r="AB165" s="183"/>
      <c r="AC165" s="309" t="e">
        <f t="shared" si="62"/>
        <v>#N/A</v>
      </c>
      <c r="AD165" s="658"/>
      <c r="AE165" s="183"/>
      <c r="AF165" s="183"/>
      <c r="AG165" s="183"/>
      <c r="AH165" s="309" t="e">
        <f t="shared" si="63"/>
        <v>#N/A</v>
      </c>
      <c r="AI165" s="658"/>
      <c r="AJ165" s="183"/>
      <c r="AK165" s="183"/>
      <c r="AL165" s="183"/>
      <c r="AM165" s="309" t="e">
        <f t="shared" si="64"/>
        <v>#N/A</v>
      </c>
      <c r="AN165" s="658"/>
      <c r="AO165" s="183"/>
      <c r="AP165" s="183"/>
      <c r="AQ165" s="183"/>
      <c r="AR165" s="309" t="e">
        <f t="shared" si="65"/>
        <v>#N/A</v>
      </c>
      <c r="AS165" s="658"/>
      <c r="AT165" s="183"/>
      <c r="AU165" s="183"/>
      <c r="AV165" s="183"/>
      <c r="AW165" s="309" t="e">
        <f t="shared" si="66"/>
        <v>#N/A</v>
      </c>
      <c r="AX165" s="658"/>
    </row>
    <row r="166" spans="2:50">
      <c r="B166" s="627"/>
      <c r="C166" s="309">
        <v>20</v>
      </c>
      <c r="D166" s="228"/>
      <c r="E166" s="183"/>
      <c r="F166" s="354"/>
      <c r="G166" s="355"/>
      <c r="H166" s="662"/>
      <c r="I166" s="200" t="e">
        <f t="shared" si="50"/>
        <v>#DIV/0!</v>
      </c>
      <c r="J166" s="200" t="e">
        <f t="shared" si="51"/>
        <v>#DIV/0!</v>
      </c>
      <c r="K166" s="201" t="e">
        <f t="shared" si="52"/>
        <v>#DIV/0!</v>
      </c>
      <c r="L166" s="601"/>
      <c r="M166" s="200" t="e">
        <f>RANK(K166, K$147:$K$176)</f>
        <v>#DIV/0!</v>
      </c>
      <c r="N166" s="619"/>
      <c r="O166" s="619"/>
      <c r="P166" s="183"/>
      <c r="Q166" s="183"/>
      <c r="R166" s="183"/>
      <c r="S166" s="309" t="e">
        <f t="shared" si="60"/>
        <v>#N/A</v>
      </c>
      <c r="T166" s="658"/>
      <c r="U166" s="183"/>
      <c r="V166" s="183"/>
      <c r="W166" s="183"/>
      <c r="X166" s="309" t="e">
        <f t="shared" si="61"/>
        <v>#N/A</v>
      </c>
      <c r="Y166" s="658"/>
      <c r="Z166" s="183"/>
      <c r="AA166" s="183"/>
      <c r="AB166" s="183"/>
      <c r="AC166" s="309" t="e">
        <f t="shared" si="62"/>
        <v>#N/A</v>
      </c>
      <c r="AD166" s="658"/>
      <c r="AE166" s="183"/>
      <c r="AF166" s="183"/>
      <c r="AG166" s="183"/>
      <c r="AH166" s="309" t="e">
        <f t="shared" si="63"/>
        <v>#N/A</v>
      </c>
      <c r="AI166" s="658"/>
      <c r="AJ166" s="183"/>
      <c r="AK166" s="183"/>
      <c r="AL166" s="183"/>
      <c r="AM166" s="309" t="e">
        <f t="shared" si="64"/>
        <v>#N/A</v>
      </c>
      <c r="AN166" s="658"/>
      <c r="AO166" s="183"/>
      <c r="AP166" s="183"/>
      <c r="AQ166" s="183"/>
      <c r="AR166" s="309" t="e">
        <f t="shared" si="65"/>
        <v>#N/A</v>
      </c>
      <c r="AS166" s="658"/>
      <c r="AT166" s="183"/>
      <c r="AU166" s="183"/>
      <c r="AV166" s="183"/>
      <c r="AW166" s="309" t="e">
        <f t="shared" si="66"/>
        <v>#N/A</v>
      </c>
      <c r="AX166" s="658"/>
    </row>
    <row r="167" spans="2:50">
      <c r="B167" s="627"/>
      <c r="C167" s="309">
        <v>21</v>
      </c>
      <c r="D167" s="228"/>
      <c r="E167" s="183"/>
      <c r="F167" s="354"/>
      <c r="G167" s="355"/>
      <c r="H167" s="662"/>
      <c r="I167" s="200" t="e">
        <f t="shared" si="50"/>
        <v>#DIV/0!</v>
      </c>
      <c r="J167" s="200" t="e">
        <f t="shared" si="51"/>
        <v>#DIV/0!</v>
      </c>
      <c r="K167" s="201" t="e">
        <f t="shared" si="52"/>
        <v>#DIV/0!</v>
      </c>
      <c r="L167" s="601"/>
      <c r="M167" s="200" t="e">
        <f>RANK(K167, K$147:$K$176)</f>
        <v>#DIV/0!</v>
      </c>
      <c r="N167" s="619"/>
      <c r="O167" s="619"/>
      <c r="P167" s="183"/>
      <c r="Q167" s="183"/>
      <c r="R167" s="183"/>
      <c r="S167" s="309" t="e">
        <f t="shared" si="60"/>
        <v>#N/A</v>
      </c>
      <c r="T167" s="658"/>
      <c r="U167" s="183"/>
      <c r="V167" s="183"/>
      <c r="W167" s="183"/>
      <c r="X167" s="309" t="e">
        <f t="shared" si="61"/>
        <v>#N/A</v>
      </c>
      <c r="Y167" s="658"/>
      <c r="Z167" s="183"/>
      <c r="AA167" s="183"/>
      <c r="AB167" s="183"/>
      <c r="AC167" s="309" t="e">
        <f t="shared" si="62"/>
        <v>#N/A</v>
      </c>
      <c r="AD167" s="658"/>
      <c r="AE167" s="183"/>
      <c r="AF167" s="183"/>
      <c r="AG167" s="183"/>
      <c r="AH167" s="309" t="e">
        <f t="shared" si="63"/>
        <v>#N/A</v>
      </c>
      <c r="AI167" s="658"/>
      <c r="AJ167" s="183"/>
      <c r="AK167" s="183"/>
      <c r="AL167" s="183"/>
      <c r="AM167" s="309" t="e">
        <f t="shared" si="64"/>
        <v>#N/A</v>
      </c>
      <c r="AN167" s="658"/>
      <c r="AO167" s="183"/>
      <c r="AP167" s="183"/>
      <c r="AQ167" s="183"/>
      <c r="AR167" s="309" t="e">
        <f t="shared" si="65"/>
        <v>#N/A</v>
      </c>
      <c r="AS167" s="658"/>
      <c r="AT167" s="183"/>
      <c r="AU167" s="183"/>
      <c r="AV167" s="183"/>
      <c r="AW167" s="309" t="e">
        <f t="shared" si="66"/>
        <v>#N/A</v>
      </c>
      <c r="AX167" s="658"/>
    </row>
    <row r="168" spans="2:50">
      <c r="B168" s="627"/>
      <c r="C168" s="309">
        <v>22</v>
      </c>
      <c r="D168" s="228"/>
      <c r="E168" s="183"/>
      <c r="F168" s="354"/>
      <c r="G168" s="355"/>
      <c r="H168" s="662"/>
      <c r="I168" s="200" t="e">
        <f t="shared" si="50"/>
        <v>#DIV/0!</v>
      </c>
      <c r="J168" s="200" t="e">
        <f t="shared" si="51"/>
        <v>#DIV/0!</v>
      </c>
      <c r="K168" s="201" t="e">
        <f t="shared" si="52"/>
        <v>#DIV/0!</v>
      </c>
      <c r="L168" s="601"/>
      <c r="M168" s="200" t="e">
        <f>RANK(K168, K$147:$K$176)</f>
        <v>#DIV/0!</v>
      </c>
      <c r="N168" s="619"/>
      <c r="O168" s="619"/>
      <c r="P168" s="183"/>
      <c r="Q168" s="183"/>
      <c r="R168" s="183"/>
      <c r="S168" s="309" t="e">
        <f t="shared" si="60"/>
        <v>#N/A</v>
      </c>
      <c r="T168" s="658"/>
      <c r="U168" s="183"/>
      <c r="V168" s="183"/>
      <c r="W168" s="183"/>
      <c r="X168" s="309" t="e">
        <f t="shared" si="61"/>
        <v>#N/A</v>
      </c>
      <c r="Y168" s="658"/>
      <c r="Z168" s="183"/>
      <c r="AA168" s="183"/>
      <c r="AB168" s="183"/>
      <c r="AC168" s="309" t="e">
        <f t="shared" si="62"/>
        <v>#N/A</v>
      </c>
      <c r="AD168" s="658"/>
      <c r="AE168" s="183"/>
      <c r="AF168" s="183"/>
      <c r="AG168" s="183"/>
      <c r="AH168" s="309" t="e">
        <f t="shared" si="63"/>
        <v>#N/A</v>
      </c>
      <c r="AI168" s="658"/>
      <c r="AJ168" s="183"/>
      <c r="AK168" s="183"/>
      <c r="AL168" s="183"/>
      <c r="AM168" s="309" t="e">
        <f t="shared" si="64"/>
        <v>#N/A</v>
      </c>
      <c r="AN168" s="658"/>
      <c r="AO168" s="183"/>
      <c r="AP168" s="183"/>
      <c r="AQ168" s="183"/>
      <c r="AR168" s="309" t="e">
        <f t="shared" si="65"/>
        <v>#N/A</v>
      </c>
      <c r="AS168" s="658"/>
      <c r="AT168" s="183"/>
      <c r="AU168" s="183"/>
      <c r="AV168" s="183"/>
      <c r="AW168" s="309" t="e">
        <f t="shared" si="66"/>
        <v>#N/A</v>
      </c>
      <c r="AX168" s="658"/>
    </row>
    <row r="169" spans="2:50">
      <c r="B169" s="627"/>
      <c r="C169" s="309">
        <v>23</v>
      </c>
      <c r="D169" s="228"/>
      <c r="E169" s="183"/>
      <c r="F169" s="354"/>
      <c r="G169" s="355"/>
      <c r="H169" s="662"/>
      <c r="I169" s="200" t="e">
        <f t="shared" si="50"/>
        <v>#DIV/0!</v>
      </c>
      <c r="J169" s="200" t="e">
        <f t="shared" si="51"/>
        <v>#DIV/0!</v>
      </c>
      <c r="K169" s="201" t="e">
        <f t="shared" si="52"/>
        <v>#DIV/0!</v>
      </c>
      <c r="L169" s="601"/>
      <c r="M169" s="200" t="e">
        <f>RANK(K169, K$147:$K$176)</f>
        <v>#DIV/0!</v>
      </c>
      <c r="N169" s="619"/>
      <c r="O169" s="619"/>
      <c r="P169" s="183"/>
      <c r="Q169" s="183"/>
      <c r="R169" s="183"/>
      <c r="S169" s="309" t="e">
        <f t="shared" si="60"/>
        <v>#N/A</v>
      </c>
      <c r="T169" s="658"/>
      <c r="U169" s="183"/>
      <c r="V169" s="183"/>
      <c r="W169" s="183"/>
      <c r="X169" s="309" t="e">
        <f t="shared" si="61"/>
        <v>#N/A</v>
      </c>
      <c r="Y169" s="658"/>
      <c r="Z169" s="183"/>
      <c r="AA169" s="183"/>
      <c r="AB169" s="183"/>
      <c r="AC169" s="309" t="e">
        <f t="shared" si="62"/>
        <v>#N/A</v>
      </c>
      <c r="AD169" s="658"/>
      <c r="AE169" s="183"/>
      <c r="AF169" s="183"/>
      <c r="AG169" s="183"/>
      <c r="AH169" s="309" t="e">
        <f t="shared" si="63"/>
        <v>#N/A</v>
      </c>
      <c r="AI169" s="658"/>
      <c r="AJ169" s="183"/>
      <c r="AK169" s="183"/>
      <c r="AL169" s="183"/>
      <c r="AM169" s="309" t="e">
        <f t="shared" si="64"/>
        <v>#N/A</v>
      </c>
      <c r="AN169" s="658"/>
      <c r="AO169" s="183"/>
      <c r="AP169" s="183"/>
      <c r="AQ169" s="183"/>
      <c r="AR169" s="309" t="e">
        <f t="shared" si="65"/>
        <v>#N/A</v>
      </c>
      <c r="AS169" s="658"/>
      <c r="AT169" s="183"/>
      <c r="AU169" s="183"/>
      <c r="AV169" s="183"/>
      <c r="AW169" s="309" t="e">
        <f t="shared" si="66"/>
        <v>#N/A</v>
      </c>
      <c r="AX169" s="658"/>
    </row>
    <row r="170" spans="2:50">
      <c r="B170" s="627"/>
      <c r="C170" s="309">
        <v>24</v>
      </c>
      <c r="D170" s="228"/>
      <c r="E170" s="183"/>
      <c r="F170" s="354"/>
      <c r="G170" s="355"/>
      <c r="H170" s="662"/>
      <c r="I170" s="200" t="e">
        <f t="shared" si="50"/>
        <v>#DIV/0!</v>
      </c>
      <c r="J170" s="200" t="e">
        <f t="shared" si="51"/>
        <v>#DIV/0!</v>
      </c>
      <c r="K170" s="201" t="e">
        <f t="shared" si="52"/>
        <v>#DIV/0!</v>
      </c>
      <c r="L170" s="601"/>
      <c r="M170" s="200" t="e">
        <f>RANK(K170, K$147:$K$176)</f>
        <v>#DIV/0!</v>
      </c>
      <c r="N170" s="619"/>
      <c r="O170" s="619"/>
      <c r="P170" s="520"/>
      <c r="Q170" s="521"/>
      <c r="R170" s="521"/>
      <c r="S170" s="309" t="e">
        <f t="shared" si="60"/>
        <v>#N/A</v>
      </c>
      <c r="T170" s="658"/>
      <c r="U170" s="520"/>
      <c r="V170" s="521"/>
      <c r="W170" s="521"/>
      <c r="X170" s="309" t="e">
        <f t="shared" si="61"/>
        <v>#N/A</v>
      </c>
      <c r="Y170" s="658"/>
      <c r="Z170" s="467"/>
      <c r="AA170" s="468"/>
      <c r="AB170" s="468"/>
      <c r="AC170" s="309" t="e">
        <f t="shared" si="62"/>
        <v>#N/A</v>
      </c>
      <c r="AD170" s="658"/>
      <c r="AE170" s="520"/>
      <c r="AF170" s="521"/>
      <c r="AG170" s="521"/>
      <c r="AH170" s="309" t="e">
        <f t="shared" si="63"/>
        <v>#N/A</v>
      </c>
      <c r="AI170" s="658"/>
      <c r="AJ170" s="520"/>
      <c r="AK170" s="521"/>
      <c r="AL170" s="521"/>
      <c r="AM170" s="309" t="e">
        <f t="shared" si="64"/>
        <v>#N/A</v>
      </c>
      <c r="AN170" s="658"/>
      <c r="AO170" s="520"/>
      <c r="AP170" s="521"/>
      <c r="AQ170" s="521"/>
      <c r="AR170" s="309" t="e">
        <f t="shared" si="65"/>
        <v>#N/A</v>
      </c>
      <c r="AS170" s="658"/>
      <c r="AT170" s="520"/>
      <c r="AU170" s="521"/>
      <c r="AV170" s="521"/>
      <c r="AW170" s="309" t="e">
        <f t="shared" si="66"/>
        <v>#N/A</v>
      </c>
      <c r="AX170" s="658"/>
    </row>
    <row r="171" spans="2:50">
      <c r="B171" s="627"/>
      <c r="C171" s="309">
        <v>25</v>
      </c>
      <c r="D171" s="228"/>
      <c r="E171" s="183"/>
      <c r="F171" s="354"/>
      <c r="G171" s="355"/>
      <c r="H171" s="662"/>
      <c r="I171" s="469" t="e">
        <f t="shared" ref="I171" si="67">AVERAGE(P171,U171,Z171,AE171,AJ171,AO171,AT171)</f>
        <v>#DIV/0!</v>
      </c>
      <c r="J171" s="469" t="e">
        <f t="shared" ref="J171" si="68">AVERAGE(Q171,V171,AA171,AF171,AK171,AP171,AU171)</f>
        <v>#DIV/0!</v>
      </c>
      <c r="K171" s="201" t="e">
        <f t="shared" ref="K171" si="69">AVERAGE(R171,W171,AB171,AG171,AL171,AQ171,AV171)</f>
        <v>#DIV/0!</v>
      </c>
      <c r="L171" s="601"/>
      <c r="M171" s="200" t="e">
        <f>RANK(K171, K$147:$K$176)</f>
        <v>#DIV/0!</v>
      </c>
      <c r="N171" s="619"/>
      <c r="O171" s="619"/>
      <c r="P171" s="520"/>
      <c r="Q171" s="521"/>
      <c r="R171" s="521"/>
      <c r="S171" s="309" t="e">
        <f t="shared" si="60"/>
        <v>#N/A</v>
      </c>
      <c r="T171" s="658"/>
      <c r="U171" s="520"/>
      <c r="V171" s="521"/>
      <c r="W171" s="521"/>
      <c r="X171" s="309" t="e">
        <f t="shared" si="61"/>
        <v>#N/A</v>
      </c>
      <c r="Y171" s="658"/>
      <c r="Z171" s="467"/>
      <c r="AA171" s="468"/>
      <c r="AB171" s="468"/>
      <c r="AC171" s="309" t="e">
        <f t="shared" si="62"/>
        <v>#N/A</v>
      </c>
      <c r="AD171" s="658"/>
      <c r="AE171" s="520"/>
      <c r="AF171" s="521"/>
      <c r="AG171" s="521"/>
      <c r="AH171" s="309" t="e">
        <f t="shared" si="63"/>
        <v>#N/A</v>
      </c>
      <c r="AI171" s="658"/>
      <c r="AJ171" s="520"/>
      <c r="AK171" s="521"/>
      <c r="AL171" s="521"/>
      <c r="AM171" s="309" t="e">
        <f t="shared" si="64"/>
        <v>#N/A</v>
      </c>
      <c r="AN171" s="658"/>
      <c r="AO171" s="520"/>
      <c r="AP171" s="521"/>
      <c r="AQ171" s="521"/>
      <c r="AR171" s="309" t="e">
        <f t="shared" si="65"/>
        <v>#N/A</v>
      </c>
      <c r="AS171" s="658"/>
      <c r="AT171" s="520"/>
      <c r="AU171" s="521"/>
      <c r="AV171" s="521"/>
      <c r="AW171" s="309" t="e">
        <f t="shared" si="66"/>
        <v>#N/A</v>
      </c>
      <c r="AX171" s="658"/>
    </row>
    <row r="172" spans="2:50">
      <c r="B172" s="627"/>
      <c r="C172" s="309">
        <v>26</v>
      </c>
      <c r="D172" s="228"/>
      <c r="E172" s="183"/>
      <c r="F172" s="354"/>
      <c r="G172" s="355"/>
      <c r="H172" s="662"/>
      <c r="I172" s="505" t="e">
        <f t="shared" ref="I172" si="70">AVERAGE(P172,U172,Z172,AE172,AJ172,AO172,AT172)</f>
        <v>#DIV/0!</v>
      </c>
      <c r="J172" s="505" t="e">
        <f t="shared" ref="J172" si="71">AVERAGE(Q172,V172,AA172,AF172,AK172,AP172,AU172)</f>
        <v>#DIV/0!</v>
      </c>
      <c r="K172" s="201" t="e">
        <f t="shared" ref="K172" si="72">AVERAGE(R172,W172,AB172,AG172,AL172,AQ172,AV172)</f>
        <v>#DIV/0!</v>
      </c>
      <c r="L172" s="601"/>
      <c r="M172" s="200" t="e">
        <f>RANK(K172, K$147:$K$176)</f>
        <v>#DIV/0!</v>
      </c>
      <c r="N172" s="619"/>
      <c r="O172" s="619"/>
      <c r="P172" s="520"/>
      <c r="Q172" s="521"/>
      <c r="R172" s="521"/>
      <c r="S172" s="309" t="e">
        <f t="shared" si="60"/>
        <v>#N/A</v>
      </c>
      <c r="T172" s="658"/>
      <c r="U172" s="520"/>
      <c r="V172" s="521"/>
      <c r="W172" s="521"/>
      <c r="X172" s="309" t="e">
        <f t="shared" si="61"/>
        <v>#N/A</v>
      </c>
      <c r="Y172" s="658"/>
      <c r="Z172" s="376"/>
      <c r="AA172" s="377"/>
      <c r="AB172" s="377"/>
      <c r="AC172" s="309" t="e">
        <f t="shared" si="62"/>
        <v>#N/A</v>
      </c>
      <c r="AD172" s="658"/>
      <c r="AE172" s="520"/>
      <c r="AF172" s="521"/>
      <c r="AG172" s="521"/>
      <c r="AH172" s="309" t="e">
        <f t="shared" si="63"/>
        <v>#N/A</v>
      </c>
      <c r="AI172" s="658"/>
      <c r="AJ172" s="520"/>
      <c r="AK172" s="521"/>
      <c r="AL172" s="521"/>
      <c r="AM172" s="309" t="e">
        <f t="shared" si="64"/>
        <v>#N/A</v>
      </c>
      <c r="AN172" s="658"/>
      <c r="AO172" s="520"/>
      <c r="AP172" s="521"/>
      <c r="AQ172" s="521"/>
      <c r="AR172" s="309" t="e">
        <f t="shared" si="65"/>
        <v>#N/A</v>
      </c>
      <c r="AS172" s="658"/>
      <c r="AT172" s="520"/>
      <c r="AU172" s="521"/>
      <c r="AV172" s="521"/>
      <c r="AW172" s="309" t="e">
        <f t="shared" si="66"/>
        <v>#N/A</v>
      </c>
      <c r="AX172" s="658"/>
    </row>
    <row r="173" spans="2:50">
      <c r="B173" s="627"/>
      <c r="C173" s="309">
        <v>27</v>
      </c>
      <c r="D173" s="228"/>
      <c r="E173" s="183"/>
      <c r="F173" s="309"/>
      <c r="G173" s="311"/>
      <c r="H173" s="662"/>
      <c r="I173" s="200"/>
      <c r="J173" s="200"/>
      <c r="K173" s="201"/>
      <c r="L173" s="601"/>
      <c r="M173" s="200" t="e">
        <f>RANK(K173, K$147:$K$176)</f>
        <v>#DIV/0!</v>
      </c>
      <c r="N173" s="619"/>
      <c r="O173" s="619"/>
      <c r="P173" s="376"/>
      <c r="Q173" s="377"/>
      <c r="R173" s="377"/>
      <c r="S173" s="309" t="e">
        <f t="shared" si="60"/>
        <v>#N/A</v>
      </c>
      <c r="T173" s="658"/>
      <c r="U173" s="376"/>
      <c r="V173" s="377"/>
      <c r="W173" s="377"/>
      <c r="X173" s="309" t="e">
        <f t="shared" si="61"/>
        <v>#N/A</v>
      </c>
      <c r="Y173" s="658"/>
      <c r="Z173" s="376"/>
      <c r="AA173" s="377"/>
      <c r="AB173" s="377"/>
      <c r="AC173" s="309" t="e">
        <f t="shared" si="62"/>
        <v>#N/A</v>
      </c>
      <c r="AD173" s="658"/>
      <c r="AE173" s="376"/>
      <c r="AF173" s="377"/>
      <c r="AG173" s="377"/>
      <c r="AH173" s="309" t="e">
        <f t="shared" si="63"/>
        <v>#N/A</v>
      </c>
      <c r="AI173" s="658"/>
      <c r="AJ173" s="376"/>
      <c r="AK173" s="377"/>
      <c r="AL173" s="377"/>
      <c r="AM173" s="309" t="e">
        <f t="shared" si="64"/>
        <v>#N/A</v>
      </c>
      <c r="AN173" s="658"/>
      <c r="AO173" s="376"/>
      <c r="AP173" s="377"/>
      <c r="AQ173" s="377"/>
      <c r="AR173" s="309" t="e">
        <f t="shared" si="65"/>
        <v>#N/A</v>
      </c>
      <c r="AS173" s="658"/>
      <c r="AT173" s="376"/>
      <c r="AU173" s="377"/>
      <c r="AV173" s="377"/>
      <c r="AW173" s="309" t="e">
        <f t="shared" si="66"/>
        <v>#N/A</v>
      </c>
      <c r="AX173" s="658"/>
    </row>
    <row r="174" spans="2:50">
      <c r="B174" s="627"/>
      <c r="C174" s="309">
        <v>28</v>
      </c>
      <c r="D174" s="228"/>
      <c r="E174" s="183"/>
      <c r="F174" s="309"/>
      <c r="G174" s="311"/>
      <c r="H174" s="662"/>
      <c r="I174" s="200"/>
      <c r="J174" s="200"/>
      <c r="K174" s="201"/>
      <c r="L174" s="601"/>
      <c r="M174" s="200" t="e">
        <f>RANK(K174, K$147:$K$176)</f>
        <v>#DIV/0!</v>
      </c>
      <c r="N174" s="619"/>
      <c r="O174" s="619"/>
      <c r="P174" s="309"/>
      <c r="Q174" s="311"/>
      <c r="R174" s="311"/>
      <c r="S174" s="309" t="e">
        <f t="shared" si="60"/>
        <v>#N/A</v>
      </c>
      <c r="T174" s="658"/>
      <c r="U174" s="317"/>
      <c r="V174" s="320"/>
      <c r="W174" s="320"/>
      <c r="X174" s="309" t="e">
        <f t="shared" si="61"/>
        <v>#N/A</v>
      </c>
      <c r="Y174" s="658"/>
      <c r="Z174" s="317"/>
      <c r="AA174" s="320"/>
      <c r="AB174" s="320"/>
      <c r="AC174" s="309" t="e">
        <f t="shared" si="62"/>
        <v>#N/A</v>
      </c>
      <c r="AD174" s="658"/>
      <c r="AE174" s="317"/>
      <c r="AF174" s="320"/>
      <c r="AG174" s="320"/>
      <c r="AH174" s="309" t="e">
        <f t="shared" si="63"/>
        <v>#N/A</v>
      </c>
      <c r="AI174" s="658"/>
      <c r="AJ174" s="317"/>
      <c r="AK174" s="320"/>
      <c r="AL174" s="320"/>
      <c r="AM174" s="309" t="e">
        <f t="shared" si="64"/>
        <v>#N/A</v>
      </c>
      <c r="AN174" s="658"/>
      <c r="AO174" s="354"/>
      <c r="AP174" s="354"/>
      <c r="AQ174" s="354"/>
      <c r="AR174" s="309" t="e">
        <f t="shared" si="65"/>
        <v>#N/A</v>
      </c>
      <c r="AS174" s="658"/>
      <c r="AT174" s="309"/>
      <c r="AU174" s="311"/>
      <c r="AV174" s="311"/>
      <c r="AW174" s="309" t="e">
        <f t="shared" si="66"/>
        <v>#N/A</v>
      </c>
      <c r="AX174" s="658"/>
    </row>
    <row r="175" spans="2:50">
      <c r="B175" s="627"/>
      <c r="C175" s="309">
        <v>29</v>
      </c>
      <c r="D175" s="228"/>
      <c r="E175" s="183"/>
      <c r="F175" s="309"/>
      <c r="G175" s="311"/>
      <c r="H175" s="662"/>
      <c r="I175" s="203"/>
      <c r="J175" s="203"/>
      <c r="K175" s="203"/>
      <c r="L175" s="601"/>
      <c r="M175" s="200" t="e">
        <f>RANK(K175, K$147:$K$176)</f>
        <v>#DIV/0!</v>
      </c>
      <c r="N175" s="619"/>
      <c r="O175" s="619"/>
      <c r="P175" s="309"/>
      <c r="Q175" s="309"/>
      <c r="R175" s="309"/>
      <c r="S175" s="309" t="e">
        <f t="shared" si="60"/>
        <v>#N/A</v>
      </c>
      <c r="T175" s="658"/>
      <c r="U175" s="317"/>
      <c r="V175" s="317"/>
      <c r="W175" s="317"/>
      <c r="X175" s="309" t="e">
        <f t="shared" si="61"/>
        <v>#N/A</v>
      </c>
      <c r="Y175" s="658"/>
      <c r="Z175" s="317"/>
      <c r="AA175" s="317"/>
      <c r="AB175" s="317"/>
      <c r="AC175" s="309" t="e">
        <f t="shared" si="62"/>
        <v>#N/A</v>
      </c>
      <c r="AD175" s="658"/>
      <c r="AE175" s="317"/>
      <c r="AF175" s="317"/>
      <c r="AG175" s="317"/>
      <c r="AH175" s="309" t="e">
        <f t="shared" si="63"/>
        <v>#N/A</v>
      </c>
      <c r="AI175" s="658"/>
      <c r="AJ175" s="317"/>
      <c r="AK175" s="317"/>
      <c r="AL175" s="317"/>
      <c r="AM175" s="309" t="e">
        <f t="shared" si="64"/>
        <v>#N/A</v>
      </c>
      <c r="AN175" s="658"/>
      <c r="AO175" s="317"/>
      <c r="AP175" s="317"/>
      <c r="AQ175" s="317"/>
      <c r="AR175" s="309" t="e">
        <f t="shared" si="65"/>
        <v>#N/A</v>
      </c>
      <c r="AS175" s="658"/>
      <c r="AT175" s="309"/>
      <c r="AU175" s="309"/>
      <c r="AV175" s="309"/>
      <c r="AW175" s="309" t="e">
        <f t="shared" si="66"/>
        <v>#N/A</v>
      </c>
      <c r="AX175" s="658"/>
    </row>
    <row r="176" spans="2:50">
      <c r="B176" s="627"/>
      <c r="C176" s="309">
        <v>30</v>
      </c>
      <c r="D176" s="228"/>
      <c r="E176" s="183"/>
      <c r="F176" s="309"/>
      <c r="G176" s="311"/>
      <c r="H176" s="663"/>
      <c r="I176" s="203"/>
      <c r="J176" s="203"/>
      <c r="K176" s="203"/>
      <c r="L176" s="602"/>
      <c r="M176" s="200" t="e">
        <f>RANK(K176, K$147:$K$176)</f>
        <v>#DIV/0!</v>
      </c>
      <c r="N176" s="619"/>
      <c r="O176" s="619"/>
      <c r="P176" s="309"/>
      <c r="Q176" s="309"/>
      <c r="R176" s="309"/>
      <c r="S176" s="309" t="e">
        <f t="shared" si="53"/>
        <v>#N/A</v>
      </c>
      <c r="T176" s="658"/>
      <c r="U176" s="317"/>
      <c r="V176" s="317"/>
      <c r="W176" s="317"/>
      <c r="X176" s="309" t="e">
        <f t="shared" si="54"/>
        <v>#N/A</v>
      </c>
      <c r="Y176" s="658"/>
      <c r="Z176" s="317"/>
      <c r="AA176" s="317"/>
      <c r="AB176" s="317"/>
      <c r="AC176" s="309" t="e">
        <f t="shared" si="55"/>
        <v>#N/A</v>
      </c>
      <c r="AD176" s="658"/>
      <c r="AE176" s="317"/>
      <c r="AF176" s="317"/>
      <c r="AG176" s="317"/>
      <c r="AH176" s="309" t="e">
        <f t="shared" si="56"/>
        <v>#N/A</v>
      </c>
      <c r="AI176" s="658"/>
      <c r="AJ176" s="317"/>
      <c r="AK176" s="317"/>
      <c r="AL176" s="317"/>
      <c r="AM176" s="309" t="e">
        <f t="shared" si="57"/>
        <v>#N/A</v>
      </c>
      <c r="AN176" s="658"/>
      <c r="AO176" s="317"/>
      <c r="AP176" s="317"/>
      <c r="AQ176" s="317"/>
      <c r="AR176" s="309" t="e">
        <f t="shared" si="58"/>
        <v>#N/A</v>
      </c>
      <c r="AS176" s="658"/>
      <c r="AT176" s="309"/>
      <c r="AU176" s="309"/>
      <c r="AV176" s="309"/>
      <c r="AW176" s="309" t="e">
        <f t="shared" si="59"/>
        <v>#N/A</v>
      </c>
      <c r="AX176" s="658"/>
    </row>
    <row r="177" spans="2:50" ht="15.5">
      <c r="B177" s="631" t="s">
        <v>163</v>
      </c>
      <c r="C177" s="632"/>
      <c r="D177" s="632"/>
      <c r="E177" s="632"/>
      <c r="F177" s="632"/>
      <c r="G177" s="632"/>
      <c r="H177" s="633"/>
      <c r="I177" s="209"/>
      <c r="J177" s="209"/>
      <c r="K177" s="209"/>
      <c r="L177" s="209"/>
      <c r="M177" s="208"/>
      <c r="N177" s="620" t="s">
        <v>156</v>
      </c>
      <c r="O177" s="620" t="s">
        <v>105</v>
      </c>
      <c r="P177" s="626">
        <f>P142+7</f>
        <v>46021</v>
      </c>
      <c r="Q177" s="627"/>
      <c r="R177" s="627"/>
      <c r="S177" s="627"/>
      <c r="T177" s="627"/>
      <c r="U177" s="623">
        <f>P177+1</f>
        <v>46022</v>
      </c>
      <c r="V177" s="624"/>
      <c r="W177" s="624"/>
      <c r="X177" s="624"/>
      <c r="Y177" s="625"/>
      <c r="Z177" s="623">
        <f>U177+1</f>
        <v>46023</v>
      </c>
      <c r="AA177" s="624"/>
      <c r="AB177" s="624"/>
      <c r="AC177" s="624"/>
      <c r="AD177" s="625"/>
      <c r="AE177" s="623">
        <f>Z177+1</f>
        <v>46024</v>
      </c>
      <c r="AF177" s="624"/>
      <c r="AG177" s="624"/>
      <c r="AH177" s="624"/>
      <c r="AI177" s="625"/>
      <c r="AJ177" s="623">
        <f>AE177+1</f>
        <v>46025</v>
      </c>
      <c r="AK177" s="624"/>
      <c r="AL177" s="624"/>
      <c r="AM177" s="624"/>
      <c r="AN177" s="625"/>
      <c r="AO177" s="623">
        <f>AJ177+1</f>
        <v>46026</v>
      </c>
      <c r="AP177" s="624"/>
      <c r="AQ177" s="624"/>
      <c r="AR177" s="624"/>
      <c r="AS177" s="625"/>
      <c r="AT177" s="623">
        <f>AO177+1</f>
        <v>46027</v>
      </c>
      <c r="AU177" s="624"/>
      <c r="AV177" s="624"/>
      <c r="AW177" s="624"/>
      <c r="AX177" s="625"/>
    </row>
    <row r="178" spans="2:50" ht="15.5">
      <c r="B178" s="634"/>
      <c r="C178" s="634"/>
      <c r="D178" s="634"/>
      <c r="E178" s="634"/>
      <c r="F178" s="634"/>
      <c r="G178" s="634"/>
      <c r="H178" s="634"/>
      <c r="I178" s="206"/>
      <c r="J178" s="206"/>
      <c r="K178" s="206"/>
      <c r="L178" s="206"/>
      <c r="M178" s="207"/>
      <c r="N178" s="622"/>
      <c r="O178" s="622"/>
      <c r="P178" s="626" t="s">
        <v>158</v>
      </c>
      <c r="Q178" s="627"/>
      <c r="R178" s="627"/>
      <c r="S178" s="627"/>
      <c r="T178" s="627"/>
      <c r="U178" s="626" t="s">
        <v>114</v>
      </c>
      <c r="V178" s="627"/>
      <c r="W178" s="627"/>
      <c r="X178" s="627"/>
      <c r="Y178" s="627"/>
      <c r="Z178" s="626" t="s">
        <v>159</v>
      </c>
      <c r="AA178" s="627"/>
      <c r="AB178" s="627"/>
      <c r="AC178" s="627"/>
      <c r="AD178" s="627"/>
      <c r="AE178" s="626" t="s">
        <v>157</v>
      </c>
      <c r="AF178" s="627"/>
      <c r="AG178" s="627"/>
      <c r="AH178" s="627"/>
      <c r="AI178" s="627"/>
      <c r="AJ178" s="626" t="s">
        <v>160</v>
      </c>
      <c r="AK178" s="627"/>
      <c r="AL178" s="627"/>
      <c r="AM178" s="627"/>
      <c r="AN178" s="627"/>
      <c r="AO178" s="626" t="s">
        <v>115</v>
      </c>
      <c r="AP178" s="627"/>
      <c r="AQ178" s="627"/>
      <c r="AR178" s="627"/>
      <c r="AS178" s="627"/>
      <c r="AT178" s="626" t="s">
        <v>162</v>
      </c>
      <c r="AU178" s="627"/>
      <c r="AV178" s="627"/>
      <c r="AW178" s="627"/>
      <c r="AX178" s="627"/>
    </row>
    <row r="179" spans="2:50">
      <c r="B179" s="619" t="s">
        <v>154</v>
      </c>
      <c r="C179" s="619" t="s">
        <v>453</v>
      </c>
      <c r="D179" s="619"/>
      <c r="E179" s="619" t="s">
        <v>444</v>
      </c>
      <c r="F179" s="619"/>
      <c r="G179" s="619"/>
      <c r="H179" s="635" t="s">
        <v>440</v>
      </c>
      <c r="I179" s="603" t="s">
        <v>445</v>
      </c>
      <c r="J179" s="603"/>
      <c r="K179" s="603"/>
      <c r="L179" s="604" t="s">
        <v>440</v>
      </c>
      <c r="M179" s="610" t="s">
        <v>441</v>
      </c>
      <c r="N179" s="619"/>
      <c r="O179" s="619" t="s">
        <v>446</v>
      </c>
      <c r="P179" s="616" t="s">
        <v>442</v>
      </c>
      <c r="Q179" s="617"/>
      <c r="R179" s="617"/>
      <c r="S179" s="618"/>
      <c r="T179" s="619" t="s">
        <v>440</v>
      </c>
      <c r="U179" s="616" t="s">
        <v>442</v>
      </c>
      <c r="V179" s="617"/>
      <c r="W179" s="617"/>
      <c r="X179" s="618"/>
      <c r="Y179" s="619" t="s">
        <v>440</v>
      </c>
      <c r="Z179" s="616" t="s">
        <v>442</v>
      </c>
      <c r="AA179" s="617"/>
      <c r="AB179" s="617"/>
      <c r="AC179" s="618"/>
      <c r="AD179" s="619" t="s">
        <v>440</v>
      </c>
      <c r="AE179" s="616" t="s">
        <v>442</v>
      </c>
      <c r="AF179" s="617"/>
      <c r="AG179" s="617"/>
      <c r="AH179" s="618"/>
      <c r="AI179" s="619" t="s">
        <v>440</v>
      </c>
      <c r="AJ179" s="616" t="s">
        <v>442</v>
      </c>
      <c r="AK179" s="617"/>
      <c r="AL179" s="617"/>
      <c r="AM179" s="618"/>
      <c r="AN179" s="619" t="s">
        <v>440</v>
      </c>
      <c r="AO179" s="616" t="s">
        <v>442</v>
      </c>
      <c r="AP179" s="617"/>
      <c r="AQ179" s="617"/>
      <c r="AR179" s="618"/>
      <c r="AS179" s="619" t="s">
        <v>440</v>
      </c>
      <c r="AT179" s="616" t="s">
        <v>442</v>
      </c>
      <c r="AU179" s="617"/>
      <c r="AV179" s="617"/>
      <c r="AW179" s="618"/>
      <c r="AX179" s="619" t="s">
        <v>440</v>
      </c>
    </row>
    <row r="180" spans="2:50">
      <c r="B180" s="619"/>
      <c r="C180" s="619"/>
      <c r="D180" s="619"/>
      <c r="E180" s="619" t="s">
        <v>447</v>
      </c>
      <c r="F180" s="619"/>
      <c r="G180" s="619"/>
      <c r="H180" s="636"/>
      <c r="I180" s="603" t="s">
        <v>447</v>
      </c>
      <c r="J180" s="603"/>
      <c r="K180" s="603"/>
      <c r="L180" s="605"/>
      <c r="M180" s="611"/>
      <c r="N180" s="619"/>
      <c r="O180" s="619"/>
      <c r="P180" s="616" t="s">
        <v>448</v>
      </c>
      <c r="Q180" s="617"/>
      <c r="R180" s="617"/>
      <c r="S180" s="618"/>
      <c r="T180" s="619"/>
      <c r="U180" s="616" t="s">
        <v>448</v>
      </c>
      <c r="V180" s="617"/>
      <c r="W180" s="617"/>
      <c r="X180" s="618"/>
      <c r="Y180" s="619"/>
      <c r="Z180" s="616" t="s">
        <v>448</v>
      </c>
      <c r="AA180" s="617"/>
      <c r="AB180" s="617"/>
      <c r="AC180" s="618"/>
      <c r="AD180" s="619"/>
      <c r="AE180" s="616" t="s">
        <v>448</v>
      </c>
      <c r="AF180" s="617"/>
      <c r="AG180" s="617"/>
      <c r="AH180" s="618"/>
      <c r="AI180" s="619"/>
      <c r="AJ180" s="616" t="s">
        <v>448</v>
      </c>
      <c r="AK180" s="617"/>
      <c r="AL180" s="617"/>
      <c r="AM180" s="618"/>
      <c r="AN180" s="619"/>
      <c r="AO180" s="616" t="s">
        <v>448</v>
      </c>
      <c r="AP180" s="617"/>
      <c r="AQ180" s="617"/>
      <c r="AR180" s="618"/>
      <c r="AS180" s="619"/>
      <c r="AT180" s="616" t="s">
        <v>448</v>
      </c>
      <c r="AU180" s="617"/>
      <c r="AV180" s="617"/>
      <c r="AW180" s="618"/>
      <c r="AX180" s="619"/>
    </row>
    <row r="181" spans="2:50">
      <c r="B181" s="619"/>
      <c r="C181" s="619"/>
      <c r="D181" s="619"/>
      <c r="E181" s="357" t="s">
        <v>449</v>
      </c>
      <c r="F181" s="357" t="s">
        <v>450</v>
      </c>
      <c r="G181" s="357" t="s">
        <v>451</v>
      </c>
      <c r="H181" s="637"/>
      <c r="I181" s="358" t="s">
        <v>449</v>
      </c>
      <c r="J181" s="358" t="s">
        <v>450</v>
      </c>
      <c r="K181" s="358" t="s">
        <v>451</v>
      </c>
      <c r="L181" s="606"/>
      <c r="M181" s="612"/>
      <c r="N181" s="619"/>
      <c r="O181" s="619"/>
      <c r="P181" s="357" t="s">
        <v>449</v>
      </c>
      <c r="Q181" s="357" t="s">
        <v>450</v>
      </c>
      <c r="R181" s="357" t="s">
        <v>451</v>
      </c>
      <c r="S181" s="357" t="s">
        <v>441</v>
      </c>
      <c r="T181" s="619"/>
      <c r="U181" s="357" t="s">
        <v>449</v>
      </c>
      <c r="V181" s="357" t="s">
        <v>450</v>
      </c>
      <c r="W181" s="357" t="s">
        <v>451</v>
      </c>
      <c r="X181" s="357" t="s">
        <v>441</v>
      </c>
      <c r="Y181" s="619"/>
      <c r="Z181" s="357" t="s">
        <v>449</v>
      </c>
      <c r="AA181" s="357" t="s">
        <v>450</v>
      </c>
      <c r="AB181" s="357" t="s">
        <v>451</v>
      </c>
      <c r="AC181" s="357" t="s">
        <v>441</v>
      </c>
      <c r="AD181" s="619"/>
      <c r="AE181" s="357" t="s">
        <v>449</v>
      </c>
      <c r="AF181" s="357" t="s">
        <v>450</v>
      </c>
      <c r="AG181" s="357" t="s">
        <v>451</v>
      </c>
      <c r="AH181" s="357" t="s">
        <v>441</v>
      </c>
      <c r="AI181" s="619"/>
      <c r="AJ181" s="357" t="s">
        <v>449</v>
      </c>
      <c r="AK181" s="357" t="s">
        <v>450</v>
      </c>
      <c r="AL181" s="357" t="s">
        <v>451</v>
      </c>
      <c r="AM181" s="357" t="s">
        <v>441</v>
      </c>
      <c r="AN181" s="619"/>
      <c r="AO181" s="357" t="s">
        <v>449</v>
      </c>
      <c r="AP181" s="357" t="s">
        <v>450</v>
      </c>
      <c r="AQ181" s="357" t="s">
        <v>451</v>
      </c>
      <c r="AR181" s="357" t="s">
        <v>441</v>
      </c>
      <c r="AS181" s="619"/>
      <c r="AT181" s="357" t="s">
        <v>449</v>
      </c>
      <c r="AU181" s="357" t="s">
        <v>450</v>
      </c>
      <c r="AV181" s="357" t="s">
        <v>451</v>
      </c>
      <c r="AW181" s="357" t="s">
        <v>441</v>
      </c>
      <c r="AX181" s="619"/>
    </row>
    <row r="182" spans="2:50">
      <c r="B182" s="619" t="s">
        <v>134</v>
      </c>
      <c r="C182" s="356">
        <v>1</v>
      </c>
      <c r="D182" s="228"/>
      <c r="E182" s="183"/>
      <c r="F182" s="356"/>
      <c r="G182" s="359"/>
      <c r="H182" s="661" t="e">
        <f>AVERAGE(G182:G211)</f>
        <v>#DIV/0!</v>
      </c>
      <c r="I182" s="200" t="e">
        <f>AVERAGE(P182,U182,Z182,AE182,AJ182,AO182,AT182)</f>
        <v>#DIV/0!</v>
      </c>
      <c r="J182" s="200" t="e">
        <f>AVERAGE(Q182,V182,AA182,AF182,AK182,AP182,AU182)</f>
        <v>#DIV/0!</v>
      </c>
      <c r="K182" s="201" t="e">
        <f>AVERAGE(R182,W182,AB182,AG182,AL182,AQ182,AV182)</f>
        <v>#DIV/0!</v>
      </c>
      <c r="L182" s="600" t="str">
        <f>IFERROR(AVERAGE(K182:K211),"-")</f>
        <v>-</v>
      </c>
      <c r="M182" s="202" t="e">
        <f>RANK(K182, K$147:$K$176)</f>
        <v>#DIV/0!</v>
      </c>
      <c r="N182" s="619"/>
      <c r="O182" s="619"/>
      <c r="P182" s="183"/>
      <c r="Q182" s="183"/>
      <c r="R182" s="183"/>
      <c r="S182" s="356" t="e">
        <f>RANK(R182, R$147:R$176)</f>
        <v>#N/A</v>
      </c>
      <c r="T182" s="658" t="e">
        <f>AVERAGE(R182:R211)</f>
        <v>#DIV/0!</v>
      </c>
      <c r="U182" s="183"/>
      <c r="V182" s="183"/>
      <c r="W182" s="183"/>
      <c r="X182" s="356" t="e">
        <f>RANK(W182, W$147:W$176)</f>
        <v>#N/A</v>
      </c>
      <c r="Y182" s="658" t="e">
        <f>AVERAGE(W182:W211)</f>
        <v>#DIV/0!</v>
      </c>
      <c r="Z182" s="183"/>
      <c r="AA182" s="183"/>
      <c r="AB182" s="183"/>
      <c r="AC182" s="356" t="e">
        <f>RANK(AB182, AB$147:AB$176)</f>
        <v>#N/A</v>
      </c>
      <c r="AD182" s="658" t="e">
        <f>AVERAGE(AB182:AB211)</f>
        <v>#DIV/0!</v>
      </c>
      <c r="AE182" s="183"/>
      <c r="AF182" s="183"/>
      <c r="AG182" s="183"/>
      <c r="AH182" s="356" t="e">
        <f>RANK(AG182, AG$147:AG$176)</f>
        <v>#N/A</v>
      </c>
      <c r="AI182" s="658" t="e">
        <f>AVERAGE(AG182:AG211)</f>
        <v>#DIV/0!</v>
      </c>
      <c r="AJ182" s="183"/>
      <c r="AK182" s="183"/>
      <c r="AL182" s="183"/>
      <c r="AM182" s="356" t="e">
        <f>RANK(AL182, AL$147:AL$176)</f>
        <v>#N/A</v>
      </c>
      <c r="AN182" s="658" t="e">
        <f>AVERAGE(AL182:AL211)</f>
        <v>#DIV/0!</v>
      </c>
      <c r="AO182" s="183"/>
      <c r="AP182" s="183"/>
      <c r="AQ182" s="183"/>
      <c r="AR182" s="356" t="e">
        <f>RANK(AQ182, AQ$147:AQ$176)</f>
        <v>#N/A</v>
      </c>
      <c r="AS182" s="658" t="e">
        <f>AVERAGE(AQ182:AQ211)</f>
        <v>#DIV/0!</v>
      </c>
      <c r="AT182" s="183"/>
      <c r="AU182" s="183"/>
      <c r="AV182" s="183"/>
      <c r="AW182" s="356" t="e">
        <f>RANK(AV182, AV$147:AV$176)</f>
        <v>#N/A</v>
      </c>
      <c r="AX182" s="658" t="e">
        <f>AVERAGE(AV182:AV211)</f>
        <v>#DIV/0!</v>
      </c>
    </row>
    <row r="183" spans="2:50">
      <c r="B183" s="627"/>
      <c r="C183" s="356">
        <v>2</v>
      </c>
      <c r="D183" s="228"/>
      <c r="E183" s="183"/>
      <c r="F183" s="356"/>
      <c r="G183" s="359"/>
      <c r="H183" s="662"/>
      <c r="I183" s="200" t="e">
        <f t="shared" ref="I183:I205" si="73">AVERAGE(P183,U183,Z183,AE183,AJ183,AO183,AT183)</f>
        <v>#DIV/0!</v>
      </c>
      <c r="J183" s="200" t="e">
        <f t="shared" ref="J183:J205" si="74">AVERAGE(Q183,V183,AA183,AF183,AK183,AP183,AU183)</f>
        <v>#DIV/0!</v>
      </c>
      <c r="K183" s="201" t="e">
        <f t="shared" ref="K183:K205" si="75">AVERAGE(R183,W183,AB183,AG183,AL183,AQ183,AV183)</f>
        <v>#DIV/0!</v>
      </c>
      <c r="L183" s="601"/>
      <c r="M183" s="202" t="e">
        <f>RANK(K183, K$147:$K$176)</f>
        <v>#DIV/0!</v>
      </c>
      <c r="N183" s="619"/>
      <c r="O183" s="619"/>
      <c r="P183" s="183"/>
      <c r="Q183" s="183"/>
      <c r="R183" s="183"/>
      <c r="S183" s="356" t="e">
        <f t="shared" ref="S183:S211" si="76">RANK(R183, R$147:R$176)</f>
        <v>#N/A</v>
      </c>
      <c r="T183" s="658"/>
      <c r="U183" s="183"/>
      <c r="V183" s="183"/>
      <c r="W183" s="183"/>
      <c r="X183" s="356" t="e">
        <f t="shared" ref="X183:X211" si="77">RANK(W183, W$147:W$176)</f>
        <v>#N/A</v>
      </c>
      <c r="Y183" s="658"/>
      <c r="Z183" s="183"/>
      <c r="AA183" s="183"/>
      <c r="AB183" s="183"/>
      <c r="AC183" s="356" t="e">
        <f t="shared" ref="AC183:AC211" si="78">RANK(AB183, AB$147:AB$176)</f>
        <v>#N/A</v>
      </c>
      <c r="AD183" s="658"/>
      <c r="AE183" s="183"/>
      <c r="AF183" s="183"/>
      <c r="AG183" s="183"/>
      <c r="AH183" s="356" t="e">
        <f t="shared" ref="AH183:AH211" si="79">RANK(AG183, AG$147:AG$176)</f>
        <v>#N/A</v>
      </c>
      <c r="AI183" s="658"/>
      <c r="AJ183" s="183"/>
      <c r="AK183" s="183"/>
      <c r="AL183" s="183"/>
      <c r="AM183" s="356" t="e">
        <f t="shared" ref="AM183:AM211" si="80">RANK(AL183, AL$147:AL$176)</f>
        <v>#N/A</v>
      </c>
      <c r="AN183" s="658"/>
      <c r="AO183" s="183"/>
      <c r="AP183" s="183"/>
      <c r="AQ183" s="183"/>
      <c r="AR183" s="356" t="e">
        <f t="shared" ref="AR183:AR211" si="81">RANK(AQ183, AQ$147:AQ$176)</f>
        <v>#N/A</v>
      </c>
      <c r="AS183" s="658"/>
      <c r="AT183" s="183"/>
      <c r="AU183" s="183"/>
      <c r="AV183" s="183"/>
      <c r="AW183" s="356" t="e">
        <f t="shared" ref="AW183:AW211" si="82">RANK(AV183, AV$147:AV$176)</f>
        <v>#N/A</v>
      </c>
      <c r="AX183" s="658"/>
    </row>
    <row r="184" spans="2:50">
      <c r="B184" s="627"/>
      <c r="C184" s="356">
        <v>3</v>
      </c>
      <c r="D184" s="228"/>
      <c r="E184" s="183"/>
      <c r="F184" s="356"/>
      <c r="G184" s="359"/>
      <c r="H184" s="662"/>
      <c r="I184" s="200" t="e">
        <f t="shared" si="73"/>
        <v>#DIV/0!</v>
      </c>
      <c r="J184" s="200" t="e">
        <f t="shared" si="74"/>
        <v>#DIV/0!</v>
      </c>
      <c r="K184" s="201" t="e">
        <f t="shared" si="75"/>
        <v>#DIV/0!</v>
      </c>
      <c r="L184" s="601"/>
      <c r="M184" s="202" t="e">
        <f>RANK(K184, K$147:$K$176)</f>
        <v>#DIV/0!</v>
      </c>
      <c r="N184" s="619"/>
      <c r="O184" s="619"/>
      <c r="P184" s="183"/>
      <c r="Q184" s="183"/>
      <c r="R184" s="183"/>
      <c r="S184" s="356" t="e">
        <f t="shared" si="76"/>
        <v>#N/A</v>
      </c>
      <c r="T184" s="658"/>
      <c r="U184" s="183"/>
      <c r="V184" s="183"/>
      <c r="W184" s="183"/>
      <c r="X184" s="356" t="e">
        <f t="shared" si="77"/>
        <v>#N/A</v>
      </c>
      <c r="Y184" s="658"/>
      <c r="Z184" s="183"/>
      <c r="AA184" s="183"/>
      <c r="AB184" s="183"/>
      <c r="AC184" s="356" t="e">
        <f t="shared" si="78"/>
        <v>#N/A</v>
      </c>
      <c r="AD184" s="658"/>
      <c r="AE184" s="183"/>
      <c r="AF184" s="183"/>
      <c r="AG184" s="183"/>
      <c r="AH184" s="356" t="e">
        <f t="shared" si="79"/>
        <v>#N/A</v>
      </c>
      <c r="AI184" s="658"/>
      <c r="AJ184" s="183"/>
      <c r="AK184" s="183"/>
      <c r="AL184" s="183"/>
      <c r="AM184" s="356" t="e">
        <f t="shared" si="80"/>
        <v>#N/A</v>
      </c>
      <c r="AN184" s="658"/>
      <c r="AO184" s="183"/>
      <c r="AP184" s="183"/>
      <c r="AQ184" s="183"/>
      <c r="AR184" s="356" t="e">
        <f t="shared" si="81"/>
        <v>#N/A</v>
      </c>
      <c r="AS184" s="658"/>
      <c r="AT184" s="183"/>
      <c r="AU184" s="183"/>
      <c r="AV184" s="183"/>
      <c r="AW184" s="356" t="e">
        <f t="shared" si="82"/>
        <v>#N/A</v>
      </c>
      <c r="AX184" s="658"/>
    </row>
    <row r="185" spans="2:50">
      <c r="B185" s="627"/>
      <c r="C185" s="356">
        <v>4</v>
      </c>
      <c r="D185" s="228"/>
      <c r="E185" s="183"/>
      <c r="F185" s="356"/>
      <c r="G185" s="359"/>
      <c r="H185" s="662"/>
      <c r="I185" s="200" t="e">
        <f t="shared" si="73"/>
        <v>#DIV/0!</v>
      </c>
      <c r="J185" s="200" t="e">
        <f t="shared" si="74"/>
        <v>#DIV/0!</v>
      </c>
      <c r="K185" s="201" t="e">
        <f t="shared" si="75"/>
        <v>#DIV/0!</v>
      </c>
      <c r="L185" s="601"/>
      <c r="M185" s="202" t="e">
        <f>RANK(K185, K$147:$K$176)</f>
        <v>#DIV/0!</v>
      </c>
      <c r="N185" s="619"/>
      <c r="O185" s="619"/>
      <c r="P185" s="183"/>
      <c r="Q185" s="183"/>
      <c r="R185" s="183"/>
      <c r="S185" s="356" t="e">
        <f t="shared" si="76"/>
        <v>#N/A</v>
      </c>
      <c r="T185" s="658"/>
      <c r="U185" s="183"/>
      <c r="V185" s="183"/>
      <c r="W185" s="183"/>
      <c r="X185" s="356" t="e">
        <f t="shared" si="77"/>
        <v>#N/A</v>
      </c>
      <c r="Y185" s="658"/>
      <c r="Z185" s="183"/>
      <c r="AA185" s="183"/>
      <c r="AB185" s="183"/>
      <c r="AC185" s="356" t="e">
        <f t="shared" si="78"/>
        <v>#N/A</v>
      </c>
      <c r="AD185" s="658"/>
      <c r="AE185" s="183"/>
      <c r="AF185" s="183"/>
      <c r="AG185" s="183"/>
      <c r="AH185" s="356" t="e">
        <f t="shared" si="79"/>
        <v>#N/A</v>
      </c>
      <c r="AI185" s="658"/>
      <c r="AJ185" s="183"/>
      <c r="AK185" s="183"/>
      <c r="AL185" s="183"/>
      <c r="AM185" s="356" t="e">
        <f t="shared" si="80"/>
        <v>#N/A</v>
      </c>
      <c r="AN185" s="658"/>
      <c r="AO185" s="183"/>
      <c r="AP185" s="183"/>
      <c r="AQ185" s="183"/>
      <c r="AR185" s="356" t="e">
        <f t="shared" si="81"/>
        <v>#N/A</v>
      </c>
      <c r="AS185" s="658"/>
      <c r="AT185" s="183"/>
      <c r="AU185" s="183"/>
      <c r="AV185" s="183"/>
      <c r="AW185" s="356" t="e">
        <f t="shared" si="82"/>
        <v>#N/A</v>
      </c>
      <c r="AX185" s="658"/>
    </row>
    <row r="186" spans="2:50">
      <c r="B186" s="627"/>
      <c r="C186" s="356">
        <v>5</v>
      </c>
      <c r="D186" s="228"/>
      <c r="E186" s="183"/>
      <c r="F186" s="356"/>
      <c r="G186" s="359"/>
      <c r="H186" s="662"/>
      <c r="I186" s="200" t="e">
        <f t="shared" si="73"/>
        <v>#DIV/0!</v>
      </c>
      <c r="J186" s="200" t="e">
        <f t="shared" si="74"/>
        <v>#DIV/0!</v>
      </c>
      <c r="K186" s="201" t="e">
        <f t="shared" si="75"/>
        <v>#DIV/0!</v>
      </c>
      <c r="L186" s="601"/>
      <c r="M186" s="202" t="e">
        <f>RANK(K186, K$147:$K$176)</f>
        <v>#DIV/0!</v>
      </c>
      <c r="N186" s="619"/>
      <c r="O186" s="619"/>
      <c r="P186" s="183"/>
      <c r="Q186" s="183"/>
      <c r="R186" s="183"/>
      <c r="S186" s="356" t="e">
        <f t="shared" si="76"/>
        <v>#N/A</v>
      </c>
      <c r="T186" s="658"/>
      <c r="U186" s="183"/>
      <c r="V186" s="183"/>
      <c r="W186" s="183"/>
      <c r="X186" s="356" t="e">
        <f t="shared" si="77"/>
        <v>#N/A</v>
      </c>
      <c r="Y186" s="658"/>
      <c r="Z186" s="183"/>
      <c r="AA186" s="183"/>
      <c r="AB186" s="183"/>
      <c r="AC186" s="356" t="e">
        <f t="shared" si="78"/>
        <v>#N/A</v>
      </c>
      <c r="AD186" s="658"/>
      <c r="AE186" s="183"/>
      <c r="AF186" s="183"/>
      <c r="AG186" s="183"/>
      <c r="AH186" s="356" t="e">
        <f t="shared" si="79"/>
        <v>#N/A</v>
      </c>
      <c r="AI186" s="658"/>
      <c r="AJ186" s="183"/>
      <c r="AK186" s="183"/>
      <c r="AL186" s="183"/>
      <c r="AM186" s="356" t="e">
        <f t="shared" si="80"/>
        <v>#N/A</v>
      </c>
      <c r="AN186" s="658"/>
      <c r="AO186" s="183"/>
      <c r="AP186" s="183"/>
      <c r="AQ186" s="183"/>
      <c r="AR186" s="356" t="e">
        <f t="shared" si="81"/>
        <v>#N/A</v>
      </c>
      <c r="AS186" s="658"/>
      <c r="AT186" s="183"/>
      <c r="AU186" s="183"/>
      <c r="AV186" s="183"/>
      <c r="AW186" s="356" t="e">
        <f t="shared" si="82"/>
        <v>#N/A</v>
      </c>
      <c r="AX186" s="658"/>
    </row>
    <row r="187" spans="2:50">
      <c r="B187" s="627"/>
      <c r="C187" s="356">
        <v>6</v>
      </c>
      <c r="D187" s="228"/>
      <c r="E187" s="183"/>
      <c r="F187" s="356"/>
      <c r="G187" s="359"/>
      <c r="H187" s="662"/>
      <c r="I187" s="200" t="e">
        <f t="shared" si="73"/>
        <v>#DIV/0!</v>
      </c>
      <c r="J187" s="200" t="e">
        <f t="shared" si="74"/>
        <v>#DIV/0!</v>
      </c>
      <c r="K187" s="201" t="e">
        <f t="shared" si="75"/>
        <v>#DIV/0!</v>
      </c>
      <c r="L187" s="601"/>
      <c r="M187" s="202" t="e">
        <f>RANK(K187, K$147:$K$176)</f>
        <v>#DIV/0!</v>
      </c>
      <c r="N187" s="619"/>
      <c r="O187" s="619"/>
      <c r="P187" s="183"/>
      <c r="Q187" s="183"/>
      <c r="R187" s="183"/>
      <c r="S187" s="356" t="e">
        <f t="shared" si="76"/>
        <v>#N/A</v>
      </c>
      <c r="T187" s="658"/>
      <c r="U187" s="183"/>
      <c r="V187" s="183"/>
      <c r="W187" s="183"/>
      <c r="X187" s="356" t="e">
        <f t="shared" si="77"/>
        <v>#N/A</v>
      </c>
      <c r="Y187" s="658"/>
      <c r="Z187" s="183"/>
      <c r="AA187" s="183"/>
      <c r="AB187" s="183"/>
      <c r="AC187" s="356" t="e">
        <f t="shared" si="78"/>
        <v>#N/A</v>
      </c>
      <c r="AD187" s="658"/>
      <c r="AE187" s="183"/>
      <c r="AF187" s="183"/>
      <c r="AG187" s="183"/>
      <c r="AH187" s="356" t="e">
        <f t="shared" si="79"/>
        <v>#N/A</v>
      </c>
      <c r="AI187" s="658"/>
      <c r="AJ187" s="183"/>
      <c r="AK187" s="183"/>
      <c r="AL187" s="183"/>
      <c r="AM187" s="356" t="e">
        <f t="shared" si="80"/>
        <v>#N/A</v>
      </c>
      <c r="AN187" s="658"/>
      <c r="AO187" s="183"/>
      <c r="AP187" s="183"/>
      <c r="AQ187" s="183"/>
      <c r="AR187" s="356" t="e">
        <f t="shared" si="81"/>
        <v>#N/A</v>
      </c>
      <c r="AS187" s="658"/>
      <c r="AT187" s="183"/>
      <c r="AU187" s="183"/>
      <c r="AV187" s="183"/>
      <c r="AW187" s="356" t="e">
        <f t="shared" si="82"/>
        <v>#N/A</v>
      </c>
      <c r="AX187" s="658"/>
    </row>
    <row r="188" spans="2:50">
      <c r="B188" s="627"/>
      <c r="C188" s="356">
        <v>7</v>
      </c>
      <c r="D188" s="228"/>
      <c r="E188" s="183"/>
      <c r="F188" s="356"/>
      <c r="G188" s="359"/>
      <c r="H188" s="662"/>
      <c r="I188" s="200" t="e">
        <f t="shared" si="73"/>
        <v>#DIV/0!</v>
      </c>
      <c r="J188" s="200" t="e">
        <f t="shared" si="74"/>
        <v>#DIV/0!</v>
      </c>
      <c r="K188" s="201" t="e">
        <f t="shared" si="75"/>
        <v>#DIV/0!</v>
      </c>
      <c r="L188" s="601"/>
      <c r="M188" s="202" t="e">
        <f>RANK(K188, K$147:$K$176)</f>
        <v>#DIV/0!</v>
      </c>
      <c r="N188" s="619"/>
      <c r="O188" s="619"/>
      <c r="P188" s="183"/>
      <c r="Q188" s="183"/>
      <c r="R188" s="183"/>
      <c r="S188" s="356" t="e">
        <f t="shared" si="76"/>
        <v>#N/A</v>
      </c>
      <c r="T188" s="658"/>
      <c r="U188" s="183"/>
      <c r="V188" s="183"/>
      <c r="W188" s="183"/>
      <c r="X188" s="356" t="e">
        <f t="shared" si="77"/>
        <v>#N/A</v>
      </c>
      <c r="Y188" s="658"/>
      <c r="Z188" s="183"/>
      <c r="AA188" s="183"/>
      <c r="AB188" s="183"/>
      <c r="AC188" s="356" t="e">
        <f t="shared" si="78"/>
        <v>#N/A</v>
      </c>
      <c r="AD188" s="658"/>
      <c r="AE188" s="183"/>
      <c r="AF188" s="183"/>
      <c r="AG188" s="183"/>
      <c r="AH188" s="356" t="e">
        <f t="shared" si="79"/>
        <v>#N/A</v>
      </c>
      <c r="AI188" s="658"/>
      <c r="AJ188" s="183"/>
      <c r="AK188" s="183"/>
      <c r="AL188" s="183"/>
      <c r="AM188" s="356" t="e">
        <f t="shared" si="80"/>
        <v>#N/A</v>
      </c>
      <c r="AN188" s="658"/>
      <c r="AO188" s="183"/>
      <c r="AP188" s="183"/>
      <c r="AQ188" s="183"/>
      <c r="AR188" s="356" t="e">
        <f t="shared" si="81"/>
        <v>#N/A</v>
      </c>
      <c r="AS188" s="658"/>
      <c r="AT188" s="183"/>
      <c r="AU188" s="183"/>
      <c r="AV188" s="183"/>
      <c r="AW188" s="356" t="e">
        <f t="shared" si="82"/>
        <v>#N/A</v>
      </c>
      <c r="AX188" s="658"/>
    </row>
    <row r="189" spans="2:50">
      <c r="B189" s="627"/>
      <c r="C189" s="356">
        <v>8</v>
      </c>
      <c r="D189" s="228"/>
      <c r="E189" s="183"/>
      <c r="F189" s="356"/>
      <c r="G189" s="359"/>
      <c r="H189" s="662"/>
      <c r="I189" s="200" t="e">
        <f t="shared" si="73"/>
        <v>#DIV/0!</v>
      </c>
      <c r="J189" s="200" t="e">
        <f t="shared" si="74"/>
        <v>#DIV/0!</v>
      </c>
      <c r="K189" s="201" t="e">
        <f t="shared" si="75"/>
        <v>#DIV/0!</v>
      </c>
      <c r="L189" s="601"/>
      <c r="M189" s="202" t="e">
        <f>RANK(K189, K$147:$K$176)</f>
        <v>#DIV/0!</v>
      </c>
      <c r="N189" s="619"/>
      <c r="O189" s="619"/>
      <c r="P189" s="183"/>
      <c r="Q189" s="183"/>
      <c r="R189" s="183"/>
      <c r="S189" s="356" t="e">
        <f t="shared" si="76"/>
        <v>#N/A</v>
      </c>
      <c r="T189" s="658"/>
      <c r="U189" s="183"/>
      <c r="V189" s="183"/>
      <c r="W189" s="183"/>
      <c r="X189" s="356" t="e">
        <f t="shared" si="77"/>
        <v>#N/A</v>
      </c>
      <c r="Y189" s="658"/>
      <c r="Z189" s="183"/>
      <c r="AA189" s="183"/>
      <c r="AB189" s="183"/>
      <c r="AC189" s="356" t="e">
        <f t="shared" si="78"/>
        <v>#N/A</v>
      </c>
      <c r="AD189" s="658"/>
      <c r="AE189" s="183"/>
      <c r="AF189" s="183"/>
      <c r="AG189" s="183"/>
      <c r="AH189" s="356" t="e">
        <f t="shared" si="79"/>
        <v>#N/A</v>
      </c>
      <c r="AI189" s="658"/>
      <c r="AJ189" s="183"/>
      <c r="AK189" s="183"/>
      <c r="AL189" s="183"/>
      <c r="AM189" s="356" t="e">
        <f t="shared" si="80"/>
        <v>#N/A</v>
      </c>
      <c r="AN189" s="658"/>
      <c r="AO189" s="183"/>
      <c r="AP189" s="183"/>
      <c r="AQ189" s="183"/>
      <c r="AR189" s="356" t="e">
        <f t="shared" si="81"/>
        <v>#N/A</v>
      </c>
      <c r="AS189" s="658"/>
      <c r="AT189" s="183"/>
      <c r="AU189" s="183"/>
      <c r="AV189" s="183"/>
      <c r="AW189" s="356" t="e">
        <f t="shared" si="82"/>
        <v>#N/A</v>
      </c>
      <c r="AX189" s="658"/>
    </row>
    <row r="190" spans="2:50">
      <c r="B190" s="627"/>
      <c r="C190" s="356">
        <v>9</v>
      </c>
      <c r="D190" s="228"/>
      <c r="E190" s="183"/>
      <c r="F190" s="356"/>
      <c r="G190" s="359"/>
      <c r="H190" s="662"/>
      <c r="I190" s="200" t="e">
        <f t="shared" si="73"/>
        <v>#DIV/0!</v>
      </c>
      <c r="J190" s="200" t="e">
        <f t="shared" si="74"/>
        <v>#DIV/0!</v>
      </c>
      <c r="K190" s="201" t="e">
        <f t="shared" si="75"/>
        <v>#DIV/0!</v>
      </c>
      <c r="L190" s="601"/>
      <c r="M190" s="202" t="e">
        <f>RANK(K190, K$147:$K$176)</f>
        <v>#DIV/0!</v>
      </c>
      <c r="N190" s="619"/>
      <c r="O190" s="619"/>
      <c r="P190" s="183"/>
      <c r="Q190" s="183"/>
      <c r="R190" s="183"/>
      <c r="S190" s="356" t="e">
        <f t="shared" si="76"/>
        <v>#N/A</v>
      </c>
      <c r="T190" s="658"/>
      <c r="U190" s="183"/>
      <c r="V190" s="183"/>
      <c r="W190" s="183"/>
      <c r="X190" s="356" t="e">
        <f t="shared" si="77"/>
        <v>#N/A</v>
      </c>
      <c r="Y190" s="658"/>
      <c r="Z190" s="183"/>
      <c r="AA190" s="183"/>
      <c r="AB190" s="183"/>
      <c r="AC190" s="356" t="e">
        <f t="shared" si="78"/>
        <v>#N/A</v>
      </c>
      <c r="AD190" s="658"/>
      <c r="AE190" s="183"/>
      <c r="AF190" s="183"/>
      <c r="AG190" s="183"/>
      <c r="AH190" s="356" t="e">
        <f t="shared" si="79"/>
        <v>#N/A</v>
      </c>
      <c r="AI190" s="658"/>
      <c r="AJ190" s="183"/>
      <c r="AK190" s="183"/>
      <c r="AL190" s="183"/>
      <c r="AM190" s="356" t="e">
        <f t="shared" si="80"/>
        <v>#N/A</v>
      </c>
      <c r="AN190" s="658"/>
      <c r="AO190" s="183"/>
      <c r="AP190" s="183"/>
      <c r="AQ190" s="183"/>
      <c r="AR190" s="356" t="e">
        <f t="shared" si="81"/>
        <v>#N/A</v>
      </c>
      <c r="AS190" s="658"/>
      <c r="AT190" s="183"/>
      <c r="AU190" s="183"/>
      <c r="AV190" s="183"/>
      <c r="AW190" s="356" t="e">
        <f t="shared" si="82"/>
        <v>#N/A</v>
      </c>
      <c r="AX190" s="658"/>
    </row>
    <row r="191" spans="2:50">
      <c r="B191" s="627"/>
      <c r="C191" s="356">
        <v>10</v>
      </c>
      <c r="D191" s="228"/>
      <c r="E191" s="183"/>
      <c r="F191" s="356"/>
      <c r="G191" s="359"/>
      <c r="H191" s="662"/>
      <c r="I191" s="200" t="e">
        <f t="shared" si="73"/>
        <v>#DIV/0!</v>
      </c>
      <c r="J191" s="200" t="e">
        <f t="shared" si="74"/>
        <v>#DIV/0!</v>
      </c>
      <c r="K191" s="201" t="e">
        <f t="shared" si="75"/>
        <v>#DIV/0!</v>
      </c>
      <c r="L191" s="601"/>
      <c r="M191" s="202" t="e">
        <f>RANK(K191, K$147:$K$176)</f>
        <v>#DIV/0!</v>
      </c>
      <c r="N191" s="619"/>
      <c r="O191" s="619"/>
      <c r="P191" s="183"/>
      <c r="Q191" s="183"/>
      <c r="R191" s="183"/>
      <c r="S191" s="356" t="e">
        <f t="shared" si="76"/>
        <v>#N/A</v>
      </c>
      <c r="T191" s="658"/>
      <c r="U191" s="183"/>
      <c r="V191" s="183"/>
      <c r="W191" s="183"/>
      <c r="X191" s="356" t="e">
        <f t="shared" si="77"/>
        <v>#N/A</v>
      </c>
      <c r="Y191" s="658"/>
      <c r="Z191" s="183"/>
      <c r="AA191" s="183"/>
      <c r="AB191" s="183"/>
      <c r="AC191" s="356" t="e">
        <f t="shared" si="78"/>
        <v>#N/A</v>
      </c>
      <c r="AD191" s="658"/>
      <c r="AE191" s="183"/>
      <c r="AF191" s="183"/>
      <c r="AG191" s="183"/>
      <c r="AH191" s="356" t="e">
        <f t="shared" si="79"/>
        <v>#N/A</v>
      </c>
      <c r="AI191" s="658"/>
      <c r="AJ191" s="183"/>
      <c r="AK191" s="183"/>
      <c r="AL191" s="183"/>
      <c r="AM191" s="356" t="e">
        <f t="shared" si="80"/>
        <v>#N/A</v>
      </c>
      <c r="AN191" s="658"/>
      <c r="AO191" s="183"/>
      <c r="AP191" s="183"/>
      <c r="AQ191" s="183"/>
      <c r="AR191" s="356" t="e">
        <f t="shared" si="81"/>
        <v>#N/A</v>
      </c>
      <c r="AS191" s="658"/>
      <c r="AT191" s="183"/>
      <c r="AU191" s="183"/>
      <c r="AV191" s="183"/>
      <c r="AW191" s="356" t="e">
        <f t="shared" si="82"/>
        <v>#N/A</v>
      </c>
      <c r="AX191" s="658"/>
    </row>
    <row r="192" spans="2:50">
      <c r="B192" s="627"/>
      <c r="C192" s="356">
        <v>11</v>
      </c>
      <c r="D192" s="228"/>
      <c r="E192" s="183"/>
      <c r="F192" s="356"/>
      <c r="G192" s="359"/>
      <c r="H192" s="662"/>
      <c r="I192" s="200" t="e">
        <f t="shared" si="73"/>
        <v>#DIV/0!</v>
      </c>
      <c r="J192" s="200" t="e">
        <f t="shared" si="74"/>
        <v>#DIV/0!</v>
      </c>
      <c r="K192" s="201" t="e">
        <f t="shared" si="75"/>
        <v>#DIV/0!</v>
      </c>
      <c r="L192" s="601"/>
      <c r="M192" s="202" t="e">
        <f>RANK(K192, K$147:$K$176)</f>
        <v>#DIV/0!</v>
      </c>
      <c r="N192" s="619"/>
      <c r="O192" s="619"/>
      <c r="P192" s="183"/>
      <c r="Q192" s="183"/>
      <c r="R192" s="183"/>
      <c r="S192" s="356" t="e">
        <f t="shared" si="76"/>
        <v>#N/A</v>
      </c>
      <c r="T192" s="658"/>
      <c r="U192" s="183"/>
      <c r="V192" s="183"/>
      <c r="W192" s="183"/>
      <c r="X192" s="356" t="e">
        <f t="shared" si="77"/>
        <v>#N/A</v>
      </c>
      <c r="Y192" s="658"/>
      <c r="Z192" s="183"/>
      <c r="AA192" s="183"/>
      <c r="AB192" s="183"/>
      <c r="AC192" s="356" t="e">
        <f t="shared" si="78"/>
        <v>#N/A</v>
      </c>
      <c r="AD192" s="658"/>
      <c r="AE192" s="183"/>
      <c r="AF192" s="183"/>
      <c r="AG192" s="183"/>
      <c r="AH192" s="356" t="e">
        <f t="shared" si="79"/>
        <v>#N/A</v>
      </c>
      <c r="AI192" s="658"/>
      <c r="AJ192" s="183"/>
      <c r="AK192" s="183"/>
      <c r="AL192" s="183"/>
      <c r="AM192" s="356" t="e">
        <f t="shared" si="80"/>
        <v>#N/A</v>
      </c>
      <c r="AN192" s="658"/>
      <c r="AO192" s="183"/>
      <c r="AP192" s="183"/>
      <c r="AQ192" s="183"/>
      <c r="AR192" s="356" t="e">
        <f t="shared" si="81"/>
        <v>#N/A</v>
      </c>
      <c r="AS192" s="658"/>
      <c r="AT192" s="183"/>
      <c r="AU192" s="183"/>
      <c r="AV192" s="183"/>
      <c r="AW192" s="356" t="e">
        <f t="shared" si="82"/>
        <v>#N/A</v>
      </c>
      <c r="AX192" s="658"/>
    </row>
    <row r="193" spans="2:50">
      <c r="B193" s="627"/>
      <c r="C193" s="356">
        <v>12</v>
      </c>
      <c r="D193" s="228"/>
      <c r="E193" s="183"/>
      <c r="F193" s="356"/>
      <c r="G193" s="359"/>
      <c r="H193" s="662"/>
      <c r="I193" s="200" t="e">
        <f t="shared" si="73"/>
        <v>#DIV/0!</v>
      </c>
      <c r="J193" s="200" t="e">
        <f t="shared" si="74"/>
        <v>#DIV/0!</v>
      </c>
      <c r="K193" s="201" t="e">
        <f t="shared" si="75"/>
        <v>#DIV/0!</v>
      </c>
      <c r="L193" s="601"/>
      <c r="M193" s="202" t="e">
        <f>RANK(K193, K$147:$K$176)</f>
        <v>#DIV/0!</v>
      </c>
      <c r="N193" s="619"/>
      <c r="O193" s="619"/>
      <c r="P193" s="183"/>
      <c r="Q193" s="183"/>
      <c r="R193" s="183"/>
      <c r="S193" s="356" t="e">
        <f t="shared" si="76"/>
        <v>#N/A</v>
      </c>
      <c r="T193" s="658"/>
      <c r="U193" s="183"/>
      <c r="V193" s="183"/>
      <c r="W193" s="183"/>
      <c r="X193" s="356" t="e">
        <f t="shared" si="77"/>
        <v>#N/A</v>
      </c>
      <c r="Y193" s="658"/>
      <c r="Z193" s="183"/>
      <c r="AA193" s="183"/>
      <c r="AB193" s="183"/>
      <c r="AC193" s="356" t="e">
        <f t="shared" si="78"/>
        <v>#N/A</v>
      </c>
      <c r="AD193" s="658"/>
      <c r="AE193" s="183"/>
      <c r="AF193" s="183"/>
      <c r="AG193" s="183"/>
      <c r="AH193" s="356" t="e">
        <f t="shared" si="79"/>
        <v>#N/A</v>
      </c>
      <c r="AI193" s="658"/>
      <c r="AJ193" s="183"/>
      <c r="AK193" s="183"/>
      <c r="AL193" s="183"/>
      <c r="AM193" s="356" t="e">
        <f t="shared" si="80"/>
        <v>#N/A</v>
      </c>
      <c r="AN193" s="658"/>
      <c r="AO193" s="183"/>
      <c r="AP193" s="183"/>
      <c r="AQ193" s="183"/>
      <c r="AR193" s="356" t="e">
        <f t="shared" si="81"/>
        <v>#N/A</v>
      </c>
      <c r="AS193" s="658"/>
      <c r="AT193" s="183"/>
      <c r="AU193" s="183"/>
      <c r="AV193" s="183"/>
      <c r="AW193" s="356" t="e">
        <f t="shared" si="82"/>
        <v>#N/A</v>
      </c>
      <c r="AX193" s="658"/>
    </row>
    <row r="194" spans="2:50">
      <c r="B194" s="627"/>
      <c r="C194" s="356">
        <v>13</v>
      </c>
      <c r="D194" s="228"/>
      <c r="E194" s="183"/>
      <c r="F194" s="356"/>
      <c r="G194" s="359"/>
      <c r="H194" s="662"/>
      <c r="I194" s="200" t="e">
        <f t="shared" si="73"/>
        <v>#DIV/0!</v>
      </c>
      <c r="J194" s="200" t="e">
        <f t="shared" si="74"/>
        <v>#DIV/0!</v>
      </c>
      <c r="K194" s="201" t="e">
        <f t="shared" si="75"/>
        <v>#DIV/0!</v>
      </c>
      <c r="L194" s="601"/>
      <c r="M194" s="202" t="e">
        <f>RANK(K194, K$147:$K$176)</f>
        <v>#DIV/0!</v>
      </c>
      <c r="N194" s="619"/>
      <c r="O194" s="619"/>
      <c r="P194" s="183"/>
      <c r="Q194" s="183"/>
      <c r="R194" s="183"/>
      <c r="S194" s="356" t="e">
        <f t="shared" si="76"/>
        <v>#N/A</v>
      </c>
      <c r="T194" s="658"/>
      <c r="U194" s="183"/>
      <c r="V194" s="183"/>
      <c r="W194" s="183"/>
      <c r="X194" s="356" t="e">
        <f t="shared" si="77"/>
        <v>#N/A</v>
      </c>
      <c r="Y194" s="658"/>
      <c r="Z194" s="183"/>
      <c r="AA194" s="183"/>
      <c r="AB194" s="183"/>
      <c r="AC194" s="356" t="e">
        <f t="shared" si="78"/>
        <v>#N/A</v>
      </c>
      <c r="AD194" s="658"/>
      <c r="AE194" s="183"/>
      <c r="AF194" s="183"/>
      <c r="AG194" s="183"/>
      <c r="AH194" s="356" t="e">
        <f t="shared" si="79"/>
        <v>#N/A</v>
      </c>
      <c r="AI194" s="658"/>
      <c r="AJ194" s="183"/>
      <c r="AK194" s="183"/>
      <c r="AL194" s="183"/>
      <c r="AM194" s="356" t="e">
        <f t="shared" si="80"/>
        <v>#N/A</v>
      </c>
      <c r="AN194" s="658"/>
      <c r="AO194" s="183"/>
      <c r="AP194" s="183"/>
      <c r="AQ194" s="183"/>
      <c r="AR194" s="356" t="e">
        <f t="shared" si="81"/>
        <v>#N/A</v>
      </c>
      <c r="AS194" s="658"/>
      <c r="AT194" s="183"/>
      <c r="AU194" s="183"/>
      <c r="AV194" s="183"/>
      <c r="AW194" s="356" t="e">
        <f t="shared" si="82"/>
        <v>#N/A</v>
      </c>
      <c r="AX194" s="658"/>
    </row>
    <row r="195" spans="2:50">
      <c r="B195" s="627"/>
      <c r="C195" s="356">
        <v>14</v>
      </c>
      <c r="D195" s="228"/>
      <c r="E195" s="183"/>
      <c r="F195" s="356"/>
      <c r="G195" s="359"/>
      <c r="H195" s="662"/>
      <c r="I195" s="200" t="e">
        <f t="shared" si="73"/>
        <v>#DIV/0!</v>
      </c>
      <c r="J195" s="200" t="e">
        <f t="shared" si="74"/>
        <v>#DIV/0!</v>
      </c>
      <c r="K195" s="201" t="e">
        <f t="shared" si="75"/>
        <v>#DIV/0!</v>
      </c>
      <c r="L195" s="601"/>
      <c r="M195" s="202" t="e">
        <f>RANK(K195, K$147:$K$176)</f>
        <v>#DIV/0!</v>
      </c>
      <c r="N195" s="619"/>
      <c r="O195" s="619"/>
      <c r="P195" s="183"/>
      <c r="Q195" s="183"/>
      <c r="R195" s="183"/>
      <c r="S195" s="356" t="e">
        <f t="shared" si="76"/>
        <v>#N/A</v>
      </c>
      <c r="T195" s="658"/>
      <c r="U195" s="183"/>
      <c r="V195" s="183"/>
      <c r="W195" s="183"/>
      <c r="X195" s="356" t="e">
        <f t="shared" si="77"/>
        <v>#N/A</v>
      </c>
      <c r="Y195" s="658"/>
      <c r="Z195" s="183"/>
      <c r="AA195" s="183"/>
      <c r="AB195" s="183"/>
      <c r="AC195" s="356" t="e">
        <f t="shared" si="78"/>
        <v>#N/A</v>
      </c>
      <c r="AD195" s="658"/>
      <c r="AE195" s="183"/>
      <c r="AF195" s="183"/>
      <c r="AG195" s="183"/>
      <c r="AH195" s="356" t="e">
        <f t="shared" si="79"/>
        <v>#N/A</v>
      </c>
      <c r="AI195" s="658"/>
      <c r="AJ195" s="183"/>
      <c r="AK195" s="183"/>
      <c r="AL195" s="183"/>
      <c r="AM195" s="356" t="e">
        <f t="shared" si="80"/>
        <v>#N/A</v>
      </c>
      <c r="AN195" s="658"/>
      <c r="AO195" s="183"/>
      <c r="AP195" s="183"/>
      <c r="AQ195" s="183"/>
      <c r="AR195" s="356" t="e">
        <f t="shared" si="81"/>
        <v>#N/A</v>
      </c>
      <c r="AS195" s="658"/>
      <c r="AT195" s="183"/>
      <c r="AU195" s="183"/>
      <c r="AV195" s="183"/>
      <c r="AW195" s="356" t="e">
        <f t="shared" si="82"/>
        <v>#N/A</v>
      </c>
      <c r="AX195" s="658"/>
    </row>
    <row r="196" spans="2:50">
      <c r="B196" s="627"/>
      <c r="C196" s="356">
        <v>15</v>
      </c>
      <c r="D196" s="228"/>
      <c r="E196" s="183"/>
      <c r="F196" s="356"/>
      <c r="G196" s="359"/>
      <c r="H196" s="662"/>
      <c r="I196" s="200" t="e">
        <f t="shared" si="73"/>
        <v>#DIV/0!</v>
      </c>
      <c r="J196" s="200" t="e">
        <f t="shared" si="74"/>
        <v>#DIV/0!</v>
      </c>
      <c r="K196" s="201" t="e">
        <f t="shared" si="75"/>
        <v>#DIV/0!</v>
      </c>
      <c r="L196" s="601"/>
      <c r="M196" s="200" t="e">
        <f>RANK(K196, K$147:$K$176)</f>
        <v>#DIV/0!</v>
      </c>
      <c r="N196" s="619"/>
      <c r="O196" s="619"/>
      <c r="P196" s="183"/>
      <c r="Q196" s="183"/>
      <c r="R196" s="183"/>
      <c r="S196" s="356" t="e">
        <f t="shared" si="76"/>
        <v>#N/A</v>
      </c>
      <c r="T196" s="658"/>
      <c r="U196" s="183"/>
      <c r="V196" s="183"/>
      <c r="W196" s="183"/>
      <c r="X196" s="356" t="e">
        <f t="shared" si="77"/>
        <v>#N/A</v>
      </c>
      <c r="Y196" s="658"/>
      <c r="Z196" s="183"/>
      <c r="AA196" s="183"/>
      <c r="AB196" s="183"/>
      <c r="AC196" s="356" t="e">
        <f t="shared" si="78"/>
        <v>#N/A</v>
      </c>
      <c r="AD196" s="658"/>
      <c r="AE196" s="183"/>
      <c r="AF196" s="183"/>
      <c r="AG196" s="183"/>
      <c r="AH196" s="356" t="e">
        <f t="shared" si="79"/>
        <v>#N/A</v>
      </c>
      <c r="AI196" s="658"/>
      <c r="AJ196" s="183"/>
      <c r="AK196" s="183"/>
      <c r="AL196" s="183"/>
      <c r="AM196" s="356" t="e">
        <f t="shared" si="80"/>
        <v>#N/A</v>
      </c>
      <c r="AN196" s="658"/>
      <c r="AO196" s="183"/>
      <c r="AP196" s="183"/>
      <c r="AQ196" s="183"/>
      <c r="AR196" s="356" t="e">
        <f t="shared" si="81"/>
        <v>#N/A</v>
      </c>
      <c r="AS196" s="658"/>
      <c r="AT196" s="183"/>
      <c r="AU196" s="183"/>
      <c r="AV196" s="183"/>
      <c r="AW196" s="356" t="e">
        <f t="shared" si="82"/>
        <v>#N/A</v>
      </c>
      <c r="AX196" s="658"/>
    </row>
    <row r="197" spans="2:50">
      <c r="B197" s="627"/>
      <c r="C197" s="356">
        <v>16</v>
      </c>
      <c r="D197" s="228"/>
      <c r="E197" s="183"/>
      <c r="F197" s="356"/>
      <c r="G197" s="359"/>
      <c r="H197" s="662"/>
      <c r="I197" s="200" t="e">
        <f t="shared" si="73"/>
        <v>#DIV/0!</v>
      </c>
      <c r="J197" s="200" t="e">
        <f t="shared" si="74"/>
        <v>#DIV/0!</v>
      </c>
      <c r="K197" s="201" t="e">
        <f t="shared" si="75"/>
        <v>#DIV/0!</v>
      </c>
      <c r="L197" s="601"/>
      <c r="M197" s="200" t="e">
        <f>RANK(K197, K$147:$K$176)</f>
        <v>#DIV/0!</v>
      </c>
      <c r="N197" s="619"/>
      <c r="O197" s="619"/>
      <c r="P197" s="183"/>
      <c r="Q197" s="183"/>
      <c r="R197" s="183"/>
      <c r="S197" s="356" t="e">
        <f t="shared" si="76"/>
        <v>#N/A</v>
      </c>
      <c r="T197" s="658"/>
      <c r="U197" s="183"/>
      <c r="V197" s="183"/>
      <c r="W197" s="183"/>
      <c r="X197" s="356" t="e">
        <f t="shared" si="77"/>
        <v>#N/A</v>
      </c>
      <c r="Y197" s="658"/>
      <c r="Z197" s="183"/>
      <c r="AA197" s="183"/>
      <c r="AB197" s="183"/>
      <c r="AC197" s="356" t="e">
        <f t="shared" si="78"/>
        <v>#N/A</v>
      </c>
      <c r="AD197" s="658"/>
      <c r="AE197" s="183"/>
      <c r="AF197" s="183"/>
      <c r="AG197" s="183"/>
      <c r="AH197" s="356" t="e">
        <f t="shared" si="79"/>
        <v>#N/A</v>
      </c>
      <c r="AI197" s="658"/>
      <c r="AJ197" s="183"/>
      <c r="AK197" s="183"/>
      <c r="AL197" s="183"/>
      <c r="AM197" s="356" t="e">
        <f t="shared" si="80"/>
        <v>#N/A</v>
      </c>
      <c r="AN197" s="658"/>
      <c r="AO197" s="183"/>
      <c r="AP197" s="183"/>
      <c r="AQ197" s="183"/>
      <c r="AR197" s="356" t="e">
        <f t="shared" si="81"/>
        <v>#N/A</v>
      </c>
      <c r="AS197" s="658"/>
      <c r="AT197" s="183"/>
      <c r="AU197" s="183"/>
      <c r="AV197" s="183"/>
      <c r="AW197" s="356" t="e">
        <f t="shared" si="82"/>
        <v>#N/A</v>
      </c>
      <c r="AX197" s="658"/>
    </row>
    <row r="198" spans="2:50">
      <c r="B198" s="627"/>
      <c r="C198" s="356">
        <v>17</v>
      </c>
      <c r="D198" s="228"/>
      <c r="E198" s="183"/>
      <c r="F198" s="356"/>
      <c r="G198" s="359"/>
      <c r="H198" s="662"/>
      <c r="I198" s="200" t="e">
        <f t="shared" si="73"/>
        <v>#DIV/0!</v>
      </c>
      <c r="J198" s="200" t="e">
        <f t="shared" si="74"/>
        <v>#DIV/0!</v>
      </c>
      <c r="K198" s="201" t="e">
        <f t="shared" si="75"/>
        <v>#DIV/0!</v>
      </c>
      <c r="L198" s="601"/>
      <c r="M198" s="200" t="e">
        <f>RANK(K198, K$147:$K$176)</f>
        <v>#DIV/0!</v>
      </c>
      <c r="N198" s="619"/>
      <c r="O198" s="619"/>
      <c r="P198" s="183"/>
      <c r="Q198" s="183"/>
      <c r="R198" s="183"/>
      <c r="S198" s="356" t="e">
        <f t="shared" si="76"/>
        <v>#N/A</v>
      </c>
      <c r="T198" s="658"/>
      <c r="U198" s="183"/>
      <c r="V198" s="183"/>
      <c r="W198" s="183"/>
      <c r="X198" s="356" t="e">
        <f t="shared" si="77"/>
        <v>#N/A</v>
      </c>
      <c r="Y198" s="658"/>
      <c r="Z198" s="183"/>
      <c r="AA198" s="183"/>
      <c r="AB198" s="183"/>
      <c r="AC198" s="356" t="e">
        <f t="shared" si="78"/>
        <v>#N/A</v>
      </c>
      <c r="AD198" s="658"/>
      <c r="AE198" s="183"/>
      <c r="AF198" s="183"/>
      <c r="AG198" s="183"/>
      <c r="AH198" s="356" t="e">
        <f t="shared" si="79"/>
        <v>#N/A</v>
      </c>
      <c r="AI198" s="658"/>
      <c r="AJ198" s="183"/>
      <c r="AK198" s="183"/>
      <c r="AL198" s="183"/>
      <c r="AM198" s="356" t="e">
        <f t="shared" si="80"/>
        <v>#N/A</v>
      </c>
      <c r="AN198" s="658"/>
      <c r="AO198" s="183"/>
      <c r="AP198" s="183"/>
      <c r="AQ198" s="183"/>
      <c r="AR198" s="356" t="e">
        <f t="shared" si="81"/>
        <v>#N/A</v>
      </c>
      <c r="AS198" s="658"/>
      <c r="AT198" s="183"/>
      <c r="AU198" s="183"/>
      <c r="AV198" s="183"/>
      <c r="AW198" s="356" t="e">
        <f t="shared" si="82"/>
        <v>#N/A</v>
      </c>
      <c r="AX198" s="658"/>
    </row>
    <row r="199" spans="2:50">
      <c r="B199" s="627"/>
      <c r="C199" s="356">
        <v>18</v>
      </c>
      <c r="D199" s="228"/>
      <c r="E199" s="183"/>
      <c r="F199" s="356"/>
      <c r="G199" s="359"/>
      <c r="H199" s="662"/>
      <c r="I199" s="200" t="e">
        <f t="shared" si="73"/>
        <v>#DIV/0!</v>
      </c>
      <c r="J199" s="200" t="e">
        <f t="shared" si="74"/>
        <v>#DIV/0!</v>
      </c>
      <c r="K199" s="201" t="e">
        <f t="shared" si="75"/>
        <v>#DIV/0!</v>
      </c>
      <c r="L199" s="601"/>
      <c r="M199" s="200" t="e">
        <f>RANK(K199, K$147:$K$176)</f>
        <v>#DIV/0!</v>
      </c>
      <c r="N199" s="619"/>
      <c r="O199" s="619"/>
      <c r="P199" s="183"/>
      <c r="Q199" s="183"/>
      <c r="R199" s="183"/>
      <c r="S199" s="356" t="e">
        <f t="shared" si="76"/>
        <v>#N/A</v>
      </c>
      <c r="T199" s="658"/>
      <c r="U199" s="183"/>
      <c r="V199" s="183"/>
      <c r="W199" s="183"/>
      <c r="X199" s="356" t="e">
        <f t="shared" si="77"/>
        <v>#N/A</v>
      </c>
      <c r="Y199" s="658"/>
      <c r="Z199" s="183"/>
      <c r="AA199" s="183"/>
      <c r="AB199" s="183"/>
      <c r="AC199" s="356" t="e">
        <f t="shared" si="78"/>
        <v>#N/A</v>
      </c>
      <c r="AD199" s="658"/>
      <c r="AE199" s="183"/>
      <c r="AF199" s="183"/>
      <c r="AG199" s="183"/>
      <c r="AH199" s="356" t="e">
        <f t="shared" si="79"/>
        <v>#N/A</v>
      </c>
      <c r="AI199" s="658"/>
      <c r="AJ199" s="183"/>
      <c r="AK199" s="183"/>
      <c r="AL199" s="183"/>
      <c r="AM199" s="356" t="e">
        <f t="shared" si="80"/>
        <v>#N/A</v>
      </c>
      <c r="AN199" s="658"/>
      <c r="AO199" s="183"/>
      <c r="AP199" s="183"/>
      <c r="AQ199" s="183"/>
      <c r="AR199" s="356" t="e">
        <f t="shared" si="81"/>
        <v>#N/A</v>
      </c>
      <c r="AS199" s="658"/>
      <c r="AT199" s="183"/>
      <c r="AU199" s="183"/>
      <c r="AV199" s="183"/>
      <c r="AW199" s="356" t="e">
        <f t="shared" si="82"/>
        <v>#N/A</v>
      </c>
      <c r="AX199" s="658"/>
    </row>
    <row r="200" spans="2:50">
      <c r="B200" s="627"/>
      <c r="C200" s="356">
        <v>19</v>
      </c>
      <c r="D200" s="228"/>
      <c r="E200" s="183"/>
      <c r="F200" s="356"/>
      <c r="G200" s="359"/>
      <c r="H200" s="662"/>
      <c r="I200" s="200" t="e">
        <f t="shared" si="73"/>
        <v>#DIV/0!</v>
      </c>
      <c r="J200" s="200" t="e">
        <f t="shared" si="74"/>
        <v>#DIV/0!</v>
      </c>
      <c r="K200" s="201" t="e">
        <f t="shared" si="75"/>
        <v>#DIV/0!</v>
      </c>
      <c r="L200" s="601"/>
      <c r="M200" s="200" t="e">
        <f>RANK(K200, K$147:$K$176)</f>
        <v>#DIV/0!</v>
      </c>
      <c r="N200" s="619"/>
      <c r="O200" s="619"/>
      <c r="P200" s="183"/>
      <c r="Q200" s="183"/>
      <c r="R200" s="183"/>
      <c r="S200" s="356" t="e">
        <f t="shared" si="76"/>
        <v>#N/A</v>
      </c>
      <c r="T200" s="658"/>
      <c r="U200" s="183"/>
      <c r="V200" s="183"/>
      <c r="W200" s="183"/>
      <c r="X200" s="356" t="e">
        <f t="shared" si="77"/>
        <v>#N/A</v>
      </c>
      <c r="Y200" s="658"/>
      <c r="Z200" s="183"/>
      <c r="AA200" s="183"/>
      <c r="AB200" s="183"/>
      <c r="AC200" s="356" t="e">
        <f t="shared" si="78"/>
        <v>#N/A</v>
      </c>
      <c r="AD200" s="658"/>
      <c r="AE200" s="183"/>
      <c r="AF200" s="183"/>
      <c r="AG200" s="183"/>
      <c r="AH200" s="356" t="e">
        <f t="shared" si="79"/>
        <v>#N/A</v>
      </c>
      <c r="AI200" s="658"/>
      <c r="AJ200" s="183"/>
      <c r="AK200" s="183"/>
      <c r="AL200" s="183"/>
      <c r="AM200" s="356" t="e">
        <f t="shared" si="80"/>
        <v>#N/A</v>
      </c>
      <c r="AN200" s="658"/>
      <c r="AO200" s="183"/>
      <c r="AP200" s="183"/>
      <c r="AQ200" s="183"/>
      <c r="AR200" s="356" t="e">
        <f t="shared" si="81"/>
        <v>#N/A</v>
      </c>
      <c r="AS200" s="658"/>
      <c r="AT200" s="183"/>
      <c r="AU200" s="183"/>
      <c r="AV200" s="183"/>
      <c r="AW200" s="356" t="e">
        <f t="shared" si="82"/>
        <v>#N/A</v>
      </c>
      <c r="AX200" s="658"/>
    </row>
    <row r="201" spans="2:50">
      <c r="B201" s="627"/>
      <c r="C201" s="356">
        <v>20</v>
      </c>
      <c r="D201" s="228"/>
      <c r="E201" s="183"/>
      <c r="F201" s="356"/>
      <c r="G201" s="359"/>
      <c r="H201" s="662"/>
      <c r="I201" s="200" t="e">
        <f t="shared" si="73"/>
        <v>#DIV/0!</v>
      </c>
      <c r="J201" s="200" t="e">
        <f t="shared" si="74"/>
        <v>#DIV/0!</v>
      </c>
      <c r="K201" s="201" t="e">
        <f t="shared" si="75"/>
        <v>#DIV/0!</v>
      </c>
      <c r="L201" s="601"/>
      <c r="M201" s="200" t="e">
        <f>RANK(K201, K$147:$K$176)</f>
        <v>#DIV/0!</v>
      </c>
      <c r="N201" s="619"/>
      <c r="O201" s="619"/>
      <c r="P201" s="183"/>
      <c r="Q201" s="183"/>
      <c r="R201" s="183"/>
      <c r="S201" s="356" t="e">
        <f t="shared" si="76"/>
        <v>#N/A</v>
      </c>
      <c r="T201" s="658"/>
      <c r="U201" s="183"/>
      <c r="V201" s="183"/>
      <c r="W201" s="183"/>
      <c r="X201" s="356" t="e">
        <f t="shared" si="77"/>
        <v>#N/A</v>
      </c>
      <c r="Y201" s="658"/>
      <c r="Z201" s="183"/>
      <c r="AA201" s="183"/>
      <c r="AB201" s="183"/>
      <c r="AC201" s="356" t="e">
        <f t="shared" si="78"/>
        <v>#N/A</v>
      </c>
      <c r="AD201" s="658"/>
      <c r="AE201" s="183"/>
      <c r="AF201" s="183"/>
      <c r="AG201" s="183"/>
      <c r="AH201" s="356" t="e">
        <f t="shared" si="79"/>
        <v>#N/A</v>
      </c>
      <c r="AI201" s="658"/>
      <c r="AJ201" s="183"/>
      <c r="AK201" s="183"/>
      <c r="AL201" s="183"/>
      <c r="AM201" s="356" t="e">
        <f t="shared" si="80"/>
        <v>#N/A</v>
      </c>
      <c r="AN201" s="658"/>
      <c r="AO201" s="183"/>
      <c r="AP201" s="183"/>
      <c r="AQ201" s="183"/>
      <c r="AR201" s="356" t="e">
        <f t="shared" si="81"/>
        <v>#N/A</v>
      </c>
      <c r="AS201" s="658"/>
      <c r="AT201" s="183"/>
      <c r="AU201" s="183"/>
      <c r="AV201" s="183"/>
      <c r="AW201" s="356" t="e">
        <f t="shared" si="82"/>
        <v>#N/A</v>
      </c>
      <c r="AX201" s="658"/>
    </row>
    <row r="202" spans="2:50">
      <c r="B202" s="627"/>
      <c r="C202" s="356">
        <v>21</v>
      </c>
      <c r="D202" s="228"/>
      <c r="E202" s="183"/>
      <c r="F202" s="356"/>
      <c r="G202" s="359"/>
      <c r="H202" s="662"/>
      <c r="I202" s="200" t="e">
        <f t="shared" si="73"/>
        <v>#DIV/0!</v>
      </c>
      <c r="J202" s="200" t="e">
        <f t="shared" si="74"/>
        <v>#DIV/0!</v>
      </c>
      <c r="K202" s="201" t="e">
        <f t="shared" si="75"/>
        <v>#DIV/0!</v>
      </c>
      <c r="L202" s="601"/>
      <c r="M202" s="200" t="e">
        <f>RANK(K202, K$147:$K$176)</f>
        <v>#DIV/0!</v>
      </c>
      <c r="N202" s="619"/>
      <c r="O202" s="619"/>
      <c r="P202" s="183"/>
      <c r="Q202" s="183"/>
      <c r="R202" s="183"/>
      <c r="S202" s="356" t="e">
        <f t="shared" si="76"/>
        <v>#N/A</v>
      </c>
      <c r="T202" s="658"/>
      <c r="U202" s="183"/>
      <c r="V202" s="183"/>
      <c r="W202" s="183"/>
      <c r="X202" s="356" t="e">
        <f t="shared" si="77"/>
        <v>#N/A</v>
      </c>
      <c r="Y202" s="658"/>
      <c r="Z202" s="183"/>
      <c r="AA202" s="183"/>
      <c r="AB202" s="183"/>
      <c r="AC202" s="356" t="e">
        <f t="shared" si="78"/>
        <v>#N/A</v>
      </c>
      <c r="AD202" s="658"/>
      <c r="AE202" s="183"/>
      <c r="AF202" s="183"/>
      <c r="AG202" s="183"/>
      <c r="AH202" s="356" t="e">
        <f t="shared" si="79"/>
        <v>#N/A</v>
      </c>
      <c r="AI202" s="658"/>
      <c r="AJ202" s="183"/>
      <c r="AK202" s="183"/>
      <c r="AL202" s="183"/>
      <c r="AM202" s="356" t="e">
        <f t="shared" si="80"/>
        <v>#N/A</v>
      </c>
      <c r="AN202" s="658"/>
      <c r="AO202" s="183"/>
      <c r="AP202" s="183"/>
      <c r="AQ202" s="183"/>
      <c r="AR202" s="356" t="e">
        <f t="shared" si="81"/>
        <v>#N/A</v>
      </c>
      <c r="AS202" s="658"/>
      <c r="AT202" s="183"/>
      <c r="AU202" s="183"/>
      <c r="AV202" s="183"/>
      <c r="AW202" s="356" t="e">
        <f t="shared" si="82"/>
        <v>#N/A</v>
      </c>
      <c r="AX202" s="658"/>
    </row>
    <row r="203" spans="2:50">
      <c r="B203" s="627"/>
      <c r="C203" s="356">
        <v>22</v>
      </c>
      <c r="D203" s="228"/>
      <c r="E203" s="183"/>
      <c r="F203" s="356"/>
      <c r="G203" s="359"/>
      <c r="H203" s="662"/>
      <c r="I203" s="200" t="e">
        <f t="shared" si="73"/>
        <v>#DIV/0!</v>
      </c>
      <c r="J203" s="200" t="e">
        <f t="shared" si="74"/>
        <v>#DIV/0!</v>
      </c>
      <c r="K203" s="201" t="e">
        <f t="shared" si="75"/>
        <v>#DIV/0!</v>
      </c>
      <c r="L203" s="601"/>
      <c r="M203" s="200" t="e">
        <f>RANK(K203, K$147:$K$176)</f>
        <v>#DIV/0!</v>
      </c>
      <c r="N203" s="619"/>
      <c r="O203" s="619"/>
      <c r="P203" s="183"/>
      <c r="Q203" s="183"/>
      <c r="R203" s="183"/>
      <c r="S203" s="356" t="e">
        <f t="shared" si="76"/>
        <v>#N/A</v>
      </c>
      <c r="T203" s="658"/>
      <c r="U203" s="183"/>
      <c r="V203" s="183"/>
      <c r="W203" s="183"/>
      <c r="X203" s="356" t="e">
        <f t="shared" si="77"/>
        <v>#N/A</v>
      </c>
      <c r="Y203" s="658"/>
      <c r="Z203" s="183"/>
      <c r="AA203" s="183"/>
      <c r="AB203" s="183"/>
      <c r="AC203" s="356" t="e">
        <f t="shared" si="78"/>
        <v>#N/A</v>
      </c>
      <c r="AD203" s="658"/>
      <c r="AE203" s="183"/>
      <c r="AF203" s="183"/>
      <c r="AG203" s="183"/>
      <c r="AH203" s="356" t="e">
        <f t="shared" si="79"/>
        <v>#N/A</v>
      </c>
      <c r="AI203" s="658"/>
      <c r="AJ203" s="183"/>
      <c r="AK203" s="183"/>
      <c r="AL203" s="183"/>
      <c r="AM203" s="356" t="e">
        <f t="shared" si="80"/>
        <v>#N/A</v>
      </c>
      <c r="AN203" s="658"/>
      <c r="AO203" s="183"/>
      <c r="AP203" s="183"/>
      <c r="AQ203" s="183"/>
      <c r="AR203" s="356" t="e">
        <f t="shared" si="81"/>
        <v>#N/A</v>
      </c>
      <c r="AS203" s="658"/>
      <c r="AT203" s="183"/>
      <c r="AU203" s="183"/>
      <c r="AV203" s="183"/>
      <c r="AW203" s="356" t="e">
        <f t="shared" si="82"/>
        <v>#N/A</v>
      </c>
      <c r="AX203" s="658"/>
    </row>
    <row r="204" spans="2:50">
      <c r="B204" s="627"/>
      <c r="C204" s="356">
        <v>23</v>
      </c>
      <c r="D204" s="228"/>
      <c r="E204" s="183"/>
      <c r="F204" s="356"/>
      <c r="G204" s="359"/>
      <c r="H204" s="662"/>
      <c r="I204" s="200" t="e">
        <f t="shared" si="73"/>
        <v>#DIV/0!</v>
      </c>
      <c r="J204" s="200" t="e">
        <f t="shared" si="74"/>
        <v>#DIV/0!</v>
      </c>
      <c r="K204" s="201" t="e">
        <f t="shared" si="75"/>
        <v>#DIV/0!</v>
      </c>
      <c r="L204" s="601"/>
      <c r="M204" s="200" t="e">
        <f>RANK(K204, K$147:$K$176)</f>
        <v>#DIV/0!</v>
      </c>
      <c r="N204" s="619"/>
      <c r="O204" s="619"/>
      <c r="P204" s="183"/>
      <c r="Q204" s="183"/>
      <c r="R204" s="183"/>
      <c r="S204" s="356" t="e">
        <f t="shared" si="76"/>
        <v>#N/A</v>
      </c>
      <c r="T204" s="658"/>
      <c r="U204" s="183"/>
      <c r="V204" s="183"/>
      <c r="W204" s="183"/>
      <c r="X204" s="356" t="e">
        <f t="shared" si="77"/>
        <v>#N/A</v>
      </c>
      <c r="Y204" s="658"/>
      <c r="Z204" s="183"/>
      <c r="AA204" s="183"/>
      <c r="AB204" s="183"/>
      <c r="AC204" s="356" t="e">
        <f t="shared" si="78"/>
        <v>#N/A</v>
      </c>
      <c r="AD204" s="658"/>
      <c r="AE204" s="183"/>
      <c r="AF204" s="183"/>
      <c r="AG204" s="183"/>
      <c r="AH204" s="356" t="e">
        <f t="shared" si="79"/>
        <v>#N/A</v>
      </c>
      <c r="AI204" s="658"/>
      <c r="AJ204" s="183"/>
      <c r="AK204" s="183"/>
      <c r="AL204" s="183"/>
      <c r="AM204" s="356" t="e">
        <f t="shared" si="80"/>
        <v>#N/A</v>
      </c>
      <c r="AN204" s="658"/>
      <c r="AO204" s="183"/>
      <c r="AP204" s="183"/>
      <c r="AQ204" s="183"/>
      <c r="AR204" s="356" t="e">
        <f t="shared" si="81"/>
        <v>#N/A</v>
      </c>
      <c r="AS204" s="658"/>
      <c r="AT204" s="183"/>
      <c r="AU204" s="183"/>
      <c r="AV204" s="183"/>
      <c r="AW204" s="356" t="e">
        <f t="shared" si="82"/>
        <v>#N/A</v>
      </c>
      <c r="AX204" s="658"/>
    </row>
    <row r="205" spans="2:50">
      <c r="B205" s="627"/>
      <c r="C205" s="356">
        <v>24</v>
      </c>
      <c r="D205" s="228"/>
      <c r="E205" s="183"/>
      <c r="F205" s="356"/>
      <c r="G205" s="359"/>
      <c r="H205" s="662"/>
      <c r="I205" s="200" t="e">
        <f t="shared" si="73"/>
        <v>#DIV/0!</v>
      </c>
      <c r="J205" s="200" t="e">
        <f t="shared" si="74"/>
        <v>#DIV/0!</v>
      </c>
      <c r="K205" s="201" t="e">
        <f t="shared" si="75"/>
        <v>#DIV/0!</v>
      </c>
      <c r="L205" s="601"/>
      <c r="M205" s="200" t="e">
        <f>RANK(K205, K$147:$K$176)</f>
        <v>#DIV/0!</v>
      </c>
      <c r="N205" s="619"/>
      <c r="O205" s="619"/>
      <c r="P205" s="356"/>
      <c r="Q205" s="359"/>
      <c r="R205" s="359"/>
      <c r="S205" s="356" t="e">
        <f t="shared" si="76"/>
        <v>#N/A</v>
      </c>
      <c r="T205" s="658"/>
      <c r="U205" s="376"/>
      <c r="V205" s="377"/>
      <c r="W205" s="377"/>
      <c r="X205" s="356" t="e">
        <f t="shared" si="77"/>
        <v>#N/A</v>
      </c>
      <c r="Y205" s="658"/>
      <c r="Z205" s="376"/>
      <c r="AA205" s="377"/>
      <c r="AB205" s="377"/>
      <c r="AC205" s="356" t="e">
        <f t="shared" si="78"/>
        <v>#N/A</v>
      </c>
      <c r="AD205" s="658"/>
      <c r="AE205" s="376"/>
      <c r="AF205" s="377"/>
      <c r="AG205" s="377"/>
      <c r="AH205" s="356" t="e">
        <f t="shared" si="79"/>
        <v>#N/A</v>
      </c>
      <c r="AI205" s="658"/>
      <c r="AJ205" s="376"/>
      <c r="AK205" s="377"/>
      <c r="AL205" s="377"/>
      <c r="AM205" s="356" t="e">
        <f t="shared" si="80"/>
        <v>#N/A</v>
      </c>
      <c r="AN205" s="658"/>
      <c r="AO205" s="376"/>
      <c r="AP205" s="377"/>
      <c r="AQ205" s="377"/>
      <c r="AR205" s="356" t="e">
        <f t="shared" si="81"/>
        <v>#N/A</v>
      </c>
      <c r="AS205" s="658"/>
      <c r="AT205" s="376"/>
      <c r="AU205" s="377"/>
      <c r="AV205" s="377"/>
      <c r="AW205" s="356" t="e">
        <f t="shared" si="82"/>
        <v>#N/A</v>
      </c>
      <c r="AX205" s="658"/>
    </row>
    <row r="206" spans="2:50">
      <c r="B206" s="627"/>
      <c r="C206" s="356">
        <v>25</v>
      </c>
      <c r="D206" s="228"/>
      <c r="E206" s="183"/>
      <c r="F206" s="356"/>
      <c r="G206" s="359"/>
      <c r="H206" s="662"/>
      <c r="I206" s="200"/>
      <c r="J206" s="200"/>
      <c r="K206" s="201"/>
      <c r="L206" s="601"/>
      <c r="M206" s="200" t="e">
        <f>RANK(K206, K$147:$K$176)</f>
        <v>#DIV/0!</v>
      </c>
      <c r="N206" s="619"/>
      <c r="O206" s="619"/>
      <c r="P206" s="356"/>
      <c r="Q206" s="359"/>
      <c r="R206" s="359"/>
      <c r="S206" s="356" t="e">
        <f t="shared" si="76"/>
        <v>#N/A</v>
      </c>
      <c r="T206" s="658"/>
      <c r="U206" s="376"/>
      <c r="V206" s="377"/>
      <c r="W206" s="377"/>
      <c r="X206" s="356" t="e">
        <f t="shared" si="77"/>
        <v>#N/A</v>
      </c>
      <c r="Y206" s="658"/>
      <c r="Z206" s="376"/>
      <c r="AA206" s="377"/>
      <c r="AB206" s="377"/>
      <c r="AC206" s="356" t="e">
        <f t="shared" si="78"/>
        <v>#N/A</v>
      </c>
      <c r="AD206" s="658"/>
      <c r="AE206" s="376"/>
      <c r="AF206" s="377"/>
      <c r="AG206" s="377"/>
      <c r="AH206" s="356" t="e">
        <f t="shared" si="79"/>
        <v>#N/A</v>
      </c>
      <c r="AI206" s="658"/>
      <c r="AJ206" s="376"/>
      <c r="AK206" s="377"/>
      <c r="AL206" s="377"/>
      <c r="AM206" s="356" t="e">
        <f t="shared" si="80"/>
        <v>#N/A</v>
      </c>
      <c r="AN206" s="658"/>
      <c r="AO206" s="376"/>
      <c r="AP206" s="377"/>
      <c r="AQ206" s="377"/>
      <c r="AR206" s="356" t="e">
        <f t="shared" si="81"/>
        <v>#N/A</v>
      </c>
      <c r="AS206" s="658"/>
      <c r="AT206" s="376"/>
      <c r="AU206" s="377"/>
      <c r="AV206" s="377"/>
      <c r="AW206" s="356" t="e">
        <f t="shared" si="82"/>
        <v>#N/A</v>
      </c>
      <c r="AX206" s="658"/>
    </row>
    <row r="207" spans="2:50">
      <c r="B207" s="627"/>
      <c r="C207" s="356">
        <v>26</v>
      </c>
      <c r="D207" s="228"/>
      <c r="E207" s="183"/>
      <c r="F207" s="356"/>
      <c r="G207" s="359"/>
      <c r="H207" s="662"/>
      <c r="I207" s="200"/>
      <c r="J207" s="200"/>
      <c r="K207" s="201"/>
      <c r="L207" s="601"/>
      <c r="M207" s="200" t="e">
        <f>RANK(K207, K$147:$K$176)</f>
        <v>#DIV/0!</v>
      </c>
      <c r="N207" s="619"/>
      <c r="O207" s="619"/>
      <c r="P207" s="356"/>
      <c r="Q207" s="359"/>
      <c r="R207" s="359"/>
      <c r="S207" s="356" t="e">
        <f t="shared" si="76"/>
        <v>#N/A</v>
      </c>
      <c r="T207" s="658"/>
      <c r="U207" s="376"/>
      <c r="V207" s="377"/>
      <c r="W207" s="377"/>
      <c r="X207" s="356" t="e">
        <f t="shared" si="77"/>
        <v>#N/A</v>
      </c>
      <c r="Y207" s="658"/>
      <c r="Z207" s="376"/>
      <c r="AA207" s="377"/>
      <c r="AB207" s="377"/>
      <c r="AC207" s="356" t="e">
        <f t="shared" si="78"/>
        <v>#N/A</v>
      </c>
      <c r="AD207" s="658"/>
      <c r="AE207" s="376"/>
      <c r="AF207" s="377"/>
      <c r="AG207" s="377"/>
      <c r="AH207" s="356" t="e">
        <f t="shared" si="79"/>
        <v>#N/A</v>
      </c>
      <c r="AI207" s="658"/>
      <c r="AJ207" s="376"/>
      <c r="AK207" s="377"/>
      <c r="AL207" s="377"/>
      <c r="AM207" s="356" t="e">
        <f t="shared" si="80"/>
        <v>#N/A</v>
      </c>
      <c r="AN207" s="658"/>
      <c r="AO207" s="376"/>
      <c r="AP207" s="377"/>
      <c r="AQ207" s="377"/>
      <c r="AR207" s="356" t="e">
        <f t="shared" si="81"/>
        <v>#N/A</v>
      </c>
      <c r="AS207" s="658"/>
      <c r="AT207" s="376"/>
      <c r="AU207" s="377"/>
      <c r="AV207" s="377"/>
      <c r="AW207" s="356" t="e">
        <f t="shared" si="82"/>
        <v>#N/A</v>
      </c>
      <c r="AX207" s="658"/>
    </row>
    <row r="208" spans="2:50">
      <c r="B208" s="627"/>
      <c r="C208" s="356">
        <v>27</v>
      </c>
      <c r="D208" s="228"/>
      <c r="E208" s="183"/>
      <c r="F208" s="356"/>
      <c r="G208" s="359"/>
      <c r="H208" s="662"/>
      <c r="I208" s="200"/>
      <c r="J208" s="200"/>
      <c r="K208" s="201"/>
      <c r="L208" s="601"/>
      <c r="M208" s="200" t="e">
        <f>RANK(K208, K$147:$K$176)</f>
        <v>#DIV/0!</v>
      </c>
      <c r="N208" s="619"/>
      <c r="O208" s="619"/>
      <c r="P208" s="356"/>
      <c r="Q208" s="359"/>
      <c r="R208" s="359"/>
      <c r="S208" s="356" t="e">
        <f t="shared" si="76"/>
        <v>#N/A</v>
      </c>
      <c r="T208" s="658"/>
      <c r="U208" s="376"/>
      <c r="V208" s="377"/>
      <c r="W208" s="377"/>
      <c r="X208" s="356" t="e">
        <f t="shared" si="77"/>
        <v>#N/A</v>
      </c>
      <c r="Y208" s="658"/>
      <c r="Z208" s="376"/>
      <c r="AA208" s="377"/>
      <c r="AB208" s="377"/>
      <c r="AC208" s="356" t="e">
        <f t="shared" si="78"/>
        <v>#N/A</v>
      </c>
      <c r="AD208" s="658"/>
      <c r="AE208" s="376"/>
      <c r="AF208" s="377"/>
      <c r="AG208" s="377"/>
      <c r="AH208" s="356" t="e">
        <f t="shared" si="79"/>
        <v>#N/A</v>
      </c>
      <c r="AI208" s="658"/>
      <c r="AJ208" s="376"/>
      <c r="AK208" s="377"/>
      <c r="AL208" s="377"/>
      <c r="AM208" s="356" t="e">
        <f t="shared" si="80"/>
        <v>#N/A</v>
      </c>
      <c r="AN208" s="658"/>
      <c r="AO208" s="376"/>
      <c r="AP208" s="377"/>
      <c r="AQ208" s="377"/>
      <c r="AR208" s="356" t="e">
        <f t="shared" si="81"/>
        <v>#N/A</v>
      </c>
      <c r="AS208" s="658"/>
      <c r="AT208" s="376"/>
      <c r="AU208" s="377"/>
      <c r="AV208" s="377"/>
      <c r="AW208" s="356" t="e">
        <f t="shared" si="82"/>
        <v>#N/A</v>
      </c>
      <c r="AX208" s="658"/>
    </row>
    <row r="209" spans="2:50">
      <c r="B209" s="627"/>
      <c r="C209" s="356">
        <v>28</v>
      </c>
      <c r="D209" s="228"/>
      <c r="E209" s="183"/>
      <c r="F209" s="356"/>
      <c r="G209" s="359"/>
      <c r="H209" s="662"/>
      <c r="I209" s="200"/>
      <c r="J209" s="200"/>
      <c r="K209" s="201"/>
      <c r="L209" s="601"/>
      <c r="M209" s="200" t="e">
        <f>RANK(K209, K$147:$K$176)</f>
        <v>#DIV/0!</v>
      </c>
      <c r="N209" s="619"/>
      <c r="O209" s="619"/>
      <c r="P209" s="356"/>
      <c r="Q209" s="359"/>
      <c r="R209" s="359"/>
      <c r="S209" s="356" t="e">
        <f t="shared" si="76"/>
        <v>#N/A</v>
      </c>
      <c r="T209" s="658"/>
      <c r="U209" s="356"/>
      <c r="V209" s="359"/>
      <c r="W209" s="359"/>
      <c r="X209" s="356" t="e">
        <f t="shared" si="77"/>
        <v>#N/A</v>
      </c>
      <c r="Y209" s="658"/>
      <c r="Z209" s="356"/>
      <c r="AA209" s="359"/>
      <c r="AB209" s="359"/>
      <c r="AC209" s="356" t="e">
        <f t="shared" si="78"/>
        <v>#N/A</v>
      </c>
      <c r="AD209" s="658"/>
      <c r="AE209" s="356"/>
      <c r="AF209" s="359"/>
      <c r="AG209" s="359"/>
      <c r="AH209" s="356" t="e">
        <f t="shared" si="79"/>
        <v>#N/A</v>
      </c>
      <c r="AI209" s="658"/>
      <c r="AJ209" s="356"/>
      <c r="AK209" s="359"/>
      <c r="AL209" s="359"/>
      <c r="AM209" s="356" t="e">
        <f t="shared" si="80"/>
        <v>#N/A</v>
      </c>
      <c r="AN209" s="658"/>
      <c r="AO209" s="356"/>
      <c r="AP209" s="356"/>
      <c r="AQ209" s="356"/>
      <c r="AR209" s="356" t="e">
        <f t="shared" si="81"/>
        <v>#N/A</v>
      </c>
      <c r="AS209" s="658"/>
      <c r="AT209" s="356"/>
      <c r="AU209" s="359"/>
      <c r="AV209" s="359"/>
      <c r="AW209" s="356" t="e">
        <f t="shared" si="82"/>
        <v>#N/A</v>
      </c>
      <c r="AX209" s="658"/>
    </row>
    <row r="210" spans="2:50">
      <c r="B210" s="627"/>
      <c r="C210" s="356">
        <v>29</v>
      </c>
      <c r="D210" s="228"/>
      <c r="E210" s="183"/>
      <c r="F210" s="356"/>
      <c r="G210" s="359"/>
      <c r="H210" s="662"/>
      <c r="I210" s="203"/>
      <c r="J210" s="203"/>
      <c r="K210" s="203"/>
      <c r="L210" s="601"/>
      <c r="M210" s="200" t="e">
        <f>RANK(K210, K$147:$K$176)</f>
        <v>#DIV/0!</v>
      </c>
      <c r="N210" s="619"/>
      <c r="O210" s="619"/>
      <c r="P210" s="356"/>
      <c r="Q210" s="356"/>
      <c r="R210" s="356"/>
      <c r="S210" s="356" t="e">
        <f t="shared" si="76"/>
        <v>#N/A</v>
      </c>
      <c r="T210" s="658"/>
      <c r="U210" s="356"/>
      <c r="V210" s="356"/>
      <c r="W210" s="356"/>
      <c r="X210" s="356" t="e">
        <f t="shared" si="77"/>
        <v>#N/A</v>
      </c>
      <c r="Y210" s="658"/>
      <c r="Z210" s="356"/>
      <c r="AA210" s="356"/>
      <c r="AB210" s="356"/>
      <c r="AC210" s="356" t="e">
        <f t="shared" si="78"/>
        <v>#N/A</v>
      </c>
      <c r="AD210" s="658"/>
      <c r="AE210" s="356"/>
      <c r="AF210" s="356"/>
      <c r="AG210" s="356"/>
      <c r="AH210" s="356" t="e">
        <f t="shared" si="79"/>
        <v>#N/A</v>
      </c>
      <c r="AI210" s="658"/>
      <c r="AJ210" s="356"/>
      <c r="AK210" s="356"/>
      <c r="AL210" s="356"/>
      <c r="AM210" s="356" t="e">
        <f t="shared" si="80"/>
        <v>#N/A</v>
      </c>
      <c r="AN210" s="658"/>
      <c r="AO210" s="356"/>
      <c r="AP210" s="356"/>
      <c r="AQ210" s="356"/>
      <c r="AR210" s="356" t="e">
        <f t="shared" si="81"/>
        <v>#N/A</v>
      </c>
      <c r="AS210" s="658"/>
      <c r="AT210" s="356"/>
      <c r="AU210" s="356"/>
      <c r="AV210" s="356"/>
      <c r="AW210" s="356" t="e">
        <f t="shared" si="82"/>
        <v>#N/A</v>
      </c>
      <c r="AX210" s="658"/>
    </row>
    <row r="211" spans="2:50">
      <c r="B211" s="627"/>
      <c r="C211" s="356">
        <v>30</v>
      </c>
      <c r="D211" s="228"/>
      <c r="E211" s="183"/>
      <c r="F211" s="356"/>
      <c r="G211" s="359"/>
      <c r="H211" s="663"/>
      <c r="I211" s="203"/>
      <c r="J211" s="203"/>
      <c r="K211" s="203"/>
      <c r="L211" s="602"/>
      <c r="M211" s="200" t="e">
        <f>RANK(K211, K$147:$K$176)</f>
        <v>#DIV/0!</v>
      </c>
      <c r="N211" s="619"/>
      <c r="O211" s="619"/>
      <c r="P211" s="356"/>
      <c r="Q211" s="356"/>
      <c r="R211" s="356"/>
      <c r="S211" s="356" t="e">
        <f t="shared" si="76"/>
        <v>#N/A</v>
      </c>
      <c r="T211" s="658"/>
      <c r="U211" s="356"/>
      <c r="V211" s="356"/>
      <c r="W211" s="356"/>
      <c r="X211" s="356" t="e">
        <f t="shared" si="77"/>
        <v>#N/A</v>
      </c>
      <c r="Y211" s="658"/>
      <c r="Z211" s="356"/>
      <c r="AA211" s="356"/>
      <c r="AB211" s="356"/>
      <c r="AC211" s="356" t="e">
        <f t="shared" si="78"/>
        <v>#N/A</v>
      </c>
      <c r="AD211" s="658"/>
      <c r="AE211" s="356"/>
      <c r="AF211" s="356"/>
      <c r="AG211" s="356"/>
      <c r="AH211" s="356" t="e">
        <f t="shared" si="79"/>
        <v>#N/A</v>
      </c>
      <c r="AI211" s="658"/>
      <c r="AJ211" s="356"/>
      <c r="AK211" s="356"/>
      <c r="AL211" s="356"/>
      <c r="AM211" s="356" t="e">
        <f t="shared" si="80"/>
        <v>#N/A</v>
      </c>
      <c r="AN211" s="658"/>
      <c r="AO211" s="356"/>
      <c r="AP211" s="356"/>
      <c r="AQ211" s="356"/>
      <c r="AR211" s="356" t="e">
        <f t="shared" si="81"/>
        <v>#N/A</v>
      </c>
      <c r="AS211" s="658"/>
      <c r="AT211" s="356"/>
      <c r="AU211" s="356"/>
      <c r="AV211" s="356"/>
      <c r="AW211" s="356" t="e">
        <f t="shared" si="82"/>
        <v>#N/A</v>
      </c>
      <c r="AX211" s="658"/>
    </row>
    <row r="213" spans="2:50" ht="15.5">
      <c r="B213" s="652" t="s">
        <v>712</v>
      </c>
      <c r="C213" s="653"/>
      <c r="D213" s="653"/>
      <c r="E213" s="653"/>
      <c r="F213" s="653"/>
      <c r="G213" s="653"/>
      <c r="H213" s="654"/>
      <c r="I213" s="360"/>
      <c r="J213" s="360"/>
      <c r="K213" s="360"/>
      <c r="L213" s="360"/>
      <c r="M213" s="361"/>
    </row>
    <row r="214" spans="2:50" ht="15.5">
      <c r="B214" s="655"/>
      <c r="C214" s="655"/>
      <c r="D214" s="655"/>
      <c r="E214" s="655"/>
      <c r="F214" s="655"/>
      <c r="G214" s="655"/>
      <c r="H214" s="655"/>
      <c r="I214" s="362"/>
      <c r="J214" s="362"/>
      <c r="K214" s="362"/>
      <c r="L214" s="362"/>
      <c r="M214" s="363"/>
    </row>
    <row r="215" spans="2:50">
      <c r="B215" s="619" t="s">
        <v>713</v>
      </c>
      <c r="C215" s="619" t="s">
        <v>714</v>
      </c>
      <c r="D215" s="619"/>
      <c r="E215" s="619" t="s">
        <v>715</v>
      </c>
      <c r="F215" s="619"/>
      <c r="G215" s="619"/>
      <c r="H215" s="619" t="s">
        <v>716</v>
      </c>
      <c r="I215" s="656" t="s">
        <v>717</v>
      </c>
      <c r="J215" s="656"/>
      <c r="K215" s="656"/>
      <c r="L215" s="656" t="s">
        <v>716</v>
      </c>
      <c r="M215" s="656" t="s">
        <v>718</v>
      </c>
    </row>
    <row r="216" spans="2:50">
      <c r="B216" s="619"/>
      <c r="C216" s="619"/>
      <c r="D216" s="619"/>
      <c r="E216" s="619" t="s">
        <v>719</v>
      </c>
      <c r="F216" s="619"/>
      <c r="G216" s="619"/>
      <c r="H216" s="619"/>
      <c r="I216" s="656" t="s">
        <v>719</v>
      </c>
      <c r="J216" s="656"/>
      <c r="K216" s="656"/>
      <c r="L216" s="656"/>
      <c r="M216" s="656"/>
    </row>
    <row r="217" spans="2:50">
      <c r="B217" s="619"/>
      <c r="C217" s="619"/>
      <c r="D217" s="619"/>
      <c r="E217" s="357" t="s">
        <v>720</v>
      </c>
      <c r="F217" s="357" t="s">
        <v>721</v>
      </c>
      <c r="G217" s="357" t="s">
        <v>722</v>
      </c>
      <c r="H217" s="619"/>
      <c r="I217" s="364" t="s">
        <v>720</v>
      </c>
      <c r="J217" s="364" t="s">
        <v>721</v>
      </c>
      <c r="K217" s="364" t="s">
        <v>722</v>
      </c>
      <c r="L217" s="656"/>
      <c r="M217" s="656"/>
    </row>
    <row r="218" spans="2:50">
      <c r="B218" s="619" t="s">
        <v>727</v>
      </c>
      <c r="C218" s="356">
        <v>1</v>
      </c>
      <c r="D218" s="356"/>
      <c r="E218" s="183"/>
      <c r="F218" s="356"/>
      <c r="G218" s="359"/>
      <c r="H218" s="658" t="e">
        <f>AVERAGE(G218:G247)</f>
        <v>#DIV/0!</v>
      </c>
      <c r="I218" s="200" t="e">
        <f t="shared" ref="I218:J241" si="83">AVERAGEIF($D$7:$D$211,$D218,I$7:I$211)</f>
        <v>#DIV/0!</v>
      </c>
      <c r="J218" s="200" t="e">
        <f t="shared" si="83"/>
        <v>#DIV/0!</v>
      </c>
      <c r="K218" s="200" t="e">
        <f t="shared" ref="K218:K241" si="84">AVERAGEIF($D$7:$D$211,$D218,K$7:K$211)</f>
        <v>#DIV/0!</v>
      </c>
      <c r="L218" s="659" t="e">
        <f>AVERAGE(K218:K247)</f>
        <v>#DIV/0!</v>
      </c>
      <c r="M218" s="200" t="e">
        <f>RANK(K218, K$218:$K$247)</f>
        <v>#DIV/0!</v>
      </c>
    </row>
    <row r="219" spans="2:50">
      <c r="B219" s="627"/>
      <c r="C219" s="356">
        <v>2</v>
      </c>
      <c r="D219" s="356"/>
      <c r="E219" s="183"/>
      <c r="F219" s="356"/>
      <c r="G219" s="359"/>
      <c r="H219" s="658"/>
      <c r="I219" s="200" t="e">
        <f t="shared" si="83"/>
        <v>#DIV/0!</v>
      </c>
      <c r="J219" s="200" t="e">
        <f t="shared" si="83"/>
        <v>#DIV/0!</v>
      </c>
      <c r="K219" s="200" t="e">
        <f t="shared" si="84"/>
        <v>#DIV/0!</v>
      </c>
      <c r="L219" s="659"/>
      <c r="M219" s="200" t="e">
        <f>RANK(K219, K$218:$K$247)</f>
        <v>#DIV/0!</v>
      </c>
    </row>
    <row r="220" spans="2:50">
      <c r="B220" s="627"/>
      <c r="C220" s="356">
        <v>3</v>
      </c>
      <c r="D220" s="356"/>
      <c r="E220" s="183"/>
      <c r="F220" s="356"/>
      <c r="G220" s="359"/>
      <c r="H220" s="658"/>
      <c r="I220" s="200" t="e">
        <f t="shared" si="83"/>
        <v>#DIV/0!</v>
      </c>
      <c r="J220" s="200" t="e">
        <f t="shared" si="83"/>
        <v>#DIV/0!</v>
      </c>
      <c r="K220" s="200" t="e">
        <f t="shared" si="84"/>
        <v>#DIV/0!</v>
      </c>
      <c r="L220" s="659"/>
      <c r="M220" s="200" t="e">
        <f>RANK(K220, K$218:$K$247)</f>
        <v>#DIV/0!</v>
      </c>
    </row>
    <row r="221" spans="2:50">
      <c r="B221" s="627"/>
      <c r="C221" s="356">
        <v>4</v>
      </c>
      <c r="D221" s="356"/>
      <c r="E221" s="183"/>
      <c r="F221" s="356"/>
      <c r="G221" s="359"/>
      <c r="H221" s="658"/>
      <c r="I221" s="200" t="e">
        <f t="shared" si="83"/>
        <v>#DIV/0!</v>
      </c>
      <c r="J221" s="200" t="e">
        <f t="shared" si="83"/>
        <v>#DIV/0!</v>
      </c>
      <c r="K221" s="200" t="e">
        <f t="shared" si="84"/>
        <v>#DIV/0!</v>
      </c>
      <c r="L221" s="659"/>
      <c r="M221" s="200" t="e">
        <f>RANK(K221, K$218:$K$247)</f>
        <v>#DIV/0!</v>
      </c>
    </row>
    <row r="222" spans="2:50">
      <c r="B222" s="627"/>
      <c r="C222" s="356">
        <v>5</v>
      </c>
      <c r="D222" s="356"/>
      <c r="E222" s="183"/>
      <c r="F222" s="356"/>
      <c r="G222" s="359"/>
      <c r="H222" s="658"/>
      <c r="I222" s="200" t="e">
        <f t="shared" si="83"/>
        <v>#DIV/0!</v>
      </c>
      <c r="J222" s="200" t="e">
        <f t="shared" si="83"/>
        <v>#DIV/0!</v>
      </c>
      <c r="K222" s="200" t="e">
        <f t="shared" si="84"/>
        <v>#DIV/0!</v>
      </c>
      <c r="L222" s="659"/>
      <c r="M222" s="200" t="e">
        <f>RANK(K222, K$218:$K$247)</f>
        <v>#DIV/0!</v>
      </c>
    </row>
    <row r="223" spans="2:50">
      <c r="B223" s="627"/>
      <c r="C223" s="356">
        <v>6</v>
      </c>
      <c r="D223" s="356"/>
      <c r="E223" s="183"/>
      <c r="F223" s="356"/>
      <c r="G223" s="359"/>
      <c r="H223" s="658"/>
      <c r="I223" s="200" t="e">
        <f t="shared" si="83"/>
        <v>#DIV/0!</v>
      </c>
      <c r="J223" s="200" t="e">
        <f t="shared" si="83"/>
        <v>#DIV/0!</v>
      </c>
      <c r="K223" s="200" t="e">
        <f t="shared" si="84"/>
        <v>#DIV/0!</v>
      </c>
      <c r="L223" s="659"/>
      <c r="M223" s="200" t="e">
        <f>RANK(K223, K$218:$K$247)</f>
        <v>#DIV/0!</v>
      </c>
    </row>
    <row r="224" spans="2:50">
      <c r="B224" s="627"/>
      <c r="C224" s="356">
        <v>7</v>
      </c>
      <c r="D224" s="356"/>
      <c r="E224" s="183"/>
      <c r="F224" s="356"/>
      <c r="G224" s="359"/>
      <c r="H224" s="658"/>
      <c r="I224" s="200" t="e">
        <f t="shared" si="83"/>
        <v>#DIV/0!</v>
      </c>
      <c r="J224" s="200" t="e">
        <f t="shared" si="83"/>
        <v>#DIV/0!</v>
      </c>
      <c r="K224" s="200" t="e">
        <f t="shared" si="84"/>
        <v>#DIV/0!</v>
      </c>
      <c r="L224" s="659"/>
      <c r="M224" s="200" t="e">
        <f>RANK(K224, K$218:$K$247)</f>
        <v>#DIV/0!</v>
      </c>
    </row>
    <row r="225" spans="2:13">
      <c r="B225" s="627"/>
      <c r="C225" s="356">
        <v>8</v>
      </c>
      <c r="D225" s="356"/>
      <c r="E225" s="183"/>
      <c r="F225" s="356"/>
      <c r="G225" s="359"/>
      <c r="H225" s="658"/>
      <c r="I225" s="200" t="e">
        <f t="shared" si="83"/>
        <v>#DIV/0!</v>
      </c>
      <c r="J225" s="200" t="e">
        <f t="shared" si="83"/>
        <v>#DIV/0!</v>
      </c>
      <c r="K225" s="200" t="e">
        <f t="shared" si="84"/>
        <v>#DIV/0!</v>
      </c>
      <c r="L225" s="659"/>
      <c r="M225" s="200" t="e">
        <f>RANK(K225, K$218:$K$247)</f>
        <v>#DIV/0!</v>
      </c>
    </row>
    <row r="226" spans="2:13">
      <c r="B226" s="627"/>
      <c r="C226" s="356">
        <v>9</v>
      </c>
      <c r="D226" s="356"/>
      <c r="E226" s="183"/>
      <c r="F226" s="356"/>
      <c r="G226" s="359"/>
      <c r="H226" s="658"/>
      <c r="I226" s="200" t="e">
        <f t="shared" si="83"/>
        <v>#DIV/0!</v>
      </c>
      <c r="J226" s="200" t="e">
        <f t="shared" si="83"/>
        <v>#DIV/0!</v>
      </c>
      <c r="K226" s="200" t="e">
        <f t="shared" si="84"/>
        <v>#DIV/0!</v>
      </c>
      <c r="L226" s="659"/>
      <c r="M226" s="200" t="e">
        <f>RANK(K226, K$218:$K$247)</f>
        <v>#DIV/0!</v>
      </c>
    </row>
    <row r="227" spans="2:13">
      <c r="B227" s="627"/>
      <c r="C227" s="356">
        <v>10</v>
      </c>
      <c r="D227" s="356"/>
      <c r="E227" s="183"/>
      <c r="F227" s="356"/>
      <c r="G227" s="359"/>
      <c r="H227" s="658"/>
      <c r="I227" s="200" t="e">
        <f t="shared" si="83"/>
        <v>#DIV/0!</v>
      </c>
      <c r="J227" s="200" t="e">
        <f t="shared" si="83"/>
        <v>#DIV/0!</v>
      </c>
      <c r="K227" s="200" t="e">
        <f t="shared" si="84"/>
        <v>#DIV/0!</v>
      </c>
      <c r="L227" s="659"/>
      <c r="M227" s="200" t="e">
        <f>RANK(K227, K$218:$K$247)</f>
        <v>#DIV/0!</v>
      </c>
    </row>
    <row r="228" spans="2:13">
      <c r="B228" s="627"/>
      <c r="C228" s="356">
        <v>11</v>
      </c>
      <c r="D228" s="356"/>
      <c r="E228" s="183"/>
      <c r="F228" s="356"/>
      <c r="G228" s="359"/>
      <c r="H228" s="658"/>
      <c r="I228" s="200" t="e">
        <f t="shared" si="83"/>
        <v>#DIV/0!</v>
      </c>
      <c r="J228" s="200" t="e">
        <f t="shared" si="83"/>
        <v>#DIV/0!</v>
      </c>
      <c r="K228" s="200" t="e">
        <f t="shared" si="84"/>
        <v>#DIV/0!</v>
      </c>
      <c r="L228" s="659"/>
      <c r="M228" s="200" t="e">
        <f>RANK(K228, K$218:$K$247)</f>
        <v>#DIV/0!</v>
      </c>
    </row>
    <row r="229" spans="2:13">
      <c r="B229" s="627"/>
      <c r="C229" s="356">
        <v>12</v>
      </c>
      <c r="D229" s="356"/>
      <c r="E229" s="183"/>
      <c r="F229" s="356"/>
      <c r="G229" s="359"/>
      <c r="H229" s="658"/>
      <c r="I229" s="200" t="e">
        <f t="shared" si="83"/>
        <v>#DIV/0!</v>
      </c>
      <c r="J229" s="200" t="e">
        <f t="shared" si="83"/>
        <v>#DIV/0!</v>
      </c>
      <c r="K229" s="200" t="e">
        <f t="shared" si="84"/>
        <v>#DIV/0!</v>
      </c>
      <c r="L229" s="659"/>
      <c r="M229" s="200" t="e">
        <f>RANK(K229, K$218:$K$247)</f>
        <v>#DIV/0!</v>
      </c>
    </row>
    <row r="230" spans="2:13">
      <c r="B230" s="627"/>
      <c r="C230" s="356">
        <v>13</v>
      </c>
      <c r="D230" s="356"/>
      <c r="E230" s="183"/>
      <c r="F230" s="356"/>
      <c r="G230" s="359"/>
      <c r="H230" s="658"/>
      <c r="I230" s="200" t="e">
        <f t="shared" si="83"/>
        <v>#DIV/0!</v>
      </c>
      <c r="J230" s="200" t="e">
        <f t="shared" si="83"/>
        <v>#DIV/0!</v>
      </c>
      <c r="K230" s="200" t="e">
        <f t="shared" si="84"/>
        <v>#DIV/0!</v>
      </c>
      <c r="L230" s="659"/>
      <c r="M230" s="200" t="e">
        <f>RANK(K230, K$218:$K$247)</f>
        <v>#DIV/0!</v>
      </c>
    </row>
    <row r="231" spans="2:13">
      <c r="B231" s="627"/>
      <c r="C231" s="356">
        <v>14</v>
      </c>
      <c r="D231" s="356"/>
      <c r="E231" s="183"/>
      <c r="F231" s="356"/>
      <c r="G231" s="359"/>
      <c r="H231" s="658"/>
      <c r="I231" s="200" t="e">
        <f t="shared" si="83"/>
        <v>#DIV/0!</v>
      </c>
      <c r="J231" s="200" t="e">
        <f t="shared" si="83"/>
        <v>#DIV/0!</v>
      </c>
      <c r="K231" s="200" t="e">
        <f t="shared" si="84"/>
        <v>#DIV/0!</v>
      </c>
      <c r="L231" s="659"/>
      <c r="M231" s="200" t="e">
        <f>RANK(K231, K$218:$K$247)</f>
        <v>#DIV/0!</v>
      </c>
    </row>
    <row r="232" spans="2:13">
      <c r="B232" s="627"/>
      <c r="C232" s="356">
        <v>15</v>
      </c>
      <c r="D232" s="356"/>
      <c r="E232" s="183"/>
      <c r="F232" s="356"/>
      <c r="G232" s="359"/>
      <c r="H232" s="658"/>
      <c r="I232" s="200" t="e">
        <f t="shared" si="83"/>
        <v>#DIV/0!</v>
      </c>
      <c r="J232" s="200" t="e">
        <f t="shared" si="83"/>
        <v>#DIV/0!</v>
      </c>
      <c r="K232" s="200" t="e">
        <f t="shared" si="84"/>
        <v>#DIV/0!</v>
      </c>
      <c r="L232" s="659"/>
      <c r="M232" s="200" t="e">
        <f>RANK(K232, K$218:$K$247)</f>
        <v>#DIV/0!</v>
      </c>
    </row>
    <row r="233" spans="2:13">
      <c r="B233" s="627"/>
      <c r="C233" s="356">
        <v>16</v>
      </c>
      <c r="D233" s="356"/>
      <c r="E233" s="183"/>
      <c r="F233" s="356"/>
      <c r="G233" s="359"/>
      <c r="H233" s="658"/>
      <c r="I233" s="200" t="e">
        <f t="shared" si="83"/>
        <v>#DIV/0!</v>
      </c>
      <c r="J233" s="200" t="e">
        <f t="shared" si="83"/>
        <v>#DIV/0!</v>
      </c>
      <c r="K233" s="200" t="e">
        <f t="shared" si="84"/>
        <v>#DIV/0!</v>
      </c>
      <c r="L233" s="659"/>
      <c r="M233" s="200" t="e">
        <f>RANK(K233, K$218:$K$247)</f>
        <v>#DIV/0!</v>
      </c>
    </row>
    <row r="234" spans="2:13">
      <c r="B234" s="627"/>
      <c r="C234" s="356">
        <v>17</v>
      </c>
      <c r="D234" s="356"/>
      <c r="E234" s="183"/>
      <c r="F234" s="356"/>
      <c r="G234" s="359"/>
      <c r="H234" s="658"/>
      <c r="I234" s="200" t="e">
        <f t="shared" si="83"/>
        <v>#DIV/0!</v>
      </c>
      <c r="J234" s="200" t="e">
        <f t="shared" si="83"/>
        <v>#DIV/0!</v>
      </c>
      <c r="K234" s="200" t="e">
        <f t="shared" si="84"/>
        <v>#DIV/0!</v>
      </c>
      <c r="L234" s="659"/>
      <c r="M234" s="200" t="e">
        <f>RANK(K234, K$218:$K$247)</f>
        <v>#DIV/0!</v>
      </c>
    </row>
    <row r="235" spans="2:13">
      <c r="B235" s="627"/>
      <c r="C235" s="356">
        <v>18</v>
      </c>
      <c r="D235" s="356"/>
      <c r="E235" s="183"/>
      <c r="F235" s="356"/>
      <c r="G235" s="359"/>
      <c r="H235" s="658"/>
      <c r="I235" s="200" t="e">
        <f t="shared" si="83"/>
        <v>#DIV/0!</v>
      </c>
      <c r="J235" s="200" t="e">
        <f t="shared" si="83"/>
        <v>#DIV/0!</v>
      </c>
      <c r="K235" s="200" t="e">
        <f t="shared" si="84"/>
        <v>#DIV/0!</v>
      </c>
      <c r="L235" s="659"/>
      <c r="M235" s="200" t="e">
        <f>RANK(K235, K$218:$K$247)</f>
        <v>#DIV/0!</v>
      </c>
    </row>
    <row r="236" spans="2:13">
      <c r="B236" s="627"/>
      <c r="C236" s="356">
        <v>19</v>
      </c>
      <c r="D236" s="356"/>
      <c r="E236" s="183"/>
      <c r="F236" s="356"/>
      <c r="G236" s="359"/>
      <c r="H236" s="658"/>
      <c r="I236" s="200" t="e">
        <f t="shared" si="83"/>
        <v>#DIV/0!</v>
      </c>
      <c r="J236" s="200" t="e">
        <f t="shared" si="83"/>
        <v>#DIV/0!</v>
      </c>
      <c r="K236" s="200" t="e">
        <f t="shared" si="84"/>
        <v>#DIV/0!</v>
      </c>
      <c r="L236" s="659"/>
      <c r="M236" s="200" t="e">
        <f>RANK(K236, K$218:$K$247)</f>
        <v>#DIV/0!</v>
      </c>
    </row>
    <row r="237" spans="2:13">
      <c r="B237" s="627"/>
      <c r="C237" s="356">
        <v>20</v>
      </c>
      <c r="D237" s="356"/>
      <c r="E237" s="183"/>
      <c r="F237" s="356"/>
      <c r="G237" s="359"/>
      <c r="H237" s="658"/>
      <c r="I237" s="200" t="e">
        <f t="shared" si="83"/>
        <v>#DIV/0!</v>
      </c>
      <c r="J237" s="200" t="e">
        <f t="shared" si="83"/>
        <v>#DIV/0!</v>
      </c>
      <c r="K237" s="200" t="e">
        <f t="shared" si="84"/>
        <v>#DIV/0!</v>
      </c>
      <c r="L237" s="659"/>
      <c r="M237" s="200" t="e">
        <f>RANK(K237, K$218:$K$247)</f>
        <v>#DIV/0!</v>
      </c>
    </row>
    <row r="238" spans="2:13">
      <c r="B238" s="627"/>
      <c r="C238" s="356">
        <v>21</v>
      </c>
      <c r="D238" s="356"/>
      <c r="E238" s="183"/>
      <c r="F238" s="356"/>
      <c r="G238" s="359"/>
      <c r="H238" s="658"/>
      <c r="I238" s="200" t="e">
        <f t="shared" si="83"/>
        <v>#DIV/0!</v>
      </c>
      <c r="J238" s="200" t="e">
        <f t="shared" si="83"/>
        <v>#DIV/0!</v>
      </c>
      <c r="K238" s="200" t="e">
        <f t="shared" si="84"/>
        <v>#DIV/0!</v>
      </c>
      <c r="L238" s="659"/>
      <c r="M238" s="200" t="e">
        <f>RANK(K238, K$218:$K$247)</f>
        <v>#DIV/0!</v>
      </c>
    </row>
    <row r="239" spans="2:13">
      <c r="B239" s="627"/>
      <c r="C239" s="356">
        <v>22</v>
      </c>
      <c r="D239" s="356"/>
      <c r="E239" s="183"/>
      <c r="F239" s="356"/>
      <c r="G239" s="359"/>
      <c r="H239" s="658"/>
      <c r="I239" s="200" t="e">
        <f t="shared" si="83"/>
        <v>#DIV/0!</v>
      </c>
      <c r="J239" s="200" t="e">
        <f t="shared" si="83"/>
        <v>#DIV/0!</v>
      </c>
      <c r="K239" s="200" t="e">
        <f t="shared" si="84"/>
        <v>#DIV/0!</v>
      </c>
      <c r="L239" s="659"/>
      <c r="M239" s="200" t="e">
        <f>RANK(K239, K$218:$K$247)</f>
        <v>#DIV/0!</v>
      </c>
    </row>
    <row r="240" spans="2:13">
      <c r="B240" s="627"/>
      <c r="C240" s="356">
        <v>23</v>
      </c>
      <c r="D240" s="356"/>
      <c r="E240" s="183"/>
      <c r="F240" s="356"/>
      <c r="G240" s="359"/>
      <c r="H240" s="658"/>
      <c r="I240" s="200" t="e">
        <f t="shared" si="83"/>
        <v>#DIV/0!</v>
      </c>
      <c r="J240" s="200" t="e">
        <f t="shared" si="83"/>
        <v>#DIV/0!</v>
      </c>
      <c r="K240" s="200" t="e">
        <f t="shared" si="84"/>
        <v>#DIV/0!</v>
      </c>
      <c r="L240" s="659"/>
      <c r="M240" s="200" t="e">
        <f>RANK(K240, K$218:$K$247)</f>
        <v>#DIV/0!</v>
      </c>
    </row>
    <row r="241" spans="2:13">
      <c r="B241" s="627"/>
      <c r="C241" s="356">
        <v>24</v>
      </c>
      <c r="D241" s="356"/>
      <c r="E241" s="183"/>
      <c r="F241" s="356"/>
      <c r="G241" s="359"/>
      <c r="H241" s="658"/>
      <c r="I241" s="200" t="e">
        <f t="shared" si="83"/>
        <v>#DIV/0!</v>
      </c>
      <c r="J241" s="200" t="e">
        <f t="shared" si="83"/>
        <v>#DIV/0!</v>
      </c>
      <c r="K241" s="200" t="e">
        <f t="shared" si="84"/>
        <v>#DIV/0!</v>
      </c>
      <c r="L241" s="659"/>
      <c r="M241" s="200" t="e">
        <f>RANK(K241, K$218:$K$247)</f>
        <v>#DIV/0!</v>
      </c>
    </row>
    <row r="242" spans="2:13">
      <c r="B242" s="627"/>
      <c r="C242" s="356">
        <v>25</v>
      </c>
      <c r="D242" s="356"/>
      <c r="E242" s="183"/>
      <c r="F242" s="356"/>
      <c r="G242" s="359"/>
      <c r="H242" s="658"/>
      <c r="I242" s="200"/>
      <c r="J242" s="200"/>
      <c r="K242" s="200"/>
      <c r="L242" s="659"/>
      <c r="M242" s="200" t="e">
        <f>RANK(K242, K$218:$K$247)</f>
        <v>#DIV/0!</v>
      </c>
    </row>
    <row r="243" spans="2:13">
      <c r="B243" s="627"/>
      <c r="C243" s="356">
        <v>26</v>
      </c>
      <c r="D243" s="356"/>
      <c r="E243" s="183"/>
      <c r="F243" s="356"/>
      <c r="G243" s="359"/>
      <c r="H243" s="658"/>
      <c r="I243" s="200"/>
      <c r="J243" s="200"/>
      <c r="K243" s="200"/>
      <c r="L243" s="659"/>
      <c r="M243" s="200" t="e">
        <f>RANK(K243, K$218:$K$247)</f>
        <v>#DIV/0!</v>
      </c>
    </row>
    <row r="244" spans="2:13">
      <c r="B244" s="627"/>
      <c r="C244" s="356">
        <v>27</v>
      </c>
      <c r="D244" s="356"/>
      <c r="E244" s="183"/>
      <c r="F244" s="356"/>
      <c r="G244" s="359"/>
      <c r="H244" s="658"/>
      <c r="I244" s="200"/>
      <c r="J244" s="200"/>
      <c r="K244" s="200"/>
      <c r="L244" s="659"/>
      <c r="M244" s="200" t="e">
        <f>RANK(K244, K$218:$K$247)</f>
        <v>#DIV/0!</v>
      </c>
    </row>
    <row r="245" spans="2:13">
      <c r="B245" s="627"/>
      <c r="C245" s="356">
        <v>28</v>
      </c>
      <c r="D245" s="356"/>
      <c r="E245" s="183"/>
      <c r="F245" s="356"/>
      <c r="G245" s="359"/>
      <c r="H245" s="658"/>
      <c r="I245" s="200"/>
      <c r="J245" s="200"/>
      <c r="K245" s="200"/>
      <c r="L245" s="659"/>
      <c r="M245" s="200" t="e">
        <f>RANK(K245, K$218:$K$247)</f>
        <v>#DIV/0!</v>
      </c>
    </row>
    <row r="246" spans="2:13">
      <c r="B246" s="627"/>
      <c r="C246" s="356">
        <v>29</v>
      </c>
      <c r="D246" s="356"/>
      <c r="E246" s="183"/>
      <c r="F246" s="356"/>
      <c r="G246" s="359"/>
      <c r="H246" s="658"/>
      <c r="I246" s="200"/>
      <c r="J246" s="200"/>
      <c r="K246" s="200"/>
      <c r="L246" s="659"/>
      <c r="M246" s="200" t="e">
        <f>RANK(K246, K$218:$K$247)</f>
        <v>#DIV/0!</v>
      </c>
    </row>
    <row r="247" spans="2:13">
      <c r="B247" s="627"/>
      <c r="C247" s="356">
        <v>30</v>
      </c>
      <c r="D247" s="356"/>
      <c r="E247" s="183"/>
      <c r="F247" s="356"/>
      <c r="G247" s="359"/>
      <c r="H247" s="658"/>
      <c r="I247" s="200"/>
      <c r="J247" s="200"/>
      <c r="K247" s="200"/>
      <c r="L247" s="659"/>
      <c r="M247" s="200" t="e">
        <f>RANK(K247, K$218:$K$247)</f>
        <v>#DIV/0!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3" zoomScale="70" zoomScaleNormal="70" workbookViewId="0">
      <pane xSplit="15" topLeftCell="P1" activePane="topRight" state="frozen"/>
      <selection sqref="A1:L2"/>
      <selection pane="topRight" activeCell="P47" sqref="P47:R58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70.449700306542624</v>
      </c>
    </row>
    <row r="2" spans="1:54" ht="15.5">
      <c r="A2" s="81"/>
      <c r="B2" s="631" t="s">
        <v>163</v>
      </c>
      <c r="C2" s="631"/>
      <c r="D2" s="631"/>
      <c r="E2" s="631"/>
      <c r="F2" s="631"/>
      <c r="G2" s="631"/>
      <c r="H2" s="631"/>
      <c r="I2" s="318"/>
      <c r="J2" s="318"/>
      <c r="K2" s="318"/>
      <c r="L2" s="318"/>
      <c r="M2" s="198"/>
      <c r="N2" s="620" t="s">
        <v>156</v>
      </c>
      <c r="O2" s="620" t="s">
        <v>155</v>
      </c>
      <c r="P2" s="666"/>
      <c r="Q2" s="667"/>
      <c r="R2" s="667"/>
      <c r="S2" s="667"/>
      <c r="T2" s="668"/>
      <c r="U2" s="626"/>
      <c r="V2" s="627"/>
      <c r="W2" s="627"/>
      <c r="X2" s="627"/>
      <c r="Y2" s="627"/>
      <c r="Z2" s="626"/>
      <c r="AA2" s="627"/>
      <c r="AB2" s="627"/>
      <c r="AC2" s="627"/>
      <c r="AD2" s="627"/>
      <c r="AE2" s="626"/>
      <c r="AF2" s="627"/>
      <c r="AG2" s="627"/>
      <c r="AH2" s="627"/>
      <c r="AI2" s="627"/>
      <c r="AJ2" s="626"/>
      <c r="AK2" s="627"/>
      <c r="AL2" s="627"/>
      <c r="AM2" s="627"/>
      <c r="AN2" s="627"/>
      <c r="AO2" s="626"/>
      <c r="AP2" s="627"/>
      <c r="AQ2" s="627"/>
      <c r="AR2" s="627"/>
      <c r="AS2" s="627"/>
      <c r="AT2" s="626">
        <v>45992</v>
      </c>
      <c r="AU2" s="627"/>
      <c r="AV2" s="627"/>
      <c r="AW2" s="627"/>
      <c r="AX2" s="627"/>
    </row>
    <row r="3" spans="1:54" ht="15.5">
      <c r="A3" s="81"/>
      <c r="B3" s="651"/>
      <c r="C3" s="651"/>
      <c r="D3" s="651"/>
      <c r="E3" s="651"/>
      <c r="F3" s="651"/>
      <c r="G3" s="651"/>
      <c r="H3" s="651"/>
      <c r="I3" s="319"/>
      <c r="J3" s="319"/>
      <c r="K3" s="319"/>
      <c r="L3" s="319"/>
      <c r="M3" s="199"/>
      <c r="N3" s="622"/>
      <c r="O3" s="622"/>
      <c r="P3" s="623" t="s">
        <v>158</v>
      </c>
      <c r="Q3" s="624"/>
      <c r="R3" s="624"/>
      <c r="S3" s="624"/>
      <c r="T3" s="625"/>
      <c r="U3" s="623" t="s">
        <v>114</v>
      </c>
      <c r="V3" s="624"/>
      <c r="W3" s="624"/>
      <c r="X3" s="624"/>
      <c r="Y3" s="625"/>
      <c r="Z3" s="623" t="s">
        <v>159</v>
      </c>
      <c r="AA3" s="624"/>
      <c r="AB3" s="624"/>
      <c r="AC3" s="624"/>
      <c r="AD3" s="625"/>
      <c r="AE3" s="623" t="s">
        <v>157</v>
      </c>
      <c r="AF3" s="624"/>
      <c r="AG3" s="624"/>
      <c r="AH3" s="624"/>
      <c r="AI3" s="625"/>
      <c r="AJ3" s="623" t="s">
        <v>160</v>
      </c>
      <c r="AK3" s="624"/>
      <c r="AL3" s="624"/>
      <c r="AM3" s="624"/>
      <c r="AN3" s="625"/>
      <c r="AO3" s="623" t="s">
        <v>161</v>
      </c>
      <c r="AP3" s="624"/>
      <c r="AQ3" s="624"/>
      <c r="AR3" s="624"/>
      <c r="AS3" s="625"/>
      <c r="AT3" s="623" t="s">
        <v>162</v>
      </c>
      <c r="AU3" s="624"/>
      <c r="AV3" s="624"/>
      <c r="AW3" s="624"/>
      <c r="AX3" s="625"/>
    </row>
    <row r="4" spans="1:54">
      <c r="A4" s="81"/>
      <c r="B4" s="619" t="s">
        <v>484</v>
      </c>
      <c r="C4" s="619" t="s">
        <v>485</v>
      </c>
      <c r="D4" s="619"/>
      <c r="E4" s="619" t="s">
        <v>486</v>
      </c>
      <c r="F4" s="619"/>
      <c r="G4" s="619"/>
      <c r="H4" s="635" t="s">
        <v>487</v>
      </c>
      <c r="I4" s="603" t="s">
        <v>488</v>
      </c>
      <c r="J4" s="603"/>
      <c r="K4" s="603"/>
      <c r="L4" s="604" t="s">
        <v>487</v>
      </c>
      <c r="M4" s="610" t="s">
        <v>489</v>
      </c>
      <c r="N4" s="619"/>
      <c r="O4" s="619" t="s">
        <v>490</v>
      </c>
      <c r="P4" s="616" t="s">
        <v>491</v>
      </c>
      <c r="Q4" s="617"/>
      <c r="R4" s="617"/>
      <c r="S4" s="618"/>
      <c r="T4" s="619" t="s">
        <v>487</v>
      </c>
      <c r="U4" s="616" t="s">
        <v>491</v>
      </c>
      <c r="V4" s="617"/>
      <c r="W4" s="617"/>
      <c r="X4" s="618"/>
      <c r="Y4" s="619" t="s">
        <v>487</v>
      </c>
      <c r="Z4" s="616" t="s">
        <v>491</v>
      </c>
      <c r="AA4" s="617"/>
      <c r="AB4" s="617"/>
      <c r="AC4" s="618"/>
      <c r="AD4" s="619" t="s">
        <v>487</v>
      </c>
      <c r="AE4" s="616" t="s">
        <v>491</v>
      </c>
      <c r="AF4" s="617"/>
      <c r="AG4" s="617"/>
      <c r="AH4" s="618"/>
      <c r="AI4" s="619" t="s">
        <v>487</v>
      </c>
      <c r="AJ4" s="616" t="s">
        <v>491</v>
      </c>
      <c r="AK4" s="617"/>
      <c r="AL4" s="617"/>
      <c r="AM4" s="618"/>
      <c r="AN4" s="619" t="s">
        <v>487</v>
      </c>
      <c r="AO4" s="616" t="s">
        <v>491</v>
      </c>
      <c r="AP4" s="617"/>
      <c r="AQ4" s="617"/>
      <c r="AR4" s="618"/>
      <c r="AS4" s="619" t="s">
        <v>487</v>
      </c>
      <c r="AT4" s="616" t="s">
        <v>491</v>
      </c>
      <c r="AU4" s="617"/>
      <c r="AV4" s="617"/>
      <c r="AW4" s="618"/>
      <c r="AX4" s="619" t="s">
        <v>487</v>
      </c>
    </row>
    <row r="5" spans="1:54">
      <c r="A5" s="81"/>
      <c r="B5" s="619"/>
      <c r="C5" s="619"/>
      <c r="D5" s="619"/>
      <c r="E5" s="619" t="s">
        <v>492</v>
      </c>
      <c r="F5" s="619"/>
      <c r="G5" s="619"/>
      <c r="H5" s="636"/>
      <c r="I5" s="603" t="s">
        <v>492</v>
      </c>
      <c r="J5" s="603"/>
      <c r="K5" s="603"/>
      <c r="L5" s="605"/>
      <c r="M5" s="611"/>
      <c r="N5" s="619"/>
      <c r="O5" s="619"/>
      <c r="P5" s="616" t="s">
        <v>493</v>
      </c>
      <c r="Q5" s="617"/>
      <c r="R5" s="617"/>
      <c r="S5" s="618"/>
      <c r="T5" s="619"/>
      <c r="U5" s="616" t="s">
        <v>493</v>
      </c>
      <c r="V5" s="617"/>
      <c r="W5" s="617"/>
      <c r="X5" s="618"/>
      <c r="Y5" s="619"/>
      <c r="Z5" s="616" t="s">
        <v>493</v>
      </c>
      <c r="AA5" s="617"/>
      <c r="AB5" s="617"/>
      <c r="AC5" s="618"/>
      <c r="AD5" s="619"/>
      <c r="AE5" s="616" t="s">
        <v>493</v>
      </c>
      <c r="AF5" s="617"/>
      <c r="AG5" s="617"/>
      <c r="AH5" s="618"/>
      <c r="AI5" s="619"/>
      <c r="AJ5" s="616" t="s">
        <v>493</v>
      </c>
      <c r="AK5" s="617"/>
      <c r="AL5" s="617"/>
      <c r="AM5" s="618"/>
      <c r="AN5" s="619"/>
      <c r="AO5" s="616" t="s">
        <v>493</v>
      </c>
      <c r="AP5" s="617"/>
      <c r="AQ5" s="617"/>
      <c r="AR5" s="618"/>
      <c r="AS5" s="619"/>
      <c r="AT5" s="616" t="s">
        <v>493</v>
      </c>
      <c r="AU5" s="617"/>
      <c r="AV5" s="617"/>
      <c r="AW5" s="618"/>
      <c r="AX5" s="619"/>
    </row>
    <row r="6" spans="1:54">
      <c r="A6" s="79"/>
      <c r="B6" s="619"/>
      <c r="C6" s="619"/>
      <c r="D6" s="619"/>
      <c r="E6" s="473" t="s">
        <v>494</v>
      </c>
      <c r="F6" s="473" t="s">
        <v>495</v>
      </c>
      <c r="G6" s="473" t="s">
        <v>496</v>
      </c>
      <c r="H6" s="637"/>
      <c r="I6" s="474" t="s">
        <v>494</v>
      </c>
      <c r="J6" s="474" t="s">
        <v>495</v>
      </c>
      <c r="K6" s="474" t="s">
        <v>496</v>
      </c>
      <c r="L6" s="606"/>
      <c r="M6" s="612"/>
      <c r="N6" s="619"/>
      <c r="O6" s="619"/>
      <c r="P6" s="473" t="s">
        <v>494</v>
      </c>
      <c r="Q6" s="473" t="s">
        <v>495</v>
      </c>
      <c r="R6" s="473" t="s">
        <v>496</v>
      </c>
      <c r="S6" s="473" t="s">
        <v>489</v>
      </c>
      <c r="T6" s="619"/>
      <c r="U6" s="473" t="s">
        <v>494</v>
      </c>
      <c r="V6" s="473" t="s">
        <v>495</v>
      </c>
      <c r="W6" s="473" t="s">
        <v>496</v>
      </c>
      <c r="X6" s="473" t="s">
        <v>489</v>
      </c>
      <c r="Y6" s="619"/>
      <c r="Z6" s="473" t="s">
        <v>494</v>
      </c>
      <c r="AA6" s="473" t="s">
        <v>495</v>
      </c>
      <c r="AB6" s="473" t="s">
        <v>496</v>
      </c>
      <c r="AC6" s="473" t="s">
        <v>489</v>
      </c>
      <c r="AD6" s="619"/>
      <c r="AE6" s="473" t="s">
        <v>494</v>
      </c>
      <c r="AF6" s="473" t="s">
        <v>495</v>
      </c>
      <c r="AG6" s="473" t="s">
        <v>496</v>
      </c>
      <c r="AH6" s="473" t="s">
        <v>489</v>
      </c>
      <c r="AI6" s="619"/>
      <c r="AJ6" s="473" t="s">
        <v>494</v>
      </c>
      <c r="AK6" s="473" t="s">
        <v>495</v>
      </c>
      <c r="AL6" s="473" t="s">
        <v>496</v>
      </c>
      <c r="AM6" s="473" t="s">
        <v>489</v>
      </c>
      <c r="AN6" s="619"/>
      <c r="AO6" s="473" t="s">
        <v>494</v>
      </c>
      <c r="AP6" s="473" t="s">
        <v>495</v>
      </c>
      <c r="AQ6" s="473" t="s">
        <v>496</v>
      </c>
      <c r="AR6" s="473" t="s">
        <v>489</v>
      </c>
      <c r="AS6" s="619"/>
      <c r="AT6" s="473" t="s">
        <v>494</v>
      </c>
      <c r="AU6" s="473" t="s">
        <v>495</v>
      </c>
      <c r="AV6" s="473" t="s">
        <v>496</v>
      </c>
      <c r="AW6" s="473" t="s">
        <v>489</v>
      </c>
      <c r="AX6" s="619"/>
    </row>
    <row r="7" spans="1:54">
      <c r="A7" s="81"/>
      <c r="B7" s="619" t="s">
        <v>500</v>
      </c>
      <c r="C7" s="470">
        <v>1</v>
      </c>
      <c r="D7" s="228" t="s">
        <v>388</v>
      </c>
      <c r="E7" s="183">
        <v>18</v>
      </c>
      <c r="F7" s="520">
        <v>1440</v>
      </c>
      <c r="G7" s="521">
        <v>80</v>
      </c>
      <c r="H7" s="661">
        <f>AVERAGE(G7:G21)</f>
        <v>78.280890389781646</v>
      </c>
      <c r="I7" s="472">
        <f>AVERAGE(P7,U7,Z7,AE7,AJ7,AO7,AT7)</f>
        <v>18</v>
      </c>
      <c r="J7" s="472">
        <f>AVERAGE(Q7,V7,AA7,AF7,AK7,AP7,AU7)</f>
        <v>1217.7108433734941</v>
      </c>
      <c r="K7" s="201">
        <f>AVERAGE(R7,W7,AB7,AG7,AL7,AQ7,AV7)</f>
        <v>67.650602409638566</v>
      </c>
      <c r="L7" s="600">
        <f>IFERROR(AVERAGE(K7:K21),"-")</f>
        <v>68.869189108608907</v>
      </c>
      <c r="M7" s="475">
        <f>RANK(K7, $K$7:K$21)</f>
        <v>6</v>
      </c>
      <c r="N7" s="619"/>
      <c r="O7" s="619"/>
      <c r="P7" s="183"/>
      <c r="Q7" s="521"/>
      <c r="R7" s="521"/>
      <c r="S7" s="520" t="e">
        <f t="shared" ref="S7:S21" si="0">RANK(R7, R$7:R$21)</f>
        <v>#N/A</v>
      </c>
      <c r="T7" s="658" t="e">
        <f t="shared" ref="T7" si="1">AVERAGE(R7:R21)</f>
        <v>#DIV/0!</v>
      </c>
      <c r="U7" s="183"/>
      <c r="V7" s="521"/>
      <c r="W7" s="521"/>
      <c r="X7" s="520" t="e">
        <f t="shared" ref="X7" si="2">RANK(W7, W$7:W$21)</f>
        <v>#N/A</v>
      </c>
      <c r="Y7" s="658" t="e">
        <f t="shared" ref="Y7" si="3">AVERAGE(W7:W21)</f>
        <v>#DIV/0!</v>
      </c>
      <c r="Z7" s="183"/>
      <c r="AA7" s="521"/>
      <c r="AB7" s="521"/>
      <c r="AC7" s="520" t="e">
        <f t="shared" ref="AC7" si="4">RANK(AB7, AB$7:AB$21)</f>
        <v>#N/A</v>
      </c>
      <c r="AD7" s="658" t="e">
        <f t="shared" ref="AD7" si="5">AVERAGE(AB7:AB21)</f>
        <v>#DIV/0!</v>
      </c>
      <c r="AE7" s="183"/>
      <c r="AF7" s="521"/>
      <c r="AG7" s="521"/>
      <c r="AH7" s="520" t="e">
        <f t="shared" ref="AH7" si="6">RANK(AG7, AG$7:AG$21)</f>
        <v>#N/A</v>
      </c>
      <c r="AI7" s="658" t="e">
        <f t="shared" ref="AI7" si="7">AVERAGE(AG7:AG21)</f>
        <v>#DIV/0!</v>
      </c>
      <c r="AJ7" s="183"/>
      <c r="AK7" s="521"/>
      <c r="AL7" s="521"/>
      <c r="AM7" s="520" t="e">
        <f t="shared" ref="AM7" si="8">RANK(AL7, AL$7:AL$21)</f>
        <v>#N/A</v>
      </c>
      <c r="AN7" s="658" t="e">
        <f t="shared" ref="AN7" si="9">AVERAGE(AL7:AL21)</f>
        <v>#DIV/0!</v>
      </c>
      <c r="AO7" s="183"/>
      <c r="AP7" s="521"/>
      <c r="AQ7" s="521"/>
      <c r="AR7" s="520" t="e">
        <f t="shared" ref="AR7" si="10">RANK(AQ7, AQ$7:AQ$21)</f>
        <v>#N/A</v>
      </c>
      <c r="AS7" s="658" t="e">
        <f t="shared" ref="AS7" si="11">AVERAGE(AQ7:AQ21)</f>
        <v>#DIV/0!</v>
      </c>
      <c r="AT7" s="183">
        <v>18</v>
      </c>
      <c r="AU7" s="471">
        <v>1217.7108433734941</v>
      </c>
      <c r="AV7" s="471">
        <v>67.650602409638566</v>
      </c>
      <c r="AW7" s="470">
        <f>RANK(AV7, AV$7:AV$21)</f>
        <v>6</v>
      </c>
      <c r="AX7" s="658">
        <f>AVERAGE(AV7:AV21)</f>
        <v>68.869189108608907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7"/>
      <c r="C8" s="470">
        <v>2</v>
      </c>
      <c r="D8" s="228" t="s">
        <v>389</v>
      </c>
      <c r="E8" s="183">
        <v>18</v>
      </c>
      <c r="F8" s="520">
        <v>1440</v>
      </c>
      <c r="G8" s="521">
        <v>80</v>
      </c>
      <c r="H8" s="662"/>
      <c r="I8" s="472">
        <f t="shared" ref="I8:I17" si="12">AVERAGE(P8,U8,Z8,AE8,AJ8,AO8,AT8)</f>
        <v>18</v>
      </c>
      <c r="J8" s="472">
        <f t="shared" ref="J8:J17" si="13">AVERAGE(Q8,V8,AA8,AF8,AK8,AP8,AU8)</f>
        <v>1225.0909090909099</v>
      </c>
      <c r="K8" s="201">
        <f t="shared" ref="K8:K17" si="14">AVERAGE(R8,W8,AB8,AG8,AL8,AQ8,AV8)</f>
        <v>68.060606060606105</v>
      </c>
      <c r="L8" s="601"/>
      <c r="M8" s="475">
        <f>RANK(K8, $K$7:K$21)</f>
        <v>5</v>
      </c>
      <c r="N8" s="619"/>
      <c r="O8" s="619"/>
      <c r="P8" s="520"/>
      <c r="Q8" s="521"/>
      <c r="R8" s="521"/>
      <c r="S8" s="520" t="e">
        <f t="shared" si="0"/>
        <v>#N/A</v>
      </c>
      <c r="T8" s="658"/>
      <c r="U8" s="520"/>
      <c r="V8" s="521"/>
      <c r="W8" s="521"/>
      <c r="X8" s="520" t="e">
        <f t="shared" ref="X8" si="15">RANK(W8, W$7:W$21)</f>
        <v>#N/A</v>
      </c>
      <c r="Y8" s="658"/>
      <c r="Z8" s="520"/>
      <c r="AA8" s="521"/>
      <c r="AB8" s="521"/>
      <c r="AC8" s="520" t="e">
        <f t="shared" ref="AC8" si="16">RANK(AB8, AB$7:AB$21)</f>
        <v>#N/A</v>
      </c>
      <c r="AD8" s="658"/>
      <c r="AE8" s="520"/>
      <c r="AF8" s="521"/>
      <c r="AG8" s="521"/>
      <c r="AH8" s="520" t="e">
        <f t="shared" ref="AH8" si="17">RANK(AG8, AG$7:AG$21)</f>
        <v>#N/A</v>
      </c>
      <c r="AI8" s="658"/>
      <c r="AJ8" s="520"/>
      <c r="AK8" s="521"/>
      <c r="AL8" s="521"/>
      <c r="AM8" s="520" t="e">
        <f t="shared" ref="AM8" si="18">RANK(AL8, AL$7:AL$21)</f>
        <v>#N/A</v>
      </c>
      <c r="AN8" s="658"/>
      <c r="AO8" s="520"/>
      <c r="AP8" s="521"/>
      <c r="AQ8" s="521"/>
      <c r="AR8" s="520" t="e">
        <f t="shared" ref="AR8" si="19">RANK(AQ8, AQ$7:AQ$21)</f>
        <v>#N/A</v>
      </c>
      <c r="AS8" s="658"/>
      <c r="AT8" s="470">
        <v>18</v>
      </c>
      <c r="AU8" s="471">
        <v>1225.0909090909099</v>
      </c>
      <c r="AV8" s="471">
        <v>68.060606060606105</v>
      </c>
      <c r="AW8" s="470">
        <f t="shared" ref="AW8:AW21" si="20">RANK(AV8, AV$7:AV$21)</f>
        <v>5</v>
      </c>
      <c r="AX8" s="658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27"/>
      <c r="C9" s="470">
        <v>3</v>
      </c>
      <c r="D9" s="228" t="s">
        <v>391</v>
      </c>
      <c r="E9" s="183">
        <v>17</v>
      </c>
      <c r="F9" s="520">
        <v>1636</v>
      </c>
      <c r="G9" s="521">
        <v>96.235294117647058</v>
      </c>
      <c r="H9" s="662"/>
      <c r="I9" s="472">
        <f t="shared" si="12"/>
        <v>17</v>
      </c>
      <c r="J9" s="472">
        <f t="shared" si="13"/>
        <v>1344.000000000002</v>
      </c>
      <c r="K9" s="201">
        <f t="shared" si="14"/>
        <v>79.058823529411882</v>
      </c>
      <c r="L9" s="601"/>
      <c r="M9" s="475">
        <f>RANK(K9, $K$7:K$21)</f>
        <v>2</v>
      </c>
      <c r="N9" s="619"/>
      <c r="O9" s="619"/>
      <c r="P9" s="520"/>
      <c r="Q9" s="521"/>
      <c r="R9" s="521"/>
      <c r="S9" s="520" t="e">
        <f t="shared" si="0"/>
        <v>#N/A</v>
      </c>
      <c r="T9" s="658"/>
      <c r="U9" s="520"/>
      <c r="V9" s="521"/>
      <c r="W9" s="521"/>
      <c r="X9" s="520" t="e">
        <f t="shared" ref="X9" si="22">RANK(W9, W$7:W$21)</f>
        <v>#N/A</v>
      </c>
      <c r="Y9" s="658"/>
      <c r="Z9" s="520"/>
      <c r="AA9" s="521"/>
      <c r="AB9" s="521"/>
      <c r="AC9" s="520" t="e">
        <f t="shared" ref="AC9" si="23">RANK(AB9, AB$7:AB$21)</f>
        <v>#N/A</v>
      </c>
      <c r="AD9" s="658"/>
      <c r="AE9" s="520"/>
      <c r="AF9" s="521"/>
      <c r="AG9" s="521"/>
      <c r="AH9" s="520" t="e">
        <f t="shared" ref="AH9" si="24">RANK(AG9, AG$7:AG$21)</f>
        <v>#N/A</v>
      </c>
      <c r="AI9" s="658"/>
      <c r="AJ9" s="520"/>
      <c r="AK9" s="521"/>
      <c r="AL9" s="521"/>
      <c r="AM9" s="520" t="e">
        <f t="shared" ref="AM9" si="25">RANK(AL9, AL$7:AL$21)</f>
        <v>#N/A</v>
      </c>
      <c r="AN9" s="658"/>
      <c r="AO9" s="520"/>
      <c r="AP9" s="521"/>
      <c r="AQ9" s="521"/>
      <c r="AR9" s="520" t="e">
        <f t="shared" ref="AR9" si="26">RANK(AQ9, AQ$7:AQ$21)</f>
        <v>#N/A</v>
      </c>
      <c r="AS9" s="658"/>
      <c r="AT9" s="470">
        <v>17</v>
      </c>
      <c r="AU9" s="471">
        <v>1344.000000000002</v>
      </c>
      <c r="AV9" s="471">
        <v>79.058823529411882</v>
      </c>
      <c r="AW9" s="470">
        <f t="shared" si="20"/>
        <v>2</v>
      </c>
      <c r="AX9" s="658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27"/>
      <c r="C10" s="470">
        <v>4</v>
      </c>
      <c r="D10" s="228" t="s">
        <v>390</v>
      </c>
      <c r="E10" s="183">
        <v>18</v>
      </c>
      <c r="F10" s="520">
        <v>1440</v>
      </c>
      <c r="G10" s="521">
        <v>80</v>
      </c>
      <c r="H10" s="662"/>
      <c r="I10" s="472">
        <f t="shared" si="12"/>
        <v>18</v>
      </c>
      <c r="J10" s="472">
        <f t="shared" si="13"/>
        <v>1280.9032258064497</v>
      </c>
      <c r="K10" s="201">
        <f t="shared" si="14"/>
        <v>71.161290322580541</v>
      </c>
      <c r="L10" s="601"/>
      <c r="M10" s="475">
        <f>RANK(K10, $K$7:K$21)</f>
        <v>4</v>
      </c>
      <c r="N10" s="619"/>
      <c r="O10" s="619"/>
      <c r="P10" s="520"/>
      <c r="Q10" s="521"/>
      <c r="R10" s="521"/>
      <c r="S10" s="520" t="e">
        <f t="shared" si="0"/>
        <v>#N/A</v>
      </c>
      <c r="T10" s="658"/>
      <c r="U10" s="520"/>
      <c r="V10" s="521"/>
      <c r="W10" s="521"/>
      <c r="X10" s="520" t="e">
        <f t="shared" ref="X10" si="27">RANK(W10, W$7:W$21)</f>
        <v>#N/A</v>
      </c>
      <c r="Y10" s="658"/>
      <c r="Z10" s="520"/>
      <c r="AA10" s="521"/>
      <c r="AB10" s="521"/>
      <c r="AC10" s="520" t="e">
        <f t="shared" ref="AC10" si="28">RANK(AB10, AB$7:AB$21)</f>
        <v>#N/A</v>
      </c>
      <c r="AD10" s="658"/>
      <c r="AE10" s="520"/>
      <c r="AF10" s="521"/>
      <c r="AG10" s="521"/>
      <c r="AH10" s="520" t="e">
        <f t="shared" ref="AH10" si="29">RANK(AG10, AG$7:AG$21)</f>
        <v>#N/A</v>
      </c>
      <c r="AI10" s="658"/>
      <c r="AJ10" s="520"/>
      <c r="AK10" s="521"/>
      <c r="AL10" s="521"/>
      <c r="AM10" s="520" t="e">
        <f t="shared" ref="AM10" si="30">RANK(AL10, AL$7:AL$21)</f>
        <v>#N/A</v>
      </c>
      <c r="AN10" s="658"/>
      <c r="AO10" s="520"/>
      <c r="AP10" s="521"/>
      <c r="AQ10" s="521"/>
      <c r="AR10" s="520" t="e">
        <f t="shared" ref="AR10" si="31">RANK(AQ10, AQ$7:AQ$21)</f>
        <v>#N/A</v>
      </c>
      <c r="AS10" s="658"/>
      <c r="AT10" s="470">
        <v>18</v>
      </c>
      <c r="AU10" s="471">
        <v>1280.9032258064497</v>
      </c>
      <c r="AV10" s="471">
        <v>71.161290322580541</v>
      </c>
      <c r="AW10" s="470">
        <f t="shared" si="20"/>
        <v>4</v>
      </c>
      <c r="AX10" s="658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27"/>
      <c r="C11" s="470">
        <v>5</v>
      </c>
      <c r="D11" s="228" t="s">
        <v>392</v>
      </c>
      <c r="E11" s="183">
        <v>19</v>
      </c>
      <c r="F11" s="520">
        <v>1440</v>
      </c>
      <c r="G11" s="521">
        <v>75.78947368421052</v>
      </c>
      <c r="H11" s="662"/>
      <c r="I11" s="472">
        <f t="shared" si="12"/>
        <v>19</v>
      </c>
      <c r="J11" s="472">
        <f t="shared" si="13"/>
        <v>1252</v>
      </c>
      <c r="K11" s="201">
        <f t="shared" si="14"/>
        <v>65.89473684210526</v>
      </c>
      <c r="L11" s="601"/>
      <c r="M11" s="475">
        <f>RANK(K11, $K$7:K$21)</f>
        <v>7</v>
      </c>
      <c r="N11" s="619"/>
      <c r="O11" s="619"/>
      <c r="P11" s="520"/>
      <c r="Q11" s="521"/>
      <c r="R11" s="521"/>
      <c r="S11" s="520" t="e">
        <f t="shared" si="0"/>
        <v>#N/A</v>
      </c>
      <c r="T11" s="658"/>
      <c r="U11" s="520"/>
      <c r="V11" s="521"/>
      <c r="W11" s="521"/>
      <c r="X11" s="520" t="e">
        <f t="shared" ref="X11" si="32">RANK(W11, W$7:W$21)</f>
        <v>#N/A</v>
      </c>
      <c r="Y11" s="658"/>
      <c r="Z11" s="520"/>
      <c r="AA11" s="521"/>
      <c r="AB11" s="521"/>
      <c r="AC11" s="520" t="e">
        <f t="shared" ref="AC11" si="33">RANK(AB11, AB$7:AB$21)</f>
        <v>#N/A</v>
      </c>
      <c r="AD11" s="658"/>
      <c r="AE11" s="520"/>
      <c r="AF11" s="521"/>
      <c r="AG11" s="521"/>
      <c r="AH11" s="520" t="e">
        <f t="shared" ref="AH11" si="34">RANK(AG11, AG$7:AG$21)</f>
        <v>#N/A</v>
      </c>
      <c r="AI11" s="658"/>
      <c r="AJ11" s="520"/>
      <c r="AK11" s="521"/>
      <c r="AL11" s="521"/>
      <c r="AM11" s="520" t="e">
        <f t="shared" ref="AM11" si="35">RANK(AL11, AL$7:AL$21)</f>
        <v>#N/A</v>
      </c>
      <c r="AN11" s="658"/>
      <c r="AO11" s="520"/>
      <c r="AP11" s="521"/>
      <c r="AQ11" s="521"/>
      <c r="AR11" s="520" t="e">
        <f t="shared" ref="AR11" si="36">RANK(AQ11, AQ$7:AQ$21)</f>
        <v>#N/A</v>
      </c>
      <c r="AS11" s="658"/>
      <c r="AT11" s="470">
        <v>19</v>
      </c>
      <c r="AU11" s="471">
        <v>1252</v>
      </c>
      <c r="AV11" s="471">
        <v>65.89473684210526</v>
      </c>
      <c r="AW11" s="470">
        <f t="shared" si="20"/>
        <v>7</v>
      </c>
      <c r="AX11" s="658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27"/>
      <c r="C12" s="470">
        <v>6</v>
      </c>
      <c r="D12" s="228" t="s">
        <v>393</v>
      </c>
      <c r="E12" s="183">
        <v>21</v>
      </c>
      <c r="F12" s="520">
        <v>1385</v>
      </c>
      <c r="G12" s="521">
        <v>65.952380952380949</v>
      </c>
      <c r="H12" s="662"/>
      <c r="I12" s="472">
        <f t="shared" si="12"/>
        <v>20</v>
      </c>
      <c r="J12" s="472">
        <f t="shared" si="13"/>
        <v>1255.0909090909099</v>
      </c>
      <c r="K12" s="201">
        <f t="shared" si="14"/>
        <v>62.754545454545493</v>
      </c>
      <c r="L12" s="601"/>
      <c r="M12" s="475">
        <f>RANK(K12, $K$7:K$21)</f>
        <v>9</v>
      </c>
      <c r="N12" s="619"/>
      <c r="O12" s="619"/>
      <c r="P12" s="520"/>
      <c r="Q12" s="521"/>
      <c r="R12" s="521"/>
      <c r="S12" s="520" t="e">
        <f t="shared" si="0"/>
        <v>#N/A</v>
      </c>
      <c r="T12" s="658"/>
      <c r="U12" s="520"/>
      <c r="V12" s="521"/>
      <c r="W12" s="521"/>
      <c r="X12" s="520" t="e">
        <f t="shared" ref="X12" si="37">RANK(W12, W$7:W$21)</f>
        <v>#N/A</v>
      </c>
      <c r="Y12" s="658"/>
      <c r="Z12" s="520"/>
      <c r="AA12" s="521"/>
      <c r="AB12" s="521"/>
      <c r="AC12" s="520" t="e">
        <f t="shared" ref="AC12" si="38">RANK(AB12, AB$7:AB$21)</f>
        <v>#N/A</v>
      </c>
      <c r="AD12" s="658"/>
      <c r="AE12" s="520"/>
      <c r="AF12" s="521"/>
      <c r="AG12" s="521"/>
      <c r="AH12" s="520" t="e">
        <f t="shared" ref="AH12" si="39">RANK(AG12, AG$7:AG$21)</f>
        <v>#N/A</v>
      </c>
      <c r="AI12" s="658"/>
      <c r="AJ12" s="520"/>
      <c r="AK12" s="521"/>
      <c r="AL12" s="521"/>
      <c r="AM12" s="520" t="e">
        <f t="shared" ref="AM12" si="40">RANK(AL12, AL$7:AL$21)</f>
        <v>#N/A</v>
      </c>
      <c r="AN12" s="658"/>
      <c r="AO12" s="520"/>
      <c r="AP12" s="521"/>
      <c r="AQ12" s="521"/>
      <c r="AR12" s="520" t="e">
        <f t="shared" ref="AR12" si="41">RANK(AQ12, AQ$7:AQ$21)</f>
        <v>#N/A</v>
      </c>
      <c r="AS12" s="658"/>
      <c r="AT12" s="470">
        <v>20</v>
      </c>
      <c r="AU12" s="471">
        <v>1255.0909090909099</v>
      </c>
      <c r="AV12" s="471">
        <v>62.754545454545493</v>
      </c>
      <c r="AW12" s="470">
        <f t="shared" si="20"/>
        <v>9</v>
      </c>
      <c r="AX12" s="658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27"/>
      <c r="C13" s="470">
        <v>7</v>
      </c>
      <c r="D13" s="228" t="s">
        <v>394</v>
      </c>
      <c r="E13" s="183">
        <v>20</v>
      </c>
      <c r="F13" s="520">
        <v>1440</v>
      </c>
      <c r="G13" s="521">
        <v>72</v>
      </c>
      <c r="H13" s="662"/>
      <c r="I13" s="472">
        <f t="shared" si="12"/>
        <v>20</v>
      </c>
      <c r="J13" s="472">
        <f t="shared" si="13"/>
        <v>1227.1428571428567</v>
      </c>
      <c r="K13" s="201">
        <f t="shared" si="14"/>
        <v>61.357142857142833</v>
      </c>
      <c r="L13" s="601"/>
      <c r="M13" s="475">
        <f>RANK(K13, $K$7:K$21)</f>
        <v>10</v>
      </c>
      <c r="N13" s="619"/>
      <c r="O13" s="619"/>
      <c r="P13" s="520"/>
      <c r="Q13" s="521"/>
      <c r="R13" s="521"/>
      <c r="S13" s="520" t="e">
        <f t="shared" si="0"/>
        <v>#N/A</v>
      </c>
      <c r="T13" s="658"/>
      <c r="U13" s="520"/>
      <c r="V13" s="521"/>
      <c r="W13" s="521"/>
      <c r="X13" s="520" t="e">
        <f t="shared" ref="X13" si="42">RANK(W13, W$7:W$21)</f>
        <v>#N/A</v>
      </c>
      <c r="Y13" s="658"/>
      <c r="Z13" s="520"/>
      <c r="AA13" s="521"/>
      <c r="AB13" s="521"/>
      <c r="AC13" s="520" t="e">
        <f t="shared" ref="AC13" si="43">RANK(AB13, AB$7:AB$21)</f>
        <v>#N/A</v>
      </c>
      <c r="AD13" s="658"/>
      <c r="AE13" s="520"/>
      <c r="AF13" s="521"/>
      <c r="AG13" s="521"/>
      <c r="AH13" s="520" t="e">
        <f t="shared" ref="AH13" si="44">RANK(AG13, AG$7:AG$21)</f>
        <v>#N/A</v>
      </c>
      <c r="AI13" s="658"/>
      <c r="AJ13" s="520"/>
      <c r="AK13" s="521"/>
      <c r="AL13" s="521"/>
      <c r="AM13" s="520" t="e">
        <f t="shared" ref="AM13" si="45">RANK(AL13, AL$7:AL$21)</f>
        <v>#N/A</v>
      </c>
      <c r="AN13" s="658"/>
      <c r="AO13" s="520"/>
      <c r="AP13" s="521"/>
      <c r="AQ13" s="521"/>
      <c r="AR13" s="520" t="e">
        <f t="shared" ref="AR13" si="46">RANK(AQ13, AQ$7:AQ$21)</f>
        <v>#N/A</v>
      </c>
      <c r="AS13" s="658"/>
      <c r="AT13" s="470">
        <v>20</v>
      </c>
      <c r="AU13" s="471">
        <v>1227.1428571428567</v>
      </c>
      <c r="AV13" s="471">
        <v>61.357142857142833</v>
      </c>
      <c r="AW13" s="470">
        <f t="shared" si="20"/>
        <v>10</v>
      </c>
      <c r="AX13" s="658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27"/>
      <c r="C14" s="470">
        <v>8</v>
      </c>
      <c r="D14" s="228" t="s">
        <v>745</v>
      </c>
      <c r="E14" s="183">
        <v>18</v>
      </c>
      <c r="F14" s="520">
        <v>1385</v>
      </c>
      <c r="G14" s="521">
        <v>76.944444444444443</v>
      </c>
      <c r="H14" s="662"/>
      <c r="I14" s="472">
        <f t="shared" si="12"/>
        <v>18</v>
      </c>
      <c r="J14" s="472">
        <f t="shared" si="13"/>
        <v>1185.2727272727263</v>
      </c>
      <c r="K14" s="201">
        <f t="shared" si="14"/>
        <v>65.848484848484802</v>
      </c>
      <c r="L14" s="601"/>
      <c r="M14" s="475">
        <f>RANK(K14, $K$7:K$21)</f>
        <v>8</v>
      </c>
      <c r="N14" s="619"/>
      <c r="O14" s="619"/>
      <c r="P14" s="520"/>
      <c r="Q14" s="521"/>
      <c r="R14" s="521"/>
      <c r="S14" s="520" t="e">
        <f t="shared" si="0"/>
        <v>#N/A</v>
      </c>
      <c r="T14" s="658"/>
      <c r="U14" s="520"/>
      <c r="V14" s="521"/>
      <c r="W14" s="521"/>
      <c r="X14" s="520" t="e">
        <f t="shared" ref="X14" si="47">RANK(W14, W$7:W$21)</f>
        <v>#N/A</v>
      </c>
      <c r="Y14" s="658"/>
      <c r="Z14" s="520"/>
      <c r="AA14" s="521"/>
      <c r="AB14" s="521"/>
      <c r="AC14" s="520" t="e">
        <f t="shared" ref="AC14" si="48">RANK(AB14, AB$7:AB$21)</f>
        <v>#N/A</v>
      </c>
      <c r="AD14" s="658"/>
      <c r="AE14" s="520"/>
      <c r="AF14" s="521"/>
      <c r="AG14" s="521"/>
      <c r="AH14" s="520" t="e">
        <f t="shared" ref="AH14" si="49">RANK(AG14, AG$7:AG$21)</f>
        <v>#N/A</v>
      </c>
      <c r="AI14" s="658"/>
      <c r="AJ14" s="520"/>
      <c r="AK14" s="521"/>
      <c r="AL14" s="521"/>
      <c r="AM14" s="520" t="e">
        <f t="shared" ref="AM14" si="50">RANK(AL14, AL$7:AL$21)</f>
        <v>#N/A</v>
      </c>
      <c r="AN14" s="658"/>
      <c r="AO14" s="520"/>
      <c r="AP14" s="521"/>
      <c r="AQ14" s="521"/>
      <c r="AR14" s="520" t="e">
        <f t="shared" ref="AR14" si="51">RANK(AQ14, AQ$7:AQ$21)</f>
        <v>#N/A</v>
      </c>
      <c r="AS14" s="658"/>
      <c r="AT14" s="470">
        <v>18</v>
      </c>
      <c r="AU14" s="471">
        <v>1185.2727272727263</v>
      </c>
      <c r="AV14" s="471">
        <v>65.848484848484802</v>
      </c>
      <c r="AW14" s="470">
        <f t="shared" si="20"/>
        <v>8</v>
      </c>
      <c r="AX14" s="658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27"/>
      <c r="C15" s="470">
        <v>9</v>
      </c>
      <c r="D15" s="228" t="s">
        <v>748</v>
      </c>
      <c r="E15" s="183">
        <v>21</v>
      </c>
      <c r="F15" s="520">
        <v>1385</v>
      </c>
      <c r="G15" s="521">
        <v>65.952380952380949</v>
      </c>
      <c r="H15" s="662"/>
      <c r="I15" s="472">
        <f t="shared" si="12"/>
        <v>20</v>
      </c>
      <c r="J15" s="472">
        <f t="shared" si="13"/>
        <v>1207.0588235294133</v>
      </c>
      <c r="K15" s="201">
        <f t="shared" si="14"/>
        <v>60.352941176470665</v>
      </c>
      <c r="L15" s="601"/>
      <c r="M15" s="475">
        <f>RANK(K15, $K$7:K$21)</f>
        <v>11</v>
      </c>
      <c r="N15" s="619"/>
      <c r="O15" s="619"/>
      <c r="P15" s="520"/>
      <c r="Q15" s="521"/>
      <c r="R15" s="521"/>
      <c r="S15" s="520" t="e">
        <f t="shared" si="0"/>
        <v>#N/A</v>
      </c>
      <c r="T15" s="658"/>
      <c r="U15" s="520"/>
      <c r="V15" s="521"/>
      <c r="W15" s="521"/>
      <c r="X15" s="520" t="e">
        <f t="shared" ref="X15" si="52">RANK(W15, W$7:W$21)</f>
        <v>#N/A</v>
      </c>
      <c r="Y15" s="658"/>
      <c r="Z15" s="520"/>
      <c r="AA15" s="521"/>
      <c r="AB15" s="521"/>
      <c r="AC15" s="520" t="e">
        <f t="shared" ref="AC15" si="53">RANK(AB15, AB$7:AB$21)</f>
        <v>#N/A</v>
      </c>
      <c r="AD15" s="658"/>
      <c r="AE15" s="520"/>
      <c r="AF15" s="521"/>
      <c r="AG15" s="521"/>
      <c r="AH15" s="520" t="e">
        <f t="shared" ref="AH15" si="54">RANK(AG15, AG$7:AG$21)</f>
        <v>#N/A</v>
      </c>
      <c r="AI15" s="658"/>
      <c r="AJ15" s="520"/>
      <c r="AK15" s="521"/>
      <c r="AL15" s="521"/>
      <c r="AM15" s="520" t="e">
        <f t="shared" ref="AM15" si="55">RANK(AL15, AL$7:AL$21)</f>
        <v>#N/A</v>
      </c>
      <c r="AN15" s="658"/>
      <c r="AO15" s="520"/>
      <c r="AP15" s="521"/>
      <c r="AQ15" s="521"/>
      <c r="AR15" s="520" t="e">
        <f t="shared" ref="AR15" si="56">RANK(AQ15, AQ$7:AQ$21)</f>
        <v>#N/A</v>
      </c>
      <c r="AS15" s="658"/>
      <c r="AT15" s="470">
        <v>20</v>
      </c>
      <c r="AU15" s="471">
        <v>1207.0588235294133</v>
      </c>
      <c r="AV15" s="471">
        <v>60.352941176470665</v>
      </c>
      <c r="AW15" s="470">
        <f t="shared" si="20"/>
        <v>11</v>
      </c>
      <c r="AX15" s="658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27"/>
      <c r="C16" s="470">
        <v>10</v>
      </c>
      <c r="D16" s="228" t="s">
        <v>797</v>
      </c>
      <c r="E16" s="183">
        <v>16</v>
      </c>
      <c r="F16" s="520">
        <v>1565</v>
      </c>
      <c r="G16" s="521">
        <v>97.8125</v>
      </c>
      <c r="H16" s="662"/>
      <c r="I16" s="472">
        <f t="shared" si="12"/>
        <v>15</v>
      </c>
      <c r="J16" s="472">
        <f t="shared" si="13"/>
        <v>1214.9999999999995</v>
      </c>
      <c r="K16" s="201">
        <f t="shared" si="14"/>
        <v>80.999999999999972</v>
      </c>
      <c r="L16" s="601"/>
      <c r="M16" s="475">
        <f>RANK(K16, $K$7:K$21)</f>
        <v>1</v>
      </c>
      <c r="N16" s="619"/>
      <c r="O16" s="619"/>
      <c r="P16" s="520"/>
      <c r="Q16" s="521"/>
      <c r="R16" s="521"/>
      <c r="S16" s="520" t="e">
        <f t="shared" si="0"/>
        <v>#N/A</v>
      </c>
      <c r="T16" s="658"/>
      <c r="U16" s="520"/>
      <c r="V16" s="521"/>
      <c r="W16" s="521"/>
      <c r="X16" s="520" t="e">
        <f t="shared" ref="X16" si="57">RANK(W16, W$7:W$21)</f>
        <v>#N/A</v>
      </c>
      <c r="Y16" s="658"/>
      <c r="Z16" s="520"/>
      <c r="AA16" s="521"/>
      <c r="AB16" s="521"/>
      <c r="AC16" s="520" t="e">
        <f t="shared" ref="AC16" si="58">RANK(AB16, AB$7:AB$21)</f>
        <v>#N/A</v>
      </c>
      <c r="AD16" s="658"/>
      <c r="AE16" s="520"/>
      <c r="AF16" s="521"/>
      <c r="AG16" s="521"/>
      <c r="AH16" s="520" t="e">
        <f t="shared" ref="AH16" si="59">RANK(AG16, AG$7:AG$21)</f>
        <v>#N/A</v>
      </c>
      <c r="AI16" s="658"/>
      <c r="AJ16" s="520"/>
      <c r="AK16" s="521"/>
      <c r="AL16" s="521"/>
      <c r="AM16" s="520" t="e">
        <f t="shared" ref="AM16" si="60">RANK(AL16, AL$7:AL$21)</f>
        <v>#N/A</v>
      </c>
      <c r="AN16" s="658"/>
      <c r="AO16" s="520"/>
      <c r="AP16" s="521"/>
      <c r="AQ16" s="521"/>
      <c r="AR16" s="520" t="e">
        <f t="shared" ref="AR16" si="61">RANK(AQ16, AQ$7:AQ$21)</f>
        <v>#N/A</v>
      </c>
      <c r="AS16" s="658"/>
      <c r="AT16" s="470">
        <v>15</v>
      </c>
      <c r="AU16" s="471">
        <v>1214.9999999999995</v>
      </c>
      <c r="AV16" s="471">
        <v>80.999999999999972</v>
      </c>
      <c r="AW16" s="470">
        <f t="shared" si="20"/>
        <v>1</v>
      </c>
      <c r="AX16" s="658"/>
      <c r="AZ16" s="379" t="e">
        <f>RANK(AX16, $K$7:AX$21)</f>
        <v>#N/A</v>
      </c>
      <c r="BB16" s="376" t="e">
        <f t="shared" si="21"/>
        <v>#N/A</v>
      </c>
    </row>
    <row r="17" spans="2:54">
      <c r="B17" s="627"/>
      <c r="C17" s="470">
        <v>11</v>
      </c>
      <c r="D17" s="228" t="s">
        <v>837</v>
      </c>
      <c r="E17" s="183">
        <v>19</v>
      </c>
      <c r="F17" s="520">
        <v>1440</v>
      </c>
      <c r="G17" s="521">
        <v>75.78947368421052</v>
      </c>
      <c r="H17" s="662"/>
      <c r="I17" s="472">
        <f t="shared" si="12"/>
        <v>17</v>
      </c>
      <c r="J17" s="472">
        <f t="shared" si="13"/>
        <v>1265.1724137931028</v>
      </c>
      <c r="K17" s="201">
        <f t="shared" si="14"/>
        <v>74.421906693711932</v>
      </c>
      <c r="L17" s="601"/>
      <c r="M17" s="475">
        <f>RANK(K17, $K$7:K$21)</f>
        <v>3</v>
      </c>
      <c r="N17" s="619"/>
      <c r="O17" s="619"/>
      <c r="P17" s="520"/>
      <c r="Q17" s="521"/>
      <c r="R17" s="521"/>
      <c r="S17" s="520" t="e">
        <f t="shared" si="0"/>
        <v>#N/A</v>
      </c>
      <c r="T17" s="658"/>
      <c r="U17" s="520"/>
      <c r="V17" s="521"/>
      <c r="W17" s="521"/>
      <c r="X17" s="520" t="e">
        <f t="shared" ref="X17" si="62">RANK(W17, W$7:W$21)</f>
        <v>#N/A</v>
      </c>
      <c r="Y17" s="658"/>
      <c r="Z17" s="520"/>
      <c r="AA17" s="521"/>
      <c r="AB17" s="521"/>
      <c r="AC17" s="520" t="e">
        <f t="shared" ref="AC17" si="63">RANK(AB17, AB$7:AB$21)</f>
        <v>#N/A</v>
      </c>
      <c r="AD17" s="658"/>
      <c r="AE17" s="520"/>
      <c r="AF17" s="521"/>
      <c r="AG17" s="521"/>
      <c r="AH17" s="520" t="e">
        <f t="shared" ref="AH17" si="64">RANK(AG17, AG$7:AG$21)</f>
        <v>#N/A</v>
      </c>
      <c r="AI17" s="658"/>
      <c r="AJ17" s="520"/>
      <c r="AK17" s="521"/>
      <c r="AL17" s="521"/>
      <c r="AM17" s="520" t="e">
        <f t="shared" ref="AM17" si="65">RANK(AL17, AL$7:AL$21)</f>
        <v>#N/A</v>
      </c>
      <c r="AN17" s="658"/>
      <c r="AO17" s="520"/>
      <c r="AP17" s="521"/>
      <c r="AQ17" s="521"/>
      <c r="AR17" s="520" t="e">
        <f t="shared" ref="AR17" si="66">RANK(AQ17, AQ$7:AQ$21)</f>
        <v>#N/A</v>
      </c>
      <c r="AS17" s="658"/>
      <c r="AT17" s="470">
        <v>17</v>
      </c>
      <c r="AU17" s="471">
        <v>1265.1724137931028</v>
      </c>
      <c r="AV17" s="471">
        <v>74.421906693711932</v>
      </c>
      <c r="AW17" s="470">
        <f t="shared" si="20"/>
        <v>3</v>
      </c>
      <c r="AX17" s="658"/>
      <c r="AZ17" s="379" t="e">
        <f>RANK(AX17, $K$7:AX$21)</f>
        <v>#N/A</v>
      </c>
      <c r="BB17" s="376" t="e">
        <f t="shared" si="21"/>
        <v>#N/A</v>
      </c>
    </row>
    <row r="18" spans="2:54">
      <c r="B18" s="627"/>
      <c r="C18" s="470">
        <v>12</v>
      </c>
      <c r="D18" s="228" t="s">
        <v>877</v>
      </c>
      <c r="E18" s="183">
        <v>19</v>
      </c>
      <c r="F18" s="520">
        <v>1385</v>
      </c>
      <c r="G18" s="521">
        <v>72.89473684210526</v>
      </c>
      <c r="H18" s="662"/>
      <c r="I18" s="203"/>
      <c r="J18" s="203"/>
      <c r="K18" s="203"/>
      <c r="L18" s="601"/>
      <c r="M18" s="475" t="e">
        <f>RANK(K18, $K$7:K$21)</f>
        <v>#N/A</v>
      </c>
      <c r="N18" s="619"/>
      <c r="O18" s="619"/>
      <c r="P18" s="520"/>
      <c r="Q18" s="521"/>
      <c r="R18" s="521"/>
      <c r="S18" s="520" t="e">
        <f t="shared" si="0"/>
        <v>#N/A</v>
      </c>
      <c r="T18" s="658"/>
      <c r="U18" s="520"/>
      <c r="V18" s="521"/>
      <c r="W18" s="521"/>
      <c r="X18" s="520" t="e">
        <f t="shared" ref="X18" si="67">RANK(W18, W$7:W$21)</f>
        <v>#N/A</v>
      </c>
      <c r="Y18" s="658"/>
      <c r="Z18" s="520"/>
      <c r="AA18" s="521"/>
      <c r="AB18" s="521"/>
      <c r="AC18" s="520" t="e">
        <f t="shared" ref="AC18" si="68">RANK(AB18, AB$7:AB$21)</f>
        <v>#N/A</v>
      </c>
      <c r="AD18" s="658"/>
      <c r="AE18" s="520"/>
      <c r="AF18" s="521"/>
      <c r="AG18" s="521"/>
      <c r="AH18" s="520" t="e">
        <f t="shared" ref="AH18" si="69">RANK(AG18, AG$7:AG$21)</f>
        <v>#N/A</v>
      </c>
      <c r="AI18" s="658"/>
      <c r="AJ18" s="520"/>
      <c r="AK18" s="521"/>
      <c r="AL18" s="521"/>
      <c r="AM18" s="520" t="e">
        <f t="shared" ref="AM18" si="70">RANK(AL18, AL$7:AL$21)</f>
        <v>#N/A</v>
      </c>
      <c r="AN18" s="658"/>
      <c r="AO18" s="520"/>
      <c r="AP18" s="521"/>
      <c r="AQ18" s="521"/>
      <c r="AR18" s="520" t="e">
        <f t="shared" ref="AR18" si="71">RANK(AQ18, AQ$7:AQ$21)</f>
        <v>#N/A</v>
      </c>
      <c r="AS18" s="658"/>
      <c r="AT18" s="470"/>
      <c r="AU18" s="471"/>
      <c r="AV18" s="471"/>
      <c r="AW18" s="470" t="e">
        <f t="shared" si="20"/>
        <v>#N/A</v>
      </c>
      <c r="AX18" s="658"/>
      <c r="AZ18" s="379" t="e">
        <f>RANK(AX18, $K$7:AX$21)</f>
        <v>#N/A</v>
      </c>
      <c r="BB18" s="376" t="e">
        <f t="shared" si="21"/>
        <v>#N/A</v>
      </c>
    </row>
    <row r="19" spans="2:54">
      <c r="B19" s="627"/>
      <c r="C19" s="470">
        <v>13</v>
      </c>
      <c r="D19" s="228"/>
      <c r="E19" s="183"/>
      <c r="F19" s="520"/>
      <c r="G19" s="521"/>
      <c r="H19" s="662"/>
      <c r="I19" s="203"/>
      <c r="J19" s="203"/>
      <c r="K19" s="203"/>
      <c r="L19" s="601"/>
      <c r="M19" s="475" t="e">
        <f>RANK(K19, $K$7:K$21)</f>
        <v>#N/A</v>
      </c>
      <c r="N19" s="619"/>
      <c r="O19" s="619"/>
      <c r="P19" s="520"/>
      <c r="Q19" s="521"/>
      <c r="R19" s="521"/>
      <c r="S19" s="520" t="e">
        <f t="shared" si="0"/>
        <v>#N/A</v>
      </c>
      <c r="T19" s="658"/>
      <c r="U19" s="520"/>
      <c r="V19" s="521"/>
      <c r="W19" s="521"/>
      <c r="X19" s="520" t="e">
        <f t="shared" ref="X19" si="72">RANK(W19, W$7:W$21)</f>
        <v>#N/A</v>
      </c>
      <c r="Y19" s="658"/>
      <c r="Z19" s="520"/>
      <c r="AA19" s="521"/>
      <c r="AB19" s="521"/>
      <c r="AC19" s="520" t="e">
        <f t="shared" ref="AC19" si="73">RANK(AB19, AB$7:AB$21)</f>
        <v>#N/A</v>
      </c>
      <c r="AD19" s="658"/>
      <c r="AE19" s="520"/>
      <c r="AF19" s="521"/>
      <c r="AG19" s="521"/>
      <c r="AH19" s="520" t="e">
        <f t="shared" ref="AH19" si="74">RANK(AG19, AG$7:AG$21)</f>
        <v>#N/A</v>
      </c>
      <c r="AI19" s="658"/>
      <c r="AJ19" s="520"/>
      <c r="AK19" s="521"/>
      <c r="AL19" s="521"/>
      <c r="AM19" s="520" t="e">
        <f t="shared" ref="AM19" si="75">RANK(AL19, AL$7:AL$21)</f>
        <v>#N/A</v>
      </c>
      <c r="AN19" s="658"/>
      <c r="AO19" s="520"/>
      <c r="AP19" s="521"/>
      <c r="AQ19" s="521"/>
      <c r="AR19" s="520" t="e">
        <f t="shared" ref="AR19" si="76">RANK(AQ19, AQ$7:AQ$21)</f>
        <v>#N/A</v>
      </c>
      <c r="AS19" s="658"/>
      <c r="AT19" s="470"/>
      <c r="AU19" s="471"/>
      <c r="AV19" s="471"/>
      <c r="AW19" s="470" t="e">
        <f t="shared" si="20"/>
        <v>#N/A</v>
      </c>
      <c r="AX19" s="658"/>
      <c r="AZ19" s="379" t="e">
        <f>RANK(AX19, $K$7:AX$21)</f>
        <v>#N/A</v>
      </c>
      <c r="BB19" s="376" t="e">
        <f t="shared" si="21"/>
        <v>#N/A</v>
      </c>
    </row>
    <row r="20" spans="2:54">
      <c r="B20" s="627"/>
      <c r="C20" s="470">
        <v>14</v>
      </c>
      <c r="D20" s="228"/>
      <c r="E20" s="183"/>
      <c r="F20" s="520"/>
      <c r="G20" s="521"/>
      <c r="H20" s="662"/>
      <c r="I20" s="203"/>
      <c r="J20" s="203"/>
      <c r="K20" s="203"/>
      <c r="L20" s="601"/>
      <c r="M20" s="475" t="e">
        <f>RANK(K20, $K$7:K$21)</f>
        <v>#N/A</v>
      </c>
      <c r="N20" s="619"/>
      <c r="O20" s="619"/>
      <c r="P20" s="520"/>
      <c r="Q20" s="521"/>
      <c r="R20" s="521"/>
      <c r="S20" s="520" t="e">
        <f t="shared" si="0"/>
        <v>#N/A</v>
      </c>
      <c r="T20" s="658"/>
      <c r="U20" s="520"/>
      <c r="V20" s="521"/>
      <c r="W20" s="521"/>
      <c r="X20" s="520" t="e">
        <f t="shared" ref="X20" si="77">RANK(W20, W$7:W$21)</f>
        <v>#N/A</v>
      </c>
      <c r="Y20" s="658"/>
      <c r="Z20" s="520"/>
      <c r="AA20" s="521"/>
      <c r="AB20" s="521"/>
      <c r="AC20" s="520" t="e">
        <f t="shared" ref="AC20" si="78">RANK(AB20, AB$7:AB$21)</f>
        <v>#N/A</v>
      </c>
      <c r="AD20" s="658"/>
      <c r="AE20" s="520"/>
      <c r="AF20" s="521"/>
      <c r="AG20" s="521"/>
      <c r="AH20" s="520" t="e">
        <f t="shared" ref="AH20" si="79">RANK(AG20, AG$7:AG$21)</f>
        <v>#N/A</v>
      </c>
      <c r="AI20" s="658"/>
      <c r="AJ20" s="520"/>
      <c r="AK20" s="521"/>
      <c r="AL20" s="521"/>
      <c r="AM20" s="520" t="e">
        <f t="shared" ref="AM20" si="80">RANK(AL20, AL$7:AL$21)</f>
        <v>#N/A</v>
      </c>
      <c r="AN20" s="658"/>
      <c r="AO20" s="520"/>
      <c r="AP20" s="521"/>
      <c r="AQ20" s="521"/>
      <c r="AR20" s="520" t="e">
        <f t="shared" ref="AR20" si="81">RANK(AQ20, AQ$7:AQ$21)</f>
        <v>#N/A</v>
      </c>
      <c r="AS20" s="658"/>
      <c r="AT20" s="470"/>
      <c r="AU20" s="471"/>
      <c r="AV20" s="471"/>
      <c r="AW20" s="470" t="e">
        <f t="shared" si="20"/>
        <v>#N/A</v>
      </c>
      <c r="AX20" s="658"/>
      <c r="AZ20" s="379" t="e">
        <f>RANK(AX20, $K$7:AX$21)</f>
        <v>#N/A</v>
      </c>
      <c r="BB20" s="376" t="e">
        <f t="shared" si="21"/>
        <v>#N/A</v>
      </c>
    </row>
    <row r="21" spans="2:54">
      <c r="B21" s="627"/>
      <c r="C21" s="470">
        <v>15</v>
      </c>
      <c r="D21" s="228"/>
      <c r="E21" s="183"/>
      <c r="F21" s="520"/>
      <c r="G21" s="521"/>
      <c r="H21" s="663"/>
      <c r="I21" s="203"/>
      <c r="J21" s="203"/>
      <c r="K21" s="203"/>
      <c r="L21" s="602"/>
      <c r="M21" s="472" t="e">
        <f>RANK(K21, $K$7:K$21)</f>
        <v>#N/A</v>
      </c>
      <c r="N21" s="619"/>
      <c r="O21" s="619"/>
      <c r="P21" s="520"/>
      <c r="Q21" s="521"/>
      <c r="R21" s="521"/>
      <c r="S21" s="520" t="e">
        <f t="shared" si="0"/>
        <v>#N/A</v>
      </c>
      <c r="T21" s="658"/>
      <c r="U21" s="520"/>
      <c r="V21" s="521"/>
      <c r="W21" s="521"/>
      <c r="X21" s="520" t="e">
        <f t="shared" ref="X21" si="82">RANK(W21, W$7:W$21)</f>
        <v>#N/A</v>
      </c>
      <c r="Y21" s="658"/>
      <c r="Z21" s="520"/>
      <c r="AA21" s="521"/>
      <c r="AB21" s="521"/>
      <c r="AC21" s="520" t="e">
        <f t="shared" ref="AC21" si="83">RANK(AB21, AB$7:AB$21)</f>
        <v>#N/A</v>
      </c>
      <c r="AD21" s="658"/>
      <c r="AE21" s="520"/>
      <c r="AF21" s="521"/>
      <c r="AG21" s="521"/>
      <c r="AH21" s="520" t="e">
        <f t="shared" ref="AH21" si="84">RANK(AG21, AG$7:AG$21)</f>
        <v>#N/A</v>
      </c>
      <c r="AI21" s="658"/>
      <c r="AJ21" s="520"/>
      <c r="AK21" s="521"/>
      <c r="AL21" s="521"/>
      <c r="AM21" s="520" t="e">
        <f t="shared" ref="AM21" si="85">RANK(AL21, AL$7:AL$21)</f>
        <v>#N/A</v>
      </c>
      <c r="AN21" s="658"/>
      <c r="AO21" s="520"/>
      <c r="AP21" s="521"/>
      <c r="AQ21" s="521"/>
      <c r="AR21" s="520" t="e">
        <f t="shared" ref="AR21" si="86">RANK(AQ21, AQ$7:AQ$21)</f>
        <v>#N/A</v>
      </c>
      <c r="AS21" s="658"/>
      <c r="AT21" s="470"/>
      <c r="AU21" s="471"/>
      <c r="AV21" s="471"/>
      <c r="AW21" s="470" t="e">
        <f t="shared" si="20"/>
        <v>#N/A</v>
      </c>
      <c r="AX21" s="658"/>
      <c r="AZ21" s="378" t="e">
        <f>RANK(AX21, $K$7:AX$21)</f>
        <v>#N/A</v>
      </c>
      <c r="BB21" s="376" t="e">
        <f t="shared" si="21"/>
        <v>#N/A</v>
      </c>
    </row>
    <row r="22" spans="2:54" ht="15.5">
      <c r="B22" s="644" t="s">
        <v>163</v>
      </c>
      <c r="C22" s="645"/>
      <c r="D22" s="645"/>
      <c r="E22" s="645"/>
      <c r="F22" s="645"/>
      <c r="G22" s="645"/>
      <c r="H22" s="645"/>
      <c r="I22" s="204"/>
      <c r="J22" s="204"/>
      <c r="K22" s="204"/>
      <c r="L22" s="204"/>
      <c r="M22" s="205"/>
      <c r="N22" s="620" t="s">
        <v>156</v>
      </c>
      <c r="O22" s="620" t="s">
        <v>105</v>
      </c>
      <c r="P22" s="626">
        <v>45993</v>
      </c>
      <c r="Q22" s="627"/>
      <c r="R22" s="627"/>
      <c r="S22" s="627"/>
      <c r="T22" s="627"/>
      <c r="U22" s="626">
        <f>P22+1</f>
        <v>45994</v>
      </c>
      <c r="V22" s="627"/>
      <c r="W22" s="627"/>
      <c r="X22" s="627"/>
      <c r="Y22" s="627"/>
      <c r="Z22" s="626">
        <f>U22+1</f>
        <v>45995</v>
      </c>
      <c r="AA22" s="627"/>
      <c r="AB22" s="627"/>
      <c r="AC22" s="627"/>
      <c r="AD22" s="627"/>
      <c r="AE22" s="626">
        <f>Z22+1</f>
        <v>45996</v>
      </c>
      <c r="AF22" s="627"/>
      <c r="AG22" s="627"/>
      <c r="AH22" s="627"/>
      <c r="AI22" s="627"/>
      <c r="AJ22" s="626">
        <f>AE22+1</f>
        <v>45997</v>
      </c>
      <c r="AK22" s="627"/>
      <c r="AL22" s="627"/>
      <c r="AM22" s="627"/>
      <c r="AN22" s="627"/>
      <c r="AO22" s="626">
        <f>AJ22+1</f>
        <v>45998</v>
      </c>
      <c r="AP22" s="627"/>
      <c r="AQ22" s="627"/>
      <c r="AR22" s="627"/>
      <c r="AS22" s="627"/>
      <c r="AT22" s="626">
        <f>AO22+1</f>
        <v>45999</v>
      </c>
      <c r="AU22" s="627"/>
      <c r="AV22" s="627"/>
      <c r="AW22" s="627"/>
      <c r="AX22" s="627"/>
    </row>
    <row r="23" spans="2:54" ht="15.5">
      <c r="B23" s="634"/>
      <c r="C23" s="634"/>
      <c r="D23" s="634"/>
      <c r="E23" s="634"/>
      <c r="F23" s="634"/>
      <c r="G23" s="634"/>
      <c r="H23" s="634"/>
      <c r="I23" s="206"/>
      <c r="J23" s="206"/>
      <c r="K23" s="206"/>
      <c r="L23" s="206"/>
      <c r="M23" s="207"/>
      <c r="N23" s="622"/>
      <c r="O23" s="622"/>
      <c r="P23" s="626" t="s">
        <v>336</v>
      </c>
      <c r="Q23" s="627"/>
      <c r="R23" s="627"/>
      <c r="S23" s="627"/>
      <c r="T23" s="627"/>
      <c r="U23" s="626" t="s">
        <v>337</v>
      </c>
      <c r="V23" s="627"/>
      <c r="W23" s="627"/>
      <c r="X23" s="627"/>
      <c r="Y23" s="627"/>
      <c r="Z23" s="626" t="s">
        <v>338</v>
      </c>
      <c r="AA23" s="627"/>
      <c r="AB23" s="627"/>
      <c r="AC23" s="627"/>
      <c r="AD23" s="627"/>
      <c r="AE23" s="626" t="s">
        <v>339</v>
      </c>
      <c r="AF23" s="627"/>
      <c r="AG23" s="627"/>
      <c r="AH23" s="627"/>
      <c r="AI23" s="627"/>
      <c r="AJ23" s="626" t="s">
        <v>340</v>
      </c>
      <c r="AK23" s="627"/>
      <c r="AL23" s="627"/>
      <c r="AM23" s="627"/>
      <c r="AN23" s="627"/>
      <c r="AO23" s="626" t="s">
        <v>341</v>
      </c>
      <c r="AP23" s="627"/>
      <c r="AQ23" s="627"/>
      <c r="AR23" s="627"/>
      <c r="AS23" s="627"/>
      <c r="AT23" s="626" t="s">
        <v>342</v>
      </c>
      <c r="AU23" s="627"/>
      <c r="AV23" s="627"/>
      <c r="AW23" s="627"/>
      <c r="AX23" s="627"/>
    </row>
    <row r="24" spans="2:54">
      <c r="B24" s="619" t="s">
        <v>154</v>
      </c>
      <c r="C24" s="619" t="s">
        <v>453</v>
      </c>
      <c r="D24" s="619"/>
      <c r="E24" s="619" t="s">
        <v>561</v>
      </c>
      <c r="F24" s="619"/>
      <c r="G24" s="619"/>
      <c r="H24" s="635" t="s">
        <v>440</v>
      </c>
      <c r="I24" s="603" t="s">
        <v>562</v>
      </c>
      <c r="J24" s="603"/>
      <c r="K24" s="603"/>
      <c r="L24" s="604" t="s">
        <v>440</v>
      </c>
      <c r="M24" s="610" t="s">
        <v>441</v>
      </c>
      <c r="N24" s="619"/>
      <c r="O24" s="619" t="s">
        <v>563</v>
      </c>
      <c r="P24" s="616" t="s">
        <v>564</v>
      </c>
      <c r="Q24" s="617"/>
      <c r="R24" s="617"/>
      <c r="S24" s="618"/>
      <c r="T24" s="619" t="s">
        <v>565</v>
      </c>
      <c r="U24" s="616" t="s">
        <v>564</v>
      </c>
      <c r="V24" s="617"/>
      <c r="W24" s="617"/>
      <c r="X24" s="618"/>
      <c r="Y24" s="619" t="s">
        <v>565</v>
      </c>
      <c r="Z24" s="616" t="s">
        <v>564</v>
      </c>
      <c r="AA24" s="617"/>
      <c r="AB24" s="617"/>
      <c r="AC24" s="618"/>
      <c r="AD24" s="619" t="s">
        <v>566</v>
      </c>
      <c r="AE24" s="616" t="s">
        <v>564</v>
      </c>
      <c r="AF24" s="617"/>
      <c r="AG24" s="617"/>
      <c r="AH24" s="618"/>
      <c r="AI24" s="619" t="s">
        <v>566</v>
      </c>
      <c r="AJ24" s="616" t="s">
        <v>442</v>
      </c>
      <c r="AK24" s="617"/>
      <c r="AL24" s="617"/>
      <c r="AM24" s="618"/>
      <c r="AN24" s="619" t="s">
        <v>566</v>
      </c>
      <c r="AO24" s="616" t="s">
        <v>567</v>
      </c>
      <c r="AP24" s="617"/>
      <c r="AQ24" s="617"/>
      <c r="AR24" s="618"/>
      <c r="AS24" s="619" t="s">
        <v>566</v>
      </c>
      <c r="AT24" s="616" t="s">
        <v>567</v>
      </c>
      <c r="AU24" s="617"/>
      <c r="AV24" s="617"/>
      <c r="AW24" s="618"/>
      <c r="AX24" s="619" t="s">
        <v>440</v>
      </c>
    </row>
    <row r="25" spans="2:54">
      <c r="B25" s="619"/>
      <c r="C25" s="619"/>
      <c r="D25" s="619"/>
      <c r="E25" s="619" t="s">
        <v>568</v>
      </c>
      <c r="F25" s="619"/>
      <c r="G25" s="619"/>
      <c r="H25" s="636"/>
      <c r="I25" s="603" t="s">
        <v>569</v>
      </c>
      <c r="J25" s="603"/>
      <c r="K25" s="603"/>
      <c r="L25" s="605"/>
      <c r="M25" s="611"/>
      <c r="N25" s="619"/>
      <c r="O25" s="619"/>
      <c r="P25" s="616" t="s">
        <v>448</v>
      </c>
      <c r="Q25" s="617"/>
      <c r="R25" s="617"/>
      <c r="S25" s="618"/>
      <c r="T25" s="619"/>
      <c r="U25" s="616" t="s">
        <v>448</v>
      </c>
      <c r="V25" s="617"/>
      <c r="W25" s="617"/>
      <c r="X25" s="618"/>
      <c r="Y25" s="619"/>
      <c r="Z25" s="616" t="s">
        <v>570</v>
      </c>
      <c r="AA25" s="617"/>
      <c r="AB25" s="617"/>
      <c r="AC25" s="618"/>
      <c r="AD25" s="619"/>
      <c r="AE25" s="616" t="s">
        <v>570</v>
      </c>
      <c r="AF25" s="617"/>
      <c r="AG25" s="617"/>
      <c r="AH25" s="618"/>
      <c r="AI25" s="619"/>
      <c r="AJ25" s="616" t="s">
        <v>448</v>
      </c>
      <c r="AK25" s="617"/>
      <c r="AL25" s="617"/>
      <c r="AM25" s="618"/>
      <c r="AN25" s="619"/>
      <c r="AO25" s="616" t="s">
        <v>570</v>
      </c>
      <c r="AP25" s="617"/>
      <c r="AQ25" s="617"/>
      <c r="AR25" s="618"/>
      <c r="AS25" s="619"/>
      <c r="AT25" s="616" t="s">
        <v>571</v>
      </c>
      <c r="AU25" s="617"/>
      <c r="AV25" s="617"/>
      <c r="AW25" s="618"/>
      <c r="AX25" s="619"/>
    </row>
    <row r="26" spans="2:54">
      <c r="B26" s="619"/>
      <c r="C26" s="619"/>
      <c r="D26" s="619"/>
      <c r="E26" s="329" t="s">
        <v>449</v>
      </c>
      <c r="F26" s="329" t="s">
        <v>450</v>
      </c>
      <c r="G26" s="329" t="s">
        <v>451</v>
      </c>
      <c r="H26" s="637"/>
      <c r="I26" s="328" t="s">
        <v>572</v>
      </c>
      <c r="J26" s="328" t="s">
        <v>450</v>
      </c>
      <c r="K26" s="328" t="s">
        <v>573</v>
      </c>
      <c r="L26" s="606"/>
      <c r="M26" s="612"/>
      <c r="N26" s="619"/>
      <c r="O26" s="619"/>
      <c r="P26" s="329" t="s">
        <v>574</v>
      </c>
      <c r="Q26" s="329" t="s">
        <v>450</v>
      </c>
      <c r="R26" s="329" t="s">
        <v>575</v>
      </c>
      <c r="S26" s="329" t="s">
        <v>576</v>
      </c>
      <c r="T26" s="619"/>
      <c r="U26" s="329" t="s">
        <v>449</v>
      </c>
      <c r="V26" s="329" t="s">
        <v>450</v>
      </c>
      <c r="W26" s="329" t="s">
        <v>451</v>
      </c>
      <c r="X26" s="329" t="s">
        <v>441</v>
      </c>
      <c r="Y26" s="619"/>
      <c r="Z26" s="329" t="s">
        <v>449</v>
      </c>
      <c r="AA26" s="329" t="s">
        <v>577</v>
      </c>
      <c r="AB26" s="329" t="s">
        <v>451</v>
      </c>
      <c r="AC26" s="329" t="s">
        <v>578</v>
      </c>
      <c r="AD26" s="619"/>
      <c r="AE26" s="329" t="s">
        <v>449</v>
      </c>
      <c r="AF26" s="329" t="s">
        <v>450</v>
      </c>
      <c r="AG26" s="329" t="s">
        <v>451</v>
      </c>
      <c r="AH26" s="329" t="s">
        <v>441</v>
      </c>
      <c r="AI26" s="619"/>
      <c r="AJ26" s="329" t="s">
        <v>579</v>
      </c>
      <c r="AK26" s="329" t="s">
        <v>450</v>
      </c>
      <c r="AL26" s="329" t="s">
        <v>575</v>
      </c>
      <c r="AM26" s="329" t="s">
        <v>576</v>
      </c>
      <c r="AN26" s="619"/>
      <c r="AO26" s="329" t="s">
        <v>449</v>
      </c>
      <c r="AP26" s="329" t="s">
        <v>450</v>
      </c>
      <c r="AQ26" s="329" t="s">
        <v>451</v>
      </c>
      <c r="AR26" s="329" t="s">
        <v>441</v>
      </c>
      <c r="AS26" s="619"/>
      <c r="AT26" s="329" t="s">
        <v>449</v>
      </c>
      <c r="AU26" s="329" t="s">
        <v>580</v>
      </c>
      <c r="AV26" s="329" t="s">
        <v>451</v>
      </c>
      <c r="AW26" s="329" t="s">
        <v>441</v>
      </c>
      <c r="AX26" s="619"/>
    </row>
    <row r="27" spans="2:54">
      <c r="B27" s="619" t="s">
        <v>132</v>
      </c>
      <c r="C27" s="330">
        <v>1</v>
      </c>
      <c r="D27" s="228" t="s">
        <v>388</v>
      </c>
      <c r="E27" s="183">
        <v>18</v>
      </c>
      <c r="F27" s="330">
        <v>1440</v>
      </c>
      <c r="G27" s="331">
        <v>80</v>
      </c>
      <c r="H27" s="661">
        <f>AVERAGE(G27:G41)</f>
        <v>84.066666666666649</v>
      </c>
      <c r="I27" s="200">
        <f>AVERAGE(P27,U27,Z27,AE27,AJ27,AO27,AT27)</f>
        <v>18</v>
      </c>
      <c r="J27" s="200">
        <f>AVERAGE(Q27,V27,AA27,AF27,AK27,AP27,AU27)</f>
        <v>1251.8031852473976</v>
      </c>
      <c r="K27" s="201">
        <f>AVERAGE(R27,W27,AB27,AG27,AL27,AQ27,AV27)</f>
        <v>69.544621402633197</v>
      </c>
      <c r="L27" s="600">
        <f>IFERROR(AVERAGE(K27:K41),"-")</f>
        <v>70.580653561259055</v>
      </c>
      <c r="M27" s="202">
        <f>RANK(K27, K$27:$K$41)</f>
        <v>5</v>
      </c>
      <c r="N27" s="619"/>
      <c r="O27" s="619"/>
      <c r="P27" s="183">
        <v>18</v>
      </c>
      <c r="Q27" s="377">
        <v>1248.4660194174755</v>
      </c>
      <c r="R27" s="377">
        <v>69.359223300970868</v>
      </c>
      <c r="S27" s="330">
        <f t="shared" ref="S27:S41" si="87">RANK(R27, R$27:R$41)</f>
        <v>5</v>
      </c>
      <c r="T27" s="661">
        <f>AVERAGE(R27:R41)</f>
        <v>70.335157574831896</v>
      </c>
      <c r="U27" s="183">
        <v>18</v>
      </c>
      <c r="V27" s="523">
        <v>1266.6947368421056</v>
      </c>
      <c r="W27" s="523">
        <v>70.37192982456142</v>
      </c>
      <c r="X27" s="520">
        <f t="shared" ref="X27:X41" si="88">RANK(W27, W$27:W$41)</f>
        <v>5</v>
      </c>
      <c r="Y27" s="661">
        <f t="shared" ref="Y27" si="89">AVERAGE(W27:W41)</f>
        <v>70.865948305110706</v>
      </c>
      <c r="Z27" s="183">
        <v>18</v>
      </c>
      <c r="AA27" s="523">
        <v>1263.4762886597941</v>
      </c>
      <c r="AB27" s="523">
        <v>70.193127147766347</v>
      </c>
      <c r="AC27" s="520">
        <f t="shared" ref="AC27:AC41" si="90">RANK(AB27, AB$27:AB$41)</f>
        <v>6</v>
      </c>
      <c r="AD27" s="661">
        <f t="shared" ref="AD27" si="91">AVERAGE(AB27:AB41)</f>
        <v>70.90282359396484</v>
      </c>
      <c r="AE27" s="183">
        <v>18</v>
      </c>
      <c r="AF27" s="523">
        <v>1231.2779220779225</v>
      </c>
      <c r="AG27" s="523">
        <v>68.404329004329028</v>
      </c>
      <c r="AH27" s="520">
        <f t="shared" ref="AH27:AH41" si="92">RANK(AG27, AG$27:AG$41)</f>
        <v>7</v>
      </c>
      <c r="AI27" s="661">
        <f t="shared" ref="AI27" si="93">AVERAGE(AG27:AG41)</f>
        <v>69.882920486924164</v>
      </c>
      <c r="AJ27" s="183">
        <v>18</v>
      </c>
      <c r="AK27" s="523">
        <v>1228.3780219780219</v>
      </c>
      <c r="AL27" s="523">
        <v>68.243223443223442</v>
      </c>
      <c r="AM27" s="520">
        <f t="shared" ref="AM27:AM41" si="94">RANK(AL27, AL$27:AL$41)</f>
        <v>7</v>
      </c>
      <c r="AN27" s="661">
        <f t="shared" ref="AN27" si="95">AVERAGE(AL27:AL41)</f>
        <v>70.63629998362002</v>
      </c>
      <c r="AO27" s="183">
        <v>18</v>
      </c>
      <c r="AP27" s="523">
        <v>1270.623853211009</v>
      </c>
      <c r="AQ27" s="523">
        <v>70.590214067278282</v>
      </c>
      <c r="AR27" s="520">
        <f t="shared" ref="AR27:AR41" si="96">RANK(AQ27, AQ$27:AQ$41)</f>
        <v>6</v>
      </c>
      <c r="AS27" s="661">
        <f t="shared" ref="AS27" si="97">AVERAGE(AQ27:AQ41)</f>
        <v>70.786713534439713</v>
      </c>
      <c r="AT27" s="183">
        <v>18</v>
      </c>
      <c r="AU27" s="523">
        <v>1253.7054545454544</v>
      </c>
      <c r="AV27" s="523">
        <v>69.650303030303022</v>
      </c>
      <c r="AW27" s="520">
        <f t="shared" ref="AW27:AW41" si="98">RANK(AV27, AV$27:AV$41)</f>
        <v>7</v>
      </c>
      <c r="AX27" s="658">
        <f t="shared" ref="AX27" si="99">AVERAGE(AV27:AV41)</f>
        <v>70.654711449921976</v>
      </c>
    </row>
    <row r="28" spans="2:54">
      <c r="B28" s="627"/>
      <c r="C28" s="330">
        <v>2</v>
      </c>
      <c r="D28" s="228" t="s">
        <v>389</v>
      </c>
      <c r="E28" s="183">
        <v>19</v>
      </c>
      <c r="F28" s="330">
        <v>1440</v>
      </c>
      <c r="G28" s="331">
        <v>75.8</v>
      </c>
      <c r="H28" s="662"/>
      <c r="I28" s="200">
        <f t="shared" ref="I28:I33" si="100">AVERAGE(P28,U28,Z28,AE28,AJ28,AO28,AT28)</f>
        <v>18.428571428571427</v>
      </c>
      <c r="J28" s="200">
        <f t="shared" ref="J28:J33" si="101">AVERAGE(Q28,V28,AA28,AF28,AK28,AP28,AU28)</f>
        <v>1228.4484913561894</v>
      </c>
      <c r="K28" s="201">
        <f t="shared" ref="K28:K33" si="102">AVERAGE(R28,W28,AB28,AG28,AL28,AQ28,AV28)</f>
        <v>66.698776733229494</v>
      </c>
      <c r="L28" s="601"/>
      <c r="M28" s="202">
        <f>RANK(K28, K$27:$K$41)</f>
        <v>9</v>
      </c>
      <c r="N28" s="619"/>
      <c r="O28" s="619"/>
      <c r="P28" s="376">
        <v>18</v>
      </c>
      <c r="Q28" s="377">
        <v>1204.3902439024387</v>
      </c>
      <c r="R28" s="377">
        <v>66.910569105691039</v>
      </c>
      <c r="S28" s="330">
        <f t="shared" si="87"/>
        <v>9</v>
      </c>
      <c r="T28" s="662"/>
      <c r="U28" s="522">
        <v>18</v>
      </c>
      <c r="V28" s="523">
        <v>1226.3414634146336</v>
      </c>
      <c r="W28" s="523">
        <v>68.130081300812975</v>
      </c>
      <c r="X28" s="520">
        <f t="shared" si="88"/>
        <v>8</v>
      </c>
      <c r="Y28" s="662"/>
      <c r="Z28" s="522">
        <v>18</v>
      </c>
      <c r="AA28" s="523">
        <v>1244.2105263157887</v>
      </c>
      <c r="AB28" s="523">
        <v>69.122807017543821</v>
      </c>
      <c r="AC28" s="520">
        <f t="shared" si="90"/>
        <v>7</v>
      </c>
      <c r="AD28" s="662"/>
      <c r="AE28" s="522">
        <v>18</v>
      </c>
      <c r="AF28" s="523">
        <v>1217.4193548387109</v>
      </c>
      <c r="AG28" s="523">
        <v>67.6344086021506</v>
      </c>
      <c r="AH28" s="520">
        <f t="shared" si="92"/>
        <v>8</v>
      </c>
      <c r="AI28" s="662"/>
      <c r="AJ28" s="522">
        <v>19</v>
      </c>
      <c r="AK28" s="523">
        <v>1272.972972972972</v>
      </c>
      <c r="AL28" s="523">
        <v>66.998577524893264</v>
      </c>
      <c r="AM28" s="520">
        <f t="shared" si="94"/>
        <v>8</v>
      </c>
      <c r="AN28" s="662"/>
      <c r="AO28" s="522">
        <v>19</v>
      </c>
      <c r="AP28" s="523">
        <v>1227.8048780487802</v>
      </c>
      <c r="AQ28" s="523">
        <v>64.621309370988428</v>
      </c>
      <c r="AR28" s="520">
        <f t="shared" si="96"/>
        <v>10</v>
      </c>
      <c r="AS28" s="662"/>
      <c r="AT28" s="522">
        <v>19</v>
      </c>
      <c r="AU28" s="523">
        <v>1205.9999999999995</v>
      </c>
      <c r="AV28" s="523">
        <v>63.473684210526294</v>
      </c>
      <c r="AW28" s="520">
        <f t="shared" si="98"/>
        <v>12</v>
      </c>
      <c r="AX28" s="658"/>
    </row>
    <row r="29" spans="2:54">
      <c r="B29" s="627"/>
      <c r="C29" s="330">
        <v>3</v>
      </c>
      <c r="D29" s="228" t="s">
        <v>391</v>
      </c>
      <c r="E29" s="183">
        <v>17</v>
      </c>
      <c r="F29" s="330">
        <v>1636</v>
      </c>
      <c r="G29" s="331">
        <v>96.3</v>
      </c>
      <c r="H29" s="662"/>
      <c r="I29" s="200">
        <f t="shared" si="100"/>
        <v>17</v>
      </c>
      <c r="J29" s="200">
        <f t="shared" si="101"/>
        <v>1342.7246928433972</v>
      </c>
      <c r="K29" s="201">
        <f t="shared" si="102"/>
        <v>78.983805461376306</v>
      </c>
      <c r="L29" s="601"/>
      <c r="M29" s="202">
        <f>RANK(K29, K$27:$K$41)</f>
        <v>2</v>
      </c>
      <c r="N29" s="619"/>
      <c r="O29" s="619"/>
      <c r="P29" s="376">
        <v>17</v>
      </c>
      <c r="Q29" s="377">
        <v>1372.0000000000014</v>
      </c>
      <c r="R29" s="377">
        <v>80.705882352941259</v>
      </c>
      <c r="S29" s="330">
        <f t="shared" si="87"/>
        <v>2</v>
      </c>
      <c r="T29" s="662"/>
      <c r="U29" s="522">
        <v>17</v>
      </c>
      <c r="V29" s="523">
        <v>1350.967741935485</v>
      </c>
      <c r="W29" s="523">
        <v>79.468690702087358</v>
      </c>
      <c r="X29" s="520">
        <f t="shared" si="88"/>
        <v>2</v>
      </c>
      <c r="Y29" s="662"/>
      <c r="Z29" s="522">
        <v>17</v>
      </c>
      <c r="AA29" s="523">
        <v>1344.8275862068974</v>
      </c>
      <c r="AB29" s="523">
        <v>79.107505070993966</v>
      </c>
      <c r="AC29" s="520">
        <f t="shared" si="90"/>
        <v>2</v>
      </c>
      <c r="AD29" s="662"/>
      <c r="AE29" s="522">
        <v>17</v>
      </c>
      <c r="AF29" s="523">
        <v>1182.2222222222229</v>
      </c>
      <c r="AG29" s="523">
        <v>69.542483660130756</v>
      </c>
      <c r="AH29" s="520">
        <f t="shared" si="92"/>
        <v>6</v>
      </c>
      <c r="AI29" s="662"/>
      <c r="AJ29" s="522">
        <v>17</v>
      </c>
      <c r="AK29" s="523">
        <v>1356.4285714285725</v>
      </c>
      <c r="AL29" s="523">
        <v>79.789915966386616</v>
      </c>
      <c r="AM29" s="520">
        <f t="shared" si="94"/>
        <v>2</v>
      </c>
      <c r="AN29" s="662"/>
      <c r="AO29" s="522">
        <v>17</v>
      </c>
      <c r="AP29" s="523">
        <v>1397.1428571428582</v>
      </c>
      <c r="AQ29" s="523">
        <v>82.184873949579895</v>
      </c>
      <c r="AR29" s="520">
        <f t="shared" si="96"/>
        <v>1</v>
      </c>
      <c r="AS29" s="662"/>
      <c r="AT29" s="522">
        <v>17</v>
      </c>
      <c r="AU29" s="523">
        <v>1395.4838709677433</v>
      </c>
      <c r="AV29" s="523">
        <v>82.087286527514308</v>
      </c>
      <c r="AW29" s="520">
        <f t="shared" si="98"/>
        <v>1</v>
      </c>
      <c r="AX29" s="658"/>
    </row>
    <row r="30" spans="2:54">
      <c r="B30" s="627"/>
      <c r="C30" s="330">
        <v>4</v>
      </c>
      <c r="D30" s="228" t="s">
        <v>390</v>
      </c>
      <c r="E30" s="183">
        <v>17</v>
      </c>
      <c r="F30" s="330">
        <v>1440</v>
      </c>
      <c r="G30" s="331">
        <v>84.7</v>
      </c>
      <c r="H30" s="662"/>
      <c r="I30" s="200">
        <f t="shared" si="100"/>
        <v>17</v>
      </c>
      <c r="J30" s="200">
        <f t="shared" si="101"/>
        <v>1286.1459479464468</v>
      </c>
      <c r="K30" s="201">
        <f t="shared" si="102"/>
        <v>75.655643996849804</v>
      </c>
      <c r="L30" s="601"/>
      <c r="M30" s="202">
        <f>RANK(K30, K$27:$K$41)</f>
        <v>4</v>
      </c>
      <c r="N30" s="619"/>
      <c r="O30" s="619"/>
      <c r="P30" s="376">
        <v>17</v>
      </c>
      <c r="Q30" s="377">
        <v>1271.304347826087</v>
      </c>
      <c r="R30" s="377">
        <v>74.782608695652172</v>
      </c>
      <c r="S30" s="330">
        <f t="shared" si="87"/>
        <v>4</v>
      </c>
      <c r="T30" s="662"/>
      <c r="U30" s="522">
        <v>17</v>
      </c>
      <c r="V30" s="523">
        <v>1268.92561983471</v>
      </c>
      <c r="W30" s="523">
        <v>74.642683519688831</v>
      </c>
      <c r="X30" s="520">
        <f t="shared" si="88"/>
        <v>4</v>
      </c>
      <c r="Y30" s="662"/>
      <c r="Z30" s="522">
        <v>17</v>
      </c>
      <c r="AA30" s="523">
        <v>1274.8571428571427</v>
      </c>
      <c r="AB30" s="523">
        <v>74.991596638655452</v>
      </c>
      <c r="AC30" s="520">
        <f t="shared" si="90"/>
        <v>4</v>
      </c>
      <c r="AD30" s="662"/>
      <c r="AE30" s="522">
        <v>17</v>
      </c>
      <c r="AF30" s="523">
        <v>1291.1111111111109</v>
      </c>
      <c r="AG30" s="523">
        <v>75.94771241830064</v>
      </c>
      <c r="AH30" s="520">
        <f t="shared" si="92"/>
        <v>3</v>
      </c>
      <c r="AI30" s="662"/>
      <c r="AJ30" s="522">
        <v>17</v>
      </c>
      <c r="AK30" s="523">
        <v>1282.0000000000002</v>
      </c>
      <c r="AL30" s="523">
        <v>75.411764705882362</v>
      </c>
      <c r="AM30" s="520">
        <f t="shared" si="94"/>
        <v>3</v>
      </c>
      <c r="AN30" s="662"/>
      <c r="AO30" s="522">
        <v>17</v>
      </c>
      <c r="AP30" s="523">
        <v>1306.1870503597124</v>
      </c>
      <c r="AQ30" s="523">
        <v>76.834532374100732</v>
      </c>
      <c r="AR30" s="520">
        <f t="shared" si="96"/>
        <v>3</v>
      </c>
      <c r="AS30" s="662"/>
      <c r="AT30" s="522">
        <v>17</v>
      </c>
      <c r="AU30" s="523">
        <v>1308.6363636363637</v>
      </c>
      <c r="AV30" s="523">
        <v>76.978609625668454</v>
      </c>
      <c r="AW30" s="520">
        <f t="shared" si="98"/>
        <v>3</v>
      </c>
      <c r="AX30" s="658"/>
    </row>
    <row r="31" spans="2:54">
      <c r="B31" s="627"/>
      <c r="C31" s="330">
        <v>5</v>
      </c>
      <c r="D31" s="228" t="s">
        <v>392</v>
      </c>
      <c r="E31" s="183">
        <v>17</v>
      </c>
      <c r="F31" s="330">
        <v>1440</v>
      </c>
      <c r="G31" s="331">
        <v>84.7</v>
      </c>
      <c r="H31" s="662"/>
      <c r="I31" s="200">
        <f t="shared" si="100"/>
        <v>17.428571428571427</v>
      </c>
      <c r="J31" s="200">
        <f t="shared" si="101"/>
        <v>1208.7586580086584</v>
      </c>
      <c r="K31" s="201">
        <f t="shared" si="102"/>
        <v>69.448727470786295</v>
      </c>
      <c r="L31" s="601"/>
      <c r="M31" s="202">
        <f>RANK(K31, K$27:$K$41)</f>
        <v>6</v>
      </c>
      <c r="N31" s="619"/>
      <c r="O31" s="619"/>
      <c r="P31" s="376">
        <v>18</v>
      </c>
      <c r="Q31" s="377">
        <v>1223.9999999999989</v>
      </c>
      <c r="R31" s="377">
        <v>67.999999999999943</v>
      </c>
      <c r="S31" s="330">
        <f t="shared" si="87"/>
        <v>8</v>
      </c>
      <c r="T31" s="662"/>
      <c r="U31" s="522">
        <v>18</v>
      </c>
      <c r="V31" s="523">
        <v>1251.6666666666656</v>
      </c>
      <c r="W31" s="523">
        <v>69.537037037036981</v>
      </c>
      <c r="X31" s="520">
        <f t="shared" si="88"/>
        <v>7</v>
      </c>
      <c r="Y31" s="662"/>
      <c r="Z31" s="522">
        <v>17</v>
      </c>
      <c r="AA31" s="523">
        <v>1230.9090909090921</v>
      </c>
      <c r="AB31" s="523">
        <v>72.406417112299536</v>
      </c>
      <c r="AC31" s="520">
        <f t="shared" si="90"/>
        <v>5</v>
      </c>
      <c r="AD31" s="662"/>
      <c r="AE31" s="522">
        <v>18</v>
      </c>
      <c r="AF31" s="523">
        <v>1068.7500000000014</v>
      </c>
      <c r="AG31" s="523">
        <v>59.375000000000078</v>
      </c>
      <c r="AH31" s="520">
        <f t="shared" si="92"/>
        <v>12</v>
      </c>
      <c r="AI31" s="662"/>
      <c r="AJ31" s="522">
        <v>17</v>
      </c>
      <c r="AK31" s="523">
        <v>1237.5000000000014</v>
      </c>
      <c r="AL31" s="523">
        <v>72.794117647058897</v>
      </c>
      <c r="AM31" s="520">
        <f t="shared" si="94"/>
        <v>5</v>
      </c>
      <c r="AN31" s="662"/>
      <c r="AO31" s="522">
        <v>17</v>
      </c>
      <c r="AP31" s="523">
        <v>1221.8181818181831</v>
      </c>
      <c r="AQ31" s="523">
        <v>71.871657754010769</v>
      </c>
      <c r="AR31" s="520">
        <f t="shared" si="96"/>
        <v>5</v>
      </c>
      <c r="AS31" s="662"/>
      <c r="AT31" s="522">
        <v>17</v>
      </c>
      <c r="AU31" s="523">
        <v>1226.6666666666656</v>
      </c>
      <c r="AV31" s="523">
        <v>72.156862745097982</v>
      </c>
      <c r="AW31" s="520">
        <f t="shared" si="98"/>
        <v>5</v>
      </c>
      <c r="AX31" s="658"/>
    </row>
    <row r="32" spans="2:54">
      <c r="B32" s="627"/>
      <c r="C32" s="330">
        <v>6</v>
      </c>
      <c r="D32" s="228" t="s">
        <v>393</v>
      </c>
      <c r="E32" s="183">
        <v>19</v>
      </c>
      <c r="F32" s="330">
        <v>1385</v>
      </c>
      <c r="G32" s="331">
        <v>72.900000000000006</v>
      </c>
      <c r="H32" s="662"/>
      <c r="I32" s="200">
        <f t="shared" si="100"/>
        <v>19</v>
      </c>
      <c r="J32" s="200">
        <f t="shared" si="101"/>
        <v>1226.0293963472836</v>
      </c>
      <c r="K32" s="201">
        <f t="shared" si="102"/>
        <v>64.527862965646506</v>
      </c>
      <c r="L32" s="601"/>
      <c r="M32" s="202">
        <f>RANK(K32, K$27:$K$41)</f>
        <v>11</v>
      </c>
      <c r="N32" s="619"/>
      <c r="O32" s="619"/>
      <c r="P32" s="376">
        <v>19</v>
      </c>
      <c r="Q32" s="377">
        <v>1213.6363636363644</v>
      </c>
      <c r="R32" s="377">
        <v>63.875598086124441</v>
      </c>
      <c r="S32" s="330">
        <f t="shared" si="87"/>
        <v>11</v>
      </c>
      <c r="T32" s="662"/>
      <c r="U32" s="522">
        <v>19</v>
      </c>
      <c r="V32" s="523">
        <v>1208.2352941176478</v>
      </c>
      <c r="W32" s="523">
        <v>63.59133126934988</v>
      </c>
      <c r="X32" s="520">
        <f t="shared" si="88"/>
        <v>12</v>
      </c>
      <c r="Y32" s="662"/>
      <c r="Z32" s="522">
        <v>19</v>
      </c>
      <c r="AA32" s="523">
        <v>1241.0204081632655</v>
      </c>
      <c r="AB32" s="523">
        <v>65.316863587540297</v>
      </c>
      <c r="AC32" s="520">
        <f t="shared" si="90"/>
        <v>9</v>
      </c>
      <c r="AD32" s="662"/>
      <c r="AE32" s="522">
        <v>19</v>
      </c>
      <c r="AF32" s="523">
        <v>1247.8571428571424</v>
      </c>
      <c r="AG32" s="523">
        <v>65.676691729323281</v>
      </c>
      <c r="AH32" s="520">
        <f t="shared" si="92"/>
        <v>9</v>
      </c>
      <c r="AI32" s="662"/>
      <c r="AJ32" s="522">
        <v>19</v>
      </c>
      <c r="AK32" s="523">
        <v>1200.799999999999</v>
      </c>
      <c r="AL32" s="523">
        <v>63.199999999999953</v>
      </c>
      <c r="AM32" s="520">
        <f t="shared" si="94"/>
        <v>11</v>
      </c>
      <c r="AN32" s="662"/>
      <c r="AO32" s="522">
        <v>19</v>
      </c>
      <c r="AP32" s="523">
        <v>1242.7777777777783</v>
      </c>
      <c r="AQ32" s="523">
        <v>65.409356725146225</v>
      </c>
      <c r="AR32" s="520">
        <f t="shared" si="96"/>
        <v>8</v>
      </c>
      <c r="AS32" s="662"/>
      <c r="AT32" s="522">
        <v>19</v>
      </c>
      <c r="AU32" s="523">
        <v>1227.8787878787882</v>
      </c>
      <c r="AV32" s="523">
        <v>64.625199362041485</v>
      </c>
      <c r="AW32" s="520">
        <f t="shared" si="98"/>
        <v>10</v>
      </c>
      <c r="AX32" s="658"/>
    </row>
    <row r="33" spans="2:50">
      <c r="B33" s="627"/>
      <c r="C33" s="330">
        <v>7</v>
      </c>
      <c r="D33" s="228" t="s">
        <v>394</v>
      </c>
      <c r="E33" s="183">
        <v>19</v>
      </c>
      <c r="F33" s="330">
        <v>1440</v>
      </c>
      <c r="G33" s="331">
        <v>75.8</v>
      </c>
      <c r="H33" s="662"/>
      <c r="I33" s="200">
        <f t="shared" si="100"/>
        <v>19</v>
      </c>
      <c r="J33" s="200">
        <f t="shared" si="101"/>
        <v>1233.188026852557</v>
      </c>
      <c r="K33" s="201">
        <f t="shared" si="102"/>
        <v>64.90463299223984</v>
      </c>
      <c r="L33" s="601"/>
      <c r="M33" s="202">
        <f>RANK(K33, K$27:$K$41)</f>
        <v>10</v>
      </c>
      <c r="N33" s="619"/>
      <c r="O33" s="619"/>
      <c r="P33" s="376">
        <v>19</v>
      </c>
      <c r="Q33" s="377">
        <v>1217.6470588235309</v>
      </c>
      <c r="R33" s="377">
        <v>64.086687306501631</v>
      </c>
      <c r="S33" s="330">
        <f t="shared" si="87"/>
        <v>10</v>
      </c>
      <c r="T33" s="662"/>
      <c r="U33" s="522">
        <v>19</v>
      </c>
      <c r="V33" s="523">
        <v>1238.8732394366186</v>
      </c>
      <c r="W33" s="523">
        <v>65.203854707190459</v>
      </c>
      <c r="X33" s="520">
        <f t="shared" si="88"/>
        <v>10</v>
      </c>
      <c r="Y33" s="662"/>
      <c r="Z33" s="522">
        <v>19</v>
      </c>
      <c r="AA33" s="523">
        <v>1240.9090909090924</v>
      </c>
      <c r="AB33" s="523">
        <v>65.311004784689075</v>
      </c>
      <c r="AC33" s="520">
        <f t="shared" si="90"/>
        <v>10</v>
      </c>
      <c r="AD33" s="662"/>
      <c r="AE33" s="522">
        <v>19</v>
      </c>
      <c r="AF33" s="523">
        <v>1224.1935483870977</v>
      </c>
      <c r="AG33" s="523">
        <v>64.431239388794623</v>
      </c>
      <c r="AH33" s="520">
        <f t="shared" si="92"/>
        <v>10</v>
      </c>
      <c r="AI33" s="662"/>
      <c r="AJ33" s="522">
        <v>19</v>
      </c>
      <c r="AK33" s="523">
        <v>1260.0000000000014</v>
      </c>
      <c r="AL33" s="523">
        <v>66.315789473684276</v>
      </c>
      <c r="AM33" s="520">
        <f t="shared" si="94"/>
        <v>10</v>
      </c>
      <c r="AN33" s="662"/>
      <c r="AO33" s="522">
        <v>19</v>
      </c>
      <c r="AP33" s="523">
        <v>1210.1298701298695</v>
      </c>
      <c r="AQ33" s="523">
        <v>63.69104579630892</v>
      </c>
      <c r="AR33" s="520">
        <f t="shared" si="96"/>
        <v>11</v>
      </c>
      <c r="AS33" s="662"/>
      <c r="AT33" s="522">
        <v>19</v>
      </c>
      <c r="AU33" s="523">
        <v>1240.5633802816888</v>
      </c>
      <c r="AV33" s="523">
        <v>65.292809488509931</v>
      </c>
      <c r="AW33" s="520">
        <f t="shared" si="98"/>
        <v>8</v>
      </c>
      <c r="AX33" s="658"/>
    </row>
    <row r="34" spans="2:50">
      <c r="B34" s="627"/>
      <c r="C34" s="330">
        <v>8</v>
      </c>
      <c r="D34" s="228" t="s">
        <v>745</v>
      </c>
      <c r="E34" s="183">
        <v>17</v>
      </c>
      <c r="F34" s="330">
        <v>1385</v>
      </c>
      <c r="G34" s="331">
        <v>81.400000000000006</v>
      </c>
      <c r="H34" s="662"/>
      <c r="I34" s="443">
        <f t="shared" ref="I34:I37" si="103">AVERAGE(P34,U34,Z34,AE34,AJ34,AO34,AT34)</f>
        <v>17.142857142857142</v>
      </c>
      <c r="J34" s="443">
        <f t="shared" ref="J34:J37" si="104">AVERAGE(Q34,V34,AA34,AF34,AK34,AP34,AU34)</f>
        <v>1188.9497439133859</v>
      </c>
      <c r="K34" s="201">
        <f t="shared" ref="K34:K37" si="105">AVERAGE(R34,W34,AB34,AG34,AL34,AQ34,AV34)</f>
        <v>69.390924388785692</v>
      </c>
      <c r="L34" s="601"/>
      <c r="M34" s="202">
        <f>RANK(K34, K$27:$K$41)</f>
        <v>7</v>
      </c>
      <c r="N34" s="619"/>
      <c r="O34" s="619"/>
      <c r="P34" s="376">
        <v>17</v>
      </c>
      <c r="Q34" s="377">
        <v>1168.9411764705881</v>
      </c>
      <c r="R34" s="377">
        <v>68.761245674740479</v>
      </c>
      <c r="S34" s="330">
        <f t="shared" si="87"/>
        <v>6</v>
      </c>
      <c r="T34" s="662"/>
      <c r="U34" s="522">
        <v>17</v>
      </c>
      <c r="V34" s="523">
        <v>1189.4999999999995</v>
      </c>
      <c r="W34" s="523">
        <v>69.970588235294088</v>
      </c>
      <c r="X34" s="520">
        <f t="shared" si="88"/>
        <v>6</v>
      </c>
      <c r="Y34" s="662"/>
      <c r="Z34" s="522">
        <v>18</v>
      </c>
      <c r="AA34" s="523">
        <v>1172.3076923076917</v>
      </c>
      <c r="AB34" s="523">
        <v>65.128205128205096</v>
      </c>
      <c r="AC34" s="520">
        <f t="shared" si="90"/>
        <v>11</v>
      </c>
      <c r="AD34" s="662"/>
      <c r="AE34" s="522">
        <v>17</v>
      </c>
      <c r="AF34" s="523">
        <v>1211.8309859154917</v>
      </c>
      <c r="AG34" s="523">
        <v>71.284175642087746</v>
      </c>
      <c r="AH34" s="520">
        <f t="shared" si="92"/>
        <v>5</v>
      </c>
      <c r="AI34" s="662"/>
      <c r="AJ34" s="522">
        <v>17</v>
      </c>
      <c r="AK34" s="523">
        <v>1199.9999999999991</v>
      </c>
      <c r="AL34" s="523">
        <v>70.588235294117595</v>
      </c>
      <c r="AM34" s="520">
        <f t="shared" si="94"/>
        <v>6</v>
      </c>
      <c r="AN34" s="662"/>
      <c r="AO34" s="522">
        <v>17</v>
      </c>
      <c r="AP34" s="523">
        <v>1189.2631578947371</v>
      </c>
      <c r="AQ34" s="523">
        <v>69.956656346749241</v>
      </c>
      <c r="AR34" s="520">
        <f t="shared" si="96"/>
        <v>7</v>
      </c>
      <c r="AS34" s="662"/>
      <c r="AT34" s="522">
        <v>17</v>
      </c>
      <c r="AU34" s="523">
        <v>1190.8051948051943</v>
      </c>
      <c r="AV34" s="523">
        <v>70.047364400305554</v>
      </c>
      <c r="AW34" s="520">
        <f t="shared" si="98"/>
        <v>6</v>
      </c>
      <c r="AX34" s="658"/>
    </row>
    <row r="35" spans="2:50">
      <c r="B35" s="627"/>
      <c r="C35" s="330">
        <v>9</v>
      </c>
      <c r="D35" s="228" t="s">
        <v>748</v>
      </c>
      <c r="E35" s="183">
        <v>19</v>
      </c>
      <c r="F35" s="330">
        <v>1385</v>
      </c>
      <c r="G35" s="331">
        <v>72.900000000000006</v>
      </c>
      <c r="H35" s="662"/>
      <c r="I35" s="443">
        <f t="shared" si="103"/>
        <v>19</v>
      </c>
      <c r="J35" s="443">
        <f t="shared" si="104"/>
        <v>1185.9552574876107</v>
      </c>
      <c r="K35" s="201">
        <f t="shared" si="105"/>
        <v>62.418697762505829</v>
      </c>
      <c r="L35" s="601"/>
      <c r="M35" s="202">
        <f>RANK(K35, K$27:$K$41)</f>
        <v>12</v>
      </c>
      <c r="N35" s="619"/>
      <c r="O35" s="619"/>
      <c r="P35" s="376">
        <v>19</v>
      </c>
      <c r="Q35" s="377">
        <v>1168.8000000000002</v>
      </c>
      <c r="R35" s="377">
        <v>61.515789473684222</v>
      </c>
      <c r="S35" s="330">
        <f t="shared" si="87"/>
        <v>12</v>
      </c>
      <c r="T35" s="662"/>
      <c r="U35" s="522">
        <v>19</v>
      </c>
      <c r="V35" s="523">
        <v>1217.64705882353</v>
      </c>
      <c r="W35" s="523">
        <v>64.086687306501574</v>
      </c>
      <c r="X35" s="520">
        <f t="shared" si="88"/>
        <v>11</v>
      </c>
      <c r="Y35" s="662"/>
      <c r="Z35" s="522">
        <v>19</v>
      </c>
      <c r="AA35" s="523">
        <v>1172.4000000000003</v>
      </c>
      <c r="AB35" s="523">
        <v>61.705263157894755</v>
      </c>
      <c r="AC35" s="520">
        <f t="shared" si="90"/>
        <v>12</v>
      </c>
      <c r="AD35" s="662"/>
      <c r="AE35" s="522">
        <v>19</v>
      </c>
      <c r="AF35" s="523">
        <v>1174.6666666666667</v>
      </c>
      <c r="AG35" s="523">
        <v>61.824561403508774</v>
      </c>
      <c r="AH35" s="520">
        <f t="shared" si="92"/>
        <v>11</v>
      </c>
      <c r="AI35" s="662"/>
      <c r="AJ35" s="522">
        <v>19</v>
      </c>
      <c r="AK35" s="523">
        <v>1161.2500000000002</v>
      </c>
      <c r="AL35" s="523">
        <v>61.118421052631589</v>
      </c>
      <c r="AM35" s="520">
        <f t="shared" si="94"/>
        <v>12</v>
      </c>
      <c r="AN35" s="662"/>
      <c r="AO35" s="522">
        <v>19</v>
      </c>
      <c r="AP35" s="523">
        <v>1196.5384615384623</v>
      </c>
      <c r="AQ35" s="523">
        <v>62.975708502024332</v>
      </c>
      <c r="AR35" s="520">
        <f t="shared" si="96"/>
        <v>12</v>
      </c>
      <c r="AS35" s="662"/>
      <c r="AT35" s="522">
        <v>19</v>
      </c>
      <c r="AU35" s="523">
        <v>1210.3846153846162</v>
      </c>
      <c r="AV35" s="523">
        <v>63.704453441295584</v>
      </c>
      <c r="AW35" s="520">
        <f t="shared" si="98"/>
        <v>11</v>
      </c>
      <c r="AX35" s="658"/>
    </row>
    <row r="36" spans="2:50">
      <c r="B36" s="627"/>
      <c r="C36" s="330">
        <v>10</v>
      </c>
      <c r="D36" s="228" t="s">
        <v>797</v>
      </c>
      <c r="E36" s="183">
        <v>15</v>
      </c>
      <c r="F36" s="330">
        <v>1565</v>
      </c>
      <c r="G36" s="331">
        <v>104.3</v>
      </c>
      <c r="H36" s="662"/>
      <c r="I36" s="443">
        <f t="shared" si="103"/>
        <v>15</v>
      </c>
      <c r="J36" s="443">
        <f t="shared" si="104"/>
        <v>1028.1157240928389</v>
      </c>
      <c r="K36" s="201">
        <f t="shared" si="105"/>
        <v>68.541048272855932</v>
      </c>
      <c r="L36" s="601"/>
      <c r="M36" s="202">
        <f>RANK(K36, K$27:$K$41)</f>
        <v>8</v>
      </c>
      <c r="N36" s="619"/>
      <c r="O36" s="619"/>
      <c r="P36" s="376">
        <v>15</v>
      </c>
      <c r="Q36" s="377">
        <v>1025.2173913043478</v>
      </c>
      <c r="R36" s="377">
        <v>68.347826086956516</v>
      </c>
      <c r="S36" s="330">
        <f t="shared" si="87"/>
        <v>7</v>
      </c>
      <c r="T36" s="662"/>
      <c r="U36" s="522">
        <v>15</v>
      </c>
      <c r="V36" s="523">
        <v>1020</v>
      </c>
      <c r="W36" s="523">
        <v>68</v>
      </c>
      <c r="X36" s="520">
        <f t="shared" si="88"/>
        <v>9</v>
      </c>
      <c r="Y36" s="662"/>
      <c r="Z36" s="522">
        <v>15</v>
      </c>
      <c r="AA36" s="523">
        <v>1007.9999999999997</v>
      </c>
      <c r="AB36" s="523">
        <v>67.199999999999974</v>
      </c>
      <c r="AC36" s="520">
        <f t="shared" si="90"/>
        <v>8</v>
      </c>
      <c r="AD36" s="662"/>
      <c r="AE36" s="522">
        <v>15</v>
      </c>
      <c r="AF36" s="523">
        <v>1189.9999999999884</v>
      </c>
      <c r="AG36" s="523">
        <v>79.333333333332561</v>
      </c>
      <c r="AH36" s="520">
        <f t="shared" si="92"/>
        <v>2</v>
      </c>
      <c r="AI36" s="662"/>
      <c r="AJ36" s="522">
        <v>15</v>
      </c>
      <c r="AK36" s="523">
        <v>1004.2105263157888</v>
      </c>
      <c r="AL36" s="523">
        <v>66.947368421052587</v>
      </c>
      <c r="AM36" s="520">
        <f t="shared" si="94"/>
        <v>9</v>
      </c>
      <c r="AN36" s="662"/>
      <c r="AO36" s="522">
        <v>15</v>
      </c>
      <c r="AP36" s="523">
        <v>978.94736842105192</v>
      </c>
      <c r="AQ36" s="523">
        <v>65.263157894736793</v>
      </c>
      <c r="AR36" s="520">
        <f t="shared" si="96"/>
        <v>9</v>
      </c>
      <c r="AS36" s="662"/>
      <c r="AT36" s="522">
        <v>15</v>
      </c>
      <c r="AU36" s="523">
        <v>970.43478260869574</v>
      </c>
      <c r="AV36" s="523">
        <v>64.695652173913047</v>
      </c>
      <c r="AW36" s="520">
        <f t="shared" si="98"/>
        <v>9</v>
      </c>
      <c r="AX36" s="658"/>
    </row>
    <row r="37" spans="2:50">
      <c r="B37" s="627"/>
      <c r="C37" s="330">
        <v>11</v>
      </c>
      <c r="D37" s="228" t="s">
        <v>837</v>
      </c>
      <c r="E37" s="183">
        <v>16</v>
      </c>
      <c r="F37" s="330">
        <v>1440</v>
      </c>
      <c r="G37" s="331">
        <v>90</v>
      </c>
      <c r="H37" s="662"/>
      <c r="I37" s="443">
        <f t="shared" si="103"/>
        <v>16</v>
      </c>
      <c r="J37" s="443">
        <f t="shared" si="104"/>
        <v>1291.5035112687121</v>
      </c>
      <c r="K37" s="201">
        <f t="shared" si="105"/>
        <v>80.718969454294509</v>
      </c>
      <c r="L37" s="601"/>
      <c r="M37" s="202">
        <f>RANK(K37, K$27:$K$41)</f>
        <v>1</v>
      </c>
      <c r="N37" s="619"/>
      <c r="O37" s="619"/>
      <c r="P37" s="376">
        <v>16</v>
      </c>
      <c r="Q37" s="377">
        <v>1315.5737704918029</v>
      </c>
      <c r="R37" s="377">
        <v>82.223360655737679</v>
      </c>
      <c r="S37" s="330">
        <f t="shared" si="87"/>
        <v>1</v>
      </c>
      <c r="T37" s="662"/>
      <c r="U37" s="522">
        <v>16</v>
      </c>
      <c r="V37" s="523">
        <v>1287.4137931034475</v>
      </c>
      <c r="W37" s="523">
        <v>80.463362068965466</v>
      </c>
      <c r="X37" s="520">
        <f t="shared" si="88"/>
        <v>1</v>
      </c>
      <c r="Y37" s="662"/>
      <c r="Z37" s="522">
        <v>16</v>
      </c>
      <c r="AA37" s="523">
        <v>1306.9811320754725</v>
      </c>
      <c r="AB37" s="523">
        <v>81.68632075471703</v>
      </c>
      <c r="AC37" s="520">
        <f t="shared" si="90"/>
        <v>1</v>
      </c>
      <c r="AD37" s="662"/>
      <c r="AE37" s="522">
        <v>16</v>
      </c>
      <c r="AF37" s="523">
        <v>1280.2409638554213</v>
      </c>
      <c r="AG37" s="523">
        <v>80.015060240963834</v>
      </c>
      <c r="AH37" s="520">
        <f t="shared" si="92"/>
        <v>1</v>
      </c>
      <c r="AI37" s="662"/>
      <c r="AJ37" s="522">
        <v>16</v>
      </c>
      <c r="AK37" s="523">
        <v>1312.2000000000003</v>
      </c>
      <c r="AL37" s="523">
        <v>82.012500000000017</v>
      </c>
      <c r="AM37" s="520">
        <f t="shared" si="94"/>
        <v>1</v>
      </c>
      <c r="AN37" s="662"/>
      <c r="AO37" s="522">
        <v>16</v>
      </c>
      <c r="AP37" s="523">
        <v>1268.4374999999998</v>
      </c>
      <c r="AQ37" s="523">
        <v>79.277343749999986</v>
      </c>
      <c r="AR37" s="520">
        <f t="shared" si="96"/>
        <v>2</v>
      </c>
      <c r="AS37" s="662"/>
      <c r="AT37" s="522">
        <v>16</v>
      </c>
      <c r="AU37" s="523">
        <v>1269.6774193548383</v>
      </c>
      <c r="AV37" s="523">
        <v>79.354838709677395</v>
      </c>
      <c r="AW37" s="520">
        <f t="shared" si="98"/>
        <v>2</v>
      </c>
      <c r="AX37" s="658"/>
    </row>
    <row r="38" spans="2:50">
      <c r="B38" s="627"/>
      <c r="C38" s="330">
        <v>12</v>
      </c>
      <c r="D38" s="228" t="s">
        <v>877</v>
      </c>
      <c r="E38" s="183">
        <v>16</v>
      </c>
      <c r="F38" s="330">
        <v>1440</v>
      </c>
      <c r="G38" s="331">
        <v>90</v>
      </c>
      <c r="H38" s="662"/>
      <c r="I38" s="524">
        <f t="shared" ref="I38" si="106">AVERAGE(P38,U38,Z38,AE38,AJ38,AO38,AT38)</f>
        <v>16.857142857142858</v>
      </c>
      <c r="J38" s="524">
        <f t="shared" ref="J38" si="107">AVERAGE(Q38,V38,AA38,AF38,AK38,AP38,AU38)</f>
        <v>1283.0424165010627</v>
      </c>
      <c r="K38" s="201">
        <f t="shared" ref="K38" si="108">AVERAGE(R38,W38,AB38,AG38,AL38,AQ38,AV38)</f>
        <v>76.134131833905144</v>
      </c>
      <c r="L38" s="601"/>
      <c r="M38" s="202">
        <f>RANK(K38, K$27:$K$41)</f>
        <v>3</v>
      </c>
      <c r="N38" s="619"/>
      <c r="O38" s="619"/>
      <c r="P38" s="376">
        <v>17</v>
      </c>
      <c r="Q38" s="377">
        <v>1282.7027027027016</v>
      </c>
      <c r="R38" s="377">
        <v>75.453100158982451</v>
      </c>
      <c r="S38" s="330">
        <f t="shared" si="87"/>
        <v>3</v>
      </c>
      <c r="T38" s="662"/>
      <c r="U38" s="522">
        <v>17</v>
      </c>
      <c r="V38" s="523">
        <v>1307.7272727272727</v>
      </c>
      <c r="W38" s="523">
        <v>76.925133689839569</v>
      </c>
      <c r="X38" s="520">
        <f t="shared" si="88"/>
        <v>3</v>
      </c>
      <c r="Y38" s="662"/>
      <c r="Z38" s="522">
        <v>16</v>
      </c>
      <c r="AA38" s="523">
        <v>1258.6363636363635</v>
      </c>
      <c r="AB38" s="523">
        <v>78.66477272727272</v>
      </c>
      <c r="AC38" s="520">
        <f t="shared" si="90"/>
        <v>3</v>
      </c>
      <c r="AD38" s="662"/>
      <c r="AE38" s="522">
        <v>17</v>
      </c>
      <c r="AF38" s="523">
        <v>1277.1428571428557</v>
      </c>
      <c r="AG38" s="523">
        <v>75.126050420167985</v>
      </c>
      <c r="AH38" s="520">
        <f t="shared" si="92"/>
        <v>4</v>
      </c>
      <c r="AI38" s="662"/>
      <c r="AJ38" s="522">
        <v>17</v>
      </c>
      <c r="AK38" s="523">
        <v>1261.6666666666656</v>
      </c>
      <c r="AL38" s="523">
        <v>74.215686274509736</v>
      </c>
      <c r="AM38" s="520">
        <f t="shared" si="94"/>
        <v>4</v>
      </c>
      <c r="AN38" s="662"/>
      <c r="AO38" s="522">
        <v>17</v>
      </c>
      <c r="AP38" s="523">
        <v>1305.000000000002</v>
      </c>
      <c r="AQ38" s="523">
        <v>76.764705882353056</v>
      </c>
      <c r="AR38" s="520">
        <f t="shared" si="96"/>
        <v>4</v>
      </c>
      <c r="AS38" s="662"/>
      <c r="AT38" s="522">
        <v>17</v>
      </c>
      <c r="AU38" s="523">
        <v>1288.421052631578</v>
      </c>
      <c r="AV38" s="523">
        <v>75.789473684210478</v>
      </c>
      <c r="AW38" s="520">
        <f t="shared" si="98"/>
        <v>4</v>
      </c>
      <c r="AX38" s="658"/>
    </row>
    <row r="39" spans="2:50">
      <c r="B39" s="627"/>
      <c r="C39" s="330">
        <v>13</v>
      </c>
      <c r="D39" s="228"/>
      <c r="E39" s="183"/>
      <c r="F39" s="330"/>
      <c r="G39" s="331"/>
      <c r="H39" s="662"/>
      <c r="I39" s="203"/>
      <c r="J39" s="203"/>
      <c r="K39" s="203"/>
      <c r="L39" s="601"/>
      <c r="M39" s="202" t="e">
        <f>RANK(K39, K$27:$K$41)</f>
        <v>#N/A</v>
      </c>
      <c r="N39" s="619"/>
      <c r="O39" s="619"/>
      <c r="P39" s="376"/>
      <c r="Q39" s="377"/>
      <c r="R39" s="377"/>
      <c r="S39" s="330" t="e">
        <f t="shared" si="87"/>
        <v>#N/A</v>
      </c>
      <c r="T39" s="662"/>
      <c r="U39" s="520"/>
      <c r="V39" s="521"/>
      <c r="W39" s="521"/>
      <c r="X39" s="520" t="e">
        <f t="shared" si="88"/>
        <v>#N/A</v>
      </c>
      <c r="Y39" s="662"/>
      <c r="Z39" s="520"/>
      <c r="AA39" s="521"/>
      <c r="AB39" s="521"/>
      <c r="AC39" s="520" t="e">
        <f t="shared" si="90"/>
        <v>#N/A</v>
      </c>
      <c r="AD39" s="662"/>
      <c r="AE39" s="520"/>
      <c r="AF39" s="521"/>
      <c r="AG39" s="521"/>
      <c r="AH39" s="520" t="e">
        <f t="shared" si="92"/>
        <v>#N/A</v>
      </c>
      <c r="AI39" s="662"/>
      <c r="AJ39" s="520"/>
      <c r="AK39" s="521"/>
      <c r="AL39" s="521"/>
      <c r="AM39" s="520" t="e">
        <f t="shared" si="94"/>
        <v>#N/A</v>
      </c>
      <c r="AN39" s="662"/>
      <c r="AO39" s="520"/>
      <c r="AP39" s="521"/>
      <c r="AQ39" s="521"/>
      <c r="AR39" s="520" t="e">
        <f t="shared" si="96"/>
        <v>#N/A</v>
      </c>
      <c r="AS39" s="662"/>
      <c r="AT39" s="520"/>
      <c r="AU39" s="521"/>
      <c r="AV39" s="521"/>
      <c r="AW39" s="520" t="e">
        <f t="shared" si="98"/>
        <v>#N/A</v>
      </c>
      <c r="AX39" s="658"/>
    </row>
    <row r="40" spans="2:50">
      <c r="B40" s="627"/>
      <c r="C40" s="330">
        <v>14</v>
      </c>
      <c r="D40" s="228"/>
      <c r="E40" s="183"/>
      <c r="F40" s="330"/>
      <c r="G40" s="331"/>
      <c r="H40" s="662"/>
      <c r="I40" s="203"/>
      <c r="J40" s="203"/>
      <c r="K40" s="203"/>
      <c r="L40" s="601"/>
      <c r="M40" s="202" t="e">
        <f>RANK(K40, K$27:$K$41)</f>
        <v>#N/A</v>
      </c>
      <c r="N40" s="619"/>
      <c r="O40" s="619"/>
      <c r="P40" s="376"/>
      <c r="Q40" s="377"/>
      <c r="R40" s="377"/>
      <c r="S40" s="330" t="e">
        <f t="shared" si="87"/>
        <v>#N/A</v>
      </c>
      <c r="T40" s="662"/>
      <c r="U40" s="520"/>
      <c r="V40" s="521"/>
      <c r="W40" s="521"/>
      <c r="X40" s="520" t="e">
        <f t="shared" si="88"/>
        <v>#N/A</v>
      </c>
      <c r="Y40" s="662"/>
      <c r="Z40" s="520"/>
      <c r="AA40" s="521"/>
      <c r="AB40" s="521"/>
      <c r="AC40" s="520" t="e">
        <f t="shared" si="90"/>
        <v>#N/A</v>
      </c>
      <c r="AD40" s="662"/>
      <c r="AE40" s="520"/>
      <c r="AF40" s="521"/>
      <c r="AG40" s="521"/>
      <c r="AH40" s="520" t="e">
        <f t="shared" si="92"/>
        <v>#N/A</v>
      </c>
      <c r="AI40" s="662"/>
      <c r="AJ40" s="520"/>
      <c r="AK40" s="521"/>
      <c r="AL40" s="521"/>
      <c r="AM40" s="520" t="e">
        <f t="shared" si="94"/>
        <v>#N/A</v>
      </c>
      <c r="AN40" s="662"/>
      <c r="AO40" s="520"/>
      <c r="AP40" s="521"/>
      <c r="AQ40" s="521"/>
      <c r="AR40" s="520" t="e">
        <f t="shared" si="96"/>
        <v>#N/A</v>
      </c>
      <c r="AS40" s="662"/>
      <c r="AT40" s="520"/>
      <c r="AU40" s="521"/>
      <c r="AV40" s="521"/>
      <c r="AW40" s="520" t="e">
        <f t="shared" si="98"/>
        <v>#N/A</v>
      </c>
      <c r="AX40" s="658"/>
    </row>
    <row r="41" spans="2:50">
      <c r="B41" s="627"/>
      <c r="C41" s="330">
        <v>15</v>
      </c>
      <c r="D41" s="228"/>
      <c r="E41" s="183"/>
      <c r="F41" s="330"/>
      <c r="G41" s="331"/>
      <c r="H41" s="663"/>
      <c r="I41" s="203"/>
      <c r="J41" s="203"/>
      <c r="K41" s="203"/>
      <c r="L41" s="602"/>
      <c r="M41" s="200" t="e">
        <f>RANK(K41, K$27:$K$41)</f>
        <v>#N/A</v>
      </c>
      <c r="N41" s="619"/>
      <c r="O41" s="619"/>
      <c r="P41" s="376"/>
      <c r="Q41" s="377"/>
      <c r="R41" s="377"/>
      <c r="S41" s="330" t="e">
        <f t="shared" si="87"/>
        <v>#N/A</v>
      </c>
      <c r="T41" s="663"/>
      <c r="U41" s="520"/>
      <c r="V41" s="521"/>
      <c r="W41" s="521"/>
      <c r="X41" s="520" t="e">
        <f t="shared" si="88"/>
        <v>#N/A</v>
      </c>
      <c r="Y41" s="663"/>
      <c r="Z41" s="520"/>
      <c r="AA41" s="521"/>
      <c r="AB41" s="521"/>
      <c r="AC41" s="520" t="e">
        <f t="shared" si="90"/>
        <v>#N/A</v>
      </c>
      <c r="AD41" s="663"/>
      <c r="AE41" s="520"/>
      <c r="AF41" s="521"/>
      <c r="AG41" s="521"/>
      <c r="AH41" s="520" t="e">
        <f t="shared" si="92"/>
        <v>#N/A</v>
      </c>
      <c r="AI41" s="663"/>
      <c r="AJ41" s="520"/>
      <c r="AK41" s="521"/>
      <c r="AL41" s="521"/>
      <c r="AM41" s="520" t="e">
        <f t="shared" si="94"/>
        <v>#N/A</v>
      </c>
      <c r="AN41" s="663"/>
      <c r="AO41" s="520"/>
      <c r="AP41" s="521"/>
      <c r="AQ41" s="521"/>
      <c r="AR41" s="520" t="e">
        <f t="shared" si="96"/>
        <v>#N/A</v>
      </c>
      <c r="AS41" s="663"/>
      <c r="AT41" s="520"/>
      <c r="AU41" s="521"/>
      <c r="AV41" s="521"/>
      <c r="AW41" s="520" t="e">
        <f t="shared" si="98"/>
        <v>#N/A</v>
      </c>
      <c r="AX41" s="658"/>
    </row>
    <row r="42" spans="2:50" ht="15.5">
      <c r="B42" s="644" t="s">
        <v>163</v>
      </c>
      <c r="C42" s="645"/>
      <c r="D42" s="645"/>
      <c r="E42" s="645"/>
      <c r="F42" s="645"/>
      <c r="G42" s="645"/>
      <c r="H42" s="645"/>
      <c r="I42" s="209"/>
      <c r="J42" s="204"/>
      <c r="K42" s="209"/>
      <c r="L42" s="209"/>
      <c r="M42" s="205"/>
      <c r="N42" s="620" t="s">
        <v>156</v>
      </c>
      <c r="O42" s="620" t="s">
        <v>105</v>
      </c>
      <c r="P42" s="626">
        <f>P22+7</f>
        <v>46000</v>
      </c>
      <c r="Q42" s="627"/>
      <c r="R42" s="627"/>
      <c r="S42" s="627"/>
      <c r="T42" s="627"/>
      <c r="U42" s="623">
        <f>P42+1</f>
        <v>46001</v>
      </c>
      <c r="V42" s="624"/>
      <c r="W42" s="624"/>
      <c r="X42" s="624"/>
      <c r="Y42" s="625"/>
      <c r="Z42" s="623">
        <f>U42+1</f>
        <v>46002</v>
      </c>
      <c r="AA42" s="624"/>
      <c r="AB42" s="624"/>
      <c r="AC42" s="624"/>
      <c r="AD42" s="625"/>
      <c r="AE42" s="623">
        <f>Z42+1</f>
        <v>46003</v>
      </c>
      <c r="AF42" s="624"/>
      <c r="AG42" s="624"/>
      <c r="AH42" s="624"/>
      <c r="AI42" s="625"/>
      <c r="AJ42" s="623">
        <f>AE42+1</f>
        <v>46004</v>
      </c>
      <c r="AK42" s="624"/>
      <c r="AL42" s="624"/>
      <c r="AM42" s="624"/>
      <c r="AN42" s="625"/>
      <c r="AO42" s="623">
        <f>AJ42+1</f>
        <v>46005</v>
      </c>
      <c r="AP42" s="624"/>
      <c r="AQ42" s="624"/>
      <c r="AR42" s="624"/>
      <c r="AS42" s="625"/>
      <c r="AT42" s="623">
        <f>AO42+1</f>
        <v>46006</v>
      </c>
      <c r="AU42" s="624"/>
      <c r="AV42" s="624"/>
      <c r="AW42" s="624"/>
      <c r="AX42" s="625"/>
    </row>
    <row r="43" spans="2:50" ht="15.5">
      <c r="B43" s="634"/>
      <c r="C43" s="634"/>
      <c r="D43" s="634"/>
      <c r="E43" s="634"/>
      <c r="F43" s="634"/>
      <c r="G43" s="634"/>
      <c r="H43" s="634"/>
      <c r="I43" s="206"/>
      <c r="J43" s="206"/>
      <c r="K43" s="206"/>
      <c r="L43" s="206"/>
      <c r="M43" s="207"/>
      <c r="N43" s="622"/>
      <c r="O43" s="622"/>
      <c r="P43" s="626" t="s">
        <v>336</v>
      </c>
      <c r="Q43" s="627"/>
      <c r="R43" s="627"/>
      <c r="S43" s="627"/>
      <c r="T43" s="627"/>
      <c r="U43" s="626" t="s">
        <v>337</v>
      </c>
      <c r="V43" s="627"/>
      <c r="W43" s="627"/>
      <c r="X43" s="627"/>
      <c r="Y43" s="627"/>
      <c r="Z43" s="626" t="s">
        <v>338</v>
      </c>
      <c r="AA43" s="627"/>
      <c r="AB43" s="627"/>
      <c r="AC43" s="627"/>
      <c r="AD43" s="627"/>
      <c r="AE43" s="626" t="s">
        <v>339</v>
      </c>
      <c r="AF43" s="627"/>
      <c r="AG43" s="627"/>
      <c r="AH43" s="627"/>
      <c r="AI43" s="627"/>
      <c r="AJ43" s="626" t="s">
        <v>340</v>
      </c>
      <c r="AK43" s="627"/>
      <c r="AL43" s="627"/>
      <c r="AM43" s="627"/>
      <c r="AN43" s="627"/>
      <c r="AO43" s="626" t="s">
        <v>341</v>
      </c>
      <c r="AP43" s="627"/>
      <c r="AQ43" s="627"/>
      <c r="AR43" s="627"/>
      <c r="AS43" s="627"/>
      <c r="AT43" s="626" t="s">
        <v>342</v>
      </c>
      <c r="AU43" s="627"/>
      <c r="AV43" s="627"/>
      <c r="AW43" s="627"/>
      <c r="AX43" s="627"/>
    </row>
    <row r="44" spans="2:50">
      <c r="B44" s="619" t="s">
        <v>649</v>
      </c>
      <c r="C44" s="619" t="s">
        <v>650</v>
      </c>
      <c r="D44" s="619"/>
      <c r="E44" s="619" t="s">
        <v>651</v>
      </c>
      <c r="F44" s="619"/>
      <c r="G44" s="619"/>
      <c r="H44" s="635" t="s">
        <v>652</v>
      </c>
      <c r="I44" s="603" t="s">
        <v>653</v>
      </c>
      <c r="J44" s="603"/>
      <c r="K44" s="603"/>
      <c r="L44" s="604" t="s">
        <v>652</v>
      </c>
      <c r="M44" s="610" t="s">
        <v>654</v>
      </c>
      <c r="N44" s="619"/>
      <c r="O44" s="619" t="s">
        <v>655</v>
      </c>
      <c r="P44" s="616" t="s">
        <v>656</v>
      </c>
      <c r="Q44" s="617"/>
      <c r="R44" s="617"/>
      <c r="S44" s="618"/>
      <c r="T44" s="619" t="s">
        <v>652</v>
      </c>
      <c r="U44" s="616" t="s">
        <v>656</v>
      </c>
      <c r="V44" s="617"/>
      <c r="W44" s="617"/>
      <c r="X44" s="618"/>
      <c r="Y44" s="619" t="s">
        <v>652</v>
      </c>
      <c r="Z44" s="616" t="s">
        <v>656</v>
      </c>
      <c r="AA44" s="617"/>
      <c r="AB44" s="617"/>
      <c r="AC44" s="618"/>
      <c r="AD44" s="619" t="s">
        <v>652</v>
      </c>
      <c r="AE44" s="616" t="s">
        <v>656</v>
      </c>
      <c r="AF44" s="617"/>
      <c r="AG44" s="617"/>
      <c r="AH44" s="618"/>
      <c r="AI44" s="619" t="s">
        <v>652</v>
      </c>
      <c r="AJ44" s="616" t="s">
        <v>656</v>
      </c>
      <c r="AK44" s="617"/>
      <c r="AL44" s="617"/>
      <c r="AM44" s="618"/>
      <c r="AN44" s="619" t="s">
        <v>652</v>
      </c>
      <c r="AO44" s="616" t="s">
        <v>656</v>
      </c>
      <c r="AP44" s="617"/>
      <c r="AQ44" s="617"/>
      <c r="AR44" s="618"/>
      <c r="AS44" s="619" t="s">
        <v>652</v>
      </c>
      <c r="AT44" s="616" t="s">
        <v>656</v>
      </c>
      <c r="AU44" s="617"/>
      <c r="AV44" s="617"/>
      <c r="AW44" s="618"/>
      <c r="AX44" s="619" t="s">
        <v>652</v>
      </c>
    </row>
    <row r="45" spans="2:50">
      <c r="B45" s="619"/>
      <c r="C45" s="619"/>
      <c r="D45" s="619"/>
      <c r="E45" s="619" t="s">
        <v>657</v>
      </c>
      <c r="F45" s="619"/>
      <c r="G45" s="619"/>
      <c r="H45" s="636"/>
      <c r="I45" s="603" t="s">
        <v>657</v>
      </c>
      <c r="J45" s="603"/>
      <c r="K45" s="603"/>
      <c r="L45" s="605"/>
      <c r="M45" s="611"/>
      <c r="N45" s="619"/>
      <c r="O45" s="619"/>
      <c r="P45" s="616" t="s">
        <v>658</v>
      </c>
      <c r="Q45" s="617"/>
      <c r="R45" s="617"/>
      <c r="S45" s="618"/>
      <c r="T45" s="619"/>
      <c r="U45" s="616" t="s">
        <v>658</v>
      </c>
      <c r="V45" s="617"/>
      <c r="W45" s="617"/>
      <c r="X45" s="618"/>
      <c r="Y45" s="619"/>
      <c r="Z45" s="616" t="s">
        <v>658</v>
      </c>
      <c r="AA45" s="617"/>
      <c r="AB45" s="617"/>
      <c r="AC45" s="618"/>
      <c r="AD45" s="619"/>
      <c r="AE45" s="616" t="s">
        <v>658</v>
      </c>
      <c r="AF45" s="617"/>
      <c r="AG45" s="617"/>
      <c r="AH45" s="618"/>
      <c r="AI45" s="619"/>
      <c r="AJ45" s="616" t="s">
        <v>658</v>
      </c>
      <c r="AK45" s="617"/>
      <c r="AL45" s="617"/>
      <c r="AM45" s="618"/>
      <c r="AN45" s="619"/>
      <c r="AO45" s="616" t="s">
        <v>658</v>
      </c>
      <c r="AP45" s="617"/>
      <c r="AQ45" s="617"/>
      <c r="AR45" s="618"/>
      <c r="AS45" s="619"/>
      <c r="AT45" s="616" t="s">
        <v>658</v>
      </c>
      <c r="AU45" s="617"/>
      <c r="AV45" s="617"/>
      <c r="AW45" s="618"/>
      <c r="AX45" s="619"/>
    </row>
    <row r="46" spans="2:50">
      <c r="B46" s="619"/>
      <c r="C46" s="619"/>
      <c r="D46" s="619"/>
      <c r="E46" s="335" t="s">
        <v>659</v>
      </c>
      <c r="F46" s="335" t="s">
        <v>660</v>
      </c>
      <c r="G46" s="335" t="s">
        <v>661</v>
      </c>
      <c r="H46" s="637"/>
      <c r="I46" s="334" t="s">
        <v>659</v>
      </c>
      <c r="J46" s="334" t="s">
        <v>660</v>
      </c>
      <c r="K46" s="334" t="s">
        <v>661</v>
      </c>
      <c r="L46" s="606"/>
      <c r="M46" s="612"/>
      <c r="N46" s="619"/>
      <c r="O46" s="619"/>
      <c r="P46" s="335" t="s">
        <v>659</v>
      </c>
      <c r="Q46" s="335" t="s">
        <v>660</v>
      </c>
      <c r="R46" s="335" t="s">
        <v>661</v>
      </c>
      <c r="S46" s="335" t="s">
        <v>654</v>
      </c>
      <c r="T46" s="619"/>
      <c r="U46" s="335" t="s">
        <v>659</v>
      </c>
      <c r="V46" s="335" t="s">
        <v>660</v>
      </c>
      <c r="W46" s="335" t="s">
        <v>661</v>
      </c>
      <c r="X46" s="335" t="s">
        <v>654</v>
      </c>
      <c r="Y46" s="619"/>
      <c r="Z46" s="335" t="s">
        <v>659</v>
      </c>
      <c r="AA46" s="335" t="s">
        <v>660</v>
      </c>
      <c r="AB46" s="335" t="s">
        <v>661</v>
      </c>
      <c r="AC46" s="335" t="s">
        <v>654</v>
      </c>
      <c r="AD46" s="619"/>
      <c r="AE46" s="335" t="s">
        <v>659</v>
      </c>
      <c r="AF46" s="335" t="s">
        <v>660</v>
      </c>
      <c r="AG46" s="335" t="s">
        <v>661</v>
      </c>
      <c r="AH46" s="335" t="s">
        <v>654</v>
      </c>
      <c r="AI46" s="619"/>
      <c r="AJ46" s="335" t="s">
        <v>659</v>
      </c>
      <c r="AK46" s="335" t="s">
        <v>660</v>
      </c>
      <c r="AL46" s="335" t="s">
        <v>661</v>
      </c>
      <c r="AM46" s="335" t="s">
        <v>654</v>
      </c>
      <c r="AN46" s="619"/>
      <c r="AO46" s="335" t="s">
        <v>659</v>
      </c>
      <c r="AP46" s="335" t="s">
        <v>660</v>
      </c>
      <c r="AQ46" s="335" t="s">
        <v>661</v>
      </c>
      <c r="AR46" s="335" t="s">
        <v>654</v>
      </c>
      <c r="AS46" s="619"/>
      <c r="AT46" s="335" t="s">
        <v>659</v>
      </c>
      <c r="AU46" s="335" t="s">
        <v>660</v>
      </c>
      <c r="AV46" s="335" t="s">
        <v>661</v>
      </c>
      <c r="AW46" s="335" t="s">
        <v>654</v>
      </c>
      <c r="AX46" s="619"/>
    </row>
    <row r="47" spans="2:50">
      <c r="B47" s="619" t="s">
        <v>663</v>
      </c>
      <c r="C47" s="336">
        <v>1</v>
      </c>
      <c r="D47" s="228" t="s">
        <v>388</v>
      </c>
      <c r="E47" s="183">
        <v>18</v>
      </c>
      <c r="F47" s="470">
        <v>1440</v>
      </c>
      <c r="G47" s="471">
        <v>80</v>
      </c>
      <c r="H47" s="661">
        <f>AVERAGE(G47:G61)</f>
        <v>84.066666666666649</v>
      </c>
      <c r="I47" s="200">
        <f>AVERAGE(P47,U47,Z47,AE47,AJ47,AO47,AT47)</f>
        <v>18</v>
      </c>
      <c r="J47" s="200">
        <f>AVERAGE(Q47,V47,AA47,AF47,AK47,AP47,AU47)</f>
        <v>1275.3750669022852</v>
      </c>
      <c r="K47" s="201">
        <f>AVERAGE(R47,W47,AB47,AG47,AL47,AQ47,AV47)</f>
        <v>70.854170383460286</v>
      </c>
      <c r="L47" s="600">
        <f>IFERROR(AVERAGE(K47:K61),"-")</f>
        <v>71.899258249759882</v>
      </c>
      <c r="M47" s="202">
        <f>RANK(K47, K$47:$K$61)</f>
        <v>9</v>
      </c>
      <c r="N47" s="619"/>
      <c r="O47" s="619"/>
      <c r="P47" s="183">
        <v>18</v>
      </c>
      <c r="Q47" s="183">
        <v>1256.5903846153853</v>
      </c>
      <c r="R47" s="183">
        <v>69.810576923076965</v>
      </c>
      <c r="S47" s="343">
        <f>RANK(R47, R$47:R$61)</f>
        <v>9</v>
      </c>
      <c r="T47" s="661">
        <f>AVERAGE(R47:R61)</f>
        <v>71.748278654209329</v>
      </c>
      <c r="U47" s="183">
        <v>18</v>
      </c>
      <c r="V47" s="183">
        <v>1281.6371134020624</v>
      </c>
      <c r="W47" s="183">
        <v>71.202061855670138</v>
      </c>
      <c r="X47" s="520">
        <f t="shared" ref="X47:X61" si="109">RANK(W47, W$47:W$61)</f>
        <v>8</v>
      </c>
      <c r="Y47" s="661">
        <f t="shared" ref="Y47" si="110">AVERAGE(W47:W61)</f>
        <v>71.517574123721289</v>
      </c>
      <c r="Z47" s="183">
        <v>18</v>
      </c>
      <c r="AA47" s="183">
        <v>1254.6195652173915</v>
      </c>
      <c r="AB47" s="183">
        <v>69.701086956521749</v>
      </c>
      <c r="AC47" s="520">
        <f t="shared" ref="AC47:AC61" si="111">RANK(AB47, AB$47:AB$61)</f>
        <v>9</v>
      </c>
      <c r="AD47" s="661">
        <f t="shared" ref="AD47" si="112">AVERAGE(AB47:AB61)</f>
        <v>72.94473159068734</v>
      </c>
      <c r="AE47" s="183">
        <v>18</v>
      </c>
      <c r="AF47" s="183">
        <v>1273.1250000000005</v>
      </c>
      <c r="AG47" s="183">
        <v>70.729166666666686</v>
      </c>
      <c r="AH47" s="520">
        <f t="shared" ref="AH47:AH61" si="113">RANK(AG47, AG$47:AG$61)</f>
        <v>7</v>
      </c>
      <c r="AI47" s="661">
        <f t="shared" ref="AI47" si="114">AVERAGE(AG47:AG61)</f>
        <v>70.484907338997147</v>
      </c>
      <c r="AJ47" s="183">
        <v>18</v>
      </c>
      <c r="AK47" s="183">
        <v>1271.0091743119265</v>
      </c>
      <c r="AL47" s="183">
        <v>70.611620795107029</v>
      </c>
      <c r="AM47" s="520">
        <f t="shared" ref="AM47:AM61" si="115">RANK(AL47, AL$47:AL$61)</f>
        <v>8</v>
      </c>
      <c r="AN47" s="661">
        <f t="shared" ref="AN47" si="116">AVERAGE(AL47:AL61)</f>
        <v>71.165042362070196</v>
      </c>
      <c r="AO47" s="183">
        <v>18</v>
      </c>
      <c r="AP47" s="183">
        <v>1291.8749999999998</v>
      </c>
      <c r="AQ47" s="183">
        <v>71.770833333333314</v>
      </c>
      <c r="AR47" s="520">
        <f t="shared" ref="AR47:AR61" si="117">RANK(AQ47, AQ$47:AQ$61)</f>
        <v>8</v>
      </c>
      <c r="AS47" s="661">
        <f t="shared" ref="AS47" si="118">AVERAGE(AQ47:AQ61)</f>
        <v>72.947734166796508</v>
      </c>
      <c r="AT47" s="183">
        <v>18</v>
      </c>
      <c r="AU47" s="183">
        <v>1298.7692307692305</v>
      </c>
      <c r="AV47" s="183">
        <v>72.153846153846132</v>
      </c>
      <c r="AW47" s="520">
        <f t="shared" ref="AW47:AW61" si="119">RANK(AV47, AV$47:AV$61)</f>
        <v>6</v>
      </c>
      <c r="AX47" s="658">
        <f t="shared" ref="AX47" si="120">AVERAGE(AV47:AV61)</f>
        <v>72.486539511837265</v>
      </c>
    </row>
    <row r="48" spans="2:50">
      <c r="B48" s="627"/>
      <c r="C48" s="336">
        <v>2</v>
      </c>
      <c r="D48" s="228" t="s">
        <v>389</v>
      </c>
      <c r="E48" s="183">
        <v>19</v>
      </c>
      <c r="F48" s="470">
        <v>1440</v>
      </c>
      <c r="G48" s="471">
        <v>75.8</v>
      </c>
      <c r="H48" s="662"/>
      <c r="I48" s="200">
        <f t="shared" ref="I48:I53" si="121">AVERAGE(P48,U48,Z48,AE48,AJ48,AO48,AT48)</f>
        <v>18</v>
      </c>
      <c r="J48" s="200">
        <f t="shared" ref="J48:J53" si="122">AVERAGE(Q48,V48,AA48,AF48,AK48,AP48,AU48)</f>
        <v>1275.4435829458857</v>
      </c>
      <c r="K48" s="201">
        <f t="shared" ref="K48:K53" si="123">AVERAGE(R48,W48,AB48,AG48,AL48,AQ48,AV48)</f>
        <v>70.857976830327004</v>
      </c>
      <c r="L48" s="601"/>
      <c r="M48" s="202">
        <f>RANK(K48, K$47:$K$61)</f>
        <v>8</v>
      </c>
      <c r="N48" s="619"/>
      <c r="O48" s="619"/>
      <c r="P48" s="183">
        <v>18</v>
      </c>
      <c r="Q48" s="183">
        <v>1264.8648648648641</v>
      </c>
      <c r="R48" s="183">
        <v>70.270270270270231</v>
      </c>
      <c r="S48" s="343">
        <f t="shared" ref="S48:S61" si="124">RANK(R48, R$47:R$61)</f>
        <v>8</v>
      </c>
      <c r="T48" s="662"/>
      <c r="U48" s="183">
        <v>18</v>
      </c>
      <c r="V48" s="183">
        <v>1287.5675675675666</v>
      </c>
      <c r="W48" s="183">
        <v>71.531531531531471</v>
      </c>
      <c r="X48" s="520">
        <f t="shared" si="109"/>
        <v>7</v>
      </c>
      <c r="Y48" s="662"/>
      <c r="Z48" s="183">
        <v>18</v>
      </c>
      <c r="AA48" s="183">
        <v>1289.1428571428557</v>
      </c>
      <c r="AB48" s="183">
        <v>71.619047619047535</v>
      </c>
      <c r="AC48" s="520">
        <f t="shared" si="111"/>
        <v>7</v>
      </c>
      <c r="AD48" s="662"/>
      <c r="AE48" s="183">
        <v>18</v>
      </c>
      <c r="AF48" s="183">
        <v>1244.5161290322562</v>
      </c>
      <c r="AG48" s="183">
        <v>69.13978494623646</v>
      </c>
      <c r="AH48" s="520">
        <f t="shared" si="113"/>
        <v>8</v>
      </c>
      <c r="AI48" s="662"/>
      <c r="AJ48" s="183">
        <v>18</v>
      </c>
      <c r="AK48" s="183">
        <v>1285.7142857142844</v>
      </c>
      <c r="AL48" s="183">
        <v>71.42857142857136</v>
      </c>
      <c r="AM48" s="520">
        <f t="shared" si="115"/>
        <v>7</v>
      </c>
      <c r="AN48" s="662"/>
      <c r="AO48" s="183">
        <v>18</v>
      </c>
      <c r="AP48" s="183">
        <v>1278.4615384615377</v>
      </c>
      <c r="AQ48" s="183">
        <v>71.025641025640979</v>
      </c>
      <c r="AR48" s="520">
        <f t="shared" si="117"/>
        <v>9</v>
      </c>
      <c r="AS48" s="662"/>
      <c r="AT48" s="183">
        <v>18</v>
      </c>
      <c r="AU48" s="183">
        <v>1277.8378378378368</v>
      </c>
      <c r="AV48" s="183">
        <v>70.990990990990937</v>
      </c>
      <c r="AW48" s="520">
        <f t="shared" si="119"/>
        <v>9</v>
      </c>
      <c r="AX48" s="658"/>
    </row>
    <row r="49" spans="2:50">
      <c r="B49" s="627"/>
      <c r="C49" s="336">
        <v>3</v>
      </c>
      <c r="D49" s="228" t="s">
        <v>391</v>
      </c>
      <c r="E49" s="183">
        <v>17</v>
      </c>
      <c r="F49" s="470">
        <v>1636</v>
      </c>
      <c r="G49" s="471">
        <v>96.3</v>
      </c>
      <c r="H49" s="662"/>
      <c r="I49" s="200">
        <f t="shared" si="121"/>
        <v>17.142857142857142</v>
      </c>
      <c r="J49" s="200">
        <f t="shared" si="122"/>
        <v>1376.4817065802256</v>
      </c>
      <c r="K49" s="201">
        <f t="shared" si="123"/>
        <v>80.30284548511132</v>
      </c>
      <c r="L49" s="601"/>
      <c r="M49" s="202">
        <f>RANK(K49, K$47:$K$61)</f>
        <v>1</v>
      </c>
      <c r="N49" s="619"/>
      <c r="O49" s="619"/>
      <c r="P49" s="183">
        <v>18</v>
      </c>
      <c r="Q49" s="183">
        <v>1427.9999999999975</v>
      </c>
      <c r="R49" s="183">
        <v>79.333333333333201</v>
      </c>
      <c r="S49" s="343">
        <f t="shared" si="124"/>
        <v>1</v>
      </c>
      <c r="T49" s="662"/>
      <c r="U49" s="183">
        <v>17</v>
      </c>
      <c r="V49" s="183">
        <v>1314.5454545454529</v>
      </c>
      <c r="W49" s="183">
        <v>77.326203208556052</v>
      </c>
      <c r="X49" s="520">
        <f t="shared" si="109"/>
        <v>2</v>
      </c>
      <c r="Y49" s="662"/>
      <c r="Z49" s="183">
        <v>17</v>
      </c>
      <c r="AA49" s="183">
        <v>1475.555555555552</v>
      </c>
      <c r="AB49" s="183">
        <v>86.797385620914824</v>
      </c>
      <c r="AC49" s="520">
        <f t="shared" si="111"/>
        <v>1</v>
      </c>
      <c r="AD49" s="662"/>
      <c r="AE49" s="183">
        <v>17</v>
      </c>
      <c r="AF49" s="183">
        <v>1220.0000000000005</v>
      </c>
      <c r="AG49" s="183">
        <v>71.76470588235297</v>
      </c>
      <c r="AH49" s="520">
        <f t="shared" si="113"/>
        <v>5</v>
      </c>
      <c r="AI49" s="662"/>
      <c r="AJ49" s="183">
        <v>17</v>
      </c>
      <c r="AK49" s="183">
        <v>1332.4137931034384</v>
      </c>
      <c r="AL49" s="183">
        <v>78.377281947261082</v>
      </c>
      <c r="AM49" s="520">
        <f t="shared" si="115"/>
        <v>1</v>
      </c>
      <c r="AN49" s="662"/>
      <c r="AO49" s="183">
        <v>17</v>
      </c>
      <c r="AP49" s="183">
        <v>1452.8571428571397</v>
      </c>
      <c r="AQ49" s="183">
        <v>85.462184873949397</v>
      </c>
      <c r="AR49" s="520">
        <f t="shared" si="117"/>
        <v>1</v>
      </c>
      <c r="AS49" s="662"/>
      <c r="AT49" s="183">
        <v>17</v>
      </c>
      <c r="AU49" s="183">
        <v>1411.9999999999975</v>
      </c>
      <c r="AV49" s="183">
        <v>83.058823529411612</v>
      </c>
      <c r="AW49" s="520">
        <f t="shared" si="119"/>
        <v>1</v>
      </c>
      <c r="AX49" s="658"/>
    </row>
    <row r="50" spans="2:50">
      <c r="B50" s="627"/>
      <c r="C50" s="336">
        <v>4</v>
      </c>
      <c r="D50" s="228" t="s">
        <v>390</v>
      </c>
      <c r="E50" s="183">
        <v>17</v>
      </c>
      <c r="F50" s="470">
        <v>1440</v>
      </c>
      <c r="G50" s="471">
        <v>84.7</v>
      </c>
      <c r="H50" s="662"/>
      <c r="I50" s="200">
        <f t="shared" si="121"/>
        <v>17</v>
      </c>
      <c r="J50" s="200">
        <f t="shared" si="122"/>
        <v>1276.9340338178361</v>
      </c>
      <c r="K50" s="201">
        <f t="shared" si="123"/>
        <v>75.113766695166831</v>
      </c>
      <c r="L50" s="601"/>
      <c r="M50" s="202">
        <f>RANK(K50, K$47:$K$61)</f>
        <v>4</v>
      </c>
      <c r="N50" s="619"/>
      <c r="O50" s="619"/>
      <c r="P50" s="183">
        <v>17</v>
      </c>
      <c r="Q50" s="183">
        <v>1283.5862068965519</v>
      </c>
      <c r="R50" s="183">
        <v>75.505070993914813</v>
      </c>
      <c r="S50" s="343">
        <f t="shared" si="124"/>
        <v>4</v>
      </c>
      <c r="T50" s="662"/>
      <c r="U50" s="183">
        <v>17</v>
      </c>
      <c r="V50" s="183">
        <v>1279.5675675675675</v>
      </c>
      <c r="W50" s="183">
        <v>75.268680445151034</v>
      </c>
      <c r="X50" s="520">
        <f t="shared" si="109"/>
        <v>3</v>
      </c>
      <c r="Y50" s="662"/>
      <c r="Z50" s="183">
        <v>17</v>
      </c>
      <c r="AA50" s="183">
        <v>1283.7735849056598</v>
      </c>
      <c r="AB50" s="183">
        <v>75.516093229744698</v>
      </c>
      <c r="AC50" s="520">
        <f t="shared" si="111"/>
        <v>5</v>
      </c>
      <c r="AD50" s="662"/>
      <c r="AE50" s="183">
        <v>17</v>
      </c>
      <c r="AF50" s="183">
        <v>1263.8181818181818</v>
      </c>
      <c r="AG50" s="183">
        <v>74.342245989304814</v>
      </c>
      <c r="AH50" s="520">
        <f t="shared" si="113"/>
        <v>3</v>
      </c>
      <c r="AI50" s="662"/>
      <c r="AJ50" s="183">
        <v>17</v>
      </c>
      <c r="AK50" s="183">
        <v>1276.7213114754093</v>
      </c>
      <c r="AL50" s="183">
        <v>75.101253616200552</v>
      </c>
      <c r="AM50" s="520">
        <f t="shared" si="115"/>
        <v>4</v>
      </c>
      <c r="AN50" s="662"/>
      <c r="AO50" s="183">
        <v>17</v>
      </c>
      <c r="AP50" s="183">
        <v>1293.566433566433</v>
      </c>
      <c r="AQ50" s="183">
        <v>76.092143150966649</v>
      </c>
      <c r="AR50" s="520">
        <f t="shared" si="117"/>
        <v>4</v>
      </c>
      <c r="AS50" s="662"/>
      <c r="AT50" s="183">
        <v>17</v>
      </c>
      <c r="AU50" s="183">
        <v>1257.5049504950498</v>
      </c>
      <c r="AV50" s="183">
        <v>73.970879440885284</v>
      </c>
      <c r="AW50" s="520">
        <f t="shared" si="119"/>
        <v>5</v>
      </c>
      <c r="AX50" s="658"/>
    </row>
    <row r="51" spans="2:50">
      <c r="B51" s="627"/>
      <c r="C51" s="336">
        <v>5</v>
      </c>
      <c r="D51" s="228" t="s">
        <v>392</v>
      </c>
      <c r="E51" s="183">
        <v>17</v>
      </c>
      <c r="F51" s="470">
        <v>1440</v>
      </c>
      <c r="G51" s="471">
        <v>84.7</v>
      </c>
      <c r="H51" s="662"/>
      <c r="I51" s="200">
        <f t="shared" si="121"/>
        <v>17.142857142857142</v>
      </c>
      <c r="J51" s="200">
        <f t="shared" si="122"/>
        <v>1236.1045229533963</v>
      </c>
      <c r="K51" s="201">
        <f t="shared" si="123"/>
        <v>72.109789865605961</v>
      </c>
      <c r="L51" s="601"/>
      <c r="M51" s="202">
        <f>RANK(K51, K$47:$K$61)</f>
        <v>7</v>
      </c>
      <c r="N51" s="619"/>
      <c r="O51" s="619"/>
      <c r="P51" s="183">
        <v>18</v>
      </c>
      <c r="Q51" s="183">
        <v>1289.9999999999982</v>
      </c>
      <c r="R51" s="183">
        <v>71.666666666666572</v>
      </c>
      <c r="S51" s="343">
        <f t="shared" si="124"/>
        <v>7</v>
      </c>
      <c r="T51" s="662"/>
      <c r="U51" s="183">
        <v>17</v>
      </c>
      <c r="V51" s="183">
        <v>1164.3243243243282</v>
      </c>
      <c r="W51" s="183">
        <v>68.489666136725191</v>
      </c>
      <c r="X51" s="520">
        <f t="shared" si="109"/>
        <v>9</v>
      </c>
      <c r="Y51" s="662"/>
      <c r="Z51" s="183">
        <v>17</v>
      </c>
      <c r="AA51" s="183">
        <v>1286.2499999999982</v>
      </c>
      <c r="AB51" s="183">
        <v>75.661764705882248</v>
      </c>
      <c r="AC51" s="520">
        <f t="shared" si="111"/>
        <v>4</v>
      </c>
      <c r="AD51" s="662"/>
      <c r="AE51" s="183">
        <v>17</v>
      </c>
      <c r="AF51" s="183">
        <v>1142.0689655172487</v>
      </c>
      <c r="AG51" s="183">
        <v>67.180527383367576</v>
      </c>
      <c r="AH51" s="520">
        <f t="shared" si="113"/>
        <v>9</v>
      </c>
      <c r="AI51" s="662"/>
      <c r="AJ51" s="183">
        <v>17</v>
      </c>
      <c r="AK51" s="183">
        <v>1227.0967741935494</v>
      </c>
      <c r="AL51" s="183">
        <v>72.182163187855849</v>
      </c>
      <c r="AM51" s="520">
        <f t="shared" si="115"/>
        <v>6</v>
      </c>
      <c r="AN51" s="662"/>
      <c r="AO51" s="183">
        <v>17</v>
      </c>
      <c r="AP51" s="183">
        <v>1258.2857142857131</v>
      </c>
      <c r="AQ51" s="183">
        <v>74.016806722689012</v>
      </c>
      <c r="AR51" s="520">
        <f t="shared" si="117"/>
        <v>6</v>
      </c>
      <c r="AS51" s="662"/>
      <c r="AT51" s="183">
        <v>17</v>
      </c>
      <c r="AU51" s="183">
        <v>1284.7058823529396</v>
      </c>
      <c r="AV51" s="183">
        <v>75.570934256055267</v>
      </c>
      <c r="AW51" s="520">
        <f t="shared" si="119"/>
        <v>4</v>
      </c>
      <c r="AX51" s="658"/>
    </row>
    <row r="52" spans="2:50">
      <c r="B52" s="627"/>
      <c r="C52" s="336">
        <v>6</v>
      </c>
      <c r="D52" s="228" t="s">
        <v>393</v>
      </c>
      <c r="E52" s="183">
        <v>19</v>
      </c>
      <c r="F52" s="470">
        <v>1385</v>
      </c>
      <c r="G52" s="471">
        <v>72.900000000000006</v>
      </c>
      <c r="H52" s="662"/>
      <c r="I52" s="200">
        <f t="shared" si="121"/>
        <v>19</v>
      </c>
      <c r="J52" s="200">
        <f t="shared" si="122"/>
        <v>1232.1685696337522</v>
      </c>
      <c r="K52" s="201">
        <f t="shared" si="123"/>
        <v>64.850977349144856</v>
      </c>
      <c r="L52" s="601"/>
      <c r="M52" s="202">
        <f>RANK(K52, K$47:$K$61)</f>
        <v>11</v>
      </c>
      <c r="N52" s="619"/>
      <c r="O52" s="619"/>
      <c r="P52" s="183">
        <v>19</v>
      </c>
      <c r="Q52" s="183">
        <v>1217.1428571428576</v>
      </c>
      <c r="R52" s="183">
        <v>64.06015037593987</v>
      </c>
      <c r="S52" s="343">
        <f t="shared" si="124"/>
        <v>11</v>
      </c>
      <c r="T52" s="662"/>
      <c r="U52" s="183">
        <v>19</v>
      </c>
      <c r="V52" s="183">
        <v>1245.2727272727282</v>
      </c>
      <c r="W52" s="183">
        <v>65.540669856459374</v>
      </c>
      <c r="X52" s="520">
        <f t="shared" si="109"/>
        <v>11</v>
      </c>
      <c r="Y52" s="662"/>
      <c r="Z52" s="183">
        <v>19</v>
      </c>
      <c r="AA52" s="183">
        <v>1213.4042553191491</v>
      </c>
      <c r="AB52" s="183">
        <v>63.863381858902585</v>
      </c>
      <c r="AC52" s="520">
        <f t="shared" si="111"/>
        <v>11</v>
      </c>
      <c r="AD52" s="662"/>
      <c r="AE52" s="183">
        <v>19</v>
      </c>
      <c r="AF52" s="183">
        <v>1218.8764044943821</v>
      </c>
      <c r="AG52" s="183">
        <v>64.151389710230632</v>
      </c>
      <c r="AH52" s="520">
        <f t="shared" si="113"/>
        <v>11</v>
      </c>
      <c r="AI52" s="662"/>
      <c r="AJ52" s="183">
        <v>19</v>
      </c>
      <c r="AK52" s="183">
        <v>1251.0638297872342</v>
      </c>
      <c r="AL52" s="183">
        <v>65.845464725643907</v>
      </c>
      <c r="AM52" s="520">
        <f t="shared" si="115"/>
        <v>10</v>
      </c>
      <c r="AN52" s="662"/>
      <c r="AO52" s="183">
        <v>19</v>
      </c>
      <c r="AP52" s="183">
        <v>1235.238095238095</v>
      </c>
      <c r="AQ52" s="183">
        <v>65.01253132832079</v>
      </c>
      <c r="AR52" s="520">
        <f t="shared" si="117"/>
        <v>11</v>
      </c>
      <c r="AS52" s="662"/>
      <c r="AT52" s="183">
        <v>19</v>
      </c>
      <c r="AU52" s="183">
        <v>1244.1818181818189</v>
      </c>
      <c r="AV52" s="183">
        <v>65.483253588516789</v>
      </c>
      <c r="AW52" s="520">
        <f t="shared" si="119"/>
        <v>11</v>
      </c>
      <c r="AX52" s="658"/>
    </row>
    <row r="53" spans="2:50">
      <c r="B53" s="627"/>
      <c r="C53" s="336">
        <v>7</v>
      </c>
      <c r="D53" s="228" t="s">
        <v>394</v>
      </c>
      <c r="E53" s="183">
        <v>19</v>
      </c>
      <c r="F53" s="470">
        <v>1440</v>
      </c>
      <c r="G53" s="471">
        <v>75.8</v>
      </c>
      <c r="H53" s="662"/>
      <c r="I53" s="200">
        <f t="shared" si="121"/>
        <v>19</v>
      </c>
      <c r="J53" s="200">
        <f t="shared" si="122"/>
        <v>1281.1805981585453</v>
      </c>
      <c r="K53" s="201">
        <f t="shared" si="123"/>
        <v>67.430557797818182</v>
      </c>
      <c r="L53" s="601"/>
      <c r="M53" s="202">
        <f>RANK(K53, K$47:$K$61)</f>
        <v>10</v>
      </c>
      <c r="N53" s="619"/>
      <c r="O53" s="619"/>
      <c r="P53" s="183">
        <v>19</v>
      </c>
      <c r="Q53" s="183">
        <v>1282.0588235294135</v>
      </c>
      <c r="R53" s="183">
        <v>67.476780185758614</v>
      </c>
      <c r="S53" s="343">
        <f t="shared" si="124"/>
        <v>10</v>
      </c>
      <c r="T53" s="662"/>
      <c r="U53" s="183">
        <v>19</v>
      </c>
      <c r="V53" s="183">
        <v>1287.7611940298523</v>
      </c>
      <c r="W53" s="183">
        <v>67.776904948939588</v>
      </c>
      <c r="X53" s="520">
        <f t="shared" si="109"/>
        <v>10</v>
      </c>
      <c r="Y53" s="662"/>
      <c r="Z53" s="183">
        <v>19</v>
      </c>
      <c r="AA53" s="183">
        <v>1291.4754098360668</v>
      </c>
      <c r="AB53" s="183">
        <v>67.972389991371941</v>
      </c>
      <c r="AC53" s="520">
        <f t="shared" si="111"/>
        <v>10</v>
      </c>
      <c r="AD53" s="662"/>
      <c r="AE53" s="183">
        <v>19</v>
      </c>
      <c r="AF53" s="183">
        <v>1264.8387096774204</v>
      </c>
      <c r="AG53" s="183">
        <v>66.570458404074756</v>
      </c>
      <c r="AH53" s="520">
        <f t="shared" si="113"/>
        <v>10</v>
      </c>
      <c r="AI53" s="662"/>
      <c r="AJ53" s="183">
        <v>19</v>
      </c>
      <c r="AK53" s="183">
        <v>1294.6875000000016</v>
      </c>
      <c r="AL53" s="183">
        <v>68.14144736842114</v>
      </c>
      <c r="AM53" s="520">
        <f t="shared" si="115"/>
        <v>9</v>
      </c>
      <c r="AN53" s="662"/>
      <c r="AO53" s="183">
        <v>19</v>
      </c>
      <c r="AP53" s="183">
        <v>1266.3157894736833</v>
      </c>
      <c r="AQ53" s="183">
        <v>66.648199445983323</v>
      </c>
      <c r="AR53" s="520">
        <f t="shared" si="117"/>
        <v>10</v>
      </c>
      <c r="AS53" s="662"/>
      <c r="AT53" s="183">
        <v>19</v>
      </c>
      <c r="AU53" s="183">
        <v>1281.1267605633789</v>
      </c>
      <c r="AV53" s="183">
        <v>67.427724240177838</v>
      </c>
      <c r="AW53" s="520">
        <f t="shared" si="119"/>
        <v>10</v>
      </c>
      <c r="AX53" s="658"/>
    </row>
    <row r="54" spans="2:50">
      <c r="B54" s="627"/>
      <c r="C54" s="336">
        <v>8</v>
      </c>
      <c r="D54" s="228" t="s">
        <v>745</v>
      </c>
      <c r="E54" s="183">
        <v>17</v>
      </c>
      <c r="F54" s="470">
        <v>1385</v>
      </c>
      <c r="G54" s="471">
        <v>81.400000000000006</v>
      </c>
      <c r="H54" s="662"/>
      <c r="I54" s="447">
        <f t="shared" ref="I54:I56" si="125">AVERAGE(P54,U54,Z54,AE54,AJ54,AO54,AT54)</f>
        <v>17</v>
      </c>
      <c r="J54" s="447">
        <f t="shared" ref="J54:J56" si="126">AVERAGE(Q54,V54,AA54,AF54,AK54,AP54,AU54)</f>
        <v>1228.1965738875986</v>
      </c>
      <c r="K54" s="201">
        <f t="shared" ref="K54:K56" si="127">AVERAGE(R54,W54,AB54,AG54,AL54,AQ54,AV54)</f>
        <v>72.246857287505804</v>
      </c>
      <c r="L54" s="601"/>
      <c r="M54" s="202">
        <f>RANK(K54, K$47:$K$61)</f>
        <v>6</v>
      </c>
      <c r="N54" s="619"/>
      <c r="O54" s="619"/>
      <c r="P54" s="183">
        <v>17</v>
      </c>
      <c r="Q54" s="183">
        <v>1241.9999999999995</v>
      </c>
      <c r="R54" s="183">
        <v>73.05882352941174</v>
      </c>
      <c r="S54" s="343">
        <f t="shared" si="124"/>
        <v>5</v>
      </c>
      <c r="T54" s="662"/>
      <c r="U54" s="183">
        <v>17</v>
      </c>
      <c r="V54" s="183">
        <v>1234.2857142857135</v>
      </c>
      <c r="W54" s="183">
        <v>72.605042016806678</v>
      </c>
      <c r="X54" s="520">
        <f t="shared" si="109"/>
        <v>6</v>
      </c>
      <c r="Y54" s="662"/>
      <c r="Z54" s="183">
        <v>17</v>
      </c>
      <c r="AA54" s="183">
        <v>1213.3333333333323</v>
      </c>
      <c r="AB54" s="183">
        <v>71.372549019607789</v>
      </c>
      <c r="AC54" s="520">
        <f t="shared" si="111"/>
        <v>8</v>
      </c>
      <c r="AD54" s="662"/>
      <c r="AE54" s="183">
        <v>17</v>
      </c>
      <c r="AF54" s="183">
        <v>1205.7313432835836</v>
      </c>
      <c r="AG54" s="183">
        <v>70.925373134328439</v>
      </c>
      <c r="AH54" s="520">
        <f t="shared" si="113"/>
        <v>6</v>
      </c>
      <c r="AI54" s="662"/>
      <c r="AJ54" s="183">
        <v>17</v>
      </c>
      <c r="AK54" s="183">
        <v>1239.5076923076936</v>
      </c>
      <c r="AL54" s="183">
        <v>72.912217194570204</v>
      </c>
      <c r="AM54" s="520">
        <f t="shared" si="115"/>
        <v>5</v>
      </c>
      <c r="AN54" s="662"/>
      <c r="AO54" s="183">
        <v>17</v>
      </c>
      <c r="AP54" s="183">
        <v>1241.3414634146336</v>
      </c>
      <c r="AQ54" s="183">
        <v>73.020086083213741</v>
      </c>
      <c r="AR54" s="520">
        <f t="shared" si="117"/>
        <v>7</v>
      </c>
      <c r="AS54" s="662"/>
      <c r="AT54" s="183">
        <v>17</v>
      </c>
      <c r="AU54" s="183">
        <v>1221.1764705882349</v>
      </c>
      <c r="AV54" s="183">
        <v>71.833910034602056</v>
      </c>
      <c r="AW54" s="520">
        <f t="shared" si="119"/>
        <v>8</v>
      </c>
      <c r="AX54" s="658"/>
    </row>
    <row r="55" spans="2:50">
      <c r="B55" s="627"/>
      <c r="C55" s="336">
        <v>9</v>
      </c>
      <c r="D55" s="228" t="s">
        <v>748</v>
      </c>
      <c r="E55" s="183">
        <v>19</v>
      </c>
      <c r="F55" s="470">
        <v>1385</v>
      </c>
      <c r="G55" s="471">
        <v>72.900000000000006</v>
      </c>
      <c r="H55" s="662"/>
      <c r="I55" s="447">
        <f t="shared" si="125"/>
        <v>20</v>
      </c>
      <c r="J55" s="447">
        <f t="shared" si="126"/>
        <v>1232.8712977410801</v>
      </c>
      <c r="K55" s="201">
        <f t="shared" si="127"/>
        <v>61.643564887054005</v>
      </c>
      <c r="L55" s="601"/>
      <c r="M55" s="202">
        <f>RANK(K55, K$47:$K$61)</f>
        <v>12</v>
      </c>
      <c r="N55" s="619"/>
      <c r="O55" s="619"/>
      <c r="P55" s="183">
        <v>20</v>
      </c>
      <c r="Q55" s="183">
        <v>1252.1739130434783</v>
      </c>
      <c r="R55" s="183">
        <v>62.608695652173914</v>
      </c>
      <c r="S55" s="343">
        <f t="shared" si="124"/>
        <v>12</v>
      </c>
      <c r="T55" s="662"/>
      <c r="U55" s="183">
        <v>20</v>
      </c>
      <c r="V55" s="183">
        <v>1229.3877551020412</v>
      </c>
      <c r="W55" s="183">
        <v>61.469387755102062</v>
      </c>
      <c r="X55" s="520">
        <f t="shared" si="109"/>
        <v>12</v>
      </c>
      <c r="Y55" s="662"/>
      <c r="Z55" s="183">
        <v>20</v>
      </c>
      <c r="AA55" s="183">
        <v>1237.3333333333335</v>
      </c>
      <c r="AB55" s="183">
        <v>61.866666666666674</v>
      </c>
      <c r="AC55" s="520">
        <f t="shared" si="111"/>
        <v>12</v>
      </c>
      <c r="AD55" s="662"/>
      <c r="AE55" s="183">
        <v>20</v>
      </c>
      <c r="AF55" s="183">
        <v>1239.512195121951</v>
      </c>
      <c r="AG55" s="183">
        <v>61.975609756097548</v>
      </c>
      <c r="AH55" s="520">
        <f t="shared" si="113"/>
        <v>12</v>
      </c>
      <c r="AI55" s="662"/>
      <c r="AJ55" s="183">
        <v>20</v>
      </c>
      <c r="AK55" s="183">
        <v>1194.5454545454545</v>
      </c>
      <c r="AL55" s="183">
        <v>59.727272727272727</v>
      </c>
      <c r="AM55" s="520">
        <f t="shared" si="115"/>
        <v>12</v>
      </c>
      <c r="AN55" s="662"/>
      <c r="AO55" s="183">
        <v>20</v>
      </c>
      <c r="AP55" s="183">
        <v>1223.5294117647065</v>
      </c>
      <c r="AQ55" s="183">
        <v>61.176470588235325</v>
      </c>
      <c r="AR55" s="520">
        <f t="shared" si="117"/>
        <v>12</v>
      </c>
      <c r="AS55" s="662"/>
      <c r="AT55" s="183">
        <v>20</v>
      </c>
      <c r="AU55" s="183">
        <v>1253.6170212765958</v>
      </c>
      <c r="AV55" s="183">
        <v>62.680851063829792</v>
      </c>
      <c r="AW55" s="520">
        <f t="shared" si="119"/>
        <v>12</v>
      </c>
      <c r="AX55" s="658"/>
    </row>
    <row r="56" spans="2:50">
      <c r="B56" s="627"/>
      <c r="C56" s="336">
        <v>10</v>
      </c>
      <c r="D56" s="228" t="s">
        <v>797</v>
      </c>
      <c r="E56" s="183">
        <v>15</v>
      </c>
      <c r="F56" s="470">
        <v>1565</v>
      </c>
      <c r="G56" s="471">
        <v>104.3</v>
      </c>
      <c r="H56" s="662"/>
      <c r="I56" s="447">
        <f t="shared" si="125"/>
        <v>15</v>
      </c>
      <c r="J56" s="447">
        <f t="shared" si="126"/>
        <v>1148.3185274109685</v>
      </c>
      <c r="K56" s="201">
        <f t="shared" si="127"/>
        <v>76.554568494064569</v>
      </c>
      <c r="L56" s="601"/>
      <c r="M56" s="202">
        <f>RANK(K56, K$47:$K$61)</f>
        <v>3</v>
      </c>
      <c r="N56" s="619"/>
      <c r="O56" s="619"/>
      <c r="P56" s="183">
        <v>15</v>
      </c>
      <c r="Q56" s="183">
        <v>1140.0000000000041</v>
      </c>
      <c r="R56" s="183">
        <v>76.00000000000027</v>
      </c>
      <c r="S56" s="343">
        <f t="shared" si="124"/>
        <v>3</v>
      </c>
      <c r="T56" s="662"/>
      <c r="U56" s="183">
        <v>15</v>
      </c>
      <c r="V56" s="183">
        <v>1166.6666666666708</v>
      </c>
      <c r="W56" s="183">
        <v>77.777777777778056</v>
      </c>
      <c r="X56" s="520">
        <f t="shared" si="109"/>
        <v>1</v>
      </c>
      <c r="Y56" s="662"/>
      <c r="Z56" s="183">
        <v>15</v>
      </c>
      <c r="AA56" s="183">
        <v>1157.6470588235336</v>
      </c>
      <c r="AB56" s="183">
        <v>77.176470588235574</v>
      </c>
      <c r="AC56" s="520">
        <f t="shared" si="111"/>
        <v>3</v>
      </c>
      <c r="AD56" s="662"/>
      <c r="AE56" s="183">
        <v>15</v>
      </c>
      <c r="AF56" s="183">
        <v>1110.0000000000039</v>
      </c>
      <c r="AG56" s="183">
        <v>74.000000000000256</v>
      </c>
      <c r="AH56" s="520">
        <f t="shared" si="113"/>
        <v>4</v>
      </c>
      <c r="AI56" s="662"/>
      <c r="AJ56" s="183">
        <v>15</v>
      </c>
      <c r="AK56" s="183">
        <v>1164.0000000000041</v>
      </c>
      <c r="AL56" s="183">
        <v>77.600000000000279</v>
      </c>
      <c r="AM56" s="520">
        <f t="shared" si="115"/>
        <v>3</v>
      </c>
      <c r="AN56" s="662"/>
      <c r="AO56" s="183">
        <v>15</v>
      </c>
      <c r="AP56" s="183">
        <v>1152.857142857147</v>
      </c>
      <c r="AQ56" s="183">
        <v>76.857142857143131</v>
      </c>
      <c r="AR56" s="520">
        <f t="shared" si="117"/>
        <v>3</v>
      </c>
      <c r="AS56" s="662"/>
      <c r="AT56" s="183">
        <v>15</v>
      </c>
      <c r="AU56" s="183">
        <v>1147.0588235294158</v>
      </c>
      <c r="AV56" s="183">
        <v>76.470588235294386</v>
      </c>
      <c r="AW56" s="520">
        <f t="shared" si="119"/>
        <v>3</v>
      </c>
      <c r="AX56" s="658"/>
    </row>
    <row r="57" spans="2:50">
      <c r="B57" s="627"/>
      <c r="C57" s="336">
        <v>11</v>
      </c>
      <c r="D57" s="228" t="s">
        <v>837</v>
      </c>
      <c r="E57" s="183">
        <v>16</v>
      </c>
      <c r="F57" s="470">
        <v>1440</v>
      </c>
      <c r="G57" s="471">
        <v>90</v>
      </c>
      <c r="H57" s="662"/>
      <c r="I57" s="496">
        <f t="shared" ref="I57" si="128">AVERAGE(P57,U57,Z57,AE57,AJ57,AO57,AT57)</f>
        <v>16.142857142857142</v>
      </c>
      <c r="J57" s="496">
        <f t="shared" ref="J57" si="129">AVERAGE(Q57,V57,AA57,AF57,AK57,AP57,AU57)</f>
        <v>1265.706343532752</v>
      </c>
      <c r="K57" s="201">
        <f t="shared" ref="K57" si="130">AVERAGE(R57,W57,AB57,AG57,AL57,AQ57,AV57)</f>
        <v>78.435162924107289</v>
      </c>
      <c r="L57" s="601"/>
      <c r="M57" s="202">
        <f>RANK(K57, K$47:$K$61)</f>
        <v>2</v>
      </c>
      <c r="N57" s="619"/>
      <c r="O57" s="619"/>
      <c r="P57" s="183">
        <v>16</v>
      </c>
      <c r="Q57" s="183">
        <v>1257.5609756097558</v>
      </c>
      <c r="R57" s="183">
        <v>78.597560975609738</v>
      </c>
      <c r="S57" s="343">
        <f t="shared" si="124"/>
        <v>2</v>
      </c>
      <c r="T57" s="662"/>
      <c r="U57" s="183">
        <v>17</v>
      </c>
      <c r="V57" s="183">
        <v>1278.504672897197</v>
      </c>
      <c r="W57" s="183">
        <v>75.206157229246884</v>
      </c>
      <c r="X57" s="520">
        <f t="shared" si="109"/>
        <v>4</v>
      </c>
      <c r="Y57" s="662"/>
      <c r="Z57" s="183">
        <v>16</v>
      </c>
      <c r="AA57" s="183">
        <v>1263.1304347826097</v>
      </c>
      <c r="AB57" s="183">
        <v>78.945652173913103</v>
      </c>
      <c r="AC57" s="520">
        <f t="shared" si="111"/>
        <v>2</v>
      </c>
      <c r="AD57" s="662"/>
      <c r="AE57" s="183">
        <v>16</v>
      </c>
      <c r="AF57" s="183">
        <v>1290.8571428571436</v>
      </c>
      <c r="AG57" s="183">
        <v>80.678571428571473</v>
      </c>
      <c r="AH57" s="520">
        <f t="shared" si="113"/>
        <v>1</v>
      </c>
      <c r="AI57" s="662"/>
      <c r="AJ57" s="183">
        <v>16</v>
      </c>
      <c r="AK57" s="183">
        <v>1249.3220338983047</v>
      </c>
      <c r="AL57" s="183">
        <v>78.082627118644041</v>
      </c>
      <c r="AM57" s="520">
        <f t="shared" si="115"/>
        <v>2</v>
      </c>
      <c r="AN57" s="662"/>
      <c r="AO57" s="183">
        <v>16</v>
      </c>
      <c r="AP57" s="183">
        <v>1270.7913669064749</v>
      </c>
      <c r="AQ57" s="183">
        <v>79.42446043165468</v>
      </c>
      <c r="AR57" s="520">
        <f t="shared" si="117"/>
        <v>2</v>
      </c>
      <c r="AS57" s="662"/>
      <c r="AT57" s="183">
        <v>16</v>
      </c>
      <c r="AU57" s="183">
        <v>1249.7777777777778</v>
      </c>
      <c r="AV57" s="183">
        <v>78.111111111111114</v>
      </c>
      <c r="AW57" s="520">
        <f t="shared" si="119"/>
        <v>2</v>
      </c>
      <c r="AX57" s="658"/>
    </row>
    <row r="58" spans="2:50">
      <c r="B58" s="627"/>
      <c r="C58" s="336">
        <v>12</v>
      </c>
      <c r="D58" s="228" t="s">
        <v>877</v>
      </c>
      <c r="E58" s="183">
        <v>16</v>
      </c>
      <c r="F58" s="470">
        <v>1440</v>
      </c>
      <c r="G58" s="471">
        <v>90</v>
      </c>
      <c r="H58" s="662"/>
      <c r="I58" s="534">
        <f t="shared" ref="I58" si="131">AVERAGE(P58,U58,Z58,AE58,AJ58,AO58,AT58)</f>
        <v>17</v>
      </c>
      <c r="J58" s="534">
        <f t="shared" ref="J58" si="132">AVERAGE(Q58,V58,AA58,AF58,AK58,AP58,AU58)</f>
        <v>1230.6446369617897</v>
      </c>
      <c r="K58" s="201">
        <f t="shared" ref="K58" si="133">AVERAGE(R58,W58,AB58,AG58,AL58,AQ58,AV58)</f>
        <v>72.390860997752341</v>
      </c>
      <c r="L58" s="601"/>
      <c r="M58" s="202">
        <f>RANK(K58, K$47:$K$61)</f>
        <v>5</v>
      </c>
      <c r="N58" s="619"/>
      <c r="O58" s="619"/>
      <c r="P58" s="470">
        <v>17</v>
      </c>
      <c r="Q58" s="471">
        <v>1234.054054054053</v>
      </c>
      <c r="R58" s="471">
        <v>72.59141494435606</v>
      </c>
      <c r="S58" s="343">
        <f t="shared" si="124"/>
        <v>6</v>
      </c>
      <c r="T58" s="662"/>
      <c r="U58" s="532">
        <v>17</v>
      </c>
      <c r="V58" s="533">
        <v>1258.2857142857131</v>
      </c>
      <c r="W58" s="533">
        <v>74.016806722689012</v>
      </c>
      <c r="X58" s="520">
        <f t="shared" si="109"/>
        <v>5</v>
      </c>
      <c r="Y58" s="662"/>
      <c r="Z58" s="532">
        <v>17</v>
      </c>
      <c r="AA58" s="533">
        <v>1272.3529411764689</v>
      </c>
      <c r="AB58" s="533">
        <v>74.844290657439345</v>
      </c>
      <c r="AC58" s="520">
        <f t="shared" si="111"/>
        <v>6</v>
      </c>
      <c r="AD58" s="662"/>
      <c r="AE58" s="532">
        <v>17</v>
      </c>
      <c r="AF58" s="533">
        <v>1264.1379310344803</v>
      </c>
      <c r="AG58" s="533">
        <v>74.361054766734128</v>
      </c>
      <c r="AH58" s="520">
        <f t="shared" si="113"/>
        <v>2</v>
      </c>
      <c r="AI58" s="662"/>
      <c r="AJ58" s="532">
        <v>17</v>
      </c>
      <c r="AK58" s="533">
        <v>1087.4999999999984</v>
      </c>
      <c r="AL58" s="533">
        <v>63.970588235294024</v>
      </c>
      <c r="AM58" s="520">
        <f t="shared" si="115"/>
        <v>11</v>
      </c>
      <c r="AN58" s="662"/>
      <c r="AO58" s="532">
        <v>17</v>
      </c>
      <c r="AP58" s="533">
        <v>1272.7272727272712</v>
      </c>
      <c r="AQ58" s="533">
        <v>74.866310160427716</v>
      </c>
      <c r="AR58" s="520">
        <f t="shared" si="117"/>
        <v>5</v>
      </c>
      <c r="AS58" s="662"/>
      <c r="AT58" s="532">
        <v>17</v>
      </c>
      <c r="AU58" s="533">
        <v>1225.4545454545439</v>
      </c>
      <c r="AV58" s="533">
        <v>72.085561497326111</v>
      </c>
      <c r="AW58" s="520">
        <f t="shared" si="119"/>
        <v>7</v>
      </c>
      <c r="AX58" s="658"/>
    </row>
    <row r="59" spans="2:50">
      <c r="B59" s="627"/>
      <c r="C59" s="336">
        <v>13</v>
      </c>
      <c r="D59" s="228"/>
      <c r="E59" s="183"/>
      <c r="F59" s="470"/>
      <c r="G59" s="471"/>
      <c r="H59" s="662"/>
      <c r="I59" s="203"/>
      <c r="J59" s="203"/>
      <c r="K59" s="203"/>
      <c r="L59" s="601"/>
      <c r="M59" s="202" t="e">
        <f>RANK(K59, K$47:$K$61)</f>
        <v>#N/A</v>
      </c>
      <c r="N59" s="619"/>
      <c r="O59" s="619"/>
      <c r="P59" s="470"/>
      <c r="Q59" s="471"/>
      <c r="R59" s="471"/>
      <c r="S59" s="343" t="e">
        <f t="shared" si="124"/>
        <v>#N/A</v>
      </c>
      <c r="T59" s="662"/>
      <c r="U59" s="520"/>
      <c r="V59" s="521"/>
      <c r="W59" s="521"/>
      <c r="X59" s="520" t="e">
        <f t="shared" si="109"/>
        <v>#N/A</v>
      </c>
      <c r="Y59" s="662"/>
      <c r="Z59" s="520"/>
      <c r="AA59" s="521"/>
      <c r="AB59" s="521"/>
      <c r="AC59" s="520" t="e">
        <f t="shared" si="111"/>
        <v>#N/A</v>
      </c>
      <c r="AD59" s="662"/>
      <c r="AE59" s="520"/>
      <c r="AF59" s="521"/>
      <c r="AG59" s="521"/>
      <c r="AH59" s="520" t="e">
        <f t="shared" si="113"/>
        <v>#N/A</v>
      </c>
      <c r="AI59" s="662"/>
      <c r="AJ59" s="520"/>
      <c r="AK59" s="521"/>
      <c r="AL59" s="521"/>
      <c r="AM59" s="520" t="e">
        <f t="shared" si="115"/>
        <v>#N/A</v>
      </c>
      <c r="AN59" s="662"/>
      <c r="AO59" s="520"/>
      <c r="AP59" s="521"/>
      <c r="AQ59" s="521"/>
      <c r="AR59" s="520" t="e">
        <f t="shared" si="117"/>
        <v>#N/A</v>
      </c>
      <c r="AS59" s="662"/>
      <c r="AT59" s="520"/>
      <c r="AU59" s="521"/>
      <c r="AV59" s="521"/>
      <c r="AW59" s="520" t="e">
        <f t="shared" si="119"/>
        <v>#N/A</v>
      </c>
      <c r="AX59" s="658"/>
    </row>
    <row r="60" spans="2:50">
      <c r="B60" s="627"/>
      <c r="C60" s="336">
        <v>14</v>
      </c>
      <c r="D60" s="228"/>
      <c r="E60" s="183"/>
      <c r="F60" s="470"/>
      <c r="G60" s="471"/>
      <c r="H60" s="662"/>
      <c r="I60" s="203"/>
      <c r="J60" s="203"/>
      <c r="K60" s="203"/>
      <c r="L60" s="601"/>
      <c r="M60" s="202" t="e">
        <f>RANK(K60, K$47:$K$61)</f>
        <v>#N/A</v>
      </c>
      <c r="N60" s="619"/>
      <c r="O60" s="619"/>
      <c r="P60" s="470"/>
      <c r="Q60" s="471"/>
      <c r="R60" s="471"/>
      <c r="S60" s="343" t="e">
        <f t="shared" si="124"/>
        <v>#N/A</v>
      </c>
      <c r="T60" s="662"/>
      <c r="U60" s="520"/>
      <c r="V60" s="521"/>
      <c r="W60" s="521"/>
      <c r="X60" s="520" t="e">
        <f t="shared" si="109"/>
        <v>#N/A</v>
      </c>
      <c r="Y60" s="662"/>
      <c r="Z60" s="520"/>
      <c r="AA60" s="521"/>
      <c r="AB60" s="521"/>
      <c r="AC60" s="520" t="e">
        <f t="shared" si="111"/>
        <v>#N/A</v>
      </c>
      <c r="AD60" s="662"/>
      <c r="AE60" s="520"/>
      <c r="AF60" s="521"/>
      <c r="AG60" s="521"/>
      <c r="AH60" s="520" t="e">
        <f t="shared" si="113"/>
        <v>#N/A</v>
      </c>
      <c r="AI60" s="662"/>
      <c r="AJ60" s="520"/>
      <c r="AK60" s="521"/>
      <c r="AL60" s="521"/>
      <c r="AM60" s="520" t="e">
        <f t="shared" si="115"/>
        <v>#N/A</v>
      </c>
      <c r="AN60" s="662"/>
      <c r="AO60" s="520"/>
      <c r="AP60" s="521"/>
      <c r="AQ60" s="521"/>
      <c r="AR60" s="520" t="e">
        <f t="shared" si="117"/>
        <v>#N/A</v>
      </c>
      <c r="AS60" s="662"/>
      <c r="AT60" s="520"/>
      <c r="AU60" s="521"/>
      <c r="AV60" s="521"/>
      <c r="AW60" s="520" t="e">
        <f t="shared" si="119"/>
        <v>#N/A</v>
      </c>
      <c r="AX60" s="658"/>
    </row>
    <row r="61" spans="2:50">
      <c r="B61" s="627"/>
      <c r="C61" s="336">
        <v>15</v>
      </c>
      <c r="D61" s="228"/>
      <c r="E61" s="183"/>
      <c r="F61" s="470"/>
      <c r="G61" s="471"/>
      <c r="H61" s="663"/>
      <c r="I61" s="203"/>
      <c r="J61" s="203"/>
      <c r="K61" s="203"/>
      <c r="L61" s="602"/>
      <c r="M61" s="202" t="e">
        <f>RANK(K61, K$47:$K$61)</f>
        <v>#N/A</v>
      </c>
      <c r="N61" s="619"/>
      <c r="O61" s="619"/>
      <c r="P61" s="470"/>
      <c r="Q61" s="471"/>
      <c r="R61" s="471"/>
      <c r="S61" s="343" t="e">
        <f t="shared" si="124"/>
        <v>#N/A</v>
      </c>
      <c r="T61" s="663"/>
      <c r="U61" s="520"/>
      <c r="V61" s="521"/>
      <c r="W61" s="521"/>
      <c r="X61" s="520" t="e">
        <f t="shared" si="109"/>
        <v>#N/A</v>
      </c>
      <c r="Y61" s="663"/>
      <c r="Z61" s="520"/>
      <c r="AA61" s="521"/>
      <c r="AB61" s="521"/>
      <c r="AC61" s="520" t="e">
        <f t="shared" si="111"/>
        <v>#N/A</v>
      </c>
      <c r="AD61" s="663"/>
      <c r="AE61" s="520"/>
      <c r="AF61" s="521"/>
      <c r="AG61" s="521"/>
      <c r="AH61" s="520" t="e">
        <f t="shared" si="113"/>
        <v>#N/A</v>
      </c>
      <c r="AI61" s="663"/>
      <c r="AJ61" s="520"/>
      <c r="AK61" s="521"/>
      <c r="AL61" s="521"/>
      <c r="AM61" s="520" t="e">
        <f t="shared" si="115"/>
        <v>#N/A</v>
      </c>
      <c r="AN61" s="663"/>
      <c r="AO61" s="520"/>
      <c r="AP61" s="521"/>
      <c r="AQ61" s="521"/>
      <c r="AR61" s="520" t="e">
        <f t="shared" si="117"/>
        <v>#N/A</v>
      </c>
      <c r="AS61" s="663"/>
      <c r="AT61" s="520"/>
      <c r="AU61" s="521"/>
      <c r="AV61" s="521"/>
      <c r="AW61" s="520" t="e">
        <f t="shared" si="119"/>
        <v>#N/A</v>
      </c>
      <c r="AX61" s="658"/>
    </row>
    <row r="62" spans="2:50" ht="15.5">
      <c r="B62" s="631" t="s">
        <v>163</v>
      </c>
      <c r="C62" s="632"/>
      <c r="D62" s="632"/>
      <c r="E62" s="632"/>
      <c r="F62" s="632"/>
      <c r="G62" s="632"/>
      <c r="H62" s="633"/>
      <c r="I62" s="209"/>
      <c r="J62" s="209"/>
      <c r="K62" s="209"/>
      <c r="L62" s="209"/>
      <c r="M62" s="208"/>
      <c r="N62" s="620" t="s">
        <v>156</v>
      </c>
      <c r="O62" s="620" t="s">
        <v>105</v>
      </c>
      <c r="P62" s="626">
        <f>P42+7</f>
        <v>46007</v>
      </c>
      <c r="Q62" s="627"/>
      <c r="R62" s="627"/>
      <c r="S62" s="627"/>
      <c r="T62" s="627"/>
      <c r="U62" s="623">
        <f>P62+1</f>
        <v>46008</v>
      </c>
      <c r="V62" s="624"/>
      <c r="W62" s="624"/>
      <c r="X62" s="624"/>
      <c r="Y62" s="625"/>
      <c r="Z62" s="623">
        <f>U62+1</f>
        <v>46009</v>
      </c>
      <c r="AA62" s="624"/>
      <c r="AB62" s="624"/>
      <c r="AC62" s="624"/>
      <c r="AD62" s="625"/>
      <c r="AE62" s="623">
        <f>Z62+1</f>
        <v>46010</v>
      </c>
      <c r="AF62" s="624"/>
      <c r="AG62" s="624"/>
      <c r="AH62" s="624"/>
      <c r="AI62" s="625"/>
      <c r="AJ62" s="623">
        <f>AE62+1</f>
        <v>46011</v>
      </c>
      <c r="AK62" s="624"/>
      <c r="AL62" s="624"/>
      <c r="AM62" s="624"/>
      <c r="AN62" s="625"/>
      <c r="AO62" s="623">
        <f>AJ62+1</f>
        <v>46012</v>
      </c>
      <c r="AP62" s="624"/>
      <c r="AQ62" s="624"/>
      <c r="AR62" s="624"/>
      <c r="AS62" s="625"/>
      <c r="AT62" s="623">
        <f>AO62+1</f>
        <v>46013</v>
      </c>
      <c r="AU62" s="624"/>
      <c r="AV62" s="624"/>
      <c r="AW62" s="624"/>
      <c r="AX62" s="625"/>
    </row>
    <row r="63" spans="2:50" ht="15.5">
      <c r="B63" s="634"/>
      <c r="C63" s="634"/>
      <c r="D63" s="634"/>
      <c r="E63" s="634"/>
      <c r="F63" s="634"/>
      <c r="G63" s="634"/>
      <c r="H63" s="634"/>
      <c r="I63" s="206"/>
      <c r="J63" s="206"/>
      <c r="K63" s="206"/>
      <c r="L63" s="206"/>
      <c r="M63" s="207"/>
      <c r="N63" s="622"/>
      <c r="O63" s="622"/>
      <c r="P63" s="626" t="s">
        <v>336</v>
      </c>
      <c r="Q63" s="627"/>
      <c r="R63" s="627"/>
      <c r="S63" s="627"/>
      <c r="T63" s="627"/>
      <c r="U63" s="626" t="s">
        <v>337</v>
      </c>
      <c r="V63" s="627"/>
      <c r="W63" s="627"/>
      <c r="X63" s="627"/>
      <c r="Y63" s="627"/>
      <c r="Z63" s="626" t="s">
        <v>338</v>
      </c>
      <c r="AA63" s="627"/>
      <c r="AB63" s="627"/>
      <c r="AC63" s="627"/>
      <c r="AD63" s="627"/>
      <c r="AE63" s="626" t="s">
        <v>339</v>
      </c>
      <c r="AF63" s="627"/>
      <c r="AG63" s="627"/>
      <c r="AH63" s="627"/>
      <c r="AI63" s="627"/>
      <c r="AJ63" s="626" t="s">
        <v>340</v>
      </c>
      <c r="AK63" s="627"/>
      <c r="AL63" s="627"/>
      <c r="AM63" s="627"/>
      <c r="AN63" s="627"/>
      <c r="AO63" s="626" t="s">
        <v>341</v>
      </c>
      <c r="AP63" s="627"/>
      <c r="AQ63" s="627"/>
      <c r="AR63" s="627"/>
      <c r="AS63" s="627"/>
      <c r="AT63" s="626" t="s">
        <v>342</v>
      </c>
      <c r="AU63" s="627"/>
      <c r="AV63" s="627"/>
      <c r="AW63" s="627"/>
      <c r="AX63" s="627"/>
    </row>
    <row r="64" spans="2:50">
      <c r="B64" s="619" t="s">
        <v>443</v>
      </c>
      <c r="C64" s="619" t="s">
        <v>453</v>
      </c>
      <c r="D64" s="619"/>
      <c r="E64" s="619" t="s">
        <v>444</v>
      </c>
      <c r="F64" s="619"/>
      <c r="G64" s="619"/>
      <c r="H64" s="635" t="s">
        <v>440</v>
      </c>
      <c r="I64" s="603" t="s">
        <v>445</v>
      </c>
      <c r="J64" s="603"/>
      <c r="K64" s="603"/>
      <c r="L64" s="604" t="s">
        <v>440</v>
      </c>
      <c r="M64" s="610" t="s">
        <v>441</v>
      </c>
      <c r="N64" s="619"/>
      <c r="O64" s="619" t="s">
        <v>446</v>
      </c>
      <c r="P64" s="616" t="s">
        <v>442</v>
      </c>
      <c r="Q64" s="617"/>
      <c r="R64" s="617"/>
      <c r="S64" s="618"/>
      <c r="T64" s="619" t="s">
        <v>440</v>
      </c>
      <c r="U64" s="616" t="s">
        <v>442</v>
      </c>
      <c r="V64" s="617"/>
      <c r="W64" s="617"/>
      <c r="X64" s="618"/>
      <c r="Y64" s="619" t="s">
        <v>440</v>
      </c>
      <c r="Z64" s="616" t="s">
        <v>442</v>
      </c>
      <c r="AA64" s="617"/>
      <c r="AB64" s="617"/>
      <c r="AC64" s="618"/>
      <c r="AD64" s="619" t="s">
        <v>440</v>
      </c>
      <c r="AE64" s="616" t="s">
        <v>442</v>
      </c>
      <c r="AF64" s="617"/>
      <c r="AG64" s="617"/>
      <c r="AH64" s="618"/>
      <c r="AI64" s="619" t="s">
        <v>440</v>
      </c>
      <c r="AJ64" s="616" t="s">
        <v>442</v>
      </c>
      <c r="AK64" s="617"/>
      <c r="AL64" s="617"/>
      <c r="AM64" s="618"/>
      <c r="AN64" s="619" t="s">
        <v>440</v>
      </c>
      <c r="AO64" s="616" t="s">
        <v>442</v>
      </c>
      <c r="AP64" s="617"/>
      <c r="AQ64" s="617"/>
      <c r="AR64" s="618"/>
      <c r="AS64" s="619" t="s">
        <v>440</v>
      </c>
      <c r="AT64" s="616" t="s">
        <v>442</v>
      </c>
      <c r="AU64" s="617"/>
      <c r="AV64" s="617"/>
      <c r="AW64" s="618"/>
      <c r="AX64" s="619" t="s">
        <v>440</v>
      </c>
    </row>
    <row r="65" spans="2:50">
      <c r="B65" s="619"/>
      <c r="C65" s="619"/>
      <c r="D65" s="619"/>
      <c r="E65" s="619" t="s">
        <v>447</v>
      </c>
      <c r="F65" s="619"/>
      <c r="G65" s="619"/>
      <c r="H65" s="636"/>
      <c r="I65" s="603" t="s">
        <v>447</v>
      </c>
      <c r="J65" s="603"/>
      <c r="K65" s="603"/>
      <c r="L65" s="605"/>
      <c r="M65" s="611"/>
      <c r="N65" s="619"/>
      <c r="O65" s="619"/>
      <c r="P65" s="616" t="s">
        <v>448</v>
      </c>
      <c r="Q65" s="617"/>
      <c r="R65" s="617"/>
      <c r="S65" s="618"/>
      <c r="T65" s="619"/>
      <c r="U65" s="616" t="s">
        <v>448</v>
      </c>
      <c r="V65" s="617"/>
      <c r="W65" s="617"/>
      <c r="X65" s="618"/>
      <c r="Y65" s="619"/>
      <c r="Z65" s="616" t="s">
        <v>448</v>
      </c>
      <c r="AA65" s="617"/>
      <c r="AB65" s="617"/>
      <c r="AC65" s="618"/>
      <c r="AD65" s="619"/>
      <c r="AE65" s="616" t="s">
        <v>448</v>
      </c>
      <c r="AF65" s="617"/>
      <c r="AG65" s="617"/>
      <c r="AH65" s="618"/>
      <c r="AI65" s="619"/>
      <c r="AJ65" s="616" t="s">
        <v>448</v>
      </c>
      <c r="AK65" s="617"/>
      <c r="AL65" s="617"/>
      <c r="AM65" s="618"/>
      <c r="AN65" s="619"/>
      <c r="AO65" s="616" t="s">
        <v>448</v>
      </c>
      <c r="AP65" s="617"/>
      <c r="AQ65" s="617"/>
      <c r="AR65" s="618"/>
      <c r="AS65" s="619"/>
      <c r="AT65" s="616" t="s">
        <v>448</v>
      </c>
      <c r="AU65" s="617"/>
      <c r="AV65" s="617"/>
      <c r="AW65" s="618"/>
      <c r="AX65" s="619"/>
    </row>
    <row r="66" spans="2:50">
      <c r="B66" s="619"/>
      <c r="C66" s="619"/>
      <c r="D66" s="619"/>
      <c r="E66" s="316" t="s">
        <v>449</v>
      </c>
      <c r="F66" s="316" t="s">
        <v>450</v>
      </c>
      <c r="G66" s="316" t="s">
        <v>451</v>
      </c>
      <c r="H66" s="637"/>
      <c r="I66" s="315" t="s">
        <v>449</v>
      </c>
      <c r="J66" s="315" t="s">
        <v>450</v>
      </c>
      <c r="K66" s="315" t="s">
        <v>451</v>
      </c>
      <c r="L66" s="606"/>
      <c r="M66" s="612"/>
      <c r="N66" s="619"/>
      <c r="O66" s="619"/>
      <c r="P66" s="316" t="s">
        <v>449</v>
      </c>
      <c r="Q66" s="316" t="s">
        <v>450</v>
      </c>
      <c r="R66" s="316" t="s">
        <v>451</v>
      </c>
      <c r="S66" s="316" t="s">
        <v>441</v>
      </c>
      <c r="T66" s="619"/>
      <c r="U66" s="316" t="s">
        <v>449</v>
      </c>
      <c r="V66" s="316" t="s">
        <v>450</v>
      </c>
      <c r="W66" s="316" t="s">
        <v>451</v>
      </c>
      <c r="X66" s="316" t="s">
        <v>441</v>
      </c>
      <c r="Y66" s="619"/>
      <c r="Z66" s="316" t="s">
        <v>449</v>
      </c>
      <c r="AA66" s="316" t="s">
        <v>450</v>
      </c>
      <c r="AB66" s="316" t="s">
        <v>451</v>
      </c>
      <c r="AC66" s="316" t="s">
        <v>441</v>
      </c>
      <c r="AD66" s="619"/>
      <c r="AE66" s="316" t="s">
        <v>449</v>
      </c>
      <c r="AF66" s="316" t="s">
        <v>450</v>
      </c>
      <c r="AG66" s="316" t="s">
        <v>451</v>
      </c>
      <c r="AH66" s="316" t="s">
        <v>441</v>
      </c>
      <c r="AI66" s="619"/>
      <c r="AJ66" s="316" t="s">
        <v>449</v>
      </c>
      <c r="AK66" s="316" t="s">
        <v>450</v>
      </c>
      <c r="AL66" s="316" t="s">
        <v>451</v>
      </c>
      <c r="AM66" s="316" t="s">
        <v>441</v>
      </c>
      <c r="AN66" s="619"/>
      <c r="AO66" s="316" t="s">
        <v>449</v>
      </c>
      <c r="AP66" s="316" t="s">
        <v>450</v>
      </c>
      <c r="AQ66" s="316" t="s">
        <v>451</v>
      </c>
      <c r="AR66" s="316" t="s">
        <v>441</v>
      </c>
      <c r="AS66" s="619"/>
      <c r="AT66" s="316" t="s">
        <v>449</v>
      </c>
      <c r="AU66" s="316" t="s">
        <v>450</v>
      </c>
      <c r="AV66" s="316" t="s">
        <v>451</v>
      </c>
      <c r="AW66" s="316" t="s">
        <v>441</v>
      </c>
      <c r="AX66" s="619"/>
    </row>
    <row r="67" spans="2:50">
      <c r="B67" s="619" t="s">
        <v>481</v>
      </c>
      <c r="C67" s="317">
        <v>1</v>
      </c>
      <c r="D67" s="228"/>
      <c r="E67" s="183"/>
      <c r="F67" s="470"/>
      <c r="G67" s="471"/>
      <c r="H67" s="661" t="e">
        <f>AVERAGE(G67:G81)</f>
        <v>#DIV/0!</v>
      </c>
      <c r="I67" s="200" t="e">
        <f>AVERAGE(P67,U67,Z67,AE67,AJ67,AO67,AT67)</f>
        <v>#DIV/0!</v>
      </c>
      <c r="J67" s="200" t="e">
        <f>AVERAGE(Q67,V67,AA67,AF67,AK67,AP67,AU67)</f>
        <v>#DIV/0!</v>
      </c>
      <c r="K67" s="201" t="e">
        <f>AVERAGE(R67,W67,AB67,AG67,AL67,AQ67,AV67)</f>
        <v>#DIV/0!</v>
      </c>
      <c r="L67" s="600" t="str">
        <f>IFERROR(AVERAGE(K67:K81),"-")</f>
        <v>-</v>
      </c>
      <c r="M67" s="202" t="e">
        <f>RANK(K67, K$67:$K$81)</f>
        <v>#DIV/0!</v>
      </c>
      <c r="N67" s="619"/>
      <c r="O67" s="619"/>
      <c r="P67" s="183"/>
      <c r="Q67" s="471"/>
      <c r="R67" s="471"/>
      <c r="S67" s="317" t="e">
        <f>RANK(R67, R$67:R$81)</f>
        <v>#N/A</v>
      </c>
      <c r="T67" s="661" t="e">
        <f>AVERAGE(R67:R81)</f>
        <v>#DIV/0!</v>
      </c>
      <c r="U67" s="183"/>
      <c r="V67" s="521"/>
      <c r="W67" s="521"/>
      <c r="X67" s="520" t="e">
        <f t="shared" ref="X67:X81" si="134">RANK(W67, W$67:W$81)</f>
        <v>#N/A</v>
      </c>
      <c r="Y67" s="661" t="e">
        <f t="shared" ref="Y67" si="135">AVERAGE(W67:W81)</f>
        <v>#DIV/0!</v>
      </c>
      <c r="Z67" s="183"/>
      <c r="AA67" s="521"/>
      <c r="AB67" s="521"/>
      <c r="AC67" s="520" t="e">
        <f t="shared" ref="AC67:AC81" si="136">RANK(AB67, AB$67:AB$81)</f>
        <v>#N/A</v>
      </c>
      <c r="AD67" s="661" t="e">
        <f t="shared" ref="AD67" si="137">AVERAGE(AB67:AB81)</f>
        <v>#DIV/0!</v>
      </c>
      <c r="AE67" s="183"/>
      <c r="AF67" s="521"/>
      <c r="AG67" s="521"/>
      <c r="AH67" s="520" t="e">
        <f t="shared" ref="AH67:AH81" si="138">RANK(AG67, AG$67:AG$81)</f>
        <v>#N/A</v>
      </c>
      <c r="AI67" s="661" t="e">
        <f t="shared" ref="AI67" si="139">AVERAGE(AG67:AG81)</f>
        <v>#DIV/0!</v>
      </c>
      <c r="AJ67" s="183"/>
      <c r="AK67" s="521"/>
      <c r="AL67" s="521"/>
      <c r="AM67" s="520" t="e">
        <f t="shared" ref="AM67:AM81" si="140">RANK(AL67, AL$67:AL$81)</f>
        <v>#N/A</v>
      </c>
      <c r="AN67" s="661" t="e">
        <f t="shared" ref="AN67" si="141">AVERAGE(AL67:AL81)</f>
        <v>#DIV/0!</v>
      </c>
      <c r="AO67" s="183"/>
      <c r="AP67" s="521"/>
      <c r="AQ67" s="521"/>
      <c r="AR67" s="520" t="e">
        <f t="shared" ref="AR67:AR81" si="142">RANK(AQ67, AQ$67:AQ$81)</f>
        <v>#N/A</v>
      </c>
      <c r="AS67" s="661" t="e">
        <f t="shared" ref="AS67" si="143">AVERAGE(AQ67:AQ81)</f>
        <v>#DIV/0!</v>
      </c>
      <c r="AT67" s="183"/>
      <c r="AU67" s="521"/>
      <c r="AV67" s="521"/>
      <c r="AW67" s="520" t="e">
        <f t="shared" ref="AW67:AW81" si="144">RANK(AV67, AV$67:AV$81)</f>
        <v>#N/A</v>
      </c>
      <c r="AX67" s="658" t="e">
        <f t="shared" ref="AX67" si="145">AVERAGE(AV67:AV81)</f>
        <v>#DIV/0!</v>
      </c>
    </row>
    <row r="68" spans="2:50">
      <c r="B68" s="627"/>
      <c r="C68" s="317">
        <v>2</v>
      </c>
      <c r="D68" s="228"/>
      <c r="E68" s="183"/>
      <c r="F68" s="470"/>
      <c r="G68" s="471"/>
      <c r="H68" s="662"/>
      <c r="I68" s="200" t="e">
        <f t="shared" ref="I68:I74" si="146">AVERAGE(P68,U68,Z68,AE68,AJ68,AO68,AT68)</f>
        <v>#DIV/0!</v>
      </c>
      <c r="J68" s="200" t="e">
        <f t="shared" ref="J68:J74" si="147">AVERAGE(Q68,V68,AA68,AF68,AK68,AP68,AU68)</f>
        <v>#DIV/0!</v>
      </c>
      <c r="K68" s="201" t="e">
        <f t="shared" ref="K68:K74" si="148">AVERAGE(R68,W68,AB68,AG68,AL68,AQ68,AV68)</f>
        <v>#DIV/0!</v>
      </c>
      <c r="L68" s="601"/>
      <c r="M68" s="202" t="e">
        <f>RANK(K68, K$67:$K$81)</f>
        <v>#DIV/0!</v>
      </c>
      <c r="N68" s="619"/>
      <c r="O68" s="619"/>
      <c r="P68" s="470"/>
      <c r="Q68" s="471"/>
      <c r="R68" s="471"/>
      <c r="S68" s="349" t="e">
        <f t="shared" ref="S68:S81" si="149">RANK(R68, R$67:R$81)</f>
        <v>#N/A</v>
      </c>
      <c r="T68" s="662"/>
      <c r="U68" s="520"/>
      <c r="V68" s="521"/>
      <c r="W68" s="521"/>
      <c r="X68" s="520" t="e">
        <f t="shared" si="134"/>
        <v>#N/A</v>
      </c>
      <c r="Y68" s="662"/>
      <c r="Z68" s="520"/>
      <c r="AA68" s="521"/>
      <c r="AB68" s="521"/>
      <c r="AC68" s="520" t="e">
        <f t="shared" si="136"/>
        <v>#N/A</v>
      </c>
      <c r="AD68" s="662"/>
      <c r="AE68" s="520"/>
      <c r="AF68" s="521"/>
      <c r="AG68" s="521"/>
      <c r="AH68" s="520" t="e">
        <f t="shared" si="138"/>
        <v>#N/A</v>
      </c>
      <c r="AI68" s="662"/>
      <c r="AJ68" s="520"/>
      <c r="AK68" s="521"/>
      <c r="AL68" s="521"/>
      <c r="AM68" s="520" t="e">
        <f t="shared" si="140"/>
        <v>#N/A</v>
      </c>
      <c r="AN68" s="662"/>
      <c r="AO68" s="520"/>
      <c r="AP68" s="521"/>
      <c r="AQ68" s="521"/>
      <c r="AR68" s="520" t="e">
        <f t="shared" si="142"/>
        <v>#N/A</v>
      </c>
      <c r="AS68" s="662"/>
      <c r="AT68" s="520"/>
      <c r="AU68" s="521"/>
      <c r="AV68" s="521"/>
      <c r="AW68" s="520" t="e">
        <f t="shared" si="144"/>
        <v>#N/A</v>
      </c>
      <c r="AX68" s="658"/>
    </row>
    <row r="69" spans="2:50">
      <c r="B69" s="627"/>
      <c r="C69" s="317">
        <v>3</v>
      </c>
      <c r="D69" s="228"/>
      <c r="E69" s="183"/>
      <c r="F69" s="470"/>
      <c r="G69" s="471"/>
      <c r="H69" s="662"/>
      <c r="I69" s="200" t="e">
        <f t="shared" si="146"/>
        <v>#DIV/0!</v>
      </c>
      <c r="J69" s="200" t="e">
        <f t="shared" si="147"/>
        <v>#DIV/0!</v>
      </c>
      <c r="K69" s="201" t="e">
        <f t="shared" si="148"/>
        <v>#DIV/0!</v>
      </c>
      <c r="L69" s="601"/>
      <c r="M69" s="202" t="e">
        <f>RANK(K69, K$67:$K$81)</f>
        <v>#DIV/0!</v>
      </c>
      <c r="N69" s="619"/>
      <c r="O69" s="619"/>
      <c r="P69" s="470"/>
      <c r="Q69" s="471"/>
      <c r="R69" s="471"/>
      <c r="S69" s="349" t="e">
        <f t="shared" si="149"/>
        <v>#N/A</v>
      </c>
      <c r="T69" s="662"/>
      <c r="U69" s="520"/>
      <c r="V69" s="521"/>
      <c r="W69" s="521"/>
      <c r="X69" s="520" t="e">
        <f t="shared" si="134"/>
        <v>#N/A</v>
      </c>
      <c r="Y69" s="662"/>
      <c r="Z69" s="520"/>
      <c r="AA69" s="521"/>
      <c r="AB69" s="521"/>
      <c r="AC69" s="520" t="e">
        <f t="shared" si="136"/>
        <v>#N/A</v>
      </c>
      <c r="AD69" s="662"/>
      <c r="AE69" s="520"/>
      <c r="AF69" s="521"/>
      <c r="AG69" s="521"/>
      <c r="AH69" s="520" t="e">
        <f t="shared" si="138"/>
        <v>#N/A</v>
      </c>
      <c r="AI69" s="662"/>
      <c r="AJ69" s="520"/>
      <c r="AK69" s="521"/>
      <c r="AL69" s="521"/>
      <c r="AM69" s="520" t="e">
        <f t="shared" si="140"/>
        <v>#N/A</v>
      </c>
      <c r="AN69" s="662"/>
      <c r="AO69" s="520"/>
      <c r="AP69" s="521"/>
      <c r="AQ69" s="521"/>
      <c r="AR69" s="520" t="e">
        <f t="shared" si="142"/>
        <v>#N/A</v>
      </c>
      <c r="AS69" s="662"/>
      <c r="AT69" s="520"/>
      <c r="AU69" s="521"/>
      <c r="AV69" s="521"/>
      <c r="AW69" s="520" t="e">
        <f t="shared" si="144"/>
        <v>#N/A</v>
      </c>
      <c r="AX69" s="658"/>
    </row>
    <row r="70" spans="2:50">
      <c r="B70" s="627"/>
      <c r="C70" s="317">
        <v>4</v>
      </c>
      <c r="D70" s="228"/>
      <c r="E70" s="183"/>
      <c r="F70" s="470"/>
      <c r="G70" s="471"/>
      <c r="H70" s="662"/>
      <c r="I70" s="200" t="e">
        <f t="shared" si="146"/>
        <v>#DIV/0!</v>
      </c>
      <c r="J70" s="200" t="e">
        <f t="shared" si="147"/>
        <v>#DIV/0!</v>
      </c>
      <c r="K70" s="201" t="e">
        <f t="shared" si="148"/>
        <v>#DIV/0!</v>
      </c>
      <c r="L70" s="601"/>
      <c r="M70" s="202" t="e">
        <f>RANK(K70, K$67:$K$81)</f>
        <v>#DIV/0!</v>
      </c>
      <c r="N70" s="619"/>
      <c r="O70" s="619"/>
      <c r="P70" s="470"/>
      <c r="Q70" s="471"/>
      <c r="R70" s="471"/>
      <c r="S70" s="349" t="e">
        <f t="shared" si="149"/>
        <v>#N/A</v>
      </c>
      <c r="T70" s="662"/>
      <c r="U70" s="520"/>
      <c r="V70" s="521"/>
      <c r="W70" s="521"/>
      <c r="X70" s="520" t="e">
        <f t="shared" si="134"/>
        <v>#N/A</v>
      </c>
      <c r="Y70" s="662"/>
      <c r="Z70" s="520"/>
      <c r="AA70" s="521"/>
      <c r="AB70" s="521"/>
      <c r="AC70" s="520" t="e">
        <f t="shared" si="136"/>
        <v>#N/A</v>
      </c>
      <c r="AD70" s="662"/>
      <c r="AE70" s="520"/>
      <c r="AF70" s="521"/>
      <c r="AG70" s="521"/>
      <c r="AH70" s="520" t="e">
        <f t="shared" si="138"/>
        <v>#N/A</v>
      </c>
      <c r="AI70" s="662"/>
      <c r="AJ70" s="520"/>
      <c r="AK70" s="521"/>
      <c r="AL70" s="521"/>
      <c r="AM70" s="520" t="e">
        <f t="shared" si="140"/>
        <v>#N/A</v>
      </c>
      <c r="AN70" s="662"/>
      <c r="AO70" s="520"/>
      <c r="AP70" s="521"/>
      <c r="AQ70" s="521"/>
      <c r="AR70" s="520" t="e">
        <f t="shared" si="142"/>
        <v>#N/A</v>
      </c>
      <c r="AS70" s="662"/>
      <c r="AT70" s="520"/>
      <c r="AU70" s="521"/>
      <c r="AV70" s="521"/>
      <c r="AW70" s="520" t="e">
        <f t="shared" si="144"/>
        <v>#N/A</v>
      </c>
      <c r="AX70" s="658"/>
    </row>
    <row r="71" spans="2:50">
      <c r="B71" s="627"/>
      <c r="C71" s="317">
        <v>5</v>
      </c>
      <c r="D71" s="228"/>
      <c r="E71" s="183"/>
      <c r="F71" s="470"/>
      <c r="G71" s="471"/>
      <c r="H71" s="662"/>
      <c r="I71" s="200" t="e">
        <f t="shared" si="146"/>
        <v>#DIV/0!</v>
      </c>
      <c r="J71" s="200" t="e">
        <f t="shared" si="147"/>
        <v>#DIV/0!</v>
      </c>
      <c r="K71" s="201" t="e">
        <f t="shared" si="148"/>
        <v>#DIV/0!</v>
      </c>
      <c r="L71" s="601"/>
      <c r="M71" s="202" t="e">
        <f>RANK(K71, K$67:$K$81)</f>
        <v>#DIV/0!</v>
      </c>
      <c r="N71" s="619"/>
      <c r="O71" s="619"/>
      <c r="P71" s="470"/>
      <c r="Q71" s="471"/>
      <c r="R71" s="471"/>
      <c r="S71" s="349" t="e">
        <f t="shared" si="149"/>
        <v>#N/A</v>
      </c>
      <c r="T71" s="662"/>
      <c r="U71" s="520"/>
      <c r="V71" s="521"/>
      <c r="W71" s="521"/>
      <c r="X71" s="520" t="e">
        <f t="shared" si="134"/>
        <v>#N/A</v>
      </c>
      <c r="Y71" s="662"/>
      <c r="Z71" s="520"/>
      <c r="AA71" s="521"/>
      <c r="AB71" s="521"/>
      <c r="AC71" s="520" t="e">
        <f t="shared" si="136"/>
        <v>#N/A</v>
      </c>
      <c r="AD71" s="662"/>
      <c r="AE71" s="520"/>
      <c r="AF71" s="521"/>
      <c r="AG71" s="521"/>
      <c r="AH71" s="520" t="e">
        <f t="shared" si="138"/>
        <v>#N/A</v>
      </c>
      <c r="AI71" s="662"/>
      <c r="AJ71" s="520"/>
      <c r="AK71" s="521"/>
      <c r="AL71" s="521"/>
      <c r="AM71" s="520" t="e">
        <f t="shared" si="140"/>
        <v>#N/A</v>
      </c>
      <c r="AN71" s="662"/>
      <c r="AO71" s="520"/>
      <c r="AP71" s="521"/>
      <c r="AQ71" s="521"/>
      <c r="AR71" s="520" t="e">
        <f t="shared" si="142"/>
        <v>#N/A</v>
      </c>
      <c r="AS71" s="662"/>
      <c r="AT71" s="520"/>
      <c r="AU71" s="521"/>
      <c r="AV71" s="521"/>
      <c r="AW71" s="520" t="e">
        <f t="shared" si="144"/>
        <v>#N/A</v>
      </c>
      <c r="AX71" s="658"/>
    </row>
    <row r="72" spans="2:50">
      <c r="B72" s="627"/>
      <c r="C72" s="317">
        <v>6</v>
      </c>
      <c r="D72" s="228"/>
      <c r="E72" s="183"/>
      <c r="F72" s="470"/>
      <c r="G72" s="471"/>
      <c r="H72" s="662"/>
      <c r="I72" s="200" t="e">
        <f t="shared" si="146"/>
        <v>#DIV/0!</v>
      </c>
      <c r="J72" s="200" t="e">
        <f t="shared" si="147"/>
        <v>#DIV/0!</v>
      </c>
      <c r="K72" s="201" t="e">
        <f t="shared" si="148"/>
        <v>#DIV/0!</v>
      </c>
      <c r="L72" s="601"/>
      <c r="M72" s="202" t="e">
        <f>RANK(K72, K$67:$K$81)</f>
        <v>#DIV/0!</v>
      </c>
      <c r="N72" s="619"/>
      <c r="O72" s="619"/>
      <c r="P72" s="470"/>
      <c r="Q72" s="471"/>
      <c r="R72" s="471"/>
      <c r="S72" s="349" t="e">
        <f t="shared" si="149"/>
        <v>#N/A</v>
      </c>
      <c r="T72" s="662"/>
      <c r="U72" s="520"/>
      <c r="V72" s="521"/>
      <c r="W72" s="521"/>
      <c r="X72" s="520" t="e">
        <f t="shared" si="134"/>
        <v>#N/A</v>
      </c>
      <c r="Y72" s="662"/>
      <c r="Z72" s="520"/>
      <c r="AA72" s="521"/>
      <c r="AB72" s="521"/>
      <c r="AC72" s="520" t="e">
        <f t="shared" si="136"/>
        <v>#N/A</v>
      </c>
      <c r="AD72" s="662"/>
      <c r="AE72" s="520"/>
      <c r="AF72" s="521"/>
      <c r="AG72" s="521"/>
      <c r="AH72" s="520" t="e">
        <f t="shared" si="138"/>
        <v>#N/A</v>
      </c>
      <c r="AI72" s="662"/>
      <c r="AJ72" s="520"/>
      <c r="AK72" s="521"/>
      <c r="AL72" s="521"/>
      <c r="AM72" s="520" t="e">
        <f t="shared" si="140"/>
        <v>#N/A</v>
      </c>
      <c r="AN72" s="662"/>
      <c r="AO72" s="520"/>
      <c r="AP72" s="521"/>
      <c r="AQ72" s="521"/>
      <c r="AR72" s="520" t="e">
        <f t="shared" si="142"/>
        <v>#N/A</v>
      </c>
      <c r="AS72" s="662"/>
      <c r="AT72" s="520"/>
      <c r="AU72" s="521"/>
      <c r="AV72" s="521"/>
      <c r="AW72" s="520" t="e">
        <f t="shared" si="144"/>
        <v>#N/A</v>
      </c>
      <c r="AX72" s="658"/>
    </row>
    <row r="73" spans="2:50">
      <c r="B73" s="627"/>
      <c r="C73" s="317">
        <v>7</v>
      </c>
      <c r="D73" s="228"/>
      <c r="E73" s="183"/>
      <c r="F73" s="470"/>
      <c r="G73" s="471"/>
      <c r="H73" s="662"/>
      <c r="I73" s="200" t="e">
        <f t="shared" si="146"/>
        <v>#DIV/0!</v>
      </c>
      <c r="J73" s="200" t="e">
        <f t="shared" si="147"/>
        <v>#DIV/0!</v>
      </c>
      <c r="K73" s="201" t="e">
        <f t="shared" si="148"/>
        <v>#DIV/0!</v>
      </c>
      <c r="L73" s="601"/>
      <c r="M73" s="202" t="e">
        <f>RANK(K73, K$67:$K$81)</f>
        <v>#DIV/0!</v>
      </c>
      <c r="N73" s="619"/>
      <c r="O73" s="619"/>
      <c r="P73" s="470"/>
      <c r="Q73" s="471"/>
      <c r="R73" s="471"/>
      <c r="S73" s="349" t="e">
        <f t="shared" si="149"/>
        <v>#N/A</v>
      </c>
      <c r="T73" s="662"/>
      <c r="U73" s="520"/>
      <c r="V73" s="521"/>
      <c r="W73" s="521"/>
      <c r="X73" s="520" t="e">
        <f t="shared" si="134"/>
        <v>#N/A</v>
      </c>
      <c r="Y73" s="662"/>
      <c r="Z73" s="520"/>
      <c r="AA73" s="521"/>
      <c r="AB73" s="521"/>
      <c r="AC73" s="520" t="e">
        <f t="shared" si="136"/>
        <v>#N/A</v>
      </c>
      <c r="AD73" s="662"/>
      <c r="AE73" s="520"/>
      <c r="AF73" s="521"/>
      <c r="AG73" s="521"/>
      <c r="AH73" s="520" t="e">
        <f t="shared" si="138"/>
        <v>#N/A</v>
      </c>
      <c r="AI73" s="662"/>
      <c r="AJ73" s="520"/>
      <c r="AK73" s="521"/>
      <c r="AL73" s="521"/>
      <c r="AM73" s="520" t="e">
        <f t="shared" si="140"/>
        <v>#N/A</v>
      </c>
      <c r="AN73" s="662"/>
      <c r="AO73" s="520"/>
      <c r="AP73" s="521"/>
      <c r="AQ73" s="521"/>
      <c r="AR73" s="520" t="e">
        <f t="shared" si="142"/>
        <v>#N/A</v>
      </c>
      <c r="AS73" s="662"/>
      <c r="AT73" s="520"/>
      <c r="AU73" s="521"/>
      <c r="AV73" s="521"/>
      <c r="AW73" s="520" t="e">
        <f t="shared" si="144"/>
        <v>#N/A</v>
      </c>
      <c r="AX73" s="658"/>
    </row>
    <row r="74" spans="2:50">
      <c r="B74" s="627"/>
      <c r="C74" s="317">
        <v>8</v>
      </c>
      <c r="D74" s="228"/>
      <c r="E74" s="183"/>
      <c r="F74" s="470"/>
      <c r="G74" s="471"/>
      <c r="H74" s="662"/>
      <c r="I74" s="200" t="e">
        <f t="shared" si="146"/>
        <v>#DIV/0!</v>
      </c>
      <c r="J74" s="200" t="e">
        <f t="shared" si="147"/>
        <v>#DIV/0!</v>
      </c>
      <c r="K74" s="201" t="e">
        <f t="shared" si="148"/>
        <v>#DIV/0!</v>
      </c>
      <c r="L74" s="601"/>
      <c r="M74" s="202" t="e">
        <f>RANK(K74, K$67:$K$81)</f>
        <v>#DIV/0!</v>
      </c>
      <c r="N74" s="619"/>
      <c r="O74" s="619"/>
      <c r="P74" s="470"/>
      <c r="Q74" s="471"/>
      <c r="R74" s="471"/>
      <c r="S74" s="349" t="e">
        <f t="shared" si="149"/>
        <v>#N/A</v>
      </c>
      <c r="T74" s="662"/>
      <c r="U74" s="520"/>
      <c r="V74" s="521"/>
      <c r="W74" s="521"/>
      <c r="X74" s="520" t="e">
        <f t="shared" si="134"/>
        <v>#N/A</v>
      </c>
      <c r="Y74" s="662"/>
      <c r="Z74" s="520"/>
      <c r="AA74" s="521"/>
      <c r="AB74" s="521"/>
      <c r="AC74" s="520" t="e">
        <f t="shared" si="136"/>
        <v>#N/A</v>
      </c>
      <c r="AD74" s="662"/>
      <c r="AE74" s="520"/>
      <c r="AF74" s="521"/>
      <c r="AG74" s="521"/>
      <c r="AH74" s="520" t="e">
        <f t="shared" si="138"/>
        <v>#N/A</v>
      </c>
      <c r="AI74" s="662"/>
      <c r="AJ74" s="520"/>
      <c r="AK74" s="521"/>
      <c r="AL74" s="521"/>
      <c r="AM74" s="520" t="e">
        <f t="shared" si="140"/>
        <v>#N/A</v>
      </c>
      <c r="AN74" s="662"/>
      <c r="AO74" s="520"/>
      <c r="AP74" s="521"/>
      <c r="AQ74" s="521"/>
      <c r="AR74" s="520" t="e">
        <f t="shared" si="142"/>
        <v>#N/A</v>
      </c>
      <c r="AS74" s="662"/>
      <c r="AT74" s="520"/>
      <c r="AU74" s="521"/>
      <c r="AV74" s="521"/>
      <c r="AW74" s="520" t="e">
        <f t="shared" si="144"/>
        <v>#N/A</v>
      </c>
      <c r="AX74" s="658"/>
    </row>
    <row r="75" spans="2:50">
      <c r="B75" s="627"/>
      <c r="C75" s="317">
        <v>9</v>
      </c>
      <c r="D75" s="228"/>
      <c r="E75" s="183"/>
      <c r="F75" s="470"/>
      <c r="G75" s="471"/>
      <c r="H75" s="662"/>
      <c r="I75" s="448" t="e">
        <f t="shared" ref="I75:I76" si="150">AVERAGE(P75,U75,Z75,AE75,AJ75,AO75,AT75)</f>
        <v>#DIV/0!</v>
      </c>
      <c r="J75" s="448" t="e">
        <f t="shared" ref="J75:J76" si="151">AVERAGE(Q75,V75,AA75,AF75,AK75,AP75,AU75)</f>
        <v>#DIV/0!</v>
      </c>
      <c r="K75" s="201" t="e">
        <f t="shared" ref="K75:K76" si="152">AVERAGE(R75,W75,AB75,AG75,AL75,AQ75,AV75)</f>
        <v>#DIV/0!</v>
      </c>
      <c r="L75" s="601"/>
      <c r="M75" s="202" t="e">
        <f>RANK(K75, K$67:$K$81)</f>
        <v>#DIV/0!</v>
      </c>
      <c r="N75" s="619"/>
      <c r="O75" s="619"/>
      <c r="P75" s="470"/>
      <c r="Q75" s="471"/>
      <c r="R75" s="471"/>
      <c r="S75" s="349" t="e">
        <f t="shared" si="149"/>
        <v>#N/A</v>
      </c>
      <c r="T75" s="662"/>
      <c r="U75" s="520"/>
      <c r="V75" s="521"/>
      <c r="W75" s="521"/>
      <c r="X75" s="520" t="e">
        <f t="shared" si="134"/>
        <v>#N/A</v>
      </c>
      <c r="Y75" s="662"/>
      <c r="Z75" s="520"/>
      <c r="AA75" s="521"/>
      <c r="AB75" s="521"/>
      <c r="AC75" s="520" t="e">
        <f t="shared" si="136"/>
        <v>#N/A</v>
      </c>
      <c r="AD75" s="662"/>
      <c r="AE75" s="520"/>
      <c r="AF75" s="521"/>
      <c r="AG75" s="521"/>
      <c r="AH75" s="520" t="e">
        <f t="shared" si="138"/>
        <v>#N/A</v>
      </c>
      <c r="AI75" s="662"/>
      <c r="AJ75" s="520"/>
      <c r="AK75" s="521"/>
      <c r="AL75" s="521"/>
      <c r="AM75" s="520" t="e">
        <f t="shared" si="140"/>
        <v>#N/A</v>
      </c>
      <c r="AN75" s="662"/>
      <c r="AO75" s="520"/>
      <c r="AP75" s="521"/>
      <c r="AQ75" s="521"/>
      <c r="AR75" s="520" t="e">
        <f t="shared" si="142"/>
        <v>#N/A</v>
      </c>
      <c r="AS75" s="662"/>
      <c r="AT75" s="520"/>
      <c r="AU75" s="521"/>
      <c r="AV75" s="521"/>
      <c r="AW75" s="520" t="e">
        <f t="shared" si="144"/>
        <v>#N/A</v>
      </c>
      <c r="AX75" s="658"/>
    </row>
    <row r="76" spans="2:50">
      <c r="B76" s="627"/>
      <c r="C76" s="317">
        <v>10</v>
      </c>
      <c r="D76" s="228"/>
      <c r="E76" s="183"/>
      <c r="F76" s="470"/>
      <c r="G76" s="471"/>
      <c r="H76" s="662"/>
      <c r="I76" s="448" t="e">
        <f t="shared" si="150"/>
        <v>#DIV/0!</v>
      </c>
      <c r="J76" s="448" t="e">
        <f t="shared" si="151"/>
        <v>#DIV/0!</v>
      </c>
      <c r="K76" s="201" t="e">
        <f t="shared" si="152"/>
        <v>#DIV/0!</v>
      </c>
      <c r="L76" s="601"/>
      <c r="M76" s="202" t="e">
        <f>RANK(K76, K$67:$K$81)</f>
        <v>#DIV/0!</v>
      </c>
      <c r="N76" s="619"/>
      <c r="O76" s="619"/>
      <c r="P76" s="470"/>
      <c r="Q76" s="471"/>
      <c r="R76" s="471"/>
      <c r="S76" s="349" t="e">
        <f t="shared" si="149"/>
        <v>#N/A</v>
      </c>
      <c r="T76" s="662"/>
      <c r="U76" s="520"/>
      <c r="V76" s="521"/>
      <c r="W76" s="521"/>
      <c r="X76" s="520" t="e">
        <f t="shared" si="134"/>
        <v>#N/A</v>
      </c>
      <c r="Y76" s="662"/>
      <c r="Z76" s="520"/>
      <c r="AA76" s="521"/>
      <c r="AB76" s="521"/>
      <c r="AC76" s="520" t="e">
        <f t="shared" si="136"/>
        <v>#N/A</v>
      </c>
      <c r="AD76" s="662"/>
      <c r="AE76" s="520"/>
      <c r="AF76" s="521"/>
      <c r="AG76" s="521"/>
      <c r="AH76" s="520" t="e">
        <f t="shared" si="138"/>
        <v>#N/A</v>
      </c>
      <c r="AI76" s="662"/>
      <c r="AJ76" s="520"/>
      <c r="AK76" s="521"/>
      <c r="AL76" s="521"/>
      <c r="AM76" s="520" t="e">
        <f t="shared" si="140"/>
        <v>#N/A</v>
      </c>
      <c r="AN76" s="662"/>
      <c r="AO76" s="520"/>
      <c r="AP76" s="521"/>
      <c r="AQ76" s="521"/>
      <c r="AR76" s="520" t="e">
        <f t="shared" si="142"/>
        <v>#N/A</v>
      </c>
      <c r="AS76" s="662"/>
      <c r="AT76" s="520"/>
      <c r="AU76" s="521"/>
      <c r="AV76" s="521"/>
      <c r="AW76" s="520" t="e">
        <f t="shared" si="144"/>
        <v>#N/A</v>
      </c>
      <c r="AX76" s="658"/>
    </row>
    <row r="77" spans="2:50">
      <c r="B77" s="627"/>
      <c r="C77" s="317">
        <v>11</v>
      </c>
      <c r="D77" s="228"/>
      <c r="E77" s="183"/>
      <c r="F77" s="470"/>
      <c r="G77" s="471"/>
      <c r="H77" s="662"/>
      <c r="I77" s="501" t="e">
        <f t="shared" ref="I77:I78" si="153">AVERAGE(P77,U77,Z77,AE77,AJ77,AO77,AT77)</f>
        <v>#DIV/0!</v>
      </c>
      <c r="J77" s="501" t="e">
        <f t="shared" ref="J77:J78" si="154">AVERAGE(Q77,V77,AA77,AF77,AK77,AP77,AU77)</f>
        <v>#DIV/0!</v>
      </c>
      <c r="K77" s="201" t="e">
        <f t="shared" ref="K77:K78" si="155">AVERAGE(R77,W77,AB77,AG77,AL77,AQ77,AV77)</f>
        <v>#DIV/0!</v>
      </c>
      <c r="L77" s="601"/>
      <c r="M77" s="202" t="e">
        <f>RANK(K77, K$67:$K$81)</f>
        <v>#DIV/0!</v>
      </c>
      <c r="N77" s="619"/>
      <c r="O77" s="619"/>
      <c r="P77" s="470"/>
      <c r="Q77" s="471"/>
      <c r="R77" s="471"/>
      <c r="S77" s="349" t="e">
        <f t="shared" si="149"/>
        <v>#N/A</v>
      </c>
      <c r="T77" s="662"/>
      <c r="U77" s="520"/>
      <c r="V77" s="521"/>
      <c r="W77" s="521"/>
      <c r="X77" s="520" t="e">
        <f t="shared" si="134"/>
        <v>#N/A</v>
      </c>
      <c r="Y77" s="662"/>
      <c r="Z77" s="520"/>
      <c r="AA77" s="521"/>
      <c r="AB77" s="521"/>
      <c r="AC77" s="520" t="e">
        <f t="shared" si="136"/>
        <v>#N/A</v>
      </c>
      <c r="AD77" s="662"/>
      <c r="AE77" s="520"/>
      <c r="AF77" s="521"/>
      <c r="AG77" s="521"/>
      <c r="AH77" s="520" t="e">
        <f t="shared" si="138"/>
        <v>#N/A</v>
      </c>
      <c r="AI77" s="662"/>
      <c r="AJ77" s="520"/>
      <c r="AK77" s="521"/>
      <c r="AL77" s="521"/>
      <c r="AM77" s="520" t="e">
        <f t="shared" si="140"/>
        <v>#N/A</v>
      </c>
      <c r="AN77" s="662"/>
      <c r="AO77" s="520"/>
      <c r="AP77" s="521"/>
      <c r="AQ77" s="521"/>
      <c r="AR77" s="520" t="e">
        <f t="shared" si="142"/>
        <v>#N/A</v>
      </c>
      <c r="AS77" s="662"/>
      <c r="AT77" s="520"/>
      <c r="AU77" s="521"/>
      <c r="AV77" s="521"/>
      <c r="AW77" s="520" t="e">
        <f t="shared" si="144"/>
        <v>#N/A</v>
      </c>
      <c r="AX77" s="658"/>
    </row>
    <row r="78" spans="2:50">
      <c r="B78" s="627"/>
      <c r="C78" s="317">
        <v>12</v>
      </c>
      <c r="D78" s="228"/>
      <c r="E78" s="183"/>
      <c r="F78" s="470"/>
      <c r="G78" s="471"/>
      <c r="H78" s="662"/>
      <c r="I78" s="501" t="e">
        <f t="shared" si="153"/>
        <v>#DIV/0!</v>
      </c>
      <c r="J78" s="501" t="e">
        <f t="shared" si="154"/>
        <v>#DIV/0!</v>
      </c>
      <c r="K78" s="201" t="e">
        <f t="shared" si="155"/>
        <v>#DIV/0!</v>
      </c>
      <c r="L78" s="601"/>
      <c r="M78" s="202" t="e">
        <f>RANK(K78, K$67:$K$81)</f>
        <v>#DIV/0!</v>
      </c>
      <c r="N78" s="619"/>
      <c r="O78" s="619"/>
      <c r="P78" s="470"/>
      <c r="Q78" s="471"/>
      <c r="R78" s="471"/>
      <c r="S78" s="349" t="e">
        <f t="shared" si="149"/>
        <v>#N/A</v>
      </c>
      <c r="T78" s="662"/>
      <c r="U78" s="520"/>
      <c r="V78" s="521"/>
      <c r="W78" s="521"/>
      <c r="X78" s="520" t="e">
        <f t="shared" si="134"/>
        <v>#N/A</v>
      </c>
      <c r="Y78" s="662"/>
      <c r="Z78" s="520"/>
      <c r="AA78" s="521"/>
      <c r="AB78" s="521"/>
      <c r="AC78" s="520" t="e">
        <f t="shared" si="136"/>
        <v>#N/A</v>
      </c>
      <c r="AD78" s="662"/>
      <c r="AE78" s="520"/>
      <c r="AF78" s="521"/>
      <c r="AG78" s="521"/>
      <c r="AH78" s="520" t="e">
        <f t="shared" si="138"/>
        <v>#N/A</v>
      </c>
      <c r="AI78" s="662"/>
      <c r="AJ78" s="520"/>
      <c r="AK78" s="521"/>
      <c r="AL78" s="521"/>
      <c r="AM78" s="520" t="e">
        <f t="shared" si="140"/>
        <v>#N/A</v>
      </c>
      <c r="AN78" s="662"/>
      <c r="AO78" s="520"/>
      <c r="AP78" s="521"/>
      <c r="AQ78" s="521"/>
      <c r="AR78" s="520" t="e">
        <f t="shared" si="142"/>
        <v>#N/A</v>
      </c>
      <c r="AS78" s="662"/>
      <c r="AT78" s="520"/>
      <c r="AU78" s="521"/>
      <c r="AV78" s="521"/>
      <c r="AW78" s="520" t="e">
        <f t="shared" si="144"/>
        <v>#N/A</v>
      </c>
      <c r="AX78" s="658"/>
    </row>
    <row r="79" spans="2:50">
      <c r="B79" s="627"/>
      <c r="C79" s="317">
        <v>13</v>
      </c>
      <c r="D79" s="228"/>
      <c r="E79" s="183"/>
      <c r="F79" s="470"/>
      <c r="G79" s="471"/>
      <c r="H79" s="662"/>
      <c r="I79" s="203"/>
      <c r="J79" s="203"/>
      <c r="K79" s="203"/>
      <c r="L79" s="601"/>
      <c r="M79" s="202" t="e">
        <f>RANK(K79, K$67:$K$81)</f>
        <v>#DIV/0!</v>
      </c>
      <c r="N79" s="619"/>
      <c r="O79" s="619"/>
      <c r="P79" s="470"/>
      <c r="Q79" s="471"/>
      <c r="R79" s="471"/>
      <c r="S79" s="349" t="e">
        <f t="shared" si="149"/>
        <v>#N/A</v>
      </c>
      <c r="T79" s="662"/>
      <c r="U79" s="520"/>
      <c r="V79" s="521"/>
      <c r="W79" s="521"/>
      <c r="X79" s="520" t="e">
        <f t="shared" si="134"/>
        <v>#N/A</v>
      </c>
      <c r="Y79" s="662"/>
      <c r="Z79" s="520"/>
      <c r="AA79" s="521"/>
      <c r="AB79" s="521"/>
      <c r="AC79" s="520" t="e">
        <f t="shared" si="136"/>
        <v>#N/A</v>
      </c>
      <c r="AD79" s="662"/>
      <c r="AE79" s="520"/>
      <c r="AF79" s="521"/>
      <c r="AG79" s="521"/>
      <c r="AH79" s="520" t="e">
        <f t="shared" si="138"/>
        <v>#N/A</v>
      </c>
      <c r="AI79" s="662"/>
      <c r="AJ79" s="520"/>
      <c r="AK79" s="521"/>
      <c r="AL79" s="521"/>
      <c r="AM79" s="520" t="e">
        <f t="shared" si="140"/>
        <v>#N/A</v>
      </c>
      <c r="AN79" s="662"/>
      <c r="AO79" s="520"/>
      <c r="AP79" s="521"/>
      <c r="AQ79" s="521"/>
      <c r="AR79" s="520" t="e">
        <f t="shared" si="142"/>
        <v>#N/A</v>
      </c>
      <c r="AS79" s="662"/>
      <c r="AT79" s="520"/>
      <c r="AU79" s="521"/>
      <c r="AV79" s="521"/>
      <c r="AW79" s="520" t="e">
        <f t="shared" si="144"/>
        <v>#N/A</v>
      </c>
      <c r="AX79" s="658"/>
    </row>
    <row r="80" spans="2:50">
      <c r="B80" s="627"/>
      <c r="C80" s="317">
        <v>14</v>
      </c>
      <c r="D80" s="228"/>
      <c r="E80" s="183"/>
      <c r="F80" s="470"/>
      <c r="G80" s="471"/>
      <c r="H80" s="662"/>
      <c r="I80" s="203"/>
      <c r="J80" s="203"/>
      <c r="K80" s="203"/>
      <c r="L80" s="601"/>
      <c r="M80" s="202" t="e">
        <f>RANK(K80, K$67:$K$81)</f>
        <v>#DIV/0!</v>
      </c>
      <c r="N80" s="619"/>
      <c r="O80" s="619"/>
      <c r="P80" s="470"/>
      <c r="Q80" s="471"/>
      <c r="R80" s="471"/>
      <c r="S80" s="349" t="e">
        <f t="shared" si="149"/>
        <v>#N/A</v>
      </c>
      <c r="T80" s="662"/>
      <c r="U80" s="520"/>
      <c r="V80" s="521"/>
      <c r="W80" s="521"/>
      <c r="X80" s="520" t="e">
        <f t="shared" si="134"/>
        <v>#N/A</v>
      </c>
      <c r="Y80" s="662"/>
      <c r="Z80" s="520"/>
      <c r="AA80" s="521"/>
      <c r="AB80" s="521"/>
      <c r="AC80" s="520" t="e">
        <f t="shared" si="136"/>
        <v>#N/A</v>
      </c>
      <c r="AD80" s="662"/>
      <c r="AE80" s="520"/>
      <c r="AF80" s="521"/>
      <c r="AG80" s="521"/>
      <c r="AH80" s="520" t="e">
        <f t="shared" si="138"/>
        <v>#N/A</v>
      </c>
      <c r="AI80" s="662"/>
      <c r="AJ80" s="520"/>
      <c r="AK80" s="521"/>
      <c r="AL80" s="521"/>
      <c r="AM80" s="520" t="e">
        <f t="shared" si="140"/>
        <v>#N/A</v>
      </c>
      <c r="AN80" s="662"/>
      <c r="AO80" s="520"/>
      <c r="AP80" s="521"/>
      <c r="AQ80" s="521"/>
      <c r="AR80" s="520" t="e">
        <f t="shared" si="142"/>
        <v>#N/A</v>
      </c>
      <c r="AS80" s="662"/>
      <c r="AT80" s="520"/>
      <c r="AU80" s="521"/>
      <c r="AV80" s="521"/>
      <c r="AW80" s="520" t="e">
        <f t="shared" si="144"/>
        <v>#N/A</v>
      </c>
      <c r="AX80" s="658"/>
    </row>
    <row r="81" spans="2:50">
      <c r="B81" s="627"/>
      <c r="C81" s="317">
        <v>15</v>
      </c>
      <c r="D81" s="228"/>
      <c r="E81" s="183"/>
      <c r="F81" s="470"/>
      <c r="G81" s="471"/>
      <c r="H81" s="663"/>
      <c r="I81" s="203"/>
      <c r="J81" s="203"/>
      <c r="K81" s="203"/>
      <c r="L81" s="602"/>
      <c r="M81" s="202" t="e">
        <f>RANK(K81, K$67:$K$81)</f>
        <v>#DIV/0!</v>
      </c>
      <c r="N81" s="619"/>
      <c r="O81" s="619"/>
      <c r="P81" s="470"/>
      <c r="Q81" s="471"/>
      <c r="R81" s="471"/>
      <c r="S81" s="349" t="e">
        <f t="shared" si="149"/>
        <v>#N/A</v>
      </c>
      <c r="T81" s="663"/>
      <c r="U81" s="520"/>
      <c r="V81" s="521"/>
      <c r="W81" s="521"/>
      <c r="X81" s="520" t="e">
        <f t="shared" si="134"/>
        <v>#N/A</v>
      </c>
      <c r="Y81" s="663"/>
      <c r="Z81" s="520"/>
      <c r="AA81" s="521"/>
      <c r="AB81" s="521"/>
      <c r="AC81" s="520" t="e">
        <f t="shared" si="136"/>
        <v>#N/A</v>
      </c>
      <c r="AD81" s="663"/>
      <c r="AE81" s="520"/>
      <c r="AF81" s="521"/>
      <c r="AG81" s="521"/>
      <c r="AH81" s="520" t="e">
        <f t="shared" si="138"/>
        <v>#N/A</v>
      </c>
      <c r="AI81" s="663"/>
      <c r="AJ81" s="520"/>
      <c r="AK81" s="521"/>
      <c r="AL81" s="521"/>
      <c r="AM81" s="520" t="e">
        <f t="shared" si="140"/>
        <v>#N/A</v>
      </c>
      <c r="AN81" s="663"/>
      <c r="AO81" s="520"/>
      <c r="AP81" s="521"/>
      <c r="AQ81" s="521"/>
      <c r="AR81" s="520" t="e">
        <f t="shared" si="142"/>
        <v>#N/A</v>
      </c>
      <c r="AS81" s="663"/>
      <c r="AT81" s="520"/>
      <c r="AU81" s="521"/>
      <c r="AV81" s="521"/>
      <c r="AW81" s="520" t="e">
        <f t="shared" si="144"/>
        <v>#N/A</v>
      </c>
      <c r="AX81" s="658"/>
    </row>
    <row r="82" spans="2:50" ht="15.5">
      <c r="B82" s="631" t="s">
        <v>163</v>
      </c>
      <c r="C82" s="632"/>
      <c r="D82" s="632"/>
      <c r="E82" s="632"/>
      <c r="F82" s="632"/>
      <c r="G82" s="632"/>
      <c r="H82" s="633"/>
      <c r="I82" s="209"/>
      <c r="J82" s="209"/>
      <c r="K82" s="209"/>
      <c r="L82" s="209"/>
      <c r="M82" s="208"/>
      <c r="N82" s="620" t="s">
        <v>156</v>
      </c>
      <c r="O82" s="620" t="s">
        <v>105</v>
      </c>
      <c r="P82" s="626">
        <f>P62+7</f>
        <v>46014</v>
      </c>
      <c r="Q82" s="627"/>
      <c r="R82" s="627"/>
      <c r="S82" s="627"/>
      <c r="T82" s="627"/>
      <c r="U82" s="623">
        <f>P82+1</f>
        <v>46015</v>
      </c>
      <c r="V82" s="624"/>
      <c r="W82" s="624"/>
      <c r="X82" s="624"/>
      <c r="Y82" s="625"/>
      <c r="Z82" s="623">
        <f>U82+1</f>
        <v>46016</v>
      </c>
      <c r="AA82" s="624"/>
      <c r="AB82" s="624"/>
      <c r="AC82" s="624"/>
      <c r="AD82" s="625"/>
      <c r="AE82" s="623">
        <f>Z82+1</f>
        <v>46017</v>
      </c>
      <c r="AF82" s="624"/>
      <c r="AG82" s="624"/>
      <c r="AH82" s="624"/>
      <c r="AI82" s="625"/>
      <c r="AJ82" s="623">
        <f>AE82+1</f>
        <v>46018</v>
      </c>
      <c r="AK82" s="624"/>
      <c r="AL82" s="624"/>
      <c r="AM82" s="624"/>
      <c r="AN82" s="625"/>
      <c r="AO82" s="623">
        <f>AJ82+1</f>
        <v>46019</v>
      </c>
      <c r="AP82" s="624"/>
      <c r="AQ82" s="624"/>
      <c r="AR82" s="624"/>
      <c r="AS82" s="625"/>
      <c r="AT82" s="623">
        <f>AO82+1</f>
        <v>46020</v>
      </c>
      <c r="AU82" s="624"/>
      <c r="AV82" s="624"/>
      <c r="AW82" s="624"/>
      <c r="AX82" s="625"/>
    </row>
    <row r="83" spans="2:50" ht="15.5">
      <c r="B83" s="634"/>
      <c r="C83" s="634"/>
      <c r="D83" s="634"/>
      <c r="E83" s="634"/>
      <c r="F83" s="634"/>
      <c r="G83" s="634"/>
      <c r="H83" s="634"/>
      <c r="I83" s="206"/>
      <c r="J83" s="206"/>
      <c r="K83" s="206"/>
      <c r="L83" s="206"/>
      <c r="M83" s="207"/>
      <c r="N83" s="622"/>
      <c r="O83" s="622"/>
      <c r="P83" s="626" t="s">
        <v>336</v>
      </c>
      <c r="Q83" s="627"/>
      <c r="R83" s="627"/>
      <c r="S83" s="627"/>
      <c r="T83" s="627"/>
      <c r="U83" s="626" t="s">
        <v>337</v>
      </c>
      <c r="V83" s="627"/>
      <c r="W83" s="627"/>
      <c r="X83" s="627"/>
      <c r="Y83" s="627"/>
      <c r="Z83" s="626" t="s">
        <v>338</v>
      </c>
      <c r="AA83" s="627"/>
      <c r="AB83" s="627"/>
      <c r="AC83" s="627"/>
      <c r="AD83" s="627"/>
      <c r="AE83" s="626" t="s">
        <v>339</v>
      </c>
      <c r="AF83" s="627"/>
      <c r="AG83" s="627"/>
      <c r="AH83" s="627"/>
      <c r="AI83" s="627"/>
      <c r="AJ83" s="626" t="s">
        <v>340</v>
      </c>
      <c r="AK83" s="627"/>
      <c r="AL83" s="627"/>
      <c r="AM83" s="627"/>
      <c r="AN83" s="627"/>
      <c r="AO83" s="626" t="s">
        <v>341</v>
      </c>
      <c r="AP83" s="627"/>
      <c r="AQ83" s="627"/>
      <c r="AR83" s="627"/>
      <c r="AS83" s="627"/>
      <c r="AT83" s="626" t="s">
        <v>342</v>
      </c>
      <c r="AU83" s="627"/>
      <c r="AV83" s="627"/>
      <c r="AW83" s="627"/>
      <c r="AX83" s="627"/>
    </row>
    <row r="84" spans="2:50">
      <c r="B84" s="619" t="s">
        <v>484</v>
      </c>
      <c r="C84" s="619" t="s">
        <v>485</v>
      </c>
      <c r="D84" s="619"/>
      <c r="E84" s="619" t="s">
        <v>486</v>
      </c>
      <c r="F84" s="619"/>
      <c r="G84" s="619"/>
      <c r="H84" s="635" t="s">
        <v>487</v>
      </c>
      <c r="I84" s="603" t="s">
        <v>488</v>
      </c>
      <c r="J84" s="603"/>
      <c r="K84" s="603"/>
      <c r="L84" s="604" t="s">
        <v>487</v>
      </c>
      <c r="M84" s="610" t="s">
        <v>489</v>
      </c>
      <c r="N84" s="619"/>
      <c r="O84" s="619" t="s">
        <v>490</v>
      </c>
      <c r="P84" s="616" t="s">
        <v>491</v>
      </c>
      <c r="Q84" s="617"/>
      <c r="R84" s="617"/>
      <c r="S84" s="618"/>
      <c r="T84" s="619" t="s">
        <v>487</v>
      </c>
      <c r="U84" s="616" t="s">
        <v>491</v>
      </c>
      <c r="V84" s="617"/>
      <c r="W84" s="617"/>
      <c r="X84" s="618"/>
      <c r="Y84" s="619" t="s">
        <v>487</v>
      </c>
      <c r="Z84" s="616" t="s">
        <v>491</v>
      </c>
      <c r="AA84" s="617"/>
      <c r="AB84" s="617"/>
      <c r="AC84" s="618"/>
      <c r="AD84" s="619" t="s">
        <v>487</v>
      </c>
      <c r="AE84" s="616" t="s">
        <v>491</v>
      </c>
      <c r="AF84" s="617"/>
      <c r="AG84" s="617"/>
      <c r="AH84" s="618"/>
      <c r="AI84" s="619" t="s">
        <v>487</v>
      </c>
      <c r="AJ84" s="616" t="s">
        <v>491</v>
      </c>
      <c r="AK84" s="617"/>
      <c r="AL84" s="617"/>
      <c r="AM84" s="618"/>
      <c r="AN84" s="619" t="s">
        <v>487</v>
      </c>
      <c r="AO84" s="616" t="s">
        <v>491</v>
      </c>
      <c r="AP84" s="617"/>
      <c r="AQ84" s="617"/>
      <c r="AR84" s="618"/>
      <c r="AS84" s="619" t="s">
        <v>487</v>
      </c>
      <c r="AT84" s="616" t="s">
        <v>491</v>
      </c>
      <c r="AU84" s="617"/>
      <c r="AV84" s="617"/>
      <c r="AW84" s="618"/>
      <c r="AX84" s="619" t="s">
        <v>487</v>
      </c>
    </row>
    <row r="85" spans="2:50">
      <c r="B85" s="619"/>
      <c r="C85" s="619"/>
      <c r="D85" s="619"/>
      <c r="E85" s="619" t="s">
        <v>492</v>
      </c>
      <c r="F85" s="619"/>
      <c r="G85" s="619"/>
      <c r="H85" s="636"/>
      <c r="I85" s="603" t="s">
        <v>492</v>
      </c>
      <c r="J85" s="603"/>
      <c r="K85" s="603"/>
      <c r="L85" s="605"/>
      <c r="M85" s="611"/>
      <c r="N85" s="619"/>
      <c r="O85" s="619"/>
      <c r="P85" s="616" t="s">
        <v>493</v>
      </c>
      <c r="Q85" s="617"/>
      <c r="R85" s="617"/>
      <c r="S85" s="618"/>
      <c r="T85" s="619"/>
      <c r="U85" s="616" t="s">
        <v>493</v>
      </c>
      <c r="V85" s="617"/>
      <c r="W85" s="617"/>
      <c r="X85" s="618"/>
      <c r="Y85" s="619"/>
      <c r="Z85" s="616" t="s">
        <v>493</v>
      </c>
      <c r="AA85" s="617"/>
      <c r="AB85" s="617"/>
      <c r="AC85" s="618"/>
      <c r="AD85" s="619"/>
      <c r="AE85" s="616" t="s">
        <v>493</v>
      </c>
      <c r="AF85" s="617"/>
      <c r="AG85" s="617"/>
      <c r="AH85" s="618"/>
      <c r="AI85" s="619"/>
      <c r="AJ85" s="616" t="s">
        <v>493</v>
      </c>
      <c r="AK85" s="617"/>
      <c r="AL85" s="617"/>
      <c r="AM85" s="618"/>
      <c r="AN85" s="619"/>
      <c r="AO85" s="616" t="s">
        <v>493</v>
      </c>
      <c r="AP85" s="617"/>
      <c r="AQ85" s="617"/>
      <c r="AR85" s="618"/>
      <c r="AS85" s="619"/>
      <c r="AT85" s="616" t="s">
        <v>493</v>
      </c>
      <c r="AU85" s="617"/>
      <c r="AV85" s="617"/>
      <c r="AW85" s="618"/>
      <c r="AX85" s="619"/>
    </row>
    <row r="86" spans="2:50">
      <c r="B86" s="619"/>
      <c r="C86" s="619"/>
      <c r="D86" s="619"/>
      <c r="E86" s="307" t="s">
        <v>494</v>
      </c>
      <c r="F86" s="307" t="s">
        <v>495</v>
      </c>
      <c r="G86" s="307" t="s">
        <v>496</v>
      </c>
      <c r="H86" s="637"/>
      <c r="I86" s="308" t="s">
        <v>494</v>
      </c>
      <c r="J86" s="308" t="s">
        <v>495</v>
      </c>
      <c r="K86" s="308" t="s">
        <v>496</v>
      </c>
      <c r="L86" s="606"/>
      <c r="M86" s="612"/>
      <c r="N86" s="619"/>
      <c r="O86" s="619"/>
      <c r="P86" s="307" t="s">
        <v>494</v>
      </c>
      <c r="Q86" s="307" t="s">
        <v>495</v>
      </c>
      <c r="R86" s="307" t="s">
        <v>496</v>
      </c>
      <c r="S86" s="307" t="s">
        <v>489</v>
      </c>
      <c r="T86" s="619"/>
      <c r="U86" s="307" t="s">
        <v>494</v>
      </c>
      <c r="V86" s="307" t="s">
        <v>495</v>
      </c>
      <c r="W86" s="307" t="s">
        <v>496</v>
      </c>
      <c r="X86" s="307" t="s">
        <v>489</v>
      </c>
      <c r="Y86" s="619"/>
      <c r="Z86" s="307" t="s">
        <v>494</v>
      </c>
      <c r="AA86" s="307" t="s">
        <v>495</v>
      </c>
      <c r="AB86" s="307" t="s">
        <v>496</v>
      </c>
      <c r="AC86" s="307" t="s">
        <v>489</v>
      </c>
      <c r="AD86" s="619"/>
      <c r="AE86" s="307" t="s">
        <v>494</v>
      </c>
      <c r="AF86" s="307" t="s">
        <v>495</v>
      </c>
      <c r="AG86" s="307" t="s">
        <v>496</v>
      </c>
      <c r="AH86" s="307" t="s">
        <v>489</v>
      </c>
      <c r="AI86" s="619"/>
      <c r="AJ86" s="307" t="s">
        <v>494</v>
      </c>
      <c r="AK86" s="307" t="s">
        <v>495</v>
      </c>
      <c r="AL86" s="307" t="s">
        <v>496</v>
      </c>
      <c r="AM86" s="307" t="s">
        <v>489</v>
      </c>
      <c r="AN86" s="619"/>
      <c r="AO86" s="307" t="s">
        <v>494</v>
      </c>
      <c r="AP86" s="307" t="s">
        <v>495</v>
      </c>
      <c r="AQ86" s="307" t="s">
        <v>496</v>
      </c>
      <c r="AR86" s="307" t="s">
        <v>489</v>
      </c>
      <c r="AS86" s="619"/>
      <c r="AT86" s="307" t="s">
        <v>494</v>
      </c>
      <c r="AU86" s="307" t="s">
        <v>495</v>
      </c>
      <c r="AV86" s="307" t="s">
        <v>496</v>
      </c>
      <c r="AW86" s="307" t="s">
        <v>489</v>
      </c>
      <c r="AX86" s="619"/>
    </row>
    <row r="87" spans="2:50">
      <c r="B87" s="619" t="s">
        <v>500</v>
      </c>
      <c r="C87" s="306">
        <v>1</v>
      </c>
      <c r="D87" s="228"/>
      <c r="E87" s="183"/>
      <c r="F87" s="470"/>
      <c r="G87" s="471"/>
      <c r="H87" s="661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00" t="str">
        <f>IFERROR(AVERAGE(K87:K101),"-")</f>
        <v>-</v>
      </c>
      <c r="M87" s="202" t="e">
        <f>RANK(K87, K$87:$K$101)</f>
        <v>#DIV/0!</v>
      </c>
      <c r="N87" s="619"/>
      <c r="O87" s="619"/>
      <c r="P87" s="183"/>
      <c r="Q87" s="471"/>
      <c r="R87" s="471"/>
      <c r="S87" s="306" t="e">
        <f>RANK(R87, R$87:R$101)</f>
        <v>#N/A</v>
      </c>
      <c r="T87" s="661" t="e">
        <f>AVERAGE(R87:R101)</f>
        <v>#DIV/0!</v>
      </c>
      <c r="U87" s="183"/>
      <c r="V87" s="521"/>
      <c r="W87" s="521"/>
      <c r="X87" s="520" t="e">
        <f t="shared" ref="X87:X101" si="156">RANK(W87, W$87:W$101)</f>
        <v>#N/A</v>
      </c>
      <c r="Y87" s="661" t="e">
        <f t="shared" ref="Y87" si="157">AVERAGE(W87:W101)</f>
        <v>#DIV/0!</v>
      </c>
      <c r="Z87" s="183"/>
      <c r="AA87" s="521"/>
      <c r="AB87" s="521"/>
      <c r="AC87" s="520" t="e">
        <f t="shared" ref="AC87:AC101" si="158">RANK(AB87, AB$87:AB$101)</f>
        <v>#N/A</v>
      </c>
      <c r="AD87" s="661" t="e">
        <f t="shared" ref="AD87" si="159">AVERAGE(AB87:AB101)</f>
        <v>#DIV/0!</v>
      </c>
      <c r="AE87" s="183"/>
      <c r="AF87" s="521"/>
      <c r="AG87" s="521"/>
      <c r="AH87" s="520" t="e">
        <f t="shared" ref="AH87:AH101" si="160">RANK(AG87, AG$87:AG$101)</f>
        <v>#N/A</v>
      </c>
      <c r="AI87" s="661" t="e">
        <f t="shared" ref="AI87" si="161">AVERAGE(AG87:AG101)</f>
        <v>#DIV/0!</v>
      </c>
      <c r="AJ87" s="183"/>
      <c r="AK87" s="521"/>
      <c r="AL87" s="521"/>
      <c r="AM87" s="520" t="e">
        <f t="shared" ref="AM87:AM101" si="162">RANK(AL87, AL$87:AL$101)</f>
        <v>#N/A</v>
      </c>
      <c r="AN87" s="661" t="e">
        <f t="shared" ref="AN87" si="163">AVERAGE(AL87:AL101)</f>
        <v>#DIV/0!</v>
      </c>
      <c r="AO87" s="183"/>
      <c r="AP87" s="521"/>
      <c r="AQ87" s="521"/>
      <c r="AR87" s="520" t="e">
        <f t="shared" ref="AR87:AR101" si="164">RANK(AQ87, AQ$87:AQ$101)</f>
        <v>#N/A</v>
      </c>
      <c r="AS87" s="661" t="e">
        <f t="shared" ref="AS87" si="165">AVERAGE(AQ87:AQ101)</f>
        <v>#DIV/0!</v>
      </c>
      <c r="AT87" s="183"/>
      <c r="AU87" s="521"/>
      <c r="AV87" s="521"/>
      <c r="AW87" s="520" t="e">
        <f t="shared" ref="AW87:AW101" si="166">RANK(AV87, AV$87:AV$101)</f>
        <v>#N/A</v>
      </c>
      <c r="AX87" s="658" t="e">
        <f t="shared" ref="AX87" si="167">AVERAGE(AV87:AV101)</f>
        <v>#DIV/0!</v>
      </c>
    </row>
    <row r="88" spans="2:50">
      <c r="B88" s="627"/>
      <c r="C88" s="306">
        <v>2</v>
      </c>
      <c r="D88" s="228"/>
      <c r="E88" s="183"/>
      <c r="F88" s="470"/>
      <c r="G88" s="471"/>
      <c r="H88" s="662"/>
      <c r="I88" s="200" t="e">
        <f t="shared" ref="I88:K94" si="168">AVERAGE(P88,U88,Z88,AE88,AJ88,AO88,AT88)</f>
        <v>#DIV/0!</v>
      </c>
      <c r="J88" s="200" t="e">
        <f t="shared" si="168"/>
        <v>#DIV/0!</v>
      </c>
      <c r="K88" s="201" t="e">
        <f t="shared" si="168"/>
        <v>#DIV/0!</v>
      </c>
      <c r="L88" s="601"/>
      <c r="M88" s="202" t="e">
        <f>RANK(K88, K$87:$K$101)</f>
        <v>#DIV/0!</v>
      </c>
      <c r="N88" s="619"/>
      <c r="O88" s="619"/>
      <c r="P88" s="470"/>
      <c r="Q88" s="471"/>
      <c r="R88" s="471"/>
      <c r="S88" s="306" t="e">
        <f t="shared" ref="S88:S101" si="169">RANK(R88, R$87:R$101)</f>
        <v>#N/A</v>
      </c>
      <c r="T88" s="662"/>
      <c r="U88" s="520"/>
      <c r="V88" s="521"/>
      <c r="W88" s="521"/>
      <c r="X88" s="520" t="e">
        <f t="shared" si="156"/>
        <v>#N/A</v>
      </c>
      <c r="Y88" s="662"/>
      <c r="Z88" s="520"/>
      <c r="AA88" s="521"/>
      <c r="AB88" s="521"/>
      <c r="AC88" s="520" t="e">
        <f t="shared" si="158"/>
        <v>#N/A</v>
      </c>
      <c r="AD88" s="662"/>
      <c r="AE88" s="520"/>
      <c r="AF88" s="521"/>
      <c r="AG88" s="521"/>
      <c r="AH88" s="520" t="e">
        <f t="shared" si="160"/>
        <v>#N/A</v>
      </c>
      <c r="AI88" s="662"/>
      <c r="AJ88" s="520"/>
      <c r="AK88" s="521"/>
      <c r="AL88" s="521"/>
      <c r="AM88" s="520" t="e">
        <f t="shared" si="162"/>
        <v>#N/A</v>
      </c>
      <c r="AN88" s="662"/>
      <c r="AO88" s="520"/>
      <c r="AP88" s="521"/>
      <c r="AQ88" s="521"/>
      <c r="AR88" s="520" t="e">
        <f t="shared" si="164"/>
        <v>#N/A</v>
      </c>
      <c r="AS88" s="662"/>
      <c r="AT88" s="520"/>
      <c r="AU88" s="521"/>
      <c r="AV88" s="521"/>
      <c r="AW88" s="520" t="e">
        <f t="shared" si="166"/>
        <v>#N/A</v>
      </c>
      <c r="AX88" s="658"/>
    </row>
    <row r="89" spans="2:50">
      <c r="B89" s="627"/>
      <c r="C89" s="306">
        <v>3</v>
      </c>
      <c r="D89" s="228"/>
      <c r="E89" s="183"/>
      <c r="F89" s="470"/>
      <c r="G89" s="471"/>
      <c r="H89" s="662"/>
      <c r="I89" s="200" t="e">
        <f t="shared" si="168"/>
        <v>#DIV/0!</v>
      </c>
      <c r="J89" s="200" t="e">
        <f t="shared" si="168"/>
        <v>#DIV/0!</v>
      </c>
      <c r="K89" s="201" t="e">
        <f t="shared" si="168"/>
        <v>#DIV/0!</v>
      </c>
      <c r="L89" s="601"/>
      <c r="M89" s="202" t="e">
        <f>RANK(K89, K$87:$K$101)</f>
        <v>#DIV/0!</v>
      </c>
      <c r="N89" s="619"/>
      <c r="O89" s="619"/>
      <c r="P89" s="470"/>
      <c r="Q89" s="471"/>
      <c r="R89" s="471"/>
      <c r="S89" s="306" t="e">
        <f t="shared" si="169"/>
        <v>#N/A</v>
      </c>
      <c r="T89" s="662"/>
      <c r="U89" s="520"/>
      <c r="V89" s="521"/>
      <c r="W89" s="521"/>
      <c r="X89" s="520" t="e">
        <f t="shared" si="156"/>
        <v>#N/A</v>
      </c>
      <c r="Y89" s="662"/>
      <c r="Z89" s="520"/>
      <c r="AA89" s="521"/>
      <c r="AB89" s="521"/>
      <c r="AC89" s="520" t="e">
        <f t="shared" si="158"/>
        <v>#N/A</v>
      </c>
      <c r="AD89" s="662"/>
      <c r="AE89" s="520"/>
      <c r="AF89" s="521"/>
      <c r="AG89" s="521"/>
      <c r="AH89" s="520" t="e">
        <f t="shared" si="160"/>
        <v>#N/A</v>
      </c>
      <c r="AI89" s="662"/>
      <c r="AJ89" s="520"/>
      <c r="AK89" s="521"/>
      <c r="AL89" s="521"/>
      <c r="AM89" s="520" t="e">
        <f t="shared" si="162"/>
        <v>#N/A</v>
      </c>
      <c r="AN89" s="662"/>
      <c r="AO89" s="520"/>
      <c r="AP89" s="521"/>
      <c r="AQ89" s="521"/>
      <c r="AR89" s="520" t="e">
        <f t="shared" si="164"/>
        <v>#N/A</v>
      </c>
      <c r="AS89" s="662"/>
      <c r="AT89" s="520"/>
      <c r="AU89" s="521"/>
      <c r="AV89" s="521"/>
      <c r="AW89" s="520" t="e">
        <f t="shared" si="166"/>
        <v>#N/A</v>
      </c>
      <c r="AX89" s="658"/>
    </row>
    <row r="90" spans="2:50">
      <c r="B90" s="627"/>
      <c r="C90" s="306">
        <v>4</v>
      </c>
      <c r="D90" s="228"/>
      <c r="E90" s="183"/>
      <c r="F90" s="470"/>
      <c r="G90" s="471"/>
      <c r="H90" s="662"/>
      <c r="I90" s="200" t="e">
        <f t="shared" si="168"/>
        <v>#DIV/0!</v>
      </c>
      <c r="J90" s="200" t="e">
        <f t="shared" si="168"/>
        <v>#DIV/0!</v>
      </c>
      <c r="K90" s="201" t="e">
        <f t="shared" si="168"/>
        <v>#DIV/0!</v>
      </c>
      <c r="L90" s="601"/>
      <c r="M90" s="202" t="e">
        <f>RANK(K90, K$87:$K$101)</f>
        <v>#DIV/0!</v>
      </c>
      <c r="N90" s="619"/>
      <c r="O90" s="619"/>
      <c r="P90" s="470"/>
      <c r="Q90" s="471"/>
      <c r="R90" s="471"/>
      <c r="S90" s="306" t="e">
        <f t="shared" si="169"/>
        <v>#N/A</v>
      </c>
      <c r="T90" s="662"/>
      <c r="U90" s="520"/>
      <c r="V90" s="521"/>
      <c r="W90" s="521"/>
      <c r="X90" s="520" t="e">
        <f t="shared" si="156"/>
        <v>#N/A</v>
      </c>
      <c r="Y90" s="662"/>
      <c r="Z90" s="520"/>
      <c r="AA90" s="521"/>
      <c r="AB90" s="521"/>
      <c r="AC90" s="520" t="e">
        <f t="shared" si="158"/>
        <v>#N/A</v>
      </c>
      <c r="AD90" s="662"/>
      <c r="AE90" s="520"/>
      <c r="AF90" s="521"/>
      <c r="AG90" s="521"/>
      <c r="AH90" s="520" t="e">
        <f t="shared" si="160"/>
        <v>#N/A</v>
      </c>
      <c r="AI90" s="662"/>
      <c r="AJ90" s="520"/>
      <c r="AK90" s="521"/>
      <c r="AL90" s="521"/>
      <c r="AM90" s="520" t="e">
        <f t="shared" si="162"/>
        <v>#N/A</v>
      </c>
      <c r="AN90" s="662"/>
      <c r="AO90" s="520"/>
      <c r="AP90" s="521"/>
      <c r="AQ90" s="521"/>
      <c r="AR90" s="520" t="e">
        <f t="shared" si="164"/>
        <v>#N/A</v>
      </c>
      <c r="AS90" s="662"/>
      <c r="AT90" s="520"/>
      <c r="AU90" s="521"/>
      <c r="AV90" s="521"/>
      <c r="AW90" s="520" t="e">
        <f t="shared" si="166"/>
        <v>#N/A</v>
      </c>
      <c r="AX90" s="658"/>
    </row>
    <row r="91" spans="2:50">
      <c r="B91" s="627"/>
      <c r="C91" s="306">
        <v>5</v>
      </c>
      <c r="D91" s="228"/>
      <c r="E91" s="183"/>
      <c r="F91" s="470"/>
      <c r="G91" s="471"/>
      <c r="H91" s="662"/>
      <c r="I91" s="200" t="e">
        <f t="shared" si="168"/>
        <v>#DIV/0!</v>
      </c>
      <c r="J91" s="200" t="e">
        <f t="shared" si="168"/>
        <v>#DIV/0!</v>
      </c>
      <c r="K91" s="201" t="e">
        <f t="shared" si="168"/>
        <v>#DIV/0!</v>
      </c>
      <c r="L91" s="601"/>
      <c r="M91" s="202" t="e">
        <f>RANK(K91, K$87:$K$101)</f>
        <v>#DIV/0!</v>
      </c>
      <c r="N91" s="619"/>
      <c r="O91" s="619"/>
      <c r="P91" s="470"/>
      <c r="Q91" s="471"/>
      <c r="R91" s="471"/>
      <c r="S91" s="306" t="e">
        <f t="shared" si="169"/>
        <v>#N/A</v>
      </c>
      <c r="T91" s="662"/>
      <c r="U91" s="520"/>
      <c r="V91" s="521"/>
      <c r="W91" s="521"/>
      <c r="X91" s="520" t="e">
        <f t="shared" si="156"/>
        <v>#N/A</v>
      </c>
      <c r="Y91" s="662"/>
      <c r="Z91" s="520"/>
      <c r="AA91" s="521"/>
      <c r="AB91" s="521"/>
      <c r="AC91" s="520" t="e">
        <f t="shared" si="158"/>
        <v>#N/A</v>
      </c>
      <c r="AD91" s="662"/>
      <c r="AE91" s="520"/>
      <c r="AF91" s="521"/>
      <c r="AG91" s="521"/>
      <c r="AH91" s="520" t="e">
        <f t="shared" si="160"/>
        <v>#N/A</v>
      </c>
      <c r="AI91" s="662"/>
      <c r="AJ91" s="520"/>
      <c r="AK91" s="521"/>
      <c r="AL91" s="521"/>
      <c r="AM91" s="520" t="e">
        <f t="shared" si="162"/>
        <v>#N/A</v>
      </c>
      <c r="AN91" s="662"/>
      <c r="AO91" s="520"/>
      <c r="AP91" s="521"/>
      <c r="AQ91" s="521"/>
      <c r="AR91" s="520" t="e">
        <f t="shared" si="164"/>
        <v>#N/A</v>
      </c>
      <c r="AS91" s="662"/>
      <c r="AT91" s="520"/>
      <c r="AU91" s="521"/>
      <c r="AV91" s="521"/>
      <c r="AW91" s="520" t="e">
        <f t="shared" si="166"/>
        <v>#N/A</v>
      </c>
      <c r="AX91" s="658"/>
    </row>
    <row r="92" spans="2:50">
      <c r="B92" s="627"/>
      <c r="C92" s="306">
        <v>6</v>
      </c>
      <c r="D92" s="228"/>
      <c r="E92" s="183"/>
      <c r="F92" s="470"/>
      <c r="G92" s="471"/>
      <c r="H92" s="662"/>
      <c r="I92" s="200" t="e">
        <f t="shared" si="168"/>
        <v>#DIV/0!</v>
      </c>
      <c r="J92" s="200" t="e">
        <f t="shared" si="168"/>
        <v>#DIV/0!</v>
      </c>
      <c r="K92" s="201" t="e">
        <f t="shared" si="168"/>
        <v>#DIV/0!</v>
      </c>
      <c r="L92" s="601"/>
      <c r="M92" s="202" t="e">
        <f>RANK(K92, K$87:$K$101)</f>
        <v>#DIV/0!</v>
      </c>
      <c r="N92" s="619"/>
      <c r="O92" s="619"/>
      <c r="P92" s="470"/>
      <c r="Q92" s="471"/>
      <c r="R92" s="471"/>
      <c r="S92" s="306" t="e">
        <f t="shared" si="169"/>
        <v>#N/A</v>
      </c>
      <c r="T92" s="662"/>
      <c r="U92" s="520"/>
      <c r="V92" s="521"/>
      <c r="W92" s="521"/>
      <c r="X92" s="520" t="e">
        <f t="shared" si="156"/>
        <v>#N/A</v>
      </c>
      <c r="Y92" s="662"/>
      <c r="Z92" s="520"/>
      <c r="AA92" s="521"/>
      <c r="AB92" s="521"/>
      <c r="AC92" s="520" t="e">
        <f t="shared" si="158"/>
        <v>#N/A</v>
      </c>
      <c r="AD92" s="662"/>
      <c r="AE92" s="520"/>
      <c r="AF92" s="521"/>
      <c r="AG92" s="521"/>
      <c r="AH92" s="520" t="e">
        <f t="shared" si="160"/>
        <v>#N/A</v>
      </c>
      <c r="AI92" s="662"/>
      <c r="AJ92" s="520"/>
      <c r="AK92" s="521"/>
      <c r="AL92" s="521"/>
      <c r="AM92" s="520" t="e">
        <f t="shared" si="162"/>
        <v>#N/A</v>
      </c>
      <c r="AN92" s="662"/>
      <c r="AO92" s="520"/>
      <c r="AP92" s="521"/>
      <c r="AQ92" s="521"/>
      <c r="AR92" s="520" t="e">
        <f t="shared" si="164"/>
        <v>#N/A</v>
      </c>
      <c r="AS92" s="662"/>
      <c r="AT92" s="520"/>
      <c r="AU92" s="521"/>
      <c r="AV92" s="521"/>
      <c r="AW92" s="520" t="e">
        <f t="shared" si="166"/>
        <v>#N/A</v>
      </c>
      <c r="AX92" s="658"/>
    </row>
    <row r="93" spans="2:50">
      <c r="B93" s="627"/>
      <c r="C93" s="306">
        <v>7</v>
      </c>
      <c r="D93" s="228"/>
      <c r="E93" s="183"/>
      <c r="F93" s="470"/>
      <c r="G93" s="471"/>
      <c r="H93" s="662"/>
      <c r="I93" s="200" t="e">
        <f t="shared" si="168"/>
        <v>#DIV/0!</v>
      </c>
      <c r="J93" s="200" t="e">
        <f t="shared" si="168"/>
        <v>#DIV/0!</v>
      </c>
      <c r="K93" s="201" t="e">
        <f t="shared" si="168"/>
        <v>#DIV/0!</v>
      </c>
      <c r="L93" s="601"/>
      <c r="M93" s="202" t="e">
        <f>RANK(K93, K$87:$K$101)</f>
        <v>#DIV/0!</v>
      </c>
      <c r="N93" s="619"/>
      <c r="O93" s="619"/>
      <c r="P93" s="470"/>
      <c r="Q93" s="471"/>
      <c r="R93" s="471"/>
      <c r="S93" s="306" t="e">
        <f t="shared" si="169"/>
        <v>#N/A</v>
      </c>
      <c r="T93" s="662"/>
      <c r="U93" s="520"/>
      <c r="V93" s="521"/>
      <c r="W93" s="521"/>
      <c r="X93" s="520" t="e">
        <f t="shared" si="156"/>
        <v>#N/A</v>
      </c>
      <c r="Y93" s="662"/>
      <c r="Z93" s="520"/>
      <c r="AA93" s="521"/>
      <c r="AB93" s="521"/>
      <c r="AC93" s="520" t="e">
        <f t="shared" si="158"/>
        <v>#N/A</v>
      </c>
      <c r="AD93" s="662"/>
      <c r="AE93" s="520"/>
      <c r="AF93" s="521"/>
      <c r="AG93" s="521"/>
      <c r="AH93" s="520" t="e">
        <f t="shared" si="160"/>
        <v>#N/A</v>
      </c>
      <c r="AI93" s="662"/>
      <c r="AJ93" s="520"/>
      <c r="AK93" s="521"/>
      <c r="AL93" s="521"/>
      <c r="AM93" s="520" t="e">
        <f t="shared" si="162"/>
        <v>#N/A</v>
      </c>
      <c r="AN93" s="662"/>
      <c r="AO93" s="520"/>
      <c r="AP93" s="521"/>
      <c r="AQ93" s="521"/>
      <c r="AR93" s="520" t="e">
        <f t="shared" si="164"/>
        <v>#N/A</v>
      </c>
      <c r="AS93" s="662"/>
      <c r="AT93" s="520"/>
      <c r="AU93" s="521"/>
      <c r="AV93" s="521"/>
      <c r="AW93" s="520" t="e">
        <f t="shared" si="166"/>
        <v>#N/A</v>
      </c>
      <c r="AX93" s="658"/>
    </row>
    <row r="94" spans="2:50">
      <c r="B94" s="627"/>
      <c r="C94" s="306">
        <v>8</v>
      </c>
      <c r="D94" s="228"/>
      <c r="E94" s="183"/>
      <c r="F94" s="470"/>
      <c r="G94" s="471"/>
      <c r="H94" s="662"/>
      <c r="I94" s="200" t="e">
        <f t="shared" si="168"/>
        <v>#DIV/0!</v>
      </c>
      <c r="J94" s="200" t="e">
        <f t="shared" si="168"/>
        <v>#DIV/0!</v>
      </c>
      <c r="K94" s="201" t="e">
        <f t="shared" si="168"/>
        <v>#DIV/0!</v>
      </c>
      <c r="L94" s="601"/>
      <c r="M94" s="202" t="e">
        <f>RANK(K94, K$87:$K$101)</f>
        <v>#DIV/0!</v>
      </c>
      <c r="N94" s="619"/>
      <c r="O94" s="619"/>
      <c r="P94" s="470"/>
      <c r="Q94" s="471"/>
      <c r="R94" s="471"/>
      <c r="S94" s="306" t="e">
        <f t="shared" si="169"/>
        <v>#N/A</v>
      </c>
      <c r="T94" s="662"/>
      <c r="U94" s="520"/>
      <c r="V94" s="521"/>
      <c r="W94" s="521"/>
      <c r="X94" s="520" t="e">
        <f t="shared" si="156"/>
        <v>#N/A</v>
      </c>
      <c r="Y94" s="662"/>
      <c r="Z94" s="520"/>
      <c r="AA94" s="521"/>
      <c r="AB94" s="521"/>
      <c r="AC94" s="520" t="e">
        <f t="shared" si="158"/>
        <v>#N/A</v>
      </c>
      <c r="AD94" s="662"/>
      <c r="AE94" s="520"/>
      <c r="AF94" s="521"/>
      <c r="AG94" s="521"/>
      <c r="AH94" s="520" t="e">
        <f t="shared" si="160"/>
        <v>#N/A</v>
      </c>
      <c r="AI94" s="662"/>
      <c r="AJ94" s="520"/>
      <c r="AK94" s="521"/>
      <c r="AL94" s="521"/>
      <c r="AM94" s="520" t="e">
        <f t="shared" si="162"/>
        <v>#N/A</v>
      </c>
      <c r="AN94" s="662"/>
      <c r="AO94" s="520"/>
      <c r="AP94" s="521"/>
      <c r="AQ94" s="521"/>
      <c r="AR94" s="520" t="e">
        <f t="shared" si="164"/>
        <v>#N/A</v>
      </c>
      <c r="AS94" s="662"/>
      <c r="AT94" s="520"/>
      <c r="AU94" s="521"/>
      <c r="AV94" s="521"/>
      <c r="AW94" s="520" t="e">
        <f t="shared" si="166"/>
        <v>#N/A</v>
      </c>
      <c r="AX94" s="658"/>
    </row>
    <row r="95" spans="2:50">
      <c r="B95" s="627"/>
      <c r="C95" s="306">
        <v>9</v>
      </c>
      <c r="D95" s="228"/>
      <c r="E95" s="183"/>
      <c r="F95" s="470"/>
      <c r="G95" s="471"/>
      <c r="H95" s="662"/>
      <c r="I95" s="469" t="e">
        <f t="shared" ref="I95:I97" si="170">AVERAGE(P95,U95,Z95,AE95,AJ95,AO95,AT95)</f>
        <v>#DIV/0!</v>
      </c>
      <c r="J95" s="469" t="e">
        <f t="shared" ref="J95:J97" si="171">AVERAGE(Q95,V95,AA95,AF95,AK95,AP95,AU95)</f>
        <v>#DIV/0!</v>
      </c>
      <c r="K95" s="201" t="e">
        <f t="shared" ref="K95:K97" si="172">AVERAGE(R95,W95,AB95,AG95,AL95,AQ95,AV95)</f>
        <v>#DIV/0!</v>
      </c>
      <c r="L95" s="601"/>
      <c r="M95" s="202" t="e">
        <f>RANK(K95, K$87:$K$101)</f>
        <v>#DIV/0!</v>
      </c>
      <c r="N95" s="619"/>
      <c r="O95" s="619"/>
      <c r="P95" s="470"/>
      <c r="Q95" s="471"/>
      <c r="R95" s="471"/>
      <c r="S95" s="306" t="e">
        <f t="shared" si="169"/>
        <v>#N/A</v>
      </c>
      <c r="T95" s="662"/>
      <c r="U95" s="520"/>
      <c r="V95" s="521"/>
      <c r="W95" s="521"/>
      <c r="X95" s="520" t="e">
        <f t="shared" si="156"/>
        <v>#N/A</v>
      </c>
      <c r="Y95" s="662"/>
      <c r="Z95" s="520"/>
      <c r="AA95" s="521"/>
      <c r="AB95" s="521"/>
      <c r="AC95" s="520" t="e">
        <f t="shared" si="158"/>
        <v>#N/A</v>
      </c>
      <c r="AD95" s="662"/>
      <c r="AE95" s="520"/>
      <c r="AF95" s="521"/>
      <c r="AG95" s="521"/>
      <c r="AH95" s="520" t="e">
        <f t="shared" si="160"/>
        <v>#N/A</v>
      </c>
      <c r="AI95" s="662"/>
      <c r="AJ95" s="520"/>
      <c r="AK95" s="521"/>
      <c r="AL95" s="521"/>
      <c r="AM95" s="520" t="e">
        <f t="shared" si="162"/>
        <v>#N/A</v>
      </c>
      <c r="AN95" s="662"/>
      <c r="AO95" s="520"/>
      <c r="AP95" s="521"/>
      <c r="AQ95" s="521"/>
      <c r="AR95" s="520" t="e">
        <f t="shared" si="164"/>
        <v>#N/A</v>
      </c>
      <c r="AS95" s="662"/>
      <c r="AT95" s="520"/>
      <c r="AU95" s="521"/>
      <c r="AV95" s="521"/>
      <c r="AW95" s="520" t="e">
        <f t="shared" si="166"/>
        <v>#N/A</v>
      </c>
      <c r="AX95" s="658"/>
    </row>
    <row r="96" spans="2:50">
      <c r="B96" s="627"/>
      <c r="C96" s="306">
        <v>10</v>
      </c>
      <c r="D96" s="228"/>
      <c r="E96" s="183"/>
      <c r="F96" s="470"/>
      <c r="G96" s="471"/>
      <c r="H96" s="662"/>
      <c r="I96" s="469" t="e">
        <f t="shared" si="170"/>
        <v>#DIV/0!</v>
      </c>
      <c r="J96" s="469" t="e">
        <f t="shared" si="171"/>
        <v>#DIV/0!</v>
      </c>
      <c r="K96" s="201" t="e">
        <f t="shared" si="172"/>
        <v>#DIV/0!</v>
      </c>
      <c r="L96" s="601"/>
      <c r="M96" s="202" t="e">
        <f>RANK(K96, K$87:$K$101)</f>
        <v>#DIV/0!</v>
      </c>
      <c r="N96" s="619"/>
      <c r="O96" s="619"/>
      <c r="P96" s="470"/>
      <c r="Q96" s="471"/>
      <c r="R96" s="471"/>
      <c r="S96" s="306" t="e">
        <f t="shared" si="169"/>
        <v>#N/A</v>
      </c>
      <c r="T96" s="662"/>
      <c r="U96" s="520"/>
      <c r="V96" s="521"/>
      <c r="W96" s="521"/>
      <c r="X96" s="520" t="e">
        <f t="shared" si="156"/>
        <v>#N/A</v>
      </c>
      <c r="Y96" s="662"/>
      <c r="Z96" s="520"/>
      <c r="AA96" s="521"/>
      <c r="AB96" s="521"/>
      <c r="AC96" s="520" t="e">
        <f t="shared" si="158"/>
        <v>#N/A</v>
      </c>
      <c r="AD96" s="662"/>
      <c r="AE96" s="520"/>
      <c r="AF96" s="521"/>
      <c r="AG96" s="521"/>
      <c r="AH96" s="520" t="e">
        <f t="shared" si="160"/>
        <v>#N/A</v>
      </c>
      <c r="AI96" s="662"/>
      <c r="AJ96" s="520"/>
      <c r="AK96" s="521"/>
      <c r="AL96" s="521"/>
      <c r="AM96" s="520" t="e">
        <f t="shared" si="162"/>
        <v>#N/A</v>
      </c>
      <c r="AN96" s="662"/>
      <c r="AO96" s="520"/>
      <c r="AP96" s="521"/>
      <c r="AQ96" s="521"/>
      <c r="AR96" s="520" t="e">
        <f t="shared" si="164"/>
        <v>#N/A</v>
      </c>
      <c r="AS96" s="662"/>
      <c r="AT96" s="520"/>
      <c r="AU96" s="521"/>
      <c r="AV96" s="521"/>
      <c r="AW96" s="520" t="e">
        <f t="shared" si="166"/>
        <v>#N/A</v>
      </c>
      <c r="AX96" s="658"/>
    </row>
    <row r="97" spans="2:50">
      <c r="B97" s="627"/>
      <c r="C97" s="306">
        <v>11</v>
      </c>
      <c r="D97" s="228"/>
      <c r="E97" s="183"/>
      <c r="F97" s="470"/>
      <c r="G97" s="471"/>
      <c r="H97" s="662"/>
      <c r="I97" s="469" t="e">
        <f t="shared" si="170"/>
        <v>#DIV/0!</v>
      </c>
      <c r="J97" s="469" t="e">
        <f t="shared" si="171"/>
        <v>#DIV/0!</v>
      </c>
      <c r="K97" s="201" t="e">
        <f t="shared" si="172"/>
        <v>#DIV/0!</v>
      </c>
      <c r="L97" s="601"/>
      <c r="M97" s="202" t="e">
        <f>RANK(K97, K$87:$K$101)</f>
        <v>#DIV/0!</v>
      </c>
      <c r="N97" s="619"/>
      <c r="O97" s="619"/>
      <c r="P97" s="470"/>
      <c r="Q97" s="471"/>
      <c r="R97" s="471"/>
      <c r="S97" s="306" t="e">
        <f t="shared" si="169"/>
        <v>#N/A</v>
      </c>
      <c r="T97" s="662"/>
      <c r="U97" s="520"/>
      <c r="V97" s="521"/>
      <c r="W97" s="521"/>
      <c r="X97" s="520" t="e">
        <f t="shared" si="156"/>
        <v>#N/A</v>
      </c>
      <c r="Y97" s="662"/>
      <c r="Z97" s="520"/>
      <c r="AA97" s="521"/>
      <c r="AB97" s="521"/>
      <c r="AC97" s="520" t="e">
        <f t="shared" si="158"/>
        <v>#N/A</v>
      </c>
      <c r="AD97" s="662"/>
      <c r="AE97" s="520"/>
      <c r="AF97" s="521"/>
      <c r="AG97" s="521"/>
      <c r="AH97" s="520" t="e">
        <f t="shared" si="160"/>
        <v>#N/A</v>
      </c>
      <c r="AI97" s="662"/>
      <c r="AJ97" s="520"/>
      <c r="AK97" s="521"/>
      <c r="AL97" s="521"/>
      <c r="AM97" s="520" t="e">
        <f t="shared" si="162"/>
        <v>#N/A</v>
      </c>
      <c r="AN97" s="662"/>
      <c r="AO97" s="520"/>
      <c r="AP97" s="521"/>
      <c r="AQ97" s="521"/>
      <c r="AR97" s="520" t="e">
        <f t="shared" si="164"/>
        <v>#N/A</v>
      </c>
      <c r="AS97" s="662"/>
      <c r="AT97" s="520"/>
      <c r="AU97" s="521"/>
      <c r="AV97" s="521"/>
      <c r="AW97" s="520" t="e">
        <f t="shared" si="166"/>
        <v>#N/A</v>
      </c>
      <c r="AX97" s="658"/>
    </row>
    <row r="98" spans="2:50">
      <c r="B98" s="627"/>
      <c r="C98" s="306">
        <v>12</v>
      </c>
      <c r="D98" s="228"/>
      <c r="E98" s="183"/>
      <c r="F98" s="470"/>
      <c r="G98" s="471"/>
      <c r="H98" s="662"/>
      <c r="I98" s="505" t="e">
        <f t="shared" ref="I98" si="173">AVERAGE(P98,U98,Z98,AE98,AJ98,AO98,AT98)</f>
        <v>#DIV/0!</v>
      </c>
      <c r="J98" s="505" t="e">
        <f t="shared" ref="J98" si="174">AVERAGE(Q98,V98,AA98,AF98,AK98,AP98,AU98)</f>
        <v>#DIV/0!</v>
      </c>
      <c r="K98" s="201" t="e">
        <f t="shared" ref="K98" si="175">AVERAGE(R98,W98,AB98,AG98,AL98,AQ98,AV98)</f>
        <v>#DIV/0!</v>
      </c>
      <c r="L98" s="601"/>
      <c r="M98" s="202" t="e">
        <f>RANK(K98, K$87:$K$101)</f>
        <v>#DIV/0!</v>
      </c>
      <c r="N98" s="619"/>
      <c r="O98" s="619"/>
      <c r="P98" s="470"/>
      <c r="Q98" s="471"/>
      <c r="R98" s="471"/>
      <c r="S98" s="306" t="e">
        <f t="shared" si="169"/>
        <v>#N/A</v>
      </c>
      <c r="T98" s="662"/>
      <c r="U98" s="520"/>
      <c r="V98" s="521"/>
      <c r="W98" s="521"/>
      <c r="X98" s="520" t="e">
        <f t="shared" si="156"/>
        <v>#N/A</v>
      </c>
      <c r="Y98" s="662"/>
      <c r="Z98" s="520"/>
      <c r="AA98" s="521"/>
      <c r="AB98" s="521"/>
      <c r="AC98" s="520" t="e">
        <f t="shared" si="158"/>
        <v>#N/A</v>
      </c>
      <c r="AD98" s="662"/>
      <c r="AE98" s="520"/>
      <c r="AF98" s="521"/>
      <c r="AG98" s="521"/>
      <c r="AH98" s="520" t="e">
        <f t="shared" si="160"/>
        <v>#N/A</v>
      </c>
      <c r="AI98" s="662"/>
      <c r="AJ98" s="520"/>
      <c r="AK98" s="521"/>
      <c r="AL98" s="521"/>
      <c r="AM98" s="520" t="e">
        <f t="shared" si="162"/>
        <v>#N/A</v>
      </c>
      <c r="AN98" s="662"/>
      <c r="AO98" s="520"/>
      <c r="AP98" s="521"/>
      <c r="AQ98" s="521"/>
      <c r="AR98" s="520" t="e">
        <f t="shared" si="164"/>
        <v>#N/A</v>
      </c>
      <c r="AS98" s="662"/>
      <c r="AT98" s="520"/>
      <c r="AU98" s="521"/>
      <c r="AV98" s="521"/>
      <c r="AW98" s="520" t="e">
        <f t="shared" si="166"/>
        <v>#N/A</v>
      </c>
      <c r="AX98" s="658"/>
    </row>
    <row r="99" spans="2:50">
      <c r="B99" s="627"/>
      <c r="C99" s="306">
        <v>13</v>
      </c>
      <c r="D99" s="228"/>
      <c r="E99" s="183"/>
      <c r="F99" s="470"/>
      <c r="G99" s="471"/>
      <c r="H99" s="662"/>
      <c r="I99" s="203"/>
      <c r="J99" s="203"/>
      <c r="K99" s="203"/>
      <c r="L99" s="601"/>
      <c r="M99" s="202" t="e">
        <f>RANK(K99, K$87:$K$101)</f>
        <v>#DIV/0!</v>
      </c>
      <c r="N99" s="619"/>
      <c r="O99" s="619"/>
      <c r="P99" s="470"/>
      <c r="Q99" s="471"/>
      <c r="R99" s="471"/>
      <c r="S99" s="306" t="e">
        <f t="shared" si="169"/>
        <v>#N/A</v>
      </c>
      <c r="T99" s="662"/>
      <c r="U99" s="520"/>
      <c r="V99" s="521"/>
      <c r="W99" s="521"/>
      <c r="X99" s="520" t="e">
        <f t="shared" si="156"/>
        <v>#N/A</v>
      </c>
      <c r="Y99" s="662"/>
      <c r="Z99" s="520"/>
      <c r="AA99" s="521"/>
      <c r="AB99" s="521"/>
      <c r="AC99" s="520" t="e">
        <f t="shared" si="158"/>
        <v>#N/A</v>
      </c>
      <c r="AD99" s="662"/>
      <c r="AE99" s="520"/>
      <c r="AF99" s="521"/>
      <c r="AG99" s="521"/>
      <c r="AH99" s="520" t="e">
        <f t="shared" si="160"/>
        <v>#N/A</v>
      </c>
      <c r="AI99" s="662"/>
      <c r="AJ99" s="520"/>
      <c r="AK99" s="521"/>
      <c r="AL99" s="521"/>
      <c r="AM99" s="520" t="e">
        <f t="shared" si="162"/>
        <v>#N/A</v>
      </c>
      <c r="AN99" s="662"/>
      <c r="AO99" s="520"/>
      <c r="AP99" s="521"/>
      <c r="AQ99" s="521"/>
      <c r="AR99" s="520" t="e">
        <f t="shared" si="164"/>
        <v>#N/A</v>
      </c>
      <c r="AS99" s="662"/>
      <c r="AT99" s="520"/>
      <c r="AU99" s="521"/>
      <c r="AV99" s="521"/>
      <c r="AW99" s="520" t="e">
        <f t="shared" si="166"/>
        <v>#N/A</v>
      </c>
      <c r="AX99" s="658"/>
    </row>
    <row r="100" spans="2:50">
      <c r="B100" s="627"/>
      <c r="C100" s="306">
        <v>14</v>
      </c>
      <c r="D100" s="228"/>
      <c r="E100" s="183"/>
      <c r="F100" s="470"/>
      <c r="G100" s="471"/>
      <c r="H100" s="662"/>
      <c r="I100" s="203"/>
      <c r="J100" s="203"/>
      <c r="K100" s="203"/>
      <c r="L100" s="601"/>
      <c r="M100" s="202" t="e">
        <f>RANK(K100, K$87:$K$101)</f>
        <v>#DIV/0!</v>
      </c>
      <c r="N100" s="619"/>
      <c r="O100" s="619"/>
      <c r="P100" s="470"/>
      <c r="Q100" s="471"/>
      <c r="R100" s="471"/>
      <c r="S100" s="306" t="e">
        <f t="shared" si="169"/>
        <v>#N/A</v>
      </c>
      <c r="T100" s="662"/>
      <c r="U100" s="520"/>
      <c r="V100" s="521"/>
      <c r="W100" s="521"/>
      <c r="X100" s="520" t="e">
        <f t="shared" si="156"/>
        <v>#N/A</v>
      </c>
      <c r="Y100" s="662"/>
      <c r="Z100" s="520"/>
      <c r="AA100" s="521"/>
      <c r="AB100" s="521"/>
      <c r="AC100" s="520" t="e">
        <f t="shared" si="158"/>
        <v>#N/A</v>
      </c>
      <c r="AD100" s="662"/>
      <c r="AE100" s="520"/>
      <c r="AF100" s="521"/>
      <c r="AG100" s="521"/>
      <c r="AH100" s="520" t="e">
        <f t="shared" si="160"/>
        <v>#N/A</v>
      </c>
      <c r="AI100" s="662"/>
      <c r="AJ100" s="520"/>
      <c r="AK100" s="521"/>
      <c r="AL100" s="521"/>
      <c r="AM100" s="520" t="e">
        <f t="shared" si="162"/>
        <v>#N/A</v>
      </c>
      <c r="AN100" s="662"/>
      <c r="AO100" s="520"/>
      <c r="AP100" s="521"/>
      <c r="AQ100" s="521"/>
      <c r="AR100" s="520" t="e">
        <f t="shared" si="164"/>
        <v>#N/A</v>
      </c>
      <c r="AS100" s="662"/>
      <c r="AT100" s="520"/>
      <c r="AU100" s="521"/>
      <c r="AV100" s="521"/>
      <c r="AW100" s="520" t="e">
        <f t="shared" si="166"/>
        <v>#N/A</v>
      </c>
      <c r="AX100" s="658"/>
    </row>
    <row r="101" spans="2:50">
      <c r="B101" s="627"/>
      <c r="C101" s="306">
        <v>15</v>
      </c>
      <c r="D101" s="228"/>
      <c r="E101" s="183"/>
      <c r="F101" s="470"/>
      <c r="G101" s="471"/>
      <c r="H101" s="663"/>
      <c r="I101" s="203"/>
      <c r="J101" s="203"/>
      <c r="K101" s="203"/>
      <c r="L101" s="602"/>
      <c r="M101" s="200" t="e">
        <f>RANK(K101, K$87:$K$101)</f>
        <v>#DIV/0!</v>
      </c>
      <c r="N101" s="619"/>
      <c r="O101" s="619"/>
      <c r="P101" s="470"/>
      <c r="Q101" s="471"/>
      <c r="R101" s="471"/>
      <c r="S101" s="306" t="e">
        <f t="shared" si="169"/>
        <v>#N/A</v>
      </c>
      <c r="T101" s="663"/>
      <c r="U101" s="520"/>
      <c r="V101" s="521"/>
      <c r="W101" s="521"/>
      <c r="X101" s="520" t="e">
        <f t="shared" si="156"/>
        <v>#N/A</v>
      </c>
      <c r="Y101" s="663"/>
      <c r="Z101" s="520"/>
      <c r="AA101" s="521"/>
      <c r="AB101" s="521"/>
      <c r="AC101" s="520" t="e">
        <f t="shared" si="158"/>
        <v>#N/A</v>
      </c>
      <c r="AD101" s="663"/>
      <c r="AE101" s="520"/>
      <c r="AF101" s="521"/>
      <c r="AG101" s="521"/>
      <c r="AH101" s="520" t="e">
        <f t="shared" si="160"/>
        <v>#N/A</v>
      </c>
      <c r="AI101" s="663"/>
      <c r="AJ101" s="520"/>
      <c r="AK101" s="521"/>
      <c r="AL101" s="521"/>
      <c r="AM101" s="520" t="e">
        <f t="shared" si="162"/>
        <v>#N/A</v>
      </c>
      <c r="AN101" s="663"/>
      <c r="AO101" s="520"/>
      <c r="AP101" s="521"/>
      <c r="AQ101" s="521"/>
      <c r="AR101" s="520" t="e">
        <f t="shared" si="164"/>
        <v>#N/A</v>
      </c>
      <c r="AS101" s="663"/>
      <c r="AT101" s="520"/>
      <c r="AU101" s="521"/>
      <c r="AV101" s="521"/>
      <c r="AW101" s="520" t="e">
        <f t="shared" si="166"/>
        <v>#N/A</v>
      </c>
      <c r="AX101" s="658"/>
    </row>
    <row r="102" spans="2:50" ht="15.5">
      <c r="B102" s="631" t="s">
        <v>163</v>
      </c>
      <c r="C102" s="632"/>
      <c r="D102" s="632"/>
      <c r="E102" s="632"/>
      <c r="F102" s="632"/>
      <c r="G102" s="632"/>
      <c r="H102" s="633"/>
      <c r="I102" s="209"/>
      <c r="J102" s="209"/>
      <c r="K102" s="209"/>
      <c r="L102" s="209"/>
      <c r="M102" s="208"/>
      <c r="N102" s="620" t="s">
        <v>156</v>
      </c>
      <c r="O102" s="620" t="s">
        <v>105</v>
      </c>
      <c r="P102" s="626">
        <f>P82+7</f>
        <v>46021</v>
      </c>
      <c r="Q102" s="627"/>
      <c r="R102" s="627"/>
      <c r="S102" s="627"/>
      <c r="T102" s="627"/>
      <c r="U102" s="623">
        <f>P102+1</f>
        <v>46022</v>
      </c>
      <c r="V102" s="624"/>
      <c r="W102" s="624"/>
      <c r="X102" s="624"/>
      <c r="Y102" s="625"/>
      <c r="Z102" s="623">
        <f>U102+1</f>
        <v>46023</v>
      </c>
      <c r="AA102" s="624"/>
      <c r="AB102" s="624"/>
      <c r="AC102" s="624"/>
      <c r="AD102" s="625"/>
      <c r="AE102" s="623">
        <f>Z102+1</f>
        <v>46024</v>
      </c>
      <c r="AF102" s="624"/>
      <c r="AG102" s="624"/>
      <c r="AH102" s="624"/>
      <c r="AI102" s="625"/>
      <c r="AJ102" s="623">
        <f>AE102+1</f>
        <v>46025</v>
      </c>
      <c r="AK102" s="624"/>
      <c r="AL102" s="624"/>
      <c r="AM102" s="624"/>
      <c r="AN102" s="625"/>
      <c r="AO102" s="623">
        <f>AJ102+1</f>
        <v>46026</v>
      </c>
      <c r="AP102" s="624"/>
      <c r="AQ102" s="624"/>
      <c r="AR102" s="624"/>
      <c r="AS102" s="625"/>
      <c r="AT102" s="623">
        <f>AO102+1</f>
        <v>46027</v>
      </c>
      <c r="AU102" s="624"/>
      <c r="AV102" s="624"/>
      <c r="AW102" s="624"/>
      <c r="AX102" s="625"/>
    </row>
    <row r="103" spans="2:50" ht="15.5">
      <c r="B103" s="634"/>
      <c r="C103" s="634"/>
      <c r="D103" s="634"/>
      <c r="E103" s="634"/>
      <c r="F103" s="634"/>
      <c r="G103" s="634"/>
      <c r="H103" s="634"/>
      <c r="I103" s="206"/>
      <c r="J103" s="206"/>
      <c r="K103" s="206"/>
      <c r="L103" s="206"/>
      <c r="M103" s="207"/>
      <c r="N103" s="622"/>
      <c r="O103" s="622"/>
      <c r="P103" s="626" t="s">
        <v>158</v>
      </c>
      <c r="Q103" s="627"/>
      <c r="R103" s="627"/>
      <c r="S103" s="627"/>
      <c r="T103" s="627"/>
      <c r="U103" s="626" t="s">
        <v>114</v>
      </c>
      <c r="V103" s="627"/>
      <c r="W103" s="627"/>
      <c r="X103" s="627"/>
      <c r="Y103" s="627"/>
      <c r="Z103" s="626" t="s">
        <v>159</v>
      </c>
      <c r="AA103" s="627"/>
      <c r="AB103" s="627"/>
      <c r="AC103" s="627"/>
      <c r="AD103" s="627"/>
      <c r="AE103" s="626" t="s">
        <v>157</v>
      </c>
      <c r="AF103" s="627"/>
      <c r="AG103" s="627"/>
      <c r="AH103" s="627"/>
      <c r="AI103" s="627"/>
      <c r="AJ103" s="626" t="s">
        <v>160</v>
      </c>
      <c r="AK103" s="627"/>
      <c r="AL103" s="627"/>
      <c r="AM103" s="627"/>
      <c r="AN103" s="627"/>
      <c r="AO103" s="626" t="s">
        <v>115</v>
      </c>
      <c r="AP103" s="627"/>
      <c r="AQ103" s="627"/>
      <c r="AR103" s="627"/>
      <c r="AS103" s="627"/>
      <c r="AT103" s="626" t="s">
        <v>162</v>
      </c>
      <c r="AU103" s="627"/>
      <c r="AV103" s="627"/>
      <c r="AW103" s="627"/>
      <c r="AX103" s="627"/>
    </row>
    <row r="104" spans="2:50">
      <c r="B104" s="619" t="s">
        <v>154</v>
      </c>
      <c r="C104" s="619" t="s">
        <v>453</v>
      </c>
      <c r="D104" s="619"/>
      <c r="E104" s="619" t="s">
        <v>444</v>
      </c>
      <c r="F104" s="619"/>
      <c r="G104" s="619"/>
      <c r="H104" s="635" t="s">
        <v>440</v>
      </c>
      <c r="I104" s="603" t="s">
        <v>445</v>
      </c>
      <c r="J104" s="603"/>
      <c r="K104" s="603"/>
      <c r="L104" s="604" t="s">
        <v>440</v>
      </c>
      <c r="M104" s="610" t="s">
        <v>441</v>
      </c>
      <c r="N104" s="619"/>
      <c r="O104" s="619" t="s">
        <v>446</v>
      </c>
      <c r="P104" s="616" t="s">
        <v>442</v>
      </c>
      <c r="Q104" s="617"/>
      <c r="R104" s="617"/>
      <c r="S104" s="618"/>
      <c r="T104" s="619" t="s">
        <v>440</v>
      </c>
      <c r="U104" s="616" t="s">
        <v>442</v>
      </c>
      <c r="V104" s="617"/>
      <c r="W104" s="617"/>
      <c r="X104" s="618"/>
      <c r="Y104" s="619" t="s">
        <v>440</v>
      </c>
      <c r="Z104" s="616" t="s">
        <v>442</v>
      </c>
      <c r="AA104" s="617"/>
      <c r="AB104" s="617"/>
      <c r="AC104" s="618"/>
      <c r="AD104" s="619" t="s">
        <v>440</v>
      </c>
      <c r="AE104" s="616" t="s">
        <v>442</v>
      </c>
      <c r="AF104" s="617"/>
      <c r="AG104" s="617"/>
      <c r="AH104" s="618"/>
      <c r="AI104" s="619" t="s">
        <v>440</v>
      </c>
      <c r="AJ104" s="616" t="s">
        <v>442</v>
      </c>
      <c r="AK104" s="617"/>
      <c r="AL104" s="617"/>
      <c r="AM104" s="618"/>
      <c r="AN104" s="619" t="s">
        <v>440</v>
      </c>
      <c r="AO104" s="616" t="s">
        <v>442</v>
      </c>
      <c r="AP104" s="617"/>
      <c r="AQ104" s="617"/>
      <c r="AR104" s="618"/>
      <c r="AS104" s="619" t="s">
        <v>440</v>
      </c>
      <c r="AT104" s="616" t="s">
        <v>442</v>
      </c>
      <c r="AU104" s="617"/>
      <c r="AV104" s="617"/>
      <c r="AW104" s="618"/>
      <c r="AX104" s="619" t="s">
        <v>440</v>
      </c>
    </row>
    <row r="105" spans="2:50">
      <c r="B105" s="619"/>
      <c r="C105" s="619"/>
      <c r="D105" s="619"/>
      <c r="E105" s="619" t="s">
        <v>447</v>
      </c>
      <c r="F105" s="619"/>
      <c r="G105" s="619"/>
      <c r="H105" s="636"/>
      <c r="I105" s="603" t="s">
        <v>447</v>
      </c>
      <c r="J105" s="603"/>
      <c r="K105" s="603"/>
      <c r="L105" s="605"/>
      <c r="M105" s="611"/>
      <c r="N105" s="619"/>
      <c r="O105" s="619"/>
      <c r="P105" s="616" t="s">
        <v>448</v>
      </c>
      <c r="Q105" s="617"/>
      <c r="R105" s="617"/>
      <c r="S105" s="618"/>
      <c r="T105" s="619"/>
      <c r="U105" s="616" t="s">
        <v>448</v>
      </c>
      <c r="V105" s="617"/>
      <c r="W105" s="617"/>
      <c r="X105" s="618"/>
      <c r="Y105" s="619"/>
      <c r="Z105" s="616" t="s">
        <v>448</v>
      </c>
      <c r="AA105" s="617"/>
      <c r="AB105" s="617"/>
      <c r="AC105" s="618"/>
      <c r="AD105" s="619"/>
      <c r="AE105" s="616" t="s">
        <v>448</v>
      </c>
      <c r="AF105" s="617"/>
      <c r="AG105" s="617"/>
      <c r="AH105" s="618"/>
      <c r="AI105" s="619"/>
      <c r="AJ105" s="616" t="s">
        <v>448</v>
      </c>
      <c r="AK105" s="617"/>
      <c r="AL105" s="617"/>
      <c r="AM105" s="618"/>
      <c r="AN105" s="619"/>
      <c r="AO105" s="616" t="s">
        <v>448</v>
      </c>
      <c r="AP105" s="617"/>
      <c r="AQ105" s="617"/>
      <c r="AR105" s="618"/>
      <c r="AS105" s="619"/>
      <c r="AT105" s="616" t="s">
        <v>448</v>
      </c>
      <c r="AU105" s="617"/>
      <c r="AV105" s="617"/>
      <c r="AW105" s="618"/>
      <c r="AX105" s="619"/>
    </row>
    <row r="106" spans="2:50">
      <c r="B106" s="619"/>
      <c r="C106" s="619"/>
      <c r="D106" s="619"/>
      <c r="E106" s="357" t="s">
        <v>449</v>
      </c>
      <c r="F106" s="357" t="s">
        <v>450</v>
      </c>
      <c r="G106" s="357" t="s">
        <v>451</v>
      </c>
      <c r="H106" s="637"/>
      <c r="I106" s="358" t="s">
        <v>449</v>
      </c>
      <c r="J106" s="358" t="s">
        <v>450</v>
      </c>
      <c r="K106" s="358" t="s">
        <v>451</v>
      </c>
      <c r="L106" s="606"/>
      <c r="M106" s="612"/>
      <c r="N106" s="619"/>
      <c r="O106" s="619"/>
      <c r="P106" s="357" t="s">
        <v>449</v>
      </c>
      <c r="Q106" s="357" t="s">
        <v>450</v>
      </c>
      <c r="R106" s="357" t="s">
        <v>451</v>
      </c>
      <c r="S106" s="357" t="s">
        <v>441</v>
      </c>
      <c r="T106" s="619"/>
      <c r="U106" s="357" t="s">
        <v>449</v>
      </c>
      <c r="V106" s="357" t="s">
        <v>450</v>
      </c>
      <c r="W106" s="357" t="s">
        <v>451</v>
      </c>
      <c r="X106" s="357" t="s">
        <v>441</v>
      </c>
      <c r="Y106" s="619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9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9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9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9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9"/>
    </row>
    <row r="107" spans="2:50">
      <c r="B107" s="619" t="s">
        <v>132</v>
      </c>
      <c r="C107" s="356">
        <v>1</v>
      </c>
      <c r="D107" s="228"/>
      <c r="E107" s="183"/>
      <c r="F107" s="356"/>
      <c r="G107" s="359"/>
      <c r="H107" s="661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00" t="str">
        <f>IFERROR(AVERAGE(K107:K121),"-")</f>
        <v>-</v>
      </c>
      <c r="M107" s="202" t="e">
        <f>RANK(K107, K$107:$K$121)</f>
        <v>#DIV/0!</v>
      </c>
      <c r="N107" s="619"/>
      <c r="O107" s="619"/>
      <c r="P107" s="183"/>
      <c r="Q107" s="359"/>
      <c r="R107" s="359"/>
      <c r="S107" s="356" t="e">
        <f>RANK(R107, R$107:R$121)</f>
        <v>#N/A</v>
      </c>
      <c r="T107" s="661" t="e">
        <f>AVERAGE(R107:R121)</f>
        <v>#DIV/0!</v>
      </c>
      <c r="U107" s="183"/>
      <c r="V107" s="377"/>
      <c r="W107" s="377"/>
      <c r="X107" s="356" t="e">
        <f>RANK(W107, W$107:W$121)</f>
        <v>#N/A</v>
      </c>
      <c r="Y107" s="661" t="e">
        <f>AVERAGE(W107:W121)</f>
        <v>#DIV/0!</v>
      </c>
      <c r="Z107" s="183"/>
      <c r="AA107" s="377"/>
      <c r="AB107" s="377"/>
      <c r="AC107" s="356" t="e">
        <f>RANK(AB107, AB$107:AB$121)</f>
        <v>#N/A</v>
      </c>
      <c r="AD107" s="661" t="e">
        <f>AVERAGE(AB107:AB121)</f>
        <v>#DIV/0!</v>
      </c>
      <c r="AE107" s="183"/>
      <c r="AF107" s="377"/>
      <c r="AG107" s="377"/>
      <c r="AH107" s="356" t="e">
        <f>RANK(AG107, AG$107:AG$121)</f>
        <v>#N/A</v>
      </c>
      <c r="AI107" s="661" t="e">
        <f>AVERAGE(AG107:AG121)</f>
        <v>#DIV/0!</v>
      </c>
      <c r="AJ107" s="183"/>
      <c r="AK107" s="377"/>
      <c r="AL107" s="377"/>
      <c r="AM107" s="356" t="e">
        <f>RANK(AL107, AL$107:AL$121)</f>
        <v>#N/A</v>
      </c>
      <c r="AN107" s="661" t="e">
        <f>AVERAGE(AL107:AL121)</f>
        <v>#DIV/0!</v>
      </c>
      <c r="AO107" s="183"/>
      <c r="AP107" s="377"/>
      <c r="AQ107" s="377"/>
      <c r="AR107" s="356" t="e">
        <f>RANK(AQ107, AQ$107:AQ$121)</f>
        <v>#N/A</v>
      </c>
      <c r="AS107" s="661" t="e">
        <f>AVERAGE(AQ107:AQ121)</f>
        <v>#DIV/0!</v>
      </c>
      <c r="AT107" s="183"/>
      <c r="AU107" s="377"/>
      <c r="AV107" s="377"/>
      <c r="AW107" s="356" t="e">
        <f>RANK(AV107, AV$107:AV$121)</f>
        <v>#N/A</v>
      </c>
      <c r="AX107" s="658" t="e">
        <f>AVERAGE(AV107:AV121)</f>
        <v>#DIV/0!</v>
      </c>
    </row>
    <row r="108" spans="2:50">
      <c r="B108" s="627"/>
      <c r="C108" s="356">
        <v>2</v>
      </c>
      <c r="D108" s="228"/>
      <c r="E108" s="183"/>
      <c r="F108" s="356"/>
      <c r="G108" s="359"/>
      <c r="H108" s="662"/>
      <c r="I108" s="200" t="e">
        <f t="shared" ref="I108:I114" si="176">AVERAGE(P108,U108,Z108,AE108,AJ108,AO108,AT108)</f>
        <v>#DIV/0!</v>
      </c>
      <c r="J108" s="200" t="e">
        <f t="shared" ref="J108:J114" si="177">AVERAGE(Q108,V108,AA108,AF108,AK108,AP108,AU108)</f>
        <v>#DIV/0!</v>
      </c>
      <c r="K108" s="201" t="e">
        <f t="shared" ref="K108:K114" si="178">AVERAGE(R108,W108,AB108,AG108,AL108,AQ108,AV108)</f>
        <v>#DIV/0!</v>
      </c>
      <c r="L108" s="601"/>
      <c r="M108" s="373" t="e">
        <f>RANK(K108, K$107:$K$121)</f>
        <v>#DIV/0!</v>
      </c>
      <c r="N108" s="619"/>
      <c r="O108" s="619"/>
      <c r="P108" s="356"/>
      <c r="Q108" s="359"/>
      <c r="R108" s="359"/>
      <c r="S108" s="370" t="e">
        <f t="shared" ref="S108:S121" si="179">RANK(R108, R$107:R$121)</f>
        <v>#N/A</v>
      </c>
      <c r="T108" s="662"/>
      <c r="U108" s="376"/>
      <c r="V108" s="377"/>
      <c r="W108" s="377"/>
      <c r="X108" s="356" t="e">
        <f t="shared" ref="X108:X121" si="180">RANK(W108, W$107:W$121)</f>
        <v>#N/A</v>
      </c>
      <c r="Y108" s="662"/>
      <c r="Z108" s="376"/>
      <c r="AA108" s="377"/>
      <c r="AB108" s="377"/>
      <c r="AC108" s="356" t="e">
        <f t="shared" ref="AC108:AC121" si="181">RANK(AB108, AB$107:AB$121)</f>
        <v>#N/A</v>
      </c>
      <c r="AD108" s="662"/>
      <c r="AE108" s="376"/>
      <c r="AF108" s="377"/>
      <c r="AG108" s="377"/>
      <c r="AH108" s="356" t="e">
        <f t="shared" ref="AH108:AH121" si="182">RANK(AG108, AG$107:AG$121)</f>
        <v>#N/A</v>
      </c>
      <c r="AI108" s="662"/>
      <c r="AJ108" s="376"/>
      <c r="AK108" s="377"/>
      <c r="AL108" s="377"/>
      <c r="AM108" s="356" t="e">
        <f t="shared" ref="AM108:AM121" si="183">RANK(AL108, AL$107:AL$121)</f>
        <v>#N/A</v>
      </c>
      <c r="AN108" s="662"/>
      <c r="AO108" s="376"/>
      <c r="AP108" s="377"/>
      <c r="AQ108" s="377"/>
      <c r="AR108" s="356" t="e">
        <f t="shared" ref="AR108:AR121" si="184">RANK(AQ108, AQ$107:AQ$121)</f>
        <v>#N/A</v>
      </c>
      <c r="AS108" s="662"/>
      <c r="AT108" s="376"/>
      <c r="AU108" s="377"/>
      <c r="AV108" s="377"/>
      <c r="AW108" s="356" t="e">
        <f t="shared" ref="AW108:AW121" si="185">RANK(AV108, AV$107:AV$121)</f>
        <v>#N/A</v>
      </c>
      <c r="AX108" s="658"/>
    </row>
    <row r="109" spans="2:50">
      <c r="B109" s="627"/>
      <c r="C109" s="356">
        <v>3</v>
      </c>
      <c r="D109" s="228"/>
      <c r="E109" s="183"/>
      <c r="F109" s="356"/>
      <c r="G109" s="359"/>
      <c r="H109" s="662"/>
      <c r="I109" s="200" t="e">
        <f t="shared" si="176"/>
        <v>#DIV/0!</v>
      </c>
      <c r="J109" s="200" t="e">
        <f t="shared" si="177"/>
        <v>#DIV/0!</v>
      </c>
      <c r="K109" s="201" t="e">
        <f t="shared" si="178"/>
        <v>#DIV/0!</v>
      </c>
      <c r="L109" s="601"/>
      <c r="M109" s="373" t="e">
        <f>RANK(K109, K$107:$K$121)</f>
        <v>#DIV/0!</v>
      </c>
      <c r="N109" s="619"/>
      <c r="O109" s="619"/>
      <c r="P109" s="356"/>
      <c r="Q109" s="359"/>
      <c r="R109" s="359"/>
      <c r="S109" s="370" t="e">
        <f t="shared" si="179"/>
        <v>#N/A</v>
      </c>
      <c r="T109" s="662"/>
      <c r="U109" s="376"/>
      <c r="V109" s="377"/>
      <c r="W109" s="377"/>
      <c r="X109" s="356" t="e">
        <f t="shared" si="180"/>
        <v>#N/A</v>
      </c>
      <c r="Y109" s="662"/>
      <c r="Z109" s="376"/>
      <c r="AA109" s="377"/>
      <c r="AB109" s="377"/>
      <c r="AC109" s="356" t="e">
        <f t="shared" si="181"/>
        <v>#N/A</v>
      </c>
      <c r="AD109" s="662"/>
      <c r="AE109" s="376"/>
      <c r="AF109" s="377"/>
      <c r="AG109" s="377"/>
      <c r="AH109" s="356" t="e">
        <f t="shared" si="182"/>
        <v>#N/A</v>
      </c>
      <c r="AI109" s="662"/>
      <c r="AJ109" s="376"/>
      <c r="AK109" s="377"/>
      <c r="AL109" s="377"/>
      <c r="AM109" s="356" t="e">
        <f t="shared" si="183"/>
        <v>#N/A</v>
      </c>
      <c r="AN109" s="662"/>
      <c r="AO109" s="376"/>
      <c r="AP109" s="377"/>
      <c r="AQ109" s="377"/>
      <c r="AR109" s="356" t="e">
        <f t="shared" si="184"/>
        <v>#N/A</v>
      </c>
      <c r="AS109" s="662"/>
      <c r="AT109" s="376"/>
      <c r="AU109" s="377"/>
      <c r="AV109" s="377"/>
      <c r="AW109" s="356" t="e">
        <f t="shared" si="185"/>
        <v>#N/A</v>
      </c>
      <c r="AX109" s="658"/>
    </row>
    <row r="110" spans="2:50">
      <c r="B110" s="627"/>
      <c r="C110" s="356">
        <v>4</v>
      </c>
      <c r="D110" s="228"/>
      <c r="E110" s="183"/>
      <c r="F110" s="356"/>
      <c r="G110" s="359"/>
      <c r="H110" s="662"/>
      <c r="I110" s="200" t="e">
        <f t="shared" si="176"/>
        <v>#DIV/0!</v>
      </c>
      <c r="J110" s="200" t="e">
        <f t="shared" si="177"/>
        <v>#DIV/0!</v>
      </c>
      <c r="K110" s="201" t="e">
        <f t="shared" si="178"/>
        <v>#DIV/0!</v>
      </c>
      <c r="L110" s="601"/>
      <c r="M110" s="373" t="e">
        <f>RANK(K110, K$107:$K$121)</f>
        <v>#DIV/0!</v>
      </c>
      <c r="N110" s="619"/>
      <c r="O110" s="619"/>
      <c r="P110" s="356"/>
      <c r="Q110" s="359"/>
      <c r="R110" s="359"/>
      <c r="S110" s="370" t="e">
        <f t="shared" si="179"/>
        <v>#N/A</v>
      </c>
      <c r="T110" s="662"/>
      <c r="U110" s="376"/>
      <c r="V110" s="377"/>
      <c r="W110" s="377"/>
      <c r="X110" s="356" t="e">
        <f t="shared" si="180"/>
        <v>#N/A</v>
      </c>
      <c r="Y110" s="662"/>
      <c r="Z110" s="376"/>
      <c r="AA110" s="377"/>
      <c r="AB110" s="377"/>
      <c r="AC110" s="356" t="e">
        <f t="shared" si="181"/>
        <v>#N/A</v>
      </c>
      <c r="AD110" s="662"/>
      <c r="AE110" s="376"/>
      <c r="AF110" s="377"/>
      <c r="AG110" s="377"/>
      <c r="AH110" s="356" t="e">
        <f t="shared" si="182"/>
        <v>#N/A</v>
      </c>
      <c r="AI110" s="662"/>
      <c r="AJ110" s="376"/>
      <c r="AK110" s="377"/>
      <c r="AL110" s="377"/>
      <c r="AM110" s="356" t="e">
        <f t="shared" si="183"/>
        <v>#N/A</v>
      </c>
      <c r="AN110" s="662"/>
      <c r="AO110" s="376"/>
      <c r="AP110" s="377"/>
      <c r="AQ110" s="377"/>
      <c r="AR110" s="356" t="e">
        <f t="shared" si="184"/>
        <v>#N/A</v>
      </c>
      <c r="AS110" s="662"/>
      <c r="AT110" s="376"/>
      <c r="AU110" s="377"/>
      <c r="AV110" s="377"/>
      <c r="AW110" s="356" t="e">
        <f t="shared" si="185"/>
        <v>#N/A</v>
      </c>
      <c r="AX110" s="658"/>
    </row>
    <row r="111" spans="2:50">
      <c r="B111" s="627"/>
      <c r="C111" s="356">
        <v>5</v>
      </c>
      <c r="D111" s="228"/>
      <c r="E111" s="183"/>
      <c r="F111" s="356"/>
      <c r="G111" s="359"/>
      <c r="H111" s="662"/>
      <c r="I111" s="200" t="e">
        <f t="shared" si="176"/>
        <v>#DIV/0!</v>
      </c>
      <c r="J111" s="200" t="e">
        <f t="shared" si="177"/>
        <v>#DIV/0!</v>
      </c>
      <c r="K111" s="201" t="e">
        <f t="shared" si="178"/>
        <v>#DIV/0!</v>
      </c>
      <c r="L111" s="601"/>
      <c r="M111" s="373" t="e">
        <f>RANK(K111, K$107:$K$121)</f>
        <v>#DIV/0!</v>
      </c>
      <c r="N111" s="619"/>
      <c r="O111" s="619"/>
      <c r="P111" s="356"/>
      <c r="Q111" s="359"/>
      <c r="R111" s="359"/>
      <c r="S111" s="370" t="e">
        <f t="shared" si="179"/>
        <v>#N/A</v>
      </c>
      <c r="T111" s="662"/>
      <c r="U111" s="376"/>
      <c r="V111" s="377"/>
      <c r="W111" s="377"/>
      <c r="X111" s="356" t="e">
        <f t="shared" si="180"/>
        <v>#N/A</v>
      </c>
      <c r="Y111" s="662"/>
      <c r="Z111" s="376"/>
      <c r="AA111" s="377"/>
      <c r="AB111" s="377"/>
      <c r="AC111" s="356" t="e">
        <f t="shared" si="181"/>
        <v>#N/A</v>
      </c>
      <c r="AD111" s="662"/>
      <c r="AE111" s="376"/>
      <c r="AF111" s="377"/>
      <c r="AG111" s="377"/>
      <c r="AH111" s="356" t="e">
        <f t="shared" si="182"/>
        <v>#N/A</v>
      </c>
      <c r="AI111" s="662"/>
      <c r="AJ111" s="376"/>
      <c r="AK111" s="377"/>
      <c r="AL111" s="377"/>
      <c r="AM111" s="356" t="e">
        <f t="shared" si="183"/>
        <v>#N/A</v>
      </c>
      <c r="AN111" s="662"/>
      <c r="AO111" s="376"/>
      <c r="AP111" s="377"/>
      <c r="AQ111" s="377"/>
      <c r="AR111" s="356" t="e">
        <f t="shared" si="184"/>
        <v>#N/A</v>
      </c>
      <c r="AS111" s="662"/>
      <c r="AT111" s="376"/>
      <c r="AU111" s="377"/>
      <c r="AV111" s="377"/>
      <c r="AW111" s="356" t="e">
        <f t="shared" si="185"/>
        <v>#N/A</v>
      </c>
      <c r="AX111" s="658"/>
    </row>
    <row r="112" spans="2:50">
      <c r="B112" s="627"/>
      <c r="C112" s="356">
        <v>6</v>
      </c>
      <c r="D112" s="228"/>
      <c r="E112" s="183"/>
      <c r="F112" s="356"/>
      <c r="G112" s="359"/>
      <c r="H112" s="662"/>
      <c r="I112" s="200" t="e">
        <f t="shared" si="176"/>
        <v>#DIV/0!</v>
      </c>
      <c r="J112" s="200" t="e">
        <f t="shared" si="177"/>
        <v>#DIV/0!</v>
      </c>
      <c r="K112" s="201" t="e">
        <f t="shared" si="178"/>
        <v>#DIV/0!</v>
      </c>
      <c r="L112" s="601"/>
      <c r="M112" s="373" t="e">
        <f>RANK(K112, K$107:$K$121)</f>
        <v>#DIV/0!</v>
      </c>
      <c r="N112" s="619"/>
      <c r="O112" s="619"/>
      <c r="P112" s="356"/>
      <c r="Q112" s="359"/>
      <c r="R112" s="359"/>
      <c r="S112" s="370" t="e">
        <f t="shared" si="179"/>
        <v>#N/A</v>
      </c>
      <c r="T112" s="662"/>
      <c r="U112" s="376"/>
      <c r="V112" s="377"/>
      <c r="W112" s="377"/>
      <c r="X112" s="356" t="e">
        <f t="shared" si="180"/>
        <v>#N/A</v>
      </c>
      <c r="Y112" s="662"/>
      <c r="Z112" s="376"/>
      <c r="AA112" s="377"/>
      <c r="AB112" s="377"/>
      <c r="AC112" s="356" t="e">
        <f t="shared" si="181"/>
        <v>#N/A</v>
      </c>
      <c r="AD112" s="662"/>
      <c r="AE112" s="376"/>
      <c r="AF112" s="377"/>
      <c r="AG112" s="377"/>
      <c r="AH112" s="356" t="e">
        <f t="shared" si="182"/>
        <v>#N/A</v>
      </c>
      <c r="AI112" s="662"/>
      <c r="AJ112" s="376"/>
      <c r="AK112" s="377"/>
      <c r="AL112" s="377"/>
      <c r="AM112" s="356" t="e">
        <f t="shared" si="183"/>
        <v>#N/A</v>
      </c>
      <c r="AN112" s="662"/>
      <c r="AO112" s="376"/>
      <c r="AP112" s="377"/>
      <c r="AQ112" s="377"/>
      <c r="AR112" s="356" t="e">
        <f t="shared" si="184"/>
        <v>#N/A</v>
      </c>
      <c r="AS112" s="662"/>
      <c r="AT112" s="376"/>
      <c r="AU112" s="377"/>
      <c r="AV112" s="377"/>
      <c r="AW112" s="356" t="e">
        <f t="shared" si="185"/>
        <v>#N/A</v>
      </c>
      <c r="AX112" s="658"/>
    </row>
    <row r="113" spans="2:50">
      <c r="B113" s="627"/>
      <c r="C113" s="356">
        <v>7</v>
      </c>
      <c r="D113" s="228"/>
      <c r="E113" s="183"/>
      <c r="F113" s="356"/>
      <c r="G113" s="359"/>
      <c r="H113" s="662"/>
      <c r="I113" s="200" t="e">
        <f t="shared" si="176"/>
        <v>#DIV/0!</v>
      </c>
      <c r="J113" s="200" t="e">
        <f t="shared" si="177"/>
        <v>#DIV/0!</v>
      </c>
      <c r="K113" s="201" t="e">
        <f t="shared" si="178"/>
        <v>#DIV/0!</v>
      </c>
      <c r="L113" s="601"/>
      <c r="M113" s="373" t="e">
        <f>RANK(K113, K$107:$K$121)</f>
        <v>#DIV/0!</v>
      </c>
      <c r="N113" s="619"/>
      <c r="O113" s="619"/>
      <c r="P113" s="356"/>
      <c r="Q113" s="359"/>
      <c r="R113" s="359"/>
      <c r="S113" s="370" t="e">
        <f t="shared" si="179"/>
        <v>#N/A</v>
      </c>
      <c r="T113" s="662"/>
      <c r="U113" s="376"/>
      <c r="V113" s="377"/>
      <c r="W113" s="377"/>
      <c r="X113" s="356" t="e">
        <f t="shared" si="180"/>
        <v>#N/A</v>
      </c>
      <c r="Y113" s="662"/>
      <c r="Z113" s="376"/>
      <c r="AA113" s="377"/>
      <c r="AB113" s="377"/>
      <c r="AC113" s="356" t="e">
        <f t="shared" si="181"/>
        <v>#N/A</v>
      </c>
      <c r="AD113" s="662"/>
      <c r="AE113" s="376"/>
      <c r="AF113" s="377"/>
      <c r="AG113" s="377"/>
      <c r="AH113" s="356" t="e">
        <f t="shared" si="182"/>
        <v>#N/A</v>
      </c>
      <c r="AI113" s="662"/>
      <c r="AJ113" s="376"/>
      <c r="AK113" s="377"/>
      <c r="AL113" s="377"/>
      <c r="AM113" s="356" t="e">
        <f t="shared" si="183"/>
        <v>#N/A</v>
      </c>
      <c r="AN113" s="662"/>
      <c r="AO113" s="376"/>
      <c r="AP113" s="377"/>
      <c r="AQ113" s="377"/>
      <c r="AR113" s="356" t="e">
        <f t="shared" si="184"/>
        <v>#N/A</v>
      </c>
      <c r="AS113" s="662"/>
      <c r="AT113" s="376"/>
      <c r="AU113" s="377"/>
      <c r="AV113" s="377"/>
      <c r="AW113" s="356" t="e">
        <f t="shared" si="185"/>
        <v>#N/A</v>
      </c>
      <c r="AX113" s="658"/>
    </row>
    <row r="114" spans="2:50">
      <c r="B114" s="627"/>
      <c r="C114" s="356">
        <v>8</v>
      </c>
      <c r="D114" s="228"/>
      <c r="E114" s="183"/>
      <c r="F114" s="356"/>
      <c r="G114" s="359"/>
      <c r="H114" s="662"/>
      <c r="I114" s="200" t="e">
        <f t="shared" si="176"/>
        <v>#DIV/0!</v>
      </c>
      <c r="J114" s="200" t="e">
        <f t="shared" si="177"/>
        <v>#DIV/0!</v>
      </c>
      <c r="K114" s="201" t="e">
        <f t="shared" si="178"/>
        <v>#DIV/0!</v>
      </c>
      <c r="L114" s="601"/>
      <c r="M114" s="373" t="e">
        <f>RANK(K114, K$107:$K$121)</f>
        <v>#DIV/0!</v>
      </c>
      <c r="N114" s="619"/>
      <c r="O114" s="619"/>
      <c r="P114" s="356"/>
      <c r="Q114" s="359"/>
      <c r="R114" s="359"/>
      <c r="S114" s="370" t="e">
        <f t="shared" si="179"/>
        <v>#N/A</v>
      </c>
      <c r="T114" s="662"/>
      <c r="U114" s="376"/>
      <c r="V114" s="377"/>
      <c r="W114" s="377"/>
      <c r="X114" s="356" t="e">
        <f t="shared" si="180"/>
        <v>#N/A</v>
      </c>
      <c r="Y114" s="662"/>
      <c r="Z114" s="376"/>
      <c r="AA114" s="377"/>
      <c r="AB114" s="377"/>
      <c r="AC114" s="356" t="e">
        <f t="shared" si="181"/>
        <v>#N/A</v>
      </c>
      <c r="AD114" s="662"/>
      <c r="AE114" s="376"/>
      <c r="AF114" s="377"/>
      <c r="AG114" s="377"/>
      <c r="AH114" s="356" t="e">
        <f t="shared" si="182"/>
        <v>#N/A</v>
      </c>
      <c r="AI114" s="662"/>
      <c r="AJ114" s="376"/>
      <c r="AK114" s="377"/>
      <c r="AL114" s="377"/>
      <c r="AM114" s="356" t="e">
        <f t="shared" si="183"/>
        <v>#N/A</v>
      </c>
      <c r="AN114" s="662"/>
      <c r="AO114" s="376"/>
      <c r="AP114" s="377"/>
      <c r="AQ114" s="377"/>
      <c r="AR114" s="356" t="e">
        <f t="shared" si="184"/>
        <v>#N/A</v>
      </c>
      <c r="AS114" s="662"/>
      <c r="AT114" s="376"/>
      <c r="AU114" s="377"/>
      <c r="AV114" s="377"/>
      <c r="AW114" s="356" t="e">
        <f t="shared" si="185"/>
        <v>#N/A</v>
      </c>
      <c r="AX114" s="658"/>
    </row>
    <row r="115" spans="2:50">
      <c r="B115" s="627"/>
      <c r="C115" s="356">
        <v>9</v>
      </c>
      <c r="D115" s="228"/>
      <c r="E115" s="183"/>
      <c r="F115" s="356"/>
      <c r="G115" s="359"/>
      <c r="H115" s="662"/>
      <c r="I115" s="372" t="e">
        <f t="shared" ref="I115:I116" si="186">AVERAGE(P115,U115,Z115,AE115,AJ115,AO115,AT115)</f>
        <v>#DIV/0!</v>
      </c>
      <c r="J115" s="372" t="e">
        <f t="shared" ref="J115:J116" si="187">AVERAGE(Q115,V115,AA115,AF115,AK115,AP115,AU115)</f>
        <v>#DIV/0!</v>
      </c>
      <c r="K115" s="201" t="e">
        <f t="shared" ref="K115:K116" si="188">AVERAGE(R115,W115,AB115,AG115,AL115,AQ115,AV115)</f>
        <v>#DIV/0!</v>
      </c>
      <c r="L115" s="601"/>
      <c r="M115" s="373" t="e">
        <f>RANK(K115, K$107:$K$121)</f>
        <v>#DIV/0!</v>
      </c>
      <c r="N115" s="619"/>
      <c r="O115" s="619"/>
      <c r="P115" s="356"/>
      <c r="Q115" s="359"/>
      <c r="R115" s="359"/>
      <c r="S115" s="370" t="e">
        <f t="shared" si="179"/>
        <v>#N/A</v>
      </c>
      <c r="T115" s="662"/>
      <c r="U115" s="376"/>
      <c r="V115" s="377"/>
      <c r="W115" s="377"/>
      <c r="X115" s="356" t="e">
        <f t="shared" si="180"/>
        <v>#N/A</v>
      </c>
      <c r="Y115" s="662"/>
      <c r="Z115" s="376"/>
      <c r="AA115" s="377"/>
      <c r="AB115" s="377"/>
      <c r="AC115" s="356" t="e">
        <f t="shared" si="181"/>
        <v>#N/A</v>
      </c>
      <c r="AD115" s="662"/>
      <c r="AE115" s="376"/>
      <c r="AF115" s="377"/>
      <c r="AG115" s="377"/>
      <c r="AH115" s="356" t="e">
        <f t="shared" si="182"/>
        <v>#N/A</v>
      </c>
      <c r="AI115" s="662"/>
      <c r="AJ115" s="376"/>
      <c r="AK115" s="377"/>
      <c r="AL115" s="377"/>
      <c r="AM115" s="356" t="e">
        <f t="shared" si="183"/>
        <v>#N/A</v>
      </c>
      <c r="AN115" s="662"/>
      <c r="AO115" s="376"/>
      <c r="AP115" s="377"/>
      <c r="AQ115" s="377"/>
      <c r="AR115" s="356" t="e">
        <f t="shared" si="184"/>
        <v>#N/A</v>
      </c>
      <c r="AS115" s="662"/>
      <c r="AT115" s="376"/>
      <c r="AU115" s="377"/>
      <c r="AV115" s="377"/>
      <c r="AW115" s="356" t="e">
        <f t="shared" si="185"/>
        <v>#N/A</v>
      </c>
      <c r="AX115" s="658"/>
    </row>
    <row r="116" spans="2:50">
      <c r="B116" s="627"/>
      <c r="C116" s="356">
        <v>10</v>
      </c>
      <c r="D116" s="228"/>
      <c r="E116" s="183"/>
      <c r="F116" s="356"/>
      <c r="G116" s="359"/>
      <c r="H116" s="662"/>
      <c r="I116" s="372" t="e">
        <f t="shared" si="186"/>
        <v>#DIV/0!</v>
      </c>
      <c r="J116" s="372" t="e">
        <f t="shared" si="187"/>
        <v>#DIV/0!</v>
      </c>
      <c r="K116" s="201" t="e">
        <f t="shared" si="188"/>
        <v>#DIV/0!</v>
      </c>
      <c r="L116" s="601"/>
      <c r="M116" s="373" t="e">
        <f>RANK(K116, K$107:$K$121)</f>
        <v>#DIV/0!</v>
      </c>
      <c r="N116" s="619"/>
      <c r="O116" s="619"/>
      <c r="P116" s="356"/>
      <c r="Q116" s="359"/>
      <c r="R116" s="359"/>
      <c r="S116" s="370" t="e">
        <f t="shared" si="179"/>
        <v>#N/A</v>
      </c>
      <c r="T116" s="662"/>
      <c r="U116" s="376"/>
      <c r="V116" s="377"/>
      <c r="W116" s="377"/>
      <c r="X116" s="356" t="e">
        <f t="shared" si="180"/>
        <v>#N/A</v>
      </c>
      <c r="Y116" s="662"/>
      <c r="Z116" s="376"/>
      <c r="AA116" s="377"/>
      <c r="AB116" s="377"/>
      <c r="AC116" s="356" t="e">
        <f t="shared" si="181"/>
        <v>#N/A</v>
      </c>
      <c r="AD116" s="662"/>
      <c r="AE116" s="376"/>
      <c r="AF116" s="377"/>
      <c r="AG116" s="377"/>
      <c r="AH116" s="356" t="e">
        <f t="shared" si="182"/>
        <v>#N/A</v>
      </c>
      <c r="AI116" s="662"/>
      <c r="AJ116" s="376"/>
      <c r="AK116" s="377"/>
      <c r="AL116" s="377"/>
      <c r="AM116" s="356" t="e">
        <f t="shared" si="183"/>
        <v>#N/A</v>
      </c>
      <c r="AN116" s="662"/>
      <c r="AO116" s="376"/>
      <c r="AP116" s="377"/>
      <c r="AQ116" s="377"/>
      <c r="AR116" s="356" t="e">
        <f t="shared" si="184"/>
        <v>#N/A</v>
      </c>
      <c r="AS116" s="662"/>
      <c r="AT116" s="376"/>
      <c r="AU116" s="377"/>
      <c r="AV116" s="377"/>
      <c r="AW116" s="356" t="e">
        <f t="shared" si="185"/>
        <v>#N/A</v>
      </c>
      <c r="AX116" s="658"/>
    </row>
    <row r="117" spans="2:50">
      <c r="B117" s="627"/>
      <c r="C117" s="356">
        <v>11</v>
      </c>
      <c r="D117" s="228"/>
      <c r="E117" s="183"/>
      <c r="F117" s="356"/>
      <c r="G117" s="359"/>
      <c r="H117" s="662"/>
      <c r="I117" s="203"/>
      <c r="J117" s="203"/>
      <c r="K117" s="203"/>
      <c r="L117" s="601"/>
      <c r="M117" s="373" t="e">
        <f>RANK(K117, K$107:$K$121)</f>
        <v>#DIV/0!</v>
      </c>
      <c r="N117" s="619"/>
      <c r="O117" s="619"/>
      <c r="P117" s="356"/>
      <c r="Q117" s="359"/>
      <c r="R117" s="359"/>
      <c r="S117" s="370" t="e">
        <f t="shared" si="179"/>
        <v>#N/A</v>
      </c>
      <c r="T117" s="662"/>
      <c r="U117" s="376"/>
      <c r="V117" s="377"/>
      <c r="W117" s="377"/>
      <c r="X117" s="356" t="e">
        <f t="shared" si="180"/>
        <v>#N/A</v>
      </c>
      <c r="Y117" s="662"/>
      <c r="Z117" s="376"/>
      <c r="AA117" s="377"/>
      <c r="AB117" s="377"/>
      <c r="AC117" s="356" t="e">
        <f t="shared" si="181"/>
        <v>#N/A</v>
      </c>
      <c r="AD117" s="662"/>
      <c r="AE117" s="376"/>
      <c r="AF117" s="377"/>
      <c r="AG117" s="377"/>
      <c r="AH117" s="356" t="e">
        <f t="shared" si="182"/>
        <v>#N/A</v>
      </c>
      <c r="AI117" s="662"/>
      <c r="AJ117" s="376"/>
      <c r="AK117" s="377"/>
      <c r="AL117" s="377"/>
      <c r="AM117" s="356" t="e">
        <f t="shared" si="183"/>
        <v>#N/A</v>
      </c>
      <c r="AN117" s="662"/>
      <c r="AO117" s="376"/>
      <c r="AP117" s="377"/>
      <c r="AQ117" s="377"/>
      <c r="AR117" s="356" t="e">
        <f t="shared" si="184"/>
        <v>#N/A</v>
      </c>
      <c r="AS117" s="662"/>
      <c r="AT117" s="376"/>
      <c r="AU117" s="377"/>
      <c r="AV117" s="377"/>
      <c r="AW117" s="356" t="e">
        <f t="shared" si="185"/>
        <v>#N/A</v>
      </c>
      <c r="AX117" s="658"/>
    </row>
    <row r="118" spans="2:50">
      <c r="B118" s="627"/>
      <c r="C118" s="356">
        <v>12</v>
      </c>
      <c r="D118" s="228"/>
      <c r="E118" s="183"/>
      <c r="F118" s="356"/>
      <c r="G118" s="359"/>
      <c r="H118" s="662"/>
      <c r="I118" s="203"/>
      <c r="J118" s="203"/>
      <c r="K118" s="203"/>
      <c r="L118" s="601"/>
      <c r="M118" s="373" t="e">
        <f>RANK(K118, K$107:$K$121)</f>
        <v>#DIV/0!</v>
      </c>
      <c r="N118" s="619"/>
      <c r="O118" s="619"/>
      <c r="P118" s="356"/>
      <c r="Q118" s="359"/>
      <c r="R118" s="359"/>
      <c r="S118" s="370" t="e">
        <f t="shared" si="179"/>
        <v>#N/A</v>
      </c>
      <c r="T118" s="662"/>
      <c r="U118" s="376"/>
      <c r="V118" s="377"/>
      <c r="W118" s="377"/>
      <c r="X118" s="356" t="e">
        <f t="shared" si="180"/>
        <v>#N/A</v>
      </c>
      <c r="Y118" s="662"/>
      <c r="Z118" s="376"/>
      <c r="AA118" s="377"/>
      <c r="AB118" s="377"/>
      <c r="AC118" s="356" t="e">
        <f t="shared" si="181"/>
        <v>#N/A</v>
      </c>
      <c r="AD118" s="662"/>
      <c r="AE118" s="376"/>
      <c r="AF118" s="377"/>
      <c r="AG118" s="377"/>
      <c r="AH118" s="356" t="e">
        <f t="shared" si="182"/>
        <v>#N/A</v>
      </c>
      <c r="AI118" s="662"/>
      <c r="AJ118" s="376"/>
      <c r="AK118" s="377"/>
      <c r="AL118" s="377"/>
      <c r="AM118" s="356" t="e">
        <f t="shared" si="183"/>
        <v>#N/A</v>
      </c>
      <c r="AN118" s="662"/>
      <c r="AO118" s="376"/>
      <c r="AP118" s="377"/>
      <c r="AQ118" s="377"/>
      <c r="AR118" s="356" t="e">
        <f t="shared" si="184"/>
        <v>#N/A</v>
      </c>
      <c r="AS118" s="662"/>
      <c r="AT118" s="376"/>
      <c r="AU118" s="377"/>
      <c r="AV118" s="377"/>
      <c r="AW118" s="356" t="e">
        <f t="shared" si="185"/>
        <v>#N/A</v>
      </c>
      <c r="AX118" s="658"/>
    </row>
    <row r="119" spans="2:50">
      <c r="B119" s="627"/>
      <c r="C119" s="356">
        <v>13</v>
      </c>
      <c r="D119" s="228"/>
      <c r="E119" s="183"/>
      <c r="F119" s="356"/>
      <c r="G119" s="359"/>
      <c r="H119" s="662"/>
      <c r="I119" s="203"/>
      <c r="J119" s="203"/>
      <c r="K119" s="203"/>
      <c r="L119" s="601"/>
      <c r="M119" s="373" t="e">
        <f>RANK(K119, K$107:$K$121)</f>
        <v>#DIV/0!</v>
      </c>
      <c r="N119" s="619"/>
      <c r="O119" s="619"/>
      <c r="P119" s="356"/>
      <c r="Q119" s="359"/>
      <c r="R119" s="359"/>
      <c r="S119" s="370" t="e">
        <f t="shared" si="179"/>
        <v>#N/A</v>
      </c>
      <c r="T119" s="662"/>
      <c r="U119" s="376"/>
      <c r="V119" s="377"/>
      <c r="W119" s="377"/>
      <c r="X119" s="356" t="e">
        <f t="shared" si="180"/>
        <v>#N/A</v>
      </c>
      <c r="Y119" s="662"/>
      <c r="Z119" s="376"/>
      <c r="AA119" s="377"/>
      <c r="AB119" s="377"/>
      <c r="AC119" s="356" t="e">
        <f t="shared" si="181"/>
        <v>#N/A</v>
      </c>
      <c r="AD119" s="662"/>
      <c r="AE119" s="376"/>
      <c r="AF119" s="377"/>
      <c r="AG119" s="377"/>
      <c r="AH119" s="356" t="e">
        <f t="shared" si="182"/>
        <v>#N/A</v>
      </c>
      <c r="AI119" s="662"/>
      <c r="AJ119" s="376"/>
      <c r="AK119" s="377"/>
      <c r="AL119" s="377"/>
      <c r="AM119" s="356" t="e">
        <f t="shared" si="183"/>
        <v>#N/A</v>
      </c>
      <c r="AN119" s="662"/>
      <c r="AO119" s="376"/>
      <c r="AP119" s="377"/>
      <c r="AQ119" s="377"/>
      <c r="AR119" s="356" t="e">
        <f t="shared" si="184"/>
        <v>#N/A</v>
      </c>
      <c r="AS119" s="662"/>
      <c r="AT119" s="376"/>
      <c r="AU119" s="377"/>
      <c r="AV119" s="377"/>
      <c r="AW119" s="356" t="e">
        <f t="shared" si="185"/>
        <v>#N/A</v>
      </c>
      <c r="AX119" s="658"/>
    </row>
    <row r="120" spans="2:50">
      <c r="B120" s="627"/>
      <c r="C120" s="356">
        <v>14</v>
      </c>
      <c r="D120" s="228"/>
      <c r="E120" s="183"/>
      <c r="F120" s="356"/>
      <c r="G120" s="359"/>
      <c r="H120" s="662"/>
      <c r="I120" s="203"/>
      <c r="J120" s="203"/>
      <c r="K120" s="203"/>
      <c r="L120" s="601"/>
      <c r="M120" s="373" t="e">
        <f>RANK(K120, K$107:$K$121)</f>
        <v>#DIV/0!</v>
      </c>
      <c r="N120" s="619"/>
      <c r="O120" s="619"/>
      <c r="P120" s="356"/>
      <c r="Q120" s="359"/>
      <c r="R120" s="359"/>
      <c r="S120" s="370" t="e">
        <f t="shared" si="179"/>
        <v>#N/A</v>
      </c>
      <c r="T120" s="662"/>
      <c r="U120" s="376"/>
      <c r="V120" s="377"/>
      <c r="W120" s="377"/>
      <c r="X120" s="356" t="e">
        <f t="shared" si="180"/>
        <v>#N/A</v>
      </c>
      <c r="Y120" s="662"/>
      <c r="Z120" s="376"/>
      <c r="AA120" s="377"/>
      <c r="AB120" s="377"/>
      <c r="AC120" s="356" t="e">
        <f t="shared" si="181"/>
        <v>#N/A</v>
      </c>
      <c r="AD120" s="662"/>
      <c r="AE120" s="376"/>
      <c r="AF120" s="377"/>
      <c r="AG120" s="377"/>
      <c r="AH120" s="356" t="e">
        <f t="shared" si="182"/>
        <v>#N/A</v>
      </c>
      <c r="AI120" s="662"/>
      <c r="AJ120" s="376"/>
      <c r="AK120" s="377"/>
      <c r="AL120" s="377"/>
      <c r="AM120" s="356" t="e">
        <f t="shared" si="183"/>
        <v>#N/A</v>
      </c>
      <c r="AN120" s="662"/>
      <c r="AO120" s="376"/>
      <c r="AP120" s="377"/>
      <c r="AQ120" s="377"/>
      <c r="AR120" s="356" t="e">
        <f t="shared" si="184"/>
        <v>#N/A</v>
      </c>
      <c r="AS120" s="662"/>
      <c r="AT120" s="376"/>
      <c r="AU120" s="377"/>
      <c r="AV120" s="377"/>
      <c r="AW120" s="356" t="e">
        <f t="shared" si="185"/>
        <v>#N/A</v>
      </c>
      <c r="AX120" s="658"/>
    </row>
    <row r="121" spans="2:50">
      <c r="B121" s="627"/>
      <c r="C121" s="356">
        <v>15</v>
      </c>
      <c r="D121" s="228"/>
      <c r="E121" s="183"/>
      <c r="F121" s="356"/>
      <c r="G121" s="359"/>
      <c r="H121" s="663"/>
      <c r="I121" s="203"/>
      <c r="J121" s="203"/>
      <c r="K121" s="203"/>
      <c r="L121" s="602"/>
      <c r="M121" s="373" t="e">
        <f>RANK(K121, K$107:$K$121)</f>
        <v>#DIV/0!</v>
      </c>
      <c r="N121" s="619"/>
      <c r="O121" s="619"/>
      <c r="P121" s="356"/>
      <c r="Q121" s="359"/>
      <c r="R121" s="359"/>
      <c r="S121" s="370" t="e">
        <f t="shared" si="179"/>
        <v>#N/A</v>
      </c>
      <c r="T121" s="663"/>
      <c r="U121" s="376"/>
      <c r="V121" s="377"/>
      <c r="W121" s="377"/>
      <c r="X121" s="356" t="e">
        <f t="shared" si="180"/>
        <v>#N/A</v>
      </c>
      <c r="Y121" s="663"/>
      <c r="Z121" s="376"/>
      <c r="AA121" s="377"/>
      <c r="AB121" s="377"/>
      <c r="AC121" s="356" t="e">
        <f t="shared" si="181"/>
        <v>#N/A</v>
      </c>
      <c r="AD121" s="663"/>
      <c r="AE121" s="376"/>
      <c r="AF121" s="377"/>
      <c r="AG121" s="377"/>
      <c r="AH121" s="356" t="e">
        <f t="shared" si="182"/>
        <v>#N/A</v>
      </c>
      <c r="AI121" s="663"/>
      <c r="AJ121" s="376"/>
      <c r="AK121" s="377"/>
      <c r="AL121" s="377"/>
      <c r="AM121" s="356" t="e">
        <f t="shared" si="183"/>
        <v>#N/A</v>
      </c>
      <c r="AN121" s="663"/>
      <c r="AO121" s="376"/>
      <c r="AP121" s="377"/>
      <c r="AQ121" s="377"/>
      <c r="AR121" s="356" t="e">
        <f t="shared" si="184"/>
        <v>#N/A</v>
      </c>
      <c r="AS121" s="663"/>
      <c r="AT121" s="376"/>
      <c r="AU121" s="377"/>
      <c r="AV121" s="377"/>
      <c r="AW121" s="356" t="e">
        <f t="shared" si="185"/>
        <v>#N/A</v>
      </c>
      <c r="AX121" s="658"/>
    </row>
    <row r="123" spans="2:50" ht="15.5">
      <c r="B123" s="652" t="s">
        <v>712</v>
      </c>
      <c r="C123" s="653"/>
      <c r="D123" s="653"/>
      <c r="E123" s="653"/>
      <c r="F123" s="653"/>
      <c r="G123" s="653"/>
      <c r="H123" s="654"/>
      <c r="I123" s="360"/>
      <c r="J123" s="360"/>
      <c r="K123" s="360"/>
      <c r="L123" s="360"/>
      <c r="M123" s="361"/>
    </row>
    <row r="124" spans="2:50" ht="15.5">
      <c r="B124" s="655"/>
      <c r="C124" s="655"/>
      <c r="D124" s="655"/>
      <c r="E124" s="655"/>
      <c r="F124" s="655"/>
      <c r="G124" s="655"/>
      <c r="H124" s="655"/>
      <c r="I124" s="362"/>
      <c r="J124" s="362"/>
      <c r="K124" s="362"/>
      <c r="L124" s="362"/>
      <c r="M124" s="363"/>
    </row>
    <row r="125" spans="2:50">
      <c r="B125" s="619" t="s">
        <v>713</v>
      </c>
      <c r="C125" s="619" t="s">
        <v>714</v>
      </c>
      <c r="D125" s="619"/>
      <c r="E125" s="619" t="s">
        <v>715</v>
      </c>
      <c r="F125" s="619"/>
      <c r="G125" s="619"/>
      <c r="H125" s="635" t="s">
        <v>716</v>
      </c>
      <c r="I125" s="656" t="s">
        <v>717</v>
      </c>
      <c r="J125" s="656"/>
      <c r="K125" s="656"/>
      <c r="L125" s="672" t="s">
        <v>716</v>
      </c>
      <c r="M125" s="675" t="s">
        <v>718</v>
      </c>
    </row>
    <row r="126" spans="2:50">
      <c r="B126" s="619"/>
      <c r="C126" s="619"/>
      <c r="D126" s="619"/>
      <c r="E126" s="619" t="s">
        <v>719</v>
      </c>
      <c r="F126" s="619"/>
      <c r="G126" s="619"/>
      <c r="H126" s="636"/>
      <c r="I126" s="656" t="s">
        <v>719</v>
      </c>
      <c r="J126" s="656"/>
      <c r="K126" s="656"/>
      <c r="L126" s="673"/>
      <c r="M126" s="676"/>
    </row>
    <row r="127" spans="2:50">
      <c r="B127" s="619"/>
      <c r="C127" s="619"/>
      <c r="D127" s="619"/>
      <c r="E127" s="357" t="s">
        <v>720</v>
      </c>
      <c r="F127" s="357" t="s">
        <v>721</v>
      </c>
      <c r="G127" s="357" t="s">
        <v>722</v>
      </c>
      <c r="H127" s="637"/>
      <c r="I127" s="364" t="s">
        <v>720</v>
      </c>
      <c r="J127" s="364" t="s">
        <v>721</v>
      </c>
      <c r="K127" s="364" t="s">
        <v>722</v>
      </c>
      <c r="L127" s="674"/>
      <c r="M127" s="677"/>
    </row>
    <row r="128" spans="2:50">
      <c r="B128" s="619" t="s">
        <v>728</v>
      </c>
      <c r="C128" s="356">
        <v>1</v>
      </c>
      <c r="D128" s="228"/>
      <c r="E128" s="183"/>
      <c r="F128" s="356"/>
      <c r="G128" s="359"/>
      <c r="H128" s="661" t="e">
        <f>AVERAGE(G128:G142)</f>
        <v>#DIV/0!</v>
      </c>
      <c r="I128" s="200" t="e">
        <f t="shared" ref="I128:J135" si="189">AVERAGEIF($D$7:$D$121,$D128,I$7:I$121)</f>
        <v>#DIV/0!</v>
      </c>
      <c r="J128" s="200" t="e">
        <f t="shared" si="189"/>
        <v>#DIV/0!</v>
      </c>
      <c r="K128" s="200" t="e">
        <f t="shared" ref="K128:K135" si="190"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27"/>
      <c r="C129" s="356">
        <v>2</v>
      </c>
      <c r="D129" s="228"/>
      <c r="E129" s="183"/>
      <c r="F129" s="356"/>
      <c r="G129" s="359"/>
      <c r="H129" s="662"/>
      <c r="I129" s="200" t="e">
        <f t="shared" si="189"/>
        <v>#DIV/0!</v>
      </c>
      <c r="J129" s="200" t="e">
        <f t="shared" si="189"/>
        <v>#DIV/0!</v>
      </c>
      <c r="K129" s="200" t="e">
        <f t="shared" si="190"/>
        <v>#DIV/0!</v>
      </c>
      <c r="L129" s="670"/>
      <c r="M129" s="200" t="e">
        <f>RANK(K129, K$128:$K$142)</f>
        <v>#DIV/0!</v>
      </c>
    </row>
    <row r="130" spans="2:13">
      <c r="B130" s="627"/>
      <c r="C130" s="356">
        <v>3</v>
      </c>
      <c r="D130" s="228"/>
      <c r="E130" s="183"/>
      <c r="F130" s="356"/>
      <c r="G130" s="359"/>
      <c r="H130" s="662"/>
      <c r="I130" s="200" t="e">
        <f t="shared" si="189"/>
        <v>#DIV/0!</v>
      </c>
      <c r="J130" s="200" t="e">
        <f t="shared" si="189"/>
        <v>#DIV/0!</v>
      </c>
      <c r="K130" s="200" t="e">
        <f t="shared" si="190"/>
        <v>#DIV/0!</v>
      </c>
      <c r="L130" s="670"/>
      <c r="M130" s="200" t="e">
        <f>RANK(K130, K$128:$K$142)</f>
        <v>#DIV/0!</v>
      </c>
    </row>
    <row r="131" spans="2:13">
      <c r="B131" s="627"/>
      <c r="C131" s="356">
        <v>4</v>
      </c>
      <c r="D131" s="228"/>
      <c r="E131" s="183"/>
      <c r="F131" s="356"/>
      <c r="G131" s="359"/>
      <c r="H131" s="662"/>
      <c r="I131" s="200" t="e">
        <f t="shared" si="189"/>
        <v>#DIV/0!</v>
      </c>
      <c r="J131" s="200" t="e">
        <f t="shared" si="189"/>
        <v>#DIV/0!</v>
      </c>
      <c r="K131" s="200" t="e">
        <f t="shared" si="190"/>
        <v>#DIV/0!</v>
      </c>
      <c r="L131" s="670"/>
      <c r="M131" s="200" t="e">
        <f>RANK(K131, K$128:$K$142)</f>
        <v>#DIV/0!</v>
      </c>
    </row>
    <row r="132" spans="2:13">
      <c r="B132" s="627"/>
      <c r="C132" s="356">
        <v>5</v>
      </c>
      <c r="D132" s="228"/>
      <c r="E132" s="183"/>
      <c r="F132" s="356"/>
      <c r="G132" s="359"/>
      <c r="H132" s="662"/>
      <c r="I132" s="200" t="e">
        <f t="shared" si="189"/>
        <v>#DIV/0!</v>
      </c>
      <c r="J132" s="200" t="e">
        <f t="shared" si="189"/>
        <v>#DIV/0!</v>
      </c>
      <c r="K132" s="200" t="e">
        <f t="shared" si="190"/>
        <v>#DIV/0!</v>
      </c>
      <c r="L132" s="670"/>
      <c r="M132" s="200" t="e">
        <f>RANK(K132, K$128:$K$142)</f>
        <v>#DIV/0!</v>
      </c>
    </row>
    <row r="133" spans="2:13">
      <c r="B133" s="627"/>
      <c r="C133" s="356">
        <v>6</v>
      </c>
      <c r="D133" s="365"/>
      <c r="E133" s="183"/>
      <c r="F133" s="356"/>
      <c r="G133" s="359"/>
      <c r="H133" s="662"/>
      <c r="I133" s="200" t="e">
        <f t="shared" si="189"/>
        <v>#DIV/0!</v>
      </c>
      <c r="J133" s="200" t="e">
        <f t="shared" si="189"/>
        <v>#DIV/0!</v>
      </c>
      <c r="K133" s="200" t="e">
        <f t="shared" si="190"/>
        <v>#DIV/0!</v>
      </c>
      <c r="L133" s="670"/>
      <c r="M133" s="200" t="e">
        <f>RANK(K133, K$128:$K$142)</f>
        <v>#DIV/0!</v>
      </c>
    </row>
    <row r="134" spans="2:13">
      <c r="B134" s="627"/>
      <c r="C134" s="356">
        <v>7</v>
      </c>
      <c r="D134" s="228"/>
      <c r="E134" s="183"/>
      <c r="F134" s="356"/>
      <c r="G134" s="359"/>
      <c r="H134" s="662"/>
      <c r="I134" s="200" t="e">
        <f t="shared" si="189"/>
        <v>#DIV/0!</v>
      </c>
      <c r="J134" s="200" t="e">
        <f t="shared" si="189"/>
        <v>#DIV/0!</v>
      </c>
      <c r="K134" s="200" t="e">
        <f t="shared" si="190"/>
        <v>#DIV/0!</v>
      </c>
      <c r="L134" s="670"/>
      <c r="M134" s="200" t="e">
        <f>RANK(K134, K$128:$K$142)</f>
        <v>#DIV/0!</v>
      </c>
    </row>
    <row r="135" spans="2:13">
      <c r="B135" s="627"/>
      <c r="C135" s="356">
        <v>8</v>
      </c>
      <c r="D135" s="228"/>
      <c r="E135" s="183"/>
      <c r="F135" s="356"/>
      <c r="G135" s="359"/>
      <c r="H135" s="662"/>
      <c r="I135" s="200" t="e">
        <f t="shared" si="189"/>
        <v>#DIV/0!</v>
      </c>
      <c r="J135" s="200" t="e">
        <f t="shared" si="189"/>
        <v>#DIV/0!</v>
      </c>
      <c r="K135" s="200" t="e">
        <f t="shared" si="190"/>
        <v>#DIV/0!</v>
      </c>
      <c r="L135" s="670"/>
      <c r="M135" s="200" t="e">
        <f>RANK(K135, K$128:$K$142)</f>
        <v>#DIV/0!</v>
      </c>
    </row>
    <row r="136" spans="2:13">
      <c r="B136" s="627"/>
      <c r="C136" s="356">
        <v>9</v>
      </c>
      <c r="D136" s="228"/>
      <c r="E136" s="356"/>
      <c r="F136" s="356"/>
      <c r="G136" s="356"/>
      <c r="H136" s="662"/>
      <c r="I136" s="200"/>
      <c r="J136" s="200"/>
      <c r="K136" s="200"/>
      <c r="L136" s="670"/>
      <c r="M136" s="200" t="e">
        <f>RANK(K136, K$128:$K$142)</f>
        <v>#DIV/0!</v>
      </c>
    </row>
    <row r="137" spans="2:13">
      <c r="B137" s="627"/>
      <c r="C137" s="356">
        <v>10</v>
      </c>
      <c r="D137" s="228"/>
      <c r="E137" s="356"/>
      <c r="F137" s="356"/>
      <c r="G137" s="356"/>
      <c r="H137" s="662"/>
      <c r="I137" s="200"/>
      <c r="J137" s="200"/>
      <c r="K137" s="200"/>
      <c r="L137" s="670"/>
      <c r="M137" s="200" t="e">
        <f>RANK(K137, K$128:$K$142)</f>
        <v>#DIV/0!</v>
      </c>
    </row>
    <row r="138" spans="2:13">
      <c r="B138" s="627"/>
      <c r="C138" s="356">
        <v>11</v>
      </c>
      <c r="D138" s="228"/>
      <c r="E138" s="356"/>
      <c r="F138" s="356"/>
      <c r="G138" s="356"/>
      <c r="H138" s="662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27"/>
      <c r="C139" s="356">
        <v>12</v>
      </c>
      <c r="D139" s="228"/>
      <c r="E139" s="356"/>
      <c r="F139" s="356"/>
      <c r="G139" s="356"/>
      <c r="H139" s="662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27"/>
      <c r="C140" s="356">
        <v>13</v>
      </c>
      <c r="D140" s="228"/>
      <c r="E140" s="356"/>
      <c r="F140" s="356"/>
      <c r="G140" s="356"/>
      <c r="H140" s="662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27"/>
      <c r="C141" s="356">
        <v>14</v>
      </c>
      <c r="D141" s="228"/>
      <c r="E141" s="356"/>
      <c r="F141" s="356"/>
      <c r="G141" s="356"/>
      <c r="H141" s="662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27"/>
      <c r="C142" s="356">
        <v>15</v>
      </c>
      <c r="D142" s="228"/>
      <c r="E142" s="356"/>
      <c r="F142" s="356"/>
      <c r="G142" s="356"/>
      <c r="H142" s="663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2" zoomScale="70" zoomScaleNormal="70" workbookViewId="0">
      <pane xSplit="15" topLeftCell="P1" activePane="topRight" state="frozen"/>
      <selection activeCell="P2" sqref="P2:T2"/>
      <selection pane="topRight" activeCell="D58" sqref="D58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72.069471486581776</v>
      </c>
    </row>
    <row r="2" spans="1:54" ht="15.5">
      <c r="A2" s="81"/>
      <c r="B2" s="631" t="s">
        <v>163</v>
      </c>
      <c r="C2" s="631"/>
      <c r="D2" s="631"/>
      <c r="E2" s="631"/>
      <c r="F2" s="631"/>
      <c r="G2" s="631"/>
      <c r="H2" s="631"/>
      <c r="I2" s="318"/>
      <c r="J2" s="318"/>
      <c r="K2" s="318"/>
      <c r="L2" s="318"/>
      <c r="M2" s="198"/>
      <c r="N2" s="620" t="s">
        <v>156</v>
      </c>
      <c r="O2" s="620" t="s">
        <v>155</v>
      </c>
      <c r="P2" s="666"/>
      <c r="Q2" s="667"/>
      <c r="R2" s="667"/>
      <c r="S2" s="667"/>
      <c r="T2" s="668"/>
      <c r="U2" s="626"/>
      <c r="V2" s="627"/>
      <c r="W2" s="627"/>
      <c r="X2" s="627"/>
      <c r="Y2" s="627"/>
      <c r="Z2" s="626"/>
      <c r="AA2" s="627"/>
      <c r="AB2" s="627"/>
      <c r="AC2" s="627"/>
      <c r="AD2" s="627"/>
      <c r="AE2" s="626"/>
      <c r="AF2" s="627"/>
      <c r="AG2" s="627"/>
      <c r="AH2" s="627"/>
      <c r="AI2" s="627"/>
      <c r="AJ2" s="626"/>
      <c r="AK2" s="627"/>
      <c r="AL2" s="627"/>
      <c r="AM2" s="627"/>
      <c r="AN2" s="627"/>
      <c r="AO2" s="626"/>
      <c r="AP2" s="627"/>
      <c r="AQ2" s="627"/>
      <c r="AR2" s="627"/>
      <c r="AS2" s="627"/>
      <c r="AT2" s="626">
        <v>45992</v>
      </c>
      <c r="AU2" s="627"/>
      <c r="AV2" s="627"/>
      <c r="AW2" s="627"/>
      <c r="AX2" s="627"/>
    </row>
    <row r="3" spans="1:54" ht="15.5">
      <c r="A3" s="81"/>
      <c r="B3" s="651"/>
      <c r="C3" s="651"/>
      <c r="D3" s="651"/>
      <c r="E3" s="651"/>
      <c r="F3" s="651"/>
      <c r="G3" s="651"/>
      <c r="H3" s="651"/>
      <c r="I3" s="319"/>
      <c r="J3" s="319"/>
      <c r="K3" s="319"/>
      <c r="L3" s="319"/>
      <c r="M3" s="199"/>
      <c r="N3" s="622"/>
      <c r="O3" s="622"/>
      <c r="P3" s="623" t="s">
        <v>158</v>
      </c>
      <c r="Q3" s="624"/>
      <c r="R3" s="624"/>
      <c r="S3" s="624"/>
      <c r="T3" s="625"/>
      <c r="U3" s="623" t="s">
        <v>114</v>
      </c>
      <c r="V3" s="624"/>
      <c r="W3" s="624"/>
      <c r="X3" s="624"/>
      <c r="Y3" s="625"/>
      <c r="Z3" s="623" t="s">
        <v>159</v>
      </c>
      <c r="AA3" s="624"/>
      <c r="AB3" s="624"/>
      <c r="AC3" s="624"/>
      <c r="AD3" s="625"/>
      <c r="AE3" s="623" t="s">
        <v>157</v>
      </c>
      <c r="AF3" s="624"/>
      <c r="AG3" s="624"/>
      <c r="AH3" s="624"/>
      <c r="AI3" s="625"/>
      <c r="AJ3" s="623" t="s">
        <v>160</v>
      </c>
      <c r="AK3" s="624"/>
      <c r="AL3" s="624"/>
      <c r="AM3" s="624"/>
      <c r="AN3" s="625"/>
      <c r="AO3" s="623" t="s">
        <v>161</v>
      </c>
      <c r="AP3" s="624"/>
      <c r="AQ3" s="624"/>
      <c r="AR3" s="624"/>
      <c r="AS3" s="625"/>
      <c r="AT3" s="623" t="s">
        <v>162</v>
      </c>
      <c r="AU3" s="624"/>
      <c r="AV3" s="624"/>
      <c r="AW3" s="624"/>
      <c r="AX3" s="625"/>
    </row>
    <row r="4" spans="1:54">
      <c r="A4" s="81"/>
      <c r="B4" s="619" t="s">
        <v>484</v>
      </c>
      <c r="C4" s="619" t="s">
        <v>485</v>
      </c>
      <c r="D4" s="619"/>
      <c r="E4" s="619" t="s">
        <v>486</v>
      </c>
      <c r="F4" s="619"/>
      <c r="G4" s="619"/>
      <c r="H4" s="635" t="s">
        <v>487</v>
      </c>
      <c r="I4" s="603" t="s">
        <v>488</v>
      </c>
      <c r="J4" s="603"/>
      <c r="K4" s="603"/>
      <c r="L4" s="604" t="s">
        <v>487</v>
      </c>
      <c r="M4" s="610" t="s">
        <v>489</v>
      </c>
      <c r="N4" s="619"/>
      <c r="O4" s="619" t="s">
        <v>490</v>
      </c>
      <c r="P4" s="616" t="s">
        <v>491</v>
      </c>
      <c r="Q4" s="617"/>
      <c r="R4" s="617"/>
      <c r="S4" s="618"/>
      <c r="T4" s="619" t="s">
        <v>487</v>
      </c>
      <c r="U4" s="616" t="s">
        <v>491</v>
      </c>
      <c r="V4" s="617"/>
      <c r="W4" s="617"/>
      <c r="X4" s="618"/>
      <c r="Y4" s="619" t="s">
        <v>487</v>
      </c>
      <c r="Z4" s="616" t="s">
        <v>491</v>
      </c>
      <c r="AA4" s="617"/>
      <c r="AB4" s="617"/>
      <c r="AC4" s="618"/>
      <c r="AD4" s="619" t="s">
        <v>487</v>
      </c>
      <c r="AE4" s="616" t="s">
        <v>491</v>
      </c>
      <c r="AF4" s="617"/>
      <c r="AG4" s="617"/>
      <c r="AH4" s="618"/>
      <c r="AI4" s="619" t="s">
        <v>487</v>
      </c>
      <c r="AJ4" s="616" t="s">
        <v>491</v>
      </c>
      <c r="AK4" s="617"/>
      <c r="AL4" s="617"/>
      <c r="AM4" s="618"/>
      <c r="AN4" s="619" t="s">
        <v>487</v>
      </c>
      <c r="AO4" s="616" t="s">
        <v>491</v>
      </c>
      <c r="AP4" s="617"/>
      <c r="AQ4" s="617"/>
      <c r="AR4" s="618"/>
      <c r="AS4" s="619" t="s">
        <v>487</v>
      </c>
      <c r="AT4" s="616" t="s">
        <v>491</v>
      </c>
      <c r="AU4" s="617"/>
      <c r="AV4" s="617"/>
      <c r="AW4" s="618"/>
      <c r="AX4" s="619" t="s">
        <v>487</v>
      </c>
    </row>
    <row r="5" spans="1:54">
      <c r="A5" s="81"/>
      <c r="B5" s="619"/>
      <c r="C5" s="619"/>
      <c r="D5" s="619"/>
      <c r="E5" s="619" t="s">
        <v>492</v>
      </c>
      <c r="F5" s="619"/>
      <c r="G5" s="619"/>
      <c r="H5" s="636"/>
      <c r="I5" s="603" t="s">
        <v>492</v>
      </c>
      <c r="J5" s="603"/>
      <c r="K5" s="603"/>
      <c r="L5" s="605"/>
      <c r="M5" s="611"/>
      <c r="N5" s="619"/>
      <c r="O5" s="619"/>
      <c r="P5" s="616" t="s">
        <v>493</v>
      </c>
      <c r="Q5" s="617"/>
      <c r="R5" s="617"/>
      <c r="S5" s="618"/>
      <c r="T5" s="619"/>
      <c r="U5" s="616" t="s">
        <v>493</v>
      </c>
      <c r="V5" s="617"/>
      <c r="W5" s="617"/>
      <c r="X5" s="618"/>
      <c r="Y5" s="619"/>
      <c r="Z5" s="616" t="s">
        <v>493</v>
      </c>
      <c r="AA5" s="617"/>
      <c r="AB5" s="617"/>
      <c r="AC5" s="618"/>
      <c r="AD5" s="619"/>
      <c r="AE5" s="616" t="s">
        <v>493</v>
      </c>
      <c r="AF5" s="617"/>
      <c r="AG5" s="617"/>
      <c r="AH5" s="618"/>
      <c r="AI5" s="619"/>
      <c r="AJ5" s="616" t="s">
        <v>493</v>
      </c>
      <c r="AK5" s="617"/>
      <c r="AL5" s="617"/>
      <c r="AM5" s="618"/>
      <c r="AN5" s="619"/>
      <c r="AO5" s="616" t="s">
        <v>493</v>
      </c>
      <c r="AP5" s="617"/>
      <c r="AQ5" s="617"/>
      <c r="AR5" s="618"/>
      <c r="AS5" s="619"/>
      <c r="AT5" s="616" t="s">
        <v>493</v>
      </c>
      <c r="AU5" s="617"/>
      <c r="AV5" s="617"/>
      <c r="AW5" s="618"/>
      <c r="AX5" s="619"/>
    </row>
    <row r="6" spans="1:54">
      <c r="A6" s="79"/>
      <c r="B6" s="619"/>
      <c r="C6" s="619"/>
      <c r="D6" s="619"/>
      <c r="E6" s="473" t="s">
        <v>494</v>
      </c>
      <c r="F6" s="473" t="s">
        <v>495</v>
      </c>
      <c r="G6" s="473" t="s">
        <v>496</v>
      </c>
      <c r="H6" s="637"/>
      <c r="I6" s="474" t="s">
        <v>494</v>
      </c>
      <c r="J6" s="474" t="s">
        <v>495</v>
      </c>
      <c r="K6" s="474" t="s">
        <v>496</v>
      </c>
      <c r="L6" s="606"/>
      <c r="M6" s="612"/>
      <c r="N6" s="619"/>
      <c r="O6" s="619"/>
      <c r="P6" s="473" t="s">
        <v>494</v>
      </c>
      <c r="Q6" s="473" t="s">
        <v>495</v>
      </c>
      <c r="R6" s="473" t="s">
        <v>496</v>
      </c>
      <c r="S6" s="473" t="s">
        <v>489</v>
      </c>
      <c r="T6" s="619"/>
      <c r="U6" s="473" t="s">
        <v>494</v>
      </c>
      <c r="V6" s="473" t="s">
        <v>495</v>
      </c>
      <c r="W6" s="473" t="s">
        <v>496</v>
      </c>
      <c r="X6" s="473" t="s">
        <v>489</v>
      </c>
      <c r="Y6" s="619"/>
      <c r="Z6" s="473" t="s">
        <v>494</v>
      </c>
      <c r="AA6" s="473" t="s">
        <v>495</v>
      </c>
      <c r="AB6" s="473" t="s">
        <v>496</v>
      </c>
      <c r="AC6" s="473" t="s">
        <v>489</v>
      </c>
      <c r="AD6" s="619"/>
      <c r="AE6" s="473" t="s">
        <v>494</v>
      </c>
      <c r="AF6" s="473" t="s">
        <v>495</v>
      </c>
      <c r="AG6" s="473" t="s">
        <v>496</v>
      </c>
      <c r="AH6" s="473" t="s">
        <v>489</v>
      </c>
      <c r="AI6" s="619"/>
      <c r="AJ6" s="473" t="s">
        <v>494</v>
      </c>
      <c r="AK6" s="473" t="s">
        <v>495</v>
      </c>
      <c r="AL6" s="473" t="s">
        <v>496</v>
      </c>
      <c r="AM6" s="473" t="s">
        <v>489</v>
      </c>
      <c r="AN6" s="619"/>
      <c r="AO6" s="473" t="s">
        <v>494</v>
      </c>
      <c r="AP6" s="473" t="s">
        <v>495</v>
      </c>
      <c r="AQ6" s="473" t="s">
        <v>496</v>
      </c>
      <c r="AR6" s="473" t="s">
        <v>489</v>
      </c>
      <c r="AS6" s="619"/>
      <c r="AT6" s="473" t="s">
        <v>494</v>
      </c>
      <c r="AU6" s="473" t="s">
        <v>495</v>
      </c>
      <c r="AV6" s="473" t="s">
        <v>496</v>
      </c>
      <c r="AW6" s="473" t="s">
        <v>489</v>
      </c>
      <c r="AX6" s="619"/>
    </row>
    <row r="7" spans="1:54">
      <c r="A7" s="81"/>
      <c r="B7" s="619" t="s">
        <v>501</v>
      </c>
      <c r="C7" s="470">
        <v>1</v>
      </c>
      <c r="D7" s="228" t="s">
        <v>395</v>
      </c>
      <c r="E7" s="183">
        <v>18</v>
      </c>
      <c r="F7" s="520">
        <v>1636</v>
      </c>
      <c r="G7" s="521">
        <v>90.888888888888886</v>
      </c>
      <c r="H7" s="661">
        <f>AVERAGE(G7:G21)</f>
        <v>87.782109015855156</v>
      </c>
      <c r="I7" s="472">
        <f>AVERAGE(P7,U7,Z7,AE7,AJ7,AO7,AT7)</f>
        <v>18</v>
      </c>
      <c r="J7" s="472">
        <f>AVERAGE(Q7,V7,AA7,AF7,AK7,AP7,AU7)</f>
        <v>1391.5046511627907</v>
      </c>
      <c r="K7" s="201">
        <f>AVERAGE(R7,W7,AB7,AG7,AL7,AQ7,AV7)</f>
        <v>77.305813953488368</v>
      </c>
      <c r="L7" s="600">
        <f>IFERROR(AVERAGE(K7:K21),"-")</f>
        <v>74.961561041161517</v>
      </c>
      <c r="M7" s="475">
        <f>RANK(K7, $K$7:K$21)</f>
        <v>5</v>
      </c>
      <c r="N7" s="619"/>
      <c r="O7" s="619"/>
      <c r="P7" s="183"/>
      <c r="Q7" s="183"/>
      <c r="R7" s="183"/>
      <c r="S7" s="520" t="e">
        <f t="shared" ref="S7:S21" si="0">RANK(R7, R$7:R$21)</f>
        <v>#N/A</v>
      </c>
      <c r="T7" s="658" t="e">
        <f t="shared" ref="T7" si="1">AVERAGE(R7:R21)</f>
        <v>#DIV/0!</v>
      </c>
      <c r="U7" s="183"/>
      <c r="V7" s="183"/>
      <c r="W7" s="183"/>
      <c r="X7" s="520" t="e">
        <f t="shared" ref="X7" si="2">RANK(W7, W$7:W$21)</f>
        <v>#N/A</v>
      </c>
      <c r="Y7" s="658" t="e">
        <f t="shared" ref="Y7" si="3">AVERAGE(W7:W21)</f>
        <v>#DIV/0!</v>
      </c>
      <c r="Z7" s="183"/>
      <c r="AA7" s="183"/>
      <c r="AB7" s="183"/>
      <c r="AC7" s="520" t="e">
        <f t="shared" ref="AC7" si="4">RANK(AB7, AB$7:AB$21)</f>
        <v>#N/A</v>
      </c>
      <c r="AD7" s="658" t="e">
        <f t="shared" ref="AD7" si="5">AVERAGE(AB7:AB21)</f>
        <v>#DIV/0!</v>
      </c>
      <c r="AE7" s="183"/>
      <c r="AF7" s="183"/>
      <c r="AG7" s="183"/>
      <c r="AH7" s="520" t="e">
        <f t="shared" ref="AH7" si="6">RANK(AG7, AG$7:AG$21)</f>
        <v>#N/A</v>
      </c>
      <c r="AI7" s="658" t="e">
        <f t="shared" ref="AI7" si="7">AVERAGE(AG7:AG21)</f>
        <v>#DIV/0!</v>
      </c>
      <c r="AJ7" s="183"/>
      <c r="AK7" s="183"/>
      <c r="AL7" s="183"/>
      <c r="AM7" s="520" t="e">
        <f t="shared" ref="AM7" si="8">RANK(AL7, AL$7:AL$21)</f>
        <v>#N/A</v>
      </c>
      <c r="AN7" s="658" t="e">
        <f t="shared" ref="AN7" si="9">AVERAGE(AL7:AL21)</f>
        <v>#DIV/0!</v>
      </c>
      <c r="AO7" s="183"/>
      <c r="AP7" s="183"/>
      <c r="AQ7" s="183"/>
      <c r="AR7" s="520" t="e">
        <f t="shared" ref="AR7" si="10">RANK(AQ7, AQ$7:AQ$21)</f>
        <v>#N/A</v>
      </c>
      <c r="AS7" s="658" t="e">
        <f t="shared" ref="AS7" si="11">AVERAGE(AQ7:AQ21)</f>
        <v>#DIV/0!</v>
      </c>
      <c r="AT7" s="183">
        <v>18</v>
      </c>
      <c r="AU7" s="183">
        <v>1391.5046511627907</v>
      </c>
      <c r="AV7" s="183">
        <v>77.305813953488368</v>
      </c>
      <c r="AW7" s="470">
        <f>RANK(AV7, AV$7:AV$21)</f>
        <v>5</v>
      </c>
      <c r="AX7" s="658">
        <f>AVERAGE(AV7:AV21)</f>
        <v>74.515646144250582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7"/>
      <c r="C8" s="470">
        <v>2</v>
      </c>
      <c r="D8" s="228" t="s">
        <v>349</v>
      </c>
      <c r="E8" s="183">
        <v>17</v>
      </c>
      <c r="F8" s="520">
        <v>1636</v>
      </c>
      <c r="G8" s="521">
        <v>96.235294117647058</v>
      </c>
      <c r="H8" s="662"/>
      <c r="I8" s="472">
        <f t="shared" ref="I8:I16" si="12">AVERAGE(P8,U8,Z8,AE8,AJ8,AO8,AT8)</f>
        <v>16</v>
      </c>
      <c r="J8" s="472">
        <f t="shared" ref="J8:J16" si="13">AVERAGE(Q8,V8,AA8,AF8,AK8,AP8,AU8)</f>
        <v>1360.409142857143</v>
      </c>
      <c r="K8" s="201">
        <f t="shared" ref="K8:K16" si="14">AVERAGE(R8,W8,AB8,AG8,AL8,AQ8,AV8)</f>
        <v>85.025571428571439</v>
      </c>
      <c r="L8" s="601"/>
      <c r="M8" s="475">
        <f>RANK(K8, $K$7:K$21)</f>
        <v>2</v>
      </c>
      <c r="N8" s="619"/>
      <c r="O8" s="619"/>
      <c r="P8" s="183"/>
      <c r="Q8" s="183"/>
      <c r="R8" s="183"/>
      <c r="S8" s="520" t="e">
        <f t="shared" si="0"/>
        <v>#N/A</v>
      </c>
      <c r="T8" s="658"/>
      <c r="U8" s="183"/>
      <c r="V8" s="183"/>
      <c r="W8" s="183"/>
      <c r="X8" s="520" t="e">
        <f t="shared" ref="X8" si="15">RANK(W8, W$7:W$21)</f>
        <v>#N/A</v>
      </c>
      <c r="Y8" s="658"/>
      <c r="Z8" s="183"/>
      <c r="AA8" s="183"/>
      <c r="AB8" s="183"/>
      <c r="AC8" s="520" t="e">
        <f t="shared" ref="AC8" si="16">RANK(AB8, AB$7:AB$21)</f>
        <v>#N/A</v>
      </c>
      <c r="AD8" s="658"/>
      <c r="AE8" s="183"/>
      <c r="AF8" s="183"/>
      <c r="AG8" s="183"/>
      <c r="AH8" s="520" t="e">
        <f t="shared" ref="AH8" si="17">RANK(AG8, AG$7:AG$21)</f>
        <v>#N/A</v>
      </c>
      <c r="AI8" s="658"/>
      <c r="AJ8" s="183"/>
      <c r="AK8" s="183"/>
      <c r="AL8" s="183"/>
      <c r="AM8" s="520" t="e">
        <f t="shared" ref="AM8" si="18">RANK(AL8, AL$7:AL$21)</f>
        <v>#N/A</v>
      </c>
      <c r="AN8" s="658"/>
      <c r="AO8" s="183"/>
      <c r="AP8" s="183"/>
      <c r="AQ8" s="183"/>
      <c r="AR8" s="520" t="e">
        <f t="shared" ref="AR8" si="19">RANK(AQ8, AQ$7:AQ$21)</f>
        <v>#N/A</v>
      </c>
      <c r="AS8" s="658"/>
      <c r="AT8" s="183">
        <v>16</v>
      </c>
      <c r="AU8" s="183">
        <v>1360.409142857143</v>
      </c>
      <c r="AV8" s="183">
        <v>85.025571428571439</v>
      </c>
      <c r="AW8" s="470">
        <f t="shared" ref="AW8:AW21" si="20">RANK(AV8, AV$7:AV$21)</f>
        <v>2</v>
      </c>
      <c r="AX8" s="658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27"/>
      <c r="C9" s="470">
        <v>3</v>
      </c>
      <c r="D9" s="228" t="s">
        <v>828</v>
      </c>
      <c r="E9" s="183">
        <v>12</v>
      </c>
      <c r="F9" s="520">
        <v>1500</v>
      </c>
      <c r="G9" s="521">
        <v>125</v>
      </c>
      <c r="H9" s="662"/>
      <c r="I9" s="472">
        <f t="shared" si="12"/>
        <v>12</v>
      </c>
      <c r="J9" s="472">
        <f t="shared" si="13"/>
        <v>1339.4999999999995</v>
      </c>
      <c r="K9" s="201">
        <f t="shared" si="14"/>
        <v>111.62499999999996</v>
      </c>
      <c r="L9" s="601"/>
      <c r="M9" s="475">
        <f>RANK(K9, $K$7:K$21)</f>
        <v>1</v>
      </c>
      <c r="N9" s="619"/>
      <c r="O9" s="619"/>
      <c r="P9" s="183"/>
      <c r="Q9" s="183"/>
      <c r="R9" s="183"/>
      <c r="S9" s="520" t="e">
        <f t="shared" si="0"/>
        <v>#N/A</v>
      </c>
      <c r="T9" s="658"/>
      <c r="U9" s="183"/>
      <c r="V9" s="183"/>
      <c r="W9" s="183"/>
      <c r="X9" s="520" t="e">
        <f t="shared" ref="X9" si="22">RANK(W9, W$7:W$21)</f>
        <v>#N/A</v>
      </c>
      <c r="Y9" s="658"/>
      <c r="Z9" s="183"/>
      <c r="AA9" s="183"/>
      <c r="AB9" s="183"/>
      <c r="AC9" s="520" t="e">
        <f t="shared" ref="AC9" si="23">RANK(AB9, AB$7:AB$21)</f>
        <v>#N/A</v>
      </c>
      <c r="AD9" s="658"/>
      <c r="AE9" s="183"/>
      <c r="AF9" s="183"/>
      <c r="AG9" s="183"/>
      <c r="AH9" s="520" t="e">
        <f t="shared" ref="AH9" si="24">RANK(AG9, AG$7:AG$21)</f>
        <v>#N/A</v>
      </c>
      <c r="AI9" s="658"/>
      <c r="AJ9" s="183"/>
      <c r="AK9" s="183"/>
      <c r="AL9" s="183"/>
      <c r="AM9" s="520" t="e">
        <f t="shared" ref="AM9" si="25">RANK(AL9, AL$7:AL$21)</f>
        <v>#N/A</v>
      </c>
      <c r="AN9" s="658"/>
      <c r="AO9" s="183"/>
      <c r="AP9" s="183"/>
      <c r="AQ9" s="183"/>
      <c r="AR9" s="520" t="e">
        <f t="shared" ref="AR9" si="26">RANK(AQ9, AQ$7:AQ$21)</f>
        <v>#N/A</v>
      </c>
      <c r="AS9" s="658"/>
      <c r="AT9" s="183">
        <v>12</v>
      </c>
      <c r="AU9" s="183">
        <v>1339.4999999999995</v>
      </c>
      <c r="AV9" s="183">
        <v>111.62499999999996</v>
      </c>
      <c r="AW9" s="470">
        <f t="shared" si="20"/>
        <v>1</v>
      </c>
      <c r="AX9" s="658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27"/>
      <c r="C10" s="470">
        <v>4</v>
      </c>
      <c r="D10" s="228" t="s">
        <v>664</v>
      </c>
      <c r="E10" s="183">
        <v>17</v>
      </c>
      <c r="F10" s="520">
        <v>1636</v>
      </c>
      <c r="G10" s="521">
        <v>96.235294117647058</v>
      </c>
      <c r="H10" s="662"/>
      <c r="I10" s="472">
        <f t="shared" si="12"/>
        <v>17</v>
      </c>
      <c r="J10" s="472">
        <f t="shared" si="13"/>
        <v>1371.1475409836062</v>
      </c>
      <c r="K10" s="201">
        <f t="shared" si="14"/>
        <v>80.65573770491801</v>
      </c>
      <c r="L10" s="601"/>
      <c r="M10" s="475">
        <f>RANK(K10, $K$7:K$21)</f>
        <v>3</v>
      </c>
      <c r="N10" s="619"/>
      <c r="O10" s="619"/>
      <c r="P10" s="183"/>
      <c r="Q10" s="183"/>
      <c r="R10" s="183"/>
      <c r="S10" s="520" t="e">
        <f t="shared" si="0"/>
        <v>#N/A</v>
      </c>
      <c r="T10" s="658"/>
      <c r="U10" s="183"/>
      <c r="V10" s="183"/>
      <c r="W10" s="183"/>
      <c r="X10" s="520" t="e">
        <f t="shared" ref="X10" si="27">RANK(W10, W$7:W$21)</f>
        <v>#N/A</v>
      </c>
      <c r="Y10" s="658"/>
      <c r="Z10" s="183"/>
      <c r="AA10" s="183"/>
      <c r="AB10" s="183"/>
      <c r="AC10" s="520" t="e">
        <f t="shared" ref="AC10" si="28">RANK(AB10, AB$7:AB$21)</f>
        <v>#N/A</v>
      </c>
      <c r="AD10" s="658"/>
      <c r="AE10" s="183"/>
      <c r="AF10" s="183"/>
      <c r="AG10" s="183"/>
      <c r="AH10" s="520" t="e">
        <f t="shared" ref="AH10" si="29">RANK(AG10, AG$7:AG$21)</f>
        <v>#N/A</v>
      </c>
      <c r="AI10" s="658"/>
      <c r="AJ10" s="183"/>
      <c r="AK10" s="183"/>
      <c r="AL10" s="183"/>
      <c r="AM10" s="520" t="e">
        <f t="shared" ref="AM10" si="30">RANK(AL10, AL$7:AL$21)</f>
        <v>#N/A</v>
      </c>
      <c r="AN10" s="658"/>
      <c r="AO10" s="183"/>
      <c r="AP10" s="183"/>
      <c r="AQ10" s="183"/>
      <c r="AR10" s="520" t="e">
        <f t="shared" ref="AR10" si="31">RANK(AQ10, AQ$7:AQ$21)</f>
        <v>#N/A</v>
      </c>
      <c r="AS10" s="658"/>
      <c r="AT10" s="183">
        <v>17</v>
      </c>
      <c r="AU10" s="183">
        <v>1371.1475409836062</v>
      </c>
      <c r="AV10" s="183">
        <v>80.65573770491801</v>
      </c>
      <c r="AW10" s="470">
        <f t="shared" si="20"/>
        <v>3</v>
      </c>
      <c r="AX10" s="658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27"/>
      <c r="C11" s="470">
        <v>5</v>
      </c>
      <c r="D11" s="228" t="s">
        <v>760</v>
      </c>
      <c r="E11" s="183">
        <v>17</v>
      </c>
      <c r="F11" s="520">
        <v>1385</v>
      </c>
      <c r="G11" s="521">
        <v>81.470588235294116</v>
      </c>
      <c r="H11" s="662"/>
      <c r="I11" s="472">
        <f t="shared" si="12"/>
        <v>17</v>
      </c>
      <c r="J11" s="472">
        <f t="shared" si="13"/>
        <v>1220.4000000000003</v>
      </c>
      <c r="K11" s="201">
        <f t="shared" si="14"/>
        <v>71.788235294117669</v>
      </c>
      <c r="L11" s="601"/>
      <c r="M11" s="475">
        <f>RANK(K11, $K$7:K$21)</f>
        <v>6</v>
      </c>
      <c r="N11" s="619"/>
      <c r="O11" s="619"/>
      <c r="P11" s="183"/>
      <c r="Q11" s="183"/>
      <c r="R11" s="183"/>
      <c r="S11" s="520" t="e">
        <f t="shared" si="0"/>
        <v>#N/A</v>
      </c>
      <c r="T11" s="658"/>
      <c r="U11" s="183"/>
      <c r="V11" s="183"/>
      <c r="W11" s="183"/>
      <c r="X11" s="520" t="e">
        <f t="shared" ref="X11" si="32">RANK(W11, W$7:W$21)</f>
        <v>#N/A</v>
      </c>
      <c r="Y11" s="658"/>
      <c r="Z11" s="183"/>
      <c r="AA11" s="183"/>
      <c r="AB11" s="183"/>
      <c r="AC11" s="520" t="e">
        <f t="shared" ref="AC11" si="33">RANK(AB11, AB$7:AB$21)</f>
        <v>#N/A</v>
      </c>
      <c r="AD11" s="658"/>
      <c r="AE11" s="183"/>
      <c r="AF11" s="183"/>
      <c r="AG11" s="183"/>
      <c r="AH11" s="520" t="e">
        <f t="shared" ref="AH11" si="34">RANK(AG11, AG$7:AG$21)</f>
        <v>#N/A</v>
      </c>
      <c r="AI11" s="658"/>
      <c r="AJ11" s="183"/>
      <c r="AK11" s="183"/>
      <c r="AL11" s="183"/>
      <c r="AM11" s="520" t="e">
        <f t="shared" ref="AM11" si="35">RANK(AL11, AL$7:AL$21)</f>
        <v>#N/A</v>
      </c>
      <c r="AN11" s="658"/>
      <c r="AO11" s="183"/>
      <c r="AP11" s="183"/>
      <c r="AQ11" s="183"/>
      <c r="AR11" s="520" t="e">
        <f t="shared" ref="AR11" si="36">RANK(AQ11, AQ$7:AQ$21)</f>
        <v>#N/A</v>
      </c>
      <c r="AS11" s="658"/>
      <c r="AT11" s="183">
        <v>17</v>
      </c>
      <c r="AU11" s="183">
        <v>1220.4000000000003</v>
      </c>
      <c r="AV11" s="183">
        <v>71.788235294117669</v>
      </c>
      <c r="AW11" s="470">
        <f t="shared" si="20"/>
        <v>6</v>
      </c>
      <c r="AX11" s="658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27"/>
      <c r="C12" s="470">
        <v>6</v>
      </c>
      <c r="D12" s="228" t="s">
        <v>869</v>
      </c>
      <c r="E12" s="183">
        <v>15</v>
      </c>
      <c r="F12" s="520">
        <v>1500</v>
      </c>
      <c r="G12" s="521">
        <v>100</v>
      </c>
      <c r="H12" s="662"/>
      <c r="I12" s="472">
        <f t="shared" si="12"/>
        <v>16</v>
      </c>
      <c r="J12" s="472">
        <f t="shared" si="13"/>
        <v>1263.4615384615392</v>
      </c>
      <c r="K12" s="201">
        <f t="shared" si="14"/>
        <v>78.966346153846203</v>
      </c>
      <c r="L12" s="601"/>
      <c r="M12" s="475">
        <f>RANK(K12, $K$7:K$21)</f>
        <v>4</v>
      </c>
      <c r="N12" s="619"/>
      <c r="O12" s="619"/>
      <c r="P12" s="183"/>
      <c r="Q12" s="183"/>
      <c r="R12" s="183"/>
      <c r="S12" s="520" t="e">
        <f t="shared" si="0"/>
        <v>#N/A</v>
      </c>
      <c r="T12" s="658"/>
      <c r="U12" s="183"/>
      <c r="V12" s="183"/>
      <c r="W12" s="183"/>
      <c r="X12" s="520" t="e">
        <f t="shared" ref="X12" si="37">RANK(W12, W$7:W$21)</f>
        <v>#N/A</v>
      </c>
      <c r="Y12" s="658"/>
      <c r="Z12" s="183"/>
      <c r="AA12" s="183"/>
      <c r="AB12" s="183"/>
      <c r="AC12" s="520" t="e">
        <f t="shared" ref="AC12" si="38">RANK(AB12, AB$7:AB$21)</f>
        <v>#N/A</v>
      </c>
      <c r="AD12" s="658"/>
      <c r="AE12" s="183"/>
      <c r="AF12" s="183"/>
      <c r="AG12" s="183"/>
      <c r="AH12" s="520" t="e">
        <f t="shared" ref="AH12" si="39">RANK(AG12, AG$7:AG$21)</f>
        <v>#N/A</v>
      </c>
      <c r="AI12" s="658"/>
      <c r="AJ12" s="183"/>
      <c r="AK12" s="183"/>
      <c r="AL12" s="183"/>
      <c r="AM12" s="520" t="e">
        <f t="shared" ref="AM12" si="40">RANK(AL12, AL$7:AL$21)</f>
        <v>#N/A</v>
      </c>
      <c r="AN12" s="658"/>
      <c r="AO12" s="183"/>
      <c r="AP12" s="183"/>
      <c r="AQ12" s="183"/>
      <c r="AR12" s="520" t="e">
        <f t="shared" ref="AR12" si="41">RANK(AQ12, AQ$7:AQ$21)</f>
        <v>#N/A</v>
      </c>
      <c r="AS12" s="658"/>
      <c r="AT12" s="183">
        <v>16</v>
      </c>
      <c r="AU12" s="183">
        <v>1263.4615384615392</v>
      </c>
      <c r="AV12" s="183">
        <v>78.966346153846203</v>
      </c>
      <c r="AW12" s="470">
        <f t="shared" si="20"/>
        <v>4</v>
      </c>
      <c r="AX12" s="658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27"/>
      <c r="C13" s="470">
        <v>7</v>
      </c>
      <c r="D13" s="228" t="s">
        <v>875</v>
      </c>
      <c r="E13" s="183">
        <v>19</v>
      </c>
      <c r="F13" s="520">
        <v>1100</v>
      </c>
      <c r="G13" s="521">
        <v>57.89473684210526</v>
      </c>
      <c r="H13" s="662"/>
      <c r="I13" s="472">
        <f t="shared" si="12"/>
        <v>19</v>
      </c>
      <c r="J13" s="472">
        <f t="shared" si="13"/>
        <v>1090.0965517241386</v>
      </c>
      <c r="K13" s="201">
        <f t="shared" si="14"/>
        <v>57.373502722323089</v>
      </c>
      <c r="L13" s="601"/>
      <c r="M13" s="475">
        <f>RANK(K13, $K$7:K$21)</f>
        <v>9</v>
      </c>
      <c r="N13" s="619"/>
      <c r="O13" s="619"/>
      <c r="P13" s="183"/>
      <c r="Q13" s="183"/>
      <c r="R13" s="183"/>
      <c r="S13" s="520" t="e">
        <f t="shared" si="0"/>
        <v>#N/A</v>
      </c>
      <c r="T13" s="658"/>
      <c r="U13" s="183"/>
      <c r="V13" s="183"/>
      <c r="W13" s="183"/>
      <c r="X13" s="520" t="e">
        <f t="shared" ref="X13" si="42">RANK(W13, W$7:W$21)</f>
        <v>#N/A</v>
      </c>
      <c r="Y13" s="658"/>
      <c r="Z13" s="183"/>
      <c r="AA13" s="183"/>
      <c r="AB13" s="183"/>
      <c r="AC13" s="520" t="e">
        <f t="shared" ref="AC13" si="43">RANK(AB13, AB$7:AB$21)</f>
        <v>#N/A</v>
      </c>
      <c r="AD13" s="658"/>
      <c r="AE13" s="183"/>
      <c r="AF13" s="183"/>
      <c r="AG13" s="183"/>
      <c r="AH13" s="520" t="e">
        <f t="shared" ref="AH13" si="44">RANK(AG13, AG$7:AG$21)</f>
        <v>#N/A</v>
      </c>
      <c r="AI13" s="658"/>
      <c r="AJ13" s="183"/>
      <c r="AK13" s="183"/>
      <c r="AL13" s="183"/>
      <c r="AM13" s="520" t="e">
        <f t="shared" ref="AM13" si="45">RANK(AL13, AL$7:AL$21)</f>
        <v>#N/A</v>
      </c>
      <c r="AN13" s="658"/>
      <c r="AO13" s="183"/>
      <c r="AP13" s="183"/>
      <c r="AQ13" s="183"/>
      <c r="AR13" s="520" t="e">
        <f t="shared" ref="AR13" si="46">RANK(AQ13, AQ$7:AQ$21)</f>
        <v>#N/A</v>
      </c>
      <c r="AS13" s="658"/>
      <c r="AT13" s="183">
        <v>19</v>
      </c>
      <c r="AU13" s="183">
        <v>1090.0965517241386</v>
      </c>
      <c r="AV13" s="183">
        <v>57.373502722323089</v>
      </c>
      <c r="AW13" s="470">
        <f t="shared" si="20"/>
        <v>10</v>
      </c>
      <c r="AX13" s="658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27"/>
      <c r="C14" s="470">
        <v>8</v>
      </c>
      <c r="D14" s="228" t="s">
        <v>891</v>
      </c>
      <c r="E14" s="183">
        <v>19</v>
      </c>
      <c r="F14" s="520">
        <v>1385</v>
      </c>
      <c r="G14" s="521">
        <v>72.89473684210526</v>
      </c>
      <c r="H14" s="662"/>
      <c r="I14" s="472">
        <f t="shared" si="12"/>
        <v>19</v>
      </c>
      <c r="J14" s="472">
        <f t="shared" si="13"/>
        <v>1061.8181818181829</v>
      </c>
      <c r="K14" s="201">
        <f t="shared" si="14"/>
        <v>55.885167464114886</v>
      </c>
      <c r="L14" s="601"/>
      <c r="M14" s="475">
        <f>RANK(K14, $K$7:K$21)</f>
        <v>10</v>
      </c>
      <c r="N14" s="619"/>
      <c r="O14" s="619"/>
      <c r="P14" s="183"/>
      <c r="Q14" s="183"/>
      <c r="R14" s="183"/>
      <c r="S14" s="520" t="e">
        <f t="shared" si="0"/>
        <v>#N/A</v>
      </c>
      <c r="T14" s="658"/>
      <c r="U14" s="183"/>
      <c r="V14" s="183"/>
      <c r="W14" s="183"/>
      <c r="X14" s="520" t="e">
        <f t="shared" ref="X14" si="47">RANK(W14, W$7:W$21)</f>
        <v>#N/A</v>
      </c>
      <c r="Y14" s="658"/>
      <c r="Z14" s="183"/>
      <c r="AA14" s="183"/>
      <c r="AB14" s="183"/>
      <c r="AC14" s="520" t="e">
        <f t="shared" ref="AC14" si="48">RANK(AB14, AB$7:AB$21)</f>
        <v>#N/A</v>
      </c>
      <c r="AD14" s="658"/>
      <c r="AE14" s="183"/>
      <c r="AF14" s="183"/>
      <c r="AG14" s="183"/>
      <c r="AH14" s="520" t="e">
        <f t="shared" ref="AH14" si="49">RANK(AG14, AG$7:AG$21)</f>
        <v>#N/A</v>
      </c>
      <c r="AI14" s="658"/>
      <c r="AJ14" s="183"/>
      <c r="AK14" s="183"/>
      <c r="AL14" s="183"/>
      <c r="AM14" s="520" t="e">
        <f t="shared" ref="AM14" si="50">RANK(AL14, AL$7:AL$21)</f>
        <v>#N/A</v>
      </c>
      <c r="AN14" s="658"/>
      <c r="AO14" s="183"/>
      <c r="AP14" s="183"/>
      <c r="AQ14" s="183"/>
      <c r="AR14" s="520" t="e">
        <f t="shared" ref="AR14" si="51">RANK(AQ14, AQ$7:AQ$21)</f>
        <v>#N/A</v>
      </c>
      <c r="AS14" s="658"/>
      <c r="AT14" s="183">
        <v>19</v>
      </c>
      <c r="AU14" s="183">
        <v>1061.8181818181829</v>
      </c>
      <c r="AV14" s="183">
        <v>55.885167464114886</v>
      </c>
      <c r="AW14" s="470">
        <f t="shared" si="20"/>
        <v>11</v>
      </c>
      <c r="AX14" s="658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27"/>
      <c r="C15" s="470">
        <v>9</v>
      </c>
      <c r="D15" s="228" t="s">
        <v>881</v>
      </c>
      <c r="E15" s="183">
        <v>17</v>
      </c>
      <c r="F15" s="520">
        <v>1440</v>
      </c>
      <c r="G15" s="521">
        <v>84.705882352941174</v>
      </c>
      <c r="H15" s="662"/>
      <c r="I15" s="472">
        <f t="shared" si="12"/>
        <v>18</v>
      </c>
      <c r="J15" s="472">
        <f t="shared" si="13"/>
        <v>1069.0909090909095</v>
      </c>
      <c r="K15" s="201">
        <f t="shared" si="14"/>
        <v>59.393939393939412</v>
      </c>
      <c r="L15" s="601"/>
      <c r="M15" s="475">
        <f>RANK(K15, $K$7:K$21)</f>
        <v>8</v>
      </c>
      <c r="N15" s="619"/>
      <c r="O15" s="619"/>
      <c r="P15" s="183"/>
      <c r="Q15" s="183"/>
      <c r="R15" s="183"/>
      <c r="S15" s="520" t="e">
        <f t="shared" si="0"/>
        <v>#N/A</v>
      </c>
      <c r="T15" s="658"/>
      <c r="U15" s="183"/>
      <c r="V15" s="183"/>
      <c r="W15" s="183"/>
      <c r="X15" s="520" t="e">
        <f t="shared" ref="X15" si="52">RANK(W15, W$7:W$21)</f>
        <v>#N/A</v>
      </c>
      <c r="Y15" s="658"/>
      <c r="Z15" s="183"/>
      <c r="AA15" s="183"/>
      <c r="AB15" s="183"/>
      <c r="AC15" s="520" t="e">
        <f t="shared" ref="AC15" si="53">RANK(AB15, AB$7:AB$21)</f>
        <v>#N/A</v>
      </c>
      <c r="AD15" s="658"/>
      <c r="AE15" s="183"/>
      <c r="AF15" s="183"/>
      <c r="AG15" s="183"/>
      <c r="AH15" s="520" t="e">
        <f t="shared" ref="AH15" si="54">RANK(AG15, AG$7:AG$21)</f>
        <v>#N/A</v>
      </c>
      <c r="AI15" s="658"/>
      <c r="AJ15" s="183"/>
      <c r="AK15" s="183"/>
      <c r="AL15" s="183"/>
      <c r="AM15" s="520" t="e">
        <f t="shared" ref="AM15" si="55">RANK(AL15, AL$7:AL$21)</f>
        <v>#N/A</v>
      </c>
      <c r="AN15" s="658"/>
      <c r="AO15" s="183"/>
      <c r="AP15" s="183"/>
      <c r="AQ15" s="183"/>
      <c r="AR15" s="520" t="e">
        <f t="shared" ref="AR15" si="56">RANK(AQ15, AQ$7:AQ$21)</f>
        <v>#N/A</v>
      </c>
      <c r="AS15" s="658"/>
      <c r="AT15" s="183">
        <v>18</v>
      </c>
      <c r="AU15" s="183">
        <v>1069.0909090909095</v>
      </c>
      <c r="AV15" s="183">
        <v>59.393939393939412</v>
      </c>
      <c r="AW15" s="470">
        <f t="shared" si="20"/>
        <v>9</v>
      </c>
      <c r="AX15" s="658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27"/>
      <c r="C16" s="470">
        <v>10</v>
      </c>
      <c r="D16" s="228" t="s">
        <v>883</v>
      </c>
      <c r="E16" s="183">
        <v>18</v>
      </c>
      <c r="F16" s="520">
        <v>1500</v>
      </c>
      <c r="G16" s="521">
        <v>83.333333333333329</v>
      </c>
      <c r="H16" s="662"/>
      <c r="I16" s="472">
        <f t="shared" si="12"/>
        <v>18</v>
      </c>
      <c r="J16" s="472">
        <f t="shared" si="13"/>
        <v>1288.7333333333333</v>
      </c>
      <c r="K16" s="201">
        <f t="shared" si="14"/>
        <v>71.596296296296302</v>
      </c>
      <c r="L16" s="601"/>
      <c r="M16" s="475">
        <f>RANK(K16, $K$7:K$21)</f>
        <v>7</v>
      </c>
      <c r="N16" s="619"/>
      <c r="O16" s="619"/>
      <c r="P16" s="183"/>
      <c r="Q16" s="183"/>
      <c r="R16" s="183"/>
      <c r="S16" s="520" t="e">
        <f t="shared" si="0"/>
        <v>#N/A</v>
      </c>
      <c r="T16" s="658"/>
      <c r="U16" s="183"/>
      <c r="V16" s="183"/>
      <c r="W16" s="183"/>
      <c r="X16" s="520" t="e">
        <f t="shared" ref="X16" si="57">RANK(W16, W$7:W$21)</f>
        <v>#N/A</v>
      </c>
      <c r="Y16" s="658"/>
      <c r="Z16" s="183"/>
      <c r="AA16" s="183"/>
      <c r="AB16" s="183"/>
      <c r="AC16" s="520" t="e">
        <f t="shared" ref="AC16" si="58">RANK(AB16, AB$7:AB$21)</f>
        <v>#N/A</v>
      </c>
      <c r="AD16" s="658"/>
      <c r="AE16" s="183"/>
      <c r="AF16" s="183"/>
      <c r="AG16" s="183"/>
      <c r="AH16" s="520" t="e">
        <f t="shared" ref="AH16" si="59">RANK(AG16, AG$7:AG$21)</f>
        <v>#N/A</v>
      </c>
      <c r="AI16" s="658"/>
      <c r="AJ16" s="183"/>
      <c r="AK16" s="183"/>
      <c r="AL16" s="183"/>
      <c r="AM16" s="520" t="e">
        <f t="shared" ref="AM16" si="60">RANK(AL16, AL$7:AL$21)</f>
        <v>#N/A</v>
      </c>
      <c r="AN16" s="658"/>
      <c r="AO16" s="183"/>
      <c r="AP16" s="183"/>
      <c r="AQ16" s="183"/>
      <c r="AR16" s="520" t="e">
        <f t="shared" ref="AR16" si="61">RANK(AQ16, AQ$7:AQ$21)</f>
        <v>#N/A</v>
      </c>
      <c r="AS16" s="658"/>
      <c r="AT16" s="183">
        <v>18</v>
      </c>
      <c r="AU16" s="183">
        <v>1288.7333333333333</v>
      </c>
      <c r="AV16" s="183">
        <v>71.596296296296302</v>
      </c>
      <c r="AW16" s="470">
        <f t="shared" si="20"/>
        <v>7</v>
      </c>
      <c r="AX16" s="658"/>
      <c r="AZ16" s="379" t="e">
        <f>RANK(AX16, $K$7:AX$21)</f>
        <v>#N/A</v>
      </c>
      <c r="BB16" s="376" t="e">
        <f t="shared" si="21"/>
        <v>#N/A</v>
      </c>
    </row>
    <row r="17" spans="2:54">
      <c r="B17" s="627"/>
      <c r="C17" s="470">
        <v>11</v>
      </c>
      <c r="D17" s="228" t="s">
        <v>886</v>
      </c>
      <c r="E17" s="183">
        <v>18</v>
      </c>
      <c r="F17" s="520">
        <v>1385</v>
      </c>
      <c r="G17" s="521">
        <v>76.944444444444443</v>
      </c>
      <c r="H17" s="662"/>
      <c r="I17" s="203"/>
      <c r="J17" s="203"/>
      <c r="K17" s="203"/>
      <c r="L17" s="601"/>
      <c r="M17" s="475" t="e">
        <f>RANK(K17, $K$7:K$21)</f>
        <v>#N/A</v>
      </c>
      <c r="N17" s="619"/>
      <c r="O17" s="619"/>
      <c r="P17" s="183"/>
      <c r="Q17" s="183"/>
      <c r="R17" s="183"/>
      <c r="S17" s="520" t="e">
        <f t="shared" si="0"/>
        <v>#N/A</v>
      </c>
      <c r="T17" s="658"/>
      <c r="U17" s="183"/>
      <c r="V17" s="183"/>
      <c r="W17" s="183"/>
      <c r="X17" s="520" t="e">
        <f t="shared" ref="X17" si="62">RANK(W17, W$7:W$21)</f>
        <v>#N/A</v>
      </c>
      <c r="Y17" s="658"/>
      <c r="Z17" s="183"/>
      <c r="AA17" s="183"/>
      <c r="AB17" s="183"/>
      <c r="AC17" s="520" t="e">
        <f t="shared" ref="AC17" si="63">RANK(AB17, AB$7:AB$21)</f>
        <v>#N/A</v>
      </c>
      <c r="AD17" s="658"/>
      <c r="AE17" s="183"/>
      <c r="AF17" s="183"/>
      <c r="AG17" s="183"/>
      <c r="AH17" s="520" t="e">
        <f t="shared" ref="AH17" si="64">RANK(AG17, AG$7:AG$21)</f>
        <v>#N/A</v>
      </c>
      <c r="AI17" s="658"/>
      <c r="AJ17" s="183"/>
      <c r="AK17" s="183"/>
      <c r="AL17" s="183"/>
      <c r="AM17" s="520" t="e">
        <f t="shared" ref="AM17" si="65">RANK(AL17, AL$7:AL$21)</f>
        <v>#N/A</v>
      </c>
      <c r="AN17" s="658"/>
      <c r="AO17" s="183"/>
      <c r="AP17" s="183"/>
      <c r="AQ17" s="183"/>
      <c r="AR17" s="520" t="e">
        <f t="shared" ref="AR17" si="66">RANK(AQ17, AQ$7:AQ$21)</f>
        <v>#N/A</v>
      </c>
      <c r="AS17" s="658"/>
      <c r="AT17" s="183">
        <v>18</v>
      </c>
      <c r="AU17" s="183">
        <v>1261.0169491525419</v>
      </c>
      <c r="AV17" s="183">
        <v>70.056497175141217</v>
      </c>
      <c r="AW17" s="470">
        <f t="shared" si="20"/>
        <v>8</v>
      </c>
      <c r="AX17" s="658"/>
      <c r="AZ17" s="379" t="e">
        <f>RANK(AX17, $K$7:AX$21)</f>
        <v>#N/A</v>
      </c>
      <c r="BB17" s="376" t="e">
        <f t="shared" si="21"/>
        <v>#N/A</v>
      </c>
    </row>
    <row r="18" spans="2:54">
      <c r="B18" s="627"/>
      <c r="C18" s="470">
        <v>12</v>
      </c>
      <c r="D18" s="228"/>
      <c r="E18" s="183"/>
      <c r="F18" s="520"/>
      <c r="G18" s="521"/>
      <c r="H18" s="662"/>
      <c r="I18" s="203"/>
      <c r="J18" s="203"/>
      <c r="K18" s="203"/>
      <c r="L18" s="601"/>
      <c r="M18" s="475" t="e">
        <f>RANK(K18, $K$7:K$21)</f>
        <v>#N/A</v>
      </c>
      <c r="N18" s="619"/>
      <c r="O18" s="619"/>
      <c r="P18" s="183"/>
      <c r="Q18" s="183"/>
      <c r="R18" s="183"/>
      <c r="S18" s="520" t="e">
        <f t="shared" si="0"/>
        <v>#N/A</v>
      </c>
      <c r="T18" s="658"/>
      <c r="U18" s="183"/>
      <c r="V18" s="183"/>
      <c r="W18" s="183"/>
      <c r="X18" s="520" t="e">
        <f t="shared" ref="X18" si="67">RANK(W18, W$7:W$21)</f>
        <v>#N/A</v>
      </c>
      <c r="Y18" s="658"/>
      <c r="Z18" s="183"/>
      <c r="AA18" s="183"/>
      <c r="AB18" s="183"/>
      <c r="AC18" s="520" t="e">
        <f t="shared" ref="AC18" si="68">RANK(AB18, AB$7:AB$21)</f>
        <v>#N/A</v>
      </c>
      <c r="AD18" s="658"/>
      <c r="AE18" s="183"/>
      <c r="AF18" s="183"/>
      <c r="AG18" s="183"/>
      <c r="AH18" s="520" t="e">
        <f t="shared" ref="AH18" si="69">RANK(AG18, AG$7:AG$21)</f>
        <v>#N/A</v>
      </c>
      <c r="AI18" s="658"/>
      <c r="AJ18" s="183"/>
      <c r="AK18" s="183"/>
      <c r="AL18" s="183"/>
      <c r="AM18" s="520" t="e">
        <f t="shared" ref="AM18" si="70">RANK(AL18, AL$7:AL$21)</f>
        <v>#N/A</v>
      </c>
      <c r="AN18" s="658"/>
      <c r="AO18" s="183"/>
      <c r="AP18" s="183"/>
      <c r="AQ18" s="183"/>
      <c r="AR18" s="520" t="e">
        <f t="shared" ref="AR18" si="71">RANK(AQ18, AQ$7:AQ$21)</f>
        <v>#N/A</v>
      </c>
      <c r="AS18" s="658"/>
      <c r="AT18" s="183"/>
      <c r="AU18" s="183"/>
      <c r="AV18" s="183"/>
      <c r="AW18" s="470" t="e">
        <f t="shared" si="20"/>
        <v>#N/A</v>
      </c>
      <c r="AX18" s="658"/>
      <c r="AZ18" s="379" t="e">
        <f>RANK(AX18, $K$7:AX$21)</f>
        <v>#N/A</v>
      </c>
      <c r="BB18" s="376" t="e">
        <f t="shared" si="21"/>
        <v>#N/A</v>
      </c>
    </row>
    <row r="19" spans="2:54">
      <c r="B19" s="627"/>
      <c r="C19" s="470">
        <v>13</v>
      </c>
      <c r="D19" s="228"/>
      <c r="E19" s="183"/>
      <c r="F19" s="520"/>
      <c r="G19" s="521"/>
      <c r="H19" s="662"/>
      <c r="I19" s="203"/>
      <c r="J19" s="203"/>
      <c r="K19" s="203"/>
      <c r="L19" s="601"/>
      <c r="M19" s="475" t="e">
        <f>RANK(K19, $K$7:K$21)</f>
        <v>#N/A</v>
      </c>
      <c r="N19" s="619"/>
      <c r="O19" s="619"/>
      <c r="P19" s="183"/>
      <c r="Q19" s="183"/>
      <c r="R19" s="183"/>
      <c r="S19" s="520" t="e">
        <f t="shared" si="0"/>
        <v>#N/A</v>
      </c>
      <c r="T19" s="658"/>
      <c r="U19" s="183"/>
      <c r="V19" s="183"/>
      <c r="W19" s="183"/>
      <c r="X19" s="520" t="e">
        <f t="shared" ref="X19" si="72">RANK(W19, W$7:W$21)</f>
        <v>#N/A</v>
      </c>
      <c r="Y19" s="658"/>
      <c r="Z19" s="183"/>
      <c r="AA19" s="183"/>
      <c r="AB19" s="183"/>
      <c r="AC19" s="520" t="e">
        <f t="shared" ref="AC19" si="73">RANK(AB19, AB$7:AB$21)</f>
        <v>#N/A</v>
      </c>
      <c r="AD19" s="658"/>
      <c r="AE19" s="183"/>
      <c r="AF19" s="183"/>
      <c r="AG19" s="183"/>
      <c r="AH19" s="520" t="e">
        <f t="shared" ref="AH19" si="74">RANK(AG19, AG$7:AG$21)</f>
        <v>#N/A</v>
      </c>
      <c r="AI19" s="658"/>
      <c r="AJ19" s="183"/>
      <c r="AK19" s="183"/>
      <c r="AL19" s="183"/>
      <c r="AM19" s="520" t="e">
        <f t="shared" ref="AM19" si="75">RANK(AL19, AL$7:AL$21)</f>
        <v>#N/A</v>
      </c>
      <c r="AN19" s="658"/>
      <c r="AO19" s="183"/>
      <c r="AP19" s="183"/>
      <c r="AQ19" s="183"/>
      <c r="AR19" s="520" t="e">
        <f t="shared" ref="AR19" si="76">RANK(AQ19, AQ$7:AQ$21)</f>
        <v>#N/A</v>
      </c>
      <c r="AS19" s="658"/>
      <c r="AT19" s="183"/>
      <c r="AU19" s="183"/>
      <c r="AV19" s="183"/>
      <c r="AW19" s="470" t="e">
        <f t="shared" si="20"/>
        <v>#N/A</v>
      </c>
      <c r="AX19" s="658"/>
      <c r="AZ19" s="379" t="e">
        <f>RANK(AX19, $K$7:AX$21)</f>
        <v>#N/A</v>
      </c>
      <c r="BB19" s="376" t="e">
        <f t="shared" si="21"/>
        <v>#N/A</v>
      </c>
    </row>
    <row r="20" spans="2:54">
      <c r="B20" s="627"/>
      <c r="C20" s="470">
        <v>14</v>
      </c>
      <c r="D20" s="228"/>
      <c r="E20" s="183"/>
      <c r="F20" s="520"/>
      <c r="G20" s="521"/>
      <c r="H20" s="662"/>
      <c r="I20" s="203"/>
      <c r="J20" s="203"/>
      <c r="K20" s="203"/>
      <c r="L20" s="601"/>
      <c r="M20" s="475" t="e">
        <f>RANK(K20, $K$7:K$21)</f>
        <v>#N/A</v>
      </c>
      <c r="N20" s="619"/>
      <c r="O20" s="619"/>
      <c r="P20" s="183"/>
      <c r="Q20" s="183"/>
      <c r="R20" s="183"/>
      <c r="S20" s="520" t="e">
        <f t="shared" si="0"/>
        <v>#N/A</v>
      </c>
      <c r="T20" s="658"/>
      <c r="U20" s="183"/>
      <c r="V20" s="183"/>
      <c r="W20" s="183"/>
      <c r="X20" s="520" t="e">
        <f t="shared" ref="X20" si="77">RANK(W20, W$7:W$21)</f>
        <v>#N/A</v>
      </c>
      <c r="Y20" s="658"/>
      <c r="Z20" s="183"/>
      <c r="AA20" s="183"/>
      <c r="AB20" s="183"/>
      <c r="AC20" s="520" t="e">
        <f t="shared" ref="AC20" si="78">RANK(AB20, AB$7:AB$21)</f>
        <v>#N/A</v>
      </c>
      <c r="AD20" s="658"/>
      <c r="AE20" s="183"/>
      <c r="AF20" s="183"/>
      <c r="AG20" s="183"/>
      <c r="AH20" s="520" t="e">
        <f t="shared" ref="AH20" si="79">RANK(AG20, AG$7:AG$21)</f>
        <v>#N/A</v>
      </c>
      <c r="AI20" s="658"/>
      <c r="AJ20" s="183"/>
      <c r="AK20" s="183"/>
      <c r="AL20" s="183"/>
      <c r="AM20" s="520" t="e">
        <f t="shared" ref="AM20" si="80">RANK(AL20, AL$7:AL$21)</f>
        <v>#N/A</v>
      </c>
      <c r="AN20" s="658"/>
      <c r="AO20" s="183"/>
      <c r="AP20" s="183"/>
      <c r="AQ20" s="183"/>
      <c r="AR20" s="520" t="e">
        <f t="shared" ref="AR20" si="81">RANK(AQ20, AQ$7:AQ$21)</f>
        <v>#N/A</v>
      </c>
      <c r="AS20" s="658"/>
      <c r="AT20" s="183"/>
      <c r="AU20" s="183"/>
      <c r="AV20" s="183"/>
      <c r="AW20" s="470" t="e">
        <f t="shared" si="20"/>
        <v>#N/A</v>
      </c>
      <c r="AX20" s="658"/>
      <c r="AZ20" s="379" t="e">
        <f>RANK(AX20, $K$7:AX$21)</f>
        <v>#N/A</v>
      </c>
      <c r="BB20" s="376" t="e">
        <f t="shared" si="21"/>
        <v>#N/A</v>
      </c>
    </row>
    <row r="21" spans="2:54">
      <c r="B21" s="627"/>
      <c r="C21" s="470">
        <v>15</v>
      </c>
      <c r="D21" s="228"/>
      <c r="E21" s="183"/>
      <c r="F21" s="520"/>
      <c r="G21" s="521"/>
      <c r="H21" s="663"/>
      <c r="I21" s="203"/>
      <c r="J21" s="203"/>
      <c r="K21" s="203"/>
      <c r="L21" s="602"/>
      <c r="M21" s="472" t="e">
        <f>RANK(K21, $K$7:K$21)</f>
        <v>#N/A</v>
      </c>
      <c r="N21" s="619"/>
      <c r="O21" s="619"/>
      <c r="P21" s="183"/>
      <c r="Q21" s="183"/>
      <c r="R21" s="183"/>
      <c r="S21" s="520" t="e">
        <f t="shared" si="0"/>
        <v>#N/A</v>
      </c>
      <c r="T21" s="658"/>
      <c r="U21" s="183"/>
      <c r="V21" s="183"/>
      <c r="W21" s="183"/>
      <c r="X21" s="520" t="e">
        <f t="shared" ref="X21" si="82">RANK(W21, W$7:W$21)</f>
        <v>#N/A</v>
      </c>
      <c r="Y21" s="658"/>
      <c r="Z21" s="183"/>
      <c r="AA21" s="183"/>
      <c r="AB21" s="183"/>
      <c r="AC21" s="520" t="e">
        <f t="shared" ref="AC21" si="83">RANK(AB21, AB$7:AB$21)</f>
        <v>#N/A</v>
      </c>
      <c r="AD21" s="658"/>
      <c r="AE21" s="183"/>
      <c r="AF21" s="183"/>
      <c r="AG21" s="183"/>
      <c r="AH21" s="520" t="e">
        <f t="shared" ref="AH21" si="84">RANK(AG21, AG$7:AG$21)</f>
        <v>#N/A</v>
      </c>
      <c r="AI21" s="658"/>
      <c r="AJ21" s="183"/>
      <c r="AK21" s="183"/>
      <c r="AL21" s="183"/>
      <c r="AM21" s="520" t="e">
        <f t="shared" ref="AM21" si="85">RANK(AL21, AL$7:AL$21)</f>
        <v>#N/A</v>
      </c>
      <c r="AN21" s="658"/>
      <c r="AO21" s="183"/>
      <c r="AP21" s="183"/>
      <c r="AQ21" s="183"/>
      <c r="AR21" s="520" t="e">
        <f t="shared" ref="AR21" si="86">RANK(AQ21, AQ$7:AQ$21)</f>
        <v>#N/A</v>
      </c>
      <c r="AS21" s="658"/>
      <c r="AT21" s="183"/>
      <c r="AU21" s="183"/>
      <c r="AV21" s="183"/>
      <c r="AW21" s="470" t="e">
        <f t="shared" si="20"/>
        <v>#N/A</v>
      </c>
      <c r="AX21" s="658"/>
      <c r="AZ21" s="378" t="e">
        <f>RANK(AX21, $K$7:AX$21)</f>
        <v>#N/A</v>
      </c>
      <c r="BB21" s="376" t="e">
        <f t="shared" si="21"/>
        <v>#N/A</v>
      </c>
    </row>
    <row r="22" spans="2:54" ht="15.5">
      <c r="B22" s="644" t="s">
        <v>163</v>
      </c>
      <c r="C22" s="645"/>
      <c r="D22" s="645"/>
      <c r="E22" s="645"/>
      <c r="F22" s="645"/>
      <c r="G22" s="645"/>
      <c r="H22" s="645"/>
      <c r="I22" s="204"/>
      <c r="J22" s="204"/>
      <c r="K22" s="204"/>
      <c r="L22" s="204"/>
      <c r="M22" s="205"/>
      <c r="N22" s="620" t="s">
        <v>156</v>
      </c>
      <c r="O22" s="620" t="s">
        <v>105</v>
      </c>
      <c r="P22" s="626">
        <v>45993</v>
      </c>
      <c r="Q22" s="627"/>
      <c r="R22" s="627"/>
      <c r="S22" s="627"/>
      <c r="T22" s="627"/>
      <c r="U22" s="626">
        <f>P22+1</f>
        <v>45994</v>
      </c>
      <c r="V22" s="627"/>
      <c r="W22" s="627"/>
      <c r="X22" s="627"/>
      <c r="Y22" s="627"/>
      <c r="Z22" s="626">
        <f>U22+1</f>
        <v>45995</v>
      </c>
      <c r="AA22" s="627"/>
      <c r="AB22" s="627"/>
      <c r="AC22" s="627"/>
      <c r="AD22" s="627"/>
      <c r="AE22" s="626">
        <f>Z22+1</f>
        <v>45996</v>
      </c>
      <c r="AF22" s="627"/>
      <c r="AG22" s="627"/>
      <c r="AH22" s="627"/>
      <c r="AI22" s="627"/>
      <c r="AJ22" s="626">
        <f>AE22+1</f>
        <v>45997</v>
      </c>
      <c r="AK22" s="627"/>
      <c r="AL22" s="627"/>
      <c r="AM22" s="627"/>
      <c r="AN22" s="627"/>
      <c r="AO22" s="626">
        <f>AJ22+1</f>
        <v>45998</v>
      </c>
      <c r="AP22" s="627"/>
      <c r="AQ22" s="627"/>
      <c r="AR22" s="627"/>
      <c r="AS22" s="627"/>
      <c r="AT22" s="626">
        <f>AO22+1</f>
        <v>45999</v>
      </c>
      <c r="AU22" s="627"/>
      <c r="AV22" s="627"/>
      <c r="AW22" s="627"/>
      <c r="AX22" s="627"/>
    </row>
    <row r="23" spans="2:54" ht="15.5">
      <c r="B23" s="634"/>
      <c r="C23" s="634"/>
      <c r="D23" s="634"/>
      <c r="E23" s="634"/>
      <c r="F23" s="634"/>
      <c r="G23" s="634"/>
      <c r="H23" s="634"/>
      <c r="I23" s="206"/>
      <c r="J23" s="206"/>
      <c r="K23" s="206"/>
      <c r="L23" s="206"/>
      <c r="M23" s="207"/>
      <c r="N23" s="622"/>
      <c r="O23" s="622"/>
      <c r="P23" s="626" t="s">
        <v>336</v>
      </c>
      <c r="Q23" s="627"/>
      <c r="R23" s="627"/>
      <c r="S23" s="627"/>
      <c r="T23" s="627"/>
      <c r="U23" s="626" t="s">
        <v>337</v>
      </c>
      <c r="V23" s="627"/>
      <c r="W23" s="627"/>
      <c r="X23" s="627"/>
      <c r="Y23" s="627"/>
      <c r="Z23" s="626" t="s">
        <v>338</v>
      </c>
      <c r="AA23" s="627"/>
      <c r="AB23" s="627"/>
      <c r="AC23" s="627"/>
      <c r="AD23" s="627"/>
      <c r="AE23" s="626" t="s">
        <v>339</v>
      </c>
      <c r="AF23" s="627"/>
      <c r="AG23" s="627"/>
      <c r="AH23" s="627"/>
      <c r="AI23" s="627"/>
      <c r="AJ23" s="626" t="s">
        <v>340</v>
      </c>
      <c r="AK23" s="627"/>
      <c r="AL23" s="627"/>
      <c r="AM23" s="627"/>
      <c r="AN23" s="627"/>
      <c r="AO23" s="626" t="s">
        <v>341</v>
      </c>
      <c r="AP23" s="627"/>
      <c r="AQ23" s="627"/>
      <c r="AR23" s="627"/>
      <c r="AS23" s="627"/>
      <c r="AT23" s="626" t="s">
        <v>342</v>
      </c>
      <c r="AU23" s="627"/>
      <c r="AV23" s="627"/>
      <c r="AW23" s="627"/>
      <c r="AX23" s="627"/>
    </row>
    <row r="24" spans="2:54">
      <c r="B24" s="619" t="s">
        <v>443</v>
      </c>
      <c r="C24" s="619" t="s">
        <v>453</v>
      </c>
      <c r="D24" s="619"/>
      <c r="E24" s="619" t="s">
        <v>444</v>
      </c>
      <c r="F24" s="619"/>
      <c r="G24" s="619"/>
      <c r="H24" s="635" t="s">
        <v>440</v>
      </c>
      <c r="I24" s="603" t="s">
        <v>445</v>
      </c>
      <c r="J24" s="603"/>
      <c r="K24" s="603"/>
      <c r="L24" s="604" t="s">
        <v>440</v>
      </c>
      <c r="M24" s="610" t="s">
        <v>441</v>
      </c>
      <c r="N24" s="619"/>
      <c r="O24" s="619" t="s">
        <v>446</v>
      </c>
      <c r="P24" s="616" t="s">
        <v>442</v>
      </c>
      <c r="Q24" s="617"/>
      <c r="R24" s="617"/>
      <c r="S24" s="618"/>
      <c r="T24" s="619" t="s">
        <v>440</v>
      </c>
      <c r="U24" s="616" t="s">
        <v>442</v>
      </c>
      <c r="V24" s="617"/>
      <c r="W24" s="617"/>
      <c r="X24" s="618"/>
      <c r="Y24" s="619" t="s">
        <v>440</v>
      </c>
      <c r="Z24" s="616" t="s">
        <v>442</v>
      </c>
      <c r="AA24" s="617"/>
      <c r="AB24" s="617"/>
      <c r="AC24" s="618"/>
      <c r="AD24" s="619" t="s">
        <v>440</v>
      </c>
      <c r="AE24" s="616" t="s">
        <v>442</v>
      </c>
      <c r="AF24" s="617"/>
      <c r="AG24" s="617"/>
      <c r="AH24" s="618"/>
      <c r="AI24" s="619" t="s">
        <v>440</v>
      </c>
      <c r="AJ24" s="616" t="s">
        <v>442</v>
      </c>
      <c r="AK24" s="617"/>
      <c r="AL24" s="617"/>
      <c r="AM24" s="618"/>
      <c r="AN24" s="619" t="s">
        <v>440</v>
      </c>
      <c r="AO24" s="616" t="s">
        <v>442</v>
      </c>
      <c r="AP24" s="617"/>
      <c r="AQ24" s="617"/>
      <c r="AR24" s="618"/>
      <c r="AS24" s="619" t="s">
        <v>440</v>
      </c>
      <c r="AT24" s="616" t="s">
        <v>442</v>
      </c>
      <c r="AU24" s="617"/>
      <c r="AV24" s="617"/>
      <c r="AW24" s="618"/>
      <c r="AX24" s="619" t="s">
        <v>440</v>
      </c>
    </row>
    <row r="25" spans="2:54">
      <c r="B25" s="619"/>
      <c r="C25" s="619"/>
      <c r="D25" s="619"/>
      <c r="E25" s="619" t="s">
        <v>447</v>
      </c>
      <c r="F25" s="619"/>
      <c r="G25" s="619"/>
      <c r="H25" s="636"/>
      <c r="I25" s="603" t="s">
        <v>447</v>
      </c>
      <c r="J25" s="603"/>
      <c r="K25" s="603"/>
      <c r="L25" s="605"/>
      <c r="M25" s="611"/>
      <c r="N25" s="619"/>
      <c r="O25" s="619"/>
      <c r="P25" s="616" t="s">
        <v>448</v>
      </c>
      <c r="Q25" s="617"/>
      <c r="R25" s="617"/>
      <c r="S25" s="618"/>
      <c r="T25" s="619"/>
      <c r="U25" s="616" t="s">
        <v>448</v>
      </c>
      <c r="V25" s="617"/>
      <c r="W25" s="617"/>
      <c r="X25" s="618"/>
      <c r="Y25" s="619"/>
      <c r="Z25" s="616" t="s">
        <v>448</v>
      </c>
      <c r="AA25" s="617"/>
      <c r="AB25" s="617"/>
      <c r="AC25" s="618"/>
      <c r="AD25" s="619"/>
      <c r="AE25" s="616" t="s">
        <v>448</v>
      </c>
      <c r="AF25" s="617"/>
      <c r="AG25" s="617"/>
      <c r="AH25" s="618"/>
      <c r="AI25" s="619"/>
      <c r="AJ25" s="616" t="s">
        <v>448</v>
      </c>
      <c r="AK25" s="617"/>
      <c r="AL25" s="617"/>
      <c r="AM25" s="618"/>
      <c r="AN25" s="619"/>
      <c r="AO25" s="616" t="s">
        <v>448</v>
      </c>
      <c r="AP25" s="617"/>
      <c r="AQ25" s="617"/>
      <c r="AR25" s="618"/>
      <c r="AS25" s="619"/>
      <c r="AT25" s="616" t="s">
        <v>448</v>
      </c>
      <c r="AU25" s="617"/>
      <c r="AV25" s="617"/>
      <c r="AW25" s="618"/>
      <c r="AX25" s="619"/>
    </row>
    <row r="26" spans="2:54">
      <c r="B26" s="619"/>
      <c r="C26" s="619"/>
      <c r="D26" s="619"/>
      <c r="E26" s="316" t="s">
        <v>449</v>
      </c>
      <c r="F26" s="316" t="s">
        <v>450</v>
      </c>
      <c r="G26" s="316" t="s">
        <v>451</v>
      </c>
      <c r="H26" s="637"/>
      <c r="I26" s="315" t="s">
        <v>449</v>
      </c>
      <c r="J26" s="315" t="s">
        <v>450</v>
      </c>
      <c r="K26" s="315" t="s">
        <v>451</v>
      </c>
      <c r="L26" s="606"/>
      <c r="M26" s="612"/>
      <c r="N26" s="619"/>
      <c r="O26" s="619"/>
      <c r="P26" s="316" t="s">
        <v>449</v>
      </c>
      <c r="Q26" s="316" t="s">
        <v>450</v>
      </c>
      <c r="R26" s="316" t="s">
        <v>451</v>
      </c>
      <c r="S26" s="316" t="s">
        <v>441</v>
      </c>
      <c r="T26" s="619"/>
      <c r="U26" s="316" t="s">
        <v>449</v>
      </c>
      <c r="V26" s="316" t="s">
        <v>450</v>
      </c>
      <c r="W26" s="316" t="s">
        <v>451</v>
      </c>
      <c r="X26" s="316" t="s">
        <v>441</v>
      </c>
      <c r="Y26" s="619"/>
      <c r="Z26" s="316" t="s">
        <v>449</v>
      </c>
      <c r="AA26" s="316" t="s">
        <v>450</v>
      </c>
      <c r="AB26" s="316" t="s">
        <v>451</v>
      </c>
      <c r="AC26" s="316" t="s">
        <v>441</v>
      </c>
      <c r="AD26" s="619"/>
      <c r="AE26" s="316" t="s">
        <v>449</v>
      </c>
      <c r="AF26" s="316" t="s">
        <v>450</v>
      </c>
      <c r="AG26" s="316" t="s">
        <v>451</v>
      </c>
      <c r="AH26" s="316" t="s">
        <v>441</v>
      </c>
      <c r="AI26" s="619"/>
      <c r="AJ26" s="316" t="s">
        <v>449</v>
      </c>
      <c r="AK26" s="316" t="s">
        <v>450</v>
      </c>
      <c r="AL26" s="316" t="s">
        <v>451</v>
      </c>
      <c r="AM26" s="316" t="s">
        <v>441</v>
      </c>
      <c r="AN26" s="619"/>
      <c r="AO26" s="316" t="s">
        <v>449</v>
      </c>
      <c r="AP26" s="316" t="s">
        <v>450</v>
      </c>
      <c r="AQ26" s="316" t="s">
        <v>451</v>
      </c>
      <c r="AR26" s="316" t="s">
        <v>441</v>
      </c>
      <c r="AS26" s="619"/>
      <c r="AT26" s="316" t="s">
        <v>449</v>
      </c>
      <c r="AU26" s="316" t="s">
        <v>450</v>
      </c>
      <c r="AV26" s="316" t="s">
        <v>451</v>
      </c>
      <c r="AW26" s="316" t="s">
        <v>441</v>
      </c>
      <c r="AX26" s="619"/>
    </row>
    <row r="27" spans="2:54">
      <c r="B27" s="619" t="s">
        <v>455</v>
      </c>
      <c r="C27" s="317">
        <v>1</v>
      </c>
      <c r="D27" s="228" t="s">
        <v>395</v>
      </c>
      <c r="E27" s="183">
        <v>19</v>
      </c>
      <c r="F27" s="317">
        <v>1636</v>
      </c>
      <c r="G27" s="320">
        <v>86.1</v>
      </c>
      <c r="H27" s="661">
        <f>AVERAGE(G27:G41)</f>
        <v>81.308333333333323</v>
      </c>
      <c r="I27" s="200">
        <f>AVERAGE(P27,U27,Z27,AE27,AJ27,AO27,AT27)</f>
        <v>18.285714285714285</v>
      </c>
      <c r="J27" s="200">
        <f>AVERAGE(Q27,V27,AA27,AF27,AK27,AP27,AU27)</f>
        <v>1337.7515039798943</v>
      </c>
      <c r="K27" s="201">
        <f>AVERAGE(R27,W27,AB27,AG27,AL27,AQ27,AV27)</f>
        <v>73.204968873797569</v>
      </c>
      <c r="L27" s="600">
        <f>IFERROR(AVERAGE(K27:K41),"-")</f>
        <v>69.234656595367682</v>
      </c>
      <c r="M27" s="202">
        <f>RANK(K27, K$27:$K$41)</f>
        <v>4</v>
      </c>
      <c r="N27" s="619"/>
      <c r="O27" s="619"/>
      <c r="P27" s="183">
        <v>18</v>
      </c>
      <c r="Q27" s="183">
        <v>1374</v>
      </c>
      <c r="R27" s="183">
        <v>76.333333333333329</v>
      </c>
      <c r="S27" s="317">
        <f t="shared" ref="S27:S41" si="87">RANK(R27, R$27:R$41)</f>
        <v>3</v>
      </c>
      <c r="T27" s="658">
        <f>AVERAGE(R27:R41)</f>
        <v>70.327110706266794</v>
      </c>
      <c r="U27" s="183">
        <v>18</v>
      </c>
      <c r="V27" s="183">
        <v>1303.8000000000045</v>
      </c>
      <c r="W27" s="183">
        <v>72.433333333333579</v>
      </c>
      <c r="X27" s="520">
        <f t="shared" ref="X27:X41" si="88">RANK(W27, W$27:W$41)</f>
        <v>4</v>
      </c>
      <c r="Y27" s="658">
        <f t="shared" ref="Y27" si="89">AVERAGE(W27:W41)</f>
        <v>69.079275590547979</v>
      </c>
      <c r="Z27" s="183">
        <v>18</v>
      </c>
      <c r="AA27" s="183">
        <v>1379.1272727272776</v>
      </c>
      <c r="AB27" s="183">
        <v>76.618181818182094</v>
      </c>
      <c r="AC27" s="520">
        <f t="shared" ref="AC27:AC41" si="90">RANK(AB27, AB$27:AB$41)</f>
        <v>4</v>
      </c>
      <c r="AD27" s="658">
        <f t="shared" ref="AD27" si="91">AVERAGE(AB27:AB41)</f>
        <v>70.494425060306995</v>
      </c>
      <c r="AE27" s="183">
        <v>18</v>
      </c>
      <c r="AF27" s="183">
        <v>1254.2400000000046</v>
      </c>
      <c r="AG27" s="183">
        <v>69.680000000000248</v>
      </c>
      <c r="AH27" s="520">
        <f t="shared" ref="AH27:AH41" si="92">RANK(AG27, AG$27:AG$41)</f>
        <v>6</v>
      </c>
      <c r="AI27" s="658">
        <f t="shared" ref="AI27" si="93">AVERAGE(AG27:AG41)</f>
        <v>67.632891059044752</v>
      </c>
      <c r="AJ27" s="183">
        <v>19</v>
      </c>
      <c r="AK27" s="183">
        <v>1311.05454545455</v>
      </c>
      <c r="AL27" s="183">
        <v>69.002870813397365</v>
      </c>
      <c r="AM27" s="520">
        <f t="shared" ref="AM27:AM41" si="94">RANK(AL27, AL$27:AL$41)</f>
        <v>6</v>
      </c>
      <c r="AN27" s="658">
        <f t="shared" ref="AN27" si="95">AVERAGE(AL27:AL41)</f>
        <v>68.623946824748444</v>
      </c>
      <c r="AO27" s="183">
        <v>19</v>
      </c>
      <c r="AP27" s="183">
        <v>1357.2000000000048</v>
      </c>
      <c r="AQ27" s="183">
        <v>71.431578947368678</v>
      </c>
      <c r="AR27" s="520">
        <f t="shared" ref="AR27:AR41" si="96">RANK(AQ27, AQ$27:AQ$41)</f>
        <v>4</v>
      </c>
      <c r="AS27" s="658">
        <f t="shared" ref="AS27" si="97">AVERAGE(AQ27:AQ41)</f>
        <v>69.115266910989661</v>
      </c>
      <c r="AT27" s="183">
        <v>18</v>
      </c>
      <c r="AU27" s="183">
        <v>1384.838709677419</v>
      </c>
      <c r="AV27" s="183">
        <v>76.93548387096773</v>
      </c>
      <c r="AW27" s="520">
        <f t="shared" ref="AW27:AW41" si="98">RANK(AV27, AV$27:AV$41)</f>
        <v>3</v>
      </c>
      <c r="AX27" s="658">
        <f t="shared" ref="AX27" si="99">AVERAGE(AV27:AV41)</f>
        <v>69.369680015669275</v>
      </c>
    </row>
    <row r="28" spans="2:54">
      <c r="B28" s="627"/>
      <c r="C28" s="317">
        <v>2</v>
      </c>
      <c r="D28" s="228" t="s">
        <v>349</v>
      </c>
      <c r="E28" s="183">
        <v>18</v>
      </c>
      <c r="F28" s="317">
        <v>1636</v>
      </c>
      <c r="G28" s="320">
        <v>90.9</v>
      </c>
      <c r="H28" s="662"/>
      <c r="I28" s="200">
        <f t="shared" ref="I28:I33" si="100">AVERAGE(P28,U28,Z28,AE28,AJ28,AO28,AT28)</f>
        <v>18</v>
      </c>
      <c r="J28" s="200">
        <f t="shared" ref="J28:J33" si="101">AVERAGE(Q28,V28,AA28,AF28,AK28,AP28,AU28)</f>
        <v>1383.4595265489909</v>
      </c>
      <c r="K28" s="201">
        <f t="shared" ref="K28:K33" si="102">AVERAGE(R28,W28,AB28,AG28,AL28,AQ28,AV28)</f>
        <v>76.858862586055054</v>
      </c>
      <c r="L28" s="601"/>
      <c r="M28" s="202">
        <f>RANK(K28, K$27:$K$41)</f>
        <v>2</v>
      </c>
      <c r="N28" s="619"/>
      <c r="O28" s="619"/>
      <c r="P28" s="183">
        <v>18</v>
      </c>
      <c r="Q28" s="183">
        <v>1351.5141361256542</v>
      </c>
      <c r="R28" s="183">
        <v>75.084118673647453</v>
      </c>
      <c r="S28" s="317">
        <f t="shared" si="87"/>
        <v>4</v>
      </c>
      <c r="T28" s="658"/>
      <c r="U28" s="183">
        <v>18</v>
      </c>
      <c r="V28" s="183">
        <v>1382.7565714285718</v>
      </c>
      <c r="W28" s="183">
        <v>76.819809523809539</v>
      </c>
      <c r="X28" s="520">
        <f t="shared" si="88"/>
        <v>3</v>
      </c>
      <c r="Y28" s="658"/>
      <c r="Z28" s="183">
        <v>18</v>
      </c>
      <c r="AA28" s="183">
        <v>1395.2542372881362</v>
      </c>
      <c r="AB28" s="183">
        <v>77.514124293785343</v>
      </c>
      <c r="AC28" s="520">
        <f t="shared" si="90"/>
        <v>2</v>
      </c>
      <c r="AD28" s="658"/>
      <c r="AE28" s="183">
        <v>18</v>
      </c>
      <c r="AF28" s="183">
        <v>1352.2807017543862</v>
      </c>
      <c r="AG28" s="183">
        <v>75.12670565302146</v>
      </c>
      <c r="AH28" s="520">
        <f t="shared" si="92"/>
        <v>3</v>
      </c>
      <c r="AI28" s="658"/>
      <c r="AJ28" s="183">
        <v>18</v>
      </c>
      <c r="AK28" s="183">
        <v>1421.3793103448279</v>
      </c>
      <c r="AL28" s="183">
        <v>78.965517241379331</v>
      </c>
      <c r="AM28" s="520">
        <f t="shared" si="94"/>
        <v>2</v>
      </c>
      <c r="AN28" s="658"/>
      <c r="AO28" s="183">
        <v>18</v>
      </c>
      <c r="AP28" s="183">
        <v>1404.690265486726</v>
      </c>
      <c r="AQ28" s="183">
        <v>78.038348082595888</v>
      </c>
      <c r="AR28" s="520">
        <f t="shared" si="96"/>
        <v>2</v>
      </c>
      <c r="AS28" s="658"/>
      <c r="AT28" s="183">
        <v>18</v>
      </c>
      <c r="AU28" s="183">
        <v>1376.3414634146341</v>
      </c>
      <c r="AV28" s="183">
        <v>76.463414634146332</v>
      </c>
      <c r="AW28" s="520">
        <f t="shared" si="98"/>
        <v>4</v>
      </c>
      <c r="AX28" s="658"/>
    </row>
    <row r="29" spans="2:54">
      <c r="B29" s="627"/>
      <c r="C29" s="317">
        <v>3</v>
      </c>
      <c r="D29" s="228" t="s">
        <v>828</v>
      </c>
      <c r="E29" s="183">
        <v>14</v>
      </c>
      <c r="F29" s="317">
        <v>1500</v>
      </c>
      <c r="G29" s="320">
        <v>107.1</v>
      </c>
      <c r="H29" s="662"/>
      <c r="I29" s="200">
        <f t="shared" si="100"/>
        <v>13.857142857142858</v>
      </c>
      <c r="J29" s="200">
        <f t="shared" si="101"/>
        <v>1374.0530176554628</v>
      </c>
      <c r="K29" s="201">
        <f t="shared" si="102"/>
        <v>99.219081884562669</v>
      </c>
      <c r="L29" s="601"/>
      <c r="M29" s="202">
        <f>RANK(K29, K$27:$K$41)</f>
        <v>1</v>
      </c>
      <c r="N29" s="619"/>
      <c r="O29" s="619"/>
      <c r="P29" s="183">
        <v>13</v>
      </c>
      <c r="Q29" s="183">
        <v>1366.2857142857129</v>
      </c>
      <c r="R29" s="183">
        <v>105.098901098901</v>
      </c>
      <c r="S29" s="317">
        <f t="shared" si="87"/>
        <v>1</v>
      </c>
      <c r="T29" s="658"/>
      <c r="U29" s="183">
        <v>14</v>
      </c>
      <c r="V29" s="183">
        <v>1383.3333333333321</v>
      </c>
      <c r="W29" s="183">
        <v>98.809523809523725</v>
      </c>
      <c r="X29" s="520">
        <f t="shared" si="88"/>
        <v>1</v>
      </c>
      <c r="Y29" s="658"/>
      <c r="Z29" s="183">
        <v>14</v>
      </c>
      <c r="AA29" s="183">
        <v>1385.2941176470606</v>
      </c>
      <c r="AB29" s="183">
        <v>98.949579831932894</v>
      </c>
      <c r="AC29" s="520">
        <f t="shared" si="90"/>
        <v>1</v>
      </c>
      <c r="AD29" s="658"/>
      <c r="AE29" s="183">
        <v>14</v>
      </c>
      <c r="AF29" s="183">
        <v>1322.1428571428582</v>
      </c>
      <c r="AG29" s="183">
        <v>94.438775510204167</v>
      </c>
      <c r="AH29" s="520">
        <f t="shared" si="92"/>
        <v>1</v>
      </c>
      <c r="AI29" s="658"/>
      <c r="AJ29" s="183">
        <v>14</v>
      </c>
      <c r="AK29" s="183">
        <v>1393.5483870967755</v>
      </c>
      <c r="AL29" s="183">
        <v>99.539170506912541</v>
      </c>
      <c r="AM29" s="520">
        <f t="shared" si="94"/>
        <v>1</v>
      </c>
      <c r="AN29" s="658"/>
      <c r="AO29" s="183">
        <v>14</v>
      </c>
      <c r="AP29" s="183">
        <v>1392.6315789473672</v>
      </c>
      <c r="AQ29" s="183">
        <v>99.47368421052623</v>
      </c>
      <c r="AR29" s="520">
        <f t="shared" si="96"/>
        <v>1</v>
      </c>
      <c r="AS29" s="658"/>
      <c r="AT29" s="183">
        <v>14</v>
      </c>
      <c r="AU29" s="183">
        <v>1375.1351351351341</v>
      </c>
      <c r="AV29" s="183">
        <v>98.223938223938148</v>
      </c>
      <c r="AW29" s="520">
        <f t="shared" si="98"/>
        <v>1</v>
      </c>
      <c r="AX29" s="658"/>
    </row>
    <row r="30" spans="2:54">
      <c r="B30" s="627"/>
      <c r="C30" s="317">
        <v>4</v>
      </c>
      <c r="D30" s="228" t="s">
        <v>664</v>
      </c>
      <c r="E30" s="183">
        <v>18</v>
      </c>
      <c r="F30" s="317">
        <v>1636</v>
      </c>
      <c r="G30" s="320">
        <v>90.9</v>
      </c>
      <c r="H30" s="662"/>
      <c r="I30" s="200">
        <f t="shared" si="100"/>
        <v>18</v>
      </c>
      <c r="J30" s="200">
        <f t="shared" si="101"/>
        <v>1375.4147031334749</v>
      </c>
      <c r="K30" s="201">
        <f t="shared" si="102"/>
        <v>76.411927951859724</v>
      </c>
      <c r="L30" s="601"/>
      <c r="M30" s="202">
        <f>RANK(K30, K$27:$K$41)</f>
        <v>3</v>
      </c>
      <c r="N30" s="619"/>
      <c r="O30" s="619"/>
      <c r="P30" s="183">
        <v>18</v>
      </c>
      <c r="Q30" s="183">
        <v>1404</v>
      </c>
      <c r="R30" s="183">
        <v>78</v>
      </c>
      <c r="S30" s="317">
        <f t="shared" si="87"/>
        <v>2</v>
      </c>
      <c r="T30" s="658"/>
      <c r="U30" s="183">
        <v>18</v>
      </c>
      <c r="V30" s="183">
        <v>1388.7272727272725</v>
      </c>
      <c r="W30" s="183">
        <v>77.151515151515142</v>
      </c>
      <c r="X30" s="520">
        <f t="shared" si="88"/>
        <v>2</v>
      </c>
      <c r="Y30" s="658"/>
      <c r="Z30" s="183">
        <v>18</v>
      </c>
      <c r="AA30" s="183">
        <v>1361.7857142857144</v>
      </c>
      <c r="AB30" s="183">
        <v>75.654761904761912</v>
      </c>
      <c r="AC30" s="520">
        <f t="shared" si="90"/>
        <v>5</v>
      </c>
      <c r="AD30" s="658"/>
      <c r="AE30" s="183">
        <v>18</v>
      </c>
      <c r="AF30" s="183">
        <v>1357.8947368421057</v>
      </c>
      <c r="AG30" s="183">
        <v>75.438596491228097</v>
      </c>
      <c r="AH30" s="520">
        <f t="shared" si="92"/>
        <v>2</v>
      </c>
      <c r="AI30" s="658"/>
      <c r="AJ30" s="183">
        <v>18</v>
      </c>
      <c r="AK30" s="183">
        <v>1365.3061224489788</v>
      </c>
      <c r="AL30" s="183">
        <v>75.850340136054385</v>
      </c>
      <c r="AM30" s="520">
        <f t="shared" si="94"/>
        <v>3</v>
      </c>
      <c r="AN30" s="658"/>
      <c r="AO30" s="183">
        <v>18</v>
      </c>
      <c r="AP30" s="183">
        <v>1354.1176470588241</v>
      </c>
      <c r="AQ30" s="183">
        <v>75.228758169934679</v>
      </c>
      <c r="AR30" s="520">
        <f t="shared" si="96"/>
        <v>3</v>
      </c>
      <c r="AS30" s="658"/>
      <c r="AT30" s="183">
        <v>18</v>
      </c>
      <c r="AU30" s="183">
        <v>1396.0714285714284</v>
      </c>
      <c r="AV30" s="183">
        <v>77.559523809523796</v>
      </c>
      <c r="AW30" s="520">
        <f t="shared" si="98"/>
        <v>2</v>
      </c>
      <c r="AX30" s="658"/>
    </row>
    <row r="31" spans="2:54">
      <c r="B31" s="627"/>
      <c r="C31" s="317">
        <v>5</v>
      </c>
      <c r="D31" s="228" t="s">
        <v>760</v>
      </c>
      <c r="E31" s="183">
        <v>18</v>
      </c>
      <c r="F31" s="317">
        <v>1385</v>
      </c>
      <c r="G31" s="320">
        <v>76.900000000000006</v>
      </c>
      <c r="H31" s="662"/>
      <c r="I31" s="200">
        <f t="shared" si="100"/>
        <v>18</v>
      </c>
      <c r="J31" s="200">
        <f t="shared" si="101"/>
        <v>1211.891089259314</v>
      </c>
      <c r="K31" s="201">
        <f t="shared" si="102"/>
        <v>67.327282736628561</v>
      </c>
      <c r="L31" s="601"/>
      <c r="M31" s="202">
        <f>RANK(K31, K$27:$K$41)</f>
        <v>8</v>
      </c>
      <c r="N31" s="619"/>
      <c r="O31" s="619"/>
      <c r="P31" s="183">
        <v>18</v>
      </c>
      <c r="Q31" s="183">
        <v>1232.8571428571424</v>
      </c>
      <c r="R31" s="183">
        <v>68.492063492063465</v>
      </c>
      <c r="S31" s="317">
        <f t="shared" si="87"/>
        <v>8</v>
      </c>
      <c r="T31" s="658"/>
      <c r="U31" s="183">
        <v>18</v>
      </c>
      <c r="V31" s="183">
        <v>1249.9999999999995</v>
      </c>
      <c r="W31" s="183">
        <v>69.444444444444414</v>
      </c>
      <c r="X31" s="520">
        <f t="shared" si="88"/>
        <v>8</v>
      </c>
      <c r="Y31" s="658"/>
      <c r="Z31" s="183">
        <v>18</v>
      </c>
      <c r="AA31" s="183">
        <v>1252.4999999999995</v>
      </c>
      <c r="AB31" s="183">
        <v>69.583333333333314</v>
      </c>
      <c r="AC31" s="520">
        <f t="shared" si="90"/>
        <v>8</v>
      </c>
      <c r="AD31" s="658"/>
      <c r="AE31" s="183">
        <v>18</v>
      </c>
      <c r="AF31" s="183">
        <v>1057.2413793103456</v>
      </c>
      <c r="AG31" s="183">
        <v>58.735632183908088</v>
      </c>
      <c r="AH31" s="520">
        <f t="shared" si="92"/>
        <v>9</v>
      </c>
      <c r="AI31" s="658"/>
      <c r="AJ31" s="183">
        <v>18</v>
      </c>
      <c r="AK31" s="183">
        <v>1226.4705882352926</v>
      </c>
      <c r="AL31" s="183">
        <v>68.137254901960702</v>
      </c>
      <c r="AM31" s="520">
        <f t="shared" si="94"/>
        <v>7</v>
      </c>
      <c r="AN31" s="658"/>
      <c r="AO31" s="183">
        <v>18</v>
      </c>
      <c r="AP31" s="183">
        <v>1236.3636363636376</v>
      </c>
      <c r="AQ31" s="183">
        <v>68.686868686868763</v>
      </c>
      <c r="AR31" s="520">
        <f t="shared" si="96"/>
        <v>8</v>
      </c>
      <c r="AS31" s="658"/>
      <c r="AT31" s="183">
        <v>18</v>
      </c>
      <c r="AU31" s="183">
        <v>1227.8048780487802</v>
      </c>
      <c r="AV31" s="183">
        <v>68.211382113821116</v>
      </c>
      <c r="AW31" s="520">
        <f t="shared" si="98"/>
        <v>7</v>
      </c>
      <c r="AX31" s="658"/>
    </row>
    <row r="32" spans="2:54">
      <c r="B32" s="627"/>
      <c r="C32" s="317">
        <v>6</v>
      </c>
      <c r="D32" s="228" t="s">
        <v>869</v>
      </c>
      <c r="E32" s="183">
        <v>18</v>
      </c>
      <c r="F32" s="317">
        <v>1500</v>
      </c>
      <c r="G32" s="320">
        <v>83.3</v>
      </c>
      <c r="H32" s="662"/>
      <c r="I32" s="200">
        <f t="shared" si="100"/>
        <v>18</v>
      </c>
      <c r="J32" s="200">
        <f t="shared" si="101"/>
        <v>1276.963923489182</v>
      </c>
      <c r="K32" s="201">
        <f t="shared" si="102"/>
        <v>70.942440193843439</v>
      </c>
      <c r="L32" s="601"/>
      <c r="M32" s="202">
        <f>RANK(K32, K$27:$K$41)</f>
        <v>6</v>
      </c>
      <c r="N32" s="619"/>
      <c r="O32" s="619"/>
      <c r="P32" s="183">
        <v>18</v>
      </c>
      <c r="Q32" s="183">
        <v>1317.499999999998</v>
      </c>
      <c r="R32" s="183">
        <v>73.194444444444329</v>
      </c>
      <c r="S32" s="317">
        <f t="shared" si="87"/>
        <v>5</v>
      </c>
      <c r="T32" s="658"/>
      <c r="U32" s="183">
        <v>18</v>
      </c>
      <c r="V32" s="183">
        <v>1283.2653061224494</v>
      </c>
      <c r="W32" s="183">
        <v>71.29251700680274</v>
      </c>
      <c r="X32" s="520">
        <f t="shared" si="88"/>
        <v>6</v>
      </c>
      <c r="Y32" s="658"/>
      <c r="Z32" s="183">
        <v>18</v>
      </c>
      <c r="AA32" s="183">
        <v>1274.0425531914896</v>
      </c>
      <c r="AB32" s="183">
        <v>70.780141843971649</v>
      </c>
      <c r="AC32" s="520">
        <f t="shared" si="90"/>
        <v>7</v>
      </c>
      <c r="AD32" s="658"/>
      <c r="AE32" s="183">
        <v>18</v>
      </c>
      <c r="AF32" s="183">
        <v>1261.4634146341459</v>
      </c>
      <c r="AG32" s="183">
        <v>70.081300813008113</v>
      </c>
      <c r="AH32" s="520">
        <f t="shared" si="92"/>
        <v>5</v>
      </c>
      <c r="AI32" s="658"/>
      <c r="AJ32" s="183">
        <v>18</v>
      </c>
      <c r="AK32" s="183">
        <v>1277.1428571428567</v>
      </c>
      <c r="AL32" s="183">
        <v>70.952380952380921</v>
      </c>
      <c r="AM32" s="520">
        <f t="shared" si="94"/>
        <v>5</v>
      </c>
      <c r="AN32" s="658"/>
      <c r="AO32" s="183">
        <v>18</v>
      </c>
      <c r="AP32" s="183">
        <v>1260.0000000000005</v>
      </c>
      <c r="AQ32" s="183">
        <v>70.000000000000028</v>
      </c>
      <c r="AR32" s="520">
        <f t="shared" si="96"/>
        <v>6</v>
      </c>
      <c r="AS32" s="658"/>
      <c r="AT32" s="183">
        <v>18</v>
      </c>
      <c r="AU32" s="183">
        <v>1265.3333333333333</v>
      </c>
      <c r="AV32" s="183">
        <v>70.296296296296291</v>
      </c>
      <c r="AW32" s="520">
        <f t="shared" si="98"/>
        <v>6</v>
      </c>
      <c r="AX32" s="658"/>
    </row>
    <row r="33" spans="2:50">
      <c r="B33" s="627"/>
      <c r="C33" s="317">
        <v>7</v>
      </c>
      <c r="D33" s="228" t="s">
        <v>875</v>
      </c>
      <c r="E33" s="183">
        <v>21</v>
      </c>
      <c r="F33" s="317">
        <v>1177.25</v>
      </c>
      <c r="G33" s="320">
        <v>65.900000000000006</v>
      </c>
      <c r="H33" s="662"/>
      <c r="I33" s="200">
        <f t="shared" si="100"/>
        <v>20.285714285714285</v>
      </c>
      <c r="J33" s="200">
        <f t="shared" si="101"/>
        <v>1084.5151075838655</v>
      </c>
      <c r="K33" s="201">
        <f t="shared" si="102"/>
        <v>53.488852825964209</v>
      </c>
      <c r="L33" s="601"/>
      <c r="M33" s="202">
        <f>RANK(K33, K$27:$K$41)</f>
        <v>12</v>
      </c>
      <c r="N33" s="619"/>
      <c r="O33" s="619"/>
      <c r="P33" s="183">
        <v>20</v>
      </c>
      <c r="Q33" s="183">
        <v>1106.4406779661026</v>
      </c>
      <c r="R33" s="183">
        <v>55.322033898305129</v>
      </c>
      <c r="S33" s="317">
        <f t="shared" si="87"/>
        <v>12</v>
      </c>
      <c r="T33" s="658"/>
      <c r="U33" s="183">
        <v>21</v>
      </c>
      <c r="V33" s="183">
        <v>1072.2077922077917</v>
      </c>
      <c r="W33" s="183">
        <v>51.057513914656752</v>
      </c>
      <c r="X33" s="520">
        <f t="shared" si="88"/>
        <v>12</v>
      </c>
      <c r="Y33" s="658"/>
      <c r="Z33" s="183">
        <v>20</v>
      </c>
      <c r="AA33" s="183">
        <v>1058.7500000000005</v>
      </c>
      <c r="AB33" s="183">
        <v>52.937500000000021</v>
      </c>
      <c r="AC33" s="520">
        <f t="shared" si="90"/>
        <v>12</v>
      </c>
      <c r="AD33" s="658"/>
      <c r="AE33" s="183">
        <v>20</v>
      </c>
      <c r="AF33" s="183">
        <v>1090.6666666666665</v>
      </c>
      <c r="AG33" s="183">
        <v>54.533333333333324</v>
      </c>
      <c r="AH33" s="520">
        <f t="shared" si="92"/>
        <v>11</v>
      </c>
      <c r="AI33" s="658"/>
      <c r="AJ33" s="183">
        <v>21</v>
      </c>
      <c r="AK33" s="183">
        <v>1094.285714285714</v>
      </c>
      <c r="AL33" s="183">
        <v>52.108843537414955</v>
      </c>
      <c r="AM33" s="520">
        <f t="shared" si="94"/>
        <v>12</v>
      </c>
      <c r="AN33" s="658"/>
      <c r="AO33" s="183">
        <v>20</v>
      </c>
      <c r="AP33" s="183">
        <v>1098.6666666666665</v>
      </c>
      <c r="AQ33" s="183">
        <v>54.933333333333323</v>
      </c>
      <c r="AR33" s="520">
        <f t="shared" si="96"/>
        <v>11</v>
      </c>
      <c r="AS33" s="658"/>
      <c r="AT33" s="183">
        <v>20</v>
      </c>
      <c r="AU33" s="183">
        <v>1070.588235294118</v>
      </c>
      <c r="AV33" s="183">
        <v>53.529411764705898</v>
      </c>
      <c r="AW33" s="520">
        <f t="shared" si="98"/>
        <v>12</v>
      </c>
      <c r="AX33" s="658"/>
    </row>
    <row r="34" spans="2:50">
      <c r="B34" s="627"/>
      <c r="C34" s="317">
        <v>8</v>
      </c>
      <c r="D34" s="228" t="s">
        <v>891</v>
      </c>
      <c r="E34" s="183">
        <v>20</v>
      </c>
      <c r="F34" s="317">
        <v>1177.25</v>
      </c>
      <c r="G34" s="320">
        <v>69.2</v>
      </c>
      <c r="H34" s="662"/>
      <c r="I34" s="443">
        <f t="shared" ref="I34" si="103">AVERAGE(P34,U34,Z34,AE34,AJ34,AO34,AT34)</f>
        <v>19.857142857142858</v>
      </c>
      <c r="J34" s="443">
        <f t="shared" ref="J34" si="104">AVERAGE(Q34,V34,AA34,AF34,AK34,AP34,AU34)</f>
        <v>1078.8752745114871</v>
      </c>
      <c r="K34" s="201">
        <f t="shared" ref="K34" si="105">AVERAGE(R34,W34,AB34,AG34,AL34,AQ34,AV34)</f>
        <v>54.345124269792045</v>
      </c>
      <c r="L34" s="601"/>
      <c r="M34" s="202">
        <f>RANK(K34, K$27:$K$41)</f>
        <v>11</v>
      </c>
      <c r="N34" s="619"/>
      <c r="O34" s="619"/>
      <c r="P34" s="183">
        <v>19</v>
      </c>
      <c r="Q34" s="183">
        <v>1067.6190476190486</v>
      </c>
      <c r="R34" s="183">
        <v>56.19047619047624</v>
      </c>
      <c r="S34" s="317">
        <f t="shared" si="87"/>
        <v>11</v>
      </c>
      <c r="T34" s="658"/>
      <c r="U34" s="183">
        <v>20</v>
      </c>
      <c r="V34" s="183">
        <v>1083.2432432432424</v>
      </c>
      <c r="W34" s="183">
        <v>54.162162162162119</v>
      </c>
      <c r="X34" s="520">
        <f t="shared" si="88"/>
        <v>11</v>
      </c>
      <c r="Y34" s="658"/>
      <c r="Z34" s="183">
        <v>20</v>
      </c>
      <c r="AA34" s="183">
        <v>1103.0769230769226</v>
      </c>
      <c r="AB34" s="183">
        <v>55.153846153846132</v>
      </c>
      <c r="AC34" s="520">
        <f t="shared" si="90"/>
        <v>11</v>
      </c>
      <c r="AD34" s="658"/>
      <c r="AE34" s="183">
        <v>20</v>
      </c>
      <c r="AF34" s="183">
        <v>1089.642857142858</v>
      </c>
      <c r="AG34" s="183">
        <v>54.482142857142904</v>
      </c>
      <c r="AH34" s="520">
        <f t="shared" si="92"/>
        <v>12</v>
      </c>
      <c r="AI34" s="658"/>
      <c r="AJ34" s="183">
        <v>20</v>
      </c>
      <c r="AK34" s="183">
        <v>1079.9999999999998</v>
      </c>
      <c r="AL34" s="183">
        <v>53.999999999999986</v>
      </c>
      <c r="AM34" s="520">
        <f t="shared" si="94"/>
        <v>11</v>
      </c>
      <c r="AN34" s="658"/>
      <c r="AO34" s="183">
        <v>20</v>
      </c>
      <c r="AP34" s="183">
        <v>1045.1162790697672</v>
      </c>
      <c r="AQ34" s="183">
        <v>52.255813953488357</v>
      </c>
      <c r="AR34" s="520">
        <f t="shared" si="96"/>
        <v>12</v>
      </c>
      <c r="AS34" s="658"/>
      <c r="AT34" s="183">
        <v>20</v>
      </c>
      <c r="AU34" s="183">
        <v>1083.4285714285704</v>
      </c>
      <c r="AV34" s="183">
        <v>54.171428571428521</v>
      </c>
      <c r="AW34" s="520">
        <f t="shared" si="98"/>
        <v>11</v>
      </c>
      <c r="AX34" s="658"/>
    </row>
    <row r="35" spans="2:50">
      <c r="B35" s="627"/>
      <c r="C35" s="317">
        <v>9</v>
      </c>
      <c r="D35" s="228" t="s">
        <v>881</v>
      </c>
      <c r="E35" s="183">
        <v>18</v>
      </c>
      <c r="F35" s="317">
        <v>1224</v>
      </c>
      <c r="G35" s="320">
        <v>80</v>
      </c>
      <c r="H35" s="662"/>
      <c r="I35" s="524">
        <f t="shared" ref="I35:I38" si="106">AVERAGE(P35,U35,Z35,AE35,AJ35,AO35,AT35)</f>
        <v>18</v>
      </c>
      <c r="J35" s="524">
        <f t="shared" ref="J35:J38" si="107">AVERAGE(Q35,V35,AA35,AF35,AK35,AP35,AU35)</f>
        <v>1084.130160170916</v>
      </c>
      <c r="K35" s="201">
        <f t="shared" ref="K35:K38" si="108">AVERAGE(R35,W35,AB35,AG35,AL35,AQ35,AV35)</f>
        <v>60.229453342828663</v>
      </c>
      <c r="L35" s="601"/>
      <c r="M35" s="202">
        <f>RANK(K35, K$27:$K$41)</f>
        <v>9</v>
      </c>
      <c r="N35" s="619"/>
      <c r="O35" s="619"/>
      <c r="P35" s="183">
        <v>18</v>
      </c>
      <c r="Q35" s="183">
        <v>1058.7096774193551</v>
      </c>
      <c r="R35" s="183">
        <v>58.817204301075286</v>
      </c>
      <c r="S35" s="317">
        <f t="shared" si="87"/>
        <v>9</v>
      </c>
      <c r="T35" s="658"/>
      <c r="U35" s="183">
        <v>18</v>
      </c>
      <c r="V35" s="183">
        <v>1057.6119402985062</v>
      </c>
      <c r="W35" s="183">
        <v>58.756218905472565</v>
      </c>
      <c r="X35" s="520">
        <f t="shared" si="88"/>
        <v>9</v>
      </c>
      <c r="Y35" s="658"/>
      <c r="Z35" s="183">
        <v>18</v>
      </c>
      <c r="AA35" s="183">
        <v>1095.600000000001</v>
      </c>
      <c r="AB35" s="183">
        <v>60.866666666666724</v>
      </c>
      <c r="AC35" s="520">
        <f t="shared" si="90"/>
        <v>9</v>
      </c>
      <c r="AD35" s="658"/>
      <c r="AE35" s="183">
        <v>18</v>
      </c>
      <c r="AF35" s="183">
        <v>1108.225352112675</v>
      </c>
      <c r="AG35" s="183">
        <v>61.568075117370832</v>
      </c>
      <c r="AH35" s="520">
        <f t="shared" si="92"/>
        <v>8</v>
      </c>
      <c r="AI35" s="658"/>
      <c r="AJ35" s="183">
        <v>18</v>
      </c>
      <c r="AK35" s="183">
        <v>1069.0831168831162</v>
      </c>
      <c r="AL35" s="183">
        <v>59.393506493506457</v>
      </c>
      <c r="AM35" s="520">
        <f t="shared" si="94"/>
        <v>9</v>
      </c>
      <c r="AN35" s="658"/>
      <c r="AO35" s="183">
        <v>18</v>
      </c>
      <c r="AP35" s="183">
        <v>1097.9310344827586</v>
      </c>
      <c r="AQ35" s="183">
        <v>60.996168582375475</v>
      </c>
      <c r="AR35" s="520">
        <f t="shared" si="96"/>
        <v>9</v>
      </c>
      <c r="AS35" s="658"/>
      <c r="AT35" s="183">
        <v>18</v>
      </c>
      <c r="AU35" s="183">
        <v>1101.7499999999995</v>
      </c>
      <c r="AV35" s="183">
        <v>61.208333333333307</v>
      </c>
      <c r="AW35" s="520">
        <f t="shared" si="98"/>
        <v>9</v>
      </c>
      <c r="AX35" s="658"/>
    </row>
    <row r="36" spans="2:50">
      <c r="B36" s="627"/>
      <c r="C36" s="317">
        <v>10</v>
      </c>
      <c r="D36" s="228" t="s">
        <v>883</v>
      </c>
      <c r="E36" s="183">
        <v>18</v>
      </c>
      <c r="F36" s="317">
        <v>1500</v>
      </c>
      <c r="G36" s="320">
        <v>83.3</v>
      </c>
      <c r="H36" s="662"/>
      <c r="I36" s="524">
        <f t="shared" si="106"/>
        <v>18</v>
      </c>
      <c r="J36" s="524">
        <f t="shared" si="107"/>
        <v>1292.4992518502258</v>
      </c>
      <c r="K36" s="201">
        <f t="shared" si="108"/>
        <v>71.80551399167922</v>
      </c>
      <c r="L36" s="601"/>
      <c r="M36" s="202">
        <f>RANK(K36, K$27:$K$41)</f>
        <v>5</v>
      </c>
      <c r="N36" s="619"/>
      <c r="O36" s="619"/>
      <c r="P36" s="183">
        <v>18</v>
      </c>
      <c r="Q36" s="183">
        <v>1288.2178217821781</v>
      </c>
      <c r="R36" s="183">
        <v>71.56765676567656</v>
      </c>
      <c r="S36" s="317">
        <f t="shared" si="87"/>
        <v>6</v>
      </c>
      <c r="T36" s="658"/>
      <c r="U36" s="183">
        <v>18</v>
      </c>
      <c r="V36" s="183">
        <v>1267.53</v>
      </c>
      <c r="W36" s="183">
        <v>70.418333333333337</v>
      </c>
      <c r="X36" s="520">
        <f t="shared" si="88"/>
        <v>7</v>
      </c>
      <c r="Y36" s="658"/>
      <c r="Z36" s="183">
        <v>18</v>
      </c>
      <c r="AA36" s="183">
        <v>1309.231578947368</v>
      </c>
      <c r="AB36" s="183">
        <v>72.735087719298221</v>
      </c>
      <c r="AC36" s="520">
        <f t="shared" si="90"/>
        <v>6</v>
      </c>
      <c r="AD36" s="658"/>
      <c r="AE36" s="183">
        <v>18</v>
      </c>
      <c r="AF36" s="183">
        <v>1310.76</v>
      </c>
      <c r="AG36" s="183">
        <v>72.819999999999993</v>
      </c>
      <c r="AH36" s="520">
        <f t="shared" si="92"/>
        <v>4</v>
      </c>
      <c r="AI36" s="658"/>
      <c r="AJ36" s="183">
        <v>18</v>
      </c>
      <c r="AK36" s="183">
        <v>1310.1682758620684</v>
      </c>
      <c r="AL36" s="183">
        <v>72.787126436781577</v>
      </c>
      <c r="AM36" s="520">
        <f t="shared" si="94"/>
        <v>4</v>
      </c>
      <c r="AN36" s="658"/>
      <c r="AO36" s="183">
        <v>18</v>
      </c>
      <c r="AP36" s="183">
        <v>1285.3966101694914</v>
      </c>
      <c r="AQ36" s="183">
        <v>71.410922787193968</v>
      </c>
      <c r="AR36" s="520">
        <f t="shared" si="96"/>
        <v>5</v>
      </c>
      <c r="AS36" s="658"/>
      <c r="AT36" s="183">
        <v>18</v>
      </c>
      <c r="AU36" s="183">
        <v>1276.1904761904757</v>
      </c>
      <c r="AV36" s="183">
        <v>70.89947089947087</v>
      </c>
      <c r="AW36" s="520">
        <f t="shared" si="98"/>
        <v>5</v>
      </c>
      <c r="AX36" s="658"/>
    </row>
    <row r="37" spans="2:50">
      <c r="B37" s="627"/>
      <c r="C37" s="317">
        <v>11</v>
      </c>
      <c r="D37" s="228" t="s">
        <v>886</v>
      </c>
      <c r="E37" s="183">
        <v>19</v>
      </c>
      <c r="F37" s="317">
        <v>1385</v>
      </c>
      <c r="G37" s="320">
        <v>72.900000000000006</v>
      </c>
      <c r="H37" s="662"/>
      <c r="I37" s="524">
        <f t="shared" si="106"/>
        <v>18.571428571428573</v>
      </c>
      <c r="J37" s="524">
        <f t="shared" si="107"/>
        <v>1294.4644158585513</v>
      </c>
      <c r="K37" s="201">
        <f t="shared" si="108"/>
        <v>69.828569478828413</v>
      </c>
      <c r="L37" s="601"/>
      <c r="M37" s="202">
        <f>RANK(K37, K$27:$K$41)</f>
        <v>7</v>
      </c>
      <c r="N37" s="619"/>
      <c r="O37" s="619"/>
      <c r="P37" s="183">
        <v>19</v>
      </c>
      <c r="Q37" s="183">
        <v>1302.5000000000005</v>
      </c>
      <c r="R37" s="183">
        <v>68.552631578947398</v>
      </c>
      <c r="S37" s="317">
        <f t="shared" si="87"/>
        <v>7</v>
      </c>
      <c r="T37" s="658"/>
      <c r="U37" s="183">
        <v>18</v>
      </c>
      <c r="V37" s="183">
        <v>1288.8888888888896</v>
      </c>
      <c r="W37" s="183">
        <v>71.604938271604979</v>
      </c>
      <c r="X37" s="520">
        <f t="shared" si="88"/>
        <v>5</v>
      </c>
      <c r="Y37" s="658"/>
      <c r="Z37" s="183">
        <v>17</v>
      </c>
      <c r="AA37" s="183">
        <v>1311.9230769230776</v>
      </c>
      <c r="AB37" s="183">
        <v>77.171945701357501</v>
      </c>
      <c r="AC37" s="520">
        <f t="shared" si="90"/>
        <v>3</v>
      </c>
      <c r="AD37" s="658"/>
      <c r="AE37" s="183">
        <v>19</v>
      </c>
      <c r="AF37" s="183">
        <v>1300.3278688524586</v>
      </c>
      <c r="AG37" s="183">
        <v>68.438308886971498</v>
      </c>
      <c r="AH37" s="520">
        <f t="shared" si="92"/>
        <v>7</v>
      </c>
      <c r="AI37" s="658"/>
      <c r="AJ37" s="183">
        <v>19</v>
      </c>
      <c r="AK37" s="183">
        <v>1268.7500000000005</v>
      </c>
      <c r="AL37" s="183">
        <v>66.776315789473713</v>
      </c>
      <c r="AM37" s="520">
        <f t="shared" si="94"/>
        <v>8</v>
      </c>
      <c r="AN37" s="658"/>
      <c r="AO37" s="183">
        <v>19</v>
      </c>
      <c r="AP37" s="183">
        <v>1305.882352941177</v>
      </c>
      <c r="AQ37" s="183">
        <v>68.730650154798795</v>
      </c>
      <c r="AR37" s="520">
        <f t="shared" si="96"/>
        <v>7</v>
      </c>
      <c r="AS37" s="658"/>
      <c r="AT37" s="183">
        <v>19</v>
      </c>
      <c r="AU37" s="183">
        <v>1282.9787234042553</v>
      </c>
      <c r="AV37" s="183">
        <v>67.525195968645022</v>
      </c>
      <c r="AW37" s="520">
        <f t="shared" si="98"/>
        <v>8</v>
      </c>
      <c r="AX37" s="658"/>
    </row>
    <row r="38" spans="2:50">
      <c r="B38" s="627"/>
      <c r="C38" s="317">
        <v>12</v>
      </c>
      <c r="D38" s="228" t="s">
        <v>894</v>
      </c>
      <c r="E38" s="183">
        <v>19</v>
      </c>
      <c r="F38" s="317">
        <v>1177.25</v>
      </c>
      <c r="G38" s="320">
        <v>69.2</v>
      </c>
      <c r="H38" s="662"/>
      <c r="I38" s="524">
        <f t="shared" si="106"/>
        <v>19</v>
      </c>
      <c r="J38" s="524">
        <f t="shared" si="107"/>
        <v>1085.9222191628846</v>
      </c>
      <c r="K38" s="201">
        <f t="shared" si="108"/>
        <v>57.153801008572877</v>
      </c>
      <c r="L38" s="601"/>
      <c r="M38" s="202">
        <f>RANK(K38, K$27:$K$41)</f>
        <v>10</v>
      </c>
      <c r="N38" s="619"/>
      <c r="O38" s="619"/>
      <c r="P38" s="183">
        <v>19</v>
      </c>
      <c r="Q38" s="183">
        <v>1088.1768292682923</v>
      </c>
      <c r="R38" s="183">
        <v>57.27246469833117</v>
      </c>
      <c r="S38" s="317">
        <f t="shared" si="87"/>
        <v>10</v>
      </c>
      <c r="T38" s="658"/>
      <c r="U38" s="183">
        <v>19</v>
      </c>
      <c r="V38" s="183">
        <v>1083.0189473684211</v>
      </c>
      <c r="W38" s="183">
        <v>57.000997229916898</v>
      </c>
      <c r="X38" s="520">
        <f t="shared" si="88"/>
        <v>10</v>
      </c>
      <c r="Y38" s="658"/>
      <c r="Z38" s="183">
        <v>19</v>
      </c>
      <c r="AA38" s="183">
        <v>1101.3906976744183</v>
      </c>
      <c r="AB38" s="183">
        <v>57.967931456548335</v>
      </c>
      <c r="AC38" s="520">
        <f t="shared" si="90"/>
        <v>10</v>
      </c>
      <c r="AD38" s="658"/>
      <c r="AE38" s="183">
        <v>19</v>
      </c>
      <c r="AF38" s="183">
        <v>1068.7846153846169</v>
      </c>
      <c r="AG38" s="183">
        <v>56.251821862348258</v>
      </c>
      <c r="AH38" s="520">
        <f t="shared" si="92"/>
        <v>10</v>
      </c>
      <c r="AI38" s="658"/>
      <c r="AJ38" s="183">
        <v>19</v>
      </c>
      <c r="AK38" s="183">
        <v>1063.5066666666667</v>
      </c>
      <c r="AL38" s="183">
        <v>55.974035087719301</v>
      </c>
      <c r="AM38" s="520">
        <f t="shared" si="94"/>
        <v>10</v>
      </c>
      <c r="AN38" s="658"/>
      <c r="AO38" s="183">
        <v>19</v>
      </c>
      <c r="AP38" s="183">
        <v>1105.744444444445</v>
      </c>
      <c r="AQ38" s="183">
        <v>58.197076023391844</v>
      </c>
      <c r="AR38" s="520">
        <f t="shared" si="96"/>
        <v>10</v>
      </c>
      <c r="AS38" s="658"/>
      <c r="AT38" s="183">
        <v>19</v>
      </c>
      <c r="AU38" s="183">
        <v>1090.8333333333326</v>
      </c>
      <c r="AV38" s="183">
        <v>57.412280701754348</v>
      </c>
      <c r="AW38" s="520">
        <f t="shared" si="98"/>
        <v>10</v>
      </c>
      <c r="AX38" s="658"/>
    </row>
    <row r="39" spans="2:50">
      <c r="B39" s="627"/>
      <c r="C39" s="317">
        <v>13</v>
      </c>
      <c r="D39" s="228"/>
      <c r="E39" s="183"/>
      <c r="F39" s="317"/>
      <c r="G39" s="320"/>
      <c r="H39" s="662"/>
      <c r="I39" s="203"/>
      <c r="J39" s="203"/>
      <c r="K39" s="203"/>
      <c r="L39" s="601"/>
      <c r="M39" s="202" t="e">
        <f>RANK(K39, K$27:$K$41)</f>
        <v>#N/A</v>
      </c>
      <c r="N39" s="619"/>
      <c r="O39" s="619"/>
      <c r="P39" s="183"/>
      <c r="Q39" s="183"/>
      <c r="R39" s="183"/>
      <c r="S39" s="317" t="e">
        <f t="shared" si="87"/>
        <v>#N/A</v>
      </c>
      <c r="T39" s="658"/>
      <c r="U39" s="183"/>
      <c r="V39" s="183"/>
      <c r="W39" s="183"/>
      <c r="X39" s="520" t="e">
        <f t="shared" si="88"/>
        <v>#N/A</v>
      </c>
      <c r="Y39" s="658"/>
      <c r="Z39" s="183"/>
      <c r="AA39" s="183"/>
      <c r="AB39" s="183"/>
      <c r="AC39" s="520" t="e">
        <f t="shared" si="90"/>
        <v>#N/A</v>
      </c>
      <c r="AD39" s="658"/>
      <c r="AE39" s="183"/>
      <c r="AF39" s="183"/>
      <c r="AG39" s="183"/>
      <c r="AH39" s="520" t="e">
        <f t="shared" si="92"/>
        <v>#N/A</v>
      </c>
      <c r="AI39" s="658"/>
      <c r="AJ39" s="183"/>
      <c r="AK39" s="183"/>
      <c r="AL39" s="183"/>
      <c r="AM39" s="520" t="e">
        <f t="shared" si="94"/>
        <v>#N/A</v>
      </c>
      <c r="AN39" s="658"/>
      <c r="AO39" s="183"/>
      <c r="AP39" s="183"/>
      <c r="AQ39" s="183"/>
      <c r="AR39" s="520" t="e">
        <f t="shared" si="96"/>
        <v>#N/A</v>
      </c>
      <c r="AS39" s="658"/>
      <c r="AT39" s="183"/>
      <c r="AU39" s="183"/>
      <c r="AV39" s="183"/>
      <c r="AW39" s="520" t="e">
        <f t="shared" si="98"/>
        <v>#N/A</v>
      </c>
      <c r="AX39" s="658"/>
    </row>
    <row r="40" spans="2:50">
      <c r="B40" s="627"/>
      <c r="C40" s="317">
        <v>14</v>
      </c>
      <c r="D40" s="228"/>
      <c r="E40" s="183"/>
      <c r="F40" s="317"/>
      <c r="G40" s="320"/>
      <c r="H40" s="662"/>
      <c r="I40" s="203"/>
      <c r="J40" s="203"/>
      <c r="K40" s="203"/>
      <c r="L40" s="601"/>
      <c r="M40" s="202" t="e">
        <f>RANK(K40, K$27:$K$41)</f>
        <v>#N/A</v>
      </c>
      <c r="N40" s="619"/>
      <c r="O40" s="619"/>
      <c r="P40" s="183"/>
      <c r="Q40" s="183"/>
      <c r="R40" s="183"/>
      <c r="S40" s="317" t="e">
        <f t="shared" si="87"/>
        <v>#N/A</v>
      </c>
      <c r="T40" s="658"/>
      <c r="U40" s="183"/>
      <c r="V40" s="183"/>
      <c r="W40" s="183"/>
      <c r="X40" s="520" t="e">
        <f t="shared" si="88"/>
        <v>#N/A</v>
      </c>
      <c r="Y40" s="658"/>
      <c r="Z40" s="183"/>
      <c r="AA40" s="183"/>
      <c r="AB40" s="183"/>
      <c r="AC40" s="520" t="e">
        <f t="shared" si="90"/>
        <v>#N/A</v>
      </c>
      <c r="AD40" s="658"/>
      <c r="AE40" s="183"/>
      <c r="AF40" s="183"/>
      <c r="AG40" s="183"/>
      <c r="AH40" s="520" t="e">
        <f t="shared" si="92"/>
        <v>#N/A</v>
      </c>
      <c r="AI40" s="658"/>
      <c r="AJ40" s="183"/>
      <c r="AK40" s="183"/>
      <c r="AL40" s="183"/>
      <c r="AM40" s="520" t="e">
        <f t="shared" si="94"/>
        <v>#N/A</v>
      </c>
      <c r="AN40" s="658"/>
      <c r="AO40" s="183"/>
      <c r="AP40" s="183"/>
      <c r="AQ40" s="183"/>
      <c r="AR40" s="520" t="e">
        <f t="shared" si="96"/>
        <v>#N/A</v>
      </c>
      <c r="AS40" s="658"/>
      <c r="AT40" s="183"/>
      <c r="AU40" s="183"/>
      <c r="AV40" s="183"/>
      <c r="AW40" s="520" t="e">
        <f t="shared" si="98"/>
        <v>#N/A</v>
      </c>
      <c r="AX40" s="658"/>
    </row>
    <row r="41" spans="2:50">
      <c r="B41" s="627"/>
      <c r="C41" s="317">
        <v>15</v>
      </c>
      <c r="D41" s="228"/>
      <c r="E41" s="183"/>
      <c r="F41" s="317"/>
      <c r="G41" s="320"/>
      <c r="H41" s="663"/>
      <c r="I41" s="203"/>
      <c r="J41" s="203"/>
      <c r="K41" s="203"/>
      <c r="L41" s="602"/>
      <c r="M41" s="200" t="e">
        <f>RANK(K41, K$27:$K$41)</f>
        <v>#N/A</v>
      </c>
      <c r="N41" s="619"/>
      <c r="O41" s="619"/>
      <c r="P41" s="183"/>
      <c r="Q41" s="183"/>
      <c r="R41" s="183"/>
      <c r="S41" s="317" t="e">
        <f t="shared" si="87"/>
        <v>#N/A</v>
      </c>
      <c r="T41" s="658"/>
      <c r="U41" s="183"/>
      <c r="V41" s="183"/>
      <c r="W41" s="183"/>
      <c r="X41" s="520" t="e">
        <f t="shared" si="88"/>
        <v>#N/A</v>
      </c>
      <c r="Y41" s="658"/>
      <c r="Z41" s="183"/>
      <c r="AA41" s="183"/>
      <c r="AB41" s="183"/>
      <c r="AC41" s="520" t="e">
        <f t="shared" si="90"/>
        <v>#N/A</v>
      </c>
      <c r="AD41" s="658"/>
      <c r="AE41" s="183"/>
      <c r="AF41" s="183"/>
      <c r="AG41" s="183"/>
      <c r="AH41" s="520" t="e">
        <f t="shared" si="92"/>
        <v>#N/A</v>
      </c>
      <c r="AI41" s="658"/>
      <c r="AJ41" s="183"/>
      <c r="AK41" s="183"/>
      <c r="AL41" s="183"/>
      <c r="AM41" s="520" t="e">
        <f t="shared" si="94"/>
        <v>#N/A</v>
      </c>
      <c r="AN41" s="658"/>
      <c r="AO41" s="183"/>
      <c r="AP41" s="183"/>
      <c r="AQ41" s="183"/>
      <c r="AR41" s="520" t="e">
        <f t="shared" si="96"/>
        <v>#N/A</v>
      </c>
      <c r="AS41" s="658"/>
      <c r="AT41" s="183"/>
      <c r="AU41" s="183"/>
      <c r="AV41" s="183"/>
      <c r="AW41" s="520" t="e">
        <f t="shared" si="98"/>
        <v>#N/A</v>
      </c>
      <c r="AX41" s="658"/>
    </row>
    <row r="42" spans="2:50" ht="15.5">
      <c r="B42" s="644" t="s">
        <v>163</v>
      </c>
      <c r="C42" s="645"/>
      <c r="D42" s="645"/>
      <c r="E42" s="645"/>
      <c r="F42" s="645"/>
      <c r="G42" s="645"/>
      <c r="H42" s="645"/>
      <c r="I42" s="209"/>
      <c r="J42" s="204"/>
      <c r="K42" s="209"/>
      <c r="L42" s="209"/>
      <c r="M42" s="205"/>
      <c r="N42" s="620" t="s">
        <v>156</v>
      </c>
      <c r="O42" s="620" t="s">
        <v>105</v>
      </c>
      <c r="P42" s="626">
        <f>P22+7</f>
        <v>46000</v>
      </c>
      <c r="Q42" s="627"/>
      <c r="R42" s="627"/>
      <c r="S42" s="627"/>
      <c r="T42" s="627"/>
      <c r="U42" s="623">
        <f>P42+1</f>
        <v>46001</v>
      </c>
      <c r="V42" s="624"/>
      <c r="W42" s="624"/>
      <c r="X42" s="624"/>
      <c r="Y42" s="625"/>
      <c r="Z42" s="623">
        <f>U42+1</f>
        <v>46002</v>
      </c>
      <c r="AA42" s="624"/>
      <c r="AB42" s="624"/>
      <c r="AC42" s="624"/>
      <c r="AD42" s="625"/>
      <c r="AE42" s="623">
        <f>Z42+1</f>
        <v>46003</v>
      </c>
      <c r="AF42" s="624"/>
      <c r="AG42" s="624"/>
      <c r="AH42" s="624"/>
      <c r="AI42" s="625"/>
      <c r="AJ42" s="623">
        <f>AE42+1</f>
        <v>46004</v>
      </c>
      <c r="AK42" s="624"/>
      <c r="AL42" s="624"/>
      <c r="AM42" s="624"/>
      <c r="AN42" s="625"/>
      <c r="AO42" s="623">
        <f>AJ42+1</f>
        <v>46005</v>
      </c>
      <c r="AP42" s="624"/>
      <c r="AQ42" s="624"/>
      <c r="AR42" s="624"/>
      <c r="AS42" s="625"/>
      <c r="AT42" s="623">
        <f>AO42+1</f>
        <v>46006</v>
      </c>
      <c r="AU42" s="624"/>
      <c r="AV42" s="624"/>
      <c r="AW42" s="624"/>
      <c r="AX42" s="625"/>
    </row>
    <row r="43" spans="2:50" ht="15.5">
      <c r="B43" s="634"/>
      <c r="C43" s="634"/>
      <c r="D43" s="634"/>
      <c r="E43" s="634"/>
      <c r="F43" s="634"/>
      <c r="G43" s="634"/>
      <c r="H43" s="634"/>
      <c r="I43" s="206"/>
      <c r="J43" s="206"/>
      <c r="K43" s="206"/>
      <c r="L43" s="206"/>
      <c r="M43" s="207"/>
      <c r="N43" s="622"/>
      <c r="O43" s="622"/>
      <c r="P43" s="626" t="s">
        <v>336</v>
      </c>
      <c r="Q43" s="627"/>
      <c r="R43" s="627"/>
      <c r="S43" s="627"/>
      <c r="T43" s="627"/>
      <c r="U43" s="626" t="s">
        <v>337</v>
      </c>
      <c r="V43" s="627"/>
      <c r="W43" s="627"/>
      <c r="X43" s="627"/>
      <c r="Y43" s="627"/>
      <c r="Z43" s="626" t="s">
        <v>338</v>
      </c>
      <c r="AA43" s="627"/>
      <c r="AB43" s="627"/>
      <c r="AC43" s="627"/>
      <c r="AD43" s="627"/>
      <c r="AE43" s="626" t="s">
        <v>339</v>
      </c>
      <c r="AF43" s="627"/>
      <c r="AG43" s="627"/>
      <c r="AH43" s="627"/>
      <c r="AI43" s="627"/>
      <c r="AJ43" s="626" t="s">
        <v>340</v>
      </c>
      <c r="AK43" s="627"/>
      <c r="AL43" s="627"/>
      <c r="AM43" s="627"/>
      <c r="AN43" s="627"/>
      <c r="AO43" s="626" t="s">
        <v>341</v>
      </c>
      <c r="AP43" s="627"/>
      <c r="AQ43" s="627"/>
      <c r="AR43" s="627"/>
      <c r="AS43" s="627"/>
      <c r="AT43" s="626" t="s">
        <v>342</v>
      </c>
      <c r="AU43" s="627"/>
      <c r="AV43" s="627"/>
      <c r="AW43" s="627"/>
      <c r="AX43" s="627"/>
    </row>
    <row r="44" spans="2:50">
      <c r="B44" s="619" t="s">
        <v>443</v>
      </c>
      <c r="C44" s="619" t="s">
        <v>453</v>
      </c>
      <c r="D44" s="619"/>
      <c r="E44" s="619" t="s">
        <v>444</v>
      </c>
      <c r="F44" s="619"/>
      <c r="G44" s="619"/>
      <c r="H44" s="635" t="s">
        <v>440</v>
      </c>
      <c r="I44" s="603" t="s">
        <v>445</v>
      </c>
      <c r="J44" s="603"/>
      <c r="K44" s="603"/>
      <c r="L44" s="604" t="s">
        <v>440</v>
      </c>
      <c r="M44" s="610" t="s">
        <v>441</v>
      </c>
      <c r="N44" s="619"/>
      <c r="O44" s="619" t="s">
        <v>446</v>
      </c>
      <c r="P44" s="616" t="s">
        <v>442</v>
      </c>
      <c r="Q44" s="617"/>
      <c r="R44" s="617"/>
      <c r="S44" s="618"/>
      <c r="T44" s="619" t="s">
        <v>440</v>
      </c>
      <c r="U44" s="616" t="s">
        <v>442</v>
      </c>
      <c r="V44" s="617"/>
      <c r="W44" s="617"/>
      <c r="X44" s="618"/>
      <c r="Y44" s="619" t="s">
        <v>440</v>
      </c>
      <c r="Z44" s="616" t="s">
        <v>442</v>
      </c>
      <c r="AA44" s="617"/>
      <c r="AB44" s="617"/>
      <c r="AC44" s="618"/>
      <c r="AD44" s="619" t="s">
        <v>440</v>
      </c>
      <c r="AE44" s="616" t="s">
        <v>442</v>
      </c>
      <c r="AF44" s="617"/>
      <c r="AG44" s="617"/>
      <c r="AH44" s="618"/>
      <c r="AI44" s="619" t="s">
        <v>440</v>
      </c>
      <c r="AJ44" s="616" t="s">
        <v>442</v>
      </c>
      <c r="AK44" s="617"/>
      <c r="AL44" s="617"/>
      <c r="AM44" s="618"/>
      <c r="AN44" s="619" t="s">
        <v>440</v>
      </c>
      <c r="AO44" s="616" t="s">
        <v>442</v>
      </c>
      <c r="AP44" s="617"/>
      <c r="AQ44" s="617"/>
      <c r="AR44" s="618"/>
      <c r="AS44" s="619" t="s">
        <v>440</v>
      </c>
      <c r="AT44" s="616" t="s">
        <v>442</v>
      </c>
      <c r="AU44" s="617"/>
      <c r="AV44" s="617"/>
      <c r="AW44" s="618"/>
      <c r="AX44" s="619" t="s">
        <v>440</v>
      </c>
    </row>
    <row r="45" spans="2:50">
      <c r="B45" s="619"/>
      <c r="C45" s="619"/>
      <c r="D45" s="619"/>
      <c r="E45" s="619" t="s">
        <v>447</v>
      </c>
      <c r="F45" s="619"/>
      <c r="G45" s="619"/>
      <c r="H45" s="636"/>
      <c r="I45" s="603" t="s">
        <v>447</v>
      </c>
      <c r="J45" s="603"/>
      <c r="K45" s="603"/>
      <c r="L45" s="605"/>
      <c r="M45" s="611"/>
      <c r="N45" s="619"/>
      <c r="O45" s="619"/>
      <c r="P45" s="616" t="s">
        <v>448</v>
      </c>
      <c r="Q45" s="617"/>
      <c r="R45" s="617"/>
      <c r="S45" s="618"/>
      <c r="T45" s="619"/>
      <c r="U45" s="616" t="s">
        <v>448</v>
      </c>
      <c r="V45" s="617"/>
      <c r="W45" s="617"/>
      <c r="X45" s="618"/>
      <c r="Y45" s="619"/>
      <c r="Z45" s="616" t="s">
        <v>448</v>
      </c>
      <c r="AA45" s="617"/>
      <c r="AB45" s="617"/>
      <c r="AC45" s="618"/>
      <c r="AD45" s="619"/>
      <c r="AE45" s="616" t="s">
        <v>448</v>
      </c>
      <c r="AF45" s="617"/>
      <c r="AG45" s="617"/>
      <c r="AH45" s="618"/>
      <c r="AI45" s="619"/>
      <c r="AJ45" s="616" t="s">
        <v>448</v>
      </c>
      <c r="AK45" s="617"/>
      <c r="AL45" s="617"/>
      <c r="AM45" s="618"/>
      <c r="AN45" s="619"/>
      <c r="AO45" s="616" t="s">
        <v>448</v>
      </c>
      <c r="AP45" s="617"/>
      <c r="AQ45" s="617"/>
      <c r="AR45" s="618"/>
      <c r="AS45" s="619"/>
      <c r="AT45" s="616" t="s">
        <v>448</v>
      </c>
      <c r="AU45" s="617"/>
      <c r="AV45" s="617"/>
      <c r="AW45" s="618"/>
      <c r="AX45" s="619"/>
    </row>
    <row r="46" spans="2:50">
      <c r="B46" s="619"/>
      <c r="C46" s="619"/>
      <c r="D46" s="619"/>
      <c r="E46" s="316" t="s">
        <v>449</v>
      </c>
      <c r="F46" s="316" t="s">
        <v>450</v>
      </c>
      <c r="G46" s="316" t="s">
        <v>451</v>
      </c>
      <c r="H46" s="637"/>
      <c r="I46" s="315" t="s">
        <v>449</v>
      </c>
      <c r="J46" s="315" t="s">
        <v>450</v>
      </c>
      <c r="K46" s="315" t="s">
        <v>451</v>
      </c>
      <c r="L46" s="606"/>
      <c r="M46" s="612"/>
      <c r="N46" s="619"/>
      <c r="O46" s="619"/>
      <c r="P46" s="316" t="s">
        <v>449</v>
      </c>
      <c r="Q46" s="316" t="s">
        <v>450</v>
      </c>
      <c r="R46" s="316" t="s">
        <v>451</v>
      </c>
      <c r="S46" s="316" t="s">
        <v>441</v>
      </c>
      <c r="T46" s="619"/>
      <c r="U46" s="316" t="s">
        <v>449</v>
      </c>
      <c r="V46" s="316" t="s">
        <v>450</v>
      </c>
      <c r="W46" s="316" t="s">
        <v>451</v>
      </c>
      <c r="X46" s="316" t="s">
        <v>441</v>
      </c>
      <c r="Y46" s="619"/>
      <c r="Z46" s="316" t="s">
        <v>449</v>
      </c>
      <c r="AA46" s="316" t="s">
        <v>450</v>
      </c>
      <c r="AB46" s="316" t="s">
        <v>451</v>
      </c>
      <c r="AC46" s="316" t="s">
        <v>441</v>
      </c>
      <c r="AD46" s="619"/>
      <c r="AE46" s="316" t="s">
        <v>449</v>
      </c>
      <c r="AF46" s="316" t="s">
        <v>450</v>
      </c>
      <c r="AG46" s="316" t="s">
        <v>451</v>
      </c>
      <c r="AH46" s="316" t="s">
        <v>441</v>
      </c>
      <c r="AI46" s="619"/>
      <c r="AJ46" s="316" t="s">
        <v>449</v>
      </c>
      <c r="AK46" s="316" t="s">
        <v>450</v>
      </c>
      <c r="AL46" s="316" t="s">
        <v>451</v>
      </c>
      <c r="AM46" s="316" t="s">
        <v>441</v>
      </c>
      <c r="AN46" s="619"/>
      <c r="AO46" s="316" t="s">
        <v>449</v>
      </c>
      <c r="AP46" s="316" t="s">
        <v>450</v>
      </c>
      <c r="AQ46" s="316" t="s">
        <v>451</v>
      </c>
      <c r="AR46" s="316" t="s">
        <v>441</v>
      </c>
      <c r="AS46" s="619"/>
      <c r="AT46" s="316" t="s">
        <v>449</v>
      </c>
      <c r="AU46" s="316" t="s">
        <v>450</v>
      </c>
      <c r="AV46" s="316" t="s">
        <v>451</v>
      </c>
      <c r="AW46" s="316" t="s">
        <v>441</v>
      </c>
      <c r="AX46" s="619"/>
    </row>
    <row r="47" spans="2:50">
      <c r="B47" s="619" t="s">
        <v>455</v>
      </c>
      <c r="C47" s="317">
        <v>1</v>
      </c>
      <c r="D47" s="228" t="s">
        <v>395</v>
      </c>
      <c r="E47" s="183">
        <v>19</v>
      </c>
      <c r="F47" s="470">
        <v>1636</v>
      </c>
      <c r="G47" s="471">
        <v>86.1</v>
      </c>
      <c r="H47" s="661">
        <f>AVERAGE(G47:G61)</f>
        <v>82.924999999999997</v>
      </c>
      <c r="I47" s="200">
        <f>AVERAGE(P47,U47,Z47,AE47,AJ47,AO47,AT47)</f>
        <v>18</v>
      </c>
      <c r="J47" s="200">
        <f>AVERAGE(Q47,V47,AA47,AF47,AK47,AP47,AU47)</f>
        <v>1450.4694270999319</v>
      </c>
      <c r="K47" s="201">
        <f>AVERAGE(R47,W47,AB47,AG47,AL47,AQ47,AV47)</f>
        <v>80.581634838885094</v>
      </c>
      <c r="L47" s="600">
        <f>IFERROR(AVERAGE(K47:K61),"-")</f>
        <v>72.012196823216144</v>
      </c>
      <c r="M47" s="202">
        <f>RANK(K47, K$47:$K$61)</f>
        <v>4</v>
      </c>
      <c r="N47" s="619"/>
      <c r="O47" s="619"/>
      <c r="P47" s="183">
        <v>18</v>
      </c>
      <c r="Q47" s="183">
        <v>1441.2244897959181</v>
      </c>
      <c r="R47" s="183">
        <v>80.068027210884338</v>
      </c>
      <c r="S47" s="317">
        <f>RANK(R47, R$47:R$61)</f>
        <v>4</v>
      </c>
      <c r="T47" s="658">
        <f>AVERAGE(R47:R61)</f>
        <v>72.353174518591615</v>
      </c>
      <c r="U47" s="183">
        <v>18</v>
      </c>
      <c r="V47" s="183">
        <v>1432</v>
      </c>
      <c r="W47" s="183">
        <v>79.555555555555557</v>
      </c>
      <c r="X47" s="520">
        <f t="shared" ref="X47:X61" si="109">RANK(W47, W$47:W$61)</f>
        <v>4</v>
      </c>
      <c r="Y47" s="658">
        <f t="shared" ref="Y47" si="110">AVERAGE(W47:W61)</f>
        <v>72.491292755571592</v>
      </c>
      <c r="Z47" s="183">
        <v>18</v>
      </c>
      <c r="AA47" s="183">
        <v>1439.3333333333333</v>
      </c>
      <c r="AB47" s="183">
        <v>79.962962962962962</v>
      </c>
      <c r="AC47" s="520">
        <f t="shared" ref="AC47:AC61" si="111">RANK(AB47, AB$47:AB$61)</f>
        <v>4</v>
      </c>
      <c r="AD47" s="658">
        <f t="shared" ref="AD47" si="112">AVERAGE(AB47:AB61)</f>
        <v>73.574210904183261</v>
      </c>
      <c r="AE47" s="183">
        <v>18</v>
      </c>
      <c r="AF47" s="183">
        <v>1449.4285714285718</v>
      </c>
      <c r="AG47" s="183">
        <v>80.523809523809547</v>
      </c>
      <c r="AH47" s="520">
        <f t="shared" ref="AH47:AH61" si="113">RANK(AG47, AG$47:AG$61)</f>
        <v>4</v>
      </c>
      <c r="AI47" s="658">
        <f t="shared" ref="AI47" si="114">AVERAGE(AG47:AG61)</f>
        <v>69.69378381933862</v>
      </c>
      <c r="AJ47" s="183">
        <v>18</v>
      </c>
      <c r="AK47" s="183">
        <v>1439.2857142857144</v>
      </c>
      <c r="AL47" s="183">
        <v>79.960317460317469</v>
      </c>
      <c r="AM47" s="520">
        <f t="shared" ref="AM47:AM61" si="115">RANK(AL47, AL$47:AL$61)</f>
        <v>3</v>
      </c>
      <c r="AN47" s="658">
        <f t="shared" ref="AN47" si="116">AVERAGE(AL47:AL61)</f>
        <v>71.93369865460032</v>
      </c>
      <c r="AO47" s="183">
        <v>18</v>
      </c>
      <c r="AP47" s="183">
        <v>1470.3296703296705</v>
      </c>
      <c r="AQ47" s="183">
        <v>81.684981684981693</v>
      </c>
      <c r="AR47" s="520">
        <f t="shared" ref="AR47:AR61" si="117">RANK(AQ47, AQ$47:AQ$61)</f>
        <v>4</v>
      </c>
      <c r="AS47" s="658">
        <f t="shared" ref="AS47" si="118">AVERAGE(AQ47:AQ61)</f>
        <v>74.845525533568932</v>
      </c>
      <c r="AT47" s="183">
        <v>18</v>
      </c>
      <c r="AU47" s="183">
        <v>1481.6842105263154</v>
      </c>
      <c r="AV47" s="183">
        <v>82.315789473684191</v>
      </c>
      <c r="AW47" s="520">
        <f t="shared" ref="AW47:AW61" si="119">RANK(AV47, AV$47:AV$61)</f>
        <v>3</v>
      </c>
      <c r="AX47" s="658">
        <f t="shared" ref="AX47" si="120">AVERAGE(AV47:AV61)</f>
        <v>73.373067672003287</v>
      </c>
    </row>
    <row r="48" spans="2:50">
      <c r="B48" s="627"/>
      <c r="C48" s="317">
        <v>2</v>
      </c>
      <c r="D48" s="228" t="s">
        <v>349</v>
      </c>
      <c r="E48" s="183">
        <v>18</v>
      </c>
      <c r="F48" s="470">
        <v>1636</v>
      </c>
      <c r="G48" s="471">
        <v>90.9</v>
      </c>
      <c r="H48" s="662"/>
      <c r="I48" s="200">
        <f t="shared" ref="I48:I53" si="121">AVERAGE(P48,U48,Z48,AE48,AJ48,AO48,AT48)</f>
        <v>17.857142857142858</v>
      </c>
      <c r="J48" s="200">
        <f t="shared" ref="J48:J53" si="122">AVERAGE(Q48,V48,AA48,AF48,AK48,AP48,AU48)</f>
        <v>1461.7207594141494</v>
      </c>
      <c r="K48" s="201">
        <f t="shared" ref="K48:K53" si="123">AVERAGE(R48,W48,AB48,AG48,AL48,AQ48,AV48)</f>
        <v>81.877386218195468</v>
      </c>
      <c r="L48" s="601"/>
      <c r="M48" s="202">
        <f>RANK(K48, K$47:$K$61)</f>
        <v>3</v>
      </c>
      <c r="N48" s="619"/>
      <c r="O48" s="619"/>
      <c r="P48" s="183">
        <v>18</v>
      </c>
      <c r="Q48" s="183">
        <v>1449.2760736196319</v>
      </c>
      <c r="R48" s="183">
        <v>80.515337423312886</v>
      </c>
      <c r="S48" s="343">
        <f t="shared" ref="S48:S61" si="124">RANK(R48, R$47:R$61)</f>
        <v>3</v>
      </c>
      <c r="T48" s="658"/>
      <c r="U48" s="183">
        <v>18</v>
      </c>
      <c r="V48" s="183">
        <v>1484.7417218543046</v>
      </c>
      <c r="W48" s="183">
        <v>82.48565121412804</v>
      </c>
      <c r="X48" s="520">
        <f t="shared" si="109"/>
        <v>3</v>
      </c>
      <c r="Y48" s="658"/>
      <c r="Z48" s="183">
        <v>18</v>
      </c>
      <c r="AA48" s="183">
        <v>1476.0434782608691</v>
      </c>
      <c r="AB48" s="183">
        <v>82.002415458937165</v>
      </c>
      <c r="AC48" s="520">
        <f t="shared" si="111"/>
        <v>3</v>
      </c>
      <c r="AD48" s="658"/>
      <c r="AE48" s="183">
        <v>17</v>
      </c>
      <c r="AF48" s="183">
        <v>1436.5909090909097</v>
      </c>
      <c r="AG48" s="183">
        <v>84.505347593582925</v>
      </c>
      <c r="AH48" s="520">
        <f t="shared" si="113"/>
        <v>2</v>
      </c>
      <c r="AI48" s="658"/>
      <c r="AJ48" s="183">
        <v>18</v>
      </c>
      <c r="AK48" s="183">
        <v>1438.304895104895</v>
      </c>
      <c r="AL48" s="183">
        <v>79.905827505827503</v>
      </c>
      <c r="AM48" s="520">
        <f t="shared" si="115"/>
        <v>4</v>
      </c>
      <c r="AN48" s="658"/>
      <c r="AO48" s="183">
        <v>18</v>
      </c>
      <c r="AP48" s="183">
        <v>1478.4269662921351</v>
      </c>
      <c r="AQ48" s="183">
        <v>82.134831460674178</v>
      </c>
      <c r="AR48" s="520">
        <f t="shared" si="117"/>
        <v>3</v>
      </c>
      <c r="AS48" s="658"/>
      <c r="AT48" s="183">
        <v>18</v>
      </c>
      <c r="AU48" s="183">
        <v>1468.6612716763009</v>
      </c>
      <c r="AV48" s="183">
        <v>81.592292870905609</v>
      </c>
      <c r="AW48" s="520">
        <f t="shared" si="119"/>
        <v>4</v>
      </c>
      <c r="AX48" s="658"/>
    </row>
    <row r="49" spans="2:50">
      <c r="B49" s="627"/>
      <c r="C49" s="317">
        <v>3</v>
      </c>
      <c r="D49" s="228" t="s">
        <v>828</v>
      </c>
      <c r="E49" s="183">
        <v>14</v>
      </c>
      <c r="F49" s="470">
        <v>1500</v>
      </c>
      <c r="G49" s="471">
        <v>107.1</v>
      </c>
      <c r="H49" s="662"/>
      <c r="I49" s="200">
        <f t="shared" si="121"/>
        <v>12.285714285714286</v>
      </c>
      <c r="J49" s="200">
        <f t="shared" si="122"/>
        <v>1293.7857992402096</v>
      </c>
      <c r="K49" s="201">
        <f t="shared" si="123"/>
        <v>105.38750828447668</v>
      </c>
      <c r="L49" s="601"/>
      <c r="M49" s="202">
        <f>RANK(K49, K$47:$K$61)</f>
        <v>1</v>
      </c>
      <c r="N49" s="619"/>
      <c r="O49" s="619"/>
      <c r="P49" s="183">
        <v>12</v>
      </c>
      <c r="Q49" s="183">
        <v>1301.8181818181831</v>
      </c>
      <c r="R49" s="183">
        <v>108.4848484848486</v>
      </c>
      <c r="S49" s="343">
        <f t="shared" si="124"/>
        <v>1</v>
      </c>
      <c r="T49" s="658"/>
      <c r="U49" s="183">
        <v>12</v>
      </c>
      <c r="V49" s="183">
        <v>1320.0000000000016</v>
      </c>
      <c r="W49" s="183">
        <v>110.00000000000013</v>
      </c>
      <c r="X49" s="520">
        <f t="shared" si="109"/>
        <v>1</v>
      </c>
      <c r="Y49" s="658"/>
      <c r="Z49" s="183">
        <v>12</v>
      </c>
      <c r="AA49" s="183">
        <v>1333.1250000000016</v>
      </c>
      <c r="AB49" s="183">
        <v>111.09375000000013</v>
      </c>
      <c r="AC49" s="520">
        <f t="shared" si="111"/>
        <v>1</v>
      </c>
      <c r="AD49" s="658"/>
      <c r="AE49" s="183">
        <v>12</v>
      </c>
      <c r="AF49" s="183">
        <v>1109.0322580645172</v>
      </c>
      <c r="AG49" s="183">
        <v>92.419354838709765</v>
      </c>
      <c r="AH49" s="520">
        <f t="shared" si="113"/>
        <v>1</v>
      </c>
      <c r="AI49" s="658"/>
      <c r="AJ49" s="183">
        <v>13</v>
      </c>
      <c r="AK49" s="183">
        <v>1321.8750000000016</v>
      </c>
      <c r="AL49" s="183">
        <v>101.68269230769243</v>
      </c>
      <c r="AM49" s="520">
        <f t="shared" si="115"/>
        <v>1</v>
      </c>
      <c r="AN49" s="658"/>
      <c r="AO49" s="183">
        <v>12</v>
      </c>
      <c r="AP49" s="183">
        <v>1341.176470588237</v>
      </c>
      <c r="AQ49" s="183">
        <v>111.76470588235308</v>
      </c>
      <c r="AR49" s="520">
        <f t="shared" si="117"/>
        <v>1</v>
      </c>
      <c r="AS49" s="658"/>
      <c r="AT49" s="183">
        <v>13</v>
      </c>
      <c r="AU49" s="183">
        <v>1329.4736842105253</v>
      </c>
      <c r="AV49" s="183">
        <v>102.26720647773271</v>
      </c>
      <c r="AW49" s="520">
        <f t="shared" si="119"/>
        <v>1</v>
      </c>
      <c r="AX49" s="658"/>
    </row>
    <row r="50" spans="2:50">
      <c r="B50" s="627"/>
      <c r="C50" s="317">
        <v>4</v>
      </c>
      <c r="D50" s="228" t="s">
        <v>664</v>
      </c>
      <c r="E50" s="183">
        <v>18</v>
      </c>
      <c r="F50" s="470">
        <v>1636</v>
      </c>
      <c r="G50" s="471">
        <v>90.9</v>
      </c>
      <c r="H50" s="662"/>
      <c r="I50" s="200">
        <f t="shared" si="121"/>
        <v>17.285714285714285</v>
      </c>
      <c r="J50" s="200">
        <f t="shared" si="122"/>
        <v>1452.1584068808122</v>
      </c>
      <c r="K50" s="201">
        <f t="shared" si="123"/>
        <v>84.066415890948136</v>
      </c>
      <c r="L50" s="601"/>
      <c r="M50" s="202">
        <f>RANK(K50, K$47:$K$61)</f>
        <v>2</v>
      </c>
      <c r="N50" s="619"/>
      <c r="O50" s="619"/>
      <c r="P50" s="183">
        <v>17</v>
      </c>
      <c r="Q50" s="183">
        <v>1466.8085106382969</v>
      </c>
      <c r="R50" s="183">
        <v>86.282853566958636</v>
      </c>
      <c r="S50" s="343">
        <f t="shared" si="124"/>
        <v>2</v>
      </c>
      <c r="T50" s="658"/>
      <c r="U50" s="183">
        <v>17</v>
      </c>
      <c r="V50" s="183">
        <v>1422.5000000000005</v>
      </c>
      <c r="W50" s="183">
        <v>83.676470588235318</v>
      </c>
      <c r="X50" s="520">
        <f t="shared" si="109"/>
        <v>2</v>
      </c>
      <c r="Y50" s="658"/>
      <c r="Z50" s="183">
        <v>17</v>
      </c>
      <c r="AA50" s="183">
        <v>1463.7209302325577</v>
      </c>
      <c r="AB50" s="183">
        <v>86.101231190150457</v>
      </c>
      <c r="AC50" s="520">
        <f t="shared" si="111"/>
        <v>2</v>
      </c>
      <c r="AD50" s="658"/>
      <c r="AE50" s="183">
        <v>18</v>
      </c>
      <c r="AF50" s="183">
        <v>1453.1249999999995</v>
      </c>
      <c r="AG50" s="183">
        <v>80.729166666666643</v>
      </c>
      <c r="AH50" s="520">
        <f t="shared" si="113"/>
        <v>3</v>
      </c>
      <c r="AI50" s="658"/>
      <c r="AJ50" s="183">
        <v>18</v>
      </c>
      <c r="AK50" s="183">
        <v>1448.5714285714296</v>
      </c>
      <c r="AL50" s="183">
        <v>80.476190476190538</v>
      </c>
      <c r="AM50" s="520">
        <f t="shared" si="115"/>
        <v>2</v>
      </c>
      <c r="AN50" s="658"/>
      <c r="AO50" s="183">
        <v>17</v>
      </c>
      <c r="AP50" s="183">
        <v>1463.9999999999995</v>
      </c>
      <c r="AQ50" s="183">
        <v>86.117647058823508</v>
      </c>
      <c r="AR50" s="520">
        <f t="shared" si="117"/>
        <v>2</v>
      </c>
      <c r="AS50" s="658"/>
      <c r="AT50" s="183">
        <v>17</v>
      </c>
      <c r="AU50" s="183">
        <v>1446.3829787234031</v>
      </c>
      <c r="AV50" s="183">
        <v>85.081351689611949</v>
      </c>
      <c r="AW50" s="520">
        <f t="shared" si="119"/>
        <v>2</v>
      </c>
      <c r="AX50" s="658"/>
    </row>
    <row r="51" spans="2:50">
      <c r="B51" s="627"/>
      <c r="C51" s="317">
        <v>5</v>
      </c>
      <c r="D51" s="228" t="s">
        <v>869</v>
      </c>
      <c r="E51" s="183">
        <v>18</v>
      </c>
      <c r="F51" s="470">
        <v>1500</v>
      </c>
      <c r="G51" s="471">
        <v>83.3</v>
      </c>
      <c r="H51" s="662"/>
      <c r="I51" s="200">
        <f t="shared" si="121"/>
        <v>17.714285714285715</v>
      </c>
      <c r="J51" s="200">
        <f t="shared" si="122"/>
        <v>1321.6373863808076</v>
      </c>
      <c r="K51" s="201">
        <f t="shared" si="123"/>
        <v>74.645607211009704</v>
      </c>
      <c r="L51" s="601"/>
      <c r="M51" s="202">
        <f>RANK(K51, K$47:$K$61)</f>
        <v>7</v>
      </c>
      <c r="N51" s="619"/>
      <c r="O51" s="619"/>
      <c r="P51" s="183">
        <v>18</v>
      </c>
      <c r="Q51" s="183">
        <v>1328.9999999999995</v>
      </c>
      <c r="R51" s="183">
        <v>73.833333333333314</v>
      </c>
      <c r="S51" s="343">
        <f t="shared" si="124"/>
        <v>6</v>
      </c>
      <c r="T51" s="658"/>
      <c r="U51" s="183">
        <v>18</v>
      </c>
      <c r="V51" s="183">
        <v>1336.9230769230762</v>
      </c>
      <c r="W51" s="183">
        <v>74.27350427350423</v>
      </c>
      <c r="X51" s="520">
        <f t="shared" si="109"/>
        <v>6</v>
      </c>
      <c r="Y51" s="658"/>
      <c r="Z51" s="183">
        <v>18</v>
      </c>
      <c r="AA51" s="183">
        <v>1342.7027027027016</v>
      </c>
      <c r="AB51" s="183">
        <v>74.594594594594525</v>
      </c>
      <c r="AC51" s="520">
        <f t="shared" si="111"/>
        <v>7</v>
      </c>
      <c r="AD51" s="658"/>
      <c r="AE51" s="183">
        <v>18</v>
      </c>
      <c r="AF51" s="183">
        <v>1303.6363636363651</v>
      </c>
      <c r="AG51" s="183">
        <v>72.424242424242507</v>
      </c>
      <c r="AH51" s="520">
        <f t="shared" si="113"/>
        <v>7</v>
      </c>
      <c r="AI51" s="658"/>
      <c r="AJ51" s="183">
        <v>17</v>
      </c>
      <c r="AK51" s="183">
        <v>1314.3750000000016</v>
      </c>
      <c r="AL51" s="183">
        <v>77.316176470588331</v>
      </c>
      <c r="AM51" s="520">
        <f t="shared" si="115"/>
        <v>5</v>
      </c>
      <c r="AN51" s="658"/>
      <c r="AO51" s="183">
        <v>17</v>
      </c>
      <c r="AP51" s="183">
        <v>1301.6666666666656</v>
      </c>
      <c r="AQ51" s="183">
        <v>76.56862745098033</v>
      </c>
      <c r="AR51" s="520">
        <f t="shared" si="117"/>
        <v>6</v>
      </c>
      <c r="AS51" s="658"/>
      <c r="AT51" s="183">
        <v>18</v>
      </c>
      <c r="AU51" s="183">
        <v>1323.1578947368441</v>
      </c>
      <c r="AV51" s="183">
        <v>73.508771929824675</v>
      </c>
      <c r="AW51" s="520">
        <f t="shared" si="119"/>
        <v>7</v>
      </c>
      <c r="AX51" s="658"/>
    </row>
    <row r="52" spans="2:50">
      <c r="B52" s="627"/>
      <c r="C52" s="317">
        <v>6</v>
      </c>
      <c r="D52" s="228" t="s">
        <v>875</v>
      </c>
      <c r="E52" s="183">
        <v>21</v>
      </c>
      <c r="F52" s="470">
        <v>1177.25</v>
      </c>
      <c r="G52" s="471">
        <v>65.900000000000006</v>
      </c>
      <c r="H52" s="662"/>
      <c r="I52" s="200">
        <f t="shared" si="121"/>
        <v>20</v>
      </c>
      <c r="J52" s="200">
        <f t="shared" si="122"/>
        <v>1059.0707148552779</v>
      </c>
      <c r="K52" s="201">
        <f t="shared" si="123"/>
        <v>52.953535742763883</v>
      </c>
      <c r="L52" s="601"/>
      <c r="M52" s="202">
        <f>RANK(K52, K$47:$K$61)</f>
        <v>11</v>
      </c>
      <c r="N52" s="619"/>
      <c r="O52" s="619"/>
      <c r="P52" s="183">
        <v>20</v>
      </c>
      <c r="Q52" s="183">
        <v>1081.2500000000005</v>
      </c>
      <c r="R52" s="183">
        <v>54.062500000000021</v>
      </c>
      <c r="S52" s="343">
        <f t="shared" si="124"/>
        <v>10</v>
      </c>
      <c r="T52" s="658"/>
      <c r="U52" s="183">
        <v>20</v>
      </c>
      <c r="V52" s="183">
        <v>1057.3333333333314</v>
      </c>
      <c r="W52" s="183">
        <v>52.866666666666575</v>
      </c>
      <c r="X52" s="520">
        <f t="shared" si="109"/>
        <v>12</v>
      </c>
      <c r="Y52" s="658"/>
      <c r="Z52" s="183">
        <v>20</v>
      </c>
      <c r="AA52" s="183">
        <v>1097.5609756097556</v>
      </c>
      <c r="AB52" s="183">
        <v>54.878048780487781</v>
      </c>
      <c r="AC52" s="520">
        <f t="shared" si="111"/>
        <v>11</v>
      </c>
      <c r="AD52" s="658"/>
      <c r="AE52" s="183">
        <v>20</v>
      </c>
      <c r="AF52" s="183">
        <v>933.33333333333258</v>
      </c>
      <c r="AG52" s="183">
        <v>46.666666666666629</v>
      </c>
      <c r="AH52" s="520">
        <f t="shared" si="113"/>
        <v>12</v>
      </c>
      <c r="AI52" s="658"/>
      <c r="AJ52" s="183">
        <v>20</v>
      </c>
      <c r="AK52" s="183">
        <v>1077.2093023255811</v>
      </c>
      <c r="AL52" s="183">
        <v>53.860465116279059</v>
      </c>
      <c r="AM52" s="520">
        <f t="shared" si="115"/>
        <v>9</v>
      </c>
      <c r="AN52" s="658"/>
      <c r="AO52" s="183">
        <v>20</v>
      </c>
      <c r="AP52" s="183">
        <v>1094.6341463414631</v>
      </c>
      <c r="AQ52" s="183">
        <v>54.731707317073152</v>
      </c>
      <c r="AR52" s="520">
        <f t="shared" si="117"/>
        <v>9</v>
      </c>
      <c r="AS52" s="658"/>
      <c r="AT52" s="183">
        <v>20</v>
      </c>
      <c r="AU52" s="183">
        <v>1072.1739130434803</v>
      </c>
      <c r="AV52" s="183">
        <v>53.608695652174013</v>
      </c>
      <c r="AW52" s="520">
        <f t="shared" si="119"/>
        <v>10</v>
      </c>
      <c r="AX52" s="658"/>
    </row>
    <row r="53" spans="2:50">
      <c r="B53" s="627"/>
      <c r="C53" s="317">
        <v>7</v>
      </c>
      <c r="D53" s="228" t="s">
        <v>891</v>
      </c>
      <c r="E53" s="183">
        <v>20</v>
      </c>
      <c r="F53" s="470">
        <v>1177.25</v>
      </c>
      <c r="G53" s="471">
        <v>69.2</v>
      </c>
      <c r="H53" s="662"/>
      <c r="I53" s="200">
        <f t="shared" si="121"/>
        <v>20</v>
      </c>
      <c r="J53" s="200">
        <f t="shared" si="122"/>
        <v>1009.7623502496675</v>
      </c>
      <c r="K53" s="201">
        <f t="shared" si="123"/>
        <v>50.488117512483385</v>
      </c>
      <c r="L53" s="601"/>
      <c r="M53" s="202">
        <f>RANK(K53, K$47:$K$61)</f>
        <v>12</v>
      </c>
      <c r="N53" s="619"/>
      <c r="O53" s="619"/>
      <c r="P53" s="183">
        <v>20</v>
      </c>
      <c r="Q53" s="183">
        <v>1054.2857142857133</v>
      </c>
      <c r="R53" s="183">
        <v>52.714285714285666</v>
      </c>
      <c r="S53" s="343">
        <f t="shared" si="124"/>
        <v>12</v>
      </c>
      <c r="T53" s="658"/>
      <c r="U53" s="183">
        <v>20</v>
      </c>
      <c r="V53" s="183">
        <v>1092.0000000000005</v>
      </c>
      <c r="W53" s="183">
        <v>54.600000000000023</v>
      </c>
      <c r="X53" s="520">
        <f t="shared" si="109"/>
        <v>11</v>
      </c>
      <c r="Y53" s="658"/>
      <c r="Z53" s="183">
        <v>20</v>
      </c>
      <c r="AA53" s="183">
        <v>1059.512195121951</v>
      </c>
      <c r="AB53" s="183">
        <v>52.975609756097548</v>
      </c>
      <c r="AC53" s="520">
        <f t="shared" si="111"/>
        <v>12</v>
      </c>
      <c r="AD53" s="658"/>
      <c r="AE53" s="183">
        <v>20</v>
      </c>
      <c r="AF53" s="183">
        <v>939.37499999999875</v>
      </c>
      <c r="AG53" s="183">
        <v>46.968749999999936</v>
      </c>
      <c r="AH53" s="520">
        <f t="shared" si="113"/>
        <v>11</v>
      </c>
      <c r="AI53" s="658"/>
      <c r="AJ53" s="183">
        <v>20</v>
      </c>
      <c r="AK53" s="183">
        <v>909.23076923076883</v>
      </c>
      <c r="AL53" s="183">
        <v>45.461538461538439</v>
      </c>
      <c r="AM53" s="520">
        <f t="shared" si="115"/>
        <v>11</v>
      </c>
      <c r="AN53" s="658"/>
      <c r="AO53" s="183">
        <v>20</v>
      </c>
      <c r="AP53" s="183">
        <v>947.64705882352814</v>
      </c>
      <c r="AQ53" s="183">
        <v>47.382352941176407</v>
      </c>
      <c r="AR53" s="520">
        <f t="shared" si="117"/>
        <v>11</v>
      </c>
      <c r="AS53" s="658"/>
      <c r="AT53" s="183">
        <v>20</v>
      </c>
      <c r="AU53" s="183">
        <v>1066.2857142857133</v>
      </c>
      <c r="AV53" s="183">
        <v>53.314285714285667</v>
      </c>
      <c r="AW53" s="520">
        <f t="shared" si="119"/>
        <v>11</v>
      </c>
      <c r="AX53" s="658"/>
    </row>
    <row r="54" spans="2:50">
      <c r="B54" s="627"/>
      <c r="C54" s="317">
        <v>8</v>
      </c>
      <c r="D54" s="228" t="s">
        <v>881</v>
      </c>
      <c r="E54" s="183">
        <v>18</v>
      </c>
      <c r="F54" s="470">
        <v>1224</v>
      </c>
      <c r="G54" s="471">
        <v>80</v>
      </c>
      <c r="H54" s="662"/>
      <c r="I54" s="447">
        <f t="shared" ref="I54" si="125">AVERAGE(P54,U54,Z54,AE54,AJ54,AO54,AT54)</f>
        <v>19</v>
      </c>
      <c r="J54" s="447">
        <f t="shared" ref="J54" si="126">AVERAGE(Q54,V54,AA54,AF54,AK54,AP54,AU54)</f>
        <v>1076.6652652015682</v>
      </c>
      <c r="K54" s="201">
        <f t="shared" ref="K54" si="127">AVERAGE(R54,W54,AB54,AG54,AL54,AQ54,AV54)</f>
        <v>56.666592905345695</v>
      </c>
      <c r="L54" s="601"/>
      <c r="M54" s="202">
        <f>RANK(K54, K$47:$K$61)</f>
        <v>9</v>
      </c>
      <c r="N54" s="619"/>
      <c r="O54" s="619"/>
      <c r="P54" s="183">
        <v>19</v>
      </c>
      <c r="Q54" s="183">
        <v>1094.2499999999995</v>
      </c>
      <c r="R54" s="183">
        <v>57.592105263157869</v>
      </c>
      <c r="S54" s="343">
        <f t="shared" si="124"/>
        <v>9</v>
      </c>
      <c r="T54" s="658"/>
      <c r="U54" s="183">
        <v>19</v>
      </c>
      <c r="V54" s="183">
        <v>1072.8537313432823</v>
      </c>
      <c r="W54" s="183">
        <v>56.465985860172758</v>
      </c>
      <c r="X54" s="520">
        <f t="shared" si="109"/>
        <v>9</v>
      </c>
      <c r="Y54" s="658"/>
      <c r="Z54" s="183">
        <v>19</v>
      </c>
      <c r="AA54" s="183">
        <v>1063.0188679245289</v>
      </c>
      <c r="AB54" s="183">
        <v>55.948361469712047</v>
      </c>
      <c r="AC54" s="520">
        <f t="shared" si="111"/>
        <v>9</v>
      </c>
      <c r="AD54" s="658"/>
      <c r="AE54" s="183">
        <v>19</v>
      </c>
      <c r="AF54" s="183">
        <v>1076.5384615384621</v>
      </c>
      <c r="AG54" s="183">
        <v>56.659919028340113</v>
      </c>
      <c r="AH54" s="520">
        <f t="shared" si="113"/>
        <v>9</v>
      </c>
      <c r="AI54" s="658"/>
      <c r="AJ54" s="183"/>
      <c r="AK54" s="183"/>
      <c r="AL54" s="183"/>
      <c r="AM54" s="520" t="e">
        <f t="shared" si="115"/>
        <v>#N/A</v>
      </c>
      <c r="AN54" s="658"/>
      <c r="AO54" s="183"/>
      <c r="AP54" s="183"/>
      <c r="AQ54" s="183"/>
      <c r="AR54" s="520" t="e">
        <f t="shared" si="117"/>
        <v>#N/A</v>
      </c>
      <c r="AS54" s="658"/>
      <c r="AT54" s="183"/>
      <c r="AU54" s="183"/>
      <c r="AV54" s="183"/>
      <c r="AW54" s="520" t="e">
        <f t="shared" si="119"/>
        <v>#N/A</v>
      </c>
      <c r="AX54" s="658"/>
    </row>
    <row r="55" spans="2:50">
      <c r="B55" s="627"/>
      <c r="C55" s="317">
        <v>9</v>
      </c>
      <c r="D55" s="228" t="s">
        <v>883</v>
      </c>
      <c r="E55" s="183">
        <v>18</v>
      </c>
      <c r="F55" s="470">
        <v>1500</v>
      </c>
      <c r="G55" s="471">
        <v>83.3</v>
      </c>
      <c r="H55" s="662"/>
      <c r="I55" s="534">
        <f t="shared" ref="I55:I58" si="128">AVERAGE(P55,U55,Z55,AE55,AJ55,AO55,AT55)</f>
        <v>18</v>
      </c>
      <c r="J55" s="534">
        <f t="shared" ref="J55:J58" si="129">AVERAGE(Q55,V55,AA55,AF55,AK55,AP55,AU55)</f>
        <v>1356.4372054311691</v>
      </c>
      <c r="K55" s="201">
        <f t="shared" ref="K55:K58" si="130">AVERAGE(R55,W55,AB55,AG55,AL55,AQ55,AV55)</f>
        <v>75.35762252395385</v>
      </c>
      <c r="L55" s="601"/>
      <c r="M55" s="202">
        <f>RANK(K55, K$47:$K$61)</f>
        <v>6</v>
      </c>
      <c r="N55" s="619"/>
      <c r="O55" s="619"/>
      <c r="P55" s="183">
        <v>18</v>
      </c>
      <c r="Q55" s="183">
        <v>1359.1304347826085</v>
      </c>
      <c r="R55" s="183">
        <v>75.50724637681158</v>
      </c>
      <c r="S55" s="343">
        <f t="shared" si="124"/>
        <v>5</v>
      </c>
      <c r="T55" s="658"/>
      <c r="U55" s="183">
        <v>18</v>
      </c>
      <c r="V55" s="183">
        <v>1348.3435582822087</v>
      </c>
      <c r="W55" s="183">
        <v>74.907975460122714</v>
      </c>
      <c r="X55" s="520">
        <f t="shared" si="109"/>
        <v>5</v>
      </c>
      <c r="Y55" s="658"/>
      <c r="Z55" s="183">
        <v>18</v>
      </c>
      <c r="AA55" s="183">
        <v>1342.4528925619827</v>
      </c>
      <c r="AB55" s="183">
        <v>74.580716253443484</v>
      </c>
      <c r="AC55" s="520">
        <f t="shared" si="111"/>
        <v>8</v>
      </c>
      <c r="AD55" s="658"/>
      <c r="AE55" s="183">
        <v>18</v>
      </c>
      <c r="AF55" s="183">
        <v>1361.3333333333335</v>
      </c>
      <c r="AG55" s="183">
        <v>75.629629629629633</v>
      </c>
      <c r="AH55" s="520">
        <f t="shared" si="113"/>
        <v>6</v>
      </c>
      <c r="AI55" s="658"/>
      <c r="AJ55" s="183">
        <v>18</v>
      </c>
      <c r="AK55" s="183">
        <v>1343.6363636363637</v>
      </c>
      <c r="AL55" s="183">
        <v>74.646464646464651</v>
      </c>
      <c r="AM55" s="520">
        <f t="shared" si="115"/>
        <v>6</v>
      </c>
      <c r="AN55" s="658"/>
      <c r="AO55" s="183">
        <v>18</v>
      </c>
      <c r="AP55" s="183">
        <v>1370.963855421687</v>
      </c>
      <c r="AQ55" s="183">
        <v>76.164658634538171</v>
      </c>
      <c r="AR55" s="520">
        <f t="shared" si="117"/>
        <v>7</v>
      </c>
      <c r="AS55" s="658"/>
      <c r="AT55" s="183">
        <v>18</v>
      </c>
      <c r="AU55" s="183">
        <v>1369.1999999999998</v>
      </c>
      <c r="AV55" s="183">
        <v>76.066666666666663</v>
      </c>
      <c r="AW55" s="520">
        <f t="shared" si="119"/>
        <v>5</v>
      </c>
      <c r="AX55" s="658"/>
    </row>
    <row r="56" spans="2:50">
      <c r="B56" s="627"/>
      <c r="C56" s="317">
        <v>10</v>
      </c>
      <c r="D56" s="228" t="s">
        <v>886</v>
      </c>
      <c r="E56" s="183">
        <v>19</v>
      </c>
      <c r="F56" s="470">
        <v>1385</v>
      </c>
      <c r="G56" s="471">
        <v>72.900000000000006</v>
      </c>
      <c r="H56" s="662"/>
      <c r="I56" s="534">
        <f t="shared" si="128"/>
        <v>18.857142857142858</v>
      </c>
      <c r="J56" s="534">
        <f t="shared" si="129"/>
        <v>1363.4882260596546</v>
      </c>
      <c r="K56" s="201">
        <f t="shared" si="130"/>
        <v>72.338979316422922</v>
      </c>
      <c r="L56" s="601"/>
      <c r="M56" s="202">
        <f>RANK(K56, K$47:$K$61)</f>
        <v>8</v>
      </c>
      <c r="N56" s="619"/>
      <c r="O56" s="619"/>
      <c r="P56" s="183">
        <v>19</v>
      </c>
      <c r="Q56" s="183">
        <v>1379.9999999999991</v>
      </c>
      <c r="R56" s="183">
        <v>72.631578947368368</v>
      </c>
      <c r="S56" s="343">
        <f t="shared" si="124"/>
        <v>8</v>
      </c>
      <c r="T56" s="658"/>
      <c r="U56" s="183">
        <v>19</v>
      </c>
      <c r="V56" s="183">
        <v>1368.0000000000005</v>
      </c>
      <c r="W56" s="183">
        <v>72.000000000000028</v>
      </c>
      <c r="X56" s="520">
        <f t="shared" si="109"/>
        <v>8</v>
      </c>
      <c r="Y56" s="658"/>
      <c r="Z56" s="183">
        <v>18</v>
      </c>
      <c r="AA56" s="183">
        <v>1380.0000000000005</v>
      </c>
      <c r="AB56" s="183">
        <v>76.666666666666686</v>
      </c>
      <c r="AC56" s="520">
        <f t="shared" si="111"/>
        <v>6</v>
      </c>
      <c r="AD56" s="658"/>
      <c r="AE56" s="183">
        <v>19</v>
      </c>
      <c r="AF56" s="183">
        <v>1342.8571428571424</v>
      </c>
      <c r="AG56" s="183">
        <v>70.676691729323281</v>
      </c>
      <c r="AH56" s="520">
        <f t="shared" si="113"/>
        <v>8</v>
      </c>
      <c r="AI56" s="658"/>
      <c r="AJ56" s="183">
        <v>19</v>
      </c>
      <c r="AK56" s="183">
        <v>1343.9999999999995</v>
      </c>
      <c r="AL56" s="183">
        <v>70.736842105263136</v>
      </c>
      <c r="AM56" s="520">
        <f t="shared" si="115"/>
        <v>8</v>
      </c>
      <c r="AN56" s="658"/>
      <c r="AO56" s="183">
        <v>19</v>
      </c>
      <c r="AP56" s="183">
        <v>1375.7142857142851</v>
      </c>
      <c r="AQ56" s="183">
        <v>72.406015037593946</v>
      </c>
      <c r="AR56" s="520">
        <f t="shared" si="117"/>
        <v>8</v>
      </c>
      <c r="AS56" s="658"/>
      <c r="AT56" s="183">
        <v>19</v>
      </c>
      <c r="AU56" s="183">
        <v>1353.8461538461559</v>
      </c>
      <c r="AV56" s="183">
        <v>71.25506072874505</v>
      </c>
      <c r="AW56" s="520">
        <f t="shared" si="119"/>
        <v>8</v>
      </c>
      <c r="AX56" s="658"/>
    </row>
    <row r="57" spans="2:50">
      <c r="B57" s="627"/>
      <c r="C57" s="317">
        <v>11</v>
      </c>
      <c r="D57" s="228" t="s">
        <v>894</v>
      </c>
      <c r="E57" s="183">
        <v>19</v>
      </c>
      <c r="F57" s="470">
        <v>1177.25</v>
      </c>
      <c r="G57" s="471">
        <v>69.2</v>
      </c>
      <c r="H57" s="662"/>
      <c r="I57" s="534">
        <f t="shared" si="128"/>
        <v>19.857142857142858</v>
      </c>
      <c r="J57" s="534">
        <f t="shared" si="129"/>
        <v>1073.7429263141473</v>
      </c>
      <c r="K57" s="201">
        <f t="shared" si="130"/>
        <v>54.085179861109346</v>
      </c>
      <c r="L57" s="601"/>
      <c r="M57" s="202">
        <f>RANK(K57, K$47:$K$61)</f>
        <v>10</v>
      </c>
      <c r="N57" s="619"/>
      <c r="O57" s="619"/>
      <c r="P57" s="183">
        <v>20</v>
      </c>
      <c r="Q57" s="183">
        <v>1074.5565217391295</v>
      </c>
      <c r="R57" s="183">
        <v>53.727826086956476</v>
      </c>
      <c r="S57" s="343">
        <f t="shared" si="124"/>
        <v>11</v>
      </c>
      <c r="T57" s="658"/>
      <c r="U57" s="183">
        <v>19</v>
      </c>
      <c r="V57" s="183">
        <v>1058.7692307692319</v>
      </c>
      <c r="W57" s="183">
        <v>55.724696356275359</v>
      </c>
      <c r="X57" s="520">
        <f t="shared" si="109"/>
        <v>10</v>
      </c>
      <c r="Y57" s="658"/>
      <c r="Z57" s="183">
        <v>20</v>
      </c>
      <c r="AA57" s="183">
        <v>1098.1440000000002</v>
      </c>
      <c r="AB57" s="183">
        <v>54.90720000000001</v>
      </c>
      <c r="AC57" s="520">
        <f t="shared" si="111"/>
        <v>10</v>
      </c>
      <c r="AD57" s="658"/>
      <c r="AE57" s="183">
        <v>20</v>
      </c>
      <c r="AF57" s="183">
        <v>1044.6214285714293</v>
      </c>
      <c r="AG57" s="183">
        <v>52.231071428571468</v>
      </c>
      <c r="AH57" s="520">
        <f t="shared" si="113"/>
        <v>10</v>
      </c>
      <c r="AI57" s="658"/>
      <c r="AJ57" s="183">
        <v>20</v>
      </c>
      <c r="AK57" s="183">
        <v>1069.1538461538466</v>
      </c>
      <c r="AL57" s="183">
        <v>53.457692307692334</v>
      </c>
      <c r="AM57" s="520">
        <f t="shared" si="115"/>
        <v>10</v>
      </c>
      <c r="AN57" s="658"/>
      <c r="AO57" s="183">
        <v>20</v>
      </c>
      <c r="AP57" s="183">
        <v>1086.4163265306124</v>
      </c>
      <c r="AQ57" s="183">
        <v>54.320816326530618</v>
      </c>
      <c r="AR57" s="520">
        <f t="shared" si="117"/>
        <v>10</v>
      </c>
      <c r="AS57" s="658"/>
      <c r="AT57" s="183">
        <v>20</v>
      </c>
      <c r="AU57" s="183">
        <v>1084.5391304347825</v>
      </c>
      <c r="AV57" s="183">
        <v>54.226956521739126</v>
      </c>
      <c r="AW57" s="520">
        <f t="shared" si="119"/>
        <v>9</v>
      </c>
      <c r="AX57" s="658"/>
    </row>
    <row r="58" spans="2:50">
      <c r="B58" s="627"/>
      <c r="C58" s="317">
        <v>12</v>
      </c>
      <c r="D58" s="365" t="s">
        <v>1036</v>
      </c>
      <c r="E58" s="183">
        <v>17</v>
      </c>
      <c r="F58" s="470">
        <v>1636</v>
      </c>
      <c r="G58" s="471">
        <v>96.3</v>
      </c>
      <c r="H58" s="662"/>
      <c r="I58" s="534">
        <f t="shared" si="128"/>
        <v>17.571428571428573</v>
      </c>
      <c r="J58" s="534">
        <f t="shared" si="129"/>
        <v>1328.8323301576772</v>
      </c>
      <c r="K58" s="201">
        <f t="shared" si="130"/>
        <v>75.697781572999546</v>
      </c>
      <c r="L58" s="601"/>
      <c r="M58" s="202">
        <f>RANK(K58, K$47:$K$61)</f>
        <v>5</v>
      </c>
      <c r="N58" s="619"/>
      <c r="O58" s="619"/>
      <c r="P58" s="183">
        <v>18</v>
      </c>
      <c r="Q58" s="183">
        <v>1310.7267326732676</v>
      </c>
      <c r="R58" s="183">
        <v>72.818151815181537</v>
      </c>
      <c r="S58" s="343">
        <f t="shared" si="124"/>
        <v>7</v>
      </c>
      <c r="T58" s="658"/>
      <c r="U58" s="183">
        <v>18</v>
      </c>
      <c r="V58" s="183">
        <v>1320.1021276595748</v>
      </c>
      <c r="W58" s="183">
        <v>73.339007092198599</v>
      </c>
      <c r="X58" s="520">
        <f t="shared" si="109"/>
        <v>7</v>
      </c>
      <c r="Y58" s="658"/>
      <c r="Z58" s="183">
        <v>17</v>
      </c>
      <c r="AA58" s="183">
        <v>1346.0425531914896</v>
      </c>
      <c r="AB58" s="183">
        <v>79.178973717146448</v>
      </c>
      <c r="AC58" s="520">
        <f t="shared" si="111"/>
        <v>5</v>
      </c>
      <c r="AD58" s="658"/>
      <c r="AE58" s="183">
        <v>17</v>
      </c>
      <c r="AF58" s="183">
        <v>1307.1428571428571</v>
      </c>
      <c r="AG58" s="183">
        <v>76.890756302521012</v>
      </c>
      <c r="AH58" s="520">
        <f t="shared" si="113"/>
        <v>5</v>
      </c>
      <c r="AI58" s="658"/>
      <c r="AJ58" s="183">
        <v>18</v>
      </c>
      <c r="AK58" s="183">
        <v>1327.7966101694915</v>
      </c>
      <c r="AL58" s="183">
        <v>73.766478342749522</v>
      </c>
      <c r="AM58" s="520">
        <f t="shared" si="115"/>
        <v>7</v>
      </c>
      <c r="AN58" s="658"/>
      <c r="AO58" s="183">
        <v>17</v>
      </c>
      <c r="AP58" s="183">
        <v>1360.4154302670624</v>
      </c>
      <c r="AQ58" s="183">
        <v>80.024437074533083</v>
      </c>
      <c r="AR58" s="520">
        <f t="shared" si="117"/>
        <v>5</v>
      </c>
      <c r="AS58" s="658"/>
      <c r="AT58" s="183">
        <v>18</v>
      </c>
      <c r="AU58" s="183">
        <v>1329.6000000000001</v>
      </c>
      <c r="AV58" s="183">
        <v>73.866666666666674</v>
      </c>
      <c r="AW58" s="520">
        <f t="shared" si="119"/>
        <v>6</v>
      </c>
      <c r="AX58" s="658"/>
    </row>
    <row r="59" spans="2:50">
      <c r="B59" s="627"/>
      <c r="C59" s="317">
        <v>13</v>
      </c>
      <c r="D59" s="228"/>
      <c r="E59" s="183"/>
      <c r="F59" s="470"/>
      <c r="G59" s="471"/>
      <c r="H59" s="662"/>
      <c r="I59" s="203"/>
      <c r="J59" s="203"/>
      <c r="K59" s="203"/>
      <c r="L59" s="601"/>
      <c r="M59" s="202" t="e">
        <f>RANK(K59, K$47:$K$61)</f>
        <v>#N/A</v>
      </c>
      <c r="N59" s="619"/>
      <c r="O59" s="619"/>
      <c r="P59" s="183"/>
      <c r="Q59" s="183"/>
      <c r="R59" s="183"/>
      <c r="S59" s="343" t="e">
        <f t="shared" si="124"/>
        <v>#N/A</v>
      </c>
      <c r="T59" s="658"/>
      <c r="U59" s="183"/>
      <c r="V59" s="183"/>
      <c r="W59" s="183"/>
      <c r="X59" s="520" t="e">
        <f t="shared" si="109"/>
        <v>#N/A</v>
      </c>
      <c r="Y59" s="658"/>
      <c r="Z59" s="183"/>
      <c r="AA59" s="183"/>
      <c r="AB59" s="183"/>
      <c r="AC59" s="520" t="e">
        <f t="shared" si="111"/>
        <v>#N/A</v>
      </c>
      <c r="AD59" s="658"/>
      <c r="AE59" s="183"/>
      <c r="AF59" s="183"/>
      <c r="AG59" s="183"/>
      <c r="AH59" s="520" t="e">
        <f t="shared" si="113"/>
        <v>#N/A</v>
      </c>
      <c r="AI59" s="658"/>
      <c r="AJ59" s="183"/>
      <c r="AK59" s="183"/>
      <c r="AL59" s="183"/>
      <c r="AM59" s="520" t="e">
        <f t="shared" si="115"/>
        <v>#N/A</v>
      </c>
      <c r="AN59" s="658"/>
      <c r="AO59" s="183"/>
      <c r="AP59" s="183"/>
      <c r="AQ59" s="183"/>
      <c r="AR59" s="520" t="e">
        <f t="shared" si="117"/>
        <v>#N/A</v>
      </c>
      <c r="AS59" s="658"/>
      <c r="AT59" s="183"/>
      <c r="AU59" s="183"/>
      <c r="AV59" s="183"/>
      <c r="AW59" s="520" t="e">
        <f t="shared" si="119"/>
        <v>#N/A</v>
      </c>
      <c r="AX59" s="658"/>
    </row>
    <row r="60" spans="2:50">
      <c r="B60" s="627"/>
      <c r="C60" s="317">
        <v>14</v>
      </c>
      <c r="D60" s="228"/>
      <c r="E60" s="183"/>
      <c r="F60" s="470"/>
      <c r="G60" s="471"/>
      <c r="H60" s="662"/>
      <c r="I60" s="203"/>
      <c r="J60" s="203"/>
      <c r="K60" s="203"/>
      <c r="L60" s="601"/>
      <c r="M60" s="202" t="e">
        <f>RANK(K60, K$47:$K$61)</f>
        <v>#N/A</v>
      </c>
      <c r="N60" s="619"/>
      <c r="O60" s="619"/>
      <c r="P60" s="183"/>
      <c r="Q60" s="183"/>
      <c r="R60" s="183"/>
      <c r="S60" s="343" t="e">
        <f t="shared" si="124"/>
        <v>#N/A</v>
      </c>
      <c r="T60" s="658"/>
      <c r="U60" s="183"/>
      <c r="V60" s="183"/>
      <c r="W60" s="183"/>
      <c r="X60" s="520" t="e">
        <f t="shared" si="109"/>
        <v>#N/A</v>
      </c>
      <c r="Y60" s="658"/>
      <c r="Z60" s="183"/>
      <c r="AA60" s="183"/>
      <c r="AB60" s="183"/>
      <c r="AC60" s="520" t="e">
        <f t="shared" si="111"/>
        <v>#N/A</v>
      </c>
      <c r="AD60" s="658"/>
      <c r="AE60" s="183"/>
      <c r="AF60" s="183"/>
      <c r="AG60" s="183"/>
      <c r="AH60" s="520" t="e">
        <f t="shared" si="113"/>
        <v>#N/A</v>
      </c>
      <c r="AI60" s="658"/>
      <c r="AJ60" s="183"/>
      <c r="AK60" s="183"/>
      <c r="AL60" s="183"/>
      <c r="AM60" s="520" t="e">
        <f t="shared" si="115"/>
        <v>#N/A</v>
      </c>
      <c r="AN60" s="658"/>
      <c r="AO60" s="183"/>
      <c r="AP60" s="183"/>
      <c r="AQ60" s="183"/>
      <c r="AR60" s="520" t="e">
        <f t="shared" si="117"/>
        <v>#N/A</v>
      </c>
      <c r="AS60" s="658"/>
      <c r="AT60" s="183"/>
      <c r="AU60" s="183"/>
      <c r="AV60" s="183"/>
      <c r="AW60" s="520" t="e">
        <f t="shared" si="119"/>
        <v>#N/A</v>
      </c>
      <c r="AX60" s="658"/>
    </row>
    <row r="61" spans="2:50">
      <c r="B61" s="627"/>
      <c r="C61" s="317">
        <v>15</v>
      </c>
      <c r="D61" s="228"/>
      <c r="E61" s="183"/>
      <c r="F61" s="470"/>
      <c r="G61" s="471"/>
      <c r="H61" s="663"/>
      <c r="I61" s="203"/>
      <c r="J61" s="203"/>
      <c r="K61" s="203"/>
      <c r="L61" s="602"/>
      <c r="M61" s="202" t="e">
        <f>RANK(K61, K$47:$K$61)</f>
        <v>#N/A</v>
      </c>
      <c r="N61" s="619"/>
      <c r="O61" s="619"/>
      <c r="P61" s="183"/>
      <c r="Q61" s="183"/>
      <c r="R61" s="183"/>
      <c r="S61" s="343" t="e">
        <f t="shared" si="124"/>
        <v>#N/A</v>
      </c>
      <c r="T61" s="658"/>
      <c r="U61" s="183"/>
      <c r="V61" s="183"/>
      <c r="W61" s="183"/>
      <c r="X61" s="520" t="e">
        <f t="shared" si="109"/>
        <v>#N/A</v>
      </c>
      <c r="Y61" s="658"/>
      <c r="Z61" s="183"/>
      <c r="AA61" s="183"/>
      <c r="AB61" s="183"/>
      <c r="AC61" s="520" t="e">
        <f t="shared" si="111"/>
        <v>#N/A</v>
      </c>
      <c r="AD61" s="658"/>
      <c r="AE61" s="183"/>
      <c r="AF61" s="183"/>
      <c r="AG61" s="183"/>
      <c r="AH61" s="520" t="e">
        <f t="shared" si="113"/>
        <v>#N/A</v>
      </c>
      <c r="AI61" s="658"/>
      <c r="AJ61" s="183"/>
      <c r="AK61" s="183"/>
      <c r="AL61" s="183"/>
      <c r="AM61" s="520" t="e">
        <f t="shared" si="115"/>
        <v>#N/A</v>
      </c>
      <c r="AN61" s="658"/>
      <c r="AO61" s="183"/>
      <c r="AP61" s="183"/>
      <c r="AQ61" s="183"/>
      <c r="AR61" s="520" t="e">
        <f t="shared" si="117"/>
        <v>#N/A</v>
      </c>
      <c r="AS61" s="658"/>
      <c r="AT61" s="183"/>
      <c r="AU61" s="183"/>
      <c r="AV61" s="183"/>
      <c r="AW61" s="520" t="e">
        <f t="shared" si="119"/>
        <v>#N/A</v>
      </c>
      <c r="AX61" s="658"/>
    </row>
    <row r="62" spans="2:50" ht="15.5">
      <c r="B62" s="631" t="s">
        <v>163</v>
      </c>
      <c r="C62" s="632"/>
      <c r="D62" s="632"/>
      <c r="E62" s="632"/>
      <c r="F62" s="632"/>
      <c r="G62" s="632"/>
      <c r="H62" s="633"/>
      <c r="I62" s="209"/>
      <c r="J62" s="209"/>
      <c r="K62" s="209"/>
      <c r="L62" s="209"/>
      <c r="M62" s="208"/>
      <c r="N62" s="620" t="s">
        <v>156</v>
      </c>
      <c r="O62" s="620" t="s">
        <v>105</v>
      </c>
      <c r="P62" s="626">
        <f>P42+7</f>
        <v>46007</v>
      </c>
      <c r="Q62" s="627"/>
      <c r="R62" s="627"/>
      <c r="S62" s="627"/>
      <c r="T62" s="627"/>
      <c r="U62" s="623">
        <f>P62+1</f>
        <v>46008</v>
      </c>
      <c r="V62" s="624"/>
      <c r="W62" s="624"/>
      <c r="X62" s="624"/>
      <c r="Y62" s="625"/>
      <c r="Z62" s="623">
        <f>U62+1</f>
        <v>46009</v>
      </c>
      <c r="AA62" s="624"/>
      <c r="AB62" s="624"/>
      <c r="AC62" s="624"/>
      <c r="AD62" s="625"/>
      <c r="AE62" s="623">
        <f>Z62+1</f>
        <v>46010</v>
      </c>
      <c r="AF62" s="624"/>
      <c r="AG62" s="624"/>
      <c r="AH62" s="624"/>
      <c r="AI62" s="625"/>
      <c r="AJ62" s="623">
        <f>AE62+1</f>
        <v>46011</v>
      </c>
      <c r="AK62" s="624"/>
      <c r="AL62" s="624"/>
      <c r="AM62" s="624"/>
      <c r="AN62" s="625"/>
      <c r="AO62" s="623">
        <f>AJ62+1</f>
        <v>46012</v>
      </c>
      <c r="AP62" s="624"/>
      <c r="AQ62" s="624"/>
      <c r="AR62" s="624"/>
      <c r="AS62" s="625"/>
      <c r="AT62" s="623">
        <f>AO62+1</f>
        <v>46013</v>
      </c>
      <c r="AU62" s="624"/>
      <c r="AV62" s="624"/>
      <c r="AW62" s="624"/>
      <c r="AX62" s="625"/>
    </row>
    <row r="63" spans="2:50" ht="15.5">
      <c r="B63" s="634"/>
      <c r="C63" s="634"/>
      <c r="D63" s="634"/>
      <c r="E63" s="634"/>
      <c r="F63" s="634"/>
      <c r="G63" s="634"/>
      <c r="H63" s="634"/>
      <c r="I63" s="206"/>
      <c r="J63" s="206"/>
      <c r="K63" s="206"/>
      <c r="L63" s="206"/>
      <c r="M63" s="207"/>
      <c r="N63" s="622"/>
      <c r="O63" s="622"/>
      <c r="P63" s="626" t="s">
        <v>336</v>
      </c>
      <c r="Q63" s="627"/>
      <c r="R63" s="627"/>
      <c r="S63" s="627"/>
      <c r="T63" s="627"/>
      <c r="U63" s="626" t="s">
        <v>337</v>
      </c>
      <c r="V63" s="627"/>
      <c r="W63" s="627"/>
      <c r="X63" s="627"/>
      <c r="Y63" s="627"/>
      <c r="Z63" s="626" t="s">
        <v>338</v>
      </c>
      <c r="AA63" s="627"/>
      <c r="AB63" s="627"/>
      <c r="AC63" s="627"/>
      <c r="AD63" s="627"/>
      <c r="AE63" s="626" t="s">
        <v>339</v>
      </c>
      <c r="AF63" s="627"/>
      <c r="AG63" s="627"/>
      <c r="AH63" s="627"/>
      <c r="AI63" s="627"/>
      <c r="AJ63" s="626" t="s">
        <v>340</v>
      </c>
      <c r="AK63" s="627"/>
      <c r="AL63" s="627"/>
      <c r="AM63" s="627"/>
      <c r="AN63" s="627"/>
      <c r="AO63" s="626" t="s">
        <v>341</v>
      </c>
      <c r="AP63" s="627"/>
      <c r="AQ63" s="627"/>
      <c r="AR63" s="627"/>
      <c r="AS63" s="627"/>
      <c r="AT63" s="626" t="s">
        <v>342</v>
      </c>
      <c r="AU63" s="627"/>
      <c r="AV63" s="627"/>
      <c r="AW63" s="627"/>
      <c r="AX63" s="627"/>
    </row>
    <row r="64" spans="2:50">
      <c r="B64" s="619" t="s">
        <v>443</v>
      </c>
      <c r="C64" s="619" t="s">
        <v>453</v>
      </c>
      <c r="D64" s="619"/>
      <c r="E64" s="619" t="s">
        <v>444</v>
      </c>
      <c r="F64" s="619"/>
      <c r="G64" s="619"/>
      <c r="H64" s="635" t="s">
        <v>440</v>
      </c>
      <c r="I64" s="603" t="s">
        <v>445</v>
      </c>
      <c r="J64" s="603"/>
      <c r="K64" s="603"/>
      <c r="L64" s="604" t="s">
        <v>440</v>
      </c>
      <c r="M64" s="610" t="s">
        <v>441</v>
      </c>
      <c r="N64" s="619"/>
      <c r="O64" s="619" t="s">
        <v>446</v>
      </c>
      <c r="P64" s="616" t="s">
        <v>442</v>
      </c>
      <c r="Q64" s="617"/>
      <c r="R64" s="617"/>
      <c r="S64" s="618"/>
      <c r="T64" s="619" t="s">
        <v>440</v>
      </c>
      <c r="U64" s="616" t="s">
        <v>442</v>
      </c>
      <c r="V64" s="617"/>
      <c r="W64" s="617"/>
      <c r="X64" s="618"/>
      <c r="Y64" s="619" t="s">
        <v>440</v>
      </c>
      <c r="Z64" s="616" t="s">
        <v>442</v>
      </c>
      <c r="AA64" s="617"/>
      <c r="AB64" s="617"/>
      <c r="AC64" s="618"/>
      <c r="AD64" s="619" t="s">
        <v>440</v>
      </c>
      <c r="AE64" s="616" t="s">
        <v>442</v>
      </c>
      <c r="AF64" s="617"/>
      <c r="AG64" s="617"/>
      <c r="AH64" s="618"/>
      <c r="AI64" s="619" t="s">
        <v>440</v>
      </c>
      <c r="AJ64" s="616" t="s">
        <v>442</v>
      </c>
      <c r="AK64" s="617"/>
      <c r="AL64" s="617"/>
      <c r="AM64" s="618"/>
      <c r="AN64" s="619" t="s">
        <v>440</v>
      </c>
      <c r="AO64" s="616" t="s">
        <v>442</v>
      </c>
      <c r="AP64" s="617"/>
      <c r="AQ64" s="617"/>
      <c r="AR64" s="618"/>
      <c r="AS64" s="619" t="s">
        <v>440</v>
      </c>
      <c r="AT64" s="616" t="s">
        <v>442</v>
      </c>
      <c r="AU64" s="617"/>
      <c r="AV64" s="617"/>
      <c r="AW64" s="618"/>
      <c r="AX64" s="619" t="s">
        <v>440</v>
      </c>
    </row>
    <row r="65" spans="2:50">
      <c r="B65" s="619"/>
      <c r="C65" s="619"/>
      <c r="D65" s="619"/>
      <c r="E65" s="619" t="s">
        <v>447</v>
      </c>
      <c r="F65" s="619"/>
      <c r="G65" s="619"/>
      <c r="H65" s="636"/>
      <c r="I65" s="603" t="s">
        <v>447</v>
      </c>
      <c r="J65" s="603"/>
      <c r="K65" s="603"/>
      <c r="L65" s="605"/>
      <c r="M65" s="611"/>
      <c r="N65" s="619"/>
      <c r="O65" s="619"/>
      <c r="P65" s="616" t="s">
        <v>448</v>
      </c>
      <c r="Q65" s="617"/>
      <c r="R65" s="617"/>
      <c r="S65" s="618"/>
      <c r="T65" s="619"/>
      <c r="U65" s="616" t="s">
        <v>448</v>
      </c>
      <c r="V65" s="617"/>
      <c r="W65" s="617"/>
      <c r="X65" s="618"/>
      <c r="Y65" s="619"/>
      <c r="Z65" s="616" t="s">
        <v>448</v>
      </c>
      <c r="AA65" s="617"/>
      <c r="AB65" s="617"/>
      <c r="AC65" s="618"/>
      <c r="AD65" s="619"/>
      <c r="AE65" s="616" t="s">
        <v>448</v>
      </c>
      <c r="AF65" s="617"/>
      <c r="AG65" s="617"/>
      <c r="AH65" s="618"/>
      <c r="AI65" s="619"/>
      <c r="AJ65" s="616" t="s">
        <v>448</v>
      </c>
      <c r="AK65" s="617"/>
      <c r="AL65" s="617"/>
      <c r="AM65" s="618"/>
      <c r="AN65" s="619"/>
      <c r="AO65" s="616" t="s">
        <v>448</v>
      </c>
      <c r="AP65" s="617"/>
      <c r="AQ65" s="617"/>
      <c r="AR65" s="618"/>
      <c r="AS65" s="619"/>
      <c r="AT65" s="616" t="s">
        <v>448</v>
      </c>
      <c r="AU65" s="617"/>
      <c r="AV65" s="617"/>
      <c r="AW65" s="618"/>
      <c r="AX65" s="619"/>
    </row>
    <row r="66" spans="2:50">
      <c r="B66" s="619"/>
      <c r="C66" s="619"/>
      <c r="D66" s="619"/>
      <c r="E66" s="316" t="s">
        <v>449</v>
      </c>
      <c r="F66" s="316" t="s">
        <v>450</v>
      </c>
      <c r="G66" s="316" t="s">
        <v>451</v>
      </c>
      <c r="H66" s="637"/>
      <c r="I66" s="315" t="s">
        <v>449</v>
      </c>
      <c r="J66" s="315" t="s">
        <v>450</v>
      </c>
      <c r="K66" s="315" t="s">
        <v>451</v>
      </c>
      <c r="L66" s="606"/>
      <c r="M66" s="612"/>
      <c r="N66" s="619"/>
      <c r="O66" s="619"/>
      <c r="P66" s="316" t="s">
        <v>449</v>
      </c>
      <c r="Q66" s="316" t="s">
        <v>450</v>
      </c>
      <c r="R66" s="316" t="s">
        <v>451</v>
      </c>
      <c r="S66" s="316" t="s">
        <v>441</v>
      </c>
      <c r="T66" s="619"/>
      <c r="U66" s="316" t="s">
        <v>449</v>
      </c>
      <c r="V66" s="316" t="s">
        <v>450</v>
      </c>
      <c r="W66" s="316" t="s">
        <v>451</v>
      </c>
      <c r="X66" s="316" t="s">
        <v>441</v>
      </c>
      <c r="Y66" s="619"/>
      <c r="Z66" s="316" t="s">
        <v>449</v>
      </c>
      <c r="AA66" s="316" t="s">
        <v>450</v>
      </c>
      <c r="AB66" s="316" t="s">
        <v>451</v>
      </c>
      <c r="AC66" s="316" t="s">
        <v>441</v>
      </c>
      <c r="AD66" s="619"/>
      <c r="AE66" s="316" t="s">
        <v>449</v>
      </c>
      <c r="AF66" s="316" t="s">
        <v>450</v>
      </c>
      <c r="AG66" s="316" t="s">
        <v>451</v>
      </c>
      <c r="AH66" s="316" t="s">
        <v>441</v>
      </c>
      <c r="AI66" s="619"/>
      <c r="AJ66" s="316" t="s">
        <v>449</v>
      </c>
      <c r="AK66" s="316" t="s">
        <v>450</v>
      </c>
      <c r="AL66" s="316" t="s">
        <v>451</v>
      </c>
      <c r="AM66" s="316" t="s">
        <v>441</v>
      </c>
      <c r="AN66" s="619"/>
      <c r="AO66" s="316" t="s">
        <v>449</v>
      </c>
      <c r="AP66" s="316" t="s">
        <v>450</v>
      </c>
      <c r="AQ66" s="316" t="s">
        <v>451</v>
      </c>
      <c r="AR66" s="316" t="s">
        <v>441</v>
      </c>
      <c r="AS66" s="619"/>
      <c r="AT66" s="316" t="s">
        <v>449</v>
      </c>
      <c r="AU66" s="316" t="s">
        <v>450</v>
      </c>
      <c r="AV66" s="316" t="s">
        <v>451</v>
      </c>
      <c r="AW66" s="316" t="s">
        <v>441</v>
      </c>
      <c r="AX66" s="619"/>
    </row>
    <row r="67" spans="2:50">
      <c r="B67" s="619" t="s">
        <v>455</v>
      </c>
      <c r="C67" s="317">
        <v>1</v>
      </c>
      <c r="D67" s="228"/>
      <c r="E67" s="183"/>
      <c r="F67" s="470"/>
      <c r="G67" s="471"/>
      <c r="H67" s="661" t="e">
        <f>AVERAGE(G67:G81)</f>
        <v>#DIV/0!</v>
      </c>
      <c r="I67" s="200" t="e">
        <f>AVERAGE(P67,U67,Z67,AE67,AJ67,AO67,AT67)</f>
        <v>#DIV/0!</v>
      </c>
      <c r="J67" s="200" t="e">
        <f>AVERAGE(Q67,V67,AA67,AF67,AK67,AP67,AU67)</f>
        <v>#DIV/0!</v>
      </c>
      <c r="K67" s="201" t="e">
        <f>AVERAGE(R67,W67,AB67,AG67,AL67,AQ67,AV67)</f>
        <v>#DIV/0!</v>
      </c>
      <c r="L67" s="600" t="str">
        <f>IFERROR(AVERAGE(K67:K81),"-")</f>
        <v>-</v>
      </c>
      <c r="M67" s="202" t="e">
        <f>RANK(K67, K$67:$K$81)</f>
        <v>#DIV/0!</v>
      </c>
      <c r="N67" s="619"/>
      <c r="O67" s="619"/>
      <c r="P67" s="183"/>
      <c r="Q67" s="183"/>
      <c r="R67" s="183"/>
      <c r="S67" s="317" t="e">
        <f>RANK(R67, R$67:R$81)</f>
        <v>#N/A</v>
      </c>
      <c r="T67" s="658" t="e">
        <f>AVERAGE(R67:R81)</f>
        <v>#DIV/0!</v>
      </c>
      <c r="U67" s="183"/>
      <c r="V67" s="183"/>
      <c r="W67" s="183"/>
      <c r="X67" s="520" t="e">
        <f t="shared" ref="X67:X81" si="131">RANK(W67, W$67:W$81)</f>
        <v>#N/A</v>
      </c>
      <c r="Y67" s="658" t="e">
        <f t="shared" ref="Y67" si="132">AVERAGE(W67:W81)</f>
        <v>#DIV/0!</v>
      </c>
      <c r="Z67" s="183"/>
      <c r="AA67" s="183"/>
      <c r="AB67" s="183"/>
      <c r="AC67" s="520" t="e">
        <f t="shared" ref="AC67:AC81" si="133">RANK(AB67, AB$67:AB$81)</f>
        <v>#N/A</v>
      </c>
      <c r="AD67" s="658" t="e">
        <f t="shared" ref="AD67" si="134">AVERAGE(AB67:AB81)</f>
        <v>#DIV/0!</v>
      </c>
      <c r="AE67" s="183"/>
      <c r="AF67" s="183"/>
      <c r="AG67" s="183"/>
      <c r="AH67" s="520" t="e">
        <f t="shared" ref="AH67:AH81" si="135">RANK(AG67, AG$67:AG$81)</f>
        <v>#N/A</v>
      </c>
      <c r="AI67" s="658" t="e">
        <f t="shared" ref="AI67" si="136">AVERAGE(AG67:AG81)</f>
        <v>#DIV/0!</v>
      </c>
      <c r="AJ67" s="183"/>
      <c r="AK67" s="183"/>
      <c r="AL67" s="183"/>
      <c r="AM67" s="520" t="e">
        <f t="shared" ref="AM67:AM81" si="137">RANK(AL67, AL$67:AL$81)</f>
        <v>#N/A</v>
      </c>
      <c r="AN67" s="658" t="e">
        <f t="shared" ref="AN67" si="138">AVERAGE(AL67:AL81)</f>
        <v>#DIV/0!</v>
      </c>
      <c r="AO67" s="183"/>
      <c r="AP67" s="183"/>
      <c r="AQ67" s="183"/>
      <c r="AR67" s="520" t="e">
        <f t="shared" ref="AR67:AR81" si="139">RANK(AQ67, AQ$67:AQ$81)</f>
        <v>#N/A</v>
      </c>
      <c r="AS67" s="658" t="e">
        <f t="shared" ref="AS67" si="140">AVERAGE(AQ67:AQ81)</f>
        <v>#DIV/0!</v>
      </c>
      <c r="AT67" s="183"/>
      <c r="AU67" s="183"/>
      <c r="AV67" s="183"/>
      <c r="AW67" s="520" t="e">
        <f t="shared" ref="AW67:AW81" si="141">RANK(AV67, AV$67:AV$81)</f>
        <v>#N/A</v>
      </c>
      <c r="AX67" s="658" t="e">
        <f t="shared" ref="AX67" si="142">AVERAGE(AV67:AV81)</f>
        <v>#DIV/0!</v>
      </c>
    </row>
    <row r="68" spans="2:50">
      <c r="B68" s="627"/>
      <c r="C68" s="317">
        <v>2</v>
      </c>
      <c r="D68" s="228"/>
      <c r="E68" s="183"/>
      <c r="F68" s="470"/>
      <c r="G68" s="471"/>
      <c r="H68" s="662"/>
      <c r="I68" s="200" t="e">
        <f t="shared" ref="I68:I73" si="143">AVERAGE(P68,U68,Z68,AE68,AJ68,AO68,AT68)</f>
        <v>#DIV/0!</v>
      </c>
      <c r="J68" s="200" t="e">
        <f t="shared" ref="J68:J73" si="144">AVERAGE(Q68,V68,AA68,AF68,AK68,AP68,AU68)</f>
        <v>#DIV/0!</v>
      </c>
      <c r="K68" s="201" t="e">
        <f t="shared" ref="K68:K73" si="145">AVERAGE(R68,W68,AB68,AG68,AL68,AQ68,AV68)</f>
        <v>#DIV/0!</v>
      </c>
      <c r="L68" s="601"/>
      <c r="M68" s="202" t="e">
        <f>RANK(K68, K$67:$K$81)</f>
        <v>#DIV/0!</v>
      </c>
      <c r="N68" s="619"/>
      <c r="O68" s="619"/>
      <c r="P68" s="183"/>
      <c r="Q68" s="183"/>
      <c r="R68" s="183"/>
      <c r="S68" s="349" t="e">
        <f t="shared" ref="S68:S81" si="146">RANK(R68, R$67:R$81)</f>
        <v>#N/A</v>
      </c>
      <c r="T68" s="658"/>
      <c r="U68" s="183"/>
      <c r="V68" s="183"/>
      <c r="W68" s="183"/>
      <c r="X68" s="520" t="e">
        <f t="shared" si="131"/>
        <v>#N/A</v>
      </c>
      <c r="Y68" s="658"/>
      <c r="Z68" s="183"/>
      <c r="AA68" s="183"/>
      <c r="AB68" s="183"/>
      <c r="AC68" s="520" t="e">
        <f t="shared" si="133"/>
        <v>#N/A</v>
      </c>
      <c r="AD68" s="658"/>
      <c r="AE68" s="183"/>
      <c r="AF68" s="183"/>
      <c r="AG68" s="183"/>
      <c r="AH68" s="520" t="e">
        <f t="shared" si="135"/>
        <v>#N/A</v>
      </c>
      <c r="AI68" s="658"/>
      <c r="AJ68" s="183"/>
      <c r="AK68" s="183"/>
      <c r="AL68" s="183"/>
      <c r="AM68" s="520" t="e">
        <f t="shared" si="137"/>
        <v>#N/A</v>
      </c>
      <c r="AN68" s="658"/>
      <c r="AO68" s="183"/>
      <c r="AP68" s="183"/>
      <c r="AQ68" s="183"/>
      <c r="AR68" s="520" t="e">
        <f t="shared" si="139"/>
        <v>#N/A</v>
      </c>
      <c r="AS68" s="658"/>
      <c r="AT68" s="183"/>
      <c r="AU68" s="183"/>
      <c r="AV68" s="183"/>
      <c r="AW68" s="520" t="e">
        <f t="shared" si="141"/>
        <v>#N/A</v>
      </c>
      <c r="AX68" s="658"/>
    </row>
    <row r="69" spans="2:50">
      <c r="B69" s="627"/>
      <c r="C69" s="317">
        <v>3</v>
      </c>
      <c r="D69" s="228"/>
      <c r="E69" s="183"/>
      <c r="F69" s="470"/>
      <c r="G69" s="471"/>
      <c r="H69" s="662"/>
      <c r="I69" s="200" t="e">
        <f t="shared" si="143"/>
        <v>#DIV/0!</v>
      </c>
      <c r="J69" s="200" t="e">
        <f t="shared" si="144"/>
        <v>#DIV/0!</v>
      </c>
      <c r="K69" s="201" t="e">
        <f t="shared" si="145"/>
        <v>#DIV/0!</v>
      </c>
      <c r="L69" s="601"/>
      <c r="M69" s="202" t="e">
        <f>RANK(K69, K$67:$K$81)</f>
        <v>#DIV/0!</v>
      </c>
      <c r="N69" s="619"/>
      <c r="O69" s="619"/>
      <c r="P69" s="183"/>
      <c r="Q69" s="183"/>
      <c r="R69" s="183"/>
      <c r="S69" s="349" t="e">
        <f t="shared" si="146"/>
        <v>#N/A</v>
      </c>
      <c r="T69" s="658"/>
      <c r="U69" s="183"/>
      <c r="V69" s="183"/>
      <c r="W69" s="183"/>
      <c r="X69" s="520" t="e">
        <f t="shared" si="131"/>
        <v>#N/A</v>
      </c>
      <c r="Y69" s="658"/>
      <c r="Z69" s="183"/>
      <c r="AA69" s="183"/>
      <c r="AB69" s="183"/>
      <c r="AC69" s="520" t="e">
        <f t="shared" si="133"/>
        <v>#N/A</v>
      </c>
      <c r="AD69" s="658"/>
      <c r="AE69" s="183"/>
      <c r="AF69" s="183"/>
      <c r="AG69" s="183"/>
      <c r="AH69" s="520" t="e">
        <f t="shared" si="135"/>
        <v>#N/A</v>
      </c>
      <c r="AI69" s="658"/>
      <c r="AJ69" s="183"/>
      <c r="AK69" s="183"/>
      <c r="AL69" s="183"/>
      <c r="AM69" s="520" t="e">
        <f t="shared" si="137"/>
        <v>#N/A</v>
      </c>
      <c r="AN69" s="658"/>
      <c r="AO69" s="183"/>
      <c r="AP69" s="183"/>
      <c r="AQ69" s="183"/>
      <c r="AR69" s="520" t="e">
        <f t="shared" si="139"/>
        <v>#N/A</v>
      </c>
      <c r="AS69" s="658"/>
      <c r="AT69" s="183"/>
      <c r="AU69" s="183"/>
      <c r="AV69" s="183"/>
      <c r="AW69" s="520" t="e">
        <f t="shared" si="141"/>
        <v>#N/A</v>
      </c>
      <c r="AX69" s="658"/>
    </row>
    <row r="70" spans="2:50">
      <c r="B70" s="627"/>
      <c r="C70" s="317">
        <v>4</v>
      </c>
      <c r="D70" s="228"/>
      <c r="E70" s="183"/>
      <c r="F70" s="470"/>
      <c r="G70" s="471"/>
      <c r="H70" s="662"/>
      <c r="I70" s="200" t="e">
        <f t="shared" si="143"/>
        <v>#DIV/0!</v>
      </c>
      <c r="J70" s="200" t="e">
        <f t="shared" si="144"/>
        <v>#DIV/0!</v>
      </c>
      <c r="K70" s="201" t="e">
        <f t="shared" si="145"/>
        <v>#DIV/0!</v>
      </c>
      <c r="L70" s="601"/>
      <c r="M70" s="202" t="e">
        <f>RANK(K70, K$67:$K$81)</f>
        <v>#DIV/0!</v>
      </c>
      <c r="N70" s="619"/>
      <c r="O70" s="619"/>
      <c r="P70" s="183"/>
      <c r="Q70" s="183"/>
      <c r="R70" s="183"/>
      <c r="S70" s="349" t="e">
        <f t="shared" si="146"/>
        <v>#N/A</v>
      </c>
      <c r="T70" s="658"/>
      <c r="U70" s="183"/>
      <c r="V70" s="183"/>
      <c r="W70" s="183"/>
      <c r="X70" s="520" t="e">
        <f t="shared" si="131"/>
        <v>#N/A</v>
      </c>
      <c r="Y70" s="658"/>
      <c r="Z70" s="183"/>
      <c r="AA70" s="183"/>
      <c r="AB70" s="183"/>
      <c r="AC70" s="520" t="e">
        <f t="shared" si="133"/>
        <v>#N/A</v>
      </c>
      <c r="AD70" s="658"/>
      <c r="AE70" s="183"/>
      <c r="AF70" s="183"/>
      <c r="AG70" s="183"/>
      <c r="AH70" s="520" t="e">
        <f t="shared" si="135"/>
        <v>#N/A</v>
      </c>
      <c r="AI70" s="658"/>
      <c r="AJ70" s="183"/>
      <c r="AK70" s="183"/>
      <c r="AL70" s="183"/>
      <c r="AM70" s="520" t="e">
        <f t="shared" si="137"/>
        <v>#N/A</v>
      </c>
      <c r="AN70" s="658"/>
      <c r="AO70" s="183"/>
      <c r="AP70" s="183"/>
      <c r="AQ70" s="183"/>
      <c r="AR70" s="520" t="e">
        <f t="shared" si="139"/>
        <v>#N/A</v>
      </c>
      <c r="AS70" s="658"/>
      <c r="AT70" s="183"/>
      <c r="AU70" s="183"/>
      <c r="AV70" s="183"/>
      <c r="AW70" s="520" t="e">
        <f t="shared" si="141"/>
        <v>#N/A</v>
      </c>
      <c r="AX70" s="658"/>
    </row>
    <row r="71" spans="2:50">
      <c r="B71" s="627"/>
      <c r="C71" s="317">
        <v>5</v>
      </c>
      <c r="D71" s="228"/>
      <c r="E71" s="183"/>
      <c r="F71" s="470"/>
      <c r="G71" s="471"/>
      <c r="H71" s="662"/>
      <c r="I71" s="200" t="e">
        <f t="shared" si="143"/>
        <v>#DIV/0!</v>
      </c>
      <c r="J71" s="200" t="e">
        <f t="shared" si="144"/>
        <v>#DIV/0!</v>
      </c>
      <c r="K71" s="201" t="e">
        <f t="shared" si="145"/>
        <v>#DIV/0!</v>
      </c>
      <c r="L71" s="601"/>
      <c r="M71" s="202" t="e">
        <f>RANK(K71, K$67:$K$81)</f>
        <v>#DIV/0!</v>
      </c>
      <c r="N71" s="619"/>
      <c r="O71" s="619"/>
      <c r="P71" s="183"/>
      <c r="Q71" s="183"/>
      <c r="R71" s="183"/>
      <c r="S71" s="349" t="e">
        <f t="shared" si="146"/>
        <v>#N/A</v>
      </c>
      <c r="T71" s="658"/>
      <c r="U71" s="183"/>
      <c r="V71" s="183"/>
      <c r="W71" s="183"/>
      <c r="X71" s="520" t="e">
        <f t="shared" si="131"/>
        <v>#N/A</v>
      </c>
      <c r="Y71" s="658"/>
      <c r="Z71" s="183"/>
      <c r="AA71" s="183"/>
      <c r="AB71" s="183"/>
      <c r="AC71" s="520" t="e">
        <f t="shared" si="133"/>
        <v>#N/A</v>
      </c>
      <c r="AD71" s="658"/>
      <c r="AE71" s="183"/>
      <c r="AF71" s="183"/>
      <c r="AG71" s="183"/>
      <c r="AH71" s="520" t="e">
        <f t="shared" si="135"/>
        <v>#N/A</v>
      </c>
      <c r="AI71" s="658"/>
      <c r="AJ71" s="183"/>
      <c r="AK71" s="183"/>
      <c r="AL71" s="183"/>
      <c r="AM71" s="520" t="e">
        <f t="shared" si="137"/>
        <v>#N/A</v>
      </c>
      <c r="AN71" s="658"/>
      <c r="AO71" s="183"/>
      <c r="AP71" s="183"/>
      <c r="AQ71" s="183"/>
      <c r="AR71" s="520" t="e">
        <f t="shared" si="139"/>
        <v>#N/A</v>
      </c>
      <c r="AS71" s="658"/>
      <c r="AT71" s="183"/>
      <c r="AU71" s="183"/>
      <c r="AV71" s="183"/>
      <c r="AW71" s="520" t="e">
        <f t="shared" si="141"/>
        <v>#N/A</v>
      </c>
      <c r="AX71" s="658"/>
    </row>
    <row r="72" spans="2:50">
      <c r="B72" s="627"/>
      <c r="C72" s="317">
        <v>6</v>
      </c>
      <c r="D72" s="228"/>
      <c r="E72" s="183"/>
      <c r="F72" s="470"/>
      <c r="G72" s="471"/>
      <c r="H72" s="662"/>
      <c r="I72" s="200" t="e">
        <f t="shared" si="143"/>
        <v>#DIV/0!</v>
      </c>
      <c r="J72" s="200" t="e">
        <f t="shared" si="144"/>
        <v>#DIV/0!</v>
      </c>
      <c r="K72" s="201" t="e">
        <f t="shared" si="145"/>
        <v>#DIV/0!</v>
      </c>
      <c r="L72" s="601"/>
      <c r="M72" s="202" t="e">
        <f>RANK(K72, K$67:$K$81)</f>
        <v>#DIV/0!</v>
      </c>
      <c r="N72" s="619"/>
      <c r="O72" s="619"/>
      <c r="P72" s="183"/>
      <c r="Q72" s="183"/>
      <c r="R72" s="183"/>
      <c r="S72" s="349" t="e">
        <f t="shared" si="146"/>
        <v>#N/A</v>
      </c>
      <c r="T72" s="658"/>
      <c r="U72" s="183"/>
      <c r="V72" s="183"/>
      <c r="W72" s="183"/>
      <c r="X72" s="520" t="e">
        <f t="shared" si="131"/>
        <v>#N/A</v>
      </c>
      <c r="Y72" s="658"/>
      <c r="Z72" s="183"/>
      <c r="AA72" s="183"/>
      <c r="AB72" s="183"/>
      <c r="AC72" s="520" t="e">
        <f t="shared" si="133"/>
        <v>#N/A</v>
      </c>
      <c r="AD72" s="658"/>
      <c r="AE72" s="183"/>
      <c r="AF72" s="183"/>
      <c r="AG72" s="183"/>
      <c r="AH72" s="520" t="e">
        <f t="shared" si="135"/>
        <v>#N/A</v>
      </c>
      <c r="AI72" s="658"/>
      <c r="AJ72" s="183"/>
      <c r="AK72" s="183"/>
      <c r="AL72" s="183"/>
      <c r="AM72" s="520" t="e">
        <f t="shared" si="137"/>
        <v>#N/A</v>
      </c>
      <c r="AN72" s="658"/>
      <c r="AO72" s="183"/>
      <c r="AP72" s="183"/>
      <c r="AQ72" s="183"/>
      <c r="AR72" s="520" t="e">
        <f t="shared" si="139"/>
        <v>#N/A</v>
      </c>
      <c r="AS72" s="658"/>
      <c r="AT72" s="183"/>
      <c r="AU72" s="183"/>
      <c r="AV72" s="183"/>
      <c r="AW72" s="520" t="e">
        <f t="shared" si="141"/>
        <v>#N/A</v>
      </c>
      <c r="AX72" s="658"/>
    </row>
    <row r="73" spans="2:50">
      <c r="B73" s="627"/>
      <c r="C73" s="317">
        <v>7</v>
      </c>
      <c r="D73" s="228"/>
      <c r="E73" s="183"/>
      <c r="F73" s="470"/>
      <c r="G73" s="471"/>
      <c r="H73" s="662"/>
      <c r="I73" s="200" t="e">
        <f t="shared" si="143"/>
        <v>#DIV/0!</v>
      </c>
      <c r="J73" s="200" t="e">
        <f t="shared" si="144"/>
        <v>#DIV/0!</v>
      </c>
      <c r="K73" s="201" t="e">
        <f t="shared" si="145"/>
        <v>#DIV/0!</v>
      </c>
      <c r="L73" s="601"/>
      <c r="M73" s="202" t="e">
        <f>RANK(K73, K$67:$K$81)</f>
        <v>#DIV/0!</v>
      </c>
      <c r="N73" s="619"/>
      <c r="O73" s="619"/>
      <c r="P73" s="183"/>
      <c r="Q73" s="183"/>
      <c r="R73" s="183"/>
      <c r="S73" s="349" t="e">
        <f t="shared" si="146"/>
        <v>#N/A</v>
      </c>
      <c r="T73" s="658"/>
      <c r="U73" s="183"/>
      <c r="V73" s="183"/>
      <c r="W73" s="183"/>
      <c r="X73" s="520" t="e">
        <f t="shared" si="131"/>
        <v>#N/A</v>
      </c>
      <c r="Y73" s="658"/>
      <c r="Z73" s="183"/>
      <c r="AA73" s="183"/>
      <c r="AB73" s="183"/>
      <c r="AC73" s="520" t="e">
        <f t="shared" si="133"/>
        <v>#N/A</v>
      </c>
      <c r="AD73" s="658"/>
      <c r="AE73" s="183"/>
      <c r="AF73" s="183"/>
      <c r="AG73" s="183"/>
      <c r="AH73" s="520" t="e">
        <f t="shared" si="135"/>
        <v>#N/A</v>
      </c>
      <c r="AI73" s="658"/>
      <c r="AJ73" s="183"/>
      <c r="AK73" s="183"/>
      <c r="AL73" s="183"/>
      <c r="AM73" s="520" t="e">
        <f t="shared" si="137"/>
        <v>#N/A</v>
      </c>
      <c r="AN73" s="658"/>
      <c r="AO73" s="183"/>
      <c r="AP73" s="183"/>
      <c r="AQ73" s="183"/>
      <c r="AR73" s="520" t="e">
        <f t="shared" si="139"/>
        <v>#N/A</v>
      </c>
      <c r="AS73" s="658"/>
      <c r="AT73" s="183"/>
      <c r="AU73" s="183"/>
      <c r="AV73" s="183"/>
      <c r="AW73" s="520" t="e">
        <f t="shared" si="141"/>
        <v>#N/A</v>
      </c>
      <c r="AX73" s="658"/>
    </row>
    <row r="74" spans="2:50">
      <c r="B74" s="627"/>
      <c r="C74" s="317">
        <v>8</v>
      </c>
      <c r="D74" s="228"/>
      <c r="E74" s="183"/>
      <c r="F74" s="470"/>
      <c r="G74" s="471"/>
      <c r="H74" s="662"/>
      <c r="I74" s="200" t="e">
        <f t="shared" ref="I74:K74" si="147">AVERAGE(P74,U74,Z74,AE74,AJ74,AO74,AT74)</f>
        <v>#DIV/0!</v>
      </c>
      <c r="J74" s="200" t="e">
        <f t="shared" si="147"/>
        <v>#DIV/0!</v>
      </c>
      <c r="K74" s="201" t="e">
        <f t="shared" si="147"/>
        <v>#DIV/0!</v>
      </c>
      <c r="L74" s="601"/>
      <c r="M74" s="202" t="e">
        <f>RANK(K74, K$67:$K$81)</f>
        <v>#DIV/0!</v>
      </c>
      <c r="N74" s="619"/>
      <c r="O74" s="619"/>
      <c r="P74" s="183"/>
      <c r="Q74" s="183"/>
      <c r="R74" s="183"/>
      <c r="S74" s="349" t="e">
        <f t="shared" si="146"/>
        <v>#N/A</v>
      </c>
      <c r="T74" s="658"/>
      <c r="U74" s="183"/>
      <c r="V74" s="183"/>
      <c r="W74" s="183"/>
      <c r="X74" s="520" t="e">
        <f t="shared" si="131"/>
        <v>#N/A</v>
      </c>
      <c r="Y74" s="658"/>
      <c r="Z74" s="183"/>
      <c r="AA74" s="183"/>
      <c r="AB74" s="183"/>
      <c r="AC74" s="520" t="e">
        <f t="shared" si="133"/>
        <v>#N/A</v>
      </c>
      <c r="AD74" s="658"/>
      <c r="AE74" s="183"/>
      <c r="AF74" s="183"/>
      <c r="AG74" s="183"/>
      <c r="AH74" s="520" t="e">
        <f t="shared" si="135"/>
        <v>#N/A</v>
      </c>
      <c r="AI74" s="658"/>
      <c r="AJ74" s="183"/>
      <c r="AK74" s="183"/>
      <c r="AL74" s="183"/>
      <c r="AM74" s="520" t="e">
        <f t="shared" si="137"/>
        <v>#N/A</v>
      </c>
      <c r="AN74" s="658"/>
      <c r="AO74" s="183"/>
      <c r="AP74" s="183"/>
      <c r="AQ74" s="183"/>
      <c r="AR74" s="520" t="e">
        <f t="shared" si="139"/>
        <v>#N/A</v>
      </c>
      <c r="AS74" s="658"/>
      <c r="AT74" s="183"/>
      <c r="AU74" s="183"/>
      <c r="AV74" s="183"/>
      <c r="AW74" s="520" t="e">
        <f t="shared" si="141"/>
        <v>#N/A</v>
      </c>
      <c r="AX74" s="658"/>
    </row>
    <row r="75" spans="2:50">
      <c r="B75" s="627"/>
      <c r="C75" s="317">
        <v>9</v>
      </c>
      <c r="D75" s="228"/>
      <c r="E75" s="183"/>
      <c r="F75" s="470"/>
      <c r="G75" s="471"/>
      <c r="H75" s="662"/>
      <c r="I75" s="200"/>
      <c r="J75" s="200"/>
      <c r="K75" s="201"/>
      <c r="L75" s="601"/>
      <c r="M75" s="202" t="e">
        <f>RANK(K75, K$67:$K$81)</f>
        <v>#DIV/0!</v>
      </c>
      <c r="N75" s="619"/>
      <c r="O75" s="619"/>
      <c r="P75" s="183"/>
      <c r="Q75" s="183"/>
      <c r="R75" s="183"/>
      <c r="S75" s="349" t="e">
        <f t="shared" si="146"/>
        <v>#N/A</v>
      </c>
      <c r="T75" s="658"/>
      <c r="U75" s="183"/>
      <c r="V75" s="183"/>
      <c r="W75" s="183"/>
      <c r="X75" s="520" t="e">
        <f t="shared" si="131"/>
        <v>#N/A</v>
      </c>
      <c r="Y75" s="658"/>
      <c r="Z75" s="183"/>
      <c r="AA75" s="183"/>
      <c r="AB75" s="183"/>
      <c r="AC75" s="520" t="e">
        <f t="shared" si="133"/>
        <v>#N/A</v>
      </c>
      <c r="AD75" s="658"/>
      <c r="AE75" s="183"/>
      <c r="AF75" s="183"/>
      <c r="AG75" s="183"/>
      <c r="AH75" s="520" t="e">
        <f t="shared" si="135"/>
        <v>#N/A</v>
      </c>
      <c r="AI75" s="658"/>
      <c r="AJ75" s="183"/>
      <c r="AK75" s="183"/>
      <c r="AL75" s="183"/>
      <c r="AM75" s="520" t="e">
        <f t="shared" si="137"/>
        <v>#N/A</v>
      </c>
      <c r="AN75" s="658"/>
      <c r="AO75" s="183"/>
      <c r="AP75" s="183"/>
      <c r="AQ75" s="183"/>
      <c r="AR75" s="520" t="e">
        <f t="shared" si="139"/>
        <v>#N/A</v>
      </c>
      <c r="AS75" s="658"/>
      <c r="AT75" s="183"/>
      <c r="AU75" s="183"/>
      <c r="AV75" s="183"/>
      <c r="AW75" s="520" t="e">
        <f t="shared" si="141"/>
        <v>#N/A</v>
      </c>
      <c r="AX75" s="658"/>
    </row>
    <row r="76" spans="2:50">
      <c r="B76" s="627"/>
      <c r="C76" s="317">
        <v>10</v>
      </c>
      <c r="D76" s="228"/>
      <c r="E76" s="183"/>
      <c r="F76" s="470"/>
      <c r="G76" s="471"/>
      <c r="H76" s="662"/>
      <c r="I76" s="200"/>
      <c r="J76" s="200"/>
      <c r="K76" s="201"/>
      <c r="L76" s="601"/>
      <c r="M76" s="202" t="e">
        <f>RANK(K76, K$67:$K$81)</f>
        <v>#DIV/0!</v>
      </c>
      <c r="N76" s="619"/>
      <c r="O76" s="619"/>
      <c r="P76" s="183"/>
      <c r="Q76" s="183"/>
      <c r="R76" s="183"/>
      <c r="S76" s="349" t="e">
        <f t="shared" si="146"/>
        <v>#N/A</v>
      </c>
      <c r="T76" s="658"/>
      <c r="U76" s="183"/>
      <c r="V76" s="183"/>
      <c r="W76" s="183"/>
      <c r="X76" s="520" t="e">
        <f t="shared" si="131"/>
        <v>#N/A</v>
      </c>
      <c r="Y76" s="658"/>
      <c r="Z76" s="183"/>
      <c r="AA76" s="183"/>
      <c r="AB76" s="183"/>
      <c r="AC76" s="520" t="e">
        <f t="shared" si="133"/>
        <v>#N/A</v>
      </c>
      <c r="AD76" s="658"/>
      <c r="AE76" s="183"/>
      <c r="AF76" s="183"/>
      <c r="AG76" s="183"/>
      <c r="AH76" s="520" t="e">
        <f t="shared" si="135"/>
        <v>#N/A</v>
      </c>
      <c r="AI76" s="658"/>
      <c r="AJ76" s="183"/>
      <c r="AK76" s="183"/>
      <c r="AL76" s="183"/>
      <c r="AM76" s="520" t="e">
        <f t="shared" si="137"/>
        <v>#N/A</v>
      </c>
      <c r="AN76" s="658"/>
      <c r="AO76" s="183"/>
      <c r="AP76" s="183"/>
      <c r="AQ76" s="183"/>
      <c r="AR76" s="520" t="e">
        <f t="shared" si="139"/>
        <v>#N/A</v>
      </c>
      <c r="AS76" s="658"/>
      <c r="AT76" s="183"/>
      <c r="AU76" s="183"/>
      <c r="AV76" s="183"/>
      <c r="AW76" s="520" t="e">
        <f t="shared" si="141"/>
        <v>#N/A</v>
      </c>
      <c r="AX76" s="658"/>
    </row>
    <row r="77" spans="2:50">
      <c r="B77" s="627"/>
      <c r="C77" s="317">
        <v>11</v>
      </c>
      <c r="D77" s="228"/>
      <c r="E77" s="183"/>
      <c r="F77" s="470"/>
      <c r="G77" s="471"/>
      <c r="H77" s="662"/>
      <c r="I77" s="203"/>
      <c r="J77" s="203"/>
      <c r="K77" s="203"/>
      <c r="L77" s="601"/>
      <c r="M77" s="202" t="e">
        <f>RANK(K77, K$67:$K$81)</f>
        <v>#DIV/0!</v>
      </c>
      <c r="N77" s="619"/>
      <c r="O77" s="619"/>
      <c r="P77" s="183"/>
      <c r="Q77" s="183"/>
      <c r="R77" s="183"/>
      <c r="S77" s="349" t="e">
        <f t="shared" si="146"/>
        <v>#N/A</v>
      </c>
      <c r="T77" s="658"/>
      <c r="U77" s="183"/>
      <c r="V77" s="183"/>
      <c r="W77" s="183"/>
      <c r="X77" s="520" t="e">
        <f t="shared" si="131"/>
        <v>#N/A</v>
      </c>
      <c r="Y77" s="658"/>
      <c r="Z77" s="183"/>
      <c r="AA77" s="183"/>
      <c r="AB77" s="183"/>
      <c r="AC77" s="520" t="e">
        <f t="shared" si="133"/>
        <v>#N/A</v>
      </c>
      <c r="AD77" s="658"/>
      <c r="AE77" s="183"/>
      <c r="AF77" s="183"/>
      <c r="AG77" s="183"/>
      <c r="AH77" s="520" t="e">
        <f t="shared" si="135"/>
        <v>#N/A</v>
      </c>
      <c r="AI77" s="658"/>
      <c r="AJ77" s="183"/>
      <c r="AK77" s="183"/>
      <c r="AL77" s="183"/>
      <c r="AM77" s="520" t="e">
        <f t="shared" si="137"/>
        <v>#N/A</v>
      </c>
      <c r="AN77" s="658"/>
      <c r="AO77" s="183"/>
      <c r="AP77" s="183"/>
      <c r="AQ77" s="183"/>
      <c r="AR77" s="520" t="e">
        <f t="shared" si="139"/>
        <v>#N/A</v>
      </c>
      <c r="AS77" s="658"/>
      <c r="AT77" s="183"/>
      <c r="AU77" s="183"/>
      <c r="AV77" s="183"/>
      <c r="AW77" s="520" t="e">
        <f t="shared" si="141"/>
        <v>#N/A</v>
      </c>
      <c r="AX77" s="658"/>
    </row>
    <row r="78" spans="2:50">
      <c r="B78" s="627"/>
      <c r="C78" s="317">
        <v>12</v>
      </c>
      <c r="D78" s="228"/>
      <c r="E78" s="183"/>
      <c r="F78" s="470"/>
      <c r="G78" s="471"/>
      <c r="H78" s="662"/>
      <c r="I78" s="203"/>
      <c r="J78" s="203"/>
      <c r="K78" s="203"/>
      <c r="L78" s="601"/>
      <c r="M78" s="202" t="e">
        <f>RANK(K78, K$67:$K$81)</f>
        <v>#DIV/0!</v>
      </c>
      <c r="N78" s="619"/>
      <c r="O78" s="619"/>
      <c r="P78" s="183"/>
      <c r="Q78" s="183"/>
      <c r="R78" s="183"/>
      <c r="S78" s="349" t="e">
        <f t="shared" si="146"/>
        <v>#N/A</v>
      </c>
      <c r="T78" s="658"/>
      <c r="U78" s="183"/>
      <c r="V78" s="183"/>
      <c r="W78" s="183"/>
      <c r="X78" s="520" t="e">
        <f t="shared" si="131"/>
        <v>#N/A</v>
      </c>
      <c r="Y78" s="658"/>
      <c r="Z78" s="183"/>
      <c r="AA78" s="183"/>
      <c r="AB78" s="183"/>
      <c r="AC78" s="520" t="e">
        <f t="shared" si="133"/>
        <v>#N/A</v>
      </c>
      <c r="AD78" s="658"/>
      <c r="AE78" s="183"/>
      <c r="AF78" s="183"/>
      <c r="AG78" s="183"/>
      <c r="AH78" s="520" t="e">
        <f t="shared" si="135"/>
        <v>#N/A</v>
      </c>
      <c r="AI78" s="658"/>
      <c r="AJ78" s="183"/>
      <c r="AK78" s="183"/>
      <c r="AL78" s="183"/>
      <c r="AM78" s="520" t="e">
        <f t="shared" si="137"/>
        <v>#N/A</v>
      </c>
      <c r="AN78" s="658"/>
      <c r="AO78" s="183"/>
      <c r="AP78" s="183"/>
      <c r="AQ78" s="183"/>
      <c r="AR78" s="520" t="e">
        <f t="shared" si="139"/>
        <v>#N/A</v>
      </c>
      <c r="AS78" s="658"/>
      <c r="AT78" s="183"/>
      <c r="AU78" s="183"/>
      <c r="AV78" s="183"/>
      <c r="AW78" s="520" t="e">
        <f t="shared" si="141"/>
        <v>#N/A</v>
      </c>
      <c r="AX78" s="658"/>
    </row>
    <row r="79" spans="2:50">
      <c r="B79" s="627"/>
      <c r="C79" s="317">
        <v>13</v>
      </c>
      <c r="D79" s="228"/>
      <c r="E79" s="183"/>
      <c r="F79" s="470"/>
      <c r="G79" s="471"/>
      <c r="H79" s="662"/>
      <c r="I79" s="203"/>
      <c r="J79" s="203"/>
      <c r="K79" s="203"/>
      <c r="L79" s="601"/>
      <c r="M79" s="202" t="e">
        <f>RANK(K79, K$67:$K$81)</f>
        <v>#DIV/0!</v>
      </c>
      <c r="N79" s="619"/>
      <c r="O79" s="619"/>
      <c r="P79" s="183"/>
      <c r="Q79" s="183"/>
      <c r="R79" s="183"/>
      <c r="S79" s="349" t="e">
        <f t="shared" si="146"/>
        <v>#N/A</v>
      </c>
      <c r="T79" s="658"/>
      <c r="U79" s="183"/>
      <c r="V79" s="183"/>
      <c r="W79" s="183"/>
      <c r="X79" s="520" t="e">
        <f t="shared" si="131"/>
        <v>#N/A</v>
      </c>
      <c r="Y79" s="658"/>
      <c r="Z79" s="183"/>
      <c r="AA79" s="183"/>
      <c r="AB79" s="183"/>
      <c r="AC79" s="520" t="e">
        <f t="shared" si="133"/>
        <v>#N/A</v>
      </c>
      <c r="AD79" s="658"/>
      <c r="AE79" s="183"/>
      <c r="AF79" s="183"/>
      <c r="AG79" s="183"/>
      <c r="AH79" s="520" t="e">
        <f t="shared" si="135"/>
        <v>#N/A</v>
      </c>
      <c r="AI79" s="658"/>
      <c r="AJ79" s="183"/>
      <c r="AK79" s="183"/>
      <c r="AL79" s="183"/>
      <c r="AM79" s="520" t="e">
        <f t="shared" si="137"/>
        <v>#N/A</v>
      </c>
      <c r="AN79" s="658"/>
      <c r="AO79" s="183"/>
      <c r="AP79" s="183"/>
      <c r="AQ79" s="183"/>
      <c r="AR79" s="520" t="e">
        <f t="shared" si="139"/>
        <v>#N/A</v>
      </c>
      <c r="AS79" s="658"/>
      <c r="AT79" s="183"/>
      <c r="AU79" s="183"/>
      <c r="AV79" s="183"/>
      <c r="AW79" s="520" t="e">
        <f t="shared" si="141"/>
        <v>#N/A</v>
      </c>
      <c r="AX79" s="658"/>
    </row>
    <row r="80" spans="2:50">
      <c r="B80" s="627"/>
      <c r="C80" s="317">
        <v>14</v>
      </c>
      <c r="D80" s="228"/>
      <c r="E80" s="183"/>
      <c r="F80" s="470"/>
      <c r="G80" s="471"/>
      <c r="H80" s="662"/>
      <c r="I80" s="203"/>
      <c r="J80" s="203"/>
      <c r="K80" s="203"/>
      <c r="L80" s="601"/>
      <c r="M80" s="202" t="e">
        <f>RANK(K80, K$67:$K$81)</f>
        <v>#DIV/0!</v>
      </c>
      <c r="N80" s="619"/>
      <c r="O80" s="619"/>
      <c r="P80" s="183"/>
      <c r="Q80" s="183"/>
      <c r="R80" s="183"/>
      <c r="S80" s="349" t="e">
        <f t="shared" si="146"/>
        <v>#N/A</v>
      </c>
      <c r="T80" s="658"/>
      <c r="U80" s="183"/>
      <c r="V80" s="183"/>
      <c r="W80" s="183"/>
      <c r="X80" s="520" t="e">
        <f t="shared" si="131"/>
        <v>#N/A</v>
      </c>
      <c r="Y80" s="658"/>
      <c r="Z80" s="183"/>
      <c r="AA80" s="183"/>
      <c r="AB80" s="183"/>
      <c r="AC80" s="520" t="e">
        <f t="shared" si="133"/>
        <v>#N/A</v>
      </c>
      <c r="AD80" s="658"/>
      <c r="AE80" s="183"/>
      <c r="AF80" s="183"/>
      <c r="AG80" s="183"/>
      <c r="AH80" s="520" t="e">
        <f t="shared" si="135"/>
        <v>#N/A</v>
      </c>
      <c r="AI80" s="658"/>
      <c r="AJ80" s="183"/>
      <c r="AK80" s="183"/>
      <c r="AL80" s="183"/>
      <c r="AM80" s="520" t="e">
        <f t="shared" si="137"/>
        <v>#N/A</v>
      </c>
      <c r="AN80" s="658"/>
      <c r="AO80" s="183"/>
      <c r="AP80" s="183"/>
      <c r="AQ80" s="183"/>
      <c r="AR80" s="520" t="e">
        <f t="shared" si="139"/>
        <v>#N/A</v>
      </c>
      <c r="AS80" s="658"/>
      <c r="AT80" s="183"/>
      <c r="AU80" s="183"/>
      <c r="AV80" s="183"/>
      <c r="AW80" s="520" t="e">
        <f t="shared" si="141"/>
        <v>#N/A</v>
      </c>
      <c r="AX80" s="658"/>
    </row>
    <row r="81" spans="2:50">
      <c r="B81" s="627"/>
      <c r="C81" s="317">
        <v>15</v>
      </c>
      <c r="D81" s="228"/>
      <c r="E81" s="183"/>
      <c r="F81" s="470"/>
      <c r="G81" s="471"/>
      <c r="H81" s="663"/>
      <c r="I81" s="203"/>
      <c r="J81" s="203"/>
      <c r="K81" s="203"/>
      <c r="L81" s="602"/>
      <c r="M81" s="202" t="e">
        <f>RANK(K81, K$67:$K$81)</f>
        <v>#DIV/0!</v>
      </c>
      <c r="N81" s="619"/>
      <c r="O81" s="619"/>
      <c r="P81" s="183"/>
      <c r="Q81" s="183"/>
      <c r="R81" s="183"/>
      <c r="S81" s="349" t="e">
        <f t="shared" si="146"/>
        <v>#N/A</v>
      </c>
      <c r="T81" s="658"/>
      <c r="U81" s="183"/>
      <c r="V81" s="183"/>
      <c r="W81" s="183"/>
      <c r="X81" s="520" t="e">
        <f t="shared" si="131"/>
        <v>#N/A</v>
      </c>
      <c r="Y81" s="658"/>
      <c r="Z81" s="183"/>
      <c r="AA81" s="183"/>
      <c r="AB81" s="183"/>
      <c r="AC81" s="520" t="e">
        <f t="shared" si="133"/>
        <v>#N/A</v>
      </c>
      <c r="AD81" s="658"/>
      <c r="AE81" s="183"/>
      <c r="AF81" s="183"/>
      <c r="AG81" s="183"/>
      <c r="AH81" s="520" t="e">
        <f t="shared" si="135"/>
        <v>#N/A</v>
      </c>
      <c r="AI81" s="658"/>
      <c r="AJ81" s="183"/>
      <c r="AK81" s="183"/>
      <c r="AL81" s="183"/>
      <c r="AM81" s="520" t="e">
        <f t="shared" si="137"/>
        <v>#N/A</v>
      </c>
      <c r="AN81" s="658"/>
      <c r="AO81" s="183"/>
      <c r="AP81" s="183"/>
      <c r="AQ81" s="183"/>
      <c r="AR81" s="520" t="e">
        <f t="shared" si="139"/>
        <v>#N/A</v>
      </c>
      <c r="AS81" s="658"/>
      <c r="AT81" s="183"/>
      <c r="AU81" s="183"/>
      <c r="AV81" s="183"/>
      <c r="AW81" s="520" t="e">
        <f t="shared" si="141"/>
        <v>#N/A</v>
      </c>
      <c r="AX81" s="658"/>
    </row>
    <row r="82" spans="2:50" ht="15.5">
      <c r="B82" s="631" t="s">
        <v>163</v>
      </c>
      <c r="C82" s="632"/>
      <c r="D82" s="632"/>
      <c r="E82" s="632"/>
      <c r="F82" s="632"/>
      <c r="G82" s="632"/>
      <c r="H82" s="633"/>
      <c r="I82" s="209"/>
      <c r="J82" s="209"/>
      <c r="K82" s="209"/>
      <c r="L82" s="209"/>
      <c r="M82" s="208"/>
      <c r="N82" s="620" t="s">
        <v>156</v>
      </c>
      <c r="O82" s="620" t="s">
        <v>105</v>
      </c>
      <c r="P82" s="626">
        <f>P62+7</f>
        <v>46014</v>
      </c>
      <c r="Q82" s="627"/>
      <c r="R82" s="627"/>
      <c r="S82" s="627"/>
      <c r="T82" s="627"/>
      <c r="U82" s="623">
        <f>P82+1</f>
        <v>46015</v>
      </c>
      <c r="V82" s="624"/>
      <c r="W82" s="624"/>
      <c r="X82" s="624"/>
      <c r="Y82" s="625"/>
      <c r="Z82" s="623">
        <f>U82+1</f>
        <v>46016</v>
      </c>
      <c r="AA82" s="624"/>
      <c r="AB82" s="624"/>
      <c r="AC82" s="624"/>
      <c r="AD82" s="625"/>
      <c r="AE82" s="623">
        <f>Z82+1</f>
        <v>46017</v>
      </c>
      <c r="AF82" s="624"/>
      <c r="AG82" s="624"/>
      <c r="AH82" s="624"/>
      <c r="AI82" s="625"/>
      <c r="AJ82" s="623">
        <f>AE82+1</f>
        <v>46018</v>
      </c>
      <c r="AK82" s="624"/>
      <c r="AL82" s="624"/>
      <c r="AM82" s="624"/>
      <c r="AN82" s="625"/>
      <c r="AO82" s="623">
        <f>AJ82+1</f>
        <v>46019</v>
      </c>
      <c r="AP82" s="624"/>
      <c r="AQ82" s="624"/>
      <c r="AR82" s="624"/>
      <c r="AS82" s="625"/>
      <c r="AT82" s="623">
        <f>AO82+1</f>
        <v>46020</v>
      </c>
      <c r="AU82" s="624"/>
      <c r="AV82" s="624"/>
      <c r="AW82" s="624"/>
      <c r="AX82" s="625"/>
    </row>
    <row r="83" spans="2:50" ht="15.5">
      <c r="B83" s="634"/>
      <c r="C83" s="634"/>
      <c r="D83" s="634"/>
      <c r="E83" s="634"/>
      <c r="F83" s="634"/>
      <c r="G83" s="634"/>
      <c r="H83" s="634"/>
      <c r="I83" s="206"/>
      <c r="J83" s="206"/>
      <c r="K83" s="206"/>
      <c r="L83" s="206"/>
      <c r="M83" s="207"/>
      <c r="N83" s="622"/>
      <c r="O83" s="622"/>
      <c r="P83" s="626" t="s">
        <v>336</v>
      </c>
      <c r="Q83" s="627"/>
      <c r="R83" s="627"/>
      <c r="S83" s="627"/>
      <c r="T83" s="627"/>
      <c r="U83" s="626" t="s">
        <v>337</v>
      </c>
      <c r="V83" s="627"/>
      <c r="W83" s="627"/>
      <c r="X83" s="627"/>
      <c r="Y83" s="627"/>
      <c r="Z83" s="626" t="s">
        <v>338</v>
      </c>
      <c r="AA83" s="627"/>
      <c r="AB83" s="627"/>
      <c r="AC83" s="627"/>
      <c r="AD83" s="627"/>
      <c r="AE83" s="626" t="s">
        <v>339</v>
      </c>
      <c r="AF83" s="627"/>
      <c r="AG83" s="627"/>
      <c r="AH83" s="627"/>
      <c r="AI83" s="627"/>
      <c r="AJ83" s="626" t="s">
        <v>340</v>
      </c>
      <c r="AK83" s="627"/>
      <c r="AL83" s="627"/>
      <c r="AM83" s="627"/>
      <c r="AN83" s="627"/>
      <c r="AO83" s="626" t="s">
        <v>341</v>
      </c>
      <c r="AP83" s="627"/>
      <c r="AQ83" s="627"/>
      <c r="AR83" s="627"/>
      <c r="AS83" s="627"/>
      <c r="AT83" s="626" t="s">
        <v>342</v>
      </c>
      <c r="AU83" s="627"/>
      <c r="AV83" s="627"/>
      <c r="AW83" s="627"/>
      <c r="AX83" s="627"/>
    </row>
    <row r="84" spans="2:50">
      <c r="B84" s="619" t="s">
        <v>484</v>
      </c>
      <c r="C84" s="619" t="s">
        <v>485</v>
      </c>
      <c r="D84" s="619"/>
      <c r="E84" s="619" t="s">
        <v>486</v>
      </c>
      <c r="F84" s="619"/>
      <c r="G84" s="619"/>
      <c r="H84" s="635" t="s">
        <v>487</v>
      </c>
      <c r="I84" s="603" t="s">
        <v>488</v>
      </c>
      <c r="J84" s="603"/>
      <c r="K84" s="603"/>
      <c r="L84" s="604" t="s">
        <v>487</v>
      </c>
      <c r="M84" s="610" t="s">
        <v>489</v>
      </c>
      <c r="N84" s="619"/>
      <c r="O84" s="619" t="s">
        <v>490</v>
      </c>
      <c r="P84" s="616" t="s">
        <v>491</v>
      </c>
      <c r="Q84" s="617"/>
      <c r="R84" s="617"/>
      <c r="S84" s="618"/>
      <c r="T84" s="619" t="s">
        <v>487</v>
      </c>
      <c r="U84" s="616" t="s">
        <v>491</v>
      </c>
      <c r="V84" s="617"/>
      <c r="W84" s="617"/>
      <c r="X84" s="618"/>
      <c r="Y84" s="619" t="s">
        <v>487</v>
      </c>
      <c r="Z84" s="616" t="s">
        <v>491</v>
      </c>
      <c r="AA84" s="617"/>
      <c r="AB84" s="617"/>
      <c r="AC84" s="618"/>
      <c r="AD84" s="619" t="s">
        <v>487</v>
      </c>
      <c r="AE84" s="616" t="s">
        <v>491</v>
      </c>
      <c r="AF84" s="617"/>
      <c r="AG84" s="617"/>
      <c r="AH84" s="618"/>
      <c r="AI84" s="619" t="s">
        <v>487</v>
      </c>
      <c r="AJ84" s="616" t="s">
        <v>491</v>
      </c>
      <c r="AK84" s="617"/>
      <c r="AL84" s="617"/>
      <c r="AM84" s="618"/>
      <c r="AN84" s="619" t="s">
        <v>487</v>
      </c>
      <c r="AO84" s="616" t="s">
        <v>491</v>
      </c>
      <c r="AP84" s="617"/>
      <c r="AQ84" s="617"/>
      <c r="AR84" s="618"/>
      <c r="AS84" s="619" t="s">
        <v>487</v>
      </c>
      <c r="AT84" s="616" t="s">
        <v>491</v>
      </c>
      <c r="AU84" s="617"/>
      <c r="AV84" s="617"/>
      <c r="AW84" s="618"/>
      <c r="AX84" s="619" t="s">
        <v>487</v>
      </c>
    </row>
    <row r="85" spans="2:50">
      <c r="B85" s="619"/>
      <c r="C85" s="619"/>
      <c r="D85" s="619"/>
      <c r="E85" s="619" t="s">
        <v>492</v>
      </c>
      <c r="F85" s="619"/>
      <c r="G85" s="619"/>
      <c r="H85" s="636"/>
      <c r="I85" s="603" t="s">
        <v>492</v>
      </c>
      <c r="J85" s="603"/>
      <c r="K85" s="603"/>
      <c r="L85" s="605"/>
      <c r="M85" s="611"/>
      <c r="N85" s="619"/>
      <c r="O85" s="619"/>
      <c r="P85" s="616" t="s">
        <v>493</v>
      </c>
      <c r="Q85" s="617"/>
      <c r="R85" s="617"/>
      <c r="S85" s="618"/>
      <c r="T85" s="619"/>
      <c r="U85" s="616" t="s">
        <v>493</v>
      </c>
      <c r="V85" s="617"/>
      <c r="W85" s="617"/>
      <c r="X85" s="618"/>
      <c r="Y85" s="619"/>
      <c r="Z85" s="616" t="s">
        <v>493</v>
      </c>
      <c r="AA85" s="617"/>
      <c r="AB85" s="617"/>
      <c r="AC85" s="618"/>
      <c r="AD85" s="619"/>
      <c r="AE85" s="616" t="s">
        <v>493</v>
      </c>
      <c r="AF85" s="617"/>
      <c r="AG85" s="617"/>
      <c r="AH85" s="618"/>
      <c r="AI85" s="619"/>
      <c r="AJ85" s="616" t="s">
        <v>493</v>
      </c>
      <c r="AK85" s="617"/>
      <c r="AL85" s="617"/>
      <c r="AM85" s="618"/>
      <c r="AN85" s="619"/>
      <c r="AO85" s="616" t="s">
        <v>493</v>
      </c>
      <c r="AP85" s="617"/>
      <c r="AQ85" s="617"/>
      <c r="AR85" s="618"/>
      <c r="AS85" s="619"/>
      <c r="AT85" s="616" t="s">
        <v>493</v>
      </c>
      <c r="AU85" s="617"/>
      <c r="AV85" s="617"/>
      <c r="AW85" s="618"/>
      <c r="AX85" s="619"/>
    </row>
    <row r="86" spans="2:50">
      <c r="B86" s="619"/>
      <c r="C86" s="619"/>
      <c r="D86" s="619"/>
      <c r="E86" s="307" t="s">
        <v>494</v>
      </c>
      <c r="F86" s="307" t="s">
        <v>495</v>
      </c>
      <c r="G86" s="307" t="s">
        <v>496</v>
      </c>
      <c r="H86" s="637"/>
      <c r="I86" s="308" t="s">
        <v>494</v>
      </c>
      <c r="J86" s="308" t="s">
        <v>495</v>
      </c>
      <c r="K86" s="308" t="s">
        <v>496</v>
      </c>
      <c r="L86" s="606"/>
      <c r="M86" s="612"/>
      <c r="N86" s="619"/>
      <c r="O86" s="619"/>
      <c r="P86" s="307" t="s">
        <v>494</v>
      </c>
      <c r="Q86" s="307" t="s">
        <v>495</v>
      </c>
      <c r="R86" s="307" t="s">
        <v>496</v>
      </c>
      <c r="S86" s="307" t="s">
        <v>489</v>
      </c>
      <c r="T86" s="619"/>
      <c r="U86" s="307" t="s">
        <v>494</v>
      </c>
      <c r="V86" s="307" t="s">
        <v>495</v>
      </c>
      <c r="W86" s="307" t="s">
        <v>496</v>
      </c>
      <c r="X86" s="307" t="s">
        <v>489</v>
      </c>
      <c r="Y86" s="619"/>
      <c r="Z86" s="307" t="s">
        <v>494</v>
      </c>
      <c r="AA86" s="307" t="s">
        <v>495</v>
      </c>
      <c r="AB86" s="307" t="s">
        <v>496</v>
      </c>
      <c r="AC86" s="307" t="s">
        <v>489</v>
      </c>
      <c r="AD86" s="619"/>
      <c r="AE86" s="307" t="s">
        <v>494</v>
      </c>
      <c r="AF86" s="307" t="s">
        <v>495</v>
      </c>
      <c r="AG86" s="307" t="s">
        <v>496</v>
      </c>
      <c r="AH86" s="307" t="s">
        <v>489</v>
      </c>
      <c r="AI86" s="619"/>
      <c r="AJ86" s="307" t="s">
        <v>494</v>
      </c>
      <c r="AK86" s="307" t="s">
        <v>495</v>
      </c>
      <c r="AL86" s="307" t="s">
        <v>496</v>
      </c>
      <c r="AM86" s="307" t="s">
        <v>489</v>
      </c>
      <c r="AN86" s="619"/>
      <c r="AO86" s="307" t="s">
        <v>494</v>
      </c>
      <c r="AP86" s="307" t="s">
        <v>495</v>
      </c>
      <c r="AQ86" s="307" t="s">
        <v>496</v>
      </c>
      <c r="AR86" s="307" t="s">
        <v>489</v>
      </c>
      <c r="AS86" s="619"/>
      <c r="AT86" s="307" t="s">
        <v>494</v>
      </c>
      <c r="AU86" s="307" t="s">
        <v>495</v>
      </c>
      <c r="AV86" s="307" t="s">
        <v>496</v>
      </c>
      <c r="AW86" s="307" t="s">
        <v>489</v>
      </c>
      <c r="AX86" s="619"/>
    </row>
    <row r="87" spans="2:50">
      <c r="B87" s="619" t="s">
        <v>501</v>
      </c>
      <c r="C87" s="306">
        <v>1</v>
      </c>
      <c r="D87" s="228"/>
      <c r="E87" s="183"/>
      <c r="F87" s="470"/>
      <c r="G87" s="471"/>
      <c r="H87" s="661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00" t="str">
        <f>IFERROR(AVERAGE(K87:K101),"-")</f>
        <v>-</v>
      </c>
      <c r="M87" s="202" t="e">
        <f>RANK(K87, K$87:$K$101)</f>
        <v>#DIV/0!</v>
      </c>
      <c r="N87" s="619"/>
      <c r="O87" s="619"/>
      <c r="P87" s="183"/>
      <c r="Q87" s="183"/>
      <c r="R87" s="183"/>
      <c r="S87" s="306" t="e">
        <f>RANK(R87, R$87:R$101)</f>
        <v>#N/A</v>
      </c>
      <c r="T87" s="658" t="e">
        <f>AVERAGE(R87:R101)</f>
        <v>#DIV/0!</v>
      </c>
      <c r="U87" s="183"/>
      <c r="V87" s="183"/>
      <c r="W87" s="183"/>
      <c r="X87" s="520" t="e">
        <f t="shared" ref="X87:X101" si="148">RANK(W87, W$87:W$101)</f>
        <v>#N/A</v>
      </c>
      <c r="Y87" s="658" t="e">
        <f t="shared" ref="Y87" si="149">AVERAGE(W87:W101)</f>
        <v>#DIV/0!</v>
      </c>
      <c r="Z87" s="183"/>
      <c r="AA87" s="183"/>
      <c r="AB87" s="183"/>
      <c r="AC87" s="520" t="e">
        <f t="shared" ref="AC87:AC101" si="150">RANK(AB87, AB$87:AB$101)</f>
        <v>#N/A</v>
      </c>
      <c r="AD87" s="658" t="e">
        <f t="shared" ref="AD87" si="151">AVERAGE(AB87:AB101)</f>
        <v>#DIV/0!</v>
      </c>
      <c r="AE87" s="183"/>
      <c r="AF87" s="183"/>
      <c r="AG87" s="183"/>
      <c r="AH87" s="520" t="e">
        <f t="shared" ref="AH87:AH101" si="152">RANK(AG87, AG$87:AG$101)</f>
        <v>#N/A</v>
      </c>
      <c r="AI87" s="658" t="e">
        <f t="shared" ref="AI87" si="153">AVERAGE(AG87:AG101)</f>
        <v>#DIV/0!</v>
      </c>
      <c r="AJ87" s="183"/>
      <c r="AK87" s="183"/>
      <c r="AL87" s="183"/>
      <c r="AM87" s="520" t="e">
        <f t="shared" ref="AM87:AM101" si="154">RANK(AL87, AL$87:AL$101)</f>
        <v>#N/A</v>
      </c>
      <c r="AN87" s="658" t="e">
        <f t="shared" ref="AN87" si="155">AVERAGE(AL87:AL101)</f>
        <v>#DIV/0!</v>
      </c>
      <c r="AO87" s="183"/>
      <c r="AP87" s="183"/>
      <c r="AQ87" s="183"/>
      <c r="AR87" s="520" t="e">
        <f t="shared" ref="AR87:AR101" si="156">RANK(AQ87, AQ$87:AQ$101)</f>
        <v>#N/A</v>
      </c>
      <c r="AS87" s="658" t="e">
        <f t="shared" ref="AS87" si="157">AVERAGE(AQ87:AQ101)</f>
        <v>#DIV/0!</v>
      </c>
      <c r="AT87" s="183"/>
      <c r="AU87" s="183"/>
      <c r="AV87" s="183"/>
      <c r="AW87" s="520" t="e">
        <f t="shared" ref="AW87:AW101" si="158">RANK(AV87, AV$87:AV$101)</f>
        <v>#N/A</v>
      </c>
      <c r="AX87" s="658" t="e">
        <f t="shared" ref="AX87" si="159">AVERAGE(AV87:AV101)</f>
        <v>#DIV/0!</v>
      </c>
    </row>
    <row r="88" spans="2:50">
      <c r="B88" s="627"/>
      <c r="C88" s="306">
        <v>2</v>
      </c>
      <c r="D88" s="228"/>
      <c r="E88" s="183"/>
      <c r="F88" s="470"/>
      <c r="G88" s="471"/>
      <c r="H88" s="662"/>
      <c r="I88" s="200" t="e">
        <f t="shared" ref="I88:K93" si="160">AVERAGE(P88,U88,Z88,AE88,AJ88,AO88,AT88)</f>
        <v>#DIV/0!</v>
      </c>
      <c r="J88" s="200" t="e">
        <f t="shared" si="160"/>
        <v>#DIV/0!</v>
      </c>
      <c r="K88" s="201" t="e">
        <f t="shared" si="160"/>
        <v>#DIV/0!</v>
      </c>
      <c r="L88" s="601"/>
      <c r="M88" s="202" t="e">
        <f>RANK(K88, K$87:$K$101)</f>
        <v>#DIV/0!</v>
      </c>
      <c r="N88" s="619"/>
      <c r="O88" s="619"/>
      <c r="P88" s="183"/>
      <c r="Q88" s="183"/>
      <c r="R88" s="183"/>
      <c r="S88" s="306" t="e">
        <f t="shared" ref="S88:S101" si="161">RANK(R88, R$87:R$101)</f>
        <v>#N/A</v>
      </c>
      <c r="T88" s="658"/>
      <c r="U88" s="183"/>
      <c r="V88" s="183"/>
      <c r="W88" s="183"/>
      <c r="X88" s="520" t="e">
        <f t="shared" si="148"/>
        <v>#N/A</v>
      </c>
      <c r="Y88" s="658"/>
      <c r="Z88" s="183"/>
      <c r="AA88" s="183"/>
      <c r="AB88" s="183"/>
      <c r="AC88" s="520" t="e">
        <f t="shared" si="150"/>
        <v>#N/A</v>
      </c>
      <c r="AD88" s="658"/>
      <c r="AE88" s="183"/>
      <c r="AF88" s="183"/>
      <c r="AG88" s="183"/>
      <c r="AH88" s="520" t="e">
        <f t="shared" si="152"/>
        <v>#N/A</v>
      </c>
      <c r="AI88" s="658"/>
      <c r="AJ88" s="183"/>
      <c r="AK88" s="183"/>
      <c r="AL88" s="183"/>
      <c r="AM88" s="520" t="e">
        <f t="shared" si="154"/>
        <v>#N/A</v>
      </c>
      <c r="AN88" s="658"/>
      <c r="AO88" s="183"/>
      <c r="AP88" s="183"/>
      <c r="AQ88" s="183"/>
      <c r="AR88" s="520" t="e">
        <f t="shared" si="156"/>
        <v>#N/A</v>
      </c>
      <c r="AS88" s="658"/>
      <c r="AT88" s="183"/>
      <c r="AU88" s="183"/>
      <c r="AV88" s="183"/>
      <c r="AW88" s="520" t="e">
        <f t="shared" si="158"/>
        <v>#N/A</v>
      </c>
      <c r="AX88" s="658"/>
    </row>
    <row r="89" spans="2:50">
      <c r="B89" s="627"/>
      <c r="C89" s="306">
        <v>3</v>
      </c>
      <c r="D89" s="228"/>
      <c r="E89" s="183"/>
      <c r="F89" s="470"/>
      <c r="G89" s="471"/>
      <c r="H89" s="662"/>
      <c r="I89" s="200" t="e">
        <f t="shared" si="160"/>
        <v>#DIV/0!</v>
      </c>
      <c r="J89" s="200" t="e">
        <f t="shared" si="160"/>
        <v>#DIV/0!</v>
      </c>
      <c r="K89" s="201" t="e">
        <f t="shared" si="160"/>
        <v>#DIV/0!</v>
      </c>
      <c r="L89" s="601"/>
      <c r="M89" s="202" t="e">
        <f>RANK(K89, K$87:$K$101)</f>
        <v>#DIV/0!</v>
      </c>
      <c r="N89" s="619"/>
      <c r="O89" s="619"/>
      <c r="P89" s="183"/>
      <c r="Q89" s="183"/>
      <c r="R89" s="183"/>
      <c r="S89" s="306" t="e">
        <f t="shared" si="161"/>
        <v>#N/A</v>
      </c>
      <c r="T89" s="658"/>
      <c r="U89" s="183"/>
      <c r="V89" s="183"/>
      <c r="W89" s="183"/>
      <c r="X89" s="520" t="e">
        <f t="shared" si="148"/>
        <v>#N/A</v>
      </c>
      <c r="Y89" s="658"/>
      <c r="Z89" s="183"/>
      <c r="AA89" s="183"/>
      <c r="AB89" s="183"/>
      <c r="AC89" s="520" t="e">
        <f t="shared" si="150"/>
        <v>#N/A</v>
      </c>
      <c r="AD89" s="658"/>
      <c r="AE89" s="183"/>
      <c r="AF89" s="183"/>
      <c r="AG89" s="183"/>
      <c r="AH89" s="520" t="e">
        <f t="shared" si="152"/>
        <v>#N/A</v>
      </c>
      <c r="AI89" s="658"/>
      <c r="AJ89" s="183"/>
      <c r="AK89" s="183"/>
      <c r="AL89" s="183"/>
      <c r="AM89" s="520" t="e">
        <f t="shared" si="154"/>
        <v>#N/A</v>
      </c>
      <c r="AN89" s="658"/>
      <c r="AO89" s="183"/>
      <c r="AP89" s="183"/>
      <c r="AQ89" s="183"/>
      <c r="AR89" s="520" t="e">
        <f t="shared" si="156"/>
        <v>#N/A</v>
      </c>
      <c r="AS89" s="658"/>
      <c r="AT89" s="183"/>
      <c r="AU89" s="183"/>
      <c r="AV89" s="183"/>
      <c r="AW89" s="520" t="e">
        <f t="shared" si="158"/>
        <v>#N/A</v>
      </c>
      <c r="AX89" s="658"/>
    </row>
    <row r="90" spans="2:50">
      <c r="B90" s="627"/>
      <c r="C90" s="306">
        <v>4</v>
      </c>
      <c r="D90" s="228"/>
      <c r="E90" s="183"/>
      <c r="F90" s="470"/>
      <c r="G90" s="471"/>
      <c r="H90" s="662"/>
      <c r="I90" s="200" t="e">
        <f t="shared" si="160"/>
        <v>#DIV/0!</v>
      </c>
      <c r="J90" s="200" t="e">
        <f t="shared" si="160"/>
        <v>#DIV/0!</v>
      </c>
      <c r="K90" s="201" t="e">
        <f t="shared" si="160"/>
        <v>#DIV/0!</v>
      </c>
      <c r="L90" s="601"/>
      <c r="M90" s="202" t="e">
        <f>RANK(K90, K$87:$K$101)</f>
        <v>#DIV/0!</v>
      </c>
      <c r="N90" s="619"/>
      <c r="O90" s="619"/>
      <c r="P90" s="183"/>
      <c r="Q90" s="183"/>
      <c r="R90" s="183"/>
      <c r="S90" s="306" t="e">
        <f t="shared" si="161"/>
        <v>#N/A</v>
      </c>
      <c r="T90" s="658"/>
      <c r="U90" s="183"/>
      <c r="V90" s="183"/>
      <c r="W90" s="183"/>
      <c r="X90" s="520" t="e">
        <f t="shared" si="148"/>
        <v>#N/A</v>
      </c>
      <c r="Y90" s="658"/>
      <c r="Z90" s="183"/>
      <c r="AA90" s="183"/>
      <c r="AB90" s="183"/>
      <c r="AC90" s="520" t="e">
        <f t="shared" si="150"/>
        <v>#N/A</v>
      </c>
      <c r="AD90" s="658"/>
      <c r="AE90" s="183"/>
      <c r="AF90" s="183"/>
      <c r="AG90" s="183"/>
      <c r="AH90" s="520" t="e">
        <f t="shared" si="152"/>
        <v>#N/A</v>
      </c>
      <c r="AI90" s="658"/>
      <c r="AJ90" s="183"/>
      <c r="AK90" s="183"/>
      <c r="AL90" s="183"/>
      <c r="AM90" s="520" t="e">
        <f t="shared" si="154"/>
        <v>#N/A</v>
      </c>
      <c r="AN90" s="658"/>
      <c r="AO90" s="183"/>
      <c r="AP90" s="183"/>
      <c r="AQ90" s="183"/>
      <c r="AR90" s="520" t="e">
        <f t="shared" si="156"/>
        <v>#N/A</v>
      </c>
      <c r="AS90" s="658"/>
      <c r="AT90" s="183"/>
      <c r="AU90" s="183"/>
      <c r="AV90" s="183"/>
      <c r="AW90" s="520" t="e">
        <f t="shared" si="158"/>
        <v>#N/A</v>
      </c>
      <c r="AX90" s="658"/>
    </row>
    <row r="91" spans="2:50">
      <c r="B91" s="627"/>
      <c r="C91" s="306">
        <v>5</v>
      </c>
      <c r="D91" s="228"/>
      <c r="E91" s="183"/>
      <c r="F91" s="470"/>
      <c r="G91" s="471"/>
      <c r="H91" s="662"/>
      <c r="I91" s="200" t="e">
        <f t="shared" si="160"/>
        <v>#DIV/0!</v>
      </c>
      <c r="J91" s="200" t="e">
        <f t="shared" si="160"/>
        <v>#DIV/0!</v>
      </c>
      <c r="K91" s="201" t="e">
        <f t="shared" si="160"/>
        <v>#DIV/0!</v>
      </c>
      <c r="L91" s="601"/>
      <c r="M91" s="202" t="e">
        <f>RANK(K91, K$87:$K$101)</f>
        <v>#DIV/0!</v>
      </c>
      <c r="N91" s="619"/>
      <c r="O91" s="619"/>
      <c r="P91" s="183"/>
      <c r="Q91" s="183"/>
      <c r="R91" s="183"/>
      <c r="S91" s="306" t="e">
        <f t="shared" si="161"/>
        <v>#N/A</v>
      </c>
      <c r="T91" s="658"/>
      <c r="U91" s="183"/>
      <c r="V91" s="183"/>
      <c r="W91" s="183"/>
      <c r="X91" s="520" t="e">
        <f t="shared" si="148"/>
        <v>#N/A</v>
      </c>
      <c r="Y91" s="658"/>
      <c r="Z91" s="183"/>
      <c r="AA91" s="183"/>
      <c r="AB91" s="183"/>
      <c r="AC91" s="520" t="e">
        <f t="shared" si="150"/>
        <v>#N/A</v>
      </c>
      <c r="AD91" s="658"/>
      <c r="AE91" s="183"/>
      <c r="AF91" s="183"/>
      <c r="AG91" s="183"/>
      <c r="AH91" s="520" t="e">
        <f t="shared" si="152"/>
        <v>#N/A</v>
      </c>
      <c r="AI91" s="658"/>
      <c r="AJ91" s="183"/>
      <c r="AK91" s="183"/>
      <c r="AL91" s="183"/>
      <c r="AM91" s="520" t="e">
        <f t="shared" si="154"/>
        <v>#N/A</v>
      </c>
      <c r="AN91" s="658"/>
      <c r="AO91" s="183"/>
      <c r="AP91" s="183"/>
      <c r="AQ91" s="183"/>
      <c r="AR91" s="520" t="e">
        <f t="shared" si="156"/>
        <v>#N/A</v>
      </c>
      <c r="AS91" s="658"/>
      <c r="AT91" s="183"/>
      <c r="AU91" s="183"/>
      <c r="AV91" s="183"/>
      <c r="AW91" s="520" t="e">
        <f t="shared" si="158"/>
        <v>#N/A</v>
      </c>
      <c r="AX91" s="658"/>
    </row>
    <row r="92" spans="2:50">
      <c r="B92" s="627"/>
      <c r="C92" s="306">
        <v>6</v>
      </c>
      <c r="D92" s="228"/>
      <c r="E92" s="183"/>
      <c r="F92" s="470"/>
      <c r="G92" s="471"/>
      <c r="H92" s="662"/>
      <c r="I92" s="200" t="e">
        <f t="shared" si="160"/>
        <v>#DIV/0!</v>
      </c>
      <c r="J92" s="200" t="e">
        <f t="shared" si="160"/>
        <v>#DIV/0!</v>
      </c>
      <c r="K92" s="201" t="e">
        <f t="shared" si="160"/>
        <v>#DIV/0!</v>
      </c>
      <c r="L92" s="601"/>
      <c r="M92" s="202" t="e">
        <f>RANK(K92, K$87:$K$101)</f>
        <v>#DIV/0!</v>
      </c>
      <c r="N92" s="619"/>
      <c r="O92" s="619"/>
      <c r="P92" s="183"/>
      <c r="Q92" s="183"/>
      <c r="R92" s="183"/>
      <c r="S92" s="306" t="e">
        <f t="shared" si="161"/>
        <v>#N/A</v>
      </c>
      <c r="T92" s="658"/>
      <c r="U92" s="183"/>
      <c r="V92" s="183"/>
      <c r="W92" s="183"/>
      <c r="X92" s="520" t="e">
        <f t="shared" si="148"/>
        <v>#N/A</v>
      </c>
      <c r="Y92" s="658"/>
      <c r="Z92" s="183"/>
      <c r="AA92" s="183"/>
      <c r="AB92" s="183"/>
      <c r="AC92" s="520" t="e">
        <f t="shared" si="150"/>
        <v>#N/A</v>
      </c>
      <c r="AD92" s="658"/>
      <c r="AE92" s="183"/>
      <c r="AF92" s="183"/>
      <c r="AG92" s="183"/>
      <c r="AH92" s="520" t="e">
        <f t="shared" si="152"/>
        <v>#N/A</v>
      </c>
      <c r="AI92" s="658"/>
      <c r="AJ92" s="183"/>
      <c r="AK92" s="183"/>
      <c r="AL92" s="183"/>
      <c r="AM92" s="520" t="e">
        <f t="shared" si="154"/>
        <v>#N/A</v>
      </c>
      <c r="AN92" s="658"/>
      <c r="AO92" s="183"/>
      <c r="AP92" s="183"/>
      <c r="AQ92" s="183"/>
      <c r="AR92" s="520" t="e">
        <f t="shared" si="156"/>
        <v>#N/A</v>
      </c>
      <c r="AS92" s="658"/>
      <c r="AT92" s="183"/>
      <c r="AU92" s="183"/>
      <c r="AV92" s="183"/>
      <c r="AW92" s="520" t="e">
        <f t="shared" si="158"/>
        <v>#N/A</v>
      </c>
      <c r="AX92" s="658"/>
    </row>
    <row r="93" spans="2:50">
      <c r="B93" s="627"/>
      <c r="C93" s="306">
        <v>7</v>
      </c>
      <c r="D93" s="228"/>
      <c r="E93" s="183"/>
      <c r="F93" s="470"/>
      <c r="G93" s="471"/>
      <c r="H93" s="662"/>
      <c r="I93" s="200" t="e">
        <f t="shared" si="160"/>
        <v>#DIV/0!</v>
      </c>
      <c r="J93" s="200" t="e">
        <f t="shared" si="160"/>
        <v>#DIV/0!</v>
      </c>
      <c r="K93" s="201" t="e">
        <f t="shared" si="160"/>
        <v>#DIV/0!</v>
      </c>
      <c r="L93" s="601"/>
      <c r="M93" s="202" t="e">
        <f>RANK(K93, K$87:$K$101)</f>
        <v>#DIV/0!</v>
      </c>
      <c r="N93" s="619"/>
      <c r="O93" s="619"/>
      <c r="P93" s="183"/>
      <c r="Q93" s="183"/>
      <c r="R93" s="183"/>
      <c r="S93" s="306" t="e">
        <f t="shared" si="161"/>
        <v>#N/A</v>
      </c>
      <c r="T93" s="658"/>
      <c r="U93" s="183"/>
      <c r="V93" s="183"/>
      <c r="W93" s="183"/>
      <c r="X93" s="520" t="e">
        <f t="shared" si="148"/>
        <v>#N/A</v>
      </c>
      <c r="Y93" s="658"/>
      <c r="Z93" s="183"/>
      <c r="AA93" s="183"/>
      <c r="AB93" s="183"/>
      <c r="AC93" s="520" t="e">
        <f t="shared" si="150"/>
        <v>#N/A</v>
      </c>
      <c r="AD93" s="658"/>
      <c r="AE93" s="183"/>
      <c r="AF93" s="183"/>
      <c r="AG93" s="183"/>
      <c r="AH93" s="520" t="e">
        <f t="shared" si="152"/>
        <v>#N/A</v>
      </c>
      <c r="AI93" s="658"/>
      <c r="AJ93" s="183"/>
      <c r="AK93" s="183"/>
      <c r="AL93" s="183"/>
      <c r="AM93" s="520" t="e">
        <f t="shared" si="154"/>
        <v>#N/A</v>
      </c>
      <c r="AN93" s="658"/>
      <c r="AO93" s="183"/>
      <c r="AP93" s="183"/>
      <c r="AQ93" s="183"/>
      <c r="AR93" s="520" t="e">
        <f t="shared" si="156"/>
        <v>#N/A</v>
      </c>
      <c r="AS93" s="658"/>
      <c r="AT93" s="183"/>
      <c r="AU93" s="183"/>
      <c r="AV93" s="183"/>
      <c r="AW93" s="520" t="e">
        <f t="shared" si="158"/>
        <v>#N/A</v>
      </c>
      <c r="AX93" s="658"/>
    </row>
    <row r="94" spans="2:50">
      <c r="B94" s="627"/>
      <c r="C94" s="306">
        <v>8</v>
      </c>
      <c r="D94" s="228"/>
      <c r="E94" s="183"/>
      <c r="F94" s="470"/>
      <c r="G94" s="471"/>
      <c r="H94" s="662"/>
      <c r="I94" s="200" t="e">
        <f t="shared" ref="I94:I96" si="162">AVERAGE(P94,U94,Z94,AE94,AJ94,AO94,AT94)</f>
        <v>#DIV/0!</v>
      </c>
      <c r="J94" s="200" t="e">
        <f t="shared" ref="J94:J96" si="163">AVERAGE(Q94,V94,AA94,AF94,AK94,AP94,AU94)</f>
        <v>#DIV/0!</v>
      </c>
      <c r="K94" s="201" t="e">
        <f t="shared" ref="K94:K96" si="164">AVERAGE(R94,W94,AB94,AG94,AL94,AQ94,AV94)</f>
        <v>#DIV/0!</v>
      </c>
      <c r="L94" s="601"/>
      <c r="M94" s="202" t="e">
        <f>RANK(K94, K$87:$K$101)</f>
        <v>#DIV/0!</v>
      </c>
      <c r="N94" s="619"/>
      <c r="O94" s="619"/>
      <c r="P94" s="183"/>
      <c r="Q94" s="183"/>
      <c r="R94" s="183"/>
      <c r="S94" s="306" t="e">
        <f t="shared" si="161"/>
        <v>#N/A</v>
      </c>
      <c r="T94" s="658"/>
      <c r="U94" s="183"/>
      <c r="V94" s="183"/>
      <c r="W94" s="183"/>
      <c r="X94" s="520" t="e">
        <f t="shared" si="148"/>
        <v>#N/A</v>
      </c>
      <c r="Y94" s="658"/>
      <c r="Z94" s="183"/>
      <c r="AA94" s="183"/>
      <c r="AB94" s="183"/>
      <c r="AC94" s="520" t="e">
        <f t="shared" si="150"/>
        <v>#N/A</v>
      </c>
      <c r="AD94" s="658"/>
      <c r="AE94" s="183"/>
      <c r="AF94" s="183"/>
      <c r="AG94" s="183"/>
      <c r="AH94" s="520" t="e">
        <f t="shared" si="152"/>
        <v>#N/A</v>
      </c>
      <c r="AI94" s="658"/>
      <c r="AJ94" s="183"/>
      <c r="AK94" s="183"/>
      <c r="AL94" s="183"/>
      <c r="AM94" s="520" t="e">
        <f t="shared" si="154"/>
        <v>#N/A</v>
      </c>
      <c r="AN94" s="658"/>
      <c r="AO94" s="183"/>
      <c r="AP94" s="183"/>
      <c r="AQ94" s="183"/>
      <c r="AR94" s="520" t="e">
        <f t="shared" si="156"/>
        <v>#N/A</v>
      </c>
      <c r="AS94" s="658"/>
      <c r="AT94" s="183"/>
      <c r="AU94" s="183"/>
      <c r="AV94" s="183"/>
      <c r="AW94" s="520" t="e">
        <f t="shared" si="158"/>
        <v>#N/A</v>
      </c>
      <c r="AX94" s="658"/>
    </row>
    <row r="95" spans="2:50">
      <c r="B95" s="627"/>
      <c r="C95" s="306">
        <v>9</v>
      </c>
      <c r="D95" s="228"/>
      <c r="E95" s="183"/>
      <c r="F95" s="470"/>
      <c r="G95" s="471"/>
      <c r="H95" s="662"/>
      <c r="I95" s="200" t="e">
        <f t="shared" si="162"/>
        <v>#DIV/0!</v>
      </c>
      <c r="J95" s="200" t="e">
        <f t="shared" si="163"/>
        <v>#DIV/0!</v>
      </c>
      <c r="K95" s="201" t="e">
        <f t="shared" si="164"/>
        <v>#DIV/0!</v>
      </c>
      <c r="L95" s="601"/>
      <c r="M95" s="202" t="e">
        <f>RANK(K95, K$87:$K$101)</f>
        <v>#DIV/0!</v>
      </c>
      <c r="N95" s="619"/>
      <c r="O95" s="619"/>
      <c r="P95" s="183"/>
      <c r="Q95" s="183"/>
      <c r="R95" s="183"/>
      <c r="S95" s="306" t="e">
        <f t="shared" si="161"/>
        <v>#N/A</v>
      </c>
      <c r="T95" s="658"/>
      <c r="U95" s="183"/>
      <c r="V95" s="183"/>
      <c r="W95" s="183"/>
      <c r="X95" s="520" t="e">
        <f t="shared" si="148"/>
        <v>#N/A</v>
      </c>
      <c r="Y95" s="658"/>
      <c r="Z95" s="183"/>
      <c r="AA95" s="183"/>
      <c r="AB95" s="183"/>
      <c r="AC95" s="520" t="e">
        <f t="shared" si="150"/>
        <v>#N/A</v>
      </c>
      <c r="AD95" s="658"/>
      <c r="AE95" s="183"/>
      <c r="AF95" s="183"/>
      <c r="AG95" s="183"/>
      <c r="AH95" s="520" t="e">
        <f t="shared" si="152"/>
        <v>#N/A</v>
      </c>
      <c r="AI95" s="658"/>
      <c r="AJ95" s="183"/>
      <c r="AK95" s="183"/>
      <c r="AL95" s="183"/>
      <c r="AM95" s="520" t="e">
        <f t="shared" si="154"/>
        <v>#N/A</v>
      </c>
      <c r="AN95" s="658"/>
      <c r="AO95" s="183"/>
      <c r="AP95" s="183"/>
      <c r="AQ95" s="183"/>
      <c r="AR95" s="520" t="e">
        <f t="shared" si="156"/>
        <v>#N/A</v>
      </c>
      <c r="AS95" s="658"/>
      <c r="AT95" s="183"/>
      <c r="AU95" s="183"/>
      <c r="AV95" s="183"/>
      <c r="AW95" s="520" t="e">
        <f t="shared" si="158"/>
        <v>#N/A</v>
      </c>
      <c r="AX95" s="658"/>
    </row>
    <row r="96" spans="2:50">
      <c r="B96" s="627"/>
      <c r="C96" s="306">
        <v>10</v>
      </c>
      <c r="D96" s="228"/>
      <c r="E96" s="183"/>
      <c r="F96" s="470"/>
      <c r="G96" s="471"/>
      <c r="H96" s="662"/>
      <c r="I96" s="200" t="e">
        <f t="shared" si="162"/>
        <v>#DIV/0!</v>
      </c>
      <c r="J96" s="200" t="e">
        <f t="shared" si="163"/>
        <v>#DIV/0!</v>
      </c>
      <c r="K96" s="201" t="e">
        <f t="shared" si="164"/>
        <v>#DIV/0!</v>
      </c>
      <c r="L96" s="601"/>
      <c r="M96" s="202" t="e">
        <f>RANK(K96, K$87:$K$101)</f>
        <v>#DIV/0!</v>
      </c>
      <c r="N96" s="619"/>
      <c r="O96" s="619"/>
      <c r="P96" s="183"/>
      <c r="Q96" s="183"/>
      <c r="R96" s="183"/>
      <c r="S96" s="306" t="e">
        <f t="shared" si="161"/>
        <v>#N/A</v>
      </c>
      <c r="T96" s="658"/>
      <c r="U96" s="183"/>
      <c r="V96" s="183"/>
      <c r="W96" s="183"/>
      <c r="X96" s="520" t="e">
        <f t="shared" si="148"/>
        <v>#N/A</v>
      </c>
      <c r="Y96" s="658"/>
      <c r="Z96" s="183"/>
      <c r="AA96" s="183"/>
      <c r="AB96" s="183"/>
      <c r="AC96" s="520" t="e">
        <f t="shared" si="150"/>
        <v>#N/A</v>
      </c>
      <c r="AD96" s="658"/>
      <c r="AE96" s="183"/>
      <c r="AF96" s="183"/>
      <c r="AG96" s="183"/>
      <c r="AH96" s="520" t="e">
        <f t="shared" si="152"/>
        <v>#N/A</v>
      </c>
      <c r="AI96" s="658"/>
      <c r="AJ96" s="183"/>
      <c r="AK96" s="183"/>
      <c r="AL96" s="183"/>
      <c r="AM96" s="520" t="e">
        <f t="shared" si="154"/>
        <v>#N/A</v>
      </c>
      <c r="AN96" s="658"/>
      <c r="AO96" s="183"/>
      <c r="AP96" s="183"/>
      <c r="AQ96" s="183"/>
      <c r="AR96" s="520" t="e">
        <f t="shared" si="156"/>
        <v>#N/A</v>
      </c>
      <c r="AS96" s="658"/>
      <c r="AT96" s="183"/>
      <c r="AU96" s="183"/>
      <c r="AV96" s="183"/>
      <c r="AW96" s="520" t="e">
        <f t="shared" si="158"/>
        <v>#N/A</v>
      </c>
      <c r="AX96" s="658"/>
    </row>
    <row r="97" spans="2:50">
      <c r="B97" s="627"/>
      <c r="C97" s="306">
        <v>11</v>
      </c>
      <c r="D97" s="228"/>
      <c r="E97" s="183"/>
      <c r="F97" s="470"/>
      <c r="G97" s="471"/>
      <c r="H97" s="662"/>
      <c r="I97" s="505" t="e">
        <f t="shared" ref="I97" si="165">AVERAGE(P97,U97,Z97,AE97,AJ97,AO97,AT97)</f>
        <v>#DIV/0!</v>
      </c>
      <c r="J97" s="505" t="e">
        <f t="shared" ref="J97" si="166">AVERAGE(Q97,V97,AA97,AF97,AK97,AP97,AU97)</f>
        <v>#DIV/0!</v>
      </c>
      <c r="K97" s="201" t="e">
        <f t="shared" ref="K97" si="167">AVERAGE(R97,W97,AB97,AG97,AL97,AQ97,AV97)</f>
        <v>#DIV/0!</v>
      </c>
      <c r="L97" s="601"/>
      <c r="M97" s="202" t="e">
        <f>RANK(K97, K$87:$K$101)</f>
        <v>#DIV/0!</v>
      </c>
      <c r="N97" s="619"/>
      <c r="O97" s="619"/>
      <c r="P97" s="183"/>
      <c r="Q97" s="183"/>
      <c r="R97" s="183"/>
      <c r="S97" s="306" t="e">
        <f t="shared" si="161"/>
        <v>#N/A</v>
      </c>
      <c r="T97" s="658"/>
      <c r="U97" s="183"/>
      <c r="V97" s="183"/>
      <c r="W97" s="183"/>
      <c r="X97" s="520" t="e">
        <f t="shared" si="148"/>
        <v>#N/A</v>
      </c>
      <c r="Y97" s="658"/>
      <c r="Z97" s="183"/>
      <c r="AA97" s="183"/>
      <c r="AB97" s="183"/>
      <c r="AC97" s="520" t="e">
        <f t="shared" si="150"/>
        <v>#N/A</v>
      </c>
      <c r="AD97" s="658"/>
      <c r="AE97" s="183"/>
      <c r="AF97" s="183"/>
      <c r="AG97" s="183"/>
      <c r="AH97" s="520" t="e">
        <f t="shared" si="152"/>
        <v>#N/A</v>
      </c>
      <c r="AI97" s="658"/>
      <c r="AJ97" s="183"/>
      <c r="AK97" s="183"/>
      <c r="AL97" s="183"/>
      <c r="AM97" s="520" t="e">
        <f t="shared" si="154"/>
        <v>#N/A</v>
      </c>
      <c r="AN97" s="658"/>
      <c r="AO97" s="183"/>
      <c r="AP97" s="183"/>
      <c r="AQ97" s="183"/>
      <c r="AR97" s="520" t="e">
        <f t="shared" si="156"/>
        <v>#N/A</v>
      </c>
      <c r="AS97" s="658"/>
      <c r="AT97" s="183"/>
      <c r="AU97" s="183"/>
      <c r="AV97" s="183"/>
      <c r="AW97" s="520" t="e">
        <f t="shared" si="158"/>
        <v>#N/A</v>
      </c>
      <c r="AX97" s="658"/>
    </row>
    <row r="98" spans="2:50">
      <c r="B98" s="627"/>
      <c r="C98" s="306">
        <v>12</v>
      </c>
      <c r="D98" s="228"/>
      <c r="E98" s="183"/>
      <c r="F98" s="470"/>
      <c r="G98" s="471"/>
      <c r="H98" s="662"/>
      <c r="I98" s="203"/>
      <c r="J98" s="203"/>
      <c r="K98" s="203"/>
      <c r="L98" s="601"/>
      <c r="M98" s="202" t="e">
        <f>RANK(K98, K$87:$K$101)</f>
        <v>#DIV/0!</v>
      </c>
      <c r="N98" s="619"/>
      <c r="O98" s="619"/>
      <c r="P98" s="183"/>
      <c r="Q98" s="183"/>
      <c r="R98" s="183"/>
      <c r="S98" s="306" t="e">
        <f t="shared" si="161"/>
        <v>#N/A</v>
      </c>
      <c r="T98" s="658"/>
      <c r="U98" s="183"/>
      <c r="V98" s="183"/>
      <c r="W98" s="183"/>
      <c r="X98" s="520" t="e">
        <f t="shared" si="148"/>
        <v>#N/A</v>
      </c>
      <c r="Y98" s="658"/>
      <c r="Z98" s="183"/>
      <c r="AA98" s="183"/>
      <c r="AB98" s="183"/>
      <c r="AC98" s="520" t="e">
        <f t="shared" si="150"/>
        <v>#N/A</v>
      </c>
      <c r="AD98" s="658"/>
      <c r="AE98" s="183"/>
      <c r="AF98" s="183"/>
      <c r="AG98" s="183"/>
      <c r="AH98" s="520" t="e">
        <f t="shared" si="152"/>
        <v>#N/A</v>
      </c>
      <c r="AI98" s="658"/>
      <c r="AJ98" s="183"/>
      <c r="AK98" s="183"/>
      <c r="AL98" s="183"/>
      <c r="AM98" s="520" t="e">
        <f t="shared" si="154"/>
        <v>#N/A</v>
      </c>
      <c r="AN98" s="658"/>
      <c r="AO98" s="183"/>
      <c r="AP98" s="183"/>
      <c r="AQ98" s="183"/>
      <c r="AR98" s="520" t="e">
        <f t="shared" si="156"/>
        <v>#N/A</v>
      </c>
      <c r="AS98" s="658"/>
      <c r="AT98" s="183"/>
      <c r="AU98" s="183"/>
      <c r="AV98" s="183"/>
      <c r="AW98" s="520" t="e">
        <f t="shared" si="158"/>
        <v>#N/A</v>
      </c>
      <c r="AX98" s="658"/>
    </row>
    <row r="99" spans="2:50">
      <c r="B99" s="627"/>
      <c r="C99" s="306">
        <v>13</v>
      </c>
      <c r="D99" s="228"/>
      <c r="E99" s="183"/>
      <c r="F99" s="470"/>
      <c r="G99" s="471"/>
      <c r="H99" s="662"/>
      <c r="I99" s="203"/>
      <c r="J99" s="203"/>
      <c r="K99" s="203"/>
      <c r="L99" s="601"/>
      <c r="M99" s="202" t="e">
        <f>RANK(K99, K$87:$K$101)</f>
        <v>#DIV/0!</v>
      </c>
      <c r="N99" s="619"/>
      <c r="O99" s="619"/>
      <c r="P99" s="183"/>
      <c r="Q99" s="183"/>
      <c r="R99" s="183"/>
      <c r="S99" s="306" t="e">
        <f t="shared" si="161"/>
        <v>#N/A</v>
      </c>
      <c r="T99" s="658"/>
      <c r="U99" s="183"/>
      <c r="V99" s="183"/>
      <c r="W99" s="183"/>
      <c r="X99" s="520" t="e">
        <f t="shared" si="148"/>
        <v>#N/A</v>
      </c>
      <c r="Y99" s="658"/>
      <c r="Z99" s="183"/>
      <c r="AA99" s="183"/>
      <c r="AB99" s="183"/>
      <c r="AC99" s="520" t="e">
        <f t="shared" si="150"/>
        <v>#N/A</v>
      </c>
      <c r="AD99" s="658"/>
      <c r="AE99" s="183"/>
      <c r="AF99" s="183"/>
      <c r="AG99" s="183"/>
      <c r="AH99" s="520" t="e">
        <f t="shared" si="152"/>
        <v>#N/A</v>
      </c>
      <c r="AI99" s="658"/>
      <c r="AJ99" s="183"/>
      <c r="AK99" s="183"/>
      <c r="AL99" s="183"/>
      <c r="AM99" s="520" t="e">
        <f t="shared" si="154"/>
        <v>#N/A</v>
      </c>
      <c r="AN99" s="658"/>
      <c r="AO99" s="183"/>
      <c r="AP99" s="183"/>
      <c r="AQ99" s="183"/>
      <c r="AR99" s="520" t="e">
        <f t="shared" si="156"/>
        <v>#N/A</v>
      </c>
      <c r="AS99" s="658"/>
      <c r="AT99" s="183"/>
      <c r="AU99" s="183"/>
      <c r="AV99" s="183"/>
      <c r="AW99" s="520" t="e">
        <f t="shared" si="158"/>
        <v>#N/A</v>
      </c>
      <c r="AX99" s="658"/>
    </row>
    <row r="100" spans="2:50">
      <c r="B100" s="627"/>
      <c r="C100" s="306">
        <v>14</v>
      </c>
      <c r="D100" s="228"/>
      <c r="E100" s="183"/>
      <c r="F100" s="470"/>
      <c r="G100" s="471"/>
      <c r="H100" s="662"/>
      <c r="I100" s="203"/>
      <c r="J100" s="203"/>
      <c r="K100" s="203"/>
      <c r="L100" s="601"/>
      <c r="M100" s="202" t="e">
        <f>RANK(K100, K$87:$K$101)</f>
        <v>#DIV/0!</v>
      </c>
      <c r="N100" s="619"/>
      <c r="O100" s="619"/>
      <c r="P100" s="183"/>
      <c r="Q100" s="183"/>
      <c r="R100" s="183"/>
      <c r="S100" s="306" t="e">
        <f t="shared" si="161"/>
        <v>#N/A</v>
      </c>
      <c r="T100" s="658"/>
      <c r="U100" s="183"/>
      <c r="V100" s="183"/>
      <c r="W100" s="183"/>
      <c r="X100" s="520" t="e">
        <f t="shared" si="148"/>
        <v>#N/A</v>
      </c>
      <c r="Y100" s="658"/>
      <c r="Z100" s="183"/>
      <c r="AA100" s="183"/>
      <c r="AB100" s="183"/>
      <c r="AC100" s="520" t="e">
        <f t="shared" si="150"/>
        <v>#N/A</v>
      </c>
      <c r="AD100" s="658"/>
      <c r="AE100" s="183"/>
      <c r="AF100" s="183"/>
      <c r="AG100" s="183"/>
      <c r="AH100" s="520" t="e">
        <f t="shared" si="152"/>
        <v>#N/A</v>
      </c>
      <c r="AI100" s="658"/>
      <c r="AJ100" s="183"/>
      <c r="AK100" s="183"/>
      <c r="AL100" s="183"/>
      <c r="AM100" s="520" t="e">
        <f t="shared" si="154"/>
        <v>#N/A</v>
      </c>
      <c r="AN100" s="658"/>
      <c r="AO100" s="183"/>
      <c r="AP100" s="183"/>
      <c r="AQ100" s="183"/>
      <c r="AR100" s="520" t="e">
        <f t="shared" si="156"/>
        <v>#N/A</v>
      </c>
      <c r="AS100" s="658"/>
      <c r="AT100" s="183"/>
      <c r="AU100" s="183"/>
      <c r="AV100" s="183"/>
      <c r="AW100" s="520" t="e">
        <f t="shared" si="158"/>
        <v>#N/A</v>
      </c>
      <c r="AX100" s="658"/>
    </row>
    <row r="101" spans="2:50">
      <c r="B101" s="627"/>
      <c r="C101" s="306">
        <v>15</v>
      </c>
      <c r="D101" s="228"/>
      <c r="E101" s="183"/>
      <c r="F101" s="470"/>
      <c r="G101" s="471"/>
      <c r="H101" s="663"/>
      <c r="I101" s="203"/>
      <c r="J101" s="203"/>
      <c r="K101" s="203"/>
      <c r="L101" s="602"/>
      <c r="M101" s="200" t="e">
        <f>RANK(K101, K$87:$K$101)</f>
        <v>#DIV/0!</v>
      </c>
      <c r="N101" s="619"/>
      <c r="O101" s="619"/>
      <c r="P101" s="183"/>
      <c r="Q101" s="183"/>
      <c r="R101" s="183"/>
      <c r="S101" s="306" t="e">
        <f t="shared" si="161"/>
        <v>#N/A</v>
      </c>
      <c r="T101" s="658"/>
      <c r="U101" s="183"/>
      <c r="V101" s="183"/>
      <c r="W101" s="183"/>
      <c r="X101" s="520" t="e">
        <f t="shared" si="148"/>
        <v>#N/A</v>
      </c>
      <c r="Y101" s="658"/>
      <c r="Z101" s="183"/>
      <c r="AA101" s="183"/>
      <c r="AB101" s="183"/>
      <c r="AC101" s="520" t="e">
        <f t="shared" si="150"/>
        <v>#N/A</v>
      </c>
      <c r="AD101" s="658"/>
      <c r="AE101" s="183"/>
      <c r="AF101" s="183"/>
      <c r="AG101" s="183"/>
      <c r="AH101" s="520" t="e">
        <f t="shared" si="152"/>
        <v>#N/A</v>
      </c>
      <c r="AI101" s="658"/>
      <c r="AJ101" s="183"/>
      <c r="AK101" s="183"/>
      <c r="AL101" s="183"/>
      <c r="AM101" s="520" t="e">
        <f t="shared" si="154"/>
        <v>#N/A</v>
      </c>
      <c r="AN101" s="658"/>
      <c r="AO101" s="183"/>
      <c r="AP101" s="183"/>
      <c r="AQ101" s="183"/>
      <c r="AR101" s="520" t="e">
        <f t="shared" si="156"/>
        <v>#N/A</v>
      </c>
      <c r="AS101" s="658"/>
      <c r="AT101" s="183"/>
      <c r="AU101" s="183"/>
      <c r="AV101" s="183"/>
      <c r="AW101" s="520" t="e">
        <f t="shared" si="158"/>
        <v>#N/A</v>
      </c>
      <c r="AX101" s="658"/>
    </row>
    <row r="102" spans="2:50" ht="15.5">
      <c r="B102" s="631" t="s">
        <v>163</v>
      </c>
      <c r="C102" s="632"/>
      <c r="D102" s="632"/>
      <c r="E102" s="632"/>
      <c r="F102" s="632"/>
      <c r="G102" s="632"/>
      <c r="H102" s="633"/>
      <c r="I102" s="209"/>
      <c r="J102" s="209"/>
      <c r="K102" s="209"/>
      <c r="L102" s="209"/>
      <c r="M102" s="208"/>
      <c r="N102" s="620" t="s">
        <v>156</v>
      </c>
      <c r="O102" s="620" t="s">
        <v>105</v>
      </c>
      <c r="P102" s="626">
        <f>P82+7</f>
        <v>46021</v>
      </c>
      <c r="Q102" s="627"/>
      <c r="R102" s="627"/>
      <c r="S102" s="627"/>
      <c r="T102" s="627"/>
      <c r="U102" s="623">
        <f>P102+1</f>
        <v>46022</v>
      </c>
      <c r="V102" s="624"/>
      <c r="W102" s="624"/>
      <c r="X102" s="624"/>
      <c r="Y102" s="625"/>
      <c r="Z102" s="623">
        <f>U102+1</f>
        <v>46023</v>
      </c>
      <c r="AA102" s="624"/>
      <c r="AB102" s="624"/>
      <c r="AC102" s="624"/>
      <c r="AD102" s="625"/>
      <c r="AE102" s="623">
        <f>Z102+1</f>
        <v>46024</v>
      </c>
      <c r="AF102" s="624"/>
      <c r="AG102" s="624"/>
      <c r="AH102" s="624"/>
      <c r="AI102" s="625"/>
      <c r="AJ102" s="623">
        <f>AE102+1</f>
        <v>46025</v>
      </c>
      <c r="AK102" s="624"/>
      <c r="AL102" s="624"/>
      <c r="AM102" s="624"/>
      <c r="AN102" s="625"/>
      <c r="AO102" s="623">
        <f>AJ102+1</f>
        <v>46026</v>
      </c>
      <c r="AP102" s="624"/>
      <c r="AQ102" s="624"/>
      <c r="AR102" s="624"/>
      <c r="AS102" s="625"/>
      <c r="AT102" s="623">
        <f>AO102+1</f>
        <v>46027</v>
      </c>
      <c r="AU102" s="624"/>
      <c r="AV102" s="624"/>
      <c r="AW102" s="624"/>
      <c r="AX102" s="625"/>
    </row>
    <row r="103" spans="2:50" ht="15.5">
      <c r="B103" s="634"/>
      <c r="C103" s="634"/>
      <c r="D103" s="634"/>
      <c r="E103" s="634"/>
      <c r="F103" s="634"/>
      <c r="G103" s="634"/>
      <c r="H103" s="634"/>
      <c r="I103" s="206"/>
      <c r="J103" s="206"/>
      <c r="K103" s="206"/>
      <c r="L103" s="206"/>
      <c r="M103" s="207"/>
      <c r="N103" s="622"/>
      <c r="O103" s="622"/>
      <c r="P103" s="626" t="s">
        <v>158</v>
      </c>
      <c r="Q103" s="627"/>
      <c r="R103" s="627"/>
      <c r="S103" s="627"/>
      <c r="T103" s="627"/>
      <c r="U103" s="626" t="s">
        <v>114</v>
      </c>
      <c r="V103" s="627"/>
      <c r="W103" s="627"/>
      <c r="X103" s="627"/>
      <c r="Y103" s="627"/>
      <c r="Z103" s="626" t="s">
        <v>159</v>
      </c>
      <c r="AA103" s="627"/>
      <c r="AB103" s="627"/>
      <c r="AC103" s="627"/>
      <c r="AD103" s="627"/>
      <c r="AE103" s="626" t="s">
        <v>157</v>
      </c>
      <c r="AF103" s="627"/>
      <c r="AG103" s="627"/>
      <c r="AH103" s="627"/>
      <c r="AI103" s="627"/>
      <c r="AJ103" s="626" t="s">
        <v>160</v>
      </c>
      <c r="AK103" s="627"/>
      <c r="AL103" s="627"/>
      <c r="AM103" s="627"/>
      <c r="AN103" s="627"/>
      <c r="AO103" s="626" t="s">
        <v>115</v>
      </c>
      <c r="AP103" s="627"/>
      <c r="AQ103" s="627"/>
      <c r="AR103" s="627"/>
      <c r="AS103" s="627"/>
      <c r="AT103" s="626" t="s">
        <v>162</v>
      </c>
      <c r="AU103" s="627"/>
      <c r="AV103" s="627"/>
      <c r="AW103" s="627"/>
      <c r="AX103" s="627"/>
    </row>
    <row r="104" spans="2:50">
      <c r="B104" s="619" t="s">
        <v>154</v>
      </c>
      <c r="C104" s="619" t="s">
        <v>453</v>
      </c>
      <c r="D104" s="619"/>
      <c r="E104" s="619" t="s">
        <v>444</v>
      </c>
      <c r="F104" s="619"/>
      <c r="G104" s="619"/>
      <c r="H104" s="635" t="s">
        <v>440</v>
      </c>
      <c r="I104" s="603" t="s">
        <v>445</v>
      </c>
      <c r="J104" s="603"/>
      <c r="K104" s="603"/>
      <c r="L104" s="604" t="s">
        <v>440</v>
      </c>
      <c r="M104" s="610" t="s">
        <v>441</v>
      </c>
      <c r="N104" s="619"/>
      <c r="O104" s="619" t="s">
        <v>446</v>
      </c>
      <c r="P104" s="616" t="s">
        <v>442</v>
      </c>
      <c r="Q104" s="617"/>
      <c r="R104" s="617"/>
      <c r="S104" s="618"/>
      <c r="T104" s="619" t="s">
        <v>440</v>
      </c>
      <c r="U104" s="616" t="s">
        <v>442</v>
      </c>
      <c r="V104" s="617"/>
      <c r="W104" s="617"/>
      <c r="X104" s="618"/>
      <c r="Y104" s="619" t="s">
        <v>440</v>
      </c>
      <c r="Z104" s="616" t="s">
        <v>442</v>
      </c>
      <c r="AA104" s="617"/>
      <c r="AB104" s="617"/>
      <c r="AC104" s="618"/>
      <c r="AD104" s="619" t="s">
        <v>440</v>
      </c>
      <c r="AE104" s="616" t="s">
        <v>442</v>
      </c>
      <c r="AF104" s="617"/>
      <c r="AG104" s="617"/>
      <c r="AH104" s="618"/>
      <c r="AI104" s="619" t="s">
        <v>440</v>
      </c>
      <c r="AJ104" s="616" t="s">
        <v>442</v>
      </c>
      <c r="AK104" s="617"/>
      <c r="AL104" s="617"/>
      <c r="AM104" s="618"/>
      <c r="AN104" s="619" t="s">
        <v>440</v>
      </c>
      <c r="AO104" s="616" t="s">
        <v>442</v>
      </c>
      <c r="AP104" s="617"/>
      <c r="AQ104" s="617"/>
      <c r="AR104" s="618"/>
      <c r="AS104" s="619" t="s">
        <v>440</v>
      </c>
      <c r="AT104" s="616" t="s">
        <v>442</v>
      </c>
      <c r="AU104" s="617"/>
      <c r="AV104" s="617"/>
      <c r="AW104" s="618"/>
      <c r="AX104" s="619" t="s">
        <v>440</v>
      </c>
    </row>
    <row r="105" spans="2:50">
      <c r="B105" s="619"/>
      <c r="C105" s="619"/>
      <c r="D105" s="619"/>
      <c r="E105" s="619" t="s">
        <v>447</v>
      </c>
      <c r="F105" s="619"/>
      <c r="G105" s="619"/>
      <c r="H105" s="636"/>
      <c r="I105" s="603" t="s">
        <v>447</v>
      </c>
      <c r="J105" s="603"/>
      <c r="K105" s="603"/>
      <c r="L105" s="605"/>
      <c r="M105" s="611"/>
      <c r="N105" s="619"/>
      <c r="O105" s="619"/>
      <c r="P105" s="616" t="s">
        <v>448</v>
      </c>
      <c r="Q105" s="617"/>
      <c r="R105" s="617"/>
      <c r="S105" s="618"/>
      <c r="T105" s="619"/>
      <c r="U105" s="616" t="s">
        <v>448</v>
      </c>
      <c r="V105" s="617"/>
      <c r="W105" s="617"/>
      <c r="X105" s="618"/>
      <c r="Y105" s="619"/>
      <c r="Z105" s="616" t="s">
        <v>448</v>
      </c>
      <c r="AA105" s="617"/>
      <c r="AB105" s="617"/>
      <c r="AC105" s="618"/>
      <c r="AD105" s="619"/>
      <c r="AE105" s="616" t="s">
        <v>448</v>
      </c>
      <c r="AF105" s="617"/>
      <c r="AG105" s="617"/>
      <c r="AH105" s="618"/>
      <c r="AI105" s="619"/>
      <c r="AJ105" s="616" t="s">
        <v>448</v>
      </c>
      <c r="AK105" s="617"/>
      <c r="AL105" s="617"/>
      <c r="AM105" s="618"/>
      <c r="AN105" s="619"/>
      <c r="AO105" s="616" t="s">
        <v>448</v>
      </c>
      <c r="AP105" s="617"/>
      <c r="AQ105" s="617"/>
      <c r="AR105" s="618"/>
      <c r="AS105" s="619"/>
      <c r="AT105" s="616" t="s">
        <v>448</v>
      </c>
      <c r="AU105" s="617"/>
      <c r="AV105" s="617"/>
      <c r="AW105" s="618"/>
      <c r="AX105" s="619"/>
    </row>
    <row r="106" spans="2:50">
      <c r="B106" s="619"/>
      <c r="C106" s="619"/>
      <c r="D106" s="619"/>
      <c r="E106" s="357" t="s">
        <v>449</v>
      </c>
      <c r="F106" s="357" t="s">
        <v>450</v>
      </c>
      <c r="G106" s="357" t="s">
        <v>451</v>
      </c>
      <c r="H106" s="637"/>
      <c r="I106" s="358" t="s">
        <v>449</v>
      </c>
      <c r="J106" s="358" t="s">
        <v>450</v>
      </c>
      <c r="K106" s="358" t="s">
        <v>451</v>
      </c>
      <c r="L106" s="606"/>
      <c r="M106" s="612"/>
      <c r="N106" s="619"/>
      <c r="O106" s="619"/>
      <c r="P106" s="357" t="s">
        <v>449</v>
      </c>
      <c r="Q106" s="357" t="s">
        <v>450</v>
      </c>
      <c r="R106" s="357" t="s">
        <v>451</v>
      </c>
      <c r="S106" s="357" t="s">
        <v>441</v>
      </c>
      <c r="T106" s="619"/>
      <c r="U106" s="357" t="s">
        <v>449</v>
      </c>
      <c r="V106" s="357" t="s">
        <v>450</v>
      </c>
      <c r="W106" s="357" t="s">
        <v>451</v>
      </c>
      <c r="X106" s="357" t="s">
        <v>441</v>
      </c>
      <c r="Y106" s="619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9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9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9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9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9"/>
    </row>
    <row r="107" spans="2:50">
      <c r="B107" s="619" t="s">
        <v>455</v>
      </c>
      <c r="C107" s="356">
        <v>1</v>
      </c>
      <c r="D107" s="228"/>
      <c r="E107" s="183"/>
      <c r="F107" s="356"/>
      <c r="G107" s="359"/>
      <c r="H107" s="661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00" t="str">
        <f>IFERROR(AVERAGE(K107:K121),"-")</f>
        <v>-</v>
      </c>
      <c r="M107" s="202" t="e">
        <f>RANK(K107, K$87:$K$101)</f>
        <v>#DIV/0!</v>
      </c>
      <c r="N107" s="619"/>
      <c r="O107" s="619"/>
      <c r="P107" s="183"/>
      <c r="Q107" s="183"/>
      <c r="R107" s="183"/>
      <c r="S107" s="356" t="e">
        <f>RANK(R107, R$87:R$101)</f>
        <v>#N/A</v>
      </c>
      <c r="T107" s="658" t="e">
        <f>AVERAGE(R107:R121)</f>
        <v>#DIV/0!</v>
      </c>
      <c r="U107" s="183"/>
      <c r="V107" s="183"/>
      <c r="W107" s="183"/>
      <c r="X107" s="356" t="e">
        <f>RANK(W107, W$87:W$101)</f>
        <v>#N/A</v>
      </c>
      <c r="Y107" s="658" t="e">
        <f>AVERAGE(W107:W121)</f>
        <v>#DIV/0!</v>
      </c>
      <c r="Z107" s="183"/>
      <c r="AA107" s="183"/>
      <c r="AB107" s="183"/>
      <c r="AC107" s="356" t="e">
        <f>RANK(AB107, AB$87:AB$101)</f>
        <v>#N/A</v>
      </c>
      <c r="AD107" s="658" t="e">
        <f>AVERAGE(AB107:AB121)</f>
        <v>#DIV/0!</v>
      </c>
      <c r="AE107" s="183"/>
      <c r="AF107" s="183"/>
      <c r="AG107" s="183"/>
      <c r="AH107" s="356" t="e">
        <f>RANK(AG107, AG$87:AG$101)</f>
        <v>#N/A</v>
      </c>
      <c r="AI107" s="658" t="e">
        <f>AVERAGE(AG107:AG121)</f>
        <v>#DIV/0!</v>
      </c>
      <c r="AJ107" s="183"/>
      <c r="AK107" s="183"/>
      <c r="AL107" s="183"/>
      <c r="AM107" s="356" t="e">
        <f>RANK(AL107, AL$87:AL$101)</f>
        <v>#N/A</v>
      </c>
      <c r="AN107" s="658" t="e">
        <f>AVERAGE(AL107:AL121)</f>
        <v>#DIV/0!</v>
      </c>
      <c r="AO107" s="183"/>
      <c r="AP107" s="183"/>
      <c r="AQ107" s="183"/>
      <c r="AR107" s="356" t="e">
        <f>RANK(AQ107, AQ$87:AQ$101)</f>
        <v>#N/A</v>
      </c>
      <c r="AS107" s="658" t="e">
        <f>AVERAGE(AQ107:AQ121)</f>
        <v>#DIV/0!</v>
      </c>
      <c r="AT107" s="183"/>
      <c r="AU107" s="183"/>
      <c r="AV107" s="183"/>
      <c r="AW107" s="356" t="e">
        <f>RANK(AV107, AV$87:AV$101)</f>
        <v>#N/A</v>
      </c>
      <c r="AX107" s="658" t="e">
        <f>AVERAGE(AV107:AV121)</f>
        <v>#DIV/0!</v>
      </c>
    </row>
    <row r="108" spans="2:50">
      <c r="B108" s="627"/>
      <c r="C108" s="356">
        <v>2</v>
      </c>
      <c r="D108" s="228"/>
      <c r="E108" s="183"/>
      <c r="F108" s="356"/>
      <c r="G108" s="359"/>
      <c r="H108" s="662"/>
      <c r="I108" s="200" t="e">
        <f t="shared" ref="I108:I116" si="168">AVERAGE(P108,U108,Z108,AE108,AJ108,AO108,AT108)</f>
        <v>#DIV/0!</v>
      </c>
      <c r="J108" s="200" t="e">
        <f t="shared" ref="J108:J116" si="169">AVERAGE(Q108,V108,AA108,AF108,AK108,AP108,AU108)</f>
        <v>#DIV/0!</v>
      </c>
      <c r="K108" s="201" t="e">
        <f t="shared" ref="K108:K116" si="170">AVERAGE(R108,W108,AB108,AG108,AL108,AQ108,AV108)</f>
        <v>#DIV/0!</v>
      </c>
      <c r="L108" s="601"/>
      <c r="M108" s="202" t="e">
        <f>RANK(K108, K$87:$K$101)</f>
        <v>#DIV/0!</v>
      </c>
      <c r="N108" s="619"/>
      <c r="O108" s="619"/>
      <c r="P108" s="183"/>
      <c r="Q108" s="183"/>
      <c r="R108" s="183"/>
      <c r="S108" s="356" t="e">
        <f t="shared" ref="S108:S121" si="171">RANK(R108, R$87:R$101)</f>
        <v>#N/A</v>
      </c>
      <c r="T108" s="658"/>
      <c r="U108" s="183"/>
      <c r="V108" s="183"/>
      <c r="W108" s="183"/>
      <c r="X108" s="356" t="e">
        <f t="shared" ref="X108:X121" si="172">RANK(W108, W$87:W$101)</f>
        <v>#N/A</v>
      </c>
      <c r="Y108" s="658"/>
      <c r="Z108" s="183"/>
      <c r="AA108" s="183"/>
      <c r="AB108" s="183"/>
      <c r="AC108" s="356" t="e">
        <f t="shared" ref="AC108:AC121" si="173">RANK(AB108, AB$87:AB$101)</f>
        <v>#N/A</v>
      </c>
      <c r="AD108" s="658"/>
      <c r="AE108" s="183"/>
      <c r="AF108" s="183"/>
      <c r="AG108" s="183"/>
      <c r="AH108" s="356" t="e">
        <f t="shared" ref="AH108:AH121" si="174">RANK(AG108, AG$87:AG$101)</f>
        <v>#N/A</v>
      </c>
      <c r="AI108" s="658"/>
      <c r="AJ108" s="183"/>
      <c r="AK108" s="183"/>
      <c r="AL108" s="183"/>
      <c r="AM108" s="356" t="e">
        <f t="shared" ref="AM108:AM121" si="175">RANK(AL108, AL$87:AL$101)</f>
        <v>#N/A</v>
      </c>
      <c r="AN108" s="658"/>
      <c r="AO108" s="183"/>
      <c r="AP108" s="183"/>
      <c r="AQ108" s="183"/>
      <c r="AR108" s="356" t="e">
        <f t="shared" ref="AR108:AR121" si="176">RANK(AQ108, AQ$87:AQ$101)</f>
        <v>#N/A</v>
      </c>
      <c r="AS108" s="658"/>
      <c r="AT108" s="183"/>
      <c r="AU108" s="183"/>
      <c r="AV108" s="183"/>
      <c r="AW108" s="356" t="e">
        <f t="shared" ref="AW108:AW121" si="177">RANK(AV108, AV$87:AV$101)</f>
        <v>#N/A</v>
      </c>
      <c r="AX108" s="658"/>
    </row>
    <row r="109" spans="2:50">
      <c r="B109" s="627"/>
      <c r="C109" s="356">
        <v>3</v>
      </c>
      <c r="D109" s="228"/>
      <c r="E109" s="183"/>
      <c r="F109" s="356"/>
      <c r="G109" s="359"/>
      <c r="H109" s="662"/>
      <c r="I109" s="200" t="e">
        <f t="shared" si="168"/>
        <v>#DIV/0!</v>
      </c>
      <c r="J109" s="200" t="e">
        <f t="shared" si="169"/>
        <v>#DIV/0!</v>
      </c>
      <c r="K109" s="201" t="e">
        <f t="shared" si="170"/>
        <v>#DIV/0!</v>
      </c>
      <c r="L109" s="601"/>
      <c r="M109" s="202" t="e">
        <f>RANK(K109, K$87:$K$101)</f>
        <v>#DIV/0!</v>
      </c>
      <c r="N109" s="619"/>
      <c r="O109" s="619"/>
      <c r="P109" s="183"/>
      <c r="Q109" s="183"/>
      <c r="R109" s="183"/>
      <c r="S109" s="356" t="e">
        <f t="shared" si="171"/>
        <v>#N/A</v>
      </c>
      <c r="T109" s="658"/>
      <c r="U109" s="183"/>
      <c r="V109" s="183"/>
      <c r="W109" s="183"/>
      <c r="X109" s="356" t="e">
        <f t="shared" si="172"/>
        <v>#N/A</v>
      </c>
      <c r="Y109" s="658"/>
      <c r="Z109" s="183"/>
      <c r="AA109" s="183"/>
      <c r="AB109" s="183"/>
      <c r="AC109" s="356" t="e">
        <f t="shared" si="173"/>
        <v>#N/A</v>
      </c>
      <c r="AD109" s="658"/>
      <c r="AE109" s="183"/>
      <c r="AF109" s="183"/>
      <c r="AG109" s="183"/>
      <c r="AH109" s="356" t="e">
        <f t="shared" si="174"/>
        <v>#N/A</v>
      </c>
      <c r="AI109" s="658"/>
      <c r="AJ109" s="183"/>
      <c r="AK109" s="183"/>
      <c r="AL109" s="183"/>
      <c r="AM109" s="356" t="e">
        <f t="shared" si="175"/>
        <v>#N/A</v>
      </c>
      <c r="AN109" s="658"/>
      <c r="AO109" s="183"/>
      <c r="AP109" s="183"/>
      <c r="AQ109" s="183"/>
      <c r="AR109" s="356" t="e">
        <f t="shared" si="176"/>
        <v>#N/A</v>
      </c>
      <c r="AS109" s="658"/>
      <c r="AT109" s="183"/>
      <c r="AU109" s="183"/>
      <c r="AV109" s="183"/>
      <c r="AW109" s="356" t="e">
        <f t="shared" si="177"/>
        <v>#N/A</v>
      </c>
      <c r="AX109" s="658"/>
    </row>
    <row r="110" spans="2:50">
      <c r="B110" s="627"/>
      <c r="C110" s="356">
        <v>4</v>
      </c>
      <c r="D110" s="228"/>
      <c r="E110" s="183"/>
      <c r="F110" s="356"/>
      <c r="G110" s="359"/>
      <c r="H110" s="662"/>
      <c r="I110" s="200" t="e">
        <f t="shared" si="168"/>
        <v>#DIV/0!</v>
      </c>
      <c r="J110" s="200" t="e">
        <f t="shared" si="169"/>
        <v>#DIV/0!</v>
      </c>
      <c r="K110" s="201" t="e">
        <f t="shared" si="170"/>
        <v>#DIV/0!</v>
      </c>
      <c r="L110" s="601"/>
      <c r="M110" s="202" t="e">
        <f>RANK(K110, K$87:$K$101)</f>
        <v>#DIV/0!</v>
      </c>
      <c r="N110" s="619"/>
      <c r="O110" s="619"/>
      <c r="P110" s="183"/>
      <c r="Q110" s="183"/>
      <c r="R110" s="183"/>
      <c r="S110" s="356" t="e">
        <f t="shared" si="171"/>
        <v>#N/A</v>
      </c>
      <c r="T110" s="658"/>
      <c r="U110" s="183"/>
      <c r="V110" s="183"/>
      <c r="W110" s="183"/>
      <c r="X110" s="356" t="e">
        <f t="shared" si="172"/>
        <v>#N/A</v>
      </c>
      <c r="Y110" s="658"/>
      <c r="Z110" s="183"/>
      <c r="AA110" s="183"/>
      <c r="AB110" s="183"/>
      <c r="AC110" s="356" t="e">
        <f t="shared" si="173"/>
        <v>#N/A</v>
      </c>
      <c r="AD110" s="658"/>
      <c r="AE110" s="183"/>
      <c r="AF110" s="183"/>
      <c r="AG110" s="183"/>
      <c r="AH110" s="356" t="e">
        <f t="shared" si="174"/>
        <v>#N/A</v>
      </c>
      <c r="AI110" s="658"/>
      <c r="AJ110" s="183"/>
      <c r="AK110" s="183"/>
      <c r="AL110" s="183"/>
      <c r="AM110" s="356" t="e">
        <f t="shared" si="175"/>
        <v>#N/A</v>
      </c>
      <c r="AN110" s="658"/>
      <c r="AO110" s="183"/>
      <c r="AP110" s="183"/>
      <c r="AQ110" s="183"/>
      <c r="AR110" s="356" t="e">
        <f t="shared" si="176"/>
        <v>#N/A</v>
      </c>
      <c r="AS110" s="658"/>
      <c r="AT110" s="183"/>
      <c r="AU110" s="183"/>
      <c r="AV110" s="183"/>
      <c r="AW110" s="356" t="e">
        <f t="shared" si="177"/>
        <v>#N/A</v>
      </c>
      <c r="AX110" s="658"/>
    </row>
    <row r="111" spans="2:50">
      <c r="B111" s="627"/>
      <c r="C111" s="356">
        <v>5</v>
      </c>
      <c r="D111" s="228"/>
      <c r="E111" s="183"/>
      <c r="F111" s="356"/>
      <c r="G111" s="359"/>
      <c r="H111" s="662"/>
      <c r="I111" s="200" t="e">
        <f t="shared" si="168"/>
        <v>#DIV/0!</v>
      </c>
      <c r="J111" s="200" t="e">
        <f t="shared" si="169"/>
        <v>#DIV/0!</v>
      </c>
      <c r="K111" s="201" t="e">
        <f t="shared" si="170"/>
        <v>#DIV/0!</v>
      </c>
      <c r="L111" s="601"/>
      <c r="M111" s="202" t="e">
        <f>RANK(K111, K$87:$K$101)</f>
        <v>#DIV/0!</v>
      </c>
      <c r="N111" s="619"/>
      <c r="O111" s="619"/>
      <c r="P111" s="183"/>
      <c r="Q111" s="183"/>
      <c r="R111" s="183"/>
      <c r="S111" s="356" t="e">
        <f t="shared" si="171"/>
        <v>#N/A</v>
      </c>
      <c r="T111" s="658"/>
      <c r="U111" s="183"/>
      <c r="V111" s="183"/>
      <c r="W111" s="183"/>
      <c r="X111" s="356" t="e">
        <f t="shared" si="172"/>
        <v>#N/A</v>
      </c>
      <c r="Y111" s="658"/>
      <c r="Z111" s="183"/>
      <c r="AA111" s="183"/>
      <c r="AB111" s="183"/>
      <c r="AC111" s="356" t="e">
        <f t="shared" si="173"/>
        <v>#N/A</v>
      </c>
      <c r="AD111" s="658"/>
      <c r="AE111" s="183"/>
      <c r="AF111" s="183"/>
      <c r="AG111" s="183"/>
      <c r="AH111" s="356" t="e">
        <f t="shared" si="174"/>
        <v>#N/A</v>
      </c>
      <c r="AI111" s="658"/>
      <c r="AJ111" s="183"/>
      <c r="AK111" s="183"/>
      <c r="AL111" s="183"/>
      <c r="AM111" s="356" t="e">
        <f t="shared" si="175"/>
        <v>#N/A</v>
      </c>
      <c r="AN111" s="658"/>
      <c r="AO111" s="183"/>
      <c r="AP111" s="183"/>
      <c r="AQ111" s="183"/>
      <c r="AR111" s="356" t="e">
        <f t="shared" si="176"/>
        <v>#N/A</v>
      </c>
      <c r="AS111" s="658"/>
      <c r="AT111" s="183"/>
      <c r="AU111" s="183"/>
      <c r="AV111" s="183"/>
      <c r="AW111" s="356" t="e">
        <f t="shared" si="177"/>
        <v>#N/A</v>
      </c>
      <c r="AX111" s="658"/>
    </row>
    <row r="112" spans="2:50">
      <c r="B112" s="627"/>
      <c r="C112" s="356">
        <v>6</v>
      </c>
      <c r="D112" s="228"/>
      <c r="E112" s="183"/>
      <c r="F112" s="356"/>
      <c r="G112" s="359"/>
      <c r="H112" s="662"/>
      <c r="I112" s="200" t="e">
        <f t="shared" si="168"/>
        <v>#DIV/0!</v>
      </c>
      <c r="J112" s="200" t="e">
        <f t="shared" si="169"/>
        <v>#DIV/0!</v>
      </c>
      <c r="K112" s="201" t="e">
        <f t="shared" si="170"/>
        <v>#DIV/0!</v>
      </c>
      <c r="L112" s="601"/>
      <c r="M112" s="202" t="e">
        <f>RANK(K112, K$87:$K$101)</f>
        <v>#DIV/0!</v>
      </c>
      <c r="N112" s="619"/>
      <c r="O112" s="619"/>
      <c r="P112" s="183"/>
      <c r="Q112" s="183"/>
      <c r="R112" s="183"/>
      <c r="S112" s="356" t="e">
        <f t="shared" si="171"/>
        <v>#N/A</v>
      </c>
      <c r="T112" s="658"/>
      <c r="U112" s="183"/>
      <c r="V112" s="183"/>
      <c r="W112" s="183"/>
      <c r="X112" s="356" t="e">
        <f t="shared" si="172"/>
        <v>#N/A</v>
      </c>
      <c r="Y112" s="658"/>
      <c r="Z112" s="183"/>
      <c r="AA112" s="183"/>
      <c r="AB112" s="183"/>
      <c r="AC112" s="356" t="e">
        <f t="shared" si="173"/>
        <v>#N/A</v>
      </c>
      <c r="AD112" s="658"/>
      <c r="AE112" s="183"/>
      <c r="AF112" s="183"/>
      <c r="AG112" s="183"/>
      <c r="AH112" s="356" t="e">
        <f t="shared" si="174"/>
        <v>#N/A</v>
      </c>
      <c r="AI112" s="658"/>
      <c r="AJ112" s="183"/>
      <c r="AK112" s="183"/>
      <c r="AL112" s="183"/>
      <c r="AM112" s="356" t="e">
        <f t="shared" si="175"/>
        <v>#N/A</v>
      </c>
      <c r="AN112" s="658"/>
      <c r="AO112" s="183"/>
      <c r="AP112" s="183"/>
      <c r="AQ112" s="183"/>
      <c r="AR112" s="356" t="e">
        <f t="shared" si="176"/>
        <v>#N/A</v>
      </c>
      <c r="AS112" s="658"/>
      <c r="AT112" s="183"/>
      <c r="AU112" s="183"/>
      <c r="AV112" s="183"/>
      <c r="AW112" s="356" t="e">
        <f t="shared" si="177"/>
        <v>#N/A</v>
      </c>
      <c r="AX112" s="658"/>
    </row>
    <row r="113" spans="2:50">
      <c r="B113" s="627"/>
      <c r="C113" s="356">
        <v>7</v>
      </c>
      <c r="D113" s="228"/>
      <c r="E113" s="183"/>
      <c r="F113" s="356"/>
      <c r="G113" s="359"/>
      <c r="H113" s="662"/>
      <c r="I113" s="200" t="e">
        <f t="shared" si="168"/>
        <v>#DIV/0!</v>
      </c>
      <c r="J113" s="200" t="e">
        <f t="shared" si="169"/>
        <v>#DIV/0!</v>
      </c>
      <c r="K113" s="201" t="e">
        <f t="shared" si="170"/>
        <v>#DIV/0!</v>
      </c>
      <c r="L113" s="601"/>
      <c r="M113" s="202" t="e">
        <f>RANK(K113, K$87:$K$101)</f>
        <v>#DIV/0!</v>
      </c>
      <c r="N113" s="619"/>
      <c r="O113" s="619"/>
      <c r="P113" s="183"/>
      <c r="Q113" s="183"/>
      <c r="R113" s="183"/>
      <c r="S113" s="356" t="e">
        <f t="shared" si="171"/>
        <v>#N/A</v>
      </c>
      <c r="T113" s="658"/>
      <c r="U113" s="183"/>
      <c r="V113" s="183"/>
      <c r="W113" s="183"/>
      <c r="X113" s="356" t="e">
        <f t="shared" si="172"/>
        <v>#N/A</v>
      </c>
      <c r="Y113" s="658"/>
      <c r="Z113" s="183"/>
      <c r="AA113" s="183"/>
      <c r="AB113" s="183"/>
      <c r="AC113" s="356" t="e">
        <f t="shared" si="173"/>
        <v>#N/A</v>
      </c>
      <c r="AD113" s="658"/>
      <c r="AE113" s="183"/>
      <c r="AF113" s="183"/>
      <c r="AG113" s="183"/>
      <c r="AH113" s="356" t="e">
        <f t="shared" si="174"/>
        <v>#N/A</v>
      </c>
      <c r="AI113" s="658"/>
      <c r="AJ113" s="183"/>
      <c r="AK113" s="183"/>
      <c r="AL113" s="183"/>
      <c r="AM113" s="356" t="e">
        <f t="shared" si="175"/>
        <v>#N/A</v>
      </c>
      <c r="AN113" s="658"/>
      <c r="AO113" s="183"/>
      <c r="AP113" s="183"/>
      <c r="AQ113" s="183"/>
      <c r="AR113" s="356" t="e">
        <f t="shared" si="176"/>
        <v>#N/A</v>
      </c>
      <c r="AS113" s="658"/>
      <c r="AT113" s="183"/>
      <c r="AU113" s="183"/>
      <c r="AV113" s="183"/>
      <c r="AW113" s="356" t="e">
        <f t="shared" si="177"/>
        <v>#N/A</v>
      </c>
      <c r="AX113" s="658"/>
    </row>
    <row r="114" spans="2:50">
      <c r="B114" s="627"/>
      <c r="C114" s="356">
        <v>8</v>
      </c>
      <c r="D114" s="228"/>
      <c r="E114" s="183"/>
      <c r="F114" s="356"/>
      <c r="G114" s="359"/>
      <c r="H114" s="662"/>
      <c r="I114" s="200" t="e">
        <f t="shared" si="168"/>
        <v>#DIV/0!</v>
      </c>
      <c r="J114" s="200" t="e">
        <f t="shared" si="169"/>
        <v>#DIV/0!</v>
      </c>
      <c r="K114" s="201" t="e">
        <f t="shared" si="170"/>
        <v>#DIV/0!</v>
      </c>
      <c r="L114" s="601"/>
      <c r="M114" s="202" t="e">
        <f>RANK(K114, K$87:$K$101)</f>
        <v>#DIV/0!</v>
      </c>
      <c r="N114" s="619"/>
      <c r="O114" s="619"/>
      <c r="P114" s="183"/>
      <c r="Q114" s="183"/>
      <c r="R114" s="183"/>
      <c r="S114" s="356" t="e">
        <f t="shared" si="171"/>
        <v>#N/A</v>
      </c>
      <c r="T114" s="658"/>
      <c r="U114" s="183"/>
      <c r="V114" s="183"/>
      <c r="W114" s="183"/>
      <c r="X114" s="356" t="e">
        <f t="shared" si="172"/>
        <v>#N/A</v>
      </c>
      <c r="Y114" s="658"/>
      <c r="Z114" s="183"/>
      <c r="AA114" s="183"/>
      <c r="AB114" s="183"/>
      <c r="AC114" s="356" t="e">
        <f t="shared" si="173"/>
        <v>#N/A</v>
      </c>
      <c r="AD114" s="658"/>
      <c r="AE114" s="183"/>
      <c r="AF114" s="183"/>
      <c r="AG114" s="183"/>
      <c r="AH114" s="356" t="e">
        <f t="shared" si="174"/>
        <v>#N/A</v>
      </c>
      <c r="AI114" s="658"/>
      <c r="AJ114" s="183"/>
      <c r="AK114" s="183"/>
      <c r="AL114" s="183"/>
      <c r="AM114" s="356" t="e">
        <f t="shared" si="175"/>
        <v>#N/A</v>
      </c>
      <c r="AN114" s="658"/>
      <c r="AO114" s="183"/>
      <c r="AP114" s="183"/>
      <c r="AQ114" s="183"/>
      <c r="AR114" s="356" t="e">
        <f t="shared" si="176"/>
        <v>#N/A</v>
      </c>
      <c r="AS114" s="658"/>
      <c r="AT114" s="183"/>
      <c r="AU114" s="183"/>
      <c r="AV114" s="183"/>
      <c r="AW114" s="356" t="e">
        <f t="shared" si="177"/>
        <v>#N/A</v>
      </c>
      <c r="AX114" s="658"/>
    </row>
    <row r="115" spans="2:50">
      <c r="B115" s="627"/>
      <c r="C115" s="356">
        <v>9</v>
      </c>
      <c r="D115" s="228"/>
      <c r="E115" s="183"/>
      <c r="F115" s="356"/>
      <c r="G115" s="359"/>
      <c r="H115" s="662"/>
      <c r="I115" s="200" t="e">
        <f t="shared" si="168"/>
        <v>#DIV/0!</v>
      </c>
      <c r="J115" s="200" t="e">
        <f t="shared" si="169"/>
        <v>#DIV/0!</v>
      </c>
      <c r="K115" s="201" t="e">
        <f t="shared" si="170"/>
        <v>#DIV/0!</v>
      </c>
      <c r="L115" s="601"/>
      <c r="M115" s="202" t="e">
        <f>RANK(K115, K$87:$K$101)</f>
        <v>#DIV/0!</v>
      </c>
      <c r="N115" s="619"/>
      <c r="O115" s="619"/>
      <c r="P115" s="183"/>
      <c r="Q115" s="183"/>
      <c r="R115" s="183"/>
      <c r="S115" s="356" t="e">
        <f t="shared" si="171"/>
        <v>#N/A</v>
      </c>
      <c r="T115" s="658"/>
      <c r="U115" s="183"/>
      <c r="V115" s="183"/>
      <c r="W115" s="183"/>
      <c r="X115" s="356" t="e">
        <f t="shared" si="172"/>
        <v>#N/A</v>
      </c>
      <c r="Y115" s="658"/>
      <c r="Z115" s="183"/>
      <c r="AA115" s="183"/>
      <c r="AB115" s="183"/>
      <c r="AC115" s="356" t="e">
        <f t="shared" si="173"/>
        <v>#N/A</v>
      </c>
      <c r="AD115" s="658"/>
      <c r="AE115" s="183"/>
      <c r="AF115" s="183"/>
      <c r="AG115" s="183"/>
      <c r="AH115" s="356" t="e">
        <f t="shared" si="174"/>
        <v>#N/A</v>
      </c>
      <c r="AI115" s="658"/>
      <c r="AJ115" s="183"/>
      <c r="AK115" s="183"/>
      <c r="AL115" s="183"/>
      <c r="AM115" s="356" t="e">
        <f t="shared" si="175"/>
        <v>#N/A</v>
      </c>
      <c r="AN115" s="658"/>
      <c r="AO115" s="183"/>
      <c r="AP115" s="183"/>
      <c r="AQ115" s="183"/>
      <c r="AR115" s="356" t="e">
        <f t="shared" si="176"/>
        <v>#N/A</v>
      </c>
      <c r="AS115" s="658"/>
      <c r="AT115" s="183"/>
      <c r="AU115" s="183"/>
      <c r="AV115" s="183"/>
      <c r="AW115" s="356" t="e">
        <f t="shared" si="177"/>
        <v>#N/A</v>
      </c>
      <c r="AX115" s="658"/>
    </row>
    <row r="116" spans="2:50">
      <c r="B116" s="627"/>
      <c r="C116" s="356">
        <v>10</v>
      </c>
      <c r="D116" s="228"/>
      <c r="E116" s="183"/>
      <c r="F116" s="356"/>
      <c r="G116" s="359"/>
      <c r="H116" s="662"/>
      <c r="I116" s="200" t="e">
        <f t="shared" si="168"/>
        <v>#DIV/0!</v>
      </c>
      <c r="J116" s="200" t="e">
        <f t="shared" si="169"/>
        <v>#DIV/0!</v>
      </c>
      <c r="K116" s="201" t="e">
        <f t="shared" si="170"/>
        <v>#DIV/0!</v>
      </c>
      <c r="L116" s="601"/>
      <c r="M116" s="202" t="e">
        <f>RANK(K116, K$87:$K$101)</f>
        <v>#DIV/0!</v>
      </c>
      <c r="N116" s="619"/>
      <c r="O116" s="619"/>
      <c r="P116" s="183"/>
      <c r="Q116" s="183"/>
      <c r="R116" s="183"/>
      <c r="S116" s="356" t="e">
        <f t="shared" si="171"/>
        <v>#N/A</v>
      </c>
      <c r="T116" s="658"/>
      <c r="U116" s="183"/>
      <c r="V116" s="183"/>
      <c r="W116" s="183"/>
      <c r="X116" s="356" t="e">
        <f t="shared" si="172"/>
        <v>#N/A</v>
      </c>
      <c r="Y116" s="658"/>
      <c r="Z116" s="183"/>
      <c r="AA116" s="183"/>
      <c r="AB116" s="183"/>
      <c r="AC116" s="356" t="e">
        <f t="shared" si="173"/>
        <v>#N/A</v>
      </c>
      <c r="AD116" s="658"/>
      <c r="AE116" s="183"/>
      <c r="AF116" s="183"/>
      <c r="AG116" s="183"/>
      <c r="AH116" s="356" t="e">
        <f t="shared" si="174"/>
        <v>#N/A</v>
      </c>
      <c r="AI116" s="658"/>
      <c r="AJ116" s="183"/>
      <c r="AK116" s="183"/>
      <c r="AL116" s="183"/>
      <c r="AM116" s="356" t="e">
        <f t="shared" si="175"/>
        <v>#N/A</v>
      </c>
      <c r="AN116" s="658"/>
      <c r="AO116" s="183"/>
      <c r="AP116" s="183"/>
      <c r="AQ116" s="183"/>
      <c r="AR116" s="356" t="e">
        <f t="shared" si="176"/>
        <v>#N/A</v>
      </c>
      <c r="AS116" s="658"/>
      <c r="AT116" s="183"/>
      <c r="AU116" s="183"/>
      <c r="AV116" s="183"/>
      <c r="AW116" s="356" t="e">
        <f t="shared" si="177"/>
        <v>#N/A</v>
      </c>
      <c r="AX116" s="658"/>
    </row>
    <row r="117" spans="2:50">
      <c r="B117" s="627"/>
      <c r="C117" s="356">
        <v>11</v>
      </c>
      <c r="D117" s="228"/>
      <c r="E117" s="183"/>
      <c r="F117" s="356"/>
      <c r="G117" s="359"/>
      <c r="H117" s="662"/>
      <c r="I117" s="203"/>
      <c r="J117" s="203"/>
      <c r="K117" s="203"/>
      <c r="L117" s="601"/>
      <c r="M117" s="202" t="e">
        <f>RANK(K117, K$87:$K$101)</f>
        <v>#DIV/0!</v>
      </c>
      <c r="N117" s="619"/>
      <c r="O117" s="619"/>
      <c r="P117" s="183"/>
      <c r="Q117" s="183"/>
      <c r="R117" s="183"/>
      <c r="S117" s="356" t="e">
        <f t="shared" si="171"/>
        <v>#N/A</v>
      </c>
      <c r="T117" s="658"/>
      <c r="U117" s="183"/>
      <c r="V117" s="183"/>
      <c r="W117" s="183"/>
      <c r="X117" s="356" t="e">
        <f t="shared" si="172"/>
        <v>#N/A</v>
      </c>
      <c r="Y117" s="658"/>
      <c r="Z117" s="183"/>
      <c r="AA117" s="183"/>
      <c r="AB117" s="183"/>
      <c r="AC117" s="356" t="e">
        <f t="shared" si="173"/>
        <v>#N/A</v>
      </c>
      <c r="AD117" s="658"/>
      <c r="AE117" s="183"/>
      <c r="AF117" s="183"/>
      <c r="AG117" s="183"/>
      <c r="AH117" s="356" t="e">
        <f t="shared" si="174"/>
        <v>#N/A</v>
      </c>
      <c r="AI117" s="658"/>
      <c r="AJ117" s="183"/>
      <c r="AK117" s="183"/>
      <c r="AL117" s="183"/>
      <c r="AM117" s="356" t="e">
        <f t="shared" si="175"/>
        <v>#N/A</v>
      </c>
      <c r="AN117" s="658"/>
      <c r="AO117" s="183"/>
      <c r="AP117" s="183"/>
      <c r="AQ117" s="183"/>
      <c r="AR117" s="356" t="e">
        <f t="shared" si="176"/>
        <v>#N/A</v>
      </c>
      <c r="AS117" s="658"/>
      <c r="AT117" s="183"/>
      <c r="AU117" s="183"/>
      <c r="AV117" s="183"/>
      <c r="AW117" s="356" t="e">
        <f t="shared" si="177"/>
        <v>#N/A</v>
      </c>
      <c r="AX117" s="658"/>
    </row>
    <row r="118" spans="2:50">
      <c r="B118" s="627"/>
      <c r="C118" s="356">
        <v>12</v>
      </c>
      <c r="D118" s="228"/>
      <c r="E118" s="183"/>
      <c r="F118" s="356"/>
      <c r="G118" s="359"/>
      <c r="H118" s="662"/>
      <c r="I118" s="203"/>
      <c r="J118" s="203"/>
      <c r="K118" s="203"/>
      <c r="L118" s="601"/>
      <c r="M118" s="202" t="e">
        <f>RANK(K118, K$87:$K$101)</f>
        <v>#DIV/0!</v>
      </c>
      <c r="N118" s="619"/>
      <c r="O118" s="619"/>
      <c r="P118" s="183"/>
      <c r="Q118" s="183"/>
      <c r="R118" s="183"/>
      <c r="S118" s="356" t="e">
        <f t="shared" si="171"/>
        <v>#N/A</v>
      </c>
      <c r="T118" s="658"/>
      <c r="U118" s="183"/>
      <c r="V118" s="183"/>
      <c r="W118" s="183"/>
      <c r="X118" s="356" t="e">
        <f t="shared" si="172"/>
        <v>#N/A</v>
      </c>
      <c r="Y118" s="658"/>
      <c r="Z118" s="183"/>
      <c r="AA118" s="183"/>
      <c r="AB118" s="183"/>
      <c r="AC118" s="356" t="e">
        <f t="shared" si="173"/>
        <v>#N/A</v>
      </c>
      <c r="AD118" s="658"/>
      <c r="AE118" s="183"/>
      <c r="AF118" s="183"/>
      <c r="AG118" s="183"/>
      <c r="AH118" s="356" t="e">
        <f t="shared" si="174"/>
        <v>#N/A</v>
      </c>
      <c r="AI118" s="658"/>
      <c r="AJ118" s="183"/>
      <c r="AK118" s="183"/>
      <c r="AL118" s="183"/>
      <c r="AM118" s="356" t="e">
        <f t="shared" si="175"/>
        <v>#N/A</v>
      </c>
      <c r="AN118" s="658"/>
      <c r="AO118" s="183"/>
      <c r="AP118" s="183"/>
      <c r="AQ118" s="183"/>
      <c r="AR118" s="356" t="e">
        <f t="shared" si="176"/>
        <v>#N/A</v>
      </c>
      <c r="AS118" s="658"/>
      <c r="AT118" s="183"/>
      <c r="AU118" s="183"/>
      <c r="AV118" s="183"/>
      <c r="AW118" s="356" t="e">
        <f t="shared" si="177"/>
        <v>#N/A</v>
      </c>
      <c r="AX118" s="658"/>
    </row>
    <row r="119" spans="2:50">
      <c r="B119" s="627"/>
      <c r="C119" s="356">
        <v>13</v>
      </c>
      <c r="D119" s="228"/>
      <c r="E119" s="183"/>
      <c r="F119" s="356"/>
      <c r="G119" s="359"/>
      <c r="H119" s="662"/>
      <c r="I119" s="203"/>
      <c r="J119" s="203"/>
      <c r="K119" s="203"/>
      <c r="L119" s="601"/>
      <c r="M119" s="202" t="e">
        <f>RANK(K119, K$87:$K$101)</f>
        <v>#DIV/0!</v>
      </c>
      <c r="N119" s="619"/>
      <c r="O119" s="619"/>
      <c r="P119" s="183"/>
      <c r="Q119" s="183"/>
      <c r="R119" s="183"/>
      <c r="S119" s="356" t="e">
        <f t="shared" si="171"/>
        <v>#N/A</v>
      </c>
      <c r="T119" s="658"/>
      <c r="U119" s="183"/>
      <c r="V119" s="183"/>
      <c r="W119" s="183"/>
      <c r="X119" s="356" t="e">
        <f t="shared" si="172"/>
        <v>#N/A</v>
      </c>
      <c r="Y119" s="658"/>
      <c r="Z119" s="183"/>
      <c r="AA119" s="183"/>
      <c r="AB119" s="183"/>
      <c r="AC119" s="356" t="e">
        <f t="shared" si="173"/>
        <v>#N/A</v>
      </c>
      <c r="AD119" s="658"/>
      <c r="AE119" s="183"/>
      <c r="AF119" s="183"/>
      <c r="AG119" s="183"/>
      <c r="AH119" s="356" t="e">
        <f t="shared" si="174"/>
        <v>#N/A</v>
      </c>
      <c r="AI119" s="658"/>
      <c r="AJ119" s="183"/>
      <c r="AK119" s="183"/>
      <c r="AL119" s="183"/>
      <c r="AM119" s="356" t="e">
        <f t="shared" si="175"/>
        <v>#N/A</v>
      </c>
      <c r="AN119" s="658"/>
      <c r="AO119" s="183"/>
      <c r="AP119" s="183"/>
      <c r="AQ119" s="183"/>
      <c r="AR119" s="356" t="e">
        <f t="shared" si="176"/>
        <v>#N/A</v>
      </c>
      <c r="AS119" s="658"/>
      <c r="AT119" s="183"/>
      <c r="AU119" s="183"/>
      <c r="AV119" s="183"/>
      <c r="AW119" s="356" t="e">
        <f t="shared" si="177"/>
        <v>#N/A</v>
      </c>
      <c r="AX119" s="658"/>
    </row>
    <row r="120" spans="2:50">
      <c r="B120" s="627"/>
      <c r="C120" s="356">
        <v>14</v>
      </c>
      <c r="D120" s="228"/>
      <c r="E120" s="183"/>
      <c r="F120" s="356"/>
      <c r="G120" s="359"/>
      <c r="H120" s="662"/>
      <c r="I120" s="203"/>
      <c r="J120" s="203"/>
      <c r="K120" s="203"/>
      <c r="L120" s="601"/>
      <c r="M120" s="202" t="e">
        <f>RANK(K120, K$87:$K$101)</f>
        <v>#DIV/0!</v>
      </c>
      <c r="N120" s="619"/>
      <c r="O120" s="619"/>
      <c r="P120" s="183"/>
      <c r="Q120" s="183"/>
      <c r="R120" s="183"/>
      <c r="S120" s="356" t="e">
        <f t="shared" si="171"/>
        <v>#N/A</v>
      </c>
      <c r="T120" s="658"/>
      <c r="U120" s="183"/>
      <c r="V120" s="183"/>
      <c r="W120" s="183"/>
      <c r="X120" s="356" t="e">
        <f t="shared" si="172"/>
        <v>#N/A</v>
      </c>
      <c r="Y120" s="658"/>
      <c r="Z120" s="183"/>
      <c r="AA120" s="183"/>
      <c r="AB120" s="183"/>
      <c r="AC120" s="356" t="e">
        <f t="shared" si="173"/>
        <v>#N/A</v>
      </c>
      <c r="AD120" s="658"/>
      <c r="AE120" s="183"/>
      <c r="AF120" s="183"/>
      <c r="AG120" s="183"/>
      <c r="AH120" s="356" t="e">
        <f t="shared" si="174"/>
        <v>#N/A</v>
      </c>
      <c r="AI120" s="658"/>
      <c r="AJ120" s="183"/>
      <c r="AK120" s="183"/>
      <c r="AL120" s="183"/>
      <c r="AM120" s="356" t="e">
        <f t="shared" si="175"/>
        <v>#N/A</v>
      </c>
      <c r="AN120" s="658"/>
      <c r="AO120" s="183"/>
      <c r="AP120" s="183"/>
      <c r="AQ120" s="183"/>
      <c r="AR120" s="356" t="e">
        <f t="shared" si="176"/>
        <v>#N/A</v>
      </c>
      <c r="AS120" s="658"/>
      <c r="AT120" s="183"/>
      <c r="AU120" s="183"/>
      <c r="AV120" s="183"/>
      <c r="AW120" s="356" t="e">
        <f t="shared" si="177"/>
        <v>#N/A</v>
      </c>
      <c r="AX120" s="658"/>
    </row>
    <row r="121" spans="2:50">
      <c r="B121" s="627"/>
      <c r="C121" s="356">
        <v>15</v>
      </c>
      <c r="D121" s="228"/>
      <c r="E121" s="183"/>
      <c r="F121" s="356"/>
      <c r="G121" s="359"/>
      <c r="H121" s="663"/>
      <c r="I121" s="203"/>
      <c r="J121" s="203"/>
      <c r="K121" s="203"/>
      <c r="L121" s="602"/>
      <c r="M121" s="200" t="e">
        <f>RANK(K121, K$87:$K$101)</f>
        <v>#DIV/0!</v>
      </c>
      <c r="N121" s="619"/>
      <c r="O121" s="619"/>
      <c r="P121" s="183"/>
      <c r="Q121" s="183"/>
      <c r="R121" s="183"/>
      <c r="S121" s="356" t="e">
        <f t="shared" si="171"/>
        <v>#N/A</v>
      </c>
      <c r="T121" s="658"/>
      <c r="U121" s="183"/>
      <c r="V121" s="183"/>
      <c r="W121" s="183"/>
      <c r="X121" s="356" t="e">
        <f t="shared" si="172"/>
        <v>#N/A</v>
      </c>
      <c r="Y121" s="658"/>
      <c r="Z121" s="183"/>
      <c r="AA121" s="183"/>
      <c r="AB121" s="183"/>
      <c r="AC121" s="356" t="e">
        <f t="shared" si="173"/>
        <v>#N/A</v>
      </c>
      <c r="AD121" s="658"/>
      <c r="AE121" s="183"/>
      <c r="AF121" s="183"/>
      <c r="AG121" s="183"/>
      <c r="AH121" s="356" t="e">
        <f t="shared" si="174"/>
        <v>#N/A</v>
      </c>
      <c r="AI121" s="658"/>
      <c r="AJ121" s="183"/>
      <c r="AK121" s="183"/>
      <c r="AL121" s="183"/>
      <c r="AM121" s="356" t="e">
        <f t="shared" si="175"/>
        <v>#N/A</v>
      </c>
      <c r="AN121" s="658"/>
      <c r="AO121" s="183"/>
      <c r="AP121" s="183"/>
      <c r="AQ121" s="183"/>
      <c r="AR121" s="356" t="e">
        <f t="shared" si="176"/>
        <v>#N/A</v>
      </c>
      <c r="AS121" s="658"/>
      <c r="AT121" s="183"/>
      <c r="AU121" s="183"/>
      <c r="AV121" s="183"/>
      <c r="AW121" s="356" t="e">
        <f t="shared" si="177"/>
        <v>#N/A</v>
      </c>
      <c r="AX121" s="658"/>
    </row>
    <row r="123" spans="2:50" ht="15.5">
      <c r="B123" s="652" t="s">
        <v>725</v>
      </c>
      <c r="C123" s="653"/>
      <c r="D123" s="653"/>
      <c r="E123" s="653"/>
      <c r="F123" s="653"/>
      <c r="G123" s="653"/>
      <c r="H123" s="654"/>
      <c r="I123" s="360"/>
      <c r="J123" s="360"/>
      <c r="K123" s="360"/>
      <c r="L123" s="360"/>
      <c r="M123" s="361"/>
    </row>
    <row r="124" spans="2:50" ht="15.5">
      <c r="B124" s="655"/>
      <c r="C124" s="655"/>
      <c r="D124" s="655"/>
      <c r="E124" s="655"/>
      <c r="F124" s="655"/>
      <c r="G124" s="655"/>
      <c r="H124" s="655"/>
      <c r="I124" s="362"/>
      <c r="J124" s="362"/>
      <c r="K124" s="362"/>
      <c r="L124" s="362"/>
      <c r="M124" s="363"/>
    </row>
    <row r="125" spans="2:50">
      <c r="B125" s="619" t="s">
        <v>154</v>
      </c>
      <c r="C125" s="619" t="s">
        <v>453</v>
      </c>
      <c r="D125" s="619"/>
      <c r="E125" s="619" t="s">
        <v>444</v>
      </c>
      <c r="F125" s="619"/>
      <c r="G125" s="619"/>
      <c r="H125" s="635" t="s">
        <v>440</v>
      </c>
      <c r="I125" s="656" t="s">
        <v>445</v>
      </c>
      <c r="J125" s="656"/>
      <c r="K125" s="656"/>
      <c r="L125" s="672" t="s">
        <v>440</v>
      </c>
      <c r="M125" s="675" t="s">
        <v>441</v>
      </c>
    </row>
    <row r="126" spans="2:50">
      <c r="B126" s="619"/>
      <c r="C126" s="619"/>
      <c r="D126" s="619"/>
      <c r="E126" s="619" t="s">
        <v>447</v>
      </c>
      <c r="F126" s="619"/>
      <c r="G126" s="619"/>
      <c r="H126" s="636"/>
      <c r="I126" s="656" t="s">
        <v>447</v>
      </c>
      <c r="J126" s="656"/>
      <c r="K126" s="656"/>
      <c r="L126" s="673"/>
      <c r="M126" s="676"/>
    </row>
    <row r="127" spans="2:50">
      <c r="B127" s="619"/>
      <c r="C127" s="619"/>
      <c r="D127" s="619"/>
      <c r="E127" s="357" t="s">
        <v>449</v>
      </c>
      <c r="F127" s="357" t="s">
        <v>450</v>
      </c>
      <c r="G127" s="357" t="s">
        <v>451</v>
      </c>
      <c r="H127" s="637"/>
      <c r="I127" s="364" t="s">
        <v>449</v>
      </c>
      <c r="J127" s="364" t="s">
        <v>450</v>
      </c>
      <c r="K127" s="364" t="s">
        <v>451</v>
      </c>
      <c r="L127" s="674"/>
      <c r="M127" s="677"/>
    </row>
    <row r="128" spans="2:50">
      <c r="B128" s="619" t="s">
        <v>455</v>
      </c>
      <c r="C128" s="356">
        <v>1</v>
      </c>
      <c r="D128" s="228"/>
      <c r="E128" s="183"/>
      <c r="F128" s="356"/>
      <c r="G128" s="359"/>
      <c r="H128" s="661" t="e">
        <f>AVERAGE(G128:G142)</f>
        <v>#DIV/0!</v>
      </c>
      <c r="I128" s="200" t="e">
        <f t="shared" ref="I128:J137" si="178">AVERAGEIF($D$7:$D$121,$D128,I$7:I$121)</f>
        <v>#DIV/0!</v>
      </c>
      <c r="J128" s="200" t="e">
        <f t="shared" si="178"/>
        <v>#DIV/0!</v>
      </c>
      <c r="K128" s="200" t="e">
        <f t="shared" ref="K128:K137" si="179"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27"/>
      <c r="C129" s="356">
        <v>2</v>
      </c>
      <c r="D129" s="228"/>
      <c r="E129" s="183"/>
      <c r="F129" s="356"/>
      <c r="G129" s="359"/>
      <c r="H129" s="662"/>
      <c r="I129" s="200" t="e">
        <f t="shared" si="178"/>
        <v>#DIV/0!</v>
      </c>
      <c r="J129" s="200" t="e">
        <f t="shared" si="178"/>
        <v>#DIV/0!</v>
      </c>
      <c r="K129" s="200" t="e">
        <f t="shared" si="179"/>
        <v>#DIV/0!</v>
      </c>
      <c r="L129" s="670"/>
      <c r="M129" s="200" t="e">
        <f>RANK(K129, K$128:$K$142)</f>
        <v>#DIV/0!</v>
      </c>
    </row>
    <row r="130" spans="2:13">
      <c r="B130" s="627"/>
      <c r="C130" s="356">
        <v>3</v>
      </c>
      <c r="D130" s="228"/>
      <c r="E130" s="183"/>
      <c r="F130" s="356"/>
      <c r="G130" s="359"/>
      <c r="H130" s="662"/>
      <c r="I130" s="200" t="e">
        <f t="shared" si="178"/>
        <v>#DIV/0!</v>
      </c>
      <c r="J130" s="200" t="e">
        <f t="shared" si="178"/>
        <v>#DIV/0!</v>
      </c>
      <c r="K130" s="200" t="e">
        <f t="shared" si="179"/>
        <v>#DIV/0!</v>
      </c>
      <c r="L130" s="670"/>
      <c r="M130" s="200" t="e">
        <f>RANK(K130, K$128:$K$142)</f>
        <v>#DIV/0!</v>
      </c>
    </row>
    <row r="131" spans="2:13">
      <c r="B131" s="627"/>
      <c r="C131" s="356">
        <v>4</v>
      </c>
      <c r="D131" s="228"/>
      <c r="E131" s="183"/>
      <c r="F131" s="356"/>
      <c r="G131" s="359"/>
      <c r="H131" s="662"/>
      <c r="I131" s="200" t="e">
        <f t="shared" si="178"/>
        <v>#DIV/0!</v>
      </c>
      <c r="J131" s="200" t="e">
        <f t="shared" si="178"/>
        <v>#DIV/0!</v>
      </c>
      <c r="K131" s="200" t="e">
        <f t="shared" si="179"/>
        <v>#DIV/0!</v>
      </c>
      <c r="L131" s="670"/>
      <c r="M131" s="200" t="e">
        <f>RANK(K131, K$128:$K$142)</f>
        <v>#DIV/0!</v>
      </c>
    </row>
    <row r="132" spans="2:13">
      <c r="B132" s="627"/>
      <c r="C132" s="356">
        <v>5</v>
      </c>
      <c r="D132" s="228"/>
      <c r="E132" s="183"/>
      <c r="F132" s="356"/>
      <c r="G132" s="359"/>
      <c r="H132" s="662"/>
      <c r="I132" s="200" t="e">
        <f t="shared" si="178"/>
        <v>#DIV/0!</v>
      </c>
      <c r="J132" s="200" t="e">
        <f t="shared" si="178"/>
        <v>#DIV/0!</v>
      </c>
      <c r="K132" s="200" t="e">
        <f t="shared" si="179"/>
        <v>#DIV/0!</v>
      </c>
      <c r="L132" s="670"/>
      <c r="M132" s="200" t="e">
        <f>RANK(K132, K$128:$K$142)</f>
        <v>#DIV/0!</v>
      </c>
    </row>
    <row r="133" spans="2:13">
      <c r="B133" s="627"/>
      <c r="C133" s="356">
        <v>6</v>
      </c>
      <c r="D133" s="365"/>
      <c r="E133" s="183"/>
      <c r="F133" s="356"/>
      <c r="G133" s="359"/>
      <c r="H133" s="662"/>
      <c r="I133" s="200" t="e">
        <f t="shared" si="178"/>
        <v>#DIV/0!</v>
      </c>
      <c r="J133" s="200" t="e">
        <f t="shared" si="178"/>
        <v>#DIV/0!</v>
      </c>
      <c r="K133" s="200" t="e">
        <f t="shared" si="179"/>
        <v>#DIV/0!</v>
      </c>
      <c r="L133" s="670"/>
      <c r="M133" s="200" t="e">
        <f>RANK(K133, K$128:$K$142)</f>
        <v>#DIV/0!</v>
      </c>
    </row>
    <row r="134" spans="2:13">
      <c r="B134" s="627"/>
      <c r="C134" s="356">
        <v>7</v>
      </c>
      <c r="D134" s="228"/>
      <c r="E134" s="183"/>
      <c r="F134" s="356"/>
      <c r="G134" s="359"/>
      <c r="H134" s="662"/>
      <c r="I134" s="200" t="e">
        <f t="shared" si="178"/>
        <v>#DIV/0!</v>
      </c>
      <c r="J134" s="200" t="e">
        <f t="shared" si="178"/>
        <v>#DIV/0!</v>
      </c>
      <c r="K134" s="200" t="e">
        <f t="shared" si="179"/>
        <v>#DIV/0!</v>
      </c>
      <c r="L134" s="670"/>
      <c r="M134" s="200" t="e">
        <f>RANK(K134, K$128:$K$142)</f>
        <v>#DIV/0!</v>
      </c>
    </row>
    <row r="135" spans="2:13">
      <c r="B135" s="627"/>
      <c r="C135" s="356">
        <v>8</v>
      </c>
      <c r="D135" s="228"/>
      <c r="E135" s="183"/>
      <c r="F135" s="356"/>
      <c r="G135" s="359"/>
      <c r="H135" s="662"/>
      <c r="I135" s="200" t="e">
        <f t="shared" si="178"/>
        <v>#DIV/0!</v>
      </c>
      <c r="J135" s="200" t="e">
        <f t="shared" si="178"/>
        <v>#DIV/0!</v>
      </c>
      <c r="K135" s="200" t="e">
        <f t="shared" si="179"/>
        <v>#DIV/0!</v>
      </c>
      <c r="L135" s="670"/>
      <c r="M135" s="200" t="e">
        <f>RANK(K135, K$128:$K$142)</f>
        <v>#DIV/0!</v>
      </c>
    </row>
    <row r="136" spans="2:13">
      <c r="B136" s="627"/>
      <c r="C136" s="356">
        <v>9</v>
      </c>
      <c r="D136" s="228"/>
      <c r="E136" s="356"/>
      <c r="F136" s="356"/>
      <c r="G136" s="356"/>
      <c r="H136" s="662"/>
      <c r="I136" s="200" t="e">
        <f t="shared" si="178"/>
        <v>#DIV/0!</v>
      </c>
      <c r="J136" s="200" t="e">
        <f t="shared" si="178"/>
        <v>#DIV/0!</v>
      </c>
      <c r="K136" s="200" t="e">
        <f t="shared" si="179"/>
        <v>#DIV/0!</v>
      </c>
      <c r="L136" s="670"/>
      <c r="M136" s="200" t="e">
        <f>RANK(K136, K$128:$K$142)</f>
        <v>#DIV/0!</v>
      </c>
    </row>
    <row r="137" spans="2:13">
      <c r="B137" s="627"/>
      <c r="C137" s="356">
        <v>10</v>
      </c>
      <c r="D137" s="228"/>
      <c r="E137" s="356"/>
      <c r="F137" s="356"/>
      <c r="G137" s="356"/>
      <c r="H137" s="662"/>
      <c r="I137" s="200" t="e">
        <f t="shared" si="178"/>
        <v>#DIV/0!</v>
      </c>
      <c r="J137" s="200" t="e">
        <f t="shared" si="178"/>
        <v>#DIV/0!</v>
      </c>
      <c r="K137" s="200" t="e">
        <f t="shared" si="179"/>
        <v>#DIV/0!</v>
      </c>
      <c r="L137" s="670"/>
      <c r="M137" s="200" t="e">
        <f>RANK(K137, K$128:$K$142)</f>
        <v>#DIV/0!</v>
      </c>
    </row>
    <row r="138" spans="2:13">
      <c r="B138" s="627"/>
      <c r="C138" s="356">
        <v>11</v>
      </c>
      <c r="D138" s="228"/>
      <c r="E138" s="356"/>
      <c r="F138" s="356"/>
      <c r="G138" s="356"/>
      <c r="H138" s="662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27"/>
      <c r="C139" s="356">
        <v>12</v>
      </c>
      <c r="D139" s="228"/>
      <c r="E139" s="356"/>
      <c r="F139" s="356"/>
      <c r="G139" s="356"/>
      <c r="H139" s="662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27"/>
      <c r="C140" s="356">
        <v>13</v>
      </c>
      <c r="D140" s="228"/>
      <c r="E140" s="356"/>
      <c r="F140" s="356"/>
      <c r="G140" s="356"/>
      <c r="H140" s="662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27"/>
      <c r="C141" s="356">
        <v>14</v>
      </c>
      <c r="D141" s="228"/>
      <c r="E141" s="356"/>
      <c r="F141" s="356"/>
      <c r="G141" s="356"/>
      <c r="H141" s="662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27"/>
      <c r="C142" s="356">
        <v>15</v>
      </c>
      <c r="D142" s="228"/>
      <c r="E142" s="356"/>
      <c r="F142" s="356"/>
      <c r="G142" s="356"/>
      <c r="H142" s="663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2" zoomScale="70" zoomScaleNormal="70" workbookViewId="0">
      <pane xSplit="15" topLeftCell="P1" activePane="topRight" state="frozen"/>
      <selection activeCell="P2" sqref="P2:T2"/>
      <selection pane="topRight" activeCell="P47" sqref="P47:R51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119.529831233648</v>
      </c>
    </row>
    <row r="2" spans="1:54" ht="15.5">
      <c r="A2" s="81"/>
      <c r="B2" s="631" t="s">
        <v>163</v>
      </c>
      <c r="C2" s="631"/>
      <c r="D2" s="631"/>
      <c r="E2" s="631"/>
      <c r="F2" s="631"/>
      <c r="G2" s="631"/>
      <c r="H2" s="631"/>
      <c r="I2" s="318"/>
      <c r="J2" s="318"/>
      <c r="K2" s="318"/>
      <c r="L2" s="318"/>
      <c r="M2" s="198"/>
      <c r="N2" s="620" t="s">
        <v>156</v>
      </c>
      <c r="O2" s="620" t="s">
        <v>155</v>
      </c>
      <c r="P2" s="666"/>
      <c r="Q2" s="667"/>
      <c r="R2" s="667"/>
      <c r="S2" s="667"/>
      <c r="T2" s="668"/>
      <c r="U2" s="626"/>
      <c r="V2" s="627"/>
      <c r="W2" s="627"/>
      <c r="X2" s="627"/>
      <c r="Y2" s="627"/>
      <c r="Z2" s="626"/>
      <c r="AA2" s="627"/>
      <c r="AB2" s="627"/>
      <c r="AC2" s="627"/>
      <c r="AD2" s="627"/>
      <c r="AE2" s="626"/>
      <c r="AF2" s="627"/>
      <c r="AG2" s="627"/>
      <c r="AH2" s="627"/>
      <c r="AI2" s="627"/>
      <c r="AJ2" s="626"/>
      <c r="AK2" s="627"/>
      <c r="AL2" s="627"/>
      <c r="AM2" s="627"/>
      <c r="AN2" s="627"/>
      <c r="AO2" s="626"/>
      <c r="AP2" s="627"/>
      <c r="AQ2" s="627"/>
      <c r="AR2" s="627"/>
      <c r="AS2" s="627"/>
      <c r="AT2" s="626">
        <v>45992</v>
      </c>
      <c r="AU2" s="627"/>
      <c r="AV2" s="627"/>
      <c r="AW2" s="627"/>
      <c r="AX2" s="627"/>
    </row>
    <row r="3" spans="1:54" ht="15.5">
      <c r="A3" s="81"/>
      <c r="B3" s="651"/>
      <c r="C3" s="651"/>
      <c r="D3" s="651"/>
      <c r="E3" s="651"/>
      <c r="F3" s="651"/>
      <c r="G3" s="651"/>
      <c r="H3" s="651"/>
      <c r="I3" s="319"/>
      <c r="J3" s="319"/>
      <c r="K3" s="319"/>
      <c r="L3" s="319"/>
      <c r="M3" s="199"/>
      <c r="N3" s="622"/>
      <c r="O3" s="622"/>
      <c r="P3" s="623" t="s">
        <v>158</v>
      </c>
      <c r="Q3" s="624"/>
      <c r="R3" s="624"/>
      <c r="S3" s="624"/>
      <c r="T3" s="625"/>
      <c r="U3" s="623" t="s">
        <v>114</v>
      </c>
      <c r="V3" s="624"/>
      <c r="W3" s="624"/>
      <c r="X3" s="624"/>
      <c r="Y3" s="625"/>
      <c r="Z3" s="623" t="s">
        <v>159</v>
      </c>
      <c r="AA3" s="624"/>
      <c r="AB3" s="624"/>
      <c r="AC3" s="624"/>
      <c r="AD3" s="625"/>
      <c r="AE3" s="623" t="s">
        <v>157</v>
      </c>
      <c r="AF3" s="624"/>
      <c r="AG3" s="624"/>
      <c r="AH3" s="624"/>
      <c r="AI3" s="625"/>
      <c r="AJ3" s="623" t="s">
        <v>160</v>
      </c>
      <c r="AK3" s="624"/>
      <c r="AL3" s="624"/>
      <c r="AM3" s="624"/>
      <c r="AN3" s="625"/>
      <c r="AO3" s="623" t="s">
        <v>161</v>
      </c>
      <c r="AP3" s="624"/>
      <c r="AQ3" s="624"/>
      <c r="AR3" s="624"/>
      <c r="AS3" s="625"/>
      <c r="AT3" s="623" t="s">
        <v>162</v>
      </c>
      <c r="AU3" s="624"/>
      <c r="AV3" s="624"/>
      <c r="AW3" s="624"/>
      <c r="AX3" s="625"/>
    </row>
    <row r="4" spans="1:54">
      <c r="A4" s="81"/>
      <c r="B4" s="619" t="s">
        <v>502</v>
      </c>
      <c r="C4" s="619" t="s">
        <v>503</v>
      </c>
      <c r="D4" s="619"/>
      <c r="E4" s="619" t="s">
        <v>504</v>
      </c>
      <c r="F4" s="619"/>
      <c r="G4" s="619"/>
      <c r="H4" s="635" t="s">
        <v>505</v>
      </c>
      <c r="I4" s="603" t="s">
        <v>506</v>
      </c>
      <c r="J4" s="603"/>
      <c r="K4" s="603"/>
      <c r="L4" s="604" t="s">
        <v>505</v>
      </c>
      <c r="M4" s="610" t="s">
        <v>507</v>
      </c>
      <c r="N4" s="619"/>
      <c r="O4" s="619" t="s">
        <v>508</v>
      </c>
      <c r="P4" s="616" t="s">
        <v>509</v>
      </c>
      <c r="Q4" s="617"/>
      <c r="R4" s="617"/>
      <c r="S4" s="618"/>
      <c r="T4" s="619" t="s">
        <v>505</v>
      </c>
      <c r="U4" s="616" t="s">
        <v>509</v>
      </c>
      <c r="V4" s="617"/>
      <c r="W4" s="617"/>
      <c r="X4" s="618"/>
      <c r="Y4" s="619" t="s">
        <v>505</v>
      </c>
      <c r="Z4" s="616" t="s">
        <v>509</v>
      </c>
      <c r="AA4" s="617"/>
      <c r="AB4" s="617"/>
      <c r="AC4" s="618"/>
      <c r="AD4" s="619" t="s">
        <v>505</v>
      </c>
      <c r="AE4" s="616" t="s">
        <v>509</v>
      </c>
      <c r="AF4" s="617"/>
      <c r="AG4" s="617"/>
      <c r="AH4" s="618"/>
      <c r="AI4" s="619" t="s">
        <v>505</v>
      </c>
      <c r="AJ4" s="616" t="s">
        <v>509</v>
      </c>
      <c r="AK4" s="617"/>
      <c r="AL4" s="617"/>
      <c r="AM4" s="618"/>
      <c r="AN4" s="619" t="s">
        <v>505</v>
      </c>
      <c r="AO4" s="616" t="s">
        <v>509</v>
      </c>
      <c r="AP4" s="617"/>
      <c r="AQ4" s="617"/>
      <c r="AR4" s="618"/>
      <c r="AS4" s="619" t="s">
        <v>505</v>
      </c>
      <c r="AT4" s="616" t="s">
        <v>509</v>
      </c>
      <c r="AU4" s="617"/>
      <c r="AV4" s="617"/>
      <c r="AW4" s="618"/>
      <c r="AX4" s="619" t="s">
        <v>505</v>
      </c>
    </row>
    <row r="5" spans="1:54">
      <c r="A5" s="81"/>
      <c r="B5" s="619"/>
      <c r="C5" s="619"/>
      <c r="D5" s="619"/>
      <c r="E5" s="619" t="s">
        <v>510</v>
      </c>
      <c r="F5" s="619"/>
      <c r="G5" s="619"/>
      <c r="H5" s="636"/>
      <c r="I5" s="603" t="s">
        <v>510</v>
      </c>
      <c r="J5" s="603"/>
      <c r="K5" s="603"/>
      <c r="L5" s="605"/>
      <c r="M5" s="611"/>
      <c r="N5" s="619"/>
      <c r="O5" s="619"/>
      <c r="P5" s="616" t="s">
        <v>511</v>
      </c>
      <c r="Q5" s="617"/>
      <c r="R5" s="617"/>
      <c r="S5" s="618"/>
      <c r="T5" s="619"/>
      <c r="U5" s="616" t="s">
        <v>511</v>
      </c>
      <c r="V5" s="617"/>
      <c r="W5" s="617"/>
      <c r="X5" s="618"/>
      <c r="Y5" s="619"/>
      <c r="Z5" s="616" t="s">
        <v>511</v>
      </c>
      <c r="AA5" s="617"/>
      <c r="AB5" s="617"/>
      <c r="AC5" s="618"/>
      <c r="AD5" s="619"/>
      <c r="AE5" s="616" t="s">
        <v>511</v>
      </c>
      <c r="AF5" s="617"/>
      <c r="AG5" s="617"/>
      <c r="AH5" s="618"/>
      <c r="AI5" s="619"/>
      <c r="AJ5" s="616" t="s">
        <v>511</v>
      </c>
      <c r="AK5" s="617"/>
      <c r="AL5" s="617"/>
      <c r="AM5" s="618"/>
      <c r="AN5" s="619"/>
      <c r="AO5" s="616" t="s">
        <v>511</v>
      </c>
      <c r="AP5" s="617"/>
      <c r="AQ5" s="617"/>
      <c r="AR5" s="618"/>
      <c r="AS5" s="619"/>
      <c r="AT5" s="616" t="s">
        <v>511</v>
      </c>
      <c r="AU5" s="617"/>
      <c r="AV5" s="617"/>
      <c r="AW5" s="618"/>
      <c r="AX5" s="619"/>
    </row>
    <row r="6" spans="1:54">
      <c r="A6" s="79"/>
      <c r="B6" s="619"/>
      <c r="C6" s="619"/>
      <c r="D6" s="619"/>
      <c r="E6" s="473" t="s">
        <v>512</v>
      </c>
      <c r="F6" s="473" t="s">
        <v>513</v>
      </c>
      <c r="G6" s="473" t="s">
        <v>514</v>
      </c>
      <c r="H6" s="637"/>
      <c r="I6" s="474" t="s">
        <v>512</v>
      </c>
      <c r="J6" s="474" t="s">
        <v>513</v>
      </c>
      <c r="K6" s="474" t="s">
        <v>514</v>
      </c>
      <c r="L6" s="606"/>
      <c r="M6" s="612"/>
      <c r="N6" s="619"/>
      <c r="O6" s="619"/>
      <c r="P6" s="473" t="s">
        <v>512</v>
      </c>
      <c r="Q6" s="473" t="s">
        <v>513</v>
      </c>
      <c r="R6" s="473" t="s">
        <v>514</v>
      </c>
      <c r="S6" s="473" t="s">
        <v>507</v>
      </c>
      <c r="T6" s="619"/>
      <c r="U6" s="473" t="s">
        <v>512</v>
      </c>
      <c r="V6" s="473" t="s">
        <v>513</v>
      </c>
      <c r="W6" s="473" t="s">
        <v>514</v>
      </c>
      <c r="X6" s="473" t="s">
        <v>507</v>
      </c>
      <c r="Y6" s="619"/>
      <c r="Z6" s="473" t="s">
        <v>512</v>
      </c>
      <c r="AA6" s="473" t="s">
        <v>513</v>
      </c>
      <c r="AB6" s="473" t="s">
        <v>514</v>
      </c>
      <c r="AC6" s="473" t="s">
        <v>507</v>
      </c>
      <c r="AD6" s="619"/>
      <c r="AE6" s="473" t="s">
        <v>512</v>
      </c>
      <c r="AF6" s="473" t="s">
        <v>513</v>
      </c>
      <c r="AG6" s="473" t="s">
        <v>514</v>
      </c>
      <c r="AH6" s="473" t="s">
        <v>507</v>
      </c>
      <c r="AI6" s="619"/>
      <c r="AJ6" s="473" t="s">
        <v>512</v>
      </c>
      <c r="AK6" s="473" t="s">
        <v>513</v>
      </c>
      <c r="AL6" s="473" t="s">
        <v>514</v>
      </c>
      <c r="AM6" s="473" t="s">
        <v>507</v>
      </c>
      <c r="AN6" s="619"/>
      <c r="AO6" s="473" t="s">
        <v>512</v>
      </c>
      <c r="AP6" s="473" t="s">
        <v>513</v>
      </c>
      <c r="AQ6" s="473" t="s">
        <v>514</v>
      </c>
      <c r="AR6" s="473" t="s">
        <v>507</v>
      </c>
      <c r="AS6" s="619"/>
      <c r="AT6" s="473" t="s">
        <v>512</v>
      </c>
      <c r="AU6" s="473" t="s">
        <v>513</v>
      </c>
      <c r="AV6" s="473" t="s">
        <v>514</v>
      </c>
      <c r="AW6" s="473" t="s">
        <v>507</v>
      </c>
      <c r="AX6" s="619"/>
    </row>
    <row r="7" spans="1:54">
      <c r="A7" s="81"/>
      <c r="B7" s="619" t="s">
        <v>529</v>
      </c>
      <c r="C7" s="470">
        <v>1</v>
      </c>
      <c r="D7" s="228" t="s">
        <v>396</v>
      </c>
      <c r="E7" s="183">
        <v>21</v>
      </c>
      <c r="F7" s="520">
        <v>2400</v>
      </c>
      <c r="G7" s="521">
        <v>114.28571428571429</v>
      </c>
      <c r="H7" s="661">
        <f>AVERAGE(G7:G21)</f>
        <v>143.60275689223059</v>
      </c>
      <c r="I7" s="472">
        <f>AVERAGE(P7,U7,Z7,AE7,AJ7,AO7,AT7)</f>
        <v>21</v>
      </c>
      <c r="J7" s="472">
        <f>AVERAGE(Q7,V7,AA7,AF7,AK7,AP7,AU7)</f>
        <v>2195.4929577464791</v>
      </c>
      <c r="K7" s="201">
        <f>AVERAGE(R7,W7,AB7,AG7,AL7,AQ7,AV7)</f>
        <v>104.54728370221329</v>
      </c>
      <c r="L7" s="600">
        <f>IFERROR(AVERAGE(K7:K21),"-")</f>
        <v>120.36002694586053</v>
      </c>
      <c r="M7" s="475">
        <f>RANK(K7, $K$7:K$21)</f>
        <v>5</v>
      </c>
      <c r="N7" s="619"/>
      <c r="O7" s="619"/>
      <c r="P7" s="183"/>
      <c r="Q7" s="521"/>
      <c r="R7" s="521"/>
      <c r="S7" s="520" t="e">
        <f t="shared" ref="S7:S21" si="0">RANK(R7, R$7:R$21)</f>
        <v>#N/A</v>
      </c>
      <c r="T7" s="658" t="e">
        <f t="shared" ref="T7" si="1">AVERAGE(R7:R21)</f>
        <v>#DIV/0!</v>
      </c>
      <c r="U7" s="183"/>
      <c r="V7" s="521"/>
      <c r="W7" s="521"/>
      <c r="X7" s="520" t="e">
        <f t="shared" ref="X7" si="2">RANK(W7, W$7:W$21)</f>
        <v>#N/A</v>
      </c>
      <c r="Y7" s="658" t="e">
        <f t="shared" ref="Y7" si="3">AVERAGE(W7:W21)</f>
        <v>#DIV/0!</v>
      </c>
      <c r="Z7" s="183"/>
      <c r="AA7" s="521"/>
      <c r="AB7" s="521"/>
      <c r="AC7" s="520" t="e">
        <f t="shared" ref="AC7" si="4">RANK(AB7, AB$7:AB$21)</f>
        <v>#N/A</v>
      </c>
      <c r="AD7" s="658" t="e">
        <f t="shared" ref="AD7" si="5">AVERAGE(AB7:AB21)</f>
        <v>#DIV/0!</v>
      </c>
      <c r="AE7" s="183"/>
      <c r="AF7" s="521"/>
      <c r="AG7" s="521"/>
      <c r="AH7" s="520" t="e">
        <f t="shared" ref="AH7" si="6">RANK(AG7, AG$7:AG$21)</f>
        <v>#N/A</v>
      </c>
      <c r="AI7" s="658" t="e">
        <f t="shared" ref="AI7" si="7">AVERAGE(AG7:AG21)</f>
        <v>#DIV/0!</v>
      </c>
      <c r="AJ7" s="183"/>
      <c r="AK7" s="521"/>
      <c r="AL7" s="521"/>
      <c r="AM7" s="520" t="e">
        <f t="shared" ref="AM7" si="8">RANK(AL7, AL$7:AL$21)</f>
        <v>#N/A</v>
      </c>
      <c r="AN7" s="658" t="e">
        <f t="shared" ref="AN7" si="9">AVERAGE(AL7:AL21)</f>
        <v>#DIV/0!</v>
      </c>
      <c r="AO7" s="183"/>
      <c r="AP7" s="521"/>
      <c r="AQ7" s="521"/>
      <c r="AR7" s="520" t="e">
        <f t="shared" ref="AR7" si="10">RANK(AQ7, AQ$7:AQ$21)</f>
        <v>#N/A</v>
      </c>
      <c r="AS7" s="658" t="e">
        <f t="shared" ref="AS7" si="11">AVERAGE(AQ7:AQ21)</f>
        <v>#DIV/0!</v>
      </c>
      <c r="AT7" s="183">
        <v>21</v>
      </c>
      <c r="AU7" s="471">
        <v>2195.4929577464791</v>
      </c>
      <c r="AV7" s="471">
        <v>104.54728370221329</v>
      </c>
      <c r="AW7" s="470">
        <f>RANK(AV7, AV$7:AV$21)</f>
        <v>5</v>
      </c>
      <c r="AX7" s="658">
        <f>AVERAGE(AV7:AV21)</f>
        <v>120.36002694586053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7"/>
      <c r="C8" s="470">
        <v>2</v>
      </c>
      <c r="D8" s="228" t="s">
        <v>397</v>
      </c>
      <c r="E8" s="183">
        <v>18</v>
      </c>
      <c r="F8" s="520">
        <v>3000</v>
      </c>
      <c r="G8" s="521">
        <v>166.66666666666666</v>
      </c>
      <c r="H8" s="662"/>
      <c r="I8" s="472">
        <f t="shared" ref="I8:I11" si="12">AVERAGE(P8,U8,Z8,AE8,AJ8,AO8,AT8)</f>
        <v>19</v>
      </c>
      <c r="J8" s="472">
        <f t="shared" ref="J8:J11" si="13">AVERAGE(Q8,V8,AA8,AF8,AK8,AP8,AU8)</f>
        <v>2421.2500000000009</v>
      </c>
      <c r="K8" s="201">
        <f t="shared" ref="K8:K11" si="14">AVERAGE(R8,W8,AB8,AG8,AL8,AQ8,AV8)</f>
        <v>127.43421052631584</v>
      </c>
      <c r="L8" s="601"/>
      <c r="M8" s="475">
        <f>RANK(K8, $K$7:K$21)</f>
        <v>3</v>
      </c>
      <c r="N8" s="619"/>
      <c r="O8" s="619"/>
      <c r="P8" s="520"/>
      <c r="Q8" s="521"/>
      <c r="R8" s="521"/>
      <c r="S8" s="520" t="e">
        <f t="shared" si="0"/>
        <v>#N/A</v>
      </c>
      <c r="T8" s="658"/>
      <c r="U8" s="520"/>
      <c r="V8" s="521"/>
      <c r="W8" s="521"/>
      <c r="X8" s="520" t="e">
        <f t="shared" ref="X8" si="15">RANK(W8, W$7:W$21)</f>
        <v>#N/A</v>
      </c>
      <c r="Y8" s="658"/>
      <c r="Z8" s="520"/>
      <c r="AA8" s="521"/>
      <c r="AB8" s="521"/>
      <c r="AC8" s="520" t="e">
        <f t="shared" ref="AC8" si="16">RANK(AB8, AB$7:AB$21)</f>
        <v>#N/A</v>
      </c>
      <c r="AD8" s="658"/>
      <c r="AE8" s="520"/>
      <c r="AF8" s="521"/>
      <c r="AG8" s="521"/>
      <c r="AH8" s="520" t="e">
        <f t="shared" ref="AH8" si="17">RANK(AG8, AG$7:AG$21)</f>
        <v>#N/A</v>
      </c>
      <c r="AI8" s="658"/>
      <c r="AJ8" s="520"/>
      <c r="AK8" s="521"/>
      <c r="AL8" s="521"/>
      <c r="AM8" s="520" t="e">
        <f t="shared" ref="AM8" si="18">RANK(AL8, AL$7:AL$21)</f>
        <v>#N/A</v>
      </c>
      <c r="AN8" s="658"/>
      <c r="AO8" s="520"/>
      <c r="AP8" s="521"/>
      <c r="AQ8" s="521"/>
      <c r="AR8" s="520" t="e">
        <f t="shared" ref="AR8" si="19">RANK(AQ8, AQ$7:AQ$21)</f>
        <v>#N/A</v>
      </c>
      <c r="AS8" s="658"/>
      <c r="AT8" s="470">
        <v>19</v>
      </c>
      <c r="AU8" s="471">
        <v>2421.2500000000009</v>
      </c>
      <c r="AV8" s="471">
        <v>127.43421052631584</v>
      </c>
      <c r="AW8" s="470">
        <f t="shared" ref="AW8:AW21" si="20">RANK(AV8, AV$7:AV$21)</f>
        <v>3</v>
      </c>
      <c r="AX8" s="658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27"/>
      <c r="C9" s="470">
        <v>3</v>
      </c>
      <c r="D9" s="228" t="s">
        <v>398</v>
      </c>
      <c r="E9" s="183">
        <v>18</v>
      </c>
      <c r="F9" s="520">
        <v>3000</v>
      </c>
      <c r="G9" s="521">
        <v>166.66666666666666</v>
      </c>
      <c r="H9" s="662"/>
      <c r="I9" s="472">
        <f t="shared" si="12"/>
        <v>19</v>
      </c>
      <c r="J9" s="472">
        <f t="shared" si="13"/>
        <v>2488.9285714285734</v>
      </c>
      <c r="K9" s="201">
        <f t="shared" si="14"/>
        <v>130.99624060150387</v>
      </c>
      <c r="L9" s="601"/>
      <c r="M9" s="475">
        <f>RANK(K9, $K$7:K$21)</f>
        <v>1</v>
      </c>
      <c r="N9" s="619"/>
      <c r="O9" s="619"/>
      <c r="P9" s="520"/>
      <c r="Q9" s="521"/>
      <c r="R9" s="521"/>
      <c r="S9" s="520" t="e">
        <f t="shared" si="0"/>
        <v>#N/A</v>
      </c>
      <c r="T9" s="658"/>
      <c r="U9" s="520"/>
      <c r="V9" s="521"/>
      <c r="W9" s="521"/>
      <c r="X9" s="520" t="e">
        <f t="shared" ref="X9" si="22">RANK(W9, W$7:W$21)</f>
        <v>#N/A</v>
      </c>
      <c r="Y9" s="658"/>
      <c r="Z9" s="520"/>
      <c r="AA9" s="521"/>
      <c r="AB9" s="521"/>
      <c r="AC9" s="520" t="e">
        <f t="shared" ref="AC9" si="23">RANK(AB9, AB$7:AB$21)</f>
        <v>#N/A</v>
      </c>
      <c r="AD9" s="658"/>
      <c r="AE9" s="520"/>
      <c r="AF9" s="521"/>
      <c r="AG9" s="521"/>
      <c r="AH9" s="520" t="e">
        <f t="shared" ref="AH9" si="24">RANK(AG9, AG$7:AG$21)</f>
        <v>#N/A</v>
      </c>
      <c r="AI9" s="658"/>
      <c r="AJ9" s="520"/>
      <c r="AK9" s="521"/>
      <c r="AL9" s="521"/>
      <c r="AM9" s="520" t="e">
        <f t="shared" ref="AM9" si="25">RANK(AL9, AL$7:AL$21)</f>
        <v>#N/A</v>
      </c>
      <c r="AN9" s="658"/>
      <c r="AO9" s="520"/>
      <c r="AP9" s="521"/>
      <c r="AQ9" s="521"/>
      <c r="AR9" s="520" t="e">
        <f t="shared" ref="AR9" si="26">RANK(AQ9, AQ$7:AQ$21)</f>
        <v>#N/A</v>
      </c>
      <c r="AS9" s="658"/>
      <c r="AT9" s="470">
        <v>19</v>
      </c>
      <c r="AU9" s="471">
        <v>2488.9285714285734</v>
      </c>
      <c r="AV9" s="471">
        <v>130.99624060150387</v>
      </c>
      <c r="AW9" s="470">
        <f t="shared" si="20"/>
        <v>1</v>
      </c>
      <c r="AX9" s="658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27"/>
      <c r="C10" s="470">
        <v>4</v>
      </c>
      <c r="D10" s="228" t="s">
        <v>399</v>
      </c>
      <c r="E10" s="183">
        <v>19</v>
      </c>
      <c r="F10" s="520">
        <v>3000</v>
      </c>
      <c r="G10" s="521">
        <v>157.89473684210526</v>
      </c>
      <c r="H10" s="662"/>
      <c r="I10" s="472">
        <f t="shared" si="12"/>
        <v>19</v>
      </c>
      <c r="J10" s="472">
        <f t="shared" si="13"/>
        <v>2458.4210526315774</v>
      </c>
      <c r="K10" s="201">
        <f t="shared" si="14"/>
        <v>129.39058171745145</v>
      </c>
      <c r="L10" s="601"/>
      <c r="M10" s="475">
        <f>RANK(K10, $K$7:K$21)</f>
        <v>2</v>
      </c>
      <c r="N10" s="619"/>
      <c r="O10" s="619"/>
      <c r="P10" s="520"/>
      <c r="Q10" s="521"/>
      <c r="R10" s="521"/>
      <c r="S10" s="520" t="e">
        <f t="shared" si="0"/>
        <v>#N/A</v>
      </c>
      <c r="T10" s="658"/>
      <c r="U10" s="520"/>
      <c r="V10" s="521"/>
      <c r="W10" s="521"/>
      <c r="X10" s="520" t="e">
        <f t="shared" ref="X10" si="27">RANK(W10, W$7:W$21)</f>
        <v>#N/A</v>
      </c>
      <c r="Y10" s="658"/>
      <c r="Z10" s="520"/>
      <c r="AA10" s="521"/>
      <c r="AB10" s="521"/>
      <c r="AC10" s="520" t="e">
        <f t="shared" ref="AC10" si="28">RANK(AB10, AB$7:AB$21)</f>
        <v>#N/A</v>
      </c>
      <c r="AD10" s="658"/>
      <c r="AE10" s="520"/>
      <c r="AF10" s="521"/>
      <c r="AG10" s="521"/>
      <c r="AH10" s="520" t="e">
        <f t="shared" ref="AH10" si="29">RANK(AG10, AG$7:AG$21)</f>
        <v>#N/A</v>
      </c>
      <c r="AI10" s="658"/>
      <c r="AJ10" s="520"/>
      <c r="AK10" s="521"/>
      <c r="AL10" s="521"/>
      <c r="AM10" s="520" t="e">
        <f t="shared" ref="AM10" si="30">RANK(AL10, AL$7:AL$21)</f>
        <v>#N/A</v>
      </c>
      <c r="AN10" s="658"/>
      <c r="AO10" s="520"/>
      <c r="AP10" s="521"/>
      <c r="AQ10" s="521"/>
      <c r="AR10" s="520" t="e">
        <f t="shared" ref="AR10" si="31">RANK(AQ10, AQ$7:AQ$21)</f>
        <v>#N/A</v>
      </c>
      <c r="AS10" s="658"/>
      <c r="AT10" s="470">
        <v>19</v>
      </c>
      <c r="AU10" s="471">
        <v>2458.4210526315774</v>
      </c>
      <c r="AV10" s="471">
        <v>129.39058171745145</v>
      </c>
      <c r="AW10" s="470">
        <f t="shared" si="20"/>
        <v>2</v>
      </c>
      <c r="AX10" s="658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27"/>
      <c r="C11" s="470">
        <v>5</v>
      </c>
      <c r="D11" s="228" t="s">
        <v>838</v>
      </c>
      <c r="E11" s="183">
        <v>20</v>
      </c>
      <c r="F11" s="520">
        <v>2250</v>
      </c>
      <c r="G11" s="521">
        <v>112.5</v>
      </c>
      <c r="H11" s="662"/>
      <c r="I11" s="472">
        <f t="shared" si="12"/>
        <v>20</v>
      </c>
      <c r="J11" s="472">
        <f t="shared" si="13"/>
        <v>2188.6363636363635</v>
      </c>
      <c r="K11" s="201">
        <f t="shared" si="14"/>
        <v>109.43181818181817</v>
      </c>
      <c r="L11" s="601"/>
      <c r="M11" s="475">
        <f>RANK(K11, $K$7:K$21)</f>
        <v>4</v>
      </c>
      <c r="N11" s="619"/>
      <c r="O11" s="619"/>
      <c r="P11" s="520"/>
      <c r="Q11" s="521"/>
      <c r="R11" s="521"/>
      <c r="S11" s="520" t="e">
        <f t="shared" si="0"/>
        <v>#N/A</v>
      </c>
      <c r="T11" s="658"/>
      <c r="U11" s="520"/>
      <c r="V11" s="521"/>
      <c r="W11" s="521"/>
      <c r="X11" s="520" t="e">
        <f t="shared" ref="X11" si="32">RANK(W11, W$7:W$21)</f>
        <v>#N/A</v>
      </c>
      <c r="Y11" s="658"/>
      <c r="Z11" s="520"/>
      <c r="AA11" s="521"/>
      <c r="AB11" s="521"/>
      <c r="AC11" s="520" t="e">
        <f t="shared" ref="AC11" si="33">RANK(AB11, AB$7:AB$21)</f>
        <v>#N/A</v>
      </c>
      <c r="AD11" s="658"/>
      <c r="AE11" s="520"/>
      <c r="AF11" s="521"/>
      <c r="AG11" s="521"/>
      <c r="AH11" s="520" t="e">
        <f t="shared" ref="AH11" si="34">RANK(AG11, AG$7:AG$21)</f>
        <v>#N/A</v>
      </c>
      <c r="AI11" s="658"/>
      <c r="AJ11" s="520"/>
      <c r="AK11" s="521"/>
      <c r="AL11" s="521"/>
      <c r="AM11" s="520" t="e">
        <f t="shared" ref="AM11" si="35">RANK(AL11, AL$7:AL$21)</f>
        <v>#N/A</v>
      </c>
      <c r="AN11" s="658"/>
      <c r="AO11" s="520"/>
      <c r="AP11" s="521"/>
      <c r="AQ11" s="521"/>
      <c r="AR11" s="520" t="e">
        <f t="shared" ref="AR11" si="36">RANK(AQ11, AQ$7:AQ$21)</f>
        <v>#N/A</v>
      </c>
      <c r="AS11" s="658"/>
      <c r="AT11" s="470">
        <v>20</v>
      </c>
      <c r="AU11" s="471">
        <v>2188.6363636363635</v>
      </c>
      <c r="AV11" s="471">
        <v>109.43181818181817</v>
      </c>
      <c r="AW11" s="470">
        <f t="shared" si="20"/>
        <v>4</v>
      </c>
      <c r="AX11" s="658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27"/>
      <c r="C12" s="470">
        <v>6</v>
      </c>
      <c r="D12" s="228"/>
      <c r="E12" s="183"/>
      <c r="F12" s="520"/>
      <c r="G12" s="521"/>
      <c r="H12" s="662"/>
      <c r="I12" s="472"/>
      <c r="J12" s="472"/>
      <c r="K12" s="201"/>
      <c r="L12" s="601"/>
      <c r="M12" s="475" t="e">
        <f>RANK(K12, $K$7:K$21)</f>
        <v>#N/A</v>
      </c>
      <c r="N12" s="619"/>
      <c r="O12" s="619"/>
      <c r="P12" s="520"/>
      <c r="Q12" s="521"/>
      <c r="R12" s="521"/>
      <c r="S12" s="520" t="e">
        <f t="shared" si="0"/>
        <v>#N/A</v>
      </c>
      <c r="T12" s="658"/>
      <c r="U12" s="520"/>
      <c r="V12" s="521"/>
      <c r="W12" s="521"/>
      <c r="X12" s="520" t="e">
        <f t="shared" ref="X12" si="37">RANK(W12, W$7:W$21)</f>
        <v>#N/A</v>
      </c>
      <c r="Y12" s="658"/>
      <c r="Z12" s="520"/>
      <c r="AA12" s="521"/>
      <c r="AB12" s="521"/>
      <c r="AC12" s="520" t="e">
        <f t="shared" ref="AC12" si="38">RANK(AB12, AB$7:AB$21)</f>
        <v>#N/A</v>
      </c>
      <c r="AD12" s="658"/>
      <c r="AE12" s="520"/>
      <c r="AF12" s="521"/>
      <c r="AG12" s="521"/>
      <c r="AH12" s="520" t="e">
        <f t="shared" ref="AH12" si="39">RANK(AG12, AG$7:AG$21)</f>
        <v>#N/A</v>
      </c>
      <c r="AI12" s="658"/>
      <c r="AJ12" s="520"/>
      <c r="AK12" s="521"/>
      <c r="AL12" s="521"/>
      <c r="AM12" s="520" t="e">
        <f t="shared" ref="AM12" si="40">RANK(AL12, AL$7:AL$21)</f>
        <v>#N/A</v>
      </c>
      <c r="AN12" s="658"/>
      <c r="AO12" s="520"/>
      <c r="AP12" s="521"/>
      <c r="AQ12" s="521"/>
      <c r="AR12" s="520" t="e">
        <f t="shared" ref="AR12" si="41">RANK(AQ12, AQ$7:AQ$21)</f>
        <v>#N/A</v>
      </c>
      <c r="AS12" s="658"/>
      <c r="AT12" s="470"/>
      <c r="AU12" s="471"/>
      <c r="AV12" s="471"/>
      <c r="AW12" s="470" t="e">
        <f t="shared" si="20"/>
        <v>#N/A</v>
      </c>
      <c r="AX12" s="658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27"/>
      <c r="C13" s="470">
        <v>7</v>
      </c>
      <c r="D13" s="228"/>
      <c r="E13" s="183"/>
      <c r="F13" s="520"/>
      <c r="G13" s="521"/>
      <c r="H13" s="662"/>
      <c r="I13" s="472"/>
      <c r="J13" s="472"/>
      <c r="K13" s="201"/>
      <c r="L13" s="601"/>
      <c r="M13" s="475" t="e">
        <f>RANK(K13, $K$7:K$21)</f>
        <v>#N/A</v>
      </c>
      <c r="N13" s="619"/>
      <c r="O13" s="619"/>
      <c r="P13" s="520"/>
      <c r="Q13" s="521"/>
      <c r="R13" s="521"/>
      <c r="S13" s="520" t="e">
        <f t="shared" si="0"/>
        <v>#N/A</v>
      </c>
      <c r="T13" s="658"/>
      <c r="U13" s="520"/>
      <c r="V13" s="521"/>
      <c r="W13" s="521"/>
      <c r="X13" s="520" t="e">
        <f t="shared" ref="X13" si="42">RANK(W13, W$7:W$21)</f>
        <v>#N/A</v>
      </c>
      <c r="Y13" s="658"/>
      <c r="Z13" s="520"/>
      <c r="AA13" s="521"/>
      <c r="AB13" s="521"/>
      <c r="AC13" s="520" t="e">
        <f t="shared" ref="AC13" si="43">RANK(AB13, AB$7:AB$21)</f>
        <v>#N/A</v>
      </c>
      <c r="AD13" s="658"/>
      <c r="AE13" s="520"/>
      <c r="AF13" s="521"/>
      <c r="AG13" s="521"/>
      <c r="AH13" s="520" t="e">
        <f t="shared" ref="AH13" si="44">RANK(AG13, AG$7:AG$21)</f>
        <v>#N/A</v>
      </c>
      <c r="AI13" s="658"/>
      <c r="AJ13" s="520"/>
      <c r="AK13" s="521"/>
      <c r="AL13" s="521"/>
      <c r="AM13" s="520" t="e">
        <f t="shared" ref="AM13" si="45">RANK(AL13, AL$7:AL$21)</f>
        <v>#N/A</v>
      </c>
      <c r="AN13" s="658"/>
      <c r="AO13" s="520"/>
      <c r="AP13" s="521"/>
      <c r="AQ13" s="521"/>
      <c r="AR13" s="520" t="e">
        <f t="shared" ref="AR13" si="46">RANK(AQ13, AQ$7:AQ$21)</f>
        <v>#N/A</v>
      </c>
      <c r="AS13" s="658"/>
      <c r="AT13" s="470"/>
      <c r="AU13" s="471"/>
      <c r="AV13" s="471"/>
      <c r="AW13" s="470" t="e">
        <f t="shared" si="20"/>
        <v>#N/A</v>
      </c>
      <c r="AX13" s="658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27"/>
      <c r="C14" s="470">
        <v>8</v>
      </c>
      <c r="D14" s="228"/>
      <c r="E14" s="183"/>
      <c r="F14" s="520"/>
      <c r="G14" s="521"/>
      <c r="H14" s="662"/>
      <c r="I14" s="472"/>
      <c r="J14" s="472"/>
      <c r="K14" s="201"/>
      <c r="L14" s="601"/>
      <c r="M14" s="475" t="e">
        <f>RANK(K14, $K$7:K$21)</f>
        <v>#N/A</v>
      </c>
      <c r="N14" s="619"/>
      <c r="O14" s="619"/>
      <c r="P14" s="520"/>
      <c r="Q14" s="521"/>
      <c r="R14" s="521"/>
      <c r="S14" s="520" t="e">
        <f t="shared" si="0"/>
        <v>#N/A</v>
      </c>
      <c r="T14" s="658"/>
      <c r="U14" s="520"/>
      <c r="V14" s="521"/>
      <c r="W14" s="521"/>
      <c r="X14" s="520" t="e">
        <f t="shared" ref="X14" si="47">RANK(W14, W$7:W$21)</f>
        <v>#N/A</v>
      </c>
      <c r="Y14" s="658"/>
      <c r="Z14" s="520"/>
      <c r="AA14" s="521"/>
      <c r="AB14" s="521"/>
      <c r="AC14" s="520" t="e">
        <f t="shared" ref="AC14" si="48">RANK(AB14, AB$7:AB$21)</f>
        <v>#N/A</v>
      </c>
      <c r="AD14" s="658"/>
      <c r="AE14" s="520"/>
      <c r="AF14" s="521"/>
      <c r="AG14" s="521"/>
      <c r="AH14" s="520" t="e">
        <f t="shared" ref="AH14" si="49">RANK(AG14, AG$7:AG$21)</f>
        <v>#N/A</v>
      </c>
      <c r="AI14" s="658"/>
      <c r="AJ14" s="520"/>
      <c r="AK14" s="521"/>
      <c r="AL14" s="521"/>
      <c r="AM14" s="520" t="e">
        <f t="shared" ref="AM14" si="50">RANK(AL14, AL$7:AL$21)</f>
        <v>#N/A</v>
      </c>
      <c r="AN14" s="658"/>
      <c r="AO14" s="520"/>
      <c r="AP14" s="521"/>
      <c r="AQ14" s="521"/>
      <c r="AR14" s="520" t="e">
        <f t="shared" ref="AR14" si="51">RANK(AQ14, AQ$7:AQ$21)</f>
        <v>#N/A</v>
      </c>
      <c r="AS14" s="658"/>
      <c r="AT14" s="470"/>
      <c r="AU14" s="471"/>
      <c r="AV14" s="471"/>
      <c r="AW14" s="470" t="e">
        <f t="shared" si="20"/>
        <v>#N/A</v>
      </c>
      <c r="AX14" s="658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27"/>
      <c r="C15" s="470">
        <v>9</v>
      </c>
      <c r="D15" s="228"/>
      <c r="E15" s="183"/>
      <c r="F15" s="520"/>
      <c r="G15" s="521"/>
      <c r="H15" s="662"/>
      <c r="I15" s="472"/>
      <c r="J15" s="472"/>
      <c r="K15" s="201"/>
      <c r="L15" s="601"/>
      <c r="M15" s="475" t="e">
        <f>RANK(K15, $K$7:K$21)</f>
        <v>#N/A</v>
      </c>
      <c r="N15" s="619"/>
      <c r="O15" s="619"/>
      <c r="P15" s="520"/>
      <c r="Q15" s="521"/>
      <c r="R15" s="521"/>
      <c r="S15" s="520" t="e">
        <f t="shared" si="0"/>
        <v>#N/A</v>
      </c>
      <c r="T15" s="658"/>
      <c r="U15" s="520"/>
      <c r="V15" s="521"/>
      <c r="W15" s="521"/>
      <c r="X15" s="520" t="e">
        <f t="shared" ref="X15" si="52">RANK(W15, W$7:W$21)</f>
        <v>#N/A</v>
      </c>
      <c r="Y15" s="658"/>
      <c r="Z15" s="520"/>
      <c r="AA15" s="521"/>
      <c r="AB15" s="521"/>
      <c r="AC15" s="520" t="e">
        <f t="shared" ref="AC15" si="53">RANK(AB15, AB$7:AB$21)</f>
        <v>#N/A</v>
      </c>
      <c r="AD15" s="658"/>
      <c r="AE15" s="520"/>
      <c r="AF15" s="521"/>
      <c r="AG15" s="521"/>
      <c r="AH15" s="520" t="e">
        <f t="shared" ref="AH15" si="54">RANK(AG15, AG$7:AG$21)</f>
        <v>#N/A</v>
      </c>
      <c r="AI15" s="658"/>
      <c r="AJ15" s="520"/>
      <c r="AK15" s="521"/>
      <c r="AL15" s="521"/>
      <c r="AM15" s="520" t="e">
        <f t="shared" ref="AM15" si="55">RANK(AL15, AL$7:AL$21)</f>
        <v>#N/A</v>
      </c>
      <c r="AN15" s="658"/>
      <c r="AO15" s="520"/>
      <c r="AP15" s="521"/>
      <c r="AQ15" s="521"/>
      <c r="AR15" s="520" t="e">
        <f t="shared" ref="AR15" si="56">RANK(AQ15, AQ$7:AQ$21)</f>
        <v>#N/A</v>
      </c>
      <c r="AS15" s="658"/>
      <c r="AT15" s="470"/>
      <c r="AU15" s="471"/>
      <c r="AV15" s="471"/>
      <c r="AW15" s="470" t="e">
        <f t="shared" si="20"/>
        <v>#N/A</v>
      </c>
      <c r="AX15" s="658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27"/>
      <c r="C16" s="470">
        <v>10</v>
      </c>
      <c r="D16" s="228"/>
      <c r="E16" s="183"/>
      <c r="F16" s="520"/>
      <c r="G16" s="521"/>
      <c r="H16" s="662"/>
      <c r="I16" s="472"/>
      <c r="J16" s="472"/>
      <c r="K16" s="201"/>
      <c r="L16" s="601"/>
      <c r="M16" s="475" t="e">
        <f>RANK(K16, $K$7:K$21)</f>
        <v>#N/A</v>
      </c>
      <c r="N16" s="619"/>
      <c r="O16" s="619"/>
      <c r="P16" s="520"/>
      <c r="Q16" s="520"/>
      <c r="R16" s="521"/>
      <c r="S16" s="520" t="e">
        <f t="shared" si="0"/>
        <v>#N/A</v>
      </c>
      <c r="T16" s="658"/>
      <c r="U16" s="520"/>
      <c r="V16" s="520"/>
      <c r="W16" s="521"/>
      <c r="X16" s="520" t="e">
        <f t="shared" ref="X16" si="57">RANK(W16, W$7:W$21)</f>
        <v>#N/A</v>
      </c>
      <c r="Y16" s="658"/>
      <c r="Z16" s="520"/>
      <c r="AA16" s="520"/>
      <c r="AB16" s="521"/>
      <c r="AC16" s="520" t="e">
        <f t="shared" ref="AC16" si="58">RANK(AB16, AB$7:AB$21)</f>
        <v>#N/A</v>
      </c>
      <c r="AD16" s="658"/>
      <c r="AE16" s="520"/>
      <c r="AF16" s="520"/>
      <c r="AG16" s="521"/>
      <c r="AH16" s="520" t="e">
        <f t="shared" ref="AH16" si="59">RANK(AG16, AG$7:AG$21)</f>
        <v>#N/A</v>
      </c>
      <c r="AI16" s="658"/>
      <c r="AJ16" s="520"/>
      <c r="AK16" s="520"/>
      <c r="AL16" s="521"/>
      <c r="AM16" s="520" t="e">
        <f t="shared" ref="AM16" si="60">RANK(AL16, AL$7:AL$21)</f>
        <v>#N/A</v>
      </c>
      <c r="AN16" s="658"/>
      <c r="AO16" s="520"/>
      <c r="AP16" s="520"/>
      <c r="AQ16" s="521"/>
      <c r="AR16" s="520" t="e">
        <f t="shared" ref="AR16" si="61">RANK(AQ16, AQ$7:AQ$21)</f>
        <v>#N/A</v>
      </c>
      <c r="AS16" s="658"/>
      <c r="AT16" s="470"/>
      <c r="AU16" s="470"/>
      <c r="AV16" s="471"/>
      <c r="AW16" s="470" t="e">
        <f t="shared" si="20"/>
        <v>#N/A</v>
      </c>
      <c r="AX16" s="658"/>
      <c r="AZ16" s="379" t="e">
        <f>RANK(AX16, $K$7:AX$21)</f>
        <v>#N/A</v>
      </c>
      <c r="BB16" s="376" t="e">
        <f t="shared" si="21"/>
        <v>#N/A</v>
      </c>
    </row>
    <row r="17" spans="2:54">
      <c r="B17" s="627"/>
      <c r="C17" s="470">
        <v>11</v>
      </c>
      <c r="D17" s="228"/>
      <c r="E17" s="183"/>
      <c r="F17" s="520"/>
      <c r="G17" s="521"/>
      <c r="H17" s="662"/>
      <c r="I17" s="203"/>
      <c r="J17" s="203"/>
      <c r="K17" s="203"/>
      <c r="L17" s="601"/>
      <c r="M17" s="475" t="e">
        <f>RANK(K17, $K$7:K$21)</f>
        <v>#N/A</v>
      </c>
      <c r="N17" s="619"/>
      <c r="O17" s="619"/>
      <c r="P17" s="520"/>
      <c r="Q17" s="520"/>
      <c r="R17" s="520"/>
      <c r="S17" s="520" t="e">
        <f t="shared" si="0"/>
        <v>#N/A</v>
      </c>
      <c r="T17" s="658"/>
      <c r="U17" s="520"/>
      <c r="V17" s="520"/>
      <c r="W17" s="520"/>
      <c r="X17" s="520" t="e">
        <f t="shared" ref="X17" si="62">RANK(W17, W$7:W$21)</f>
        <v>#N/A</v>
      </c>
      <c r="Y17" s="658"/>
      <c r="Z17" s="520"/>
      <c r="AA17" s="520"/>
      <c r="AB17" s="520"/>
      <c r="AC17" s="520" t="e">
        <f t="shared" ref="AC17" si="63">RANK(AB17, AB$7:AB$21)</f>
        <v>#N/A</v>
      </c>
      <c r="AD17" s="658"/>
      <c r="AE17" s="520"/>
      <c r="AF17" s="520"/>
      <c r="AG17" s="520"/>
      <c r="AH17" s="520" t="e">
        <f t="shared" ref="AH17" si="64">RANK(AG17, AG$7:AG$21)</f>
        <v>#N/A</v>
      </c>
      <c r="AI17" s="658"/>
      <c r="AJ17" s="520"/>
      <c r="AK17" s="520"/>
      <c r="AL17" s="520"/>
      <c r="AM17" s="520" t="e">
        <f t="shared" ref="AM17" si="65">RANK(AL17, AL$7:AL$21)</f>
        <v>#N/A</v>
      </c>
      <c r="AN17" s="658"/>
      <c r="AO17" s="520"/>
      <c r="AP17" s="520"/>
      <c r="AQ17" s="520"/>
      <c r="AR17" s="520" t="e">
        <f t="shared" ref="AR17" si="66">RANK(AQ17, AQ$7:AQ$21)</f>
        <v>#N/A</v>
      </c>
      <c r="AS17" s="658"/>
      <c r="AT17" s="470"/>
      <c r="AU17" s="470"/>
      <c r="AV17" s="470"/>
      <c r="AW17" s="470" t="e">
        <f t="shared" si="20"/>
        <v>#N/A</v>
      </c>
      <c r="AX17" s="658"/>
      <c r="AZ17" s="379" t="e">
        <f>RANK(AX17, $K$7:AX$21)</f>
        <v>#N/A</v>
      </c>
      <c r="BB17" s="376" t="e">
        <f t="shared" si="21"/>
        <v>#N/A</v>
      </c>
    </row>
    <row r="18" spans="2:54">
      <c r="B18" s="627"/>
      <c r="C18" s="470">
        <v>12</v>
      </c>
      <c r="D18" s="228"/>
      <c r="E18" s="183"/>
      <c r="F18" s="520"/>
      <c r="G18" s="521"/>
      <c r="H18" s="662"/>
      <c r="I18" s="203"/>
      <c r="J18" s="203"/>
      <c r="K18" s="203"/>
      <c r="L18" s="601"/>
      <c r="M18" s="475" t="e">
        <f>RANK(K18, $K$7:K$21)</f>
        <v>#N/A</v>
      </c>
      <c r="N18" s="619"/>
      <c r="O18" s="619"/>
      <c r="P18" s="520"/>
      <c r="Q18" s="520"/>
      <c r="R18" s="520"/>
      <c r="S18" s="520" t="e">
        <f t="shared" si="0"/>
        <v>#N/A</v>
      </c>
      <c r="T18" s="658"/>
      <c r="U18" s="520"/>
      <c r="V18" s="520"/>
      <c r="W18" s="520"/>
      <c r="X18" s="520" t="e">
        <f t="shared" ref="X18" si="67">RANK(W18, W$7:W$21)</f>
        <v>#N/A</v>
      </c>
      <c r="Y18" s="658"/>
      <c r="Z18" s="520"/>
      <c r="AA18" s="520"/>
      <c r="AB18" s="520"/>
      <c r="AC18" s="520" t="e">
        <f t="shared" ref="AC18" si="68">RANK(AB18, AB$7:AB$21)</f>
        <v>#N/A</v>
      </c>
      <c r="AD18" s="658"/>
      <c r="AE18" s="520"/>
      <c r="AF18" s="520"/>
      <c r="AG18" s="520"/>
      <c r="AH18" s="520" t="e">
        <f t="shared" ref="AH18" si="69">RANK(AG18, AG$7:AG$21)</f>
        <v>#N/A</v>
      </c>
      <c r="AI18" s="658"/>
      <c r="AJ18" s="520"/>
      <c r="AK18" s="520"/>
      <c r="AL18" s="520"/>
      <c r="AM18" s="520" t="e">
        <f t="shared" ref="AM18" si="70">RANK(AL18, AL$7:AL$21)</f>
        <v>#N/A</v>
      </c>
      <c r="AN18" s="658"/>
      <c r="AO18" s="520"/>
      <c r="AP18" s="520"/>
      <c r="AQ18" s="520"/>
      <c r="AR18" s="520" t="e">
        <f t="shared" ref="AR18" si="71">RANK(AQ18, AQ$7:AQ$21)</f>
        <v>#N/A</v>
      </c>
      <c r="AS18" s="658"/>
      <c r="AT18" s="470"/>
      <c r="AU18" s="470"/>
      <c r="AV18" s="470"/>
      <c r="AW18" s="470" t="e">
        <f t="shared" si="20"/>
        <v>#N/A</v>
      </c>
      <c r="AX18" s="658"/>
      <c r="AZ18" s="379" t="e">
        <f>RANK(AX18, $K$7:AX$21)</f>
        <v>#N/A</v>
      </c>
      <c r="BB18" s="376" t="e">
        <f t="shared" si="21"/>
        <v>#N/A</v>
      </c>
    </row>
    <row r="19" spans="2:54">
      <c r="B19" s="627"/>
      <c r="C19" s="470">
        <v>13</v>
      </c>
      <c r="D19" s="228"/>
      <c r="E19" s="183"/>
      <c r="F19" s="520"/>
      <c r="G19" s="521"/>
      <c r="H19" s="662"/>
      <c r="I19" s="203"/>
      <c r="J19" s="203"/>
      <c r="K19" s="203"/>
      <c r="L19" s="601"/>
      <c r="M19" s="475" t="e">
        <f>RANK(K19, $K$7:K$21)</f>
        <v>#N/A</v>
      </c>
      <c r="N19" s="619"/>
      <c r="O19" s="619"/>
      <c r="P19" s="520"/>
      <c r="Q19" s="520"/>
      <c r="R19" s="520"/>
      <c r="S19" s="520" t="e">
        <f t="shared" si="0"/>
        <v>#N/A</v>
      </c>
      <c r="T19" s="658"/>
      <c r="U19" s="520"/>
      <c r="V19" s="520"/>
      <c r="W19" s="520"/>
      <c r="X19" s="520" t="e">
        <f t="shared" ref="X19" si="72">RANK(W19, W$7:W$21)</f>
        <v>#N/A</v>
      </c>
      <c r="Y19" s="658"/>
      <c r="Z19" s="520"/>
      <c r="AA19" s="520"/>
      <c r="AB19" s="520"/>
      <c r="AC19" s="520" t="e">
        <f t="shared" ref="AC19" si="73">RANK(AB19, AB$7:AB$21)</f>
        <v>#N/A</v>
      </c>
      <c r="AD19" s="658"/>
      <c r="AE19" s="520"/>
      <c r="AF19" s="520"/>
      <c r="AG19" s="520"/>
      <c r="AH19" s="520" t="e">
        <f t="shared" ref="AH19" si="74">RANK(AG19, AG$7:AG$21)</f>
        <v>#N/A</v>
      </c>
      <c r="AI19" s="658"/>
      <c r="AJ19" s="520"/>
      <c r="AK19" s="520"/>
      <c r="AL19" s="520"/>
      <c r="AM19" s="520" t="e">
        <f t="shared" ref="AM19" si="75">RANK(AL19, AL$7:AL$21)</f>
        <v>#N/A</v>
      </c>
      <c r="AN19" s="658"/>
      <c r="AO19" s="520"/>
      <c r="AP19" s="520"/>
      <c r="AQ19" s="520"/>
      <c r="AR19" s="520" t="e">
        <f t="shared" ref="AR19" si="76">RANK(AQ19, AQ$7:AQ$21)</f>
        <v>#N/A</v>
      </c>
      <c r="AS19" s="658"/>
      <c r="AT19" s="470"/>
      <c r="AU19" s="470"/>
      <c r="AV19" s="470"/>
      <c r="AW19" s="470" t="e">
        <f t="shared" si="20"/>
        <v>#N/A</v>
      </c>
      <c r="AX19" s="658"/>
      <c r="AZ19" s="379" t="e">
        <f>RANK(AX19, $K$7:AX$21)</f>
        <v>#N/A</v>
      </c>
      <c r="BB19" s="376" t="e">
        <f t="shared" si="21"/>
        <v>#N/A</v>
      </c>
    </row>
    <row r="20" spans="2:54">
      <c r="B20" s="627"/>
      <c r="C20" s="470">
        <v>14</v>
      </c>
      <c r="D20" s="228"/>
      <c r="E20" s="183"/>
      <c r="F20" s="520"/>
      <c r="G20" s="521"/>
      <c r="H20" s="662"/>
      <c r="I20" s="203"/>
      <c r="J20" s="203"/>
      <c r="K20" s="203"/>
      <c r="L20" s="601"/>
      <c r="M20" s="475" t="e">
        <f>RANK(K20, $K$7:K$21)</f>
        <v>#N/A</v>
      </c>
      <c r="N20" s="619"/>
      <c r="O20" s="619"/>
      <c r="P20" s="520"/>
      <c r="Q20" s="520"/>
      <c r="R20" s="520"/>
      <c r="S20" s="520" t="e">
        <f t="shared" si="0"/>
        <v>#N/A</v>
      </c>
      <c r="T20" s="658"/>
      <c r="U20" s="520"/>
      <c r="V20" s="520"/>
      <c r="W20" s="520"/>
      <c r="X20" s="520" t="e">
        <f t="shared" ref="X20" si="77">RANK(W20, W$7:W$21)</f>
        <v>#N/A</v>
      </c>
      <c r="Y20" s="658"/>
      <c r="Z20" s="520"/>
      <c r="AA20" s="520"/>
      <c r="AB20" s="520"/>
      <c r="AC20" s="520" t="e">
        <f t="shared" ref="AC20" si="78">RANK(AB20, AB$7:AB$21)</f>
        <v>#N/A</v>
      </c>
      <c r="AD20" s="658"/>
      <c r="AE20" s="520"/>
      <c r="AF20" s="520"/>
      <c r="AG20" s="520"/>
      <c r="AH20" s="520" t="e">
        <f t="shared" ref="AH20" si="79">RANK(AG20, AG$7:AG$21)</f>
        <v>#N/A</v>
      </c>
      <c r="AI20" s="658"/>
      <c r="AJ20" s="520"/>
      <c r="AK20" s="520"/>
      <c r="AL20" s="520"/>
      <c r="AM20" s="520" t="e">
        <f t="shared" ref="AM20" si="80">RANK(AL20, AL$7:AL$21)</f>
        <v>#N/A</v>
      </c>
      <c r="AN20" s="658"/>
      <c r="AO20" s="520"/>
      <c r="AP20" s="520"/>
      <c r="AQ20" s="520"/>
      <c r="AR20" s="520" t="e">
        <f t="shared" ref="AR20" si="81">RANK(AQ20, AQ$7:AQ$21)</f>
        <v>#N/A</v>
      </c>
      <c r="AS20" s="658"/>
      <c r="AT20" s="470"/>
      <c r="AU20" s="470"/>
      <c r="AV20" s="470"/>
      <c r="AW20" s="470" t="e">
        <f t="shared" si="20"/>
        <v>#N/A</v>
      </c>
      <c r="AX20" s="658"/>
      <c r="AZ20" s="379" t="e">
        <f>RANK(AX20, $K$7:AX$21)</f>
        <v>#N/A</v>
      </c>
      <c r="BB20" s="376" t="e">
        <f t="shared" si="21"/>
        <v>#N/A</v>
      </c>
    </row>
    <row r="21" spans="2:54">
      <c r="B21" s="627"/>
      <c r="C21" s="470">
        <v>15</v>
      </c>
      <c r="D21" s="228"/>
      <c r="E21" s="183"/>
      <c r="F21" s="520"/>
      <c r="G21" s="521"/>
      <c r="H21" s="663"/>
      <c r="I21" s="203"/>
      <c r="J21" s="203"/>
      <c r="K21" s="203"/>
      <c r="L21" s="602"/>
      <c r="M21" s="472" t="e">
        <f>RANK(K21, $K$7:K$21)</f>
        <v>#N/A</v>
      </c>
      <c r="N21" s="619"/>
      <c r="O21" s="619"/>
      <c r="P21" s="520"/>
      <c r="Q21" s="520"/>
      <c r="R21" s="520"/>
      <c r="S21" s="520" t="e">
        <f t="shared" si="0"/>
        <v>#N/A</v>
      </c>
      <c r="T21" s="658"/>
      <c r="U21" s="520"/>
      <c r="V21" s="520"/>
      <c r="W21" s="520"/>
      <c r="X21" s="520" t="e">
        <f t="shared" ref="X21" si="82">RANK(W21, W$7:W$21)</f>
        <v>#N/A</v>
      </c>
      <c r="Y21" s="658"/>
      <c r="Z21" s="520"/>
      <c r="AA21" s="520"/>
      <c r="AB21" s="520"/>
      <c r="AC21" s="520" t="e">
        <f t="shared" ref="AC21" si="83">RANK(AB21, AB$7:AB$21)</f>
        <v>#N/A</v>
      </c>
      <c r="AD21" s="658"/>
      <c r="AE21" s="520"/>
      <c r="AF21" s="520"/>
      <c r="AG21" s="520"/>
      <c r="AH21" s="520" t="e">
        <f t="shared" ref="AH21" si="84">RANK(AG21, AG$7:AG$21)</f>
        <v>#N/A</v>
      </c>
      <c r="AI21" s="658"/>
      <c r="AJ21" s="520"/>
      <c r="AK21" s="520"/>
      <c r="AL21" s="520"/>
      <c r="AM21" s="520" t="e">
        <f t="shared" ref="AM21" si="85">RANK(AL21, AL$7:AL$21)</f>
        <v>#N/A</v>
      </c>
      <c r="AN21" s="658"/>
      <c r="AO21" s="520"/>
      <c r="AP21" s="520"/>
      <c r="AQ21" s="520"/>
      <c r="AR21" s="520" t="e">
        <f t="shared" ref="AR21" si="86">RANK(AQ21, AQ$7:AQ$21)</f>
        <v>#N/A</v>
      </c>
      <c r="AS21" s="658"/>
      <c r="AT21" s="470"/>
      <c r="AU21" s="470"/>
      <c r="AV21" s="470"/>
      <c r="AW21" s="470" t="e">
        <f t="shared" si="20"/>
        <v>#N/A</v>
      </c>
      <c r="AX21" s="658"/>
      <c r="AZ21" s="378" t="e">
        <f>RANK(AX21, $K$7:AX$21)</f>
        <v>#N/A</v>
      </c>
      <c r="BB21" s="376" t="e">
        <f t="shared" si="21"/>
        <v>#N/A</v>
      </c>
    </row>
    <row r="22" spans="2:54" ht="15.5">
      <c r="B22" s="644" t="s">
        <v>163</v>
      </c>
      <c r="C22" s="645"/>
      <c r="D22" s="645"/>
      <c r="E22" s="645"/>
      <c r="F22" s="645"/>
      <c r="G22" s="645"/>
      <c r="H22" s="645"/>
      <c r="I22" s="204"/>
      <c r="J22" s="204"/>
      <c r="K22" s="204"/>
      <c r="L22" s="204"/>
      <c r="M22" s="205"/>
      <c r="N22" s="620" t="s">
        <v>156</v>
      </c>
      <c r="O22" s="620" t="s">
        <v>105</v>
      </c>
      <c r="P22" s="626">
        <v>45993</v>
      </c>
      <c r="Q22" s="627"/>
      <c r="R22" s="627"/>
      <c r="S22" s="627"/>
      <c r="T22" s="627"/>
      <c r="U22" s="626">
        <f>P22+1</f>
        <v>45994</v>
      </c>
      <c r="V22" s="627"/>
      <c r="W22" s="627"/>
      <c r="X22" s="627"/>
      <c r="Y22" s="627"/>
      <c r="Z22" s="626">
        <f>U22+1</f>
        <v>45995</v>
      </c>
      <c r="AA22" s="627"/>
      <c r="AB22" s="627"/>
      <c r="AC22" s="627"/>
      <c r="AD22" s="627"/>
      <c r="AE22" s="626">
        <f>Z22+1</f>
        <v>45996</v>
      </c>
      <c r="AF22" s="627"/>
      <c r="AG22" s="627"/>
      <c r="AH22" s="627"/>
      <c r="AI22" s="627"/>
      <c r="AJ22" s="626">
        <f>AE22+1</f>
        <v>45997</v>
      </c>
      <c r="AK22" s="627"/>
      <c r="AL22" s="627"/>
      <c r="AM22" s="627"/>
      <c r="AN22" s="627"/>
      <c r="AO22" s="626">
        <f>AJ22+1</f>
        <v>45998</v>
      </c>
      <c r="AP22" s="627"/>
      <c r="AQ22" s="627"/>
      <c r="AR22" s="627"/>
      <c r="AS22" s="627"/>
      <c r="AT22" s="626">
        <f>AO22+1</f>
        <v>45999</v>
      </c>
      <c r="AU22" s="627"/>
      <c r="AV22" s="627"/>
      <c r="AW22" s="627"/>
      <c r="AX22" s="627"/>
    </row>
    <row r="23" spans="2:54" ht="15.5">
      <c r="B23" s="634"/>
      <c r="C23" s="634"/>
      <c r="D23" s="634"/>
      <c r="E23" s="634"/>
      <c r="F23" s="634"/>
      <c r="G23" s="634"/>
      <c r="H23" s="634"/>
      <c r="I23" s="206"/>
      <c r="J23" s="206"/>
      <c r="K23" s="206"/>
      <c r="L23" s="206"/>
      <c r="M23" s="207"/>
      <c r="N23" s="622"/>
      <c r="O23" s="622"/>
      <c r="P23" s="626" t="s">
        <v>336</v>
      </c>
      <c r="Q23" s="627"/>
      <c r="R23" s="627"/>
      <c r="S23" s="627"/>
      <c r="T23" s="627"/>
      <c r="U23" s="626" t="s">
        <v>337</v>
      </c>
      <c r="V23" s="627"/>
      <c r="W23" s="627"/>
      <c r="X23" s="627"/>
      <c r="Y23" s="627"/>
      <c r="Z23" s="626" t="s">
        <v>338</v>
      </c>
      <c r="AA23" s="627"/>
      <c r="AB23" s="627"/>
      <c r="AC23" s="627"/>
      <c r="AD23" s="627"/>
      <c r="AE23" s="626" t="s">
        <v>339</v>
      </c>
      <c r="AF23" s="627"/>
      <c r="AG23" s="627"/>
      <c r="AH23" s="627"/>
      <c r="AI23" s="627"/>
      <c r="AJ23" s="626" t="s">
        <v>340</v>
      </c>
      <c r="AK23" s="627"/>
      <c r="AL23" s="627"/>
      <c r="AM23" s="627"/>
      <c r="AN23" s="627"/>
      <c r="AO23" s="626" t="s">
        <v>341</v>
      </c>
      <c r="AP23" s="627"/>
      <c r="AQ23" s="627"/>
      <c r="AR23" s="627"/>
      <c r="AS23" s="627"/>
      <c r="AT23" s="626" t="s">
        <v>342</v>
      </c>
      <c r="AU23" s="627"/>
      <c r="AV23" s="627"/>
      <c r="AW23" s="627"/>
      <c r="AX23" s="627"/>
    </row>
    <row r="24" spans="2:54">
      <c r="B24" s="619" t="s">
        <v>154</v>
      </c>
      <c r="C24" s="619" t="s">
        <v>581</v>
      </c>
      <c r="D24" s="619"/>
      <c r="E24" s="619" t="s">
        <v>582</v>
      </c>
      <c r="F24" s="619"/>
      <c r="G24" s="619"/>
      <c r="H24" s="635" t="s">
        <v>440</v>
      </c>
      <c r="I24" s="603" t="s">
        <v>445</v>
      </c>
      <c r="J24" s="603"/>
      <c r="K24" s="603"/>
      <c r="L24" s="604" t="s">
        <v>583</v>
      </c>
      <c r="M24" s="610" t="s">
        <v>576</v>
      </c>
      <c r="N24" s="619"/>
      <c r="O24" s="619" t="s">
        <v>446</v>
      </c>
      <c r="P24" s="616" t="s">
        <v>584</v>
      </c>
      <c r="Q24" s="617"/>
      <c r="R24" s="617"/>
      <c r="S24" s="618"/>
      <c r="T24" s="619" t="s">
        <v>440</v>
      </c>
      <c r="U24" s="616" t="s">
        <v>584</v>
      </c>
      <c r="V24" s="617"/>
      <c r="W24" s="617"/>
      <c r="X24" s="618"/>
      <c r="Y24" s="619" t="s">
        <v>583</v>
      </c>
      <c r="Z24" s="616" t="s">
        <v>442</v>
      </c>
      <c r="AA24" s="617"/>
      <c r="AB24" s="617"/>
      <c r="AC24" s="618"/>
      <c r="AD24" s="619" t="s">
        <v>440</v>
      </c>
      <c r="AE24" s="616" t="s">
        <v>442</v>
      </c>
      <c r="AF24" s="617"/>
      <c r="AG24" s="617"/>
      <c r="AH24" s="618"/>
      <c r="AI24" s="619" t="s">
        <v>583</v>
      </c>
      <c r="AJ24" s="616" t="s">
        <v>442</v>
      </c>
      <c r="AK24" s="617"/>
      <c r="AL24" s="617"/>
      <c r="AM24" s="618"/>
      <c r="AN24" s="619" t="s">
        <v>440</v>
      </c>
      <c r="AO24" s="616" t="s">
        <v>584</v>
      </c>
      <c r="AP24" s="617"/>
      <c r="AQ24" s="617"/>
      <c r="AR24" s="618"/>
      <c r="AS24" s="619" t="s">
        <v>440</v>
      </c>
      <c r="AT24" s="616" t="s">
        <v>584</v>
      </c>
      <c r="AU24" s="617"/>
      <c r="AV24" s="617"/>
      <c r="AW24" s="618"/>
      <c r="AX24" s="619" t="s">
        <v>440</v>
      </c>
    </row>
    <row r="25" spans="2:54">
      <c r="B25" s="619"/>
      <c r="C25" s="619"/>
      <c r="D25" s="619"/>
      <c r="E25" s="619" t="s">
        <v>585</v>
      </c>
      <c r="F25" s="619"/>
      <c r="G25" s="619"/>
      <c r="H25" s="636"/>
      <c r="I25" s="603" t="s">
        <v>585</v>
      </c>
      <c r="J25" s="603"/>
      <c r="K25" s="603"/>
      <c r="L25" s="605"/>
      <c r="M25" s="611"/>
      <c r="N25" s="619"/>
      <c r="O25" s="619"/>
      <c r="P25" s="616" t="s">
        <v>448</v>
      </c>
      <c r="Q25" s="617"/>
      <c r="R25" s="617"/>
      <c r="S25" s="618"/>
      <c r="T25" s="619"/>
      <c r="U25" s="616" t="s">
        <v>448</v>
      </c>
      <c r="V25" s="617"/>
      <c r="W25" s="617"/>
      <c r="X25" s="618"/>
      <c r="Y25" s="619"/>
      <c r="Z25" s="616" t="s">
        <v>586</v>
      </c>
      <c r="AA25" s="617"/>
      <c r="AB25" s="617"/>
      <c r="AC25" s="618"/>
      <c r="AD25" s="619"/>
      <c r="AE25" s="616" t="s">
        <v>586</v>
      </c>
      <c r="AF25" s="617"/>
      <c r="AG25" s="617"/>
      <c r="AH25" s="618"/>
      <c r="AI25" s="619"/>
      <c r="AJ25" s="616" t="s">
        <v>448</v>
      </c>
      <c r="AK25" s="617"/>
      <c r="AL25" s="617"/>
      <c r="AM25" s="618"/>
      <c r="AN25" s="619"/>
      <c r="AO25" s="616" t="s">
        <v>448</v>
      </c>
      <c r="AP25" s="617"/>
      <c r="AQ25" s="617"/>
      <c r="AR25" s="618"/>
      <c r="AS25" s="619"/>
      <c r="AT25" s="616" t="s">
        <v>586</v>
      </c>
      <c r="AU25" s="617"/>
      <c r="AV25" s="617"/>
      <c r="AW25" s="618"/>
      <c r="AX25" s="619"/>
    </row>
    <row r="26" spans="2:54">
      <c r="B26" s="619"/>
      <c r="C26" s="619"/>
      <c r="D26" s="619"/>
      <c r="E26" s="329" t="s">
        <v>449</v>
      </c>
      <c r="F26" s="329" t="s">
        <v>450</v>
      </c>
      <c r="G26" s="329" t="s">
        <v>451</v>
      </c>
      <c r="H26" s="637"/>
      <c r="I26" s="328" t="s">
        <v>587</v>
      </c>
      <c r="J26" s="328" t="s">
        <v>588</v>
      </c>
      <c r="K26" s="328" t="s">
        <v>589</v>
      </c>
      <c r="L26" s="606"/>
      <c r="M26" s="612"/>
      <c r="N26" s="619"/>
      <c r="O26" s="619"/>
      <c r="P26" s="329" t="s">
        <v>587</v>
      </c>
      <c r="Q26" s="329" t="s">
        <v>450</v>
      </c>
      <c r="R26" s="329" t="s">
        <v>451</v>
      </c>
      <c r="S26" s="329" t="s">
        <v>441</v>
      </c>
      <c r="T26" s="619"/>
      <c r="U26" s="329" t="s">
        <v>449</v>
      </c>
      <c r="V26" s="329" t="s">
        <v>588</v>
      </c>
      <c r="W26" s="329" t="s">
        <v>589</v>
      </c>
      <c r="X26" s="329" t="s">
        <v>441</v>
      </c>
      <c r="Y26" s="619"/>
      <c r="Z26" s="329" t="s">
        <v>587</v>
      </c>
      <c r="AA26" s="329" t="s">
        <v>588</v>
      </c>
      <c r="AB26" s="329" t="s">
        <v>451</v>
      </c>
      <c r="AC26" s="329" t="s">
        <v>441</v>
      </c>
      <c r="AD26" s="619"/>
      <c r="AE26" s="329" t="s">
        <v>587</v>
      </c>
      <c r="AF26" s="329" t="s">
        <v>590</v>
      </c>
      <c r="AG26" s="329" t="s">
        <v>451</v>
      </c>
      <c r="AH26" s="329" t="s">
        <v>591</v>
      </c>
      <c r="AI26" s="619"/>
      <c r="AJ26" s="329" t="s">
        <v>449</v>
      </c>
      <c r="AK26" s="329" t="s">
        <v>588</v>
      </c>
      <c r="AL26" s="329" t="s">
        <v>451</v>
      </c>
      <c r="AM26" s="329" t="s">
        <v>441</v>
      </c>
      <c r="AN26" s="619"/>
      <c r="AO26" s="329" t="s">
        <v>449</v>
      </c>
      <c r="AP26" s="329" t="s">
        <v>588</v>
      </c>
      <c r="AQ26" s="329" t="s">
        <v>589</v>
      </c>
      <c r="AR26" s="329" t="s">
        <v>441</v>
      </c>
      <c r="AS26" s="619"/>
      <c r="AT26" s="329" t="s">
        <v>449</v>
      </c>
      <c r="AU26" s="329" t="s">
        <v>588</v>
      </c>
      <c r="AV26" s="329" t="s">
        <v>451</v>
      </c>
      <c r="AW26" s="329" t="s">
        <v>441</v>
      </c>
      <c r="AX26" s="619"/>
    </row>
    <row r="27" spans="2:54">
      <c r="B27" s="619" t="s">
        <v>592</v>
      </c>
      <c r="C27" s="330">
        <v>1</v>
      </c>
      <c r="D27" s="228" t="s">
        <v>396</v>
      </c>
      <c r="E27" s="183">
        <v>20</v>
      </c>
      <c r="F27" s="330">
        <v>2400</v>
      </c>
      <c r="G27" s="331">
        <v>120</v>
      </c>
      <c r="H27" s="661">
        <f>AVERAGE(G27:G41)</f>
        <v>144.76</v>
      </c>
      <c r="I27" s="200">
        <f t="shared" ref="I27:K29" si="87">AVERAGE(P27,U27,Z27,AE27,AJ27,AO27,AT27)</f>
        <v>20.142857142857142</v>
      </c>
      <c r="J27" s="200">
        <f t="shared" si="87"/>
        <v>2183.9833569791563</v>
      </c>
      <c r="K27" s="201">
        <f t="shared" si="87"/>
        <v>108.46519004731081</v>
      </c>
      <c r="L27" s="600">
        <f>IFERROR(AVERAGE(K27:K41),"-")</f>
        <v>119.36465716267438</v>
      </c>
      <c r="M27" s="202">
        <f>RANK(K27, K$27:$K$41)</f>
        <v>4</v>
      </c>
      <c r="N27" s="619"/>
      <c r="O27" s="619"/>
      <c r="P27" s="183">
        <v>21</v>
      </c>
      <c r="Q27" s="377">
        <v>2157.8947368421068</v>
      </c>
      <c r="R27" s="377">
        <v>102.75689223057651</v>
      </c>
      <c r="S27" s="330">
        <f t="shared" ref="S27:S41" si="88">RANK(R27, R$27:R$41)</f>
        <v>4</v>
      </c>
      <c r="T27" s="661">
        <f>AVERAGE(R27:R41)</f>
        <v>116.20795931607149</v>
      </c>
      <c r="U27" s="183">
        <v>20</v>
      </c>
      <c r="V27" s="523">
        <v>2222.1052631578964</v>
      </c>
      <c r="W27" s="523">
        <v>111.10526315789483</v>
      </c>
      <c r="X27" s="520">
        <f t="shared" ref="X27:X41" si="89">RANK(W27, W$27:W$41)</f>
        <v>5</v>
      </c>
      <c r="Y27" s="661">
        <f t="shared" ref="Y27" si="90">AVERAGE(W27:W41)</f>
        <v>122.57233710882244</v>
      </c>
      <c r="Z27" s="183">
        <v>20</v>
      </c>
      <c r="AA27" s="523">
        <v>2190.0000000000014</v>
      </c>
      <c r="AB27" s="523">
        <v>109.50000000000007</v>
      </c>
      <c r="AC27" s="520">
        <f t="shared" ref="AC27:AC41" si="91">RANK(AB27, AB$27:AB$41)</f>
        <v>4</v>
      </c>
      <c r="AD27" s="661">
        <f t="shared" ref="AD27" si="92">AVERAGE(AB27:AB41)</f>
        <v>117.88993375046012</v>
      </c>
      <c r="AE27" s="183">
        <v>20</v>
      </c>
      <c r="AF27" s="523">
        <v>2127.0588235294094</v>
      </c>
      <c r="AG27" s="523">
        <v>106.35294117647047</v>
      </c>
      <c r="AH27" s="520">
        <f t="shared" ref="AH27:AH41" si="93">RANK(AG27, AG$27:AG$41)</f>
        <v>5</v>
      </c>
      <c r="AI27" s="661">
        <f t="shared" ref="AI27" si="94">AVERAGE(AG27:AG41)</f>
        <v>118.69628110572384</v>
      </c>
      <c r="AJ27" s="183">
        <v>20</v>
      </c>
      <c r="AK27" s="523">
        <v>2232.0000000000005</v>
      </c>
      <c r="AL27" s="523">
        <v>111.60000000000002</v>
      </c>
      <c r="AM27" s="520">
        <f t="shared" ref="AM27:AM41" si="95">RANK(AL27, AL$27:AL$41)</f>
        <v>4</v>
      </c>
      <c r="AN27" s="661">
        <f t="shared" ref="AN27" si="96">AVERAGE(AL27:AL41)</f>
        <v>119.8083843580785</v>
      </c>
      <c r="AO27" s="183">
        <v>20</v>
      </c>
      <c r="AP27" s="523">
        <v>2184.6428571428587</v>
      </c>
      <c r="AQ27" s="523">
        <v>109.23214285714293</v>
      </c>
      <c r="AR27" s="520">
        <f t="shared" ref="AR27:AR41" si="97">RANK(AQ27, AQ$27:AQ$41)</f>
        <v>4</v>
      </c>
      <c r="AS27" s="661">
        <f t="shared" ref="AS27" si="98">AVERAGE(AQ27:AQ41)</f>
        <v>120.71824270499212</v>
      </c>
      <c r="AT27" s="183">
        <v>20</v>
      </c>
      <c r="AU27" s="523">
        <v>2174.1818181818198</v>
      </c>
      <c r="AV27" s="523">
        <v>108.70909090909099</v>
      </c>
      <c r="AW27" s="520">
        <f t="shared" ref="AW27:AW41" si="99">RANK(AV27, AV$27:AV$41)</f>
        <v>4</v>
      </c>
      <c r="AX27" s="658">
        <f t="shared" ref="AX27" si="100">AVERAGE(AV27:AV41)</f>
        <v>119.65946179457217</v>
      </c>
    </row>
    <row r="28" spans="2:54">
      <c r="B28" s="627"/>
      <c r="C28" s="330">
        <v>2</v>
      </c>
      <c r="D28" s="228" t="s">
        <v>397</v>
      </c>
      <c r="E28" s="183">
        <v>18</v>
      </c>
      <c r="F28" s="330">
        <v>3000</v>
      </c>
      <c r="G28" s="331">
        <v>166.7</v>
      </c>
      <c r="H28" s="662"/>
      <c r="I28" s="200">
        <f t="shared" si="87"/>
        <v>18.857142857142858</v>
      </c>
      <c r="J28" s="200">
        <f t="shared" si="87"/>
        <v>2352.7949114623711</v>
      </c>
      <c r="K28" s="201">
        <f t="shared" si="87"/>
        <v>124.84900688413634</v>
      </c>
      <c r="L28" s="601"/>
      <c r="M28" s="202">
        <f>RANK(K28, K$27:$K$41)</f>
        <v>3</v>
      </c>
      <c r="N28" s="619"/>
      <c r="O28" s="619"/>
      <c r="P28" s="376">
        <v>19</v>
      </c>
      <c r="Q28" s="377">
        <v>2324.5161290322603</v>
      </c>
      <c r="R28" s="377">
        <v>122.34295415959265</v>
      </c>
      <c r="S28" s="330">
        <f t="shared" si="88"/>
        <v>3</v>
      </c>
      <c r="T28" s="662"/>
      <c r="U28" s="522">
        <v>18</v>
      </c>
      <c r="V28" s="523">
        <v>2436.3636363636392</v>
      </c>
      <c r="W28" s="523">
        <v>135.35353535353551</v>
      </c>
      <c r="X28" s="520">
        <f t="shared" si="89"/>
        <v>1</v>
      </c>
      <c r="Y28" s="662"/>
      <c r="Z28" s="522">
        <v>19</v>
      </c>
      <c r="AA28" s="523">
        <v>2369.0909090909117</v>
      </c>
      <c r="AB28" s="523">
        <v>124.68899521531114</v>
      </c>
      <c r="AC28" s="520">
        <f t="shared" si="91"/>
        <v>2</v>
      </c>
      <c r="AD28" s="662"/>
      <c r="AE28" s="522">
        <v>19</v>
      </c>
      <c r="AF28" s="523">
        <v>2352.8571428571445</v>
      </c>
      <c r="AG28" s="523">
        <v>123.8345864661655</v>
      </c>
      <c r="AH28" s="520">
        <f t="shared" si="93"/>
        <v>3</v>
      </c>
      <c r="AI28" s="662"/>
      <c r="AJ28" s="522">
        <v>19</v>
      </c>
      <c r="AK28" s="523">
        <v>2305.8620689655158</v>
      </c>
      <c r="AL28" s="523">
        <v>121.36116152450083</v>
      </c>
      <c r="AM28" s="520">
        <f t="shared" si="95"/>
        <v>3</v>
      </c>
      <c r="AN28" s="662"/>
      <c r="AO28" s="522">
        <v>19</v>
      </c>
      <c r="AP28" s="523">
        <v>2362.1052631578968</v>
      </c>
      <c r="AQ28" s="523">
        <v>124.32132963988931</v>
      </c>
      <c r="AR28" s="520">
        <f t="shared" si="97"/>
        <v>3</v>
      </c>
      <c r="AS28" s="662"/>
      <c r="AT28" s="522">
        <v>19</v>
      </c>
      <c r="AU28" s="523">
        <v>2318.76923076923</v>
      </c>
      <c r="AV28" s="523">
        <v>122.04048582995948</v>
      </c>
      <c r="AW28" s="520">
        <f t="shared" si="99"/>
        <v>3</v>
      </c>
      <c r="AX28" s="658"/>
    </row>
    <row r="29" spans="2:54">
      <c r="B29" s="627"/>
      <c r="C29" s="330">
        <v>3</v>
      </c>
      <c r="D29" s="228" t="s">
        <v>398</v>
      </c>
      <c r="E29" s="183">
        <v>18</v>
      </c>
      <c r="F29" s="330">
        <v>3000</v>
      </c>
      <c r="G29" s="331">
        <v>166.7</v>
      </c>
      <c r="H29" s="662"/>
      <c r="I29" s="200">
        <f t="shared" si="87"/>
        <v>19</v>
      </c>
      <c r="J29" s="200">
        <f t="shared" si="87"/>
        <v>2485.3703702362227</v>
      </c>
      <c r="K29" s="201">
        <f t="shared" si="87"/>
        <v>130.80896685453806</v>
      </c>
      <c r="L29" s="601"/>
      <c r="M29" s="202">
        <f>RANK(K29, K$27:$K$41)</f>
        <v>1</v>
      </c>
      <c r="N29" s="619"/>
      <c r="O29" s="619"/>
      <c r="P29" s="376">
        <v>19</v>
      </c>
      <c r="Q29" s="377">
        <v>2481.9512195121943</v>
      </c>
      <c r="R29" s="377">
        <v>130.62901155327339</v>
      </c>
      <c r="S29" s="330">
        <f t="shared" si="88"/>
        <v>1</v>
      </c>
      <c r="T29" s="662"/>
      <c r="U29" s="522">
        <v>19</v>
      </c>
      <c r="V29" s="523">
        <v>2529.9999999999991</v>
      </c>
      <c r="W29" s="523">
        <v>133.15789473684205</v>
      </c>
      <c r="X29" s="520">
        <f t="shared" si="89"/>
        <v>2</v>
      </c>
      <c r="Y29" s="662"/>
      <c r="Z29" s="522">
        <v>19</v>
      </c>
      <c r="AA29" s="523">
        <v>2475.3846153846139</v>
      </c>
      <c r="AB29" s="523">
        <v>130.28340080971651</v>
      </c>
      <c r="AC29" s="520">
        <f t="shared" si="91"/>
        <v>1</v>
      </c>
      <c r="AD29" s="662"/>
      <c r="AE29" s="522">
        <v>19</v>
      </c>
      <c r="AF29" s="523">
        <v>2456.7567567567548</v>
      </c>
      <c r="AG29" s="523">
        <v>129.30298719772395</v>
      </c>
      <c r="AH29" s="520">
        <f t="shared" si="93"/>
        <v>1</v>
      </c>
      <c r="AI29" s="662"/>
      <c r="AJ29" s="522">
        <v>19</v>
      </c>
      <c r="AK29" s="523">
        <v>2503.4999999999991</v>
      </c>
      <c r="AL29" s="523">
        <v>131.76315789473679</v>
      </c>
      <c r="AM29" s="520">
        <f t="shared" si="95"/>
        <v>1</v>
      </c>
      <c r="AN29" s="662"/>
      <c r="AO29" s="522">
        <v>19</v>
      </c>
      <c r="AP29" s="523">
        <v>2468.9999999999991</v>
      </c>
      <c r="AQ29" s="523">
        <v>129.94736842105257</v>
      </c>
      <c r="AR29" s="520">
        <f t="shared" si="97"/>
        <v>2</v>
      </c>
      <c r="AS29" s="662"/>
      <c r="AT29" s="522">
        <v>19</v>
      </c>
      <c r="AU29" s="523">
        <v>2480.9999999999991</v>
      </c>
      <c r="AV29" s="523">
        <v>130.57894736842101</v>
      </c>
      <c r="AW29" s="520">
        <f t="shared" si="99"/>
        <v>2</v>
      </c>
      <c r="AX29" s="658"/>
    </row>
    <row r="30" spans="2:54">
      <c r="B30" s="627"/>
      <c r="C30" s="330">
        <v>4</v>
      </c>
      <c r="D30" s="228" t="s">
        <v>399</v>
      </c>
      <c r="E30" s="183">
        <v>19</v>
      </c>
      <c r="F30" s="330">
        <v>3000</v>
      </c>
      <c r="G30" s="331">
        <v>157.9</v>
      </c>
      <c r="H30" s="662"/>
      <c r="I30" s="483">
        <f t="shared" ref="I30:I31" si="101">AVERAGE(P30,U30,Z30,AE30,AJ30,AO30,AT30)</f>
        <v>19.571428571428573</v>
      </c>
      <c r="J30" s="483">
        <f t="shared" ref="J30:J31" si="102">AVERAGE(Q30,V30,AA30,AF30,AK30,AP30,AU30)</f>
        <v>2465.5827878777163</v>
      </c>
      <c r="K30" s="201">
        <f t="shared" ref="K30:K31" si="103">AVERAGE(R30,W30,AB30,AG30,AL30,AQ30,AV30)</f>
        <v>126.07044520183001</v>
      </c>
      <c r="L30" s="601"/>
      <c r="M30" s="202">
        <f>RANK(K30, K$27:$K$41)</f>
        <v>2</v>
      </c>
      <c r="N30" s="619"/>
      <c r="O30" s="619"/>
      <c r="P30" s="376">
        <v>20</v>
      </c>
      <c r="Q30" s="377">
        <v>2453.6842105263177</v>
      </c>
      <c r="R30" s="377">
        <v>122.68421052631588</v>
      </c>
      <c r="S30" s="330">
        <f t="shared" si="88"/>
        <v>2</v>
      </c>
      <c r="T30" s="662"/>
      <c r="U30" s="522">
        <v>20</v>
      </c>
      <c r="V30" s="523">
        <v>2437.6271186440695</v>
      </c>
      <c r="W30" s="523">
        <v>121.88135593220348</v>
      </c>
      <c r="X30" s="520">
        <f t="shared" si="89"/>
        <v>3</v>
      </c>
      <c r="Y30" s="662"/>
      <c r="Z30" s="522">
        <v>20</v>
      </c>
      <c r="AA30" s="523">
        <v>2445.0000000000023</v>
      </c>
      <c r="AB30" s="523">
        <v>122.25000000000011</v>
      </c>
      <c r="AC30" s="520">
        <f t="shared" si="91"/>
        <v>3</v>
      </c>
      <c r="AD30" s="662"/>
      <c r="AE30" s="522">
        <v>20</v>
      </c>
      <c r="AF30" s="523">
        <v>2497.8947368421072</v>
      </c>
      <c r="AG30" s="523">
        <v>124.89473684210536</v>
      </c>
      <c r="AH30" s="520">
        <f t="shared" si="93"/>
        <v>2</v>
      </c>
      <c r="AI30" s="662"/>
      <c r="AJ30" s="522">
        <v>19</v>
      </c>
      <c r="AK30" s="523">
        <v>2420.3225806451637</v>
      </c>
      <c r="AL30" s="523">
        <v>127.3853989813244</v>
      </c>
      <c r="AM30" s="520">
        <f t="shared" si="95"/>
        <v>2</v>
      </c>
      <c r="AN30" s="662"/>
      <c r="AO30" s="522">
        <v>19</v>
      </c>
      <c r="AP30" s="523">
        <v>2512.615384615387</v>
      </c>
      <c r="AQ30" s="523">
        <v>132.24291497975722</v>
      </c>
      <c r="AR30" s="520">
        <f t="shared" si="97"/>
        <v>1</v>
      </c>
      <c r="AS30" s="662"/>
      <c r="AT30" s="522">
        <v>19</v>
      </c>
      <c r="AU30" s="523">
        <v>2491.9354838709696</v>
      </c>
      <c r="AV30" s="523">
        <v>131.15449915110366</v>
      </c>
      <c r="AW30" s="520">
        <f t="shared" si="99"/>
        <v>1</v>
      </c>
      <c r="AX30" s="658"/>
    </row>
    <row r="31" spans="2:54">
      <c r="B31" s="627"/>
      <c r="C31" s="330">
        <v>5</v>
      </c>
      <c r="D31" s="228" t="s">
        <v>838</v>
      </c>
      <c r="E31" s="183">
        <v>20</v>
      </c>
      <c r="F31" s="330">
        <v>2250</v>
      </c>
      <c r="G31" s="331">
        <v>112.5</v>
      </c>
      <c r="H31" s="662"/>
      <c r="I31" s="483">
        <f t="shared" si="101"/>
        <v>20.285714285714285</v>
      </c>
      <c r="J31" s="483">
        <f t="shared" si="102"/>
        <v>2161.9298223451156</v>
      </c>
      <c r="K31" s="201">
        <f t="shared" si="103"/>
        <v>106.62967682555669</v>
      </c>
      <c r="L31" s="601"/>
      <c r="M31" s="202">
        <f>RANK(K31, K$27:$K$41)</f>
        <v>5</v>
      </c>
      <c r="N31" s="619"/>
      <c r="O31" s="619"/>
      <c r="P31" s="376">
        <v>21</v>
      </c>
      <c r="Q31" s="377">
        <v>2155.16129032258</v>
      </c>
      <c r="R31" s="377">
        <v>102.62672811059905</v>
      </c>
      <c r="S31" s="330">
        <f t="shared" si="88"/>
        <v>5</v>
      </c>
      <c r="T31" s="662"/>
      <c r="U31" s="522">
        <v>20</v>
      </c>
      <c r="V31" s="523">
        <v>2227.2727272727275</v>
      </c>
      <c r="W31" s="523">
        <v>111.36363636363637</v>
      </c>
      <c r="X31" s="520">
        <f t="shared" si="89"/>
        <v>4</v>
      </c>
      <c r="Y31" s="662"/>
      <c r="Z31" s="522">
        <v>21</v>
      </c>
      <c r="AA31" s="523">
        <v>2157.272727272727</v>
      </c>
      <c r="AB31" s="523">
        <v>102.72727272727272</v>
      </c>
      <c r="AC31" s="520">
        <f t="shared" si="91"/>
        <v>5</v>
      </c>
      <c r="AD31" s="662"/>
      <c r="AE31" s="522">
        <v>20</v>
      </c>
      <c r="AF31" s="523">
        <v>2181.923076923078</v>
      </c>
      <c r="AG31" s="523">
        <v>109.0961538461539</v>
      </c>
      <c r="AH31" s="520">
        <f t="shared" si="93"/>
        <v>4</v>
      </c>
      <c r="AI31" s="662"/>
      <c r="AJ31" s="522">
        <v>20</v>
      </c>
      <c r="AK31" s="523">
        <v>2138.6440677966093</v>
      </c>
      <c r="AL31" s="523">
        <v>106.93220338983046</v>
      </c>
      <c r="AM31" s="520">
        <f t="shared" si="95"/>
        <v>5</v>
      </c>
      <c r="AN31" s="662"/>
      <c r="AO31" s="522">
        <v>20</v>
      </c>
      <c r="AP31" s="523">
        <v>2156.9491525423718</v>
      </c>
      <c r="AQ31" s="523">
        <v>107.84745762711859</v>
      </c>
      <c r="AR31" s="520">
        <f t="shared" si="97"/>
        <v>5</v>
      </c>
      <c r="AS31" s="662"/>
      <c r="AT31" s="522">
        <v>20</v>
      </c>
      <c r="AU31" s="523">
        <v>2116.2857142857147</v>
      </c>
      <c r="AV31" s="523">
        <v>105.81428571428573</v>
      </c>
      <c r="AW31" s="520">
        <f t="shared" si="99"/>
        <v>5</v>
      </c>
      <c r="AX31" s="658"/>
    </row>
    <row r="32" spans="2:54">
      <c r="B32" s="627"/>
      <c r="C32" s="330">
        <v>6</v>
      </c>
      <c r="D32" s="228"/>
      <c r="E32" s="183"/>
      <c r="F32" s="330"/>
      <c r="G32" s="331"/>
      <c r="H32" s="662"/>
      <c r="I32" s="200"/>
      <c r="J32" s="200"/>
      <c r="K32" s="201"/>
      <c r="L32" s="601"/>
      <c r="M32" s="202" t="e">
        <f>RANK(K32, K$27:$K$41)</f>
        <v>#N/A</v>
      </c>
      <c r="N32" s="619"/>
      <c r="O32" s="619"/>
      <c r="P32" s="376"/>
      <c r="Q32" s="377"/>
      <c r="R32" s="377"/>
      <c r="S32" s="330" t="e">
        <f t="shared" si="88"/>
        <v>#N/A</v>
      </c>
      <c r="T32" s="662"/>
      <c r="U32" s="520"/>
      <c r="V32" s="521"/>
      <c r="W32" s="521"/>
      <c r="X32" s="520" t="e">
        <f t="shared" si="89"/>
        <v>#N/A</v>
      </c>
      <c r="Y32" s="662"/>
      <c r="Z32" s="520"/>
      <c r="AA32" s="521"/>
      <c r="AB32" s="521"/>
      <c r="AC32" s="520" t="e">
        <f t="shared" si="91"/>
        <v>#N/A</v>
      </c>
      <c r="AD32" s="662"/>
      <c r="AE32" s="520"/>
      <c r="AF32" s="521"/>
      <c r="AG32" s="521"/>
      <c r="AH32" s="520" t="e">
        <f t="shared" si="93"/>
        <v>#N/A</v>
      </c>
      <c r="AI32" s="662"/>
      <c r="AJ32" s="520"/>
      <c r="AK32" s="521"/>
      <c r="AL32" s="521"/>
      <c r="AM32" s="520" t="e">
        <f t="shared" si="95"/>
        <v>#N/A</v>
      </c>
      <c r="AN32" s="662"/>
      <c r="AO32" s="520"/>
      <c r="AP32" s="521"/>
      <c r="AQ32" s="521"/>
      <c r="AR32" s="520" t="e">
        <f t="shared" si="97"/>
        <v>#N/A</v>
      </c>
      <c r="AS32" s="662"/>
      <c r="AT32" s="520"/>
      <c r="AU32" s="521"/>
      <c r="AV32" s="521"/>
      <c r="AW32" s="520" t="e">
        <f t="shared" si="99"/>
        <v>#N/A</v>
      </c>
      <c r="AX32" s="658"/>
    </row>
    <row r="33" spans="2:50">
      <c r="B33" s="627"/>
      <c r="C33" s="330">
        <v>7</v>
      </c>
      <c r="D33" s="228"/>
      <c r="E33" s="183"/>
      <c r="F33" s="330"/>
      <c r="G33" s="331"/>
      <c r="H33" s="662"/>
      <c r="I33" s="200"/>
      <c r="J33" s="200"/>
      <c r="K33" s="201"/>
      <c r="L33" s="601"/>
      <c r="M33" s="202" t="e">
        <f>RANK(K33, K$27:$K$41)</f>
        <v>#N/A</v>
      </c>
      <c r="N33" s="619"/>
      <c r="O33" s="619"/>
      <c r="P33" s="376"/>
      <c r="Q33" s="377"/>
      <c r="R33" s="377"/>
      <c r="S33" s="330" t="e">
        <f t="shared" si="88"/>
        <v>#N/A</v>
      </c>
      <c r="T33" s="662"/>
      <c r="U33" s="520"/>
      <c r="V33" s="521"/>
      <c r="W33" s="521"/>
      <c r="X33" s="520" t="e">
        <f t="shared" si="89"/>
        <v>#N/A</v>
      </c>
      <c r="Y33" s="662"/>
      <c r="Z33" s="520"/>
      <c r="AA33" s="521"/>
      <c r="AB33" s="521"/>
      <c r="AC33" s="520" t="e">
        <f t="shared" si="91"/>
        <v>#N/A</v>
      </c>
      <c r="AD33" s="662"/>
      <c r="AE33" s="520"/>
      <c r="AF33" s="521"/>
      <c r="AG33" s="521"/>
      <c r="AH33" s="520" t="e">
        <f t="shared" si="93"/>
        <v>#N/A</v>
      </c>
      <c r="AI33" s="662"/>
      <c r="AJ33" s="520"/>
      <c r="AK33" s="521"/>
      <c r="AL33" s="521"/>
      <c r="AM33" s="520" t="e">
        <f t="shared" si="95"/>
        <v>#N/A</v>
      </c>
      <c r="AN33" s="662"/>
      <c r="AO33" s="520"/>
      <c r="AP33" s="521"/>
      <c r="AQ33" s="521"/>
      <c r="AR33" s="520" t="e">
        <f t="shared" si="97"/>
        <v>#N/A</v>
      </c>
      <c r="AS33" s="662"/>
      <c r="AT33" s="520"/>
      <c r="AU33" s="521"/>
      <c r="AV33" s="521"/>
      <c r="AW33" s="520" t="e">
        <f t="shared" si="99"/>
        <v>#N/A</v>
      </c>
      <c r="AX33" s="658"/>
    </row>
    <row r="34" spans="2:50">
      <c r="B34" s="627"/>
      <c r="C34" s="330">
        <v>8</v>
      </c>
      <c r="D34" s="228"/>
      <c r="E34" s="183"/>
      <c r="F34" s="330"/>
      <c r="G34" s="331"/>
      <c r="H34" s="662"/>
      <c r="I34" s="200"/>
      <c r="J34" s="200"/>
      <c r="K34" s="201"/>
      <c r="L34" s="601"/>
      <c r="M34" s="202" t="e">
        <f>RANK(K34, K$27:$K$41)</f>
        <v>#N/A</v>
      </c>
      <c r="N34" s="619"/>
      <c r="O34" s="619"/>
      <c r="P34" s="376"/>
      <c r="Q34" s="377"/>
      <c r="R34" s="377"/>
      <c r="S34" s="330" t="e">
        <f t="shared" si="88"/>
        <v>#N/A</v>
      </c>
      <c r="T34" s="662"/>
      <c r="U34" s="520"/>
      <c r="V34" s="521"/>
      <c r="W34" s="521"/>
      <c r="X34" s="520" t="e">
        <f t="shared" si="89"/>
        <v>#N/A</v>
      </c>
      <c r="Y34" s="662"/>
      <c r="Z34" s="520"/>
      <c r="AA34" s="521"/>
      <c r="AB34" s="521"/>
      <c r="AC34" s="520" t="e">
        <f t="shared" si="91"/>
        <v>#N/A</v>
      </c>
      <c r="AD34" s="662"/>
      <c r="AE34" s="520"/>
      <c r="AF34" s="521"/>
      <c r="AG34" s="521"/>
      <c r="AH34" s="520" t="e">
        <f t="shared" si="93"/>
        <v>#N/A</v>
      </c>
      <c r="AI34" s="662"/>
      <c r="AJ34" s="520"/>
      <c r="AK34" s="521"/>
      <c r="AL34" s="521"/>
      <c r="AM34" s="520" t="e">
        <f t="shared" si="95"/>
        <v>#N/A</v>
      </c>
      <c r="AN34" s="662"/>
      <c r="AO34" s="520"/>
      <c r="AP34" s="521"/>
      <c r="AQ34" s="521"/>
      <c r="AR34" s="520" t="e">
        <f t="shared" si="97"/>
        <v>#N/A</v>
      </c>
      <c r="AS34" s="662"/>
      <c r="AT34" s="520"/>
      <c r="AU34" s="521"/>
      <c r="AV34" s="521"/>
      <c r="AW34" s="520" t="e">
        <f t="shared" si="99"/>
        <v>#N/A</v>
      </c>
      <c r="AX34" s="658"/>
    </row>
    <row r="35" spans="2:50">
      <c r="B35" s="627"/>
      <c r="C35" s="330">
        <v>9</v>
      </c>
      <c r="D35" s="228"/>
      <c r="E35" s="183"/>
      <c r="F35" s="330"/>
      <c r="G35" s="331"/>
      <c r="H35" s="662"/>
      <c r="I35" s="200"/>
      <c r="J35" s="200"/>
      <c r="K35" s="201"/>
      <c r="L35" s="601"/>
      <c r="M35" s="202" t="e">
        <f>RANK(K35, K$27:$K$41)</f>
        <v>#N/A</v>
      </c>
      <c r="N35" s="619"/>
      <c r="O35" s="619"/>
      <c r="P35" s="376"/>
      <c r="Q35" s="377"/>
      <c r="R35" s="377"/>
      <c r="S35" s="330" t="e">
        <f t="shared" si="88"/>
        <v>#N/A</v>
      </c>
      <c r="T35" s="662"/>
      <c r="U35" s="520"/>
      <c r="V35" s="521"/>
      <c r="W35" s="521"/>
      <c r="X35" s="520" t="e">
        <f t="shared" si="89"/>
        <v>#N/A</v>
      </c>
      <c r="Y35" s="662"/>
      <c r="Z35" s="520"/>
      <c r="AA35" s="521"/>
      <c r="AB35" s="521"/>
      <c r="AC35" s="520" t="e">
        <f t="shared" si="91"/>
        <v>#N/A</v>
      </c>
      <c r="AD35" s="662"/>
      <c r="AE35" s="520"/>
      <c r="AF35" s="521"/>
      <c r="AG35" s="521"/>
      <c r="AH35" s="520" t="e">
        <f t="shared" si="93"/>
        <v>#N/A</v>
      </c>
      <c r="AI35" s="662"/>
      <c r="AJ35" s="520"/>
      <c r="AK35" s="521"/>
      <c r="AL35" s="521"/>
      <c r="AM35" s="520" t="e">
        <f t="shared" si="95"/>
        <v>#N/A</v>
      </c>
      <c r="AN35" s="662"/>
      <c r="AO35" s="520"/>
      <c r="AP35" s="521"/>
      <c r="AQ35" s="521"/>
      <c r="AR35" s="520" t="e">
        <f t="shared" si="97"/>
        <v>#N/A</v>
      </c>
      <c r="AS35" s="662"/>
      <c r="AT35" s="520"/>
      <c r="AU35" s="521"/>
      <c r="AV35" s="521"/>
      <c r="AW35" s="520" t="e">
        <f t="shared" si="99"/>
        <v>#N/A</v>
      </c>
      <c r="AX35" s="658"/>
    </row>
    <row r="36" spans="2:50">
      <c r="B36" s="627"/>
      <c r="C36" s="330">
        <v>10</v>
      </c>
      <c r="D36" s="228"/>
      <c r="E36" s="183"/>
      <c r="F36" s="330"/>
      <c r="G36" s="331"/>
      <c r="H36" s="662"/>
      <c r="I36" s="200"/>
      <c r="J36" s="200"/>
      <c r="K36" s="201"/>
      <c r="L36" s="601"/>
      <c r="M36" s="202" t="e">
        <f>RANK(K36, K$27:$K$41)</f>
        <v>#N/A</v>
      </c>
      <c r="N36" s="619"/>
      <c r="O36" s="619"/>
      <c r="P36" s="376"/>
      <c r="Q36" s="376"/>
      <c r="R36" s="377"/>
      <c r="S36" s="330" t="e">
        <f t="shared" si="88"/>
        <v>#N/A</v>
      </c>
      <c r="T36" s="662"/>
      <c r="U36" s="520"/>
      <c r="V36" s="520"/>
      <c r="W36" s="521"/>
      <c r="X36" s="520" t="e">
        <f t="shared" si="89"/>
        <v>#N/A</v>
      </c>
      <c r="Y36" s="662"/>
      <c r="Z36" s="520"/>
      <c r="AA36" s="520"/>
      <c r="AB36" s="521"/>
      <c r="AC36" s="520" t="e">
        <f t="shared" si="91"/>
        <v>#N/A</v>
      </c>
      <c r="AD36" s="662"/>
      <c r="AE36" s="520"/>
      <c r="AF36" s="520"/>
      <c r="AG36" s="521"/>
      <c r="AH36" s="520" t="e">
        <f t="shared" si="93"/>
        <v>#N/A</v>
      </c>
      <c r="AI36" s="662"/>
      <c r="AJ36" s="520"/>
      <c r="AK36" s="520"/>
      <c r="AL36" s="521"/>
      <c r="AM36" s="520" t="e">
        <f t="shared" si="95"/>
        <v>#N/A</v>
      </c>
      <c r="AN36" s="662"/>
      <c r="AO36" s="520"/>
      <c r="AP36" s="520"/>
      <c r="AQ36" s="521"/>
      <c r="AR36" s="520" t="e">
        <f t="shared" si="97"/>
        <v>#N/A</v>
      </c>
      <c r="AS36" s="662"/>
      <c r="AT36" s="520"/>
      <c r="AU36" s="520"/>
      <c r="AV36" s="521"/>
      <c r="AW36" s="520" t="e">
        <f t="shared" si="99"/>
        <v>#N/A</v>
      </c>
      <c r="AX36" s="658"/>
    </row>
    <row r="37" spans="2:50">
      <c r="B37" s="627"/>
      <c r="C37" s="330">
        <v>11</v>
      </c>
      <c r="D37" s="228"/>
      <c r="E37" s="183"/>
      <c r="F37" s="330"/>
      <c r="G37" s="331"/>
      <c r="H37" s="662"/>
      <c r="I37" s="203"/>
      <c r="J37" s="203"/>
      <c r="K37" s="203"/>
      <c r="L37" s="601"/>
      <c r="M37" s="202" t="e">
        <f>RANK(K37, K$27:$K$41)</f>
        <v>#N/A</v>
      </c>
      <c r="N37" s="619"/>
      <c r="O37" s="619"/>
      <c r="P37" s="376"/>
      <c r="Q37" s="376"/>
      <c r="R37" s="376"/>
      <c r="S37" s="330" t="e">
        <f t="shared" si="88"/>
        <v>#N/A</v>
      </c>
      <c r="T37" s="662"/>
      <c r="U37" s="520"/>
      <c r="V37" s="520"/>
      <c r="W37" s="520"/>
      <c r="X37" s="520" t="e">
        <f t="shared" si="89"/>
        <v>#N/A</v>
      </c>
      <c r="Y37" s="662"/>
      <c r="Z37" s="520"/>
      <c r="AA37" s="520"/>
      <c r="AB37" s="520"/>
      <c r="AC37" s="520" t="e">
        <f t="shared" si="91"/>
        <v>#N/A</v>
      </c>
      <c r="AD37" s="662"/>
      <c r="AE37" s="520"/>
      <c r="AF37" s="520"/>
      <c r="AG37" s="520"/>
      <c r="AH37" s="520" t="e">
        <f t="shared" si="93"/>
        <v>#N/A</v>
      </c>
      <c r="AI37" s="662"/>
      <c r="AJ37" s="520"/>
      <c r="AK37" s="520"/>
      <c r="AL37" s="520"/>
      <c r="AM37" s="520" t="e">
        <f t="shared" si="95"/>
        <v>#N/A</v>
      </c>
      <c r="AN37" s="662"/>
      <c r="AO37" s="520"/>
      <c r="AP37" s="520"/>
      <c r="AQ37" s="520"/>
      <c r="AR37" s="520" t="e">
        <f t="shared" si="97"/>
        <v>#N/A</v>
      </c>
      <c r="AS37" s="662"/>
      <c r="AT37" s="520"/>
      <c r="AU37" s="520"/>
      <c r="AV37" s="520"/>
      <c r="AW37" s="520" t="e">
        <f t="shared" si="99"/>
        <v>#N/A</v>
      </c>
      <c r="AX37" s="658"/>
    </row>
    <row r="38" spans="2:50">
      <c r="B38" s="627"/>
      <c r="C38" s="330">
        <v>12</v>
      </c>
      <c r="D38" s="228"/>
      <c r="E38" s="183"/>
      <c r="F38" s="330"/>
      <c r="G38" s="331"/>
      <c r="H38" s="662"/>
      <c r="I38" s="203"/>
      <c r="J38" s="203"/>
      <c r="K38" s="203"/>
      <c r="L38" s="601"/>
      <c r="M38" s="202" t="e">
        <f>RANK(K38, K$27:$K$41)</f>
        <v>#N/A</v>
      </c>
      <c r="N38" s="619"/>
      <c r="O38" s="619"/>
      <c r="P38" s="376"/>
      <c r="Q38" s="376"/>
      <c r="R38" s="376"/>
      <c r="S38" s="330" t="e">
        <f t="shared" si="88"/>
        <v>#N/A</v>
      </c>
      <c r="T38" s="662"/>
      <c r="U38" s="520"/>
      <c r="V38" s="520"/>
      <c r="W38" s="520"/>
      <c r="X38" s="520" t="e">
        <f t="shared" si="89"/>
        <v>#N/A</v>
      </c>
      <c r="Y38" s="662"/>
      <c r="Z38" s="520"/>
      <c r="AA38" s="520"/>
      <c r="AB38" s="520"/>
      <c r="AC38" s="520" t="e">
        <f t="shared" si="91"/>
        <v>#N/A</v>
      </c>
      <c r="AD38" s="662"/>
      <c r="AE38" s="520"/>
      <c r="AF38" s="520"/>
      <c r="AG38" s="520"/>
      <c r="AH38" s="520" t="e">
        <f t="shared" si="93"/>
        <v>#N/A</v>
      </c>
      <c r="AI38" s="662"/>
      <c r="AJ38" s="520"/>
      <c r="AK38" s="520"/>
      <c r="AL38" s="520"/>
      <c r="AM38" s="520" t="e">
        <f t="shared" si="95"/>
        <v>#N/A</v>
      </c>
      <c r="AN38" s="662"/>
      <c r="AO38" s="520"/>
      <c r="AP38" s="520"/>
      <c r="AQ38" s="520"/>
      <c r="AR38" s="520" t="e">
        <f t="shared" si="97"/>
        <v>#N/A</v>
      </c>
      <c r="AS38" s="662"/>
      <c r="AT38" s="520"/>
      <c r="AU38" s="520"/>
      <c r="AV38" s="520"/>
      <c r="AW38" s="520" t="e">
        <f t="shared" si="99"/>
        <v>#N/A</v>
      </c>
      <c r="AX38" s="658"/>
    </row>
    <row r="39" spans="2:50">
      <c r="B39" s="627"/>
      <c r="C39" s="330">
        <v>13</v>
      </c>
      <c r="D39" s="228"/>
      <c r="E39" s="183"/>
      <c r="F39" s="330"/>
      <c r="G39" s="331"/>
      <c r="H39" s="662"/>
      <c r="I39" s="203"/>
      <c r="J39" s="203"/>
      <c r="K39" s="203"/>
      <c r="L39" s="601"/>
      <c r="M39" s="202" t="e">
        <f>RANK(K39, K$27:$K$41)</f>
        <v>#N/A</v>
      </c>
      <c r="N39" s="619"/>
      <c r="O39" s="619"/>
      <c r="P39" s="376"/>
      <c r="Q39" s="376"/>
      <c r="R39" s="376"/>
      <c r="S39" s="330" t="e">
        <f t="shared" si="88"/>
        <v>#N/A</v>
      </c>
      <c r="T39" s="662"/>
      <c r="U39" s="520"/>
      <c r="V39" s="520"/>
      <c r="W39" s="520"/>
      <c r="X39" s="520" t="e">
        <f t="shared" si="89"/>
        <v>#N/A</v>
      </c>
      <c r="Y39" s="662"/>
      <c r="Z39" s="520"/>
      <c r="AA39" s="520"/>
      <c r="AB39" s="520"/>
      <c r="AC39" s="520" t="e">
        <f t="shared" si="91"/>
        <v>#N/A</v>
      </c>
      <c r="AD39" s="662"/>
      <c r="AE39" s="520"/>
      <c r="AF39" s="520"/>
      <c r="AG39" s="520"/>
      <c r="AH39" s="520" t="e">
        <f t="shared" si="93"/>
        <v>#N/A</v>
      </c>
      <c r="AI39" s="662"/>
      <c r="AJ39" s="520"/>
      <c r="AK39" s="520"/>
      <c r="AL39" s="520"/>
      <c r="AM39" s="520" t="e">
        <f t="shared" si="95"/>
        <v>#N/A</v>
      </c>
      <c r="AN39" s="662"/>
      <c r="AO39" s="520"/>
      <c r="AP39" s="520"/>
      <c r="AQ39" s="520"/>
      <c r="AR39" s="520" t="e">
        <f t="shared" si="97"/>
        <v>#N/A</v>
      </c>
      <c r="AS39" s="662"/>
      <c r="AT39" s="520"/>
      <c r="AU39" s="520"/>
      <c r="AV39" s="520"/>
      <c r="AW39" s="520" t="e">
        <f t="shared" si="99"/>
        <v>#N/A</v>
      </c>
      <c r="AX39" s="658"/>
    </row>
    <row r="40" spans="2:50">
      <c r="B40" s="627"/>
      <c r="C40" s="330">
        <v>14</v>
      </c>
      <c r="D40" s="228"/>
      <c r="E40" s="183"/>
      <c r="F40" s="330"/>
      <c r="G40" s="331"/>
      <c r="H40" s="662"/>
      <c r="I40" s="203"/>
      <c r="J40" s="203"/>
      <c r="K40" s="203"/>
      <c r="L40" s="601"/>
      <c r="M40" s="202" t="e">
        <f>RANK(K40, K$27:$K$41)</f>
        <v>#N/A</v>
      </c>
      <c r="N40" s="619"/>
      <c r="O40" s="619"/>
      <c r="P40" s="376"/>
      <c r="Q40" s="376"/>
      <c r="R40" s="376"/>
      <c r="S40" s="330" t="e">
        <f t="shared" si="88"/>
        <v>#N/A</v>
      </c>
      <c r="T40" s="662"/>
      <c r="U40" s="520"/>
      <c r="V40" s="520"/>
      <c r="W40" s="520"/>
      <c r="X40" s="520" t="e">
        <f t="shared" si="89"/>
        <v>#N/A</v>
      </c>
      <c r="Y40" s="662"/>
      <c r="Z40" s="520"/>
      <c r="AA40" s="520"/>
      <c r="AB40" s="520"/>
      <c r="AC40" s="520" t="e">
        <f t="shared" si="91"/>
        <v>#N/A</v>
      </c>
      <c r="AD40" s="662"/>
      <c r="AE40" s="520"/>
      <c r="AF40" s="520"/>
      <c r="AG40" s="520"/>
      <c r="AH40" s="520" t="e">
        <f t="shared" si="93"/>
        <v>#N/A</v>
      </c>
      <c r="AI40" s="662"/>
      <c r="AJ40" s="520"/>
      <c r="AK40" s="520"/>
      <c r="AL40" s="520"/>
      <c r="AM40" s="520" t="e">
        <f t="shared" si="95"/>
        <v>#N/A</v>
      </c>
      <c r="AN40" s="662"/>
      <c r="AO40" s="520"/>
      <c r="AP40" s="520"/>
      <c r="AQ40" s="520"/>
      <c r="AR40" s="520" t="e">
        <f t="shared" si="97"/>
        <v>#N/A</v>
      </c>
      <c r="AS40" s="662"/>
      <c r="AT40" s="520"/>
      <c r="AU40" s="520"/>
      <c r="AV40" s="520"/>
      <c r="AW40" s="520" t="e">
        <f t="shared" si="99"/>
        <v>#N/A</v>
      </c>
      <c r="AX40" s="658"/>
    </row>
    <row r="41" spans="2:50">
      <c r="B41" s="627"/>
      <c r="C41" s="330">
        <v>15</v>
      </c>
      <c r="D41" s="228"/>
      <c r="E41" s="183"/>
      <c r="F41" s="330"/>
      <c r="G41" s="331"/>
      <c r="H41" s="663"/>
      <c r="I41" s="203"/>
      <c r="J41" s="203"/>
      <c r="K41" s="203"/>
      <c r="L41" s="602"/>
      <c r="M41" s="200" t="e">
        <f>RANK(K41, K$27:$K$41)</f>
        <v>#N/A</v>
      </c>
      <c r="N41" s="619"/>
      <c r="O41" s="619"/>
      <c r="P41" s="376"/>
      <c r="Q41" s="376"/>
      <c r="R41" s="376"/>
      <c r="S41" s="330" t="e">
        <f t="shared" si="88"/>
        <v>#N/A</v>
      </c>
      <c r="T41" s="663"/>
      <c r="U41" s="520"/>
      <c r="V41" s="520"/>
      <c r="W41" s="520"/>
      <c r="X41" s="520" t="e">
        <f t="shared" si="89"/>
        <v>#N/A</v>
      </c>
      <c r="Y41" s="663"/>
      <c r="Z41" s="520"/>
      <c r="AA41" s="520"/>
      <c r="AB41" s="520"/>
      <c r="AC41" s="520" t="e">
        <f t="shared" si="91"/>
        <v>#N/A</v>
      </c>
      <c r="AD41" s="663"/>
      <c r="AE41" s="520"/>
      <c r="AF41" s="520"/>
      <c r="AG41" s="520"/>
      <c r="AH41" s="520" t="e">
        <f t="shared" si="93"/>
        <v>#N/A</v>
      </c>
      <c r="AI41" s="663"/>
      <c r="AJ41" s="520"/>
      <c r="AK41" s="520"/>
      <c r="AL41" s="520"/>
      <c r="AM41" s="520" t="e">
        <f t="shared" si="95"/>
        <v>#N/A</v>
      </c>
      <c r="AN41" s="663"/>
      <c r="AO41" s="520"/>
      <c r="AP41" s="520"/>
      <c r="AQ41" s="520"/>
      <c r="AR41" s="520" t="e">
        <f t="shared" si="97"/>
        <v>#N/A</v>
      </c>
      <c r="AS41" s="663"/>
      <c r="AT41" s="520"/>
      <c r="AU41" s="520"/>
      <c r="AV41" s="520"/>
      <c r="AW41" s="520" t="e">
        <f t="shared" si="99"/>
        <v>#N/A</v>
      </c>
      <c r="AX41" s="658"/>
    </row>
    <row r="42" spans="2:50" ht="15.5">
      <c r="B42" s="644" t="s">
        <v>163</v>
      </c>
      <c r="C42" s="645"/>
      <c r="D42" s="645"/>
      <c r="E42" s="645"/>
      <c r="F42" s="645"/>
      <c r="G42" s="645"/>
      <c r="H42" s="645"/>
      <c r="I42" s="209"/>
      <c r="J42" s="204"/>
      <c r="K42" s="209"/>
      <c r="L42" s="209"/>
      <c r="M42" s="205"/>
      <c r="N42" s="620" t="s">
        <v>156</v>
      </c>
      <c r="O42" s="620" t="s">
        <v>105</v>
      </c>
      <c r="P42" s="626">
        <f>P22+7</f>
        <v>46000</v>
      </c>
      <c r="Q42" s="627"/>
      <c r="R42" s="627"/>
      <c r="S42" s="627"/>
      <c r="T42" s="627"/>
      <c r="U42" s="623">
        <f>P42+1</f>
        <v>46001</v>
      </c>
      <c r="V42" s="624"/>
      <c r="W42" s="624"/>
      <c r="X42" s="624"/>
      <c r="Y42" s="625"/>
      <c r="Z42" s="623">
        <f>U42+1</f>
        <v>46002</v>
      </c>
      <c r="AA42" s="624"/>
      <c r="AB42" s="624"/>
      <c r="AC42" s="624"/>
      <c r="AD42" s="625"/>
      <c r="AE42" s="623">
        <f>Z42+1</f>
        <v>46003</v>
      </c>
      <c r="AF42" s="624"/>
      <c r="AG42" s="624"/>
      <c r="AH42" s="624"/>
      <c r="AI42" s="625"/>
      <c r="AJ42" s="623">
        <f>AE42+1</f>
        <v>46004</v>
      </c>
      <c r="AK42" s="624"/>
      <c r="AL42" s="624"/>
      <c r="AM42" s="624"/>
      <c r="AN42" s="625"/>
      <c r="AO42" s="623">
        <f>AJ42+1</f>
        <v>46005</v>
      </c>
      <c r="AP42" s="624"/>
      <c r="AQ42" s="624"/>
      <c r="AR42" s="624"/>
      <c r="AS42" s="625"/>
      <c r="AT42" s="623">
        <f>AO42+1</f>
        <v>46006</v>
      </c>
      <c r="AU42" s="624"/>
      <c r="AV42" s="624"/>
      <c r="AW42" s="624"/>
      <c r="AX42" s="625"/>
    </row>
    <row r="43" spans="2:50" ht="15.5">
      <c r="B43" s="634"/>
      <c r="C43" s="634"/>
      <c r="D43" s="634"/>
      <c r="E43" s="634"/>
      <c r="F43" s="634"/>
      <c r="G43" s="634"/>
      <c r="H43" s="634"/>
      <c r="I43" s="206"/>
      <c r="J43" s="206"/>
      <c r="K43" s="206"/>
      <c r="L43" s="206"/>
      <c r="M43" s="207"/>
      <c r="N43" s="622"/>
      <c r="O43" s="622"/>
      <c r="P43" s="626" t="s">
        <v>336</v>
      </c>
      <c r="Q43" s="627"/>
      <c r="R43" s="627"/>
      <c r="S43" s="627"/>
      <c r="T43" s="627"/>
      <c r="U43" s="626" t="s">
        <v>337</v>
      </c>
      <c r="V43" s="627"/>
      <c r="W43" s="627"/>
      <c r="X43" s="627"/>
      <c r="Y43" s="627"/>
      <c r="Z43" s="626" t="s">
        <v>338</v>
      </c>
      <c r="AA43" s="627"/>
      <c r="AB43" s="627"/>
      <c r="AC43" s="627"/>
      <c r="AD43" s="627"/>
      <c r="AE43" s="626" t="s">
        <v>339</v>
      </c>
      <c r="AF43" s="627"/>
      <c r="AG43" s="627"/>
      <c r="AH43" s="627"/>
      <c r="AI43" s="627"/>
      <c r="AJ43" s="626" t="s">
        <v>340</v>
      </c>
      <c r="AK43" s="627"/>
      <c r="AL43" s="627"/>
      <c r="AM43" s="627"/>
      <c r="AN43" s="627"/>
      <c r="AO43" s="626" t="s">
        <v>341</v>
      </c>
      <c r="AP43" s="627"/>
      <c r="AQ43" s="627"/>
      <c r="AR43" s="627"/>
      <c r="AS43" s="627"/>
      <c r="AT43" s="626" t="s">
        <v>342</v>
      </c>
      <c r="AU43" s="627"/>
      <c r="AV43" s="627"/>
      <c r="AW43" s="627"/>
      <c r="AX43" s="627"/>
    </row>
    <row r="44" spans="2:50">
      <c r="B44" s="619" t="s">
        <v>649</v>
      </c>
      <c r="C44" s="619" t="s">
        <v>650</v>
      </c>
      <c r="D44" s="619"/>
      <c r="E44" s="619" t="s">
        <v>651</v>
      </c>
      <c r="F44" s="619"/>
      <c r="G44" s="619"/>
      <c r="H44" s="635" t="s">
        <v>652</v>
      </c>
      <c r="I44" s="603" t="s">
        <v>653</v>
      </c>
      <c r="J44" s="603"/>
      <c r="K44" s="603"/>
      <c r="L44" s="604" t="s">
        <v>652</v>
      </c>
      <c r="M44" s="610" t="s">
        <v>654</v>
      </c>
      <c r="N44" s="619"/>
      <c r="O44" s="619" t="s">
        <v>655</v>
      </c>
      <c r="P44" s="616" t="s">
        <v>656</v>
      </c>
      <c r="Q44" s="617"/>
      <c r="R44" s="617"/>
      <c r="S44" s="618"/>
      <c r="T44" s="619" t="s">
        <v>652</v>
      </c>
      <c r="U44" s="616" t="s">
        <v>656</v>
      </c>
      <c r="V44" s="617"/>
      <c r="W44" s="617"/>
      <c r="X44" s="618"/>
      <c r="Y44" s="619" t="s">
        <v>652</v>
      </c>
      <c r="Z44" s="616" t="s">
        <v>656</v>
      </c>
      <c r="AA44" s="617"/>
      <c r="AB44" s="617"/>
      <c r="AC44" s="618"/>
      <c r="AD44" s="619" t="s">
        <v>652</v>
      </c>
      <c r="AE44" s="616" t="s">
        <v>656</v>
      </c>
      <c r="AF44" s="617"/>
      <c r="AG44" s="617"/>
      <c r="AH44" s="618"/>
      <c r="AI44" s="619" t="s">
        <v>652</v>
      </c>
      <c r="AJ44" s="616" t="s">
        <v>656</v>
      </c>
      <c r="AK44" s="617"/>
      <c r="AL44" s="617"/>
      <c r="AM44" s="618"/>
      <c r="AN44" s="619" t="s">
        <v>652</v>
      </c>
      <c r="AO44" s="616" t="s">
        <v>656</v>
      </c>
      <c r="AP44" s="617"/>
      <c r="AQ44" s="617"/>
      <c r="AR44" s="618"/>
      <c r="AS44" s="619" t="s">
        <v>652</v>
      </c>
      <c r="AT44" s="616" t="s">
        <v>656</v>
      </c>
      <c r="AU44" s="617"/>
      <c r="AV44" s="617"/>
      <c r="AW44" s="618"/>
      <c r="AX44" s="619" t="s">
        <v>652</v>
      </c>
    </row>
    <row r="45" spans="2:50">
      <c r="B45" s="619"/>
      <c r="C45" s="619"/>
      <c r="D45" s="619"/>
      <c r="E45" s="619" t="s">
        <v>657</v>
      </c>
      <c r="F45" s="619"/>
      <c r="G45" s="619"/>
      <c r="H45" s="636"/>
      <c r="I45" s="603" t="s">
        <v>657</v>
      </c>
      <c r="J45" s="603"/>
      <c r="K45" s="603"/>
      <c r="L45" s="605"/>
      <c r="M45" s="611"/>
      <c r="N45" s="619"/>
      <c r="O45" s="619"/>
      <c r="P45" s="616" t="s">
        <v>658</v>
      </c>
      <c r="Q45" s="617"/>
      <c r="R45" s="617"/>
      <c r="S45" s="618"/>
      <c r="T45" s="619"/>
      <c r="U45" s="616" t="s">
        <v>658</v>
      </c>
      <c r="V45" s="617"/>
      <c r="W45" s="617"/>
      <c r="X45" s="618"/>
      <c r="Y45" s="619"/>
      <c r="Z45" s="616" t="s">
        <v>658</v>
      </c>
      <c r="AA45" s="617"/>
      <c r="AB45" s="617"/>
      <c r="AC45" s="618"/>
      <c r="AD45" s="619"/>
      <c r="AE45" s="616" t="s">
        <v>658</v>
      </c>
      <c r="AF45" s="617"/>
      <c r="AG45" s="617"/>
      <c r="AH45" s="618"/>
      <c r="AI45" s="619"/>
      <c r="AJ45" s="616" t="s">
        <v>658</v>
      </c>
      <c r="AK45" s="617"/>
      <c r="AL45" s="617"/>
      <c r="AM45" s="618"/>
      <c r="AN45" s="619"/>
      <c r="AO45" s="616" t="s">
        <v>658</v>
      </c>
      <c r="AP45" s="617"/>
      <c r="AQ45" s="617"/>
      <c r="AR45" s="618"/>
      <c r="AS45" s="619"/>
      <c r="AT45" s="616" t="s">
        <v>658</v>
      </c>
      <c r="AU45" s="617"/>
      <c r="AV45" s="617"/>
      <c r="AW45" s="618"/>
      <c r="AX45" s="619"/>
    </row>
    <row r="46" spans="2:50">
      <c r="B46" s="619"/>
      <c r="C46" s="619"/>
      <c r="D46" s="619"/>
      <c r="E46" s="335" t="s">
        <v>659</v>
      </c>
      <c r="F46" s="335" t="s">
        <v>660</v>
      </c>
      <c r="G46" s="335" t="s">
        <v>661</v>
      </c>
      <c r="H46" s="637"/>
      <c r="I46" s="334" t="s">
        <v>659</v>
      </c>
      <c r="J46" s="334" t="s">
        <v>660</v>
      </c>
      <c r="K46" s="334" t="s">
        <v>661</v>
      </c>
      <c r="L46" s="606"/>
      <c r="M46" s="612"/>
      <c r="N46" s="619"/>
      <c r="O46" s="619"/>
      <c r="P46" s="335" t="s">
        <v>659</v>
      </c>
      <c r="Q46" s="335" t="s">
        <v>660</v>
      </c>
      <c r="R46" s="335" t="s">
        <v>661</v>
      </c>
      <c r="S46" s="335" t="s">
        <v>654</v>
      </c>
      <c r="T46" s="619"/>
      <c r="U46" s="335" t="s">
        <v>659</v>
      </c>
      <c r="V46" s="335" t="s">
        <v>660</v>
      </c>
      <c r="W46" s="335" t="s">
        <v>661</v>
      </c>
      <c r="X46" s="335" t="s">
        <v>654</v>
      </c>
      <c r="Y46" s="619"/>
      <c r="Z46" s="335" t="s">
        <v>659</v>
      </c>
      <c r="AA46" s="335" t="s">
        <v>660</v>
      </c>
      <c r="AB46" s="335" t="s">
        <v>661</v>
      </c>
      <c r="AC46" s="335" t="s">
        <v>654</v>
      </c>
      <c r="AD46" s="619"/>
      <c r="AE46" s="335" t="s">
        <v>659</v>
      </c>
      <c r="AF46" s="335" t="s">
        <v>660</v>
      </c>
      <c r="AG46" s="335" t="s">
        <v>661</v>
      </c>
      <c r="AH46" s="335" t="s">
        <v>654</v>
      </c>
      <c r="AI46" s="619"/>
      <c r="AJ46" s="335" t="s">
        <v>659</v>
      </c>
      <c r="AK46" s="335" t="s">
        <v>660</v>
      </c>
      <c r="AL46" s="335" t="s">
        <v>661</v>
      </c>
      <c r="AM46" s="335" t="s">
        <v>654</v>
      </c>
      <c r="AN46" s="619"/>
      <c r="AO46" s="335" t="s">
        <v>659</v>
      </c>
      <c r="AP46" s="335" t="s">
        <v>660</v>
      </c>
      <c r="AQ46" s="335" t="s">
        <v>661</v>
      </c>
      <c r="AR46" s="335" t="s">
        <v>654</v>
      </c>
      <c r="AS46" s="619"/>
      <c r="AT46" s="335" t="s">
        <v>659</v>
      </c>
      <c r="AU46" s="335" t="s">
        <v>660</v>
      </c>
      <c r="AV46" s="335" t="s">
        <v>661</v>
      </c>
      <c r="AW46" s="335" t="s">
        <v>654</v>
      </c>
      <c r="AX46" s="619"/>
    </row>
    <row r="47" spans="2:50">
      <c r="B47" s="619" t="s">
        <v>665</v>
      </c>
      <c r="C47" s="336">
        <v>1</v>
      </c>
      <c r="D47" s="228" t="s">
        <v>396</v>
      </c>
      <c r="E47" s="183">
        <v>20</v>
      </c>
      <c r="F47" s="470">
        <v>2400</v>
      </c>
      <c r="G47" s="471">
        <v>120</v>
      </c>
      <c r="H47" s="661">
        <f>AVERAGE(G47:G61)</f>
        <v>144.76</v>
      </c>
      <c r="I47" s="200">
        <f t="shared" ref="I47:K50" si="104">AVERAGE(P47,U47,Z47,AE47,AJ47,AO47,AT47)</f>
        <v>19.428571428571427</v>
      </c>
      <c r="J47" s="200">
        <f t="shared" si="104"/>
        <v>2117.046893292928</v>
      </c>
      <c r="K47" s="201">
        <f t="shared" si="104"/>
        <v>109.04912716863048</v>
      </c>
      <c r="L47" s="600">
        <f>IFERROR(AVERAGE(K47:K61),"-")</f>
        <v>118.86480959240905</v>
      </c>
      <c r="M47" s="202">
        <f>RANK(K47, K$47:$K$61)</f>
        <v>4</v>
      </c>
      <c r="N47" s="619"/>
      <c r="O47" s="619"/>
      <c r="P47" s="183">
        <v>20</v>
      </c>
      <c r="Q47" s="471">
        <v>2115.0000000000018</v>
      </c>
      <c r="R47" s="471">
        <v>105.75000000000009</v>
      </c>
      <c r="S47" s="336">
        <f>RANK(R47, R$47:R$61)</f>
        <v>4</v>
      </c>
      <c r="T47" s="661">
        <f>AVERAGE(R47:R61)</f>
        <v>118.29561014921744</v>
      </c>
      <c r="U47" s="183">
        <v>20</v>
      </c>
      <c r="V47" s="533">
        <v>2119.0000000000018</v>
      </c>
      <c r="W47" s="533">
        <v>105.95000000000009</v>
      </c>
      <c r="X47" s="520">
        <f t="shared" ref="X47:X61" si="105">RANK(W47, W$47:W$61)</f>
        <v>5</v>
      </c>
      <c r="Y47" s="661">
        <f t="shared" ref="Y47" si="106">AVERAGE(W47:W61)</f>
        <v>118.06797365705911</v>
      </c>
      <c r="Z47" s="183">
        <v>20</v>
      </c>
      <c r="AA47" s="533">
        <v>2081.8867924528313</v>
      </c>
      <c r="AB47" s="533">
        <v>104.09433962264157</v>
      </c>
      <c r="AC47" s="520">
        <f t="shared" ref="AC47:AC61" si="107">RANK(AB47, AB$47:AB$61)</f>
        <v>5</v>
      </c>
      <c r="AD47" s="661">
        <f t="shared" ref="AD47" si="108">AVERAGE(AB47:AB61)</f>
        <v>118.13828615490952</v>
      </c>
      <c r="AE47" s="183">
        <v>19</v>
      </c>
      <c r="AF47" s="533">
        <v>2125.2089552238808</v>
      </c>
      <c r="AG47" s="533">
        <v>111.85310290652005</v>
      </c>
      <c r="AH47" s="520">
        <f t="shared" ref="AH47:AH61" si="109">RANK(AG47, AG$47:AG$61)</f>
        <v>4</v>
      </c>
      <c r="AI47" s="661">
        <f t="shared" ref="AI47" si="110">AVERAGE(AG47:AG61)</f>
        <v>118.61513111705858</v>
      </c>
      <c r="AJ47" s="183">
        <v>19</v>
      </c>
      <c r="AK47" s="533">
        <v>2144.2641509433975</v>
      </c>
      <c r="AL47" s="533">
        <v>112.85600794438933</v>
      </c>
      <c r="AM47" s="520">
        <f t="shared" ref="AM47:AM61" si="111">RANK(AL47, AL$47:AL$61)</f>
        <v>4</v>
      </c>
      <c r="AN47" s="661">
        <f t="shared" ref="AN47" si="112">AVERAGE(AL47:AL61)</f>
        <v>119.65618258422913</v>
      </c>
      <c r="AO47" s="183">
        <v>19</v>
      </c>
      <c r="AP47" s="533">
        <v>2125.5000000000009</v>
      </c>
      <c r="AQ47" s="533">
        <v>111.86842105263163</v>
      </c>
      <c r="AR47" s="520">
        <f t="shared" ref="AR47:AR61" si="113">RANK(AQ47, AQ$47:AQ$61)</f>
        <v>4</v>
      </c>
      <c r="AS47" s="661">
        <f t="shared" ref="AS47" si="114">AVERAGE(AQ47:AQ61)</f>
        <v>120.02289540988022</v>
      </c>
      <c r="AT47" s="183">
        <v>19</v>
      </c>
      <c r="AU47" s="533">
        <v>2108.4683544303807</v>
      </c>
      <c r="AV47" s="533">
        <v>110.97201865423057</v>
      </c>
      <c r="AW47" s="520">
        <f t="shared" ref="AW47:AW61" si="115">RANK(AV47, AV$47:AV$61)</f>
        <v>4</v>
      </c>
      <c r="AX47" s="658">
        <f t="shared" ref="AX47" si="116">AVERAGE(AV47:AV61)</f>
        <v>119.25758807450923</v>
      </c>
    </row>
    <row r="48" spans="2:50">
      <c r="B48" s="627"/>
      <c r="C48" s="336">
        <v>2</v>
      </c>
      <c r="D48" s="228" t="s">
        <v>397</v>
      </c>
      <c r="E48" s="183">
        <v>18</v>
      </c>
      <c r="F48" s="470">
        <v>3000</v>
      </c>
      <c r="G48" s="471">
        <v>166.7</v>
      </c>
      <c r="H48" s="662"/>
      <c r="I48" s="200">
        <f t="shared" si="104"/>
        <v>19</v>
      </c>
      <c r="J48" s="200">
        <f t="shared" si="104"/>
        <v>2434.8750614600908</v>
      </c>
      <c r="K48" s="201">
        <f t="shared" si="104"/>
        <v>128.1513190242153</v>
      </c>
      <c r="L48" s="601"/>
      <c r="M48" s="202">
        <f>RANK(K48, K$47:$K$61)</f>
        <v>2</v>
      </c>
      <c r="N48" s="619"/>
      <c r="O48" s="619"/>
      <c r="P48" s="470">
        <v>19</v>
      </c>
      <c r="Q48" s="471">
        <v>2453.8983050847446</v>
      </c>
      <c r="R48" s="471">
        <v>129.1525423728813</v>
      </c>
      <c r="S48" s="343">
        <f t="shared" ref="S48:S61" si="117">RANK(R48, R$47:R$61)</f>
        <v>1</v>
      </c>
      <c r="T48" s="662"/>
      <c r="U48" s="532">
        <v>19</v>
      </c>
      <c r="V48" s="533">
        <v>2429.5081967213105</v>
      </c>
      <c r="W48" s="533">
        <v>127.86885245901634</v>
      </c>
      <c r="X48" s="520">
        <f t="shared" si="105"/>
        <v>1</v>
      </c>
      <c r="Y48" s="662"/>
      <c r="Z48" s="532">
        <v>19</v>
      </c>
      <c r="AA48" s="533">
        <v>2448.8888888888905</v>
      </c>
      <c r="AB48" s="533">
        <v>128.88888888888897</v>
      </c>
      <c r="AC48" s="520">
        <f t="shared" si="107"/>
        <v>2</v>
      </c>
      <c r="AD48" s="662"/>
      <c r="AE48" s="532">
        <v>19</v>
      </c>
      <c r="AF48" s="533">
        <v>2443.0434782608695</v>
      </c>
      <c r="AG48" s="533">
        <v>128.58123569794051</v>
      </c>
      <c r="AH48" s="520">
        <f t="shared" si="109"/>
        <v>1</v>
      </c>
      <c r="AI48" s="662"/>
      <c r="AJ48" s="532">
        <v>19</v>
      </c>
      <c r="AK48" s="533">
        <v>2390.9999999999991</v>
      </c>
      <c r="AL48" s="533">
        <v>125.84210526315785</v>
      </c>
      <c r="AM48" s="520">
        <f t="shared" si="111"/>
        <v>2</v>
      </c>
      <c r="AN48" s="662"/>
      <c r="AO48" s="532">
        <v>19</v>
      </c>
      <c r="AP48" s="533">
        <v>2428.695652173913</v>
      </c>
      <c r="AQ48" s="533">
        <v>127.82608695652173</v>
      </c>
      <c r="AR48" s="520">
        <f t="shared" si="113"/>
        <v>2</v>
      </c>
      <c r="AS48" s="662"/>
      <c r="AT48" s="532">
        <v>19</v>
      </c>
      <c r="AU48" s="533">
        <v>2449.0909090909072</v>
      </c>
      <c r="AV48" s="533">
        <v>128.89952153110039</v>
      </c>
      <c r="AW48" s="520">
        <f t="shared" si="115"/>
        <v>1</v>
      </c>
      <c r="AX48" s="658"/>
    </row>
    <row r="49" spans="2:50">
      <c r="B49" s="627"/>
      <c r="C49" s="336">
        <v>3</v>
      </c>
      <c r="D49" s="228" t="s">
        <v>398</v>
      </c>
      <c r="E49" s="183">
        <v>18</v>
      </c>
      <c r="F49" s="470">
        <v>3000</v>
      </c>
      <c r="G49" s="471">
        <v>166.7</v>
      </c>
      <c r="H49" s="662"/>
      <c r="I49" s="200">
        <f t="shared" si="104"/>
        <v>19</v>
      </c>
      <c r="J49" s="200">
        <f t="shared" si="104"/>
        <v>2439.4395951526008</v>
      </c>
      <c r="K49" s="201">
        <f t="shared" si="104"/>
        <v>128.39155763961054</v>
      </c>
      <c r="L49" s="601"/>
      <c r="M49" s="202">
        <f>RANK(K49, K$47:$K$61)</f>
        <v>1</v>
      </c>
      <c r="N49" s="619"/>
      <c r="O49" s="619"/>
      <c r="P49" s="470">
        <v>19</v>
      </c>
      <c r="Q49" s="471">
        <v>2425.4999999999991</v>
      </c>
      <c r="R49" s="471">
        <v>127.65789473684205</v>
      </c>
      <c r="S49" s="343">
        <f t="shared" si="117"/>
        <v>2</v>
      </c>
      <c r="T49" s="662"/>
      <c r="U49" s="532">
        <v>19</v>
      </c>
      <c r="V49" s="533">
        <v>2394.5454545454545</v>
      </c>
      <c r="W49" s="533">
        <v>126.02870813397129</v>
      </c>
      <c r="X49" s="520">
        <f t="shared" si="105"/>
        <v>2</v>
      </c>
      <c r="Y49" s="662"/>
      <c r="Z49" s="532">
        <v>19</v>
      </c>
      <c r="AA49" s="533">
        <v>2478.9473684210507</v>
      </c>
      <c r="AB49" s="533">
        <v>130.47091412742373</v>
      </c>
      <c r="AC49" s="520">
        <f t="shared" si="107"/>
        <v>1</v>
      </c>
      <c r="AD49" s="662"/>
      <c r="AE49" s="532">
        <v>19</v>
      </c>
      <c r="AF49" s="533">
        <v>2410.9859154929582</v>
      </c>
      <c r="AG49" s="533">
        <v>126.89399555226096</v>
      </c>
      <c r="AH49" s="520">
        <f t="shared" si="109"/>
        <v>2</v>
      </c>
      <c r="AI49" s="662"/>
      <c r="AJ49" s="532">
        <v>19</v>
      </c>
      <c r="AK49" s="533">
        <v>2485.4237288135582</v>
      </c>
      <c r="AL49" s="533">
        <v>130.81177520071358</v>
      </c>
      <c r="AM49" s="520">
        <f t="shared" si="111"/>
        <v>1</v>
      </c>
      <c r="AN49" s="662"/>
      <c r="AO49" s="532">
        <v>19</v>
      </c>
      <c r="AP49" s="533">
        <v>2472.0000000000005</v>
      </c>
      <c r="AQ49" s="533">
        <v>130.10526315789477</v>
      </c>
      <c r="AR49" s="520">
        <f t="shared" si="113"/>
        <v>1</v>
      </c>
      <c r="AS49" s="662"/>
      <c r="AT49" s="532">
        <v>19</v>
      </c>
      <c r="AU49" s="533">
        <v>2408.6746987951824</v>
      </c>
      <c r="AV49" s="533">
        <v>126.77235256816749</v>
      </c>
      <c r="AW49" s="520">
        <f t="shared" si="115"/>
        <v>2</v>
      </c>
      <c r="AX49" s="658"/>
    </row>
    <row r="50" spans="2:50">
      <c r="B50" s="627"/>
      <c r="C50" s="336">
        <v>4</v>
      </c>
      <c r="D50" s="228" t="s">
        <v>399</v>
      </c>
      <c r="E50" s="183">
        <v>19</v>
      </c>
      <c r="F50" s="470">
        <v>3000</v>
      </c>
      <c r="G50" s="471">
        <v>157.9</v>
      </c>
      <c r="H50" s="662"/>
      <c r="I50" s="200">
        <f t="shared" si="104"/>
        <v>20</v>
      </c>
      <c r="J50" s="200">
        <f t="shared" si="104"/>
        <v>2449.0656514270681</v>
      </c>
      <c r="K50" s="201">
        <f t="shared" si="104"/>
        <v>122.45328257135341</v>
      </c>
      <c r="L50" s="601"/>
      <c r="M50" s="202">
        <f>RANK(K50, K$47:$K$61)</f>
        <v>3</v>
      </c>
      <c r="N50" s="619"/>
      <c r="O50" s="619"/>
      <c r="P50" s="470">
        <v>20</v>
      </c>
      <c r="Q50" s="471">
        <v>2465.6250000000027</v>
      </c>
      <c r="R50" s="471">
        <v>123.28125000000014</v>
      </c>
      <c r="S50" s="343">
        <f t="shared" si="117"/>
        <v>3</v>
      </c>
      <c r="T50" s="662"/>
      <c r="U50" s="532">
        <v>20</v>
      </c>
      <c r="V50" s="533">
        <v>2463.6923076923104</v>
      </c>
      <c r="W50" s="533">
        <v>123.18461538461551</v>
      </c>
      <c r="X50" s="520">
        <f t="shared" si="105"/>
        <v>3</v>
      </c>
      <c r="Y50" s="662"/>
      <c r="Z50" s="532">
        <v>20</v>
      </c>
      <c r="AA50" s="533">
        <v>2441.6949152542393</v>
      </c>
      <c r="AB50" s="533">
        <v>122.08474576271196</v>
      </c>
      <c r="AC50" s="520">
        <f t="shared" si="107"/>
        <v>3</v>
      </c>
      <c r="AD50" s="662"/>
      <c r="AE50" s="532">
        <v>20</v>
      </c>
      <c r="AF50" s="533">
        <v>2406.3749999999991</v>
      </c>
      <c r="AG50" s="533">
        <v>120.31874999999995</v>
      </c>
      <c r="AH50" s="520">
        <f t="shared" si="109"/>
        <v>3</v>
      </c>
      <c r="AI50" s="662"/>
      <c r="AJ50" s="532">
        <v>20</v>
      </c>
      <c r="AK50" s="533">
        <v>2447.5135135135115</v>
      </c>
      <c r="AL50" s="533">
        <v>122.37567567567558</v>
      </c>
      <c r="AM50" s="520">
        <f t="shared" si="111"/>
        <v>3</v>
      </c>
      <c r="AN50" s="662"/>
      <c r="AO50" s="532">
        <v>20</v>
      </c>
      <c r="AP50" s="533">
        <v>2458.0588235294126</v>
      </c>
      <c r="AQ50" s="533">
        <v>122.90294117647063</v>
      </c>
      <c r="AR50" s="520">
        <f t="shared" si="113"/>
        <v>3</v>
      </c>
      <c r="AS50" s="662"/>
      <c r="AT50" s="532">
        <v>20</v>
      </c>
      <c r="AU50" s="533">
        <v>2460.5000000000018</v>
      </c>
      <c r="AV50" s="533">
        <v>123.02500000000009</v>
      </c>
      <c r="AW50" s="520">
        <f t="shared" si="115"/>
        <v>3</v>
      </c>
      <c r="AX50" s="658"/>
    </row>
    <row r="51" spans="2:50">
      <c r="B51" s="627"/>
      <c r="C51" s="336">
        <v>5</v>
      </c>
      <c r="D51" s="228" t="s">
        <v>838</v>
      </c>
      <c r="E51" s="183">
        <v>20</v>
      </c>
      <c r="F51" s="470">
        <v>2250</v>
      </c>
      <c r="G51" s="471">
        <v>112.5</v>
      </c>
      <c r="H51" s="662"/>
      <c r="I51" s="496">
        <f t="shared" ref="I51" si="118">AVERAGE(P51,U51,Z51,AE51,AJ51,AO51,AT51)</f>
        <v>20</v>
      </c>
      <c r="J51" s="496">
        <f t="shared" ref="J51" si="119">AVERAGE(Q51,V51,AA51,AF51,AK51,AP51,AU51)</f>
        <v>2125.5752311647079</v>
      </c>
      <c r="K51" s="201">
        <f t="shared" ref="K51" si="120">AVERAGE(R51,W51,AB51,AG51,AL51,AQ51,AV51)</f>
        <v>106.27876155823544</v>
      </c>
      <c r="L51" s="601"/>
      <c r="M51" s="202">
        <f>RANK(K51, K$47:$K$61)</f>
        <v>5</v>
      </c>
      <c r="N51" s="619"/>
      <c r="O51" s="619"/>
      <c r="P51" s="470">
        <v>20</v>
      </c>
      <c r="Q51" s="471">
        <v>2112.7272727272725</v>
      </c>
      <c r="R51" s="471">
        <v>105.63636363636363</v>
      </c>
      <c r="S51" s="343">
        <f t="shared" si="117"/>
        <v>5</v>
      </c>
      <c r="T51" s="662"/>
      <c r="U51" s="532">
        <v>20</v>
      </c>
      <c r="V51" s="533">
        <v>2146.1538461538457</v>
      </c>
      <c r="W51" s="533">
        <v>107.30769230769229</v>
      </c>
      <c r="X51" s="520">
        <f t="shared" si="105"/>
        <v>4</v>
      </c>
      <c r="Y51" s="662"/>
      <c r="Z51" s="532">
        <v>20</v>
      </c>
      <c r="AA51" s="533">
        <v>2103.0508474576259</v>
      </c>
      <c r="AB51" s="533">
        <v>105.1525423728813</v>
      </c>
      <c r="AC51" s="520">
        <f t="shared" si="107"/>
        <v>4</v>
      </c>
      <c r="AD51" s="662"/>
      <c r="AE51" s="532">
        <v>20</v>
      </c>
      <c r="AF51" s="533">
        <v>2108.5714285714294</v>
      </c>
      <c r="AG51" s="533">
        <v>105.42857142857147</v>
      </c>
      <c r="AH51" s="520">
        <f t="shared" si="109"/>
        <v>5</v>
      </c>
      <c r="AI51" s="662"/>
      <c r="AJ51" s="532">
        <v>20</v>
      </c>
      <c r="AK51" s="533">
        <v>2127.9069767441856</v>
      </c>
      <c r="AL51" s="533">
        <v>106.39534883720928</v>
      </c>
      <c r="AM51" s="520">
        <f t="shared" si="111"/>
        <v>5</v>
      </c>
      <c r="AN51" s="662"/>
      <c r="AO51" s="532">
        <v>20</v>
      </c>
      <c r="AP51" s="533">
        <v>2148.2352941176478</v>
      </c>
      <c r="AQ51" s="533">
        <v>107.41176470588239</v>
      </c>
      <c r="AR51" s="520">
        <f t="shared" si="113"/>
        <v>5</v>
      </c>
      <c r="AS51" s="662"/>
      <c r="AT51" s="532">
        <v>20</v>
      </c>
      <c r="AU51" s="533">
        <v>2132.3809523809518</v>
      </c>
      <c r="AV51" s="533">
        <v>106.61904761904759</v>
      </c>
      <c r="AW51" s="520">
        <f t="shared" si="115"/>
        <v>5</v>
      </c>
      <c r="AX51" s="658"/>
    </row>
    <row r="52" spans="2:50">
      <c r="B52" s="627"/>
      <c r="C52" s="336">
        <v>6</v>
      </c>
      <c r="D52" s="228"/>
      <c r="E52" s="183"/>
      <c r="F52" s="470"/>
      <c r="G52" s="471"/>
      <c r="H52" s="662"/>
      <c r="I52" s="200"/>
      <c r="J52" s="200"/>
      <c r="K52" s="201"/>
      <c r="L52" s="601"/>
      <c r="M52" s="202" t="e">
        <f>RANK(K52, K$47:$K$61)</f>
        <v>#N/A</v>
      </c>
      <c r="N52" s="619"/>
      <c r="O52" s="619"/>
      <c r="P52" s="470"/>
      <c r="Q52" s="471"/>
      <c r="R52" s="471"/>
      <c r="S52" s="343" t="e">
        <f t="shared" si="117"/>
        <v>#N/A</v>
      </c>
      <c r="T52" s="662"/>
      <c r="U52" s="520"/>
      <c r="V52" s="521"/>
      <c r="W52" s="521"/>
      <c r="X52" s="520" t="e">
        <f t="shared" si="105"/>
        <v>#N/A</v>
      </c>
      <c r="Y52" s="662"/>
      <c r="Z52" s="520"/>
      <c r="AA52" s="521"/>
      <c r="AB52" s="521"/>
      <c r="AC52" s="520" t="e">
        <f t="shared" si="107"/>
        <v>#N/A</v>
      </c>
      <c r="AD52" s="662"/>
      <c r="AE52" s="520"/>
      <c r="AF52" s="521"/>
      <c r="AG52" s="521"/>
      <c r="AH52" s="520" t="e">
        <f t="shared" si="109"/>
        <v>#N/A</v>
      </c>
      <c r="AI52" s="662"/>
      <c r="AJ52" s="520"/>
      <c r="AK52" s="521"/>
      <c r="AL52" s="521"/>
      <c r="AM52" s="520" t="e">
        <f t="shared" si="111"/>
        <v>#N/A</v>
      </c>
      <c r="AN52" s="662"/>
      <c r="AO52" s="520"/>
      <c r="AP52" s="521"/>
      <c r="AQ52" s="521"/>
      <c r="AR52" s="520" t="e">
        <f t="shared" si="113"/>
        <v>#N/A</v>
      </c>
      <c r="AS52" s="662"/>
      <c r="AT52" s="520"/>
      <c r="AU52" s="521"/>
      <c r="AV52" s="521"/>
      <c r="AW52" s="520" t="e">
        <f t="shared" si="115"/>
        <v>#N/A</v>
      </c>
      <c r="AX52" s="658"/>
    </row>
    <row r="53" spans="2:50">
      <c r="B53" s="627"/>
      <c r="C53" s="336">
        <v>7</v>
      </c>
      <c r="D53" s="228"/>
      <c r="E53" s="183"/>
      <c r="F53" s="470"/>
      <c r="G53" s="471"/>
      <c r="H53" s="662"/>
      <c r="I53" s="200"/>
      <c r="J53" s="200"/>
      <c r="K53" s="201"/>
      <c r="L53" s="601"/>
      <c r="M53" s="202" t="e">
        <f>RANK(K53, K$47:$K$61)</f>
        <v>#N/A</v>
      </c>
      <c r="N53" s="619"/>
      <c r="O53" s="619"/>
      <c r="P53" s="470"/>
      <c r="Q53" s="471"/>
      <c r="R53" s="471"/>
      <c r="S53" s="343" t="e">
        <f t="shared" si="117"/>
        <v>#N/A</v>
      </c>
      <c r="T53" s="662"/>
      <c r="U53" s="520"/>
      <c r="V53" s="521"/>
      <c r="W53" s="521"/>
      <c r="X53" s="520" t="e">
        <f t="shared" si="105"/>
        <v>#N/A</v>
      </c>
      <c r="Y53" s="662"/>
      <c r="Z53" s="520"/>
      <c r="AA53" s="521"/>
      <c r="AB53" s="521"/>
      <c r="AC53" s="520" t="e">
        <f t="shared" si="107"/>
        <v>#N/A</v>
      </c>
      <c r="AD53" s="662"/>
      <c r="AE53" s="520"/>
      <c r="AF53" s="521"/>
      <c r="AG53" s="521"/>
      <c r="AH53" s="520" t="e">
        <f t="shared" si="109"/>
        <v>#N/A</v>
      </c>
      <c r="AI53" s="662"/>
      <c r="AJ53" s="520"/>
      <c r="AK53" s="521"/>
      <c r="AL53" s="521"/>
      <c r="AM53" s="520" t="e">
        <f t="shared" si="111"/>
        <v>#N/A</v>
      </c>
      <c r="AN53" s="662"/>
      <c r="AO53" s="520"/>
      <c r="AP53" s="521"/>
      <c r="AQ53" s="521"/>
      <c r="AR53" s="520" t="e">
        <f t="shared" si="113"/>
        <v>#N/A</v>
      </c>
      <c r="AS53" s="662"/>
      <c r="AT53" s="520"/>
      <c r="AU53" s="521"/>
      <c r="AV53" s="521"/>
      <c r="AW53" s="520" t="e">
        <f t="shared" si="115"/>
        <v>#N/A</v>
      </c>
      <c r="AX53" s="658"/>
    </row>
    <row r="54" spans="2:50">
      <c r="B54" s="627"/>
      <c r="C54" s="336">
        <v>8</v>
      </c>
      <c r="D54" s="228"/>
      <c r="E54" s="183"/>
      <c r="F54" s="470"/>
      <c r="G54" s="471"/>
      <c r="H54" s="662"/>
      <c r="I54" s="200"/>
      <c r="J54" s="200"/>
      <c r="K54" s="201"/>
      <c r="L54" s="601"/>
      <c r="M54" s="202" t="e">
        <f>RANK(K54, K$47:$K$61)</f>
        <v>#N/A</v>
      </c>
      <c r="N54" s="619"/>
      <c r="O54" s="619"/>
      <c r="P54" s="470"/>
      <c r="Q54" s="471"/>
      <c r="R54" s="471"/>
      <c r="S54" s="343" t="e">
        <f t="shared" si="117"/>
        <v>#N/A</v>
      </c>
      <c r="T54" s="662"/>
      <c r="U54" s="520"/>
      <c r="V54" s="521"/>
      <c r="W54" s="521"/>
      <c r="X54" s="520" t="e">
        <f t="shared" si="105"/>
        <v>#N/A</v>
      </c>
      <c r="Y54" s="662"/>
      <c r="Z54" s="520"/>
      <c r="AA54" s="521"/>
      <c r="AB54" s="521"/>
      <c r="AC54" s="520" t="e">
        <f t="shared" si="107"/>
        <v>#N/A</v>
      </c>
      <c r="AD54" s="662"/>
      <c r="AE54" s="520"/>
      <c r="AF54" s="521"/>
      <c r="AG54" s="521"/>
      <c r="AH54" s="520" t="e">
        <f t="shared" si="109"/>
        <v>#N/A</v>
      </c>
      <c r="AI54" s="662"/>
      <c r="AJ54" s="520"/>
      <c r="AK54" s="521"/>
      <c r="AL54" s="521"/>
      <c r="AM54" s="520" t="e">
        <f t="shared" si="111"/>
        <v>#N/A</v>
      </c>
      <c r="AN54" s="662"/>
      <c r="AO54" s="520"/>
      <c r="AP54" s="521"/>
      <c r="AQ54" s="521"/>
      <c r="AR54" s="520" t="e">
        <f t="shared" si="113"/>
        <v>#N/A</v>
      </c>
      <c r="AS54" s="662"/>
      <c r="AT54" s="520"/>
      <c r="AU54" s="521"/>
      <c r="AV54" s="521"/>
      <c r="AW54" s="520" t="e">
        <f t="shared" si="115"/>
        <v>#N/A</v>
      </c>
      <c r="AX54" s="658"/>
    </row>
    <row r="55" spans="2:50">
      <c r="B55" s="627"/>
      <c r="C55" s="336">
        <v>9</v>
      </c>
      <c r="D55" s="228"/>
      <c r="E55" s="183"/>
      <c r="F55" s="470"/>
      <c r="G55" s="471"/>
      <c r="H55" s="662"/>
      <c r="I55" s="200"/>
      <c r="J55" s="200"/>
      <c r="K55" s="201"/>
      <c r="L55" s="601"/>
      <c r="M55" s="202" t="e">
        <f>RANK(K55, K$47:$K$61)</f>
        <v>#N/A</v>
      </c>
      <c r="N55" s="619"/>
      <c r="O55" s="619"/>
      <c r="P55" s="470"/>
      <c r="Q55" s="471"/>
      <c r="R55" s="471"/>
      <c r="S55" s="343" t="e">
        <f t="shared" si="117"/>
        <v>#N/A</v>
      </c>
      <c r="T55" s="662"/>
      <c r="U55" s="520"/>
      <c r="V55" s="521"/>
      <c r="W55" s="521"/>
      <c r="X55" s="520" t="e">
        <f t="shared" si="105"/>
        <v>#N/A</v>
      </c>
      <c r="Y55" s="662"/>
      <c r="Z55" s="520"/>
      <c r="AA55" s="521"/>
      <c r="AB55" s="521"/>
      <c r="AC55" s="520" t="e">
        <f t="shared" si="107"/>
        <v>#N/A</v>
      </c>
      <c r="AD55" s="662"/>
      <c r="AE55" s="520"/>
      <c r="AF55" s="521"/>
      <c r="AG55" s="521"/>
      <c r="AH55" s="520" t="e">
        <f t="shared" si="109"/>
        <v>#N/A</v>
      </c>
      <c r="AI55" s="662"/>
      <c r="AJ55" s="520"/>
      <c r="AK55" s="521"/>
      <c r="AL55" s="521"/>
      <c r="AM55" s="520" t="e">
        <f t="shared" si="111"/>
        <v>#N/A</v>
      </c>
      <c r="AN55" s="662"/>
      <c r="AO55" s="520"/>
      <c r="AP55" s="521"/>
      <c r="AQ55" s="521"/>
      <c r="AR55" s="520" t="e">
        <f t="shared" si="113"/>
        <v>#N/A</v>
      </c>
      <c r="AS55" s="662"/>
      <c r="AT55" s="520"/>
      <c r="AU55" s="521"/>
      <c r="AV55" s="521"/>
      <c r="AW55" s="520" t="e">
        <f t="shared" si="115"/>
        <v>#N/A</v>
      </c>
      <c r="AX55" s="658"/>
    </row>
    <row r="56" spans="2:50">
      <c r="B56" s="627"/>
      <c r="C56" s="336">
        <v>10</v>
      </c>
      <c r="D56" s="228"/>
      <c r="E56" s="183"/>
      <c r="F56" s="470"/>
      <c r="G56" s="471"/>
      <c r="H56" s="662"/>
      <c r="I56" s="200"/>
      <c r="J56" s="200"/>
      <c r="K56" s="201"/>
      <c r="L56" s="601"/>
      <c r="M56" s="202" t="e">
        <f>RANK(K56, K$47:$K$61)</f>
        <v>#N/A</v>
      </c>
      <c r="N56" s="619"/>
      <c r="O56" s="619"/>
      <c r="P56" s="470"/>
      <c r="Q56" s="470"/>
      <c r="R56" s="471"/>
      <c r="S56" s="343" t="e">
        <f t="shared" si="117"/>
        <v>#N/A</v>
      </c>
      <c r="T56" s="662"/>
      <c r="U56" s="520"/>
      <c r="V56" s="520"/>
      <c r="W56" s="521"/>
      <c r="X56" s="520" t="e">
        <f t="shared" si="105"/>
        <v>#N/A</v>
      </c>
      <c r="Y56" s="662"/>
      <c r="Z56" s="520"/>
      <c r="AA56" s="520"/>
      <c r="AB56" s="521"/>
      <c r="AC56" s="520" t="e">
        <f t="shared" si="107"/>
        <v>#N/A</v>
      </c>
      <c r="AD56" s="662"/>
      <c r="AE56" s="520"/>
      <c r="AF56" s="520"/>
      <c r="AG56" s="521"/>
      <c r="AH56" s="520" t="e">
        <f t="shared" si="109"/>
        <v>#N/A</v>
      </c>
      <c r="AI56" s="662"/>
      <c r="AJ56" s="520"/>
      <c r="AK56" s="520"/>
      <c r="AL56" s="521"/>
      <c r="AM56" s="520" t="e">
        <f t="shared" si="111"/>
        <v>#N/A</v>
      </c>
      <c r="AN56" s="662"/>
      <c r="AO56" s="520"/>
      <c r="AP56" s="520"/>
      <c r="AQ56" s="521"/>
      <c r="AR56" s="520" t="e">
        <f t="shared" si="113"/>
        <v>#N/A</v>
      </c>
      <c r="AS56" s="662"/>
      <c r="AT56" s="520"/>
      <c r="AU56" s="520"/>
      <c r="AV56" s="521"/>
      <c r="AW56" s="520" t="e">
        <f t="shared" si="115"/>
        <v>#N/A</v>
      </c>
      <c r="AX56" s="658"/>
    </row>
    <row r="57" spans="2:50">
      <c r="B57" s="627"/>
      <c r="C57" s="336">
        <v>11</v>
      </c>
      <c r="D57" s="228"/>
      <c r="E57" s="183"/>
      <c r="F57" s="470"/>
      <c r="G57" s="471"/>
      <c r="H57" s="662"/>
      <c r="I57" s="203"/>
      <c r="J57" s="203"/>
      <c r="K57" s="203"/>
      <c r="L57" s="601"/>
      <c r="M57" s="202" t="e">
        <f>RANK(K57, K$47:$K$61)</f>
        <v>#N/A</v>
      </c>
      <c r="N57" s="619"/>
      <c r="O57" s="619"/>
      <c r="P57" s="470"/>
      <c r="Q57" s="470"/>
      <c r="R57" s="470"/>
      <c r="S57" s="343" t="e">
        <f t="shared" si="117"/>
        <v>#N/A</v>
      </c>
      <c r="T57" s="662"/>
      <c r="U57" s="520"/>
      <c r="V57" s="520"/>
      <c r="W57" s="520"/>
      <c r="X57" s="520" t="e">
        <f t="shared" si="105"/>
        <v>#N/A</v>
      </c>
      <c r="Y57" s="662"/>
      <c r="Z57" s="520"/>
      <c r="AA57" s="520"/>
      <c r="AB57" s="520"/>
      <c r="AC57" s="520" t="e">
        <f t="shared" si="107"/>
        <v>#N/A</v>
      </c>
      <c r="AD57" s="662"/>
      <c r="AE57" s="520"/>
      <c r="AF57" s="520"/>
      <c r="AG57" s="520"/>
      <c r="AH57" s="520" t="e">
        <f t="shared" si="109"/>
        <v>#N/A</v>
      </c>
      <c r="AI57" s="662"/>
      <c r="AJ57" s="520"/>
      <c r="AK57" s="520"/>
      <c r="AL57" s="520"/>
      <c r="AM57" s="520" t="e">
        <f t="shared" si="111"/>
        <v>#N/A</v>
      </c>
      <c r="AN57" s="662"/>
      <c r="AO57" s="520"/>
      <c r="AP57" s="520"/>
      <c r="AQ57" s="520"/>
      <c r="AR57" s="520" t="e">
        <f t="shared" si="113"/>
        <v>#N/A</v>
      </c>
      <c r="AS57" s="662"/>
      <c r="AT57" s="520"/>
      <c r="AU57" s="520"/>
      <c r="AV57" s="520"/>
      <c r="AW57" s="520" t="e">
        <f t="shared" si="115"/>
        <v>#N/A</v>
      </c>
      <c r="AX57" s="658"/>
    </row>
    <row r="58" spans="2:50">
      <c r="B58" s="627"/>
      <c r="C58" s="336">
        <v>12</v>
      </c>
      <c r="D58" s="228"/>
      <c r="E58" s="183"/>
      <c r="F58" s="470"/>
      <c r="G58" s="471"/>
      <c r="H58" s="662"/>
      <c r="I58" s="203"/>
      <c r="J58" s="203"/>
      <c r="K58" s="203"/>
      <c r="L58" s="601"/>
      <c r="M58" s="202" t="e">
        <f>RANK(K58, K$47:$K$61)</f>
        <v>#N/A</v>
      </c>
      <c r="N58" s="619"/>
      <c r="O58" s="619"/>
      <c r="P58" s="470"/>
      <c r="Q58" s="470"/>
      <c r="R58" s="470"/>
      <c r="S58" s="343" t="e">
        <f t="shared" si="117"/>
        <v>#N/A</v>
      </c>
      <c r="T58" s="662"/>
      <c r="U58" s="520"/>
      <c r="V58" s="520"/>
      <c r="W58" s="520"/>
      <c r="X58" s="520" t="e">
        <f t="shared" si="105"/>
        <v>#N/A</v>
      </c>
      <c r="Y58" s="662"/>
      <c r="Z58" s="520"/>
      <c r="AA58" s="520"/>
      <c r="AB58" s="520"/>
      <c r="AC58" s="520" t="e">
        <f t="shared" si="107"/>
        <v>#N/A</v>
      </c>
      <c r="AD58" s="662"/>
      <c r="AE58" s="520"/>
      <c r="AF58" s="520"/>
      <c r="AG58" s="520"/>
      <c r="AH58" s="520" t="e">
        <f t="shared" si="109"/>
        <v>#N/A</v>
      </c>
      <c r="AI58" s="662"/>
      <c r="AJ58" s="520"/>
      <c r="AK58" s="520"/>
      <c r="AL58" s="520"/>
      <c r="AM58" s="520" t="e">
        <f t="shared" si="111"/>
        <v>#N/A</v>
      </c>
      <c r="AN58" s="662"/>
      <c r="AO58" s="520"/>
      <c r="AP58" s="520"/>
      <c r="AQ58" s="520"/>
      <c r="AR58" s="520" t="e">
        <f t="shared" si="113"/>
        <v>#N/A</v>
      </c>
      <c r="AS58" s="662"/>
      <c r="AT58" s="520"/>
      <c r="AU58" s="520"/>
      <c r="AV58" s="520"/>
      <c r="AW58" s="520" t="e">
        <f t="shared" si="115"/>
        <v>#N/A</v>
      </c>
      <c r="AX58" s="658"/>
    </row>
    <row r="59" spans="2:50">
      <c r="B59" s="627"/>
      <c r="C59" s="336">
        <v>13</v>
      </c>
      <c r="D59" s="228"/>
      <c r="E59" s="183"/>
      <c r="F59" s="470"/>
      <c r="G59" s="471"/>
      <c r="H59" s="662"/>
      <c r="I59" s="203"/>
      <c r="J59" s="203"/>
      <c r="K59" s="203"/>
      <c r="L59" s="601"/>
      <c r="M59" s="202" t="e">
        <f>RANK(K59, K$47:$K$61)</f>
        <v>#N/A</v>
      </c>
      <c r="N59" s="619"/>
      <c r="O59" s="619"/>
      <c r="P59" s="470"/>
      <c r="Q59" s="470"/>
      <c r="R59" s="470"/>
      <c r="S59" s="343" t="e">
        <f t="shared" si="117"/>
        <v>#N/A</v>
      </c>
      <c r="T59" s="662"/>
      <c r="U59" s="520"/>
      <c r="V59" s="520"/>
      <c r="W59" s="520"/>
      <c r="X59" s="520" t="e">
        <f t="shared" si="105"/>
        <v>#N/A</v>
      </c>
      <c r="Y59" s="662"/>
      <c r="Z59" s="520"/>
      <c r="AA59" s="520"/>
      <c r="AB59" s="520"/>
      <c r="AC59" s="520" t="e">
        <f t="shared" si="107"/>
        <v>#N/A</v>
      </c>
      <c r="AD59" s="662"/>
      <c r="AE59" s="520"/>
      <c r="AF59" s="520"/>
      <c r="AG59" s="520"/>
      <c r="AH59" s="520" t="e">
        <f t="shared" si="109"/>
        <v>#N/A</v>
      </c>
      <c r="AI59" s="662"/>
      <c r="AJ59" s="520"/>
      <c r="AK59" s="520"/>
      <c r="AL59" s="520"/>
      <c r="AM59" s="520" t="e">
        <f t="shared" si="111"/>
        <v>#N/A</v>
      </c>
      <c r="AN59" s="662"/>
      <c r="AO59" s="520"/>
      <c r="AP59" s="520"/>
      <c r="AQ59" s="520"/>
      <c r="AR59" s="520" t="e">
        <f t="shared" si="113"/>
        <v>#N/A</v>
      </c>
      <c r="AS59" s="662"/>
      <c r="AT59" s="520"/>
      <c r="AU59" s="520"/>
      <c r="AV59" s="520"/>
      <c r="AW59" s="520" t="e">
        <f t="shared" si="115"/>
        <v>#N/A</v>
      </c>
      <c r="AX59" s="658"/>
    </row>
    <row r="60" spans="2:50">
      <c r="B60" s="627"/>
      <c r="C60" s="336">
        <v>14</v>
      </c>
      <c r="D60" s="228"/>
      <c r="E60" s="183"/>
      <c r="F60" s="470"/>
      <c r="G60" s="471"/>
      <c r="H60" s="662"/>
      <c r="I60" s="203"/>
      <c r="J60" s="203"/>
      <c r="K60" s="203"/>
      <c r="L60" s="601"/>
      <c r="M60" s="202" t="e">
        <f>RANK(K60, K$47:$K$61)</f>
        <v>#N/A</v>
      </c>
      <c r="N60" s="619"/>
      <c r="O60" s="619"/>
      <c r="P60" s="470"/>
      <c r="Q60" s="470"/>
      <c r="R60" s="470"/>
      <c r="S60" s="343" t="e">
        <f t="shared" si="117"/>
        <v>#N/A</v>
      </c>
      <c r="T60" s="662"/>
      <c r="U60" s="520"/>
      <c r="V60" s="520"/>
      <c r="W60" s="520"/>
      <c r="X60" s="520" t="e">
        <f t="shared" si="105"/>
        <v>#N/A</v>
      </c>
      <c r="Y60" s="662"/>
      <c r="Z60" s="520"/>
      <c r="AA60" s="520"/>
      <c r="AB60" s="520"/>
      <c r="AC60" s="520" t="e">
        <f t="shared" si="107"/>
        <v>#N/A</v>
      </c>
      <c r="AD60" s="662"/>
      <c r="AE60" s="520"/>
      <c r="AF60" s="520"/>
      <c r="AG60" s="520"/>
      <c r="AH60" s="520" t="e">
        <f t="shared" si="109"/>
        <v>#N/A</v>
      </c>
      <c r="AI60" s="662"/>
      <c r="AJ60" s="520"/>
      <c r="AK60" s="520"/>
      <c r="AL60" s="520"/>
      <c r="AM60" s="520" t="e">
        <f t="shared" si="111"/>
        <v>#N/A</v>
      </c>
      <c r="AN60" s="662"/>
      <c r="AO60" s="520"/>
      <c r="AP60" s="520"/>
      <c r="AQ60" s="520"/>
      <c r="AR60" s="520" t="e">
        <f t="shared" si="113"/>
        <v>#N/A</v>
      </c>
      <c r="AS60" s="662"/>
      <c r="AT60" s="520"/>
      <c r="AU60" s="520"/>
      <c r="AV60" s="520"/>
      <c r="AW60" s="520" t="e">
        <f t="shared" si="115"/>
        <v>#N/A</v>
      </c>
      <c r="AX60" s="658"/>
    </row>
    <row r="61" spans="2:50">
      <c r="B61" s="627"/>
      <c r="C61" s="336">
        <v>15</v>
      </c>
      <c r="D61" s="228"/>
      <c r="E61" s="183"/>
      <c r="F61" s="470"/>
      <c r="G61" s="471"/>
      <c r="H61" s="663"/>
      <c r="I61" s="203"/>
      <c r="J61" s="203"/>
      <c r="K61" s="203"/>
      <c r="L61" s="602"/>
      <c r="M61" s="202" t="e">
        <f>RANK(K61, K$47:$K$61)</f>
        <v>#N/A</v>
      </c>
      <c r="N61" s="619"/>
      <c r="O61" s="619"/>
      <c r="P61" s="470"/>
      <c r="Q61" s="470"/>
      <c r="R61" s="470"/>
      <c r="S61" s="343" t="e">
        <f t="shared" si="117"/>
        <v>#N/A</v>
      </c>
      <c r="T61" s="663"/>
      <c r="U61" s="520"/>
      <c r="V61" s="520"/>
      <c r="W61" s="520"/>
      <c r="X61" s="520" t="e">
        <f t="shared" si="105"/>
        <v>#N/A</v>
      </c>
      <c r="Y61" s="663"/>
      <c r="Z61" s="520"/>
      <c r="AA61" s="520"/>
      <c r="AB61" s="520"/>
      <c r="AC61" s="520" t="e">
        <f t="shared" si="107"/>
        <v>#N/A</v>
      </c>
      <c r="AD61" s="663"/>
      <c r="AE61" s="520"/>
      <c r="AF61" s="520"/>
      <c r="AG61" s="520"/>
      <c r="AH61" s="520" t="e">
        <f t="shared" si="109"/>
        <v>#N/A</v>
      </c>
      <c r="AI61" s="663"/>
      <c r="AJ61" s="520"/>
      <c r="AK61" s="520"/>
      <c r="AL61" s="520"/>
      <c r="AM61" s="520" t="e">
        <f t="shared" si="111"/>
        <v>#N/A</v>
      </c>
      <c r="AN61" s="663"/>
      <c r="AO61" s="520"/>
      <c r="AP61" s="520"/>
      <c r="AQ61" s="520"/>
      <c r="AR61" s="520" t="e">
        <f t="shared" si="113"/>
        <v>#N/A</v>
      </c>
      <c r="AS61" s="663"/>
      <c r="AT61" s="520"/>
      <c r="AU61" s="520"/>
      <c r="AV61" s="520"/>
      <c r="AW61" s="520" t="e">
        <f t="shared" si="115"/>
        <v>#N/A</v>
      </c>
      <c r="AX61" s="658"/>
    </row>
    <row r="62" spans="2:50" ht="15.5">
      <c r="B62" s="631" t="s">
        <v>163</v>
      </c>
      <c r="C62" s="632"/>
      <c r="D62" s="632"/>
      <c r="E62" s="632"/>
      <c r="F62" s="632"/>
      <c r="G62" s="632"/>
      <c r="H62" s="633"/>
      <c r="I62" s="209"/>
      <c r="J62" s="209"/>
      <c r="K62" s="209"/>
      <c r="L62" s="209"/>
      <c r="M62" s="208"/>
      <c r="N62" s="620" t="s">
        <v>156</v>
      </c>
      <c r="O62" s="620" t="s">
        <v>105</v>
      </c>
      <c r="P62" s="626">
        <f>P42+7</f>
        <v>46007</v>
      </c>
      <c r="Q62" s="627"/>
      <c r="R62" s="627"/>
      <c r="S62" s="627"/>
      <c r="T62" s="627"/>
      <c r="U62" s="623">
        <f>P62+1</f>
        <v>46008</v>
      </c>
      <c r="V62" s="624"/>
      <c r="W62" s="624"/>
      <c r="X62" s="624"/>
      <c r="Y62" s="625"/>
      <c r="Z62" s="623">
        <f>U62+1</f>
        <v>46009</v>
      </c>
      <c r="AA62" s="624"/>
      <c r="AB62" s="624"/>
      <c r="AC62" s="624"/>
      <c r="AD62" s="625"/>
      <c r="AE62" s="623">
        <f>Z62+1</f>
        <v>46010</v>
      </c>
      <c r="AF62" s="624"/>
      <c r="AG62" s="624"/>
      <c r="AH62" s="624"/>
      <c r="AI62" s="625"/>
      <c r="AJ62" s="623">
        <f>AE62+1</f>
        <v>46011</v>
      </c>
      <c r="AK62" s="624"/>
      <c r="AL62" s="624"/>
      <c r="AM62" s="624"/>
      <c r="AN62" s="625"/>
      <c r="AO62" s="623">
        <f>AJ62+1</f>
        <v>46012</v>
      </c>
      <c r="AP62" s="624"/>
      <c r="AQ62" s="624"/>
      <c r="AR62" s="624"/>
      <c r="AS62" s="625"/>
      <c r="AT62" s="623">
        <f>AO62+1</f>
        <v>46013</v>
      </c>
      <c r="AU62" s="624"/>
      <c r="AV62" s="624"/>
      <c r="AW62" s="624"/>
      <c r="AX62" s="625"/>
    </row>
    <row r="63" spans="2:50" ht="15.5">
      <c r="B63" s="634"/>
      <c r="C63" s="634"/>
      <c r="D63" s="634"/>
      <c r="E63" s="634"/>
      <c r="F63" s="634"/>
      <c r="G63" s="634"/>
      <c r="H63" s="634"/>
      <c r="I63" s="206"/>
      <c r="J63" s="206"/>
      <c r="K63" s="206"/>
      <c r="L63" s="206"/>
      <c r="M63" s="207"/>
      <c r="N63" s="622"/>
      <c r="O63" s="622"/>
      <c r="P63" s="626" t="s">
        <v>336</v>
      </c>
      <c r="Q63" s="627"/>
      <c r="R63" s="627"/>
      <c r="S63" s="627"/>
      <c r="T63" s="627"/>
      <c r="U63" s="626" t="s">
        <v>337</v>
      </c>
      <c r="V63" s="627"/>
      <c r="W63" s="627"/>
      <c r="X63" s="627"/>
      <c r="Y63" s="627"/>
      <c r="Z63" s="626" t="s">
        <v>338</v>
      </c>
      <c r="AA63" s="627"/>
      <c r="AB63" s="627"/>
      <c r="AC63" s="627"/>
      <c r="AD63" s="627"/>
      <c r="AE63" s="626" t="s">
        <v>339</v>
      </c>
      <c r="AF63" s="627"/>
      <c r="AG63" s="627"/>
      <c r="AH63" s="627"/>
      <c r="AI63" s="627"/>
      <c r="AJ63" s="626" t="s">
        <v>340</v>
      </c>
      <c r="AK63" s="627"/>
      <c r="AL63" s="627"/>
      <c r="AM63" s="627"/>
      <c r="AN63" s="627"/>
      <c r="AO63" s="626" t="s">
        <v>341</v>
      </c>
      <c r="AP63" s="627"/>
      <c r="AQ63" s="627"/>
      <c r="AR63" s="627"/>
      <c r="AS63" s="627"/>
      <c r="AT63" s="626" t="s">
        <v>342</v>
      </c>
      <c r="AU63" s="627"/>
      <c r="AV63" s="627"/>
      <c r="AW63" s="627"/>
      <c r="AX63" s="627"/>
    </row>
    <row r="64" spans="2:50">
      <c r="B64" s="619" t="s">
        <v>502</v>
      </c>
      <c r="C64" s="619" t="s">
        <v>503</v>
      </c>
      <c r="D64" s="619"/>
      <c r="E64" s="619" t="s">
        <v>504</v>
      </c>
      <c r="F64" s="619"/>
      <c r="G64" s="619"/>
      <c r="H64" s="635" t="s">
        <v>505</v>
      </c>
      <c r="I64" s="603" t="s">
        <v>506</v>
      </c>
      <c r="J64" s="603"/>
      <c r="K64" s="603"/>
      <c r="L64" s="604" t="s">
        <v>505</v>
      </c>
      <c r="M64" s="610" t="s">
        <v>507</v>
      </c>
      <c r="N64" s="619"/>
      <c r="O64" s="619" t="s">
        <v>508</v>
      </c>
      <c r="P64" s="616" t="s">
        <v>509</v>
      </c>
      <c r="Q64" s="617"/>
      <c r="R64" s="617"/>
      <c r="S64" s="618"/>
      <c r="T64" s="619" t="s">
        <v>505</v>
      </c>
      <c r="U64" s="616" t="s">
        <v>509</v>
      </c>
      <c r="V64" s="617"/>
      <c r="W64" s="617"/>
      <c r="X64" s="618"/>
      <c r="Y64" s="619" t="s">
        <v>505</v>
      </c>
      <c r="Z64" s="616" t="s">
        <v>509</v>
      </c>
      <c r="AA64" s="617"/>
      <c r="AB64" s="617"/>
      <c r="AC64" s="618"/>
      <c r="AD64" s="619" t="s">
        <v>505</v>
      </c>
      <c r="AE64" s="616" t="s">
        <v>509</v>
      </c>
      <c r="AF64" s="617"/>
      <c r="AG64" s="617"/>
      <c r="AH64" s="618"/>
      <c r="AI64" s="619" t="s">
        <v>505</v>
      </c>
      <c r="AJ64" s="616" t="s">
        <v>509</v>
      </c>
      <c r="AK64" s="617"/>
      <c r="AL64" s="617"/>
      <c r="AM64" s="618"/>
      <c r="AN64" s="619" t="s">
        <v>505</v>
      </c>
      <c r="AO64" s="616" t="s">
        <v>509</v>
      </c>
      <c r="AP64" s="617"/>
      <c r="AQ64" s="617"/>
      <c r="AR64" s="618"/>
      <c r="AS64" s="619" t="s">
        <v>505</v>
      </c>
      <c r="AT64" s="616" t="s">
        <v>509</v>
      </c>
      <c r="AU64" s="617"/>
      <c r="AV64" s="617"/>
      <c r="AW64" s="618"/>
      <c r="AX64" s="619" t="s">
        <v>505</v>
      </c>
    </row>
    <row r="65" spans="2:50">
      <c r="B65" s="619"/>
      <c r="C65" s="619"/>
      <c r="D65" s="619"/>
      <c r="E65" s="619" t="s">
        <v>510</v>
      </c>
      <c r="F65" s="619"/>
      <c r="G65" s="619"/>
      <c r="H65" s="636"/>
      <c r="I65" s="603" t="s">
        <v>510</v>
      </c>
      <c r="J65" s="603"/>
      <c r="K65" s="603"/>
      <c r="L65" s="605"/>
      <c r="M65" s="611"/>
      <c r="N65" s="619"/>
      <c r="O65" s="619"/>
      <c r="P65" s="616" t="s">
        <v>511</v>
      </c>
      <c r="Q65" s="617"/>
      <c r="R65" s="617"/>
      <c r="S65" s="618"/>
      <c r="T65" s="619"/>
      <c r="U65" s="616" t="s">
        <v>511</v>
      </c>
      <c r="V65" s="617"/>
      <c r="W65" s="617"/>
      <c r="X65" s="618"/>
      <c r="Y65" s="619"/>
      <c r="Z65" s="616" t="s">
        <v>511</v>
      </c>
      <c r="AA65" s="617"/>
      <c r="AB65" s="617"/>
      <c r="AC65" s="618"/>
      <c r="AD65" s="619"/>
      <c r="AE65" s="616" t="s">
        <v>511</v>
      </c>
      <c r="AF65" s="617"/>
      <c r="AG65" s="617"/>
      <c r="AH65" s="618"/>
      <c r="AI65" s="619"/>
      <c r="AJ65" s="616" t="s">
        <v>511</v>
      </c>
      <c r="AK65" s="617"/>
      <c r="AL65" s="617"/>
      <c r="AM65" s="618"/>
      <c r="AN65" s="619"/>
      <c r="AO65" s="616" t="s">
        <v>511</v>
      </c>
      <c r="AP65" s="617"/>
      <c r="AQ65" s="617"/>
      <c r="AR65" s="618"/>
      <c r="AS65" s="619"/>
      <c r="AT65" s="616" t="s">
        <v>511</v>
      </c>
      <c r="AU65" s="617"/>
      <c r="AV65" s="617"/>
      <c r="AW65" s="618"/>
      <c r="AX65" s="619"/>
    </row>
    <row r="66" spans="2:50">
      <c r="B66" s="619"/>
      <c r="C66" s="619"/>
      <c r="D66" s="619"/>
      <c r="E66" s="316" t="s">
        <v>512</v>
      </c>
      <c r="F66" s="316" t="s">
        <v>513</v>
      </c>
      <c r="G66" s="316" t="s">
        <v>514</v>
      </c>
      <c r="H66" s="637"/>
      <c r="I66" s="315" t="s">
        <v>512</v>
      </c>
      <c r="J66" s="315" t="s">
        <v>513</v>
      </c>
      <c r="K66" s="315" t="s">
        <v>514</v>
      </c>
      <c r="L66" s="606"/>
      <c r="M66" s="612"/>
      <c r="N66" s="619"/>
      <c r="O66" s="619"/>
      <c r="P66" s="316" t="s">
        <v>512</v>
      </c>
      <c r="Q66" s="316" t="s">
        <v>513</v>
      </c>
      <c r="R66" s="316" t="s">
        <v>514</v>
      </c>
      <c r="S66" s="316" t="s">
        <v>507</v>
      </c>
      <c r="T66" s="619"/>
      <c r="U66" s="316" t="s">
        <v>512</v>
      </c>
      <c r="V66" s="316" t="s">
        <v>513</v>
      </c>
      <c r="W66" s="316" t="s">
        <v>514</v>
      </c>
      <c r="X66" s="316" t="s">
        <v>507</v>
      </c>
      <c r="Y66" s="619"/>
      <c r="Z66" s="316" t="s">
        <v>512</v>
      </c>
      <c r="AA66" s="316" t="s">
        <v>513</v>
      </c>
      <c r="AB66" s="316" t="s">
        <v>514</v>
      </c>
      <c r="AC66" s="316" t="s">
        <v>507</v>
      </c>
      <c r="AD66" s="619"/>
      <c r="AE66" s="316" t="s">
        <v>512</v>
      </c>
      <c r="AF66" s="316" t="s">
        <v>513</v>
      </c>
      <c r="AG66" s="316" t="s">
        <v>514</v>
      </c>
      <c r="AH66" s="316" t="s">
        <v>507</v>
      </c>
      <c r="AI66" s="619"/>
      <c r="AJ66" s="316" t="s">
        <v>512</v>
      </c>
      <c r="AK66" s="316" t="s">
        <v>513</v>
      </c>
      <c r="AL66" s="316" t="s">
        <v>514</v>
      </c>
      <c r="AM66" s="316" t="s">
        <v>507</v>
      </c>
      <c r="AN66" s="619"/>
      <c r="AO66" s="316" t="s">
        <v>512</v>
      </c>
      <c r="AP66" s="316" t="s">
        <v>513</v>
      </c>
      <c r="AQ66" s="316" t="s">
        <v>514</v>
      </c>
      <c r="AR66" s="316" t="s">
        <v>507</v>
      </c>
      <c r="AS66" s="619"/>
      <c r="AT66" s="316" t="s">
        <v>512</v>
      </c>
      <c r="AU66" s="316" t="s">
        <v>513</v>
      </c>
      <c r="AV66" s="316" t="s">
        <v>514</v>
      </c>
      <c r="AW66" s="316" t="s">
        <v>507</v>
      </c>
      <c r="AX66" s="619"/>
    </row>
    <row r="67" spans="2:50">
      <c r="B67" s="619" t="s">
        <v>529</v>
      </c>
      <c r="C67" s="317">
        <v>1</v>
      </c>
      <c r="D67" s="228"/>
      <c r="E67" s="183"/>
      <c r="F67" s="470"/>
      <c r="G67" s="471"/>
      <c r="H67" s="661" t="e">
        <f>AVERAGE(G67:G81)</f>
        <v>#DIV/0!</v>
      </c>
      <c r="I67" s="200" t="e">
        <f t="shared" ref="I67:K70" si="121">AVERAGE(P67,U67,Z67,AE67,AJ67,AO67,AT67)</f>
        <v>#DIV/0!</v>
      </c>
      <c r="J67" s="200" t="e">
        <f t="shared" si="121"/>
        <v>#DIV/0!</v>
      </c>
      <c r="K67" s="201" t="e">
        <f t="shared" si="121"/>
        <v>#DIV/0!</v>
      </c>
      <c r="L67" s="600" t="str">
        <f>IFERROR(AVERAGE(K67:K81),"-")</f>
        <v>-</v>
      </c>
      <c r="M67" s="202" t="e">
        <f>RANK(K67, K$67:$K$81)</f>
        <v>#DIV/0!</v>
      </c>
      <c r="N67" s="619"/>
      <c r="O67" s="619"/>
      <c r="P67" s="183"/>
      <c r="Q67" s="471"/>
      <c r="R67" s="471"/>
      <c r="S67" s="349" t="e">
        <f>RANK(R67, R$67:R$81)</f>
        <v>#N/A</v>
      </c>
      <c r="T67" s="661" t="e">
        <f>AVERAGE(R67:R81)</f>
        <v>#DIV/0!</v>
      </c>
      <c r="U67" s="183"/>
      <c r="V67" s="521"/>
      <c r="W67" s="521"/>
      <c r="X67" s="520" t="e">
        <f t="shared" ref="X67:X81" si="122">RANK(W67, W$67:W$81)</f>
        <v>#N/A</v>
      </c>
      <c r="Y67" s="661" t="e">
        <f t="shared" ref="Y67" si="123">AVERAGE(W67:W81)</f>
        <v>#DIV/0!</v>
      </c>
      <c r="Z67" s="183"/>
      <c r="AA67" s="521"/>
      <c r="AB67" s="521"/>
      <c r="AC67" s="520" t="e">
        <f t="shared" ref="AC67:AC81" si="124">RANK(AB67, AB$67:AB$81)</f>
        <v>#N/A</v>
      </c>
      <c r="AD67" s="661" t="e">
        <f t="shared" ref="AD67" si="125">AVERAGE(AB67:AB81)</f>
        <v>#DIV/0!</v>
      </c>
      <c r="AE67" s="183"/>
      <c r="AF67" s="521"/>
      <c r="AG67" s="521"/>
      <c r="AH67" s="520" t="e">
        <f t="shared" ref="AH67:AH81" si="126">RANK(AG67, AG$67:AG$81)</f>
        <v>#N/A</v>
      </c>
      <c r="AI67" s="661" t="e">
        <f t="shared" ref="AI67" si="127">AVERAGE(AG67:AG81)</f>
        <v>#DIV/0!</v>
      </c>
      <c r="AJ67" s="183"/>
      <c r="AK67" s="521"/>
      <c r="AL67" s="521"/>
      <c r="AM67" s="520" t="e">
        <f t="shared" ref="AM67:AM81" si="128">RANK(AL67, AL$67:AL$81)</f>
        <v>#N/A</v>
      </c>
      <c r="AN67" s="661" t="e">
        <f t="shared" ref="AN67" si="129">AVERAGE(AL67:AL81)</f>
        <v>#DIV/0!</v>
      </c>
      <c r="AO67" s="183"/>
      <c r="AP67" s="521"/>
      <c r="AQ67" s="521"/>
      <c r="AR67" s="520" t="e">
        <f t="shared" ref="AR67:AR81" si="130">RANK(AQ67, AQ$67:AQ$81)</f>
        <v>#N/A</v>
      </c>
      <c r="AS67" s="661" t="e">
        <f t="shared" ref="AS67" si="131">AVERAGE(AQ67:AQ81)</f>
        <v>#DIV/0!</v>
      </c>
      <c r="AT67" s="183"/>
      <c r="AU67" s="521"/>
      <c r="AV67" s="521"/>
      <c r="AW67" s="520" t="e">
        <f t="shared" ref="AW67:AW81" si="132">RANK(AV67, AV$67:AV$81)</f>
        <v>#N/A</v>
      </c>
      <c r="AX67" s="658" t="e">
        <f t="shared" ref="AX67" si="133">AVERAGE(AV67:AV81)</f>
        <v>#DIV/0!</v>
      </c>
    </row>
    <row r="68" spans="2:50">
      <c r="B68" s="627"/>
      <c r="C68" s="317">
        <v>2</v>
      </c>
      <c r="D68" s="228"/>
      <c r="E68" s="183"/>
      <c r="F68" s="470"/>
      <c r="G68" s="471"/>
      <c r="H68" s="662"/>
      <c r="I68" s="200" t="e">
        <f t="shared" si="121"/>
        <v>#DIV/0!</v>
      </c>
      <c r="J68" s="200" t="e">
        <f t="shared" si="121"/>
        <v>#DIV/0!</v>
      </c>
      <c r="K68" s="201" t="e">
        <f t="shared" si="121"/>
        <v>#DIV/0!</v>
      </c>
      <c r="L68" s="601"/>
      <c r="M68" s="202" t="e">
        <f>RANK(K68, K$67:$K$81)</f>
        <v>#DIV/0!</v>
      </c>
      <c r="N68" s="619"/>
      <c r="O68" s="619"/>
      <c r="P68" s="470"/>
      <c r="Q68" s="471"/>
      <c r="R68" s="471"/>
      <c r="S68" s="349" t="e">
        <f t="shared" ref="S68:S81" si="134">RANK(R68, R$67:R$81)</f>
        <v>#N/A</v>
      </c>
      <c r="T68" s="662"/>
      <c r="U68" s="520"/>
      <c r="V68" s="521"/>
      <c r="W68" s="521"/>
      <c r="X68" s="520" t="e">
        <f t="shared" si="122"/>
        <v>#N/A</v>
      </c>
      <c r="Y68" s="662"/>
      <c r="Z68" s="520"/>
      <c r="AA68" s="521"/>
      <c r="AB68" s="521"/>
      <c r="AC68" s="520" t="e">
        <f t="shared" si="124"/>
        <v>#N/A</v>
      </c>
      <c r="AD68" s="662"/>
      <c r="AE68" s="520"/>
      <c r="AF68" s="521"/>
      <c r="AG68" s="521"/>
      <c r="AH68" s="520" t="e">
        <f t="shared" si="126"/>
        <v>#N/A</v>
      </c>
      <c r="AI68" s="662"/>
      <c r="AJ68" s="520"/>
      <c r="AK68" s="521"/>
      <c r="AL68" s="521"/>
      <c r="AM68" s="520" t="e">
        <f t="shared" si="128"/>
        <v>#N/A</v>
      </c>
      <c r="AN68" s="662"/>
      <c r="AO68" s="520"/>
      <c r="AP68" s="521"/>
      <c r="AQ68" s="521"/>
      <c r="AR68" s="520" t="e">
        <f t="shared" si="130"/>
        <v>#N/A</v>
      </c>
      <c r="AS68" s="662"/>
      <c r="AT68" s="520"/>
      <c r="AU68" s="521"/>
      <c r="AV68" s="521"/>
      <c r="AW68" s="520" t="e">
        <f t="shared" si="132"/>
        <v>#N/A</v>
      </c>
      <c r="AX68" s="658"/>
    </row>
    <row r="69" spans="2:50">
      <c r="B69" s="627"/>
      <c r="C69" s="317">
        <v>3</v>
      </c>
      <c r="D69" s="228"/>
      <c r="E69" s="183"/>
      <c r="F69" s="470"/>
      <c r="G69" s="471"/>
      <c r="H69" s="662"/>
      <c r="I69" s="200" t="e">
        <f t="shared" si="121"/>
        <v>#DIV/0!</v>
      </c>
      <c r="J69" s="200" t="e">
        <f t="shared" si="121"/>
        <v>#DIV/0!</v>
      </c>
      <c r="K69" s="201" t="e">
        <f t="shared" si="121"/>
        <v>#DIV/0!</v>
      </c>
      <c r="L69" s="601"/>
      <c r="M69" s="202" t="e">
        <f>RANK(K69, K$67:$K$81)</f>
        <v>#DIV/0!</v>
      </c>
      <c r="N69" s="619"/>
      <c r="O69" s="619"/>
      <c r="P69" s="470"/>
      <c r="Q69" s="471"/>
      <c r="R69" s="471"/>
      <c r="S69" s="349" t="e">
        <f t="shared" si="134"/>
        <v>#N/A</v>
      </c>
      <c r="T69" s="662"/>
      <c r="U69" s="520"/>
      <c r="V69" s="521"/>
      <c r="W69" s="521"/>
      <c r="X69" s="520" t="e">
        <f t="shared" si="122"/>
        <v>#N/A</v>
      </c>
      <c r="Y69" s="662"/>
      <c r="Z69" s="520"/>
      <c r="AA69" s="521"/>
      <c r="AB69" s="521"/>
      <c r="AC69" s="520" t="e">
        <f t="shared" si="124"/>
        <v>#N/A</v>
      </c>
      <c r="AD69" s="662"/>
      <c r="AE69" s="520"/>
      <c r="AF69" s="521"/>
      <c r="AG69" s="521"/>
      <c r="AH69" s="520" t="e">
        <f t="shared" si="126"/>
        <v>#N/A</v>
      </c>
      <c r="AI69" s="662"/>
      <c r="AJ69" s="520"/>
      <c r="AK69" s="521"/>
      <c r="AL69" s="521"/>
      <c r="AM69" s="520" t="e">
        <f t="shared" si="128"/>
        <v>#N/A</v>
      </c>
      <c r="AN69" s="662"/>
      <c r="AO69" s="520"/>
      <c r="AP69" s="521"/>
      <c r="AQ69" s="521"/>
      <c r="AR69" s="520" t="e">
        <f t="shared" si="130"/>
        <v>#N/A</v>
      </c>
      <c r="AS69" s="662"/>
      <c r="AT69" s="520"/>
      <c r="AU69" s="521"/>
      <c r="AV69" s="521"/>
      <c r="AW69" s="520" t="e">
        <f t="shared" si="132"/>
        <v>#N/A</v>
      </c>
      <c r="AX69" s="658"/>
    </row>
    <row r="70" spans="2:50">
      <c r="B70" s="627"/>
      <c r="C70" s="317">
        <v>4</v>
      </c>
      <c r="D70" s="228"/>
      <c r="E70" s="183"/>
      <c r="F70" s="470"/>
      <c r="G70" s="471"/>
      <c r="H70" s="662"/>
      <c r="I70" s="200" t="e">
        <f t="shared" si="121"/>
        <v>#DIV/0!</v>
      </c>
      <c r="J70" s="200" t="e">
        <f t="shared" si="121"/>
        <v>#DIV/0!</v>
      </c>
      <c r="K70" s="201" t="e">
        <f t="shared" si="121"/>
        <v>#DIV/0!</v>
      </c>
      <c r="L70" s="601"/>
      <c r="M70" s="202" t="e">
        <f>RANK(K70, K$67:$K$81)</f>
        <v>#DIV/0!</v>
      </c>
      <c r="N70" s="619"/>
      <c r="O70" s="619"/>
      <c r="P70" s="470"/>
      <c r="Q70" s="471"/>
      <c r="R70" s="471"/>
      <c r="S70" s="349" t="e">
        <f t="shared" si="134"/>
        <v>#N/A</v>
      </c>
      <c r="T70" s="662"/>
      <c r="U70" s="520"/>
      <c r="V70" s="521"/>
      <c r="W70" s="521"/>
      <c r="X70" s="520" t="e">
        <f t="shared" si="122"/>
        <v>#N/A</v>
      </c>
      <c r="Y70" s="662"/>
      <c r="Z70" s="520"/>
      <c r="AA70" s="521"/>
      <c r="AB70" s="521"/>
      <c r="AC70" s="520" t="e">
        <f t="shared" si="124"/>
        <v>#N/A</v>
      </c>
      <c r="AD70" s="662"/>
      <c r="AE70" s="520"/>
      <c r="AF70" s="521"/>
      <c r="AG70" s="521"/>
      <c r="AH70" s="520" t="e">
        <f t="shared" si="126"/>
        <v>#N/A</v>
      </c>
      <c r="AI70" s="662"/>
      <c r="AJ70" s="520"/>
      <c r="AK70" s="521"/>
      <c r="AL70" s="521"/>
      <c r="AM70" s="520" t="e">
        <f t="shared" si="128"/>
        <v>#N/A</v>
      </c>
      <c r="AN70" s="662"/>
      <c r="AO70" s="520"/>
      <c r="AP70" s="521"/>
      <c r="AQ70" s="521"/>
      <c r="AR70" s="520" t="e">
        <f t="shared" si="130"/>
        <v>#N/A</v>
      </c>
      <c r="AS70" s="662"/>
      <c r="AT70" s="520"/>
      <c r="AU70" s="521"/>
      <c r="AV70" s="521"/>
      <c r="AW70" s="520" t="e">
        <f t="shared" si="132"/>
        <v>#N/A</v>
      </c>
      <c r="AX70" s="658"/>
    </row>
    <row r="71" spans="2:50">
      <c r="B71" s="627"/>
      <c r="C71" s="317">
        <v>5</v>
      </c>
      <c r="D71" s="228"/>
      <c r="E71" s="183"/>
      <c r="F71" s="470"/>
      <c r="G71" s="471"/>
      <c r="H71" s="662"/>
      <c r="I71" s="501" t="e">
        <f t="shared" ref="I71" si="135">AVERAGE(P71,U71,Z71,AE71,AJ71,AO71,AT71)</f>
        <v>#DIV/0!</v>
      </c>
      <c r="J71" s="501" t="e">
        <f t="shared" ref="J71" si="136">AVERAGE(Q71,V71,AA71,AF71,AK71,AP71,AU71)</f>
        <v>#DIV/0!</v>
      </c>
      <c r="K71" s="201" t="e">
        <f t="shared" ref="K71" si="137">AVERAGE(R71,W71,AB71,AG71,AL71,AQ71,AV71)</f>
        <v>#DIV/0!</v>
      </c>
      <c r="L71" s="601"/>
      <c r="M71" s="202" t="e">
        <f>RANK(K71, K$67:$K$81)</f>
        <v>#DIV/0!</v>
      </c>
      <c r="N71" s="619"/>
      <c r="O71" s="619"/>
      <c r="P71" s="470"/>
      <c r="Q71" s="471"/>
      <c r="R71" s="471"/>
      <c r="S71" s="349" t="e">
        <f t="shared" si="134"/>
        <v>#N/A</v>
      </c>
      <c r="T71" s="662"/>
      <c r="U71" s="520"/>
      <c r="V71" s="521"/>
      <c r="W71" s="521"/>
      <c r="X71" s="520" t="e">
        <f t="shared" si="122"/>
        <v>#N/A</v>
      </c>
      <c r="Y71" s="662"/>
      <c r="Z71" s="520"/>
      <c r="AA71" s="521"/>
      <c r="AB71" s="521"/>
      <c r="AC71" s="520" t="e">
        <f t="shared" si="124"/>
        <v>#N/A</v>
      </c>
      <c r="AD71" s="662"/>
      <c r="AE71" s="520"/>
      <c r="AF71" s="521"/>
      <c r="AG71" s="521"/>
      <c r="AH71" s="520" t="e">
        <f t="shared" si="126"/>
        <v>#N/A</v>
      </c>
      <c r="AI71" s="662"/>
      <c r="AJ71" s="520"/>
      <c r="AK71" s="521"/>
      <c r="AL71" s="521"/>
      <c r="AM71" s="520" t="e">
        <f t="shared" si="128"/>
        <v>#N/A</v>
      </c>
      <c r="AN71" s="662"/>
      <c r="AO71" s="520"/>
      <c r="AP71" s="521"/>
      <c r="AQ71" s="521"/>
      <c r="AR71" s="520" t="e">
        <f t="shared" si="130"/>
        <v>#N/A</v>
      </c>
      <c r="AS71" s="662"/>
      <c r="AT71" s="520"/>
      <c r="AU71" s="521"/>
      <c r="AV71" s="521"/>
      <c r="AW71" s="520" t="e">
        <f t="shared" si="132"/>
        <v>#N/A</v>
      </c>
      <c r="AX71" s="658"/>
    </row>
    <row r="72" spans="2:50">
      <c r="B72" s="627"/>
      <c r="C72" s="317">
        <v>6</v>
      </c>
      <c r="D72" s="228"/>
      <c r="E72" s="183"/>
      <c r="F72" s="470"/>
      <c r="G72" s="471"/>
      <c r="H72" s="662"/>
      <c r="I72" s="200"/>
      <c r="J72" s="200"/>
      <c r="K72" s="201"/>
      <c r="L72" s="601"/>
      <c r="M72" s="202" t="e">
        <f>RANK(K72, K$67:$K$81)</f>
        <v>#DIV/0!</v>
      </c>
      <c r="N72" s="619"/>
      <c r="O72" s="619"/>
      <c r="P72" s="470"/>
      <c r="Q72" s="471"/>
      <c r="R72" s="471"/>
      <c r="S72" s="349" t="e">
        <f t="shared" si="134"/>
        <v>#N/A</v>
      </c>
      <c r="T72" s="662"/>
      <c r="U72" s="520"/>
      <c r="V72" s="521"/>
      <c r="W72" s="521"/>
      <c r="X72" s="520" t="e">
        <f t="shared" si="122"/>
        <v>#N/A</v>
      </c>
      <c r="Y72" s="662"/>
      <c r="Z72" s="520"/>
      <c r="AA72" s="521"/>
      <c r="AB72" s="521"/>
      <c r="AC72" s="520" t="e">
        <f t="shared" si="124"/>
        <v>#N/A</v>
      </c>
      <c r="AD72" s="662"/>
      <c r="AE72" s="520"/>
      <c r="AF72" s="521"/>
      <c r="AG72" s="521"/>
      <c r="AH72" s="520" t="e">
        <f t="shared" si="126"/>
        <v>#N/A</v>
      </c>
      <c r="AI72" s="662"/>
      <c r="AJ72" s="520"/>
      <c r="AK72" s="521"/>
      <c r="AL72" s="521"/>
      <c r="AM72" s="520" t="e">
        <f t="shared" si="128"/>
        <v>#N/A</v>
      </c>
      <c r="AN72" s="662"/>
      <c r="AO72" s="520"/>
      <c r="AP72" s="521"/>
      <c r="AQ72" s="521"/>
      <c r="AR72" s="520" t="e">
        <f t="shared" si="130"/>
        <v>#N/A</v>
      </c>
      <c r="AS72" s="662"/>
      <c r="AT72" s="520"/>
      <c r="AU72" s="521"/>
      <c r="AV72" s="521"/>
      <c r="AW72" s="520" t="e">
        <f t="shared" si="132"/>
        <v>#N/A</v>
      </c>
      <c r="AX72" s="658"/>
    </row>
    <row r="73" spans="2:50">
      <c r="B73" s="627"/>
      <c r="C73" s="317">
        <v>7</v>
      </c>
      <c r="D73" s="228"/>
      <c r="E73" s="183"/>
      <c r="F73" s="470"/>
      <c r="G73" s="471"/>
      <c r="H73" s="662"/>
      <c r="I73" s="200"/>
      <c r="J73" s="200"/>
      <c r="K73" s="201"/>
      <c r="L73" s="601"/>
      <c r="M73" s="202" t="e">
        <f>RANK(K73, K$67:$K$81)</f>
        <v>#DIV/0!</v>
      </c>
      <c r="N73" s="619"/>
      <c r="O73" s="619"/>
      <c r="P73" s="470"/>
      <c r="Q73" s="471"/>
      <c r="R73" s="471"/>
      <c r="S73" s="349" t="e">
        <f t="shared" si="134"/>
        <v>#N/A</v>
      </c>
      <c r="T73" s="662"/>
      <c r="U73" s="520"/>
      <c r="V73" s="521"/>
      <c r="W73" s="521"/>
      <c r="X73" s="520" t="e">
        <f t="shared" si="122"/>
        <v>#N/A</v>
      </c>
      <c r="Y73" s="662"/>
      <c r="Z73" s="520"/>
      <c r="AA73" s="521"/>
      <c r="AB73" s="521"/>
      <c r="AC73" s="520" t="e">
        <f t="shared" si="124"/>
        <v>#N/A</v>
      </c>
      <c r="AD73" s="662"/>
      <c r="AE73" s="520"/>
      <c r="AF73" s="521"/>
      <c r="AG73" s="521"/>
      <c r="AH73" s="520" t="e">
        <f t="shared" si="126"/>
        <v>#N/A</v>
      </c>
      <c r="AI73" s="662"/>
      <c r="AJ73" s="520"/>
      <c r="AK73" s="521"/>
      <c r="AL73" s="521"/>
      <c r="AM73" s="520" t="e">
        <f t="shared" si="128"/>
        <v>#N/A</v>
      </c>
      <c r="AN73" s="662"/>
      <c r="AO73" s="520"/>
      <c r="AP73" s="521"/>
      <c r="AQ73" s="521"/>
      <c r="AR73" s="520" t="e">
        <f t="shared" si="130"/>
        <v>#N/A</v>
      </c>
      <c r="AS73" s="662"/>
      <c r="AT73" s="520"/>
      <c r="AU73" s="521"/>
      <c r="AV73" s="521"/>
      <c r="AW73" s="520" t="e">
        <f t="shared" si="132"/>
        <v>#N/A</v>
      </c>
      <c r="AX73" s="658"/>
    </row>
    <row r="74" spans="2:50">
      <c r="B74" s="627"/>
      <c r="C74" s="317">
        <v>8</v>
      </c>
      <c r="D74" s="228"/>
      <c r="E74" s="183"/>
      <c r="F74" s="470"/>
      <c r="G74" s="471"/>
      <c r="H74" s="662"/>
      <c r="I74" s="200"/>
      <c r="J74" s="200"/>
      <c r="K74" s="201"/>
      <c r="L74" s="601"/>
      <c r="M74" s="202" t="e">
        <f>RANK(K74, K$67:$K$81)</f>
        <v>#DIV/0!</v>
      </c>
      <c r="N74" s="619"/>
      <c r="O74" s="619"/>
      <c r="P74" s="470"/>
      <c r="Q74" s="471"/>
      <c r="R74" s="471"/>
      <c r="S74" s="349" t="e">
        <f t="shared" si="134"/>
        <v>#N/A</v>
      </c>
      <c r="T74" s="662"/>
      <c r="U74" s="520"/>
      <c r="V74" s="521"/>
      <c r="W74" s="521"/>
      <c r="X74" s="520" t="e">
        <f t="shared" si="122"/>
        <v>#N/A</v>
      </c>
      <c r="Y74" s="662"/>
      <c r="Z74" s="520"/>
      <c r="AA74" s="521"/>
      <c r="AB74" s="521"/>
      <c r="AC74" s="520" t="e">
        <f t="shared" si="124"/>
        <v>#N/A</v>
      </c>
      <c r="AD74" s="662"/>
      <c r="AE74" s="520"/>
      <c r="AF74" s="521"/>
      <c r="AG74" s="521"/>
      <c r="AH74" s="520" t="e">
        <f t="shared" si="126"/>
        <v>#N/A</v>
      </c>
      <c r="AI74" s="662"/>
      <c r="AJ74" s="520"/>
      <c r="AK74" s="521"/>
      <c r="AL74" s="521"/>
      <c r="AM74" s="520" t="e">
        <f t="shared" si="128"/>
        <v>#N/A</v>
      </c>
      <c r="AN74" s="662"/>
      <c r="AO74" s="520"/>
      <c r="AP74" s="521"/>
      <c r="AQ74" s="521"/>
      <c r="AR74" s="520" t="e">
        <f t="shared" si="130"/>
        <v>#N/A</v>
      </c>
      <c r="AS74" s="662"/>
      <c r="AT74" s="520"/>
      <c r="AU74" s="521"/>
      <c r="AV74" s="521"/>
      <c r="AW74" s="520" t="e">
        <f t="shared" si="132"/>
        <v>#N/A</v>
      </c>
      <c r="AX74" s="658"/>
    </row>
    <row r="75" spans="2:50">
      <c r="B75" s="627"/>
      <c r="C75" s="317">
        <v>9</v>
      </c>
      <c r="D75" s="228"/>
      <c r="E75" s="183"/>
      <c r="F75" s="470"/>
      <c r="G75" s="471"/>
      <c r="H75" s="662"/>
      <c r="I75" s="200"/>
      <c r="J75" s="200"/>
      <c r="K75" s="201"/>
      <c r="L75" s="601"/>
      <c r="M75" s="202" t="e">
        <f>RANK(K75, K$67:$K$81)</f>
        <v>#DIV/0!</v>
      </c>
      <c r="N75" s="619"/>
      <c r="O75" s="619"/>
      <c r="P75" s="470"/>
      <c r="Q75" s="471"/>
      <c r="R75" s="471"/>
      <c r="S75" s="349" t="e">
        <f t="shared" si="134"/>
        <v>#N/A</v>
      </c>
      <c r="T75" s="662"/>
      <c r="U75" s="520"/>
      <c r="V75" s="521"/>
      <c r="W75" s="521"/>
      <c r="X75" s="520" t="e">
        <f t="shared" si="122"/>
        <v>#N/A</v>
      </c>
      <c r="Y75" s="662"/>
      <c r="Z75" s="520"/>
      <c r="AA75" s="521"/>
      <c r="AB75" s="521"/>
      <c r="AC75" s="520" t="e">
        <f t="shared" si="124"/>
        <v>#N/A</v>
      </c>
      <c r="AD75" s="662"/>
      <c r="AE75" s="520"/>
      <c r="AF75" s="521"/>
      <c r="AG75" s="521"/>
      <c r="AH75" s="520" t="e">
        <f t="shared" si="126"/>
        <v>#N/A</v>
      </c>
      <c r="AI75" s="662"/>
      <c r="AJ75" s="520"/>
      <c r="AK75" s="521"/>
      <c r="AL75" s="521"/>
      <c r="AM75" s="520" t="e">
        <f t="shared" si="128"/>
        <v>#N/A</v>
      </c>
      <c r="AN75" s="662"/>
      <c r="AO75" s="520"/>
      <c r="AP75" s="521"/>
      <c r="AQ75" s="521"/>
      <c r="AR75" s="520" t="e">
        <f t="shared" si="130"/>
        <v>#N/A</v>
      </c>
      <c r="AS75" s="662"/>
      <c r="AT75" s="520"/>
      <c r="AU75" s="521"/>
      <c r="AV75" s="521"/>
      <c r="AW75" s="520" t="e">
        <f t="shared" si="132"/>
        <v>#N/A</v>
      </c>
      <c r="AX75" s="658"/>
    </row>
    <row r="76" spans="2:50">
      <c r="B76" s="627"/>
      <c r="C76" s="317">
        <v>10</v>
      </c>
      <c r="D76" s="228"/>
      <c r="E76" s="183"/>
      <c r="F76" s="470"/>
      <c r="G76" s="471"/>
      <c r="H76" s="662"/>
      <c r="I76" s="200"/>
      <c r="J76" s="200"/>
      <c r="K76" s="201"/>
      <c r="L76" s="601"/>
      <c r="M76" s="202" t="e">
        <f>RANK(K76, K$67:$K$81)</f>
        <v>#DIV/0!</v>
      </c>
      <c r="N76" s="619"/>
      <c r="O76" s="619"/>
      <c r="P76" s="470"/>
      <c r="Q76" s="470"/>
      <c r="R76" s="471"/>
      <c r="S76" s="349" t="e">
        <f t="shared" si="134"/>
        <v>#N/A</v>
      </c>
      <c r="T76" s="662"/>
      <c r="U76" s="520"/>
      <c r="V76" s="520"/>
      <c r="W76" s="521"/>
      <c r="X76" s="520" t="e">
        <f t="shared" si="122"/>
        <v>#N/A</v>
      </c>
      <c r="Y76" s="662"/>
      <c r="Z76" s="520"/>
      <c r="AA76" s="520"/>
      <c r="AB76" s="521"/>
      <c r="AC76" s="520" t="e">
        <f t="shared" si="124"/>
        <v>#N/A</v>
      </c>
      <c r="AD76" s="662"/>
      <c r="AE76" s="520"/>
      <c r="AF76" s="520"/>
      <c r="AG76" s="521"/>
      <c r="AH76" s="520" t="e">
        <f t="shared" si="126"/>
        <v>#N/A</v>
      </c>
      <c r="AI76" s="662"/>
      <c r="AJ76" s="520"/>
      <c r="AK76" s="520"/>
      <c r="AL76" s="521"/>
      <c r="AM76" s="520" t="e">
        <f t="shared" si="128"/>
        <v>#N/A</v>
      </c>
      <c r="AN76" s="662"/>
      <c r="AO76" s="520"/>
      <c r="AP76" s="520"/>
      <c r="AQ76" s="521"/>
      <c r="AR76" s="520" t="e">
        <f t="shared" si="130"/>
        <v>#N/A</v>
      </c>
      <c r="AS76" s="662"/>
      <c r="AT76" s="520"/>
      <c r="AU76" s="520"/>
      <c r="AV76" s="521"/>
      <c r="AW76" s="520" t="e">
        <f t="shared" si="132"/>
        <v>#N/A</v>
      </c>
      <c r="AX76" s="658"/>
    </row>
    <row r="77" spans="2:50">
      <c r="B77" s="627"/>
      <c r="C77" s="317">
        <v>11</v>
      </c>
      <c r="D77" s="228"/>
      <c r="E77" s="183"/>
      <c r="F77" s="470"/>
      <c r="G77" s="471"/>
      <c r="H77" s="662"/>
      <c r="I77" s="203"/>
      <c r="J77" s="203"/>
      <c r="K77" s="203"/>
      <c r="L77" s="601"/>
      <c r="M77" s="202" t="e">
        <f>RANK(K77, K$67:$K$81)</f>
        <v>#DIV/0!</v>
      </c>
      <c r="N77" s="619"/>
      <c r="O77" s="619"/>
      <c r="P77" s="470"/>
      <c r="Q77" s="470"/>
      <c r="R77" s="470"/>
      <c r="S77" s="349" t="e">
        <f t="shared" si="134"/>
        <v>#N/A</v>
      </c>
      <c r="T77" s="662"/>
      <c r="U77" s="520"/>
      <c r="V77" s="520"/>
      <c r="W77" s="520"/>
      <c r="X77" s="520" t="e">
        <f t="shared" si="122"/>
        <v>#N/A</v>
      </c>
      <c r="Y77" s="662"/>
      <c r="Z77" s="520"/>
      <c r="AA77" s="520"/>
      <c r="AB77" s="520"/>
      <c r="AC77" s="520" t="e">
        <f t="shared" si="124"/>
        <v>#N/A</v>
      </c>
      <c r="AD77" s="662"/>
      <c r="AE77" s="520"/>
      <c r="AF77" s="520"/>
      <c r="AG77" s="520"/>
      <c r="AH77" s="520" t="e">
        <f t="shared" si="126"/>
        <v>#N/A</v>
      </c>
      <c r="AI77" s="662"/>
      <c r="AJ77" s="520"/>
      <c r="AK77" s="520"/>
      <c r="AL77" s="520"/>
      <c r="AM77" s="520" t="e">
        <f t="shared" si="128"/>
        <v>#N/A</v>
      </c>
      <c r="AN77" s="662"/>
      <c r="AO77" s="520"/>
      <c r="AP77" s="520"/>
      <c r="AQ77" s="520"/>
      <c r="AR77" s="520" t="e">
        <f t="shared" si="130"/>
        <v>#N/A</v>
      </c>
      <c r="AS77" s="662"/>
      <c r="AT77" s="520"/>
      <c r="AU77" s="520"/>
      <c r="AV77" s="520"/>
      <c r="AW77" s="520" t="e">
        <f t="shared" si="132"/>
        <v>#N/A</v>
      </c>
      <c r="AX77" s="658"/>
    </row>
    <row r="78" spans="2:50">
      <c r="B78" s="627"/>
      <c r="C78" s="317">
        <v>12</v>
      </c>
      <c r="D78" s="228"/>
      <c r="E78" s="183"/>
      <c r="F78" s="470"/>
      <c r="G78" s="471"/>
      <c r="H78" s="662"/>
      <c r="I78" s="203"/>
      <c r="J78" s="203"/>
      <c r="K78" s="203"/>
      <c r="L78" s="601"/>
      <c r="M78" s="202" t="e">
        <f>RANK(K78, K$67:$K$81)</f>
        <v>#DIV/0!</v>
      </c>
      <c r="N78" s="619"/>
      <c r="O78" s="619"/>
      <c r="P78" s="470"/>
      <c r="Q78" s="470"/>
      <c r="R78" s="470"/>
      <c r="S78" s="349" t="e">
        <f t="shared" si="134"/>
        <v>#N/A</v>
      </c>
      <c r="T78" s="662"/>
      <c r="U78" s="520"/>
      <c r="V78" s="520"/>
      <c r="W78" s="520"/>
      <c r="X78" s="520" t="e">
        <f t="shared" si="122"/>
        <v>#N/A</v>
      </c>
      <c r="Y78" s="662"/>
      <c r="Z78" s="520"/>
      <c r="AA78" s="520"/>
      <c r="AB78" s="520"/>
      <c r="AC78" s="520" t="e">
        <f t="shared" si="124"/>
        <v>#N/A</v>
      </c>
      <c r="AD78" s="662"/>
      <c r="AE78" s="520"/>
      <c r="AF78" s="520"/>
      <c r="AG78" s="520"/>
      <c r="AH78" s="520" t="e">
        <f t="shared" si="126"/>
        <v>#N/A</v>
      </c>
      <c r="AI78" s="662"/>
      <c r="AJ78" s="520"/>
      <c r="AK78" s="520"/>
      <c r="AL78" s="520"/>
      <c r="AM78" s="520" t="e">
        <f t="shared" si="128"/>
        <v>#N/A</v>
      </c>
      <c r="AN78" s="662"/>
      <c r="AO78" s="520"/>
      <c r="AP78" s="520"/>
      <c r="AQ78" s="520"/>
      <c r="AR78" s="520" t="e">
        <f t="shared" si="130"/>
        <v>#N/A</v>
      </c>
      <c r="AS78" s="662"/>
      <c r="AT78" s="520"/>
      <c r="AU78" s="520"/>
      <c r="AV78" s="520"/>
      <c r="AW78" s="520" t="e">
        <f t="shared" si="132"/>
        <v>#N/A</v>
      </c>
      <c r="AX78" s="658"/>
    </row>
    <row r="79" spans="2:50">
      <c r="B79" s="627"/>
      <c r="C79" s="317">
        <v>13</v>
      </c>
      <c r="D79" s="228"/>
      <c r="E79" s="183"/>
      <c r="F79" s="470"/>
      <c r="G79" s="471"/>
      <c r="H79" s="662"/>
      <c r="I79" s="203"/>
      <c r="J79" s="203"/>
      <c r="K79" s="203"/>
      <c r="L79" s="601"/>
      <c r="M79" s="202" t="e">
        <f>RANK(K79, K$67:$K$81)</f>
        <v>#DIV/0!</v>
      </c>
      <c r="N79" s="619"/>
      <c r="O79" s="619"/>
      <c r="P79" s="470"/>
      <c r="Q79" s="470"/>
      <c r="R79" s="470"/>
      <c r="S79" s="349" t="e">
        <f t="shared" si="134"/>
        <v>#N/A</v>
      </c>
      <c r="T79" s="662"/>
      <c r="U79" s="520"/>
      <c r="V79" s="520"/>
      <c r="W79" s="520"/>
      <c r="X79" s="520" t="e">
        <f t="shared" si="122"/>
        <v>#N/A</v>
      </c>
      <c r="Y79" s="662"/>
      <c r="Z79" s="520"/>
      <c r="AA79" s="520"/>
      <c r="AB79" s="520"/>
      <c r="AC79" s="520" t="e">
        <f t="shared" si="124"/>
        <v>#N/A</v>
      </c>
      <c r="AD79" s="662"/>
      <c r="AE79" s="520"/>
      <c r="AF79" s="520"/>
      <c r="AG79" s="520"/>
      <c r="AH79" s="520" t="e">
        <f t="shared" si="126"/>
        <v>#N/A</v>
      </c>
      <c r="AI79" s="662"/>
      <c r="AJ79" s="520"/>
      <c r="AK79" s="520"/>
      <c r="AL79" s="520"/>
      <c r="AM79" s="520" t="e">
        <f t="shared" si="128"/>
        <v>#N/A</v>
      </c>
      <c r="AN79" s="662"/>
      <c r="AO79" s="520"/>
      <c r="AP79" s="520"/>
      <c r="AQ79" s="520"/>
      <c r="AR79" s="520" t="e">
        <f t="shared" si="130"/>
        <v>#N/A</v>
      </c>
      <c r="AS79" s="662"/>
      <c r="AT79" s="520"/>
      <c r="AU79" s="520"/>
      <c r="AV79" s="520"/>
      <c r="AW79" s="520" t="e">
        <f t="shared" si="132"/>
        <v>#N/A</v>
      </c>
      <c r="AX79" s="658"/>
    </row>
    <row r="80" spans="2:50">
      <c r="B80" s="627"/>
      <c r="C80" s="317">
        <v>14</v>
      </c>
      <c r="D80" s="228"/>
      <c r="E80" s="183"/>
      <c r="F80" s="470"/>
      <c r="G80" s="471"/>
      <c r="H80" s="662"/>
      <c r="I80" s="203"/>
      <c r="J80" s="203"/>
      <c r="K80" s="203"/>
      <c r="L80" s="601"/>
      <c r="M80" s="202" t="e">
        <f>RANK(K80, K$67:$K$81)</f>
        <v>#DIV/0!</v>
      </c>
      <c r="N80" s="619"/>
      <c r="O80" s="619"/>
      <c r="P80" s="470"/>
      <c r="Q80" s="470"/>
      <c r="R80" s="470"/>
      <c r="S80" s="349" t="e">
        <f t="shared" si="134"/>
        <v>#N/A</v>
      </c>
      <c r="T80" s="662"/>
      <c r="U80" s="520"/>
      <c r="V80" s="520"/>
      <c r="W80" s="520"/>
      <c r="X80" s="520" t="e">
        <f t="shared" si="122"/>
        <v>#N/A</v>
      </c>
      <c r="Y80" s="662"/>
      <c r="Z80" s="520"/>
      <c r="AA80" s="520"/>
      <c r="AB80" s="520"/>
      <c r="AC80" s="520" t="e">
        <f t="shared" si="124"/>
        <v>#N/A</v>
      </c>
      <c r="AD80" s="662"/>
      <c r="AE80" s="520"/>
      <c r="AF80" s="520"/>
      <c r="AG80" s="520"/>
      <c r="AH80" s="520" t="e">
        <f t="shared" si="126"/>
        <v>#N/A</v>
      </c>
      <c r="AI80" s="662"/>
      <c r="AJ80" s="520"/>
      <c r="AK80" s="520"/>
      <c r="AL80" s="520"/>
      <c r="AM80" s="520" t="e">
        <f t="shared" si="128"/>
        <v>#N/A</v>
      </c>
      <c r="AN80" s="662"/>
      <c r="AO80" s="520"/>
      <c r="AP80" s="520"/>
      <c r="AQ80" s="520"/>
      <c r="AR80" s="520" t="e">
        <f t="shared" si="130"/>
        <v>#N/A</v>
      </c>
      <c r="AS80" s="662"/>
      <c r="AT80" s="520"/>
      <c r="AU80" s="520"/>
      <c r="AV80" s="520"/>
      <c r="AW80" s="520" t="e">
        <f t="shared" si="132"/>
        <v>#N/A</v>
      </c>
      <c r="AX80" s="658"/>
    </row>
    <row r="81" spans="2:50">
      <c r="B81" s="627"/>
      <c r="C81" s="317">
        <v>15</v>
      </c>
      <c r="D81" s="228"/>
      <c r="E81" s="183"/>
      <c r="F81" s="470"/>
      <c r="G81" s="471"/>
      <c r="H81" s="663"/>
      <c r="I81" s="203"/>
      <c r="J81" s="203"/>
      <c r="K81" s="203"/>
      <c r="L81" s="602"/>
      <c r="M81" s="202" t="e">
        <f>RANK(K81, K$67:$K$81)</f>
        <v>#DIV/0!</v>
      </c>
      <c r="N81" s="619"/>
      <c r="O81" s="619"/>
      <c r="P81" s="470"/>
      <c r="Q81" s="470"/>
      <c r="R81" s="470"/>
      <c r="S81" s="349" t="e">
        <f t="shared" si="134"/>
        <v>#N/A</v>
      </c>
      <c r="T81" s="663"/>
      <c r="U81" s="520"/>
      <c r="V81" s="520"/>
      <c r="W81" s="520"/>
      <c r="X81" s="520" t="e">
        <f t="shared" si="122"/>
        <v>#N/A</v>
      </c>
      <c r="Y81" s="663"/>
      <c r="Z81" s="520"/>
      <c r="AA81" s="520"/>
      <c r="AB81" s="520"/>
      <c r="AC81" s="520" t="e">
        <f t="shared" si="124"/>
        <v>#N/A</v>
      </c>
      <c r="AD81" s="663"/>
      <c r="AE81" s="520"/>
      <c r="AF81" s="520"/>
      <c r="AG81" s="520"/>
      <c r="AH81" s="520" t="e">
        <f t="shared" si="126"/>
        <v>#N/A</v>
      </c>
      <c r="AI81" s="663"/>
      <c r="AJ81" s="520"/>
      <c r="AK81" s="520"/>
      <c r="AL81" s="520"/>
      <c r="AM81" s="520" t="e">
        <f t="shared" si="128"/>
        <v>#N/A</v>
      </c>
      <c r="AN81" s="663"/>
      <c r="AO81" s="520"/>
      <c r="AP81" s="520"/>
      <c r="AQ81" s="520"/>
      <c r="AR81" s="520" t="e">
        <f t="shared" si="130"/>
        <v>#N/A</v>
      </c>
      <c r="AS81" s="663"/>
      <c r="AT81" s="520"/>
      <c r="AU81" s="520"/>
      <c r="AV81" s="520"/>
      <c r="AW81" s="520" t="e">
        <f t="shared" si="132"/>
        <v>#N/A</v>
      </c>
      <c r="AX81" s="658"/>
    </row>
    <row r="82" spans="2:50" ht="15.5">
      <c r="B82" s="631" t="s">
        <v>163</v>
      </c>
      <c r="C82" s="632"/>
      <c r="D82" s="632"/>
      <c r="E82" s="632"/>
      <c r="F82" s="632"/>
      <c r="G82" s="632"/>
      <c r="H82" s="633"/>
      <c r="I82" s="209"/>
      <c r="J82" s="209"/>
      <c r="K82" s="209"/>
      <c r="L82" s="209"/>
      <c r="M82" s="208"/>
      <c r="N82" s="620" t="s">
        <v>156</v>
      </c>
      <c r="O82" s="620" t="s">
        <v>105</v>
      </c>
      <c r="P82" s="626">
        <f>P62+7</f>
        <v>46014</v>
      </c>
      <c r="Q82" s="627"/>
      <c r="R82" s="627"/>
      <c r="S82" s="627"/>
      <c r="T82" s="627"/>
      <c r="U82" s="623">
        <f>P82+1</f>
        <v>46015</v>
      </c>
      <c r="V82" s="624"/>
      <c r="W82" s="624"/>
      <c r="X82" s="624"/>
      <c r="Y82" s="625"/>
      <c r="Z82" s="623">
        <f>U82+1</f>
        <v>46016</v>
      </c>
      <c r="AA82" s="624"/>
      <c r="AB82" s="624"/>
      <c r="AC82" s="624"/>
      <c r="AD82" s="625"/>
      <c r="AE82" s="623">
        <f>Z82+1</f>
        <v>46017</v>
      </c>
      <c r="AF82" s="624"/>
      <c r="AG82" s="624"/>
      <c r="AH82" s="624"/>
      <c r="AI82" s="625"/>
      <c r="AJ82" s="623">
        <f>AE82+1</f>
        <v>46018</v>
      </c>
      <c r="AK82" s="624"/>
      <c r="AL82" s="624"/>
      <c r="AM82" s="624"/>
      <c r="AN82" s="625"/>
      <c r="AO82" s="623">
        <f>AJ82+1</f>
        <v>46019</v>
      </c>
      <c r="AP82" s="624"/>
      <c r="AQ82" s="624"/>
      <c r="AR82" s="624"/>
      <c r="AS82" s="625"/>
      <c r="AT82" s="623">
        <f>AO82+1</f>
        <v>46020</v>
      </c>
      <c r="AU82" s="624"/>
      <c r="AV82" s="624"/>
      <c r="AW82" s="624"/>
      <c r="AX82" s="625"/>
    </row>
    <row r="83" spans="2:50" ht="15.5">
      <c r="B83" s="634"/>
      <c r="C83" s="634"/>
      <c r="D83" s="634"/>
      <c r="E83" s="634"/>
      <c r="F83" s="634"/>
      <c r="G83" s="634"/>
      <c r="H83" s="634"/>
      <c r="I83" s="206"/>
      <c r="J83" s="206"/>
      <c r="K83" s="206"/>
      <c r="L83" s="206"/>
      <c r="M83" s="207"/>
      <c r="N83" s="622"/>
      <c r="O83" s="622"/>
      <c r="P83" s="626" t="s">
        <v>336</v>
      </c>
      <c r="Q83" s="627"/>
      <c r="R83" s="627"/>
      <c r="S83" s="627"/>
      <c r="T83" s="627"/>
      <c r="U83" s="626" t="s">
        <v>337</v>
      </c>
      <c r="V83" s="627"/>
      <c r="W83" s="627"/>
      <c r="X83" s="627"/>
      <c r="Y83" s="627"/>
      <c r="Z83" s="626" t="s">
        <v>338</v>
      </c>
      <c r="AA83" s="627"/>
      <c r="AB83" s="627"/>
      <c r="AC83" s="627"/>
      <c r="AD83" s="627"/>
      <c r="AE83" s="626" t="s">
        <v>339</v>
      </c>
      <c r="AF83" s="627"/>
      <c r="AG83" s="627"/>
      <c r="AH83" s="627"/>
      <c r="AI83" s="627"/>
      <c r="AJ83" s="626" t="s">
        <v>340</v>
      </c>
      <c r="AK83" s="627"/>
      <c r="AL83" s="627"/>
      <c r="AM83" s="627"/>
      <c r="AN83" s="627"/>
      <c r="AO83" s="626" t="s">
        <v>341</v>
      </c>
      <c r="AP83" s="627"/>
      <c r="AQ83" s="627"/>
      <c r="AR83" s="627"/>
      <c r="AS83" s="627"/>
      <c r="AT83" s="626" t="s">
        <v>342</v>
      </c>
      <c r="AU83" s="627"/>
      <c r="AV83" s="627"/>
      <c r="AW83" s="627"/>
      <c r="AX83" s="627"/>
    </row>
    <row r="84" spans="2:50">
      <c r="B84" s="619" t="s">
        <v>502</v>
      </c>
      <c r="C84" s="619" t="s">
        <v>503</v>
      </c>
      <c r="D84" s="619"/>
      <c r="E84" s="619" t="s">
        <v>504</v>
      </c>
      <c r="F84" s="619"/>
      <c r="G84" s="619"/>
      <c r="H84" s="635" t="s">
        <v>505</v>
      </c>
      <c r="I84" s="603" t="s">
        <v>506</v>
      </c>
      <c r="J84" s="603"/>
      <c r="K84" s="603"/>
      <c r="L84" s="604" t="s">
        <v>505</v>
      </c>
      <c r="M84" s="610" t="s">
        <v>507</v>
      </c>
      <c r="N84" s="619"/>
      <c r="O84" s="619" t="s">
        <v>508</v>
      </c>
      <c r="P84" s="616" t="s">
        <v>509</v>
      </c>
      <c r="Q84" s="617"/>
      <c r="R84" s="617"/>
      <c r="S84" s="618"/>
      <c r="T84" s="619" t="s">
        <v>505</v>
      </c>
      <c r="U84" s="616" t="s">
        <v>509</v>
      </c>
      <c r="V84" s="617"/>
      <c r="W84" s="617"/>
      <c r="X84" s="618"/>
      <c r="Y84" s="619" t="s">
        <v>505</v>
      </c>
      <c r="Z84" s="616" t="s">
        <v>509</v>
      </c>
      <c r="AA84" s="617"/>
      <c r="AB84" s="617"/>
      <c r="AC84" s="618"/>
      <c r="AD84" s="619" t="s">
        <v>505</v>
      </c>
      <c r="AE84" s="616" t="s">
        <v>509</v>
      </c>
      <c r="AF84" s="617"/>
      <c r="AG84" s="617"/>
      <c r="AH84" s="618"/>
      <c r="AI84" s="619" t="s">
        <v>505</v>
      </c>
      <c r="AJ84" s="616" t="s">
        <v>509</v>
      </c>
      <c r="AK84" s="617"/>
      <c r="AL84" s="617"/>
      <c r="AM84" s="618"/>
      <c r="AN84" s="619" t="s">
        <v>505</v>
      </c>
      <c r="AO84" s="616" t="s">
        <v>509</v>
      </c>
      <c r="AP84" s="617"/>
      <c r="AQ84" s="617"/>
      <c r="AR84" s="618"/>
      <c r="AS84" s="619" t="s">
        <v>505</v>
      </c>
      <c r="AT84" s="616" t="s">
        <v>509</v>
      </c>
      <c r="AU84" s="617"/>
      <c r="AV84" s="617"/>
      <c r="AW84" s="618"/>
      <c r="AX84" s="619" t="s">
        <v>505</v>
      </c>
    </row>
    <row r="85" spans="2:50">
      <c r="B85" s="619"/>
      <c r="C85" s="619"/>
      <c r="D85" s="619"/>
      <c r="E85" s="619" t="s">
        <v>510</v>
      </c>
      <c r="F85" s="619"/>
      <c r="G85" s="619"/>
      <c r="H85" s="636"/>
      <c r="I85" s="603" t="s">
        <v>510</v>
      </c>
      <c r="J85" s="603"/>
      <c r="K85" s="603"/>
      <c r="L85" s="605"/>
      <c r="M85" s="611"/>
      <c r="N85" s="619"/>
      <c r="O85" s="619"/>
      <c r="P85" s="616" t="s">
        <v>511</v>
      </c>
      <c r="Q85" s="617"/>
      <c r="R85" s="617"/>
      <c r="S85" s="618"/>
      <c r="T85" s="619"/>
      <c r="U85" s="616" t="s">
        <v>511</v>
      </c>
      <c r="V85" s="617"/>
      <c r="W85" s="617"/>
      <c r="X85" s="618"/>
      <c r="Y85" s="619"/>
      <c r="Z85" s="616" t="s">
        <v>511</v>
      </c>
      <c r="AA85" s="617"/>
      <c r="AB85" s="617"/>
      <c r="AC85" s="618"/>
      <c r="AD85" s="619"/>
      <c r="AE85" s="616" t="s">
        <v>511</v>
      </c>
      <c r="AF85" s="617"/>
      <c r="AG85" s="617"/>
      <c r="AH85" s="618"/>
      <c r="AI85" s="619"/>
      <c r="AJ85" s="616" t="s">
        <v>511</v>
      </c>
      <c r="AK85" s="617"/>
      <c r="AL85" s="617"/>
      <c r="AM85" s="618"/>
      <c r="AN85" s="619"/>
      <c r="AO85" s="616" t="s">
        <v>511</v>
      </c>
      <c r="AP85" s="617"/>
      <c r="AQ85" s="617"/>
      <c r="AR85" s="618"/>
      <c r="AS85" s="619"/>
      <c r="AT85" s="616" t="s">
        <v>511</v>
      </c>
      <c r="AU85" s="617"/>
      <c r="AV85" s="617"/>
      <c r="AW85" s="618"/>
      <c r="AX85" s="619"/>
    </row>
    <row r="86" spans="2:50">
      <c r="B86" s="619"/>
      <c r="C86" s="619"/>
      <c r="D86" s="619"/>
      <c r="E86" s="310" t="s">
        <v>512</v>
      </c>
      <c r="F86" s="310" t="s">
        <v>513</v>
      </c>
      <c r="G86" s="310" t="s">
        <v>514</v>
      </c>
      <c r="H86" s="637"/>
      <c r="I86" s="312" t="s">
        <v>512</v>
      </c>
      <c r="J86" s="312" t="s">
        <v>513</v>
      </c>
      <c r="K86" s="312" t="s">
        <v>514</v>
      </c>
      <c r="L86" s="606"/>
      <c r="M86" s="612"/>
      <c r="N86" s="619"/>
      <c r="O86" s="619"/>
      <c r="P86" s="310" t="s">
        <v>512</v>
      </c>
      <c r="Q86" s="310" t="s">
        <v>513</v>
      </c>
      <c r="R86" s="310" t="s">
        <v>514</v>
      </c>
      <c r="S86" s="310" t="s">
        <v>507</v>
      </c>
      <c r="T86" s="619"/>
      <c r="U86" s="310" t="s">
        <v>512</v>
      </c>
      <c r="V86" s="310" t="s">
        <v>513</v>
      </c>
      <c r="W86" s="310" t="s">
        <v>514</v>
      </c>
      <c r="X86" s="310" t="s">
        <v>507</v>
      </c>
      <c r="Y86" s="619"/>
      <c r="Z86" s="310" t="s">
        <v>512</v>
      </c>
      <c r="AA86" s="310" t="s">
        <v>513</v>
      </c>
      <c r="AB86" s="310" t="s">
        <v>514</v>
      </c>
      <c r="AC86" s="310" t="s">
        <v>507</v>
      </c>
      <c r="AD86" s="619"/>
      <c r="AE86" s="310" t="s">
        <v>512</v>
      </c>
      <c r="AF86" s="310" t="s">
        <v>513</v>
      </c>
      <c r="AG86" s="310" t="s">
        <v>514</v>
      </c>
      <c r="AH86" s="310" t="s">
        <v>507</v>
      </c>
      <c r="AI86" s="619"/>
      <c r="AJ86" s="310" t="s">
        <v>512</v>
      </c>
      <c r="AK86" s="310" t="s">
        <v>513</v>
      </c>
      <c r="AL86" s="310" t="s">
        <v>514</v>
      </c>
      <c r="AM86" s="310" t="s">
        <v>507</v>
      </c>
      <c r="AN86" s="619"/>
      <c r="AO86" s="310" t="s">
        <v>512</v>
      </c>
      <c r="AP86" s="310" t="s">
        <v>513</v>
      </c>
      <c r="AQ86" s="310" t="s">
        <v>514</v>
      </c>
      <c r="AR86" s="310" t="s">
        <v>507</v>
      </c>
      <c r="AS86" s="619"/>
      <c r="AT86" s="310" t="s">
        <v>512</v>
      </c>
      <c r="AU86" s="310" t="s">
        <v>513</v>
      </c>
      <c r="AV86" s="310" t="s">
        <v>514</v>
      </c>
      <c r="AW86" s="310" t="s">
        <v>507</v>
      </c>
      <c r="AX86" s="619"/>
    </row>
    <row r="87" spans="2:50">
      <c r="B87" s="619" t="s">
        <v>529</v>
      </c>
      <c r="C87" s="309">
        <v>1</v>
      </c>
      <c r="D87" s="228"/>
      <c r="E87" s="183"/>
      <c r="F87" s="470"/>
      <c r="G87" s="471"/>
      <c r="H87" s="661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00" t="str">
        <f>IFERROR(AVERAGE(K87:K101),"-")</f>
        <v>-</v>
      </c>
      <c r="M87" s="202" t="e">
        <f>RANK(K87, K$87:$K$101)</f>
        <v>#DIV/0!</v>
      </c>
      <c r="N87" s="619"/>
      <c r="O87" s="619"/>
      <c r="P87" s="183"/>
      <c r="Q87" s="471"/>
      <c r="R87" s="471"/>
      <c r="S87" s="309" t="e">
        <f>RANK(R87, R$87:R$101)</f>
        <v>#N/A</v>
      </c>
      <c r="T87" s="661" t="e">
        <f>AVERAGE(R87:R101)</f>
        <v>#DIV/0!</v>
      </c>
      <c r="U87" s="183"/>
      <c r="V87" s="521"/>
      <c r="W87" s="521"/>
      <c r="X87" s="520" t="e">
        <f t="shared" ref="X87:X101" si="138">RANK(W87, W$87:W$101)</f>
        <v>#N/A</v>
      </c>
      <c r="Y87" s="661" t="e">
        <f t="shared" ref="Y87" si="139">AVERAGE(W87:W101)</f>
        <v>#DIV/0!</v>
      </c>
      <c r="Z87" s="183"/>
      <c r="AA87" s="521"/>
      <c r="AB87" s="521"/>
      <c r="AC87" s="520" t="e">
        <f t="shared" ref="AC87:AC101" si="140">RANK(AB87, AB$87:AB$101)</f>
        <v>#N/A</v>
      </c>
      <c r="AD87" s="661" t="e">
        <f t="shared" ref="AD87" si="141">AVERAGE(AB87:AB101)</f>
        <v>#DIV/0!</v>
      </c>
      <c r="AE87" s="183"/>
      <c r="AF87" s="521"/>
      <c r="AG87" s="521"/>
      <c r="AH87" s="520" t="e">
        <f t="shared" ref="AH87:AH101" si="142">RANK(AG87, AG$87:AG$101)</f>
        <v>#N/A</v>
      </c>
      <c r="AI87" s="661" t="e">
        <f t="shared" ref="AI87" si="143">AVERAGE(AG87:AG101)</f>
        <v>#DIV/0!</v>
      </c>
      <c r="AJ87" s="183"/>
      <c r="AK87" s="521"/>
      <c r="AL87" s="521"/>
      <c r="AM87" s="520" t="e">
        <f t="shared" ref="AM87:AM101" si="144">RANK(AL87, AL$87:AL$101)</f>
        <v>#N/A</v>
      </c>
      <c r="AN87" s="661" t="e">
        <f t="shared" ref="AN87" si="145">AVERAGE(AL87:AL101)</f>
        <v>#DIV/0!</v>
      </c>
      <c r="AO87" s="183"/>
      <c r="AP87" s="521"/>
      <c r="AQ87" s="521"/>
      <c r="AR87" s="520" t="e">
        <f t="shared" ref="AR87:AR101" si="146">RANK(AQ87, AQ$87:AQ$101)</f>
        <v>#N/A</v>
      </c>
      <c r="AS87" s="661" t="e">
        <f t="shared" ref="AS87" si="147">AVERAGE(AQ87:AQ101)</f>
        <v>#DIV/0!</v>
      </c>
      <c r="AT87" s="183"/>
      <c r="AU87" s="521"/>
      <c r="AV87" s="521"/>
      <c r="AW87" s="520" t="e">
        <f t="shared" ref="AW87:AW101" si="148">RANK(AV87, AV$87:AV$101)</f>
        <v>#N/A</v>
      </c>
      <c r="AX87" s="658" t="e">
        <f t="shared" ref="AX87" si="149">AVERAGE(AV87:AV101)</f>
        <v>#DIV/0!</v>
      </c>
    </row>
    <row r="88" spans="2:50">
      <c r="B88" s="627"/>
      <c r="C88" s="309">
        <v>2</v>
      </c>
      <c r="D88" s="228"/>
      <c r="E88" s="183"/>
      <c r="F88" s="470"/>
      <c r="G88" s="471"/>
      <c r="H88" s="662"/>
      <c r="I88" s="200" t="e">
        <f t="shared" ref="I88:K91" si="150">AVERAGE(P88,U88,Z88,AE88,AJ88,AO88,AT88)</f>
        <v>#DIV/0!</v>
      </c>
      <c r="J88" s="200" t="e">
        <f t="shared" si="150"/>
        <v>#DIV/0!</v>
      </c>
      <c r="K88" s="201" t="e">
        <f t="shared" si="150"/>
        <v>#DIV/0!</v>
      </c>
      <c r="L88" s="601"/>
      <c r="M88" s="202" t="e">
        <f>RANK(K88, K$87:$K$101)</f>
        <v>#DIV/0!</v>
      </c>
      <c r="N88" s="619"/>
      <c r="O88" s="619"/>
      <c r="P88" s="470"/>
      <c r="Q88" s="471"/>
      <c r="R88" s="471"/>
      <c r="S88" s="309" t="e">
        <f t="shared" ref="S88:S101" si="151">RANK(R88, R$87:R$101)</f>
        <v>#N/A</v>
      </c>
      <c r="T88" s="662"/>
      <c r="U88" s="520"/>
      <c r="V88" s="521"/>
      <c r="W88" s="521"/>
      <c r="X88" s="520" t="e">
        <f t="shared" si="138"/>
        <v>#N/A</v>
      </c>
      <c r="Y88" s="662"/>
      <c r="Z88" s="520"/>
      <c r="AA88" s="521"/>
      <c r="AB88" s="521"/>
      <c r="AC88" s="520" t="e">
        <f t="shared" si="140"/>
        <v>#N/A</v>
      </c>
      <c r="AD88" s="662"/>
      <c r="AE88" s="520"/>
      <c r="AF88" s="521"/>
      <c r="AG88" s="521"/>
      <c r="AH88" s="520" t="e">
        <f t="shared" si="142"/>
        <v>#N/A</v>
      </c>
      <c r="AI88" s="662"/>
      <c r="AJ88" s="520"/>
      <c r="AK88" s="521"/>
      <c r="AL88" s="521"/>
      <c r="AM88" s="520" t="e">
        <f t="shared" si="144"/>
        <v>#N/A</v>
      </c>
      <c r="AN88" s="662"/>
      <c r="AO88" s="520"/>
      <c r="AP88" s="521"/>
      <c r="AQ88" s="521"/>
      <c r="AR88" s="520" t="e">
        <f t="shared" si="146"/>
        <v>#N/A</v>
      </c>
      <c r="AS88" s="662"/>
      <c r="AT88" s="520"/>
      <c r="AU88" s="521"/>
      <c r="AV88" s="521"/>
      <c r="AW88" s="520" t="e">
        <f t="shared" si="148"/>
        <v>#N/A</v>
      </c>
      <c r="AX88" s="658"/>
    </row>
    <row r="89" spans="2:50">
      <c r="B89" s="627"/>
      <c r="C89" s="309">
        <v>3</v>
      </c>
      <c r="D89" s="228"/>
      <c r="E89" s="183"/>
      <c r="F89" s="470"/>
      <c r="G89" s="471"/>
      <c r="H89" s="662"/>
      <c r="I89" s="200" t="e">
        <f t="shared" si="150"/>
        <v>#DIV/0!</v>
      </c>
      <c r="J89" s="200" t="e">
        <f t="shared" si="150"/>
        <v>#DIV/0!</v>
      </c>
      <c r="K89" s="201" t="e">
        <f t="shared" si="150"/>
        <v>#DIV/0!</v>
      </c>
      <c r="L89" s="601"/>
      <c r="M89" s="202" t="e">
        <f>RANK(K89, K$87:$K$101)</f>
        <v>#DIV/0!</v>
      </c>
      <c r="N89" s="619"/>
      <c r="O89" s="619"/>
      <c r="P89" s="470"/>
      <c r="Q89" s="471"/>
      <c r="R89" s="471"/>
      <c r="S89" s="309" t="e">
        <f t="shared" si="151"/>
        <v>#N/A</v>
      </c>
      <c r="T89" s="662"/>
      <c r="U89" s="520"/>
      <c r="V89" s="521"/>
      <c r="W89" s="521"/>
      <c r="X89" s="520" t="e">
        <f t="shared" si="138"/>
        <v>#N/A</v>
      </c>
      <c r="Y89" s="662"/>
      <c r="Z89" s="520"/>
      <c r="AA89" s="521"/>
      <c r="AB89" s="521"/>
      <c r="AC89" s="520" t="e">
        <f t="shared" si="140"/>
        <v>#N/A</v>
      </c>
      <c r="AD89" s="662"/>
      <c r="AE89" s="520"/>
      <c r="AF89" s="521"/>
      <c r="AG89" s="521"/>
      <c r="AH89" s="520" t="e">
        <f t="shared" si="142"/>
        <v>#N/A</v>
      </c>
      <c r="AI89" s="662"/>
      <c r="AJ89" s="520"/>
      <c r="AK89" s="521"/>
      <c r="AL89" s="521"/>
      <c r="AM89" s="520" t="e">
        <f t="shared" si="144"/>
        <v>#N/A</v>
      </c>
      <c r="AN89" s="662"/>
      <c r="AO89" s="520"/>
      <c r="AP89" s="521"/>
      <c r="AQ89" s="521"/>
      <c r="AR89" s="520" t="e">
        <f t="shared" si="146"/>
        <v>#N/A</v>
      </c>
      <c r="AS89" s="662"/>
      <c r="AT89" s="520"/>
      <c r="AU89" s="521"/>
      <c r="AV89" s="521"/>
      <c r="AW89" s="520" t="e">
        <f t="shared" si="148"/>
        <v>#N/A</v>
      </c>
      <c r="AX89" s="658"/>
    </row>
    <row r="90" spans="2:50">
      <c r="B90" s="627"/>
      <c r="C90" s="309">
        <v>4</v>
      </c>
      <c r="D90" s="228"/>
      <c r="E90" s="183"/>
      <c r="F90" s="470"/>
      <c r="G90" s="471"/>
      <c r="H90" s="662"/>
      <c r="I90" s="200" t="e">
        <f t="shared" si="150"/>
        <v>#DIV/0!</v>
      </c>
      <c r="J90" s="200" t="e">
        <f t="shared" si="150"/>
        <v>#DIV/0!</v>
      </c>
      <c r="K90" s="201" t="e">
        <f t="shared" si="150"/>
        <v>#DIV/0!</v>
      </c>
      <c r="L90" s="601"/>
      <c r="M90" s="202" t="e">
        <f>RANK(K90, K$87:$K$101)</f>
        <v>#DIV/0!</v>
      </c>
      <c r="N90" s="619"/>
      <c r="O90" s="619"/>
      <c r="P90" s="470"/>
      <c r="Q90" s="471"/>
      <c r="R90" s="471"/>
      <c r="S90" s="309" t="e">
        <f t="shared" si="151"/>
        <v>#N/A</v>
      </c>
      <c r="T90" s="662"/>
      <c r="U90" s="520"/>
      <c r="V90" s="521"/>
      <c r="W90" s="521"/>
      <c r="X90" s="520" t="e">
        <f t="shared" si="138"/>
        <v>#N/A</v>
      </c>
      <c r="Y90" s="662"/>
      <c r="Z90" s="520"/>
      <c r="AA90" s="521"/>
      <c r="AB90" s="521"/>
      <c r="AC90" s="520" t="e">
        <f t="shared" si="140"/>
        <v>#N/A</v>
      </c>
      <c r="AD90" s="662"/>
      <c r="AE90" s="520"/>
      <c r="AF90" s="521"/>
      <c r="AG90" s="521"/>
      <c r="AH90" s="520" t="e">
        <f t="shared" si="142"/>
        <v>#N/A</v>
      </c>
      <c r="AI90" s="662"/>
      <c r="AJ90" s="520"/>
      <c r="AK90" s="521"/>
      <c r="AL90" s="521"/>
      <c r="AM90" s="520" t="e">
        <f t="shared" si="144"/>
        <v>#N/A</v>
      </c>
      <c r="AN90" s="662"/>
      <c r="AO90" s="520"/>
      <c r="AP90" s="521"/>
      <c r="AQ90" s="521"/>
      <c r="AR90" s="520" t="e">
        <f t="shared" si="146"/>
        <v>#N/A</v>
      </c>
      <c r="AS90" s="662"/>
      <c r="AT90" s="520"/>
      <c r="AU90" s="521"/>
      <c r="AV90" s="521"/>
      <c r="AW90" s="520" t="e">
        <f t="shared" si="148"/>
        <v>#N/A</v>
      </c>
      <c r="AX90" s="658"/>
    </row>
    <row r="91" spans="2:50">
      <c r="B91" s="627"/>
      <c r="C91" s="309">
        <v>5</v>
      </c>
      <c r="D91" s="228"/>
      <c r="E91" s="183"/>
      <c r="F91" s="470"/>
      <c r="G91" s="471"/>
      <c r="H91" s="662"/>
      <c r="I91" s="200" t="e">
        <f t="shared" si="150"/>
        <v>#DIV/0!</v>
      </c>
      <c r="J91" s="200" t="e">
        <f t="shared" si="150"/>
        <v>#DIV/0!</v>
      </c>
      <c r="K91" s="201" t="e">
        <f t="shared" si="150"/>
        <v>#DIV/0!</v>
      </c>
      <c r="L91" s="601"/>
      <c r="M91" s="202" t="e">
        <f>RANK(K91, K$87:$K$101)</f>
        <v>#DIV/0!</v>
      </c>
      <c r="N91" s="619"/>
      <c r="O91" s="619"/>
      <c r="P91" s="470"/>
      <c r="Q91" s="471"/>
      <c r="R91" s="471"/>
      <c r="S91" s="309" t="e">
        <f t="shared" si="151"/>
        <v>#N/A</v>
      </c>
      <c r="T91" s="662"/>
      <c r="U91" s="520"/>
      <c r="V91" s="521"/>
      <c r="W91" s="521"/>
      <c r="X91" s="520" t="e">
        <f t="shared" si="138"/>
        <v>#N/A</v>
      </c>
      <c r="Y91" s="662"/>
      <c r="Z91" s="520"/>
      <c r="AA91" s="521"/>
      <c r="AB91" s="521"/>
      <c r="AC91" s="520" t="e">
        <f t="shared" si="140"/>
        <v>#N/A</v>
      </c>
      <c r="AD91" s="662"/>
      <c r="AE91" s="520"/>
      <c r="AF91" s="521"/>
      <c r="AG91" s="521"/>
      <c r="AH91" s="520" t="e">
        <f t="shared" si="142"/>
        <v>#N/A</v>
      </c>
      <c r="AI91" s="662"/>
      <c r="AJ91" s="520"/>
      <c r="AK91" s="521"/>
      <c r="AL91" s="521"/>
      <c r="AM91" s="520" t="e">
        <f t="shared" si="144"/>
        <v>#N/A</v>
      </c>
      <c r="AN91" s="662"/>
      <c r="AO91" s="520"/>
      <c r="AP91" s="521"/>
      <c r="AQ91" s="521"/>
      <c r="AR91" s="520" t="e">
        <f t="shared" si="146"/>
        <v>#N/A</v>
      </c>
      <c r="AS91" s="662"/>
      <c r="AT91" s="520"/>
      <c r="AU91" s="521"/>
      <c r="AV91" s="521"/>
      <c r="AW91" s="520" t="e">
        <f t="shared" si="148"/>
        <v>#N/A</v>
      </c>
      <c r="AX91" s="658"/>
    </row>
    <row r="92" spans="2:50">
      <c r="B92" s="627"/>
      <c r="C92" s="309">
        <v>6</v>
      </c>
      <c r="D92" s="228"/>
      <c r="E92" s="183"/>
      <c r="F92" s="470"/>
      <c r="G92" s="471"/>
      <c r="H92" s="662"/>
      <c r="I92" s="200"/>
      <c r="J92" s="200"/>
      <c r="K92" s="201"/>
      <c r="L92" s="601"/>
      <c r="M92" s="202" t="e">
        <f>RANK(K92, K$87:$K$101)</f>
        <v>#DIV/0!</v>
      </c>
      <c r="N92" s="619"/>
      <c r="O92" s="619"/>
      <c r="P92" s="470"/>
      <c r="Q92" s="471"/>
      <c r="R92" s="471"/>
      <c r="S92" s="309" t="e">
        <f t="shared" si="151"/>
        <v>#N/A</v>
      </c>
      <c r="T92" s="662"/>
      <c r="U92" s="520"/>
      <c r="V92" s="521"/>
      <c r="W92" s="521"/>
      <c r="X92" s="520" t="e">
        <f t="shared" si="138"/>
        <v>#N/A</v>
      </c>
      <c r="Y92" s="662"/>
      <c r="Z92" s="520"/>
      <c r="AA92" s="521"/>
      <c r="AB92" s="521"/>
      <c r="AC92" s="520" t="e">
        <f t="shared" si="140"/>
        <v>#N/A</v>
      </c>
      <c r="AD92" s="662"/>
      <c r="AE92" s="520"/>
      <c r="AF92" s="521"/>
      <c r="AG92" s="521"/>
      <c r="AH92" s="520" t="e">
        <f t="shared" si="142"/>
        <v>#N/A</v>
      </c>
      <c r="AI92" s="662"/>
      <c r="AJ92" s="520"/>
      <c r="AK92" s="521"/>
      <c r="AL92" s="521"/>
      <c r="AM92" s="520" t="e">
        <f t="shared" si="144"/>
        <v>#N/A</v>
      </c>
      <c r="AN92" s="662"/>
      <c r="AO92" s="520"/>
      <c r="AP92" s="521"/>
      <c r="AQ92" s="521"/>
      <c r="AR92" s="520" t="e">
        <f t="shared" si="146"/>
        <v>#N/A</v>
      </c>
      <c r="AS92" s="662"/>
      <c r="AT92" s="520"/>
      <c r="AU92" s="521"/>
      <c r="AV92" s="521"/>
      <c r="AW92" s="520" t="e">
        <f t="shared" si="148"/>
        <v>#N/A</v>
      </c>
      <c r="AX92" s="658"/>
    </row>
    <row r="93" spans="2:50">
      <c r="B93" s="627"/>
      <c r="C93" s="309">
        <v>7</v>
      </c>
      <c r="D93" s="228"/>
      <c r="E93" s="183"/>
      <c r="F93" s="470"/>
      <c r="G93" s="471"/>
      <c r="H93" s="662"/>
      <c r="I93" s="200"/>
      <c r="J93" s="200"/>
      <c r="K93" s="201"/>
      <c r="L93" s="601"/>
      <c r="M93" s="202" t="e">
        <f>RANK(K93, K$87:$K$101)</f>
        <v>#DIV/0!</v>
      </c>
      <c r="N93" s="619"/>
      <c r="O93" s="619"/>
      <c r="P93" s="470"/>
      <c r="Q93" s="471"/>
      <c r="R93" s="471"/>
      <c r="S93" s="309" t="e">
        <f t="shared" si="151"/>
        <v>#N/A</v>
      </c>
      <c r="T93" s="662"/>
      <c r="U93" s="520"/>
      <c r="V93" s="521"/>
      <c r="W93" s="521"/>
      <c r="X93" s="520" t="e">
        <f t="shared" si="138"/>
        <v>#N/A</v>
      </c>
      <c r="Y93" s="662"/>
      <c r="Z93" s="520"/>
      <c r="AA93" s="521"/>
      <c r="AB93" s="521"/>
      <c r="AC93" s="520" t="e">
        <f t="shared" si="140"/>
        <v>#N/A</v>
      </c>
      <c r="AD93" s="662"/>
      <c r="AE93" s="520"/>
      <c r="AF93" s="521"/>
      <c r="AG93" s="521"/>
      <c r="AH93" s="520" t="e">
        <f t="shared" si="142"/>
        <v>#N/A</v>
      </c>
      <c r="AI93" s="662"/>
      <c r="AJ93" s="520"/>
      <c r="AK93" s="521"/>
      <c r="AL93" s="521"/>
      <c r="AM93" s="520" t="e">
        <f t="shared" si="144"/>
        <v>#N/A</v>
      </c>
      <c r="AN93" s="662"/>
      <c r="AO93" s="520"/>
      <c r="AP93" s="521"/>
      <c r="AQ93" s="521"/>
      <c r="AR93" s="520" t="e">
        <f t="shared" si="146"/>
        <v>#N/A</v>
      </c>
      <c r="AS93" s="662"/>
      <c r="AT93" s="520"/>
      <c r="AU93" s="521"/>
      <c r="AV93" s="521"/>
      <c r="AW93" s="520" t="e">
        <f t="shared" si="148"/>
        <v>#N/A</v>
      </c>
      <c r="AX93" s="658"/>
    </row>
    <row r="94" spans="2:50">
      <c r="B94" s="627"/>
      <c r="C94" s="309">
        <v>8</v>
      </c>
      <c r="D94" s="228"/>
      <c r="E94" s="183"/>
      <c r="F94" s="470"/>
      <c r="G94" s="471"/>
      <c r="H94" s="662"/>
      <c r="I94" s="200"/>
      <c r="J94" s="200"/>
      <c r="K94" s="201"/>
      <c r="L94" s="601"/>
      <c r="M94" s="202" t="e">
        <f>RANK(K94, K$87:$K$101)</f>
        <v>#DIV/0!</v>
      </c>
      <c r="N94" s="619"/>
      <c r="O94" s="619"/>
      <c r="P94" s="470"/>
      <c r="Q94" s="471"/>
      <c r="R94" s="471"/>
      <c r="S94" s="309" t="e">
        <f t="shared" si="151"/>
        <v>#N/A</v>
      </c>
      <c r="T94" s="662"/>
      <c r="U94" s="520"/>
      <c r="V94" s="521"/>
      <c r="W94" s="521"/>
      <c r="X94" s="520" t="e">
        <f t="shared" si="138"/>
        <v>#N/A</v>
      </c>
      <c r="Y94" s="662"/>
      <c r="Z94" s="520"/>
      <c r="AA94" s="521"/>
      <c r="AB94" s="521"/>
      <c r="AC94" s="520" t="e">
        <f t="shared" si="140"/>
        <v>#N/A</v>
      </c>
      <c r="AD94" s="662"/>
      <c r="AE94" s="520"/>
      <c r="AF94" s="521"/>
      <c r="AG94" s="521"/>
      <c r="AH94" s="520" t="e">
        <f t="shared" si="142"/>
        <v>#N/A</v>
      </c>
      <c r="AI94" s="662"/>
      <c r="AJ94" s="520"/>
      <c r="AK94" s="521"/>
      <c r="AL94" s="521"/>
      <c r="AM94" s="520" t="e">
        <f t="shared" si="144"/>
        <v>#N/A</v>
      </c>
      <c r="AN94" s="662"/>
      <c r="AO94" s="520"/>
      <c r="AP94" s="521"/>
      <c r="AQ94" s="521"/>
      <c r="AR94" s="520" t="e">
        <f t="shared" si="146"/>
        <v>#N/A</v>
      </c>
      <c r="AS94" s="662"/>
      <c r="AT94" s="520"/>
      <c r="AU94" s="521"/>
      <c r="AV94" s="521"/>
      <c r="AW94" s="520" t="e">
        <f t="shared" si="148"/>
        <v>#N/A</v>
      </c>
      <c r="AX94" s="658"/>
    </row>
    <row r="95" spans="2:50">
      <c r="B95" s="627"/>
      <c r="C95" s="309">
        <v>9</v>
      </c>
      <c r="D95" s="228"/>
      <c r="E95" s="183"/>
      <c r="F95" s="470"/>
      <c r="G95" s="471"/>
      <c r="H95" s="662"/>
      <c r="I95" s="200"/>
      <c r="J95" s="200"/>
      <c r="K95" s="201"/>
      <c r="L95" s="601"/>
      <c r="M95" s="202" t="e">
        <f>RANK(K95, K$87:$K$101)</f>
        <v>#DIV/0!</v>
      </c>
      <c r="N95" s="619"/>
      <c r="O95" s="619"/>
      <c r="P95" s="470"/>
      <c r="Q95" s="471"/>
      <c r="R95" s="471"/>
      <c r="S95" s="309" t="e">
        <f t="shared" si="151"/>
        <v>#N/A</v>
      </c>
      <c r="T95" s="662"/>
      <c r="U95" s="520"/>
      <c r="V95" s="521"/>
      <c r="W95" s="521"/>
      <c r="X95" s="520" t="e">
        <f t="shared" si="138"/>
        <v>#N/A</v>
      </c>
      <c r="Y95" s="662"/>
      <c r="Z95" s="520"/>
      <c r="AA95" s="521"/>
      <c r="AB95" s="521"/>
      <c r="AC95" s="520" t="e">
        <f t="shared" si="140"/>
        <v>#N/A</v>
      </c>
      <c r="AD95" s="662"/>
      <c r="AE95" s="520"/>
      <c r="AF95" s="521"/>
      <c r="AG95" s="521"/>
      <c r="AH95" s="520" t="e">
        <f t="shared" si="142"/>
        <v>#N/A</v>
      </c>
      <c r="AI95" s="662"/>
      <c r="AJ95" s="520"/>
      <c r="AK95" s="521"/>
      <c r="AL95" s="521"/>
      <c r="AM95" s="520" t="e">
        <f t="shared" si="144"/>
        <v>#N/A</v>
      </c>
      <c r="AN95" s="662"/>
      <c r="AO95" s="520"/>
      <c r="AP95" s="521"/>
      <c r="AQ95" s="521"/>
      <c r="AR95" s="520" t="e">
        <f t="shared" si="146"/>
        <v>#N/A</v>
      </c>
      <c r="AS95" s="662"/>
      <c r="AT95" s="520"/>
      <c r="AU95" s="521"/>
      <c r="AV95" s="521"/>
      <c r="AW95" s="520" t="e">
        <f t="shared" si="148"/>
        <v>#N/A</v>
      </c>
      <c r="AX95" s="658"/>
    </row>
    <row r="96" spans="2:50">
      <c r="B96" s="627"/>
      <c r="C96" s="309">
        <v>10</v>
      </c>
      <c r="D96" s="228"/>
      <c r="E96" s="183"/>
      <c r="F96" s="470"/>
      <c r="G96" s="471"/>
      <c r="H96" s="662"/>
      <c r="I96" s="200"/>
      <c r="J96" s="200"/>
      <c r="K96" s="201"/>
      <c r="L96" s="601"/>
      <c r="M96" s="202" t="e">
        <f>RANK(K96, K$87:$K$101)</f>
        <v>#DIV/0!</v>
      </c>
      <c r="N96" s="619"/>
      <c r="O96" s="619"/>
      <c r="P96" s="470"/>
      <c r="Q96" s="470"/>
      <c r="R96" s="471"/>
      <c r="S96" s="309" t="e">
        <f t="shared" si="151"/>
        <v>#N/A</v>
      </c>
      <c r="T96" s="662"/>
      <c r="U96" s="520"/>
      <c r="V96" s="520"/>
      <c r="W96" s="521"/>
      <c r="X96" s="520" t="e">
        <f t="shared" si="138"/>
        <v>#N/A</v>
      </c>
      <c r="Y96" s="662"/>
      <c r="Z96" s="520"/>
      <c r="AA96" s="520"/>
      <c r="AB96" s="521"/>
      <c r="AC96" s="520" t="e">
        <f t="shared" si="140"/>
        <v>#N/A</v>
      </c>
      <c r="AD96" s="662"/>
      <c r="AE96" s="520"/>
      <c r="AF96" s="520"/>
      <c r="AG96" s="521"/>
      <c r="AH96" s="520" t="e">
        <f t="shared" si="142"/>
        <v>#N/A</v>
      </c>
      <c r="AI96" s="662"/>
      <c r="AJ96" s="520"/>
      <c r="AK96" s="520"/>
      <c r="AL96" s="521"/>
      <c r="AM96" s="520" t="e">
        <f t="shared" si="144"/>
        <v>#N/A</v>
      </c>
      <c r="AN96" s="662"/>
      <c r="AO96" s="520"/>
      <c r="AP96" s="520"/>
      <c r="AQ96" s="521"/>
      <c r="AR96" s="520" t="e">
        <f t="shared" si="146"/>
        <v>#N/A</v>
      </c>
      <c r="AS96" s="662"/>
      <c r="AT96" s="520"/>
      <c r="AU96" s="520"/>
      <c r="AV96" s="521"/>
      <c r="AW96" s="520" t="e">
        <f t="shared" si="148"/>
        <v>#N/A</v>
      </c>
      <c r="AX96" s="658"/>
    </row>
    <row r="97" spans="2:50">
      <c r="B97" s="627"/>
      <c r="C97" s="309">
        <v>11</v>
      </c>
      <c r="D97" s="228"/>
      <c r="E97" s="183"/>
      <c r="F97" s="470"/>
      <c r="G97" s="471"/>
      <c r="H97" s="662"/>
      <c r="I97" s="203"/>
      <c r="J97" s="203"/>
      <c r="K97" s="203"/>
      <c r="L97" s="601"/>
      <c r="M97" s="202" t="e">
        <f>RANK(K97, K$87:$K$101)</f>
        <v>#DIV/0!</v>
      </c>
      <c r="N97" s="619"/>
      <c r="O97" s="619"/>
      <c r="P97" s="470"/>
      <c r="Q97" s="470"/>
      <c r="R97" s="470"/>
      <c r="S97" s="309" t="e">
        <f t="shared" si="151"/>
        <v>#N/A</v>
      </c>
      <c r="T97" s="662"/>
      <c r="U97" s="520"/>
      <c r="V97" s="520"/>
      <c r="W97" s="520"/>
      <c r="X97" s="520" t="e">
        <f t="shared" si="138"/>
        <v>#N/A</v>
      </c>
      <c r="Y97" s="662"/>
      <c r="Z97" s="520"/>
      <c r="AA97" s="520"/>
      <c r="AB97" s="520"/>
      <c r="AC97" s="520" t="e">
        <f t="shared" si="140"/>
        <v>#N/A</v>
      </c>
      <c r="AD97" s="662"/>
      <c r="AE97" s="520"/>
      <c r="AF97" s="520"/>
      <c r="AG97" s="520"/>
      <c r="AH97" s="520" t="e">
        <f t="shared" si="142"/>
        <v>#N/A</v>
      </c>
      <c r="AI97" s="662"/>
      <c r="AJ97" s="520"/>
      <c r="AK97" s="520"/>
      <c r="AL97" s="520"/>
      <c r="AM97" s="520" t="e">
        <f t="shared" si="144"/>
        <v>#N/A</v>
      </c>
      <c r="AN97" s="662"/>
      <c r="AO97" s="520"/>
      <c r="AP97" s="520"/>
      <c r="AQ97" s="520"/>
      <c r="AR97" s="520" t="e">
        <f t="shared" si="146"/>
        <v>#N/A</v>
      </c>
      <c r="AS97" s="662"/>
      <c r="AT97" s="520"/>
      <c r="AU97" s="520"/>
      <c r="AV97" s="520"/>
      <c r="AW97" s="520" t="e">
        <f t="shared" si="148"/>
        <v>#N/A</v>
      </c>
      <c r="AX97" s="658"/>
    </row>
    <row r="98" spans="2:50">
      <c r="B98" s="627"/>
      <c r="C98" s="309">
        <v>12</v>
      </c>
      <c r="D98" s="228"/>
      <c r="E98" s="183"/>
      <c r="F98" s="470"/>
      <c r="G98" s="471"/>
      <c r="H98" s="662"/>
      <c r="I98" s="203"/>
      <c r="J98" s="203"/>
      <c r="K98" s="203"/>
      <c r="L98" s="601"/>
      <c r="M98" s="202" t="e">
        <f>RANK(K98, K$87:$K$101)</f>
        <v>#DIV/0!</v>
      </c>
      <c r="N98" s="619"/>
      <c r="O98" s="619"/>
      <c r="P98" s="470"/>
      <c r="Q98" s="470"/>
      <c r="R98" s="470"/>
      <c r="S98" s="309" t="e">
        <f t="shared" si="151"/>
        <v>#N/A</v>
      </c>
      <c r="T98" s="662"/>
      <c r="U98" s="520"/>
      <c r="V98" s="520"/>
      <c r="W98" s="520"/>
      <c r="X98" s="520" t="e">
        <f t="shared" si="138"/>
        <v>#N/A</v>
      </c>
      <c r="Y98" s="662"/>
      <c r="Z98" s="520"/>
      <c r="AA98" s="520"/>
      <c r="AB98" s="520"/>
      <c r="AC98" s="520" t="e">
        <f t="shared" si="140"/>
        <v>#N/A</v>
      </c>
      <c r="AD98" s="662"/>
      <c r="AE98" s="520"/>
      <c r="AF98" s="520"/>
      <c r="AG98" s="520"/>
      <c r="AH98" s="520" t="e">
        <f t="shared" si="142"/>
        <v>#N/A</v>
      </c>
      <c r="AI98" s="662"/>
      <c r="AJ98" s="520"/>
      <c r="AK98" s="520"/>
      <c r="AL98" s="520"/>
      <c r="AM98" s="520" t="e">
        <f t="shared" si="144"/>
        <v>#N/A</v>
      </c>
      <c r="AN98" s="662"/>
      <c r="AO98" s="520"/>
      <c r="AP98" s="520"/>
      <c r="AQ98" s="520"/>
      <c r="AR98" s="520" t="e">
        <f t="shared" si="146"/>
        <v>#N/A</v>
      </c>
      <c r="AS98" s="662"/>
      <c r="AT98" s="520"/>
      <c r="AU98" s="520"/>
      <c r="AV98" s="520"/>
      <c r="AW98" s="520" t="e">
        <f t="shared" si="148"/>
        <v>#N/A</v>
      </c>
      <c r="AX98" s="658"/>
    </row>
    <row r="99" spans="2:50">
      <c r="B99" s="627"/>
      <c r="C99" s="309">
        <v>13</v>
      </c>
      <c r="D99" s="228"/>
      <c r="E99" s="183"/>
      <c r="F99" s="470"/>
      <c r="G99" s="471"/>
      <c r="H99" s="662"/>
      <c r="I99" s="203"/>
      <c r="J99" s="203"/>
      <c r="K99" s="203"/>
      <c r="L99" s="601"/>
      <c r="M99" s="202" t="e">
        <f>RANK(K99, K$87:$K$101)</f>
        <v>#DIV/0!</v>
      </c>
      <c r="N99" s="619"/>
      <c r="O99" s="619"/>
      <c r="P99" s="470"/>
      <c r="Q99" s="470"/>
      <c r="R99" s="470"/>
      <c r="S99" s="309" t="e">
        <f t="shared" si="151"/>
        <v>#N/A</v>
      </c>
      <c r="T99" s="662"/>
      <c r="U99" s="520"/>
      <c r="V99" s="520"/>
      <c r="W99" s="520"/>
      <c r="X99" s="520" t="e">
        <f t="shared" si="138"/>
        <v>#N/A</v>
      </c>
      <c r="Y99" s="662"/>
      <c r="Z99" s="520"/>
      <c r="AA99" s="520"/>
      <c r="AB99" s="520"/>
      <c r="AC99" s="520" t="e">
        <f t="shared" si="140"/>
        <v>#N/A</v>
      </c>
      <c r="AD99" s="662"/>
      <c r="AE99" s="520"/>
      <c r="AF99" s="520"/>
      <c r="AG99" s="520"/>
      <c r="AH99" s="520" t="e">
        <f t="shared" si="142"/>
        <v>#N/A</v>
      </c>
      <c r="AI99" s="662"/>
      <c r="AJ99" s="520"/>
      <c r="AK99" s="520"/>
      <c r="AL99" s="520"/>
      <c r="AM99" s="520" t="e">
        <f t="shared" si="144"/>
        <v>#N/A</v>
      </c>
      <c r="AN99" s="662"/>
      <c r="AO99" s="520"/>
      <c r="AP99" s="520"/>
      <c r="AQ99" s="520"/>
      <c r="AR99" s="520" t="e">
        <f t="shared" si="146"/>
        <v>#N/A</v>
      </c>
      <c r="AS99" s="662"/>
      <c r="AT99" s="520"/>
      <c r="AU99" s="520"/>
      <c r="AV99" s="520"/>
      <c r="AW99" s="520" t="e">
        <f t="shared" si="148"/>
        <v>#N/A</v>
      </c>
      <c r="AX99" s="658"/>
    </row>
    <row r="100" spans="2:50">
      <c r="B100" s="627"/>
      <c r="C100" s="309">
        <v>14</v>
      </c>
      <c r="D100" s="228"/>
      <c r="E100" s="183"/>
      <c r="F100" s="470"/>
      <c r="G100" s="471"/>
      <c r="H100" s="662"/>
      <c r="I100" s="203"/>
      <c r="J100" s="203"/>
      <c r="K100" s="203"/>
      <c r="L100" s="601"/>
      <c r="M100" s="202" t="e">
        <f>RANK(K100, K$87:$K$101)</f>
        <v>#DIV/0!</v>
      </c>
      <c r="N100" s="619"/>
      <c r="O100" s="619"/>
      <c r="P100" s="470"/>
      <c r="Q100" s="470"/>
      <c r="R100" s="470"/>
      <c r="S100" s="309" t="e">
        <f t="shared" si="151"/>
        <v>#N/A</v>
      </c>
      <c r="T100" s="662"/>
      <c r="U100" s="520"/>
      <c r="V100" s="520"/>
      <c r="W100" s="520"/>
      <c r="X100" s="520" t="e">
        <f t="shared" si="138"/>
        <v>#N/A</v>
      </c>
      <c r="Y100" s="662"/>
      <c r="Z100" s="520"/>
      <c r="AA100" s="520"/>
      <c r="AB100" s="520"/>
      <c r="AC100" s="520" t="e">
        <f t="shared" si="140"/>
        <v>#N/A</v>
      </c>
      <c r="AD100" s="662"/>
      <c r="AE100" s="520"/>
      <c r="AF100" s="520"/>
      <c r="AG100" s="520"/>
      <c r="AH100" s="520" t="e">
        <f t="shared" si="142"/>
        <v>#N/A</v>
      </c>
      <c r="AI100" s="662"/>
      <c r="AJ100" s="520"/>
      <c r="AK100" s="520"/>
      <c r="AL100" s="520"/>
      <c r="AM100" s="520" t="e">
        <f t="shared" si="144"/>
        <v>#N/A</v>
      </c>
      <c r="AN100" s="662"/>
      <c r="AO100" s="520"/>
      <c r="AP100" s="520"/>
      <c r="AQ100" s="520"/>
      <c r="AR100" s="520" t="e">
        <f t="shared" si="146"/>
        <v>#N/A</v>
      </c>
      <c r="AS100" s="662"/>
      <c r="AT100" s="520"/>
      <c r="AU100" s="520"/>
      <c r="AV100" s="520"/>
      <c r="AW100" s="520" t="e">
        <f t="shared" si="148"/>
        <v>#N/A</v>
      </c>
      <c r="AX100" s="658"/>
    </row>
    <row r="101" spans="2:50">
      <c r="B101" s="627"/>
      <c r="C101" s="309">
        <v>15</v>
      </c>
      <c r="D101" s="228"/>
      <c r="E101" s="183"/>
      <c r="F101" s="470"/>
      <c r="G101" s="471"/>
      <c r="H101" s="663"/>
      <c r="I101" s="203"/>
      <c r="J101" s="203"/>
      <c r="K101" s="203"/>
      <c r="L101" s="602"/>
      <c r="M101" s="200" t="e">
        <f>RANK(K101, K$87:$K$101)</f>
        <v>#DIV/0!</v>
      </c>
      <c r="N101" s="619"/>
      <c r="O101" s="619"/>
      <c r="P101" s="470"/>
      <c r="Q101" s="470"/>
      <c r="R101" s="470"/>
      <c r="S101" s="309" t="e">
        <f t="shared" si="151"/>
        <v>#N/A</v>
      </c>
      <c r="T101" s="663"/>
      <c r="U101" s="520"/>
      <c r="V101" s="520"/>
      <c r="W101" s="520"/>
      <c r="X101" s="520" t="e">
        <f t="shared" si="138"/>
        <v>#N/A</v>
      </c>
      <c r="Y101" s="663"/>
      <c r="Z101" s="520"/>
      <c r="AA101" s="520"/>
      <c r="AB101" s="520"/>
      <c r="AC101" s="520" t="e">
        <f t="shared" si="140"/>
        <v>#N/A</v>
      </c>
      <c r="AD101" s="663"/>
      <c r="AE101" s="520"/>
      <c r="AF101" s="520"/>
      <c r="AG101" s="520"/>
      <c r="AH101" s="520" t="e">
        <f t="shared" si="142"/>
        <v>#N/A</v>
      </c>
      <c r="AI101" s="663"/>
      <c r="AJ101" s="520"/>
      <c r="AK101" s="520"/>
      <c r="AL101" s="520"/>
      <c r="AM101" s="520" t="e">
        <f t="shared" si="144"/>
        <v>#N/A</v>
      </c>
      <c r="AN101" s="663"/>
      <c r="AO101" s="520"/>
      <c r="AP101" s="520"/>
      <c r="AQ101" s="520"/>
      <c r="AR101" s="520" t="e">
        <f t="shared" si="146"/>
        <v>#N/A</v>
      </c>
      <c r="AS101" s="663"/>
      <c r="AT101" s="520"/>
      <c r="AU101" s="520"/>
      <c r="AV101" s="520"/>
      <c r="AW101" s="520" t="e">
        <f t="shared" si="148"/>
        <v>#N/A</v>
      </c>
      <c r="AX101" s="658"/>
    </row>
    <row r="102" spans="2:50" ht="15.5">
      <c r="B102" s="631" t="s">
        <v>163</v>
      </c>
      <c r="C102" s="632"/>
      <c r="D102" s="632"/>
      <c r="E102" s="632"/>
      <c r="F102" s="632"/>
      <c r="G102" s="632"/>
      <c r="H102" s="633"/>
      <c r="I102" s="209"/>
      <c r="J102" s="209"/>
      <c r="K102" s="209"/>
      <c r="L102" s="209"/>
      <c r="M102" s="208"/>
      <c r="N102" s="620" t="s">
        <v>156</v>
      </c>
      <c r="O102" s="620" t="s">
        <v>105</v>
      </c>
      <c r="P102" s="626">
        <f>P82+7</f>
        <v>46021</v>
      </c>
      <c r="Q102" s="627"/>
      <c r="R102" s="627"/>
      <c r="S102" s="627"/>
      <c r="T102" s="627"/>
      <c r="U102" s="623">
        <f>P102+1</f>
        <v>46022</v>
      </c>
      <c r="V102" s="624"/>
      <c r="W102" s="624"/>
      <c r="X102" s="624"/>
      <c r="Y102" s="625"/>
      <c r="Z102" s="623">
        <f>U102+1</f>
        <v>46023</v>
      </c>
      <c r="AA102" s="624"/>
      <c r="AB102" s="624"/>
      <c r="AC102" s="624"/>
      <c r="AD102" s="625"/>
      <c r="AE102" s="623">
        <f>Z102+1</f>
        <v>46024</v>
      </c>
      <c r="AF102" s="624"/>
      <c r="AG102" s="624"/>
      <c r="AH102" s="624"/>
      <c r="AI102" s="625"/>
      <c r="AJ102" s="623">
        <f>AE102+1</f>
        <v>46025</v>
      </c>
      <c r="AK102" s="624"/>
      <c r="AL102" s="624"/>
      <c r="AM102" s="624"/>
      <c r="AN102" s="625"/>
      <c r="AO102" s="623">
        <f>AJ102+1</f>
        <v>46026</v>
      </c>
      <c r="AP102" s="624"/>
      <c r="AQ102" s="624"/>
      <c r="AR102" s="624"/>
      <c r="AS102" s="625"/>
      <c r="AT102" s="623">
        <f>AO102+1</f>
        <v>46027</v>
      </c>
      <c r="AU102" s="624"/>
      <c r="AV102" s="624"/>
      <c r="AW102" s="624"/>
      <c r="AX102" s="625"/>
    </row>
    <row r="103" spans="2:50" ht="15.5">
      <c r="B103" s="634"/>
      <c r="C103" s="634"/>
      <c r="D103" s="634"/>
      <c r="E103" s="634"/>
      <c r="F103" s="634"/>
      <c r="G103" s="634"/>
      <c r="H103" s="634"/>
      <c r="I103" s="206"/>
      <c r="J103" s="206"/>
      <c r="K103" s="206"/>
      <c r="L103" s="206"/>
      <c r="M103" s="207"/>
      <c r="N103" s="622"/>
      <c r="O103" s="622"/>
      <c r="P103" s="626" t="s">
        <v>158</v>
      </c>
      <c r="Q103" s="627"/>
      <c r="R103" s="627"/>
      <c r="S103" s="627"/>
      <c r="T103" s="627"/>
      <c r="U103" s="626" t="s">
        <v>114</v>
      </c>
      <c r="V103" s="627"/>
      <c r="W103" s="627"/>
      <c r="X103" s="627"/>
      <c r="Y103" s="627"/>
      <c r="Z103" s="626" t="s">
        <v>159</v>
      </c>
      <c r="AA103" s="627"/>
      <c r="AB103" s="627"/>
      <c r="AC103" s="627"/>
      <c r="AD103" s="627"/>
      <c r="AE103" s="626" t="s">
        <v>157</v>
      </c>
      <c r="AF103" s="627"/>
      <c r="AG103" s="627"/>
      <c r="AH103" s="627"/>
      <c r="AI103" s="627"/>
      <c r="AJ103" s="626" t="s">
        <v>160</v>
      </c>
      <c r="AK103" s="627"/>
      <c r="AL103" s="627"/>
      <c r="AM103" s="627"/>
      <c r="AN103" s="627"/>
      <c r="AO103" s="626" t="s">
        <v>115</v>
      </c>
      <c r="AP103" s="627"/>
      <c r="AQ103" s="627"/>
      <c r="AR103" s="627"/>
      <c r="AS103" s="627"/>
      <c r="AT103" s="626" t="s">
        <v>162</v>
      </c>
      <c r="AU103" s="627"/>
      <c r="AV103" s="627"/>
      <c r="AW103" s="627"/>
      <c r="AX103" s="627"/>
    </row>
    <row r="104" spans="2:50">
      <c r="B104" s="619" t="s">
        <v>154</v>
      </c>
      <c r="C104" s="619" t="s">
        <v>453</v>
      </c>
      <c r="D104" s="619"/>
      <c r="E104" s="619" t="s">
        <v>444</v>
      </c>
      <c r="F104" s="619"/>
      <c r="G104" s="619"/>
      <c r="H104" s="635" t="s">
        <v>440</v>
      </c>
      <c r="I104" s="603" t="s">
        <v>445</v>
      </c>
      <c r="J104" s="603"/>
      <c r="K104" s="603"/>
      <c r="L104" s="604" t="s">
        <v>440</v>
      </c>
      <c r="M104" s="610" t="s">
        <v>441</v>
      </c>
      <c r="N104" s="619"/>
      <c r="O104" s="619" t="s">
        <v>446</v>
      </c>
      <c r="P104" s="616" t="s">
        <v>442</v>
      </c>
      <c r="Q104" s="617"/>
      <c r="R104" s="617"/>
      <c r="S104" s="618"/>
      <c r="T104" s="619" t="s">
        <v>440</v>
      </c>
      <c r="U104" s="616" t="s">
        <v>442</v>
      </c>
      <c r="V104" s="617"/>
      <c r="W104" s="617"/>
      <c r="X104" s="618"/>
      <c r="Y104" s="619" t="s">
        <v>440</v>
      </c>
      <c r="Z104" s="616" t="s">
        <v>442</v>
      </c>
      <c r="AA104" s="617"/>
      <c r="AB104" s="617"/>
      <c r="AC104" s="618"/>
      <c r="AD104" s="619" t="s">
        <v>440</v>
      </c>
      <c r="AE104" s="616" t="s">
        <v>442</v>
      </c>
      <c r="AF104" s="617"/>
      <c r="AG104" s="617"/>
      <c r="AH104" s="618"/>
      <c r="AI104" s="619" t="s">
        <v>440</v>
      </c>
      <c r="AJ104" s="616" t="s">
        <v>442</v>
      </c>
      <c r="AK104" s="617"/>
      <c r="AL104" s="617"/>
      <c r="AM104" s="618"/>
      <c r="AN104" s="619" t="s">
        <v>440</v>
      </c>
      <c r="AO104" s="616" t="s">
        <v>442</v>
      </c>
      <c r="AP104" s="617"/>
      <c r="AQ104" s="617"/>
      <c r="AR104" s="618"/>
      <c r="AS104" s="619" t="s">
        <v>440</v>
      </c>
      <c r="AT104" s="616" t="s">
        <v>442</v>
      </c>
      <c r="AU104" s="617"/>
      <c r="AV104" s="617"/>
      <c r="AW104" s="618"/>
      <c r="AX104" s="619" t="s">
        <v>440</v>
      </c>
    </row>
    <row r="105" spans="2:50">
      <c r="B105" s="619"/>
      <c r="C105" s="619"/>
      <c r="D105" s="619"/>
      <c r="E105" s="619" t="s">
        <v>447</v>
      </c>
      <c r="F105" s="619"/>
      <c r="G105" s="619"/>
      <c r="H105" s="636"/>
      <c r="I105" s="603" t="s">
        <v>447</v>
      </c>
      <c r="J105" s="603"/>
      <c r="K105" s="603"/>
      <c r="L105" s="605"/>
      <c r="M105" s="611"/>
      <c r="N105" s="619"/>
      <c r="O105" s="619"/>
      <c r="P105" s="616" t="s">
        <v>448</v>
      </c>
      <c r="Q105" s="617"/>
      <c r="R105" s="617"/>
      <c r="S105" s="618"/>
      <c r="T105" s="619"/>
      <c r="U105" s="616" t="s">
        <v>448</v>
      </c>
      <c r="V105" s="617"/>
      <c r="W105" s="617"/>
      <c r="X105" s="618"/>
      <c r="Y105" s="619"/>
      <c r="Z105" s="616" t="s">
        <v>448</v>
      </c>
      <c r="AA105" s="617"/>
      <c r="AB105" s="617"/>
      <c r="AC105" s="618"/>
      <c r="AD105" s="619"/>
      <c r="AE105" s="616" t="s">
        <v>448</v>
      </c>
      <c r="AF105" s="617"/>
      <c r="AG105" s="617"/>
      <c r="AH105" s="618"/>
      <c r="AI105" s="619"/>
      <c r="AJ105" s="616" t="s">
        <v>448</v>
      </c>
      <c r="AK105" s="617"/>
      <c r="AL105" s="617"/>
      <c r="AM105" s="618"/>
      <c r="AN105" s="619"/>
      <c r="AO105" s="616" t="s">
        <v>448</v>
      </c>
      <c r="AP105" s="617"/>
      <c r="AQ105" s="617"/>
      <c r="AR105" s="618"/>
      <c r="AS105" s="619"/>
      <c r="AT105" s="616" t="s">
        <v>448</v>
      </c>
      <c r="AU105" s="617"/>
      <c r="AV105" s="617"/>
      <c r="AW105" s="618"/>
      <c r="AX105" s="619"/>
    </row>
    <row r="106" spans="2:50">
      <c r="B106" s="619"/>
      <c r="C106" s="619"/>
      <c r="D106" s="619"/>
      <c r="E106" s="357" t="s">
        <v>449</v>
      </c>
      <c r="F106" s="357" t="s">
        <v>450</v>
      </c>
      <c r="G106" s="357" t="s">
        <v>451</v>
      </c>
      <c r="H106" s="637"/>
      <c r="I106" s="358" t="s">
        <v>449</v>
      </c>
      <c r="J106" s="358" t="s">
        <v>450</v>
      </c>
      <c r="K106" s="358" t="s">
        <v>451</v>
      </c>
      <c r="L106" s="606"/>
      <c r="M106" s="612"/>
      <c r="N106" s="619"/>
      <c r="O106" s="619"/>
      <c r="P106" s="357" t="s">
        <v>449</v>
      </c>
      <c r="Q106" s="357" t="s">
        <v>450</v>
      </c>
      <c r="R106" s="357" t="s">
        <v>451</v>
      </c>
      <c r="S106" s="357" t="s">
        <v>441</v>
      </c>
      <c r="T106" s="619"/>
      <c r="U106" s="357" t="s">
        <v>449</v>
      </c>
      <c r="V106" s="357" t="s">
        <v>450</v>
      </c>
      <c r="W106" s="357" t="s">
        <v>451</v>
      </c>
      <c r="X106" s="357" t="s">
        <v>441</v>
      </c>
      <c r="Y106" s="619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9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9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9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9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9"/>
    </row>
    <row r="107" spans="2:50">
      <c r="B107" s="619" t="s">
        <v>529</v>
      </c>
      <c r="C107" s="356">
        <v>1</v>
      </c>
      <c r="D107" s="228"/>
      <c r="E107" s="183"/>
      <c r="F107" s="356"/>
      <c r="G107" s="359"/>
      <c r="H107" s="661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00" t="str">
        <f>IFERROR(AVERAGE(K107:K121),"-")</f>
        <v>-</v>
      </c>
      <c r="M107" s="202" t="e">
        <f>RANK(K107, K$107:$K$121)</f>
        <v>#DIV/0!</v>
      </c>
      <c r="N107" s="619"/>
      <c r="O107" s="619"/>
      <c r="P107" s="183"/>
      <c r="Q107" s="359"/>
      <c r="R107" s="359"/>
      <c r="S107" s="356" t="e">
        <f>RANK(R107, R$107:R$121)</f>
        <v>#N/A</v>
      </c>
      <c r="T107" s="661" t="e">
        <f>AVERAGE(R107:R121)</f>
        <v>#DIV/0!</v>
      </c>
      <c r="U107" s="183"/>
      <c r="V107" s="377"/>
      <c r="W107" s="377"/>
      <c r="X107" s="356" t="e">
        <f>RANK(W107, W$107:W$121)</f>
        <v>#N/A</v>
      </c>
      <c r="Y107" s="661" t="e">
        <f>AVERAGE(W107:W121)</f>
        <v>#DIV/0!</v>
      </c>
      <c r="Z107" s="183"/>
      <c r="AA107" s="377"/>
      <c r="AB107" s="377"/>
      <c r="AC107" s="356" t="e">
        <f>RANK(AB107, AB$107:AB$121)</f>
        <v>#N/A</v>
      </c>
      <c r="AD107" s="661" t="e">
        <f>AVERAGE(AB107:AB121)</f>
        <v>#DIV/0!</v>
      </c>
      <c r="AE107" s="183"/>
      <c r="AF107" s="377"/>
      <c r="AG107" s="377"/>
      <c r="AH107" s="356" t="e">
        <f>RANK(AG107, AG$107:AG$121)</f>
        <v>#N/A</v>
      </c>
      <c r="AI107" s="661" t="e">
        <f>AVERAGE(AG107:AG121)</f>
        <v>#DIV/0!</v>
      </c>
      <c r="AJ107" s="183"/>
      <c r="AK107" s="377"/>
      <c r="AL107" s="377"/>
      <c r="AM107" s="356" t="e">
        <f>RANK(AL107, AL$107:AL$121)</f>
        <v>#N/A</v>
      </c>
      <c r="AN107" s="661" t="e">
        <f>AVERAGE(AL107:AL121)</f>
        <v>#DIV/0!</v>
      </c>
      <c r="AO107" s="183"/>
      <c r="AP107" s="377"/>
      <c r="AQ107" s="377"/>
      <c r="AR107" s="356" t="e">
        <f>RANK(AQ107, AQ$107:AQ$121)</f>
        <v>#N/A</v>
      </c>
      <c r="AS107" s="661" t="e">
        <f>AVERAGE(AQ107:AQ121)</f>
        <v>#DIV/0!</v>
      </c>
      <c r="AT107" s="183"/>
      <c r="AU107" s="377"/>
      <c r="AV107" s="377"/>
      <c r="AW107" s="356" t="e">
        <f>RANK(AV107, AV$107:AV$121)</f>
        <v>#N/A</v>
      </c>
      <c r="AX107" s="658" t="e">
        <f>AVERAGE(AV107:AV121)</f>
        <v>#DIV/0!</v>
      </c>
    </row>
    <row r="108" spans="2:50">
      <c r="B108" s="627"/>
      <c r="C108" s="356">
        <v>2</v>
      </c>
      <c r="D108" s="228"/>
      <c r="E108" s="183"/>
      <c r="F108" s="356"/>
      <c r="G108" s="359"/>
      <c r="H108" s="662"/>
      <c r="I108" s="200" t="e">
        <f t="shared" ref="I108:I110" si="152">AVERAGE(P108,U108,Z108,AE108,AJ108,AO108,AT108)</f>
        <v>#DIV/0!</v>
      </c>
      <c r="J108" s="200" t="e">
        <f t="shared" ref="J108:J110" si="153">AVERAGE(Q108,V108,AA108,AF108,AK108,AP108,AU108)</f>
        <v>#DIV/0!</v>
      </c>
      <c r="K108" s="201" t="e">
        <f t="shared" ref="K108:K110" si="154">AVERAGE(R108,W108,AB108,AG108,AL108,AQ108,AV108)</f>
        <v>#DIV/0!</v>
      </c>
      <c r="L108" s="601"/>
      <c r="M108" s="367" t="e">
        <f>RANK(K108, K$107:$K$121)</f>
        <v>#DIV/0!</v>
      </c>
      <c r="N108" s="619"/>
      <c r="O108" s="619"/>
      <c r="P108" s="356"/>
      <c r="Q108" s="359"/>
      <c r="R108" s="359"/>
      <c r="S108" s="366" t="e">
        <f t="shared" ref="S108:S121" si="155">RANK(R108, R$107:R$121)</f>
        <v>#N/A</v>
      </c>
      <c r="T108" s="662"/>
      <c r="U108" s="376"/>
      <c r="V108" s="377"/>
      <c r="W108" s="377"/>
      <c r="X108" s="356" t="e">
        <f t="shared" ref="X108:X121" si="156">RANK(W108, W$107:W$121)</f>
        <v>#N/A</v>
      </c>
      <c r="Y108" s="662"/>
      <c r="Z108" s="376"/>
      <c r="AA108" s="377"/>
      <c r="AB108" s="377"/>
      <c r="AC108" s="356" t="e">
        <f t="shared" ref="AC108:AC121" si="157">RANK(AB108, AB$107:AB$121)</f>
        <v>#N/A</v>
      </c>
      <c r="AD108" s="662"/>
      <c r="AE108" s="376"/>
      <c r="AF108" s="377"/>
      <c r="AG108" s="377"/>
      <c r="AH108" s="356" t="e">
        <f t="shared" ref="AH108:AH121" si="158">RANK(AG108, AG$107:AG$121)</f>
        <v>#N/A</v>
      </c>
      <c r="AI108" s="662"/>
      <c r="AJ108" s="376"/>
      <c r="AK108" s="377"/>
      <c r="AL108" s="377"/>
      <c r="AM108" s="356" t="e">
        <f t="shared" ref="AM108:AM121" si="159">RANK(AL108, AL$107:AL$121)</f>
        <v>#N/A</v>
      </c>
      <c r="AN108" s="662"/>
      <c r="AO108" s="376"/>
      <c r="AP108" s="377"/>
      <c r="AQ108" s="377"/>
      <c r="AR108" s="356" t="e">
        <f t="shared" ref="AR108:AR121" si="160">RANK(AQ108, AQ$107:AQ$121)</f>
        <v>#N/A</v>
      </c>
      <c r="AS108" s="662"/>
      <c r="AT108" s="376"/>
      <c r="AU108" s="377"/>
      <c r="AV108" s="377"/>
      <c r="AW108" s="356" t="e">
        <f t="shared" ref="AW108:AW121" si="161">RANK(AV108, AV$107:AV$121)</f>
        <v>#N/A</v>
      </c>
      <c r="AX108" s="658"/>
    </row>
    <row r="109" spans="2:50">
      <c r="B109" s="627"/>
      <c r="C109" s="356">
        <v>3</v>
      </c>
      <c r="D109" s="228"/>
      <c r="E109" s="183"/>
      <c r="F109" s="356"/>
      <c r="G109" s="359"/>
      <c r="H109" s="662"/>
      <c r="I109" s="200" t="e">
        <f t="shared" si="152"/>
        <v>#DIV/0!</v>
      </c>
      <c r="J109" s="200" t="e">
        <f t="shared" si="153"/>
        <v>#DIV/0!</v>
      </c>
      <c r="K109" s="201" t="e">
        <f t="shared" si="154"/>
        <v>#DIV/0!</v>
      </c>
      <c r="L109" s="601"/>
      <c r="M109" s="367" t="e">
        <f>RANK(K109, K$107:$K$121)</f>
        <v>#DIV/0!</v>
      </c>
      <c r="N109" s="619"/>
      <c r="O109" s="619"/>
      <c r="P109" s="356"/>
      <c r="Q109" s="359"/>
      <c r="R109" s="359"/>
      <c r="S109" s="366" t="e">
        <f t="shared" si="155"/>
        <v>#N/A</v>
      </c>
      <c r="T109" s="662"/>
      <c r="U109" s="376"/>
      <c r="V109" s="377"/>
      <c r="W109" s="377"/>
      <c r="X109" s="356" t="e">
        <f t="shared" si="156"/>
        <v>#N/A</v>
      </c>
      <c r="Y109" s="662"/>
      <c r="Z109" s="376"/>
      <c r="AA109" s="377"/>
      <c r="AB109" s="377"/>
      <c r="AC109" s="356" t="e">
        <f t="shared" si="157"/>
        <v>#N/A</v>
      </c>
      <c r="AD109" s="662"/>
      <c r="AE109" s="376"/>
      <c r="AF109" s="377"/>
      <c r="AG109" s="377"/>
      <c r="AH109" s="356" t="e">
        <f t="shared" si="158"/>
        <v>#N/A</v>
      </c>
      <c r="AI109" s="662"/>
      <c r="AJ109" s="376"/>
      <c r="AK109" s="377"/>
      <c r="AL109" s="377"/>
      <c r="AM109" s="356" t="e">
        <f t="shared" si="159"/>
        <v>#N/A</v>
      </c>
      <c r="AN109" s="662"/>
      <c r="AO109" s="376"/>
      <c r="AP109" s="377"/>
      <c r="AQ109" s="377"/>
      <c r="AR109" s="356" t="e">
        <f t="shared" si="160"/>
        <v>#N/A</v>
      </c>
      <c r="AS109" s="662"/>
      <c r="AT109" s="376"/>
      <c r="AU109" s="377"/>
      <c r="AV109" s="377"/>
      <c r="AW109" s="356" t="e">
        <f t="shared" si="161"/>
        <v>#N/A</v>
      </c>
      <c r="AX109" s="658"/>
    </row>
    <row r="110" spans="2:50">
      <c r="B110" s="627"/>
      <c r="C110" s="356">
        <v>4</v>
      </c>
      <c r="D110" s="228"/>
      <c r="E110" s="183"/>
      <c r="F110" s="356"/>
      <c r="G110" s="359"/>
      <c r="H110" s="662"/>
      <c r="I110" s="200" t="e">
        <f t="shared" si="152"/>
        <v>#DIV/0!</v>
      </c>
      <c r="J110" s="200" t="e">
        <f t="shared" si="153"/>
        <v>#DIV/0!</v>
      </c>
      <c r="K110" s="201" t="e">
        <f t="shared" si="154"/>
        <v>#DIV/0!</v>
      </c>
      <c r="L110" s="601"/>
      <c r="M110" s="367" t="e">
        <f>RANK(K110, K$107:$K$121)</f>
        <v>#DIV/0!</v>
      </c>
      <c r="N110" s="619"/>
      <c r="O110" s="619"/>
      <c r="P110" s="356"/>
      <c r="Q110" s="359"/>
      <c r="R110" s="359"/>
      <c r="S110" s="366" t="e">
        <f t="shared" si="155"/>
        <v>#N/A</v>
      </c>
      <c r="T110" s="662"/>
      <c r="U110" s="376"/>
      <c r="V110" s="377"/>
      <c r="W110" s="377"/>
      <c r="X110" s="356" t="e">
        <f t="shared" si="156"/>
        <v>#N/A</v>
      </c>
      <c r="Y110" s="662"/>
      <c r="Z110" s="376"/>
      <c r="AA110" s="377"/>
      <c r="AB110" s="377"/>
      <c r="AC110" s="356" t="e">
        <f t="shared" si="157"/>
        <v>#N/A</v>
      </c>
      <c r="AD110" s="662"/>
      <c r="AE110" s="376"/>
      <c r="AF110" s="377"/>
      <c r="AG110" s="377"/>
      <c r="AH110" s="356" t="e">
        <f t="shared" si="158"/>
        <v>#N/A</v>
      </c>
      <c r="AI110" s="662"/>
      <c r="AJ110" s="376"/>
      <c r="AK110" s="377"/>
      <c r="AL110" s="377"/>
      <c r="AM110" s="356" t="e">
        <f t="shared" si="159"/>
        <v>#N/A</v>
      </c>
      <c r="AN110" s="662"/>
      <c r="AO110" s="376"/>
      <c r="AP110" s="377"/>
      <c r="AQ110" s="377"/>
      <c r="AR110" s="356" t="e">
        <f t="shared" si="160"/>
        <v>#N/A</v>
      </c>
      <c r="AS110" s="662"/>
      <c r="AT110" s="376"/>
      <c r="AU110" s="377"/>
      <c r="AV110" s="377"/>
      <c r="AW110" s="356" t="e">
        <f t="shared" si="161"/>
        <v>#N/A</v>
      </c>
      <c r="AX110" s="658"/>
    </row>
    <row r="111" spans="2:50">
      <c r="B111" s="627"/>
      <c r="C111" s="356">
        <v>5</v>
      </c>
      <c r="D111" s="228"/>
      <c r="E111" s="183"/>
      <c r="F111" s="356"/>
      <c r="G111" s="359"/>
      <c r="H111" s="662"/>
      <c r="I111" s="200"/>
      <c r="J111" s="200"/>
      <c r="K111" s="201"/>
      <c r="L111" s="601"/>
      <c r="M111" s="367" t="e">
        <f>RANK(K111, K$107:$K$121)</f>
        <v>#DIV/0!</v>
      </c>
      <c r="N111" s="619"/>
      <c r="O111" s="619"/>
      <c r="P111" s="356"/>
      <c r="Q111" s="359"/>
      <c r="R111" s="359"/>
      <c r="S111" s="366" t="e">
        <f t="shared" si="155"/>
        <v>#N/A</v>
      </c>
      <c r="T111" s="662"/>
      <c r="U111" s="376"/>
      <c r="V111" s="377"/>
      <c r="W111" s="377"/>
      <c r="X111" s="356" t="e">
        <f t="shared" si="156"/>
        <v>#N/A</v>
      </c>
      <c r="Y111" s="662"/>
      <c r="Z111" s="376"/>
      <c r="AA111" s="377"/>
      <c r="AB111" s="377"/>
      <c r="AC111" s="356" t="e">
        <f t="shared" si="157"/>
        <v>#N/A</v>
      </c>
      <c r="AD111" s="662"/>
      <c r="AE111" s="376"/>
      <c r="AF111" s="377"/>
      <c r="AG111" s="377"/>
      <c r="AH111" s="356" t="e">
        <f t="shared" si="158"/>
        <v>#N/A</v>
      </c>
      <c r="AI111" s="662"/>
      <c r="AJ111" s="376"/>
      <c r="AK111" s="377"/>
      <c r="AL111" s="377"/>
      <c r="AM111" s="356" t="e">
        <f t="shared" si="159"/>
        <v>#N/A</v>
      </c>
      <c r="AN111" s="662"/>
      <c r="AO111" s="376"/>
      <c r="AP111" s="377"/>
      <c r="AQ111" s="377"/>
      <c r="AR111" s="356" t="e">
        <f t="shared" si="160"/>
        <v>#N/A</v>
      </c>
      <c r="AS111" s="662"/>
      <c r="AT111" s="376"/>
      <c r="AU111" s="377"/>
      <c r="AV111" s="377"/>
      <c r="AW111" s="356" t="e">
        <f t="shared" si="161"/>
        <v>#N/A</v>
      </c>
      <c r="AX111" s="658"/>
    </row>
    <row r="112" spans="2:50">
      <c r="B112" s="627"/>
      <c r="C112" s="356">
        <v>6</v>
      </c>
      <c r="D112" s="228"/>
      <c r="E112" s="183"/>
      <c r="F112" s="356"/>
      <c r="G112" s="359"/>
      <c r="H112" s="662"/>
      <c r="I112" s="200"/>
      <c r="J112" s="200"/>
      <c r="K112" s="201"/>
      <c r="L112" s="601"/>
      <c r="M112" s="367" t="e">
        <f>RANK(K112, K$107:$K$121)</f>
        <v>#DIV/0!</v>
      </c>
      <c r="N112" s="619"/>
      <c r="O112" s="619"/>
      <c r="P112" s="356"/>
      <c r="Q112" s="359"/>
      <c r="R112" s="359"/>
      <c r="S112" s="366" t="e">
        <f t="shared" si="155"/>
        <v>#N/A</v>
      </c>
      <c r="T112" s="662"/>
      <c r="U112" s="376"/>
      <c r="V112" s="377"/>
      <c r="W112" s="377"/>
      <c r="X112" s="356" t="e">
        <f t="shared" si="156"/>
        <v>#N/A</v>
      </c>
      <c r="Y112" s="662"/>
      <c r="Z112" s="376"/>
      <c r="AA112" s="377"/>
      <c r="AB112" s="377"/>
      <c r="AC112" s="356" t="e">
        <f t="shared" si="157"/>
        <v>#N/A</v>
      </c>
      <c r="AD112" s="662"/>
      <c r="AE112" s="376"/>
      <c r="AF112" s="377"/>
      <c r="AG112" s="377"/>
      <c r="AH112" s="356" t="e">
        <f t="shared" si="158"/>
        <v>#N/A</v>
      </c>
      <c r="AI112" s="662"/>
      <c r="AJ112" s="376"/>
      <c r="AK112" s="377"/>
      <c r="AL112" s="377"/>
      <c r="AM112" s="356" t="e">
        <f t="shared" si="159"/>
        <v>#N/A</v>
      </c>
      <c r="AN112" s="662"/>
      <c r="AO112" s="376"/>
      <c r="AP112" s="377"/>
      <c r="AQ112" s="377"/>
      <c r="AR112" s="356" t="e">
        <f t="shared" si="160"/>
        <v>#N/A</v>
      </c>
      <c r="AS112" s="662"/>
      <c r="AT112" s="376"/>
      <c r="AU112" s="377"/>
      <c r="AV112" s="377"/>
      <c r="AW112" s="356" t="e">
        <f t="shared" si="161"/>
        <v>#N/A</v>
      </c>
      <c r="AX112" s="658"/>
    </row>
    <row r="113" spans="2:50">
      <c r="B113" s="627"/>
      <c r="C113" s="356">
        <v>7</v>
      </c>
      <c r="D113" s="228"/>
      <c r="E113" s="183"/>
      <c r="F113" s="356"/>
      <c r="G113" s="359"/>
      <c r="H113" s="662"/>
      <c r="I113" s="200"/>
      <c r="J113" s="200"/>
      <c r="K113" s="201"/>
      <c r="L113" s="601"/>
      <c r="M113" s="367" t="e">
        <f>RANK(K113, K$107:$K$121)</f>
        <v>#DIV/0!</v>
      </c>
      <c r="N113" s="619"/>
      <c r="O113" s="619"/>
      <c r="P113" s="356"/>
      <c r="Q113" s="359"/>
      <c r="R113" s="359"/>
      <c r="S113" s="366" t="e">
        <f t="shared" si="155"/>
        <v>#N/A</v>
      </c>
      <c r="T113" s="662"/>
      <c r="U113" s="376"/>
      <c r="V113" s="377"/>
      <c r="W113" s="377"/>
      <c r="X113" s="356" t="e">
        <f t="shared" si="156"/>
        <v>#N/A</v>
      </c>
      <c r="Y113" s="662"/>
      <c r="Z113" s="376"/>
      <c r="AA113" s="377"/>
      <c r="AB113" s="377"/>
      <c r="AC113" s="356" t="e">
        <f t="shared" si="157"/>
        <v>#N/A</v>
      </c>
      <c r="AD113" s="662"/>
      <c r="AE113" s="376"/>
      <c r="AF113" s="377"/>
      <c r="AG113" s="377"/>
      <c r="AH113" s="356" t="e">
        <f t="shared" si="158"/>
        <v>#N/A</v>
      </c>
      <c r="AI113" s="662"/>
      <c r="AJ113" s="376"/>
      <c r="AK113" s="377"/>
      <c r="AL113" s="377"/>
      <c r="AM113" s="356" t="e">
        <f t="shared" si="159"/>
        <v>#N/A</v>
      </c>
      <c r="AN113" s="662"/>
      <c r="AO113" s="376"/>
      <c r="AP113" s="377"/>
      <c r="AQ113" s="377"/>
      <c r="AR113" s="356" t="e">
        <f t="shared" si="160"/>
        <v>#N/A</v>
      </c>
      <c r="AS113" s="662"/>
      <c r="AT113" s="376"/>
      <c r="AU113" s="377"/>
      <c r="AV113" s="377"/>
      <c r="AW113" s="356" t="e">
        <f t="shared" si="161"/>
        <v>#N/A</v>
      </c>
      <c r="AX113" s="658"/>
    </row>
    <row r="114" spans="2:50">
      <c r="B114" s="627"/>
      <c r="C114" s="356">
        <v>8</v>
      </c>
      <c r="D114" s="228"/>
      <c r="E114" s="183"/>
      <c r="F114" s="356"/>
      <c r="G114" s="359"/>
      <c r="H114" s="662"/>
      <c r="I114" s="200"/>
      <c r="J114" s="200"/>
      <c r="K114" s="201"/>
      <c r="L114" s="601"/>
      <c r="M114" s="367" t="e">
        <f>RANK(K114, K$107:$K$121)</f>
        <v>#DIV/0!</v>
      </c>
      <c r="N114" s="619"/>
      <c r="O114" s="619"/>
      <c r="P114" s="356"/>
      <c r="Q114" s="359"/>
      <c r="R114" s="359"/>
      <c r="S114" s="366" t="e">
        <f t="shared" si="155"/>
        <v>#N/A</v>
      </c>
      <c r="T114" s="662"/>
      <c r="U114" s="376"/>
      <c r="V114" s="377"/>
      <c r="W114" s="377"/>
      <c r="X114" s="356" t="e">
        <f t="shared" si="156"/>
        <v>#N/A</v>
      </c>
      <c r="Y114" s="662"/>
      <c r="Z114" s="376"/>
      <c r="AA114" s="377"/>
      <c r="AB114" s="377"/>
      <c r="AC114" s="356" t="e">
        <f t="shared" si="157"/>
        <v>#N/A</v>
      </c>
      <c r="AD114" s="662"/>
      <c r="AE114" s="376"/>
      <c r="AF114" s="377"/>
      <c r="AG114" s="377"/>
      <c r="AH114" s="356" t="e">
        <f t="shared" si="158"/>
        <v>#N/A</v>
      </c>
      <c r="AI114" s="662"/>
      <c r="AJ114" s="376"/>
      <c r="AK114" s="377"/>
      <c r="AL114" s="377"/>
      <c r="AM114" s="356" t="e">
        <f t="shared" si="159"/>
        <v>#N/A</v>
      </c>
      <c r="AN114" s="662"/>
      <c r="AO114" s="376"/>
      <c r="AP114" s="377"/>
      <c r="AQ114" s="377"/>
      <c r="AR114" s="356" t="e">
        <f t="shared" si="160"/>
        <v>#N/A</v>
      </c>
      <c r="AS114" s="662"/>
      <c r="AT114" s="376"/>
      <c r="AU114" s="377"/>
      <c r="AV114" s="377"/>
      <c r="AW114" s="356" t="e">
        <f t="shared" si="161"/>
        <v>#N/A</v>
      </c>
      <c r="AX114" s="658"/>
    </row>
    <row r="115" spans="2:50">
      <c r="B115" s="627"/>
      <c r="C115" s="356">
        <v>9</v>
      </c>
      <c r="D115" s="228"/>
      <c r="E115" s="183"/>
      <c r="F115" s="356"/>
      <c r="G115" s="359"/>
      <c r="H115" s="662"/>
      <c r="I115" s="200"/>
      <c r="J115" s="200"/>
      <c r="K115" s="201"/>
      <c r="L115" s="601"/>
      <c r="M115" s="367" t="e">
        <f>RANK(K115, K$107:$K$121)</f>
        <v>#DIV/0!</v>
      </c>
      <c r="N115" s="619"/>
      <c r="O115" s="619"/>
      <c r="P115" s="356"/>
      <c r="Q115" s="359"/>
      <c r="R115" s="359"/>
      <c r="S115" s="366" t="e">
        <f t="shared" si="155"/>
        <v>#N/A</v>
      </c>
      <c r="T115" s="662"/>
      <c r="U115" s="376"/>
      <c r="V115" s="377"/>
      <c r="W115" s="377"/>
      <c r="X115" s="356" t="e">
        <f t="shared" si="156"/>
        <v>#N/A</v>
      </c>
      <c r="Y115" s="662"/>
      <c r="Z115" s="376"/>
      <c r="AA115" s="377"/>
      <c r="AB115" s="377"/>
      <c r="AC115" s="356" t="e">
        <f t="shared" si="157"/>
        <v>#N/A</v>
      </c>
      <c r="AD115" s="662"/>
      <c r="AE115" s="376"/>
      <c r="AF115" s="377"/>
      <c r="AG115" s="377"/>
      <c r="AH115" s="356" t="e">
        <f t="shared" si="158"/>
        <v>#N/A</v>
      </c>
      <c r="AI115" s="662"/>
      <c r="AJ115" s="376"/>
      <c r="AK115" s="377"/>
      <c r="AL115" s="377"/>
      <c r="AM115" s="356" t="e">
        <f t="shared" si="159"/>
        <v>#N/A</v>
      </c>
      <c r="AN115" s="662"/>
      <c r="AO115" s="376"/>
      <c r="AP115" s="377"/>
      <c r="AQ115" s="377"/>
      <c r="AR115" s="356" t="e">
        <f t="shared" si="160"/>
        <v>#N/A</v>
      </c>
      <c r="AS115" s="662"/>
      <c r="AT115" s="376"/>
      <c r="AU115" s="377"/>
      <c r="AV115" s="377"/>
      <c r="AW115" s="356" t="e">
        <f t="shared" si="161"/>
        <v>#N/A</v>
      </c>
      <c r="AX115" s="658"/>
    </row>
    <row r="116" spans="2:50">
      <c r="B116" s="627"/>
      <c r="C116" s="356">
        <v>10</v>
      </c>
      <c r="D116" s="228"/>
      <c r="E116" s="183"/>
      <c r="F116" s="356"/>
      <c r="G116" s="359"/>
      <c r="H116" s="662"/>
      <c r="I116" s="200"/>
      <c r="J116" s="200"/>
      <c r="K116" s="201"/>
      <c r="L116" s="601"/>
      <c r="M116" s="367" t="e">
        <f>RANK(K116, K$107:$K$121)</f>
        <v>#DIV/0!</v>
      </c>
      <c r="N116" s="619"/>
      <c r="O116" s="619"/>
      <c r="P116" s="356"/>
      <c r="Q116" s="356"/>
      <c r="R116" s="359"/>
      <c r="S116" s="366" t="e">
        <f t="shared" si="155"/>
        <v>#N/A</v>
      </c>
      <c r="T116" s="662"/>
      <c r="U116" s="376"/>
      <c r="V116" s="376"/>
      <c r="W116" s="377"/>
      <c r="X116" s="356" t="e">
        <f t="shared" si="156"/>
        <v>#N/A</v>
      </c>
      <c r="Y116" s="662"/>
      <c r="Z116" s="376"/>
      <c r="AA116" s="376"/>
      <c r="AB116" s="377"/>
      <c r="AC116" s="356" t="e">
        <f t="shared" si="157"/>
        <v>#N/A</v>
      </c>
      <c r="AD116" s="662"/>
      <c r="AE116" s="376"/>
      <c r="AF116" s="376"/>
      <c r="AG116" s="377"/>
      <c r="AH116" s="356" t="e">
        <f t="shared" si="158"/>
        <v>#N/A</v>
      </c>
      <c r="AI116" s="662"/>
      <c r="AJ116" s="376"/>
      <c r="AK116" s="376"/>
      <c r="AL116" s="377"/>
      <c r="AM116" s="356" t="e">
        <f t="shared" si="159"/>
        <v>#N/A</v>
      </c>
      <c r="AN116" s="662"/>
      <c r="AO116" s="376"/>
      <c r="AP116" s="376"/>
      <c r="AQ116" s="377"/>
      <c r="AR116" s="356" t="e">
        <f t="shared" si="160"/>
        <v>#N/A</v>
      </c>
      <c r="AS116" s="662"/>
      <c r="AT116" s="376"/>
      <c r="AU116" s="376"/>
      <c r="AV116" s="377"/>
      <c r="AW116" s="356" t="e">
        <f t="shared" si="161"/>
        <v>#N/A</v>
      </c>
      <c r="AX116" s="658"/>
    </row>
    <row r="117" spans="2:50">
      <c r="B117" s="627"/>
      <c r="C117" s="356">
        <v>11</v>
      </c>
      <c r="D117" s="228"/>
      <c r="E117" s="183"/>
      <c r="F117" s="356"/>
      <c r="G117" s="359"/>
      <c r="H117" s="662"/>
      <c r="I117" s="203"/>
      <c r="J117" s="203"/>
      <c r="K117" s="203"/>
      <c r="L117" s="601"/>
      <c r="M117" s="367" t="e">
        <f>RANK(K117, K$107:$K$121)</f>
        <v>#DIV/0!</v>
      </c>
      <c r="N117" s="619"/>
      <c r="O117" s="619"/>
      <c r="P117" s="356"/>
      <c r="Q117" s="356"/>
      <c r="R117" s="356"/>
      <c r="S117" s="366" t="e">
        <f t="shared" si="155"/>
        <v>#N/A</v>
      </c>
      <c r="T117" s="662"/>
      <c r="U117" s="376"/>
      <c r="V117" s="376"/>
      <c r="W117" s="376"/>
      <c r="X117" s="356" t="e">
        <f t="shared" si="156"/>
        <v>#N/A</v>
      </c>
      <c r="Y117" s="662"/>
      <c r="Z117" s="376"/>
      <c r="AA117" s="376"/>
      <c r="AB117" s="376"/>
      <c r="AC117" s="356" t="e">
        <f t="shared" si="157"/>
        <v>#N/A</v>
      </c>
      <c r="AD117" s="662"/>
      <c r="AE117" s="376"/>
      <c r="AF117" s="376"/>
      <c r="AG117" s="376"/>
      <c r="AH117" s="356" t="e">
        <f t="shared" si="158"/>
        <v>#N/A</v>
      </c>
      <c r="AI117" s="662"/>
      <c r="AJ117" s="376"/>
      <c r="AK117" s="376"/>
      <c r="AL117" s="376"/>
      <c r="AM117" s="356" t="e">
        <f t="shared" si="159"/>
        <v>#N/A</v>
      </c>
      <c r="AN117" s="662"/>
      <c r="AO117" s="376"/>
      <c r="AP117" s="376"/>
      <c r="AQ117" s="376"/>
      <c r="AR117" s="356" t="e">
        <f t="shared" si="160"/>
        <v>#N/A</v>
      </c>
      <c r="AS117" s="662"/>
      <c r="AT117" s="376"/>
      <c r="AU117" s="376"/>
      <c r="AV117" s="376"/>
      <c r="AW117" s="356" t="e">
        <f t="shared" si="161"/>
        <v>#N/A</v>
      </c>
      <c r="AX117" s="658"/>
    </row>
    <row r="118" spans="2:50">
      <c r="B118" s="627"/>
      <c r="C118" s="356">
        <v>12</v>
      </c>
      <c r="D118" s="228"/>
      <c r="E118" s="183"/>
      <c r="F118" s="356"/>
      <c r="G118" s="359"/>
      <c r="H118" s="662"/>
      <c r="I118" s="203"/>
      <c r="J118" s="203"/>
      <c r="K118" s="203"/>
      <c r="L118" s="601"/>
      <c r="M118" s="367" t="e">
        <f>RANK(K118, K$107:$K$121)</f>
        <v>#DIV/0!</v>
      </c>
      <c r="N118" s="619"/>
      <c r="O118" s="619"/>
      <c r="P118" s="356"/>
      <c r="Q118" s="356"/>
      <c r="R118" s="356"/>
      <c r="S118" s="366" t="e">
        <f t="shared" si="155"/>
        <v>#N/A</v>
      </c>
      <c r="T118" s="662"/>
      <c r="U118" s="376"/>
      <c r="V118" s="376"/>
      <c r="W118" s="376"/>
      <c r="X118" s="356" t="e">
        <f t="shared" si="156"/>
        <v>#N/A</v>
      </c>
      <c r="Y118" s="662"/>
      <c r="Z118" s="376"/>
      <c r="AA118" s="376"/>
      <c r="AB118" s="376"/>
      <c r="AC118" s="356" t="e">
        <f t="shared" si="157"/>
        <v>#N/A</v>
      </c>
      <c r="AD118" s="662"/>
      <c r="AE118" s="376"/>
      <c r="AF118" s="376"/>
      <c r="AG118" s="376"/>
      <c r="AH118" s="356" t="e">
        <f t="shared" si="158"/>
        <v>#N/A</v>
      </c>
      <c r="AI118" s="662"/>
      <c r="AJ118" s="376"/>
      <c r="AK118" s="376"/>
      <c r="AL118" s="376"/>
      <c r="AM118" s="356" t="e">
        <f t="shared" si="159"/>
        <v>#N/A</v>
      </c>
      <c r="AN118" s="662"/>
      <c r="AO118" s="376"/>
      <c r="AP118" s="376"/>
      <c r="AQ118" s="376"/>
      <c r="AR118" s="356" t="e">
        <f t="shared" si="160"/>
        <v>#N/A</v>
      </c>
      <c r="AS118" s="662"/>
      <c r="AT118" s="376"/>
      <c r="AU118" s="376"/>
      <c r="AV118" s="376"/>
      <c r="AW118" s="356" t="e">
        <f t="shared" si="161"/>
        <v>#N/A</v>
      </c>
      <c r="AX118" s="658"/>
    </row>
    <row r="119" spans="2:50">
      <c r="B119" s="627"/>
      <c r="C119" s="356">
        <v>13</v>
      </c>
      <c r="D119" s="228"/>
      <c r="E119" s="183"/>
      <c r="F119" s="356"/>
      <c r="G119" s="359"/>
      <c r="H119" s="662"/>
      <c r="I119" s="203"/>
      <c r="J119" s="203"/>
      <c r="K119" s="203"/>
      <c r="L119" s="601"/>
      <c r="M119" s="367" t="e">
        <f>RANK(K119, K$107:$K$121)</f>
        <v>#DIV/0!</v>
      </c>
      <c r="N119" s="619"/>
      <c r="O119" s="619"/>
      <c r="P119" s="356"/>
      <c r="Q119" s="356"/>
      <c r="R119" s="356"/>
      <c r="S119" s="366" t="e">
        <f t="shared" si="155"/>
        <v>#N/A</v>
      </c>
      <c r="T119" s="662"/>
      <c r="U119" s="376"/>
      <c r="V119" s="376"/>
      <c r="W119" s="376"/>
      <c r="X119" s="356" t="e">
        <f t="shared" si="156"/>
        <v>#N/A</v>
      </c>
      <c r="Y119" s="662"/>
      <c r="Z119" s="376"/>
      <c r="AA119" s="376"/>
      <c r="AB119" s="376"/>
      <c r="AC119" s="356" t="e">
        <f t="shared" si="157"/>
        <v>#N/A</v>
      </c>
      <c r="AD119" s="662"/>
      <c r="AE119" s="376"/>
      <c r="AF119" s="376"/>
      <c r="AG119" s="376"/>
      <c r="AH119" s="356" t="e">
        <f t="shared" si="158"/>
        <v>#N/A</v>
      </c>
      <c r="AI119" s="662"/>
      <c r="AJ119" s="376"/>
      <c r="AK119" s="376"/>
      <c r="AL119" s="376"/>
      <c r="AM119" s="356" t="e">
        <f t="shared" si="159"/>
        <v>#N/A</v>
      </c>
      <c r="AN119" s="662"/>
      <c r="AO119" s="376"/>
      <c r="AP119" s="376"/>
      <c r="AQ119" s="376"/>
      <c r="AR119" s="356" t="e">
        <f t="shared" si="160"/>
        <v>#N/A</v>
      </c>
      <c r="AS119" s="662"/>
      <c r="AT119" s="376"/>
      <c r="AU119" s="376"/>
      <c r="AV119" s="376"/>
      <c r="AW119" s="356" t="e">
        <f t="shared" si="161"/>
        <v>#N/A</v>
      </c>
      <c r="AX119" s="658"/>
    </row>
    <row r="120" spans="2:50">
      <c r="B120" s="627"/>
      <c r="C120" s="356">
        <v>14</v>
      </c>
      <c r="D120" s="228"/>
      <c r="E120" s="183"/>
      <c r="F120" s="356"/>
      <c r="G120" s="359"/>
      <c r="H120" s="662"/>
      <c r="I120" s="203"/>
      <c r="J120" s="203"/>
      <c r="K120" s="203"/>
      <c r="L120" s="601"/>
      <c r="M120" s="367" t="e">
        <f>RANK(K120, K$107:$K$121)</f>
        <v>#DIV/0!</v>
      </c>
      <c r="N120" s="619"/>
      <c r="O120" s="619"/>
      <c r="P120" s="356"/>
      <c r="Q120" s="356"/>
      <c r="R120" s="356"/>
      <c r="S120" s="366" t="e">
        <f t="shared" si="155"/>
        <v>#N/A</v>
      </c>
      <c r="T120" s="662"/>
      <c r="U120" s="376"/>
      <c r="V120" s="376"/>
      <c r="W120" s="376"/>
      <c r="X120" s="356" t="e">
        <f t="shared" si="156"/>
        <v>#N/A</v>
      </c>
      <c r="Y120" s="662"/>
      <c r="Z120" s="376"/>
      <c r="AA120" s="376"/>
      <c r="AB120" s="376"/>
      <c r="AC120" s="356" t="e">
        <f t="shared" si="157"/>
        <v>#N/A</v>
      </c>
      <c r="AD120" s="662"/>
      <c r="AE120" s="376"/>
      <c r="AF120" s="376"/>
      <c r="AG120" s="376"/>
      <c r="AH120" s="356" t="e">
        <f t="shared" si="158"/>
        <v>#N/A</v>
      </c>
      <c r="AI120" s="662"/>
      <c r="AJ120" s="376"/>
      <c r="AK120" s="376"/>
      <c r="AL120" s="376"/>
      <c r="AM120" s="356" t="e">
        <f t="shared" si="159"/>
        <v>#N/A</v>
      </c>
      <c r="AN120" s="662"/>
      <c r="AO120" s="376"/>
      <c r="AP120" s="376"/>
      <c r="AQ120" s="376"/>
      <c r="AR120" s="356" t="e">
        <f t="shared" si="160"/>
        <v>#N/A</v>
      </c>
      <c r="AS120" s="662"/>
      <c r="AT120" s="376"/>
      <c r="AU120" s="376"/>
      <c r="AV120" s="376"/>
      <c r="AW120" s="356" t="e">
        <f t="shared" si="161"/>
        <v>#N/A</v>
      </c>
      <c r="AX120" s="658"/>
    </row>
    <row r="121" spans="2:50">
      <c r="B121" s="627"/>
      <c r="C121" s="356">
        <v>15</v>
      </c>
      <c r="D121" s="228"/>
      <c r="E121" s="183"/>
      <c r="F121" s="356"/>
      <c r="G121" s="359"/>
      <c r="H121" s="663"/>
      <c r="I121" s="203"/>
      <c r="J121" s="203"/>
      <c r="K121" s="203"/>
      <c r="L121" s="602"/>
      <c r="M121" s="367" t="e">
        <f>RANK(K121, K$107:$K$121)</f>
        <v>#DIV/0!</v>
      </c>
      <c r="N121" s="619"/>
      <c r="O121" s="619"/>
      <c r="P121" s="356"/>
      <c r="Q121" s="356"/>
      <c r="R121" s="356"/>
      <c r="S121" s="366" t="e">
        <f t="shared" si="155"/>
        <v>#N/A</v>
      </c>
      <c r="T121" s="663"/>
      <c r="U121" s="376"/>
      <c r="V121" s="376"/>
      <c r="W121" s="376"/>
      <c r="X121" s="356" t="e">
        <f t="shared" si="156"/>
        <v>#N/A</v>
      </c>
      <c r="Y121" s="663"/>
      <c r="Z121" s="376"/>
      <c r="AA121" s="376"/>
      <c r="AB121" s="376"/>
      <c r="AC121" s="356" t="e">
        <f t="shared" si="157"/>
        <v>#N/A</v>
      </c>
      <c r="AD121" s="663"/>
      <c r="AE121" s="376"/>
      <c r="AF121" s="376"/>
      <c r="AG121" s="376"/>
      <c r="AH121" s="356" t="e">
        <f t="shared" si="158"/>
        <v>#N/A</v>
      </c>
      <c r="AI121" s="663"/>
      <c r="AJ121" s="376"/>
      <c r="AK121" s="376"/>
      <c r="AL121" s="376"/>
      <c r="AM121" s="356" t="e">
        <f t="shared" si="159"/>
        <v>#N/A</v>
      </c>
      <c r="AN121" s="663"/>
      <c r="AO121" s="376"/>
      <c r="AP121" s="376"/>
      <c r="AQ121" s="376"/>
      <c r="AR121" s="356" t="e">
        <f t="shared" si="160"/>
        <v>#N/A</v>
      </c>
      <c r="AS121" s="663"/>
      <c r="AT121" s="376"/>
      <c r="AU121" s="376"/>
      <c r="AV121" s="376"/>
      <c r="AW121" s="356" t="e">
        <f t="shared" si="161"/>
        <v>#N/A</v>
      </c>
      <c r="AX121" s="658"/>
    </row>
    <row r="123" spans="2:50" ht="15.5">
      <c r="B123" s="652" t="s">
        <v>712</v>
      </c>
      <c r="C123" s="653"/>
      <c r="D123" s="653"/>
      <c r="E123" s="653"/>
      <c r="F123" s="653"/>
      <c r="G123" s="653"/>
      <c r="H123" s="654"/>
      <c r="I123" s="360"/>
      <c r="J123" s="360"/>
      <c r="K123" s="360"/>
      <c r="L123" s="360"/>
      <c r="M123" s="361"/>
    </row>
    <row r="124" spans="2:50" ht="15.5">
      <c r="B124" s="655"/>
      <c r="C124" s="655"/>
      <c r="D124" s="655"/>
      <c r="E124" s="655"/>
      <c r="F124" s="655"/>
      <c r="G124" s="655"/>
      <c r="H124" s="655"/>
      <c r="I124" s="362"/>
      <c r="J124" s="362"/>
      <c r="K124" s="362"/>
      <c r="L124" s="362"/>
      <c r="M124" s="363"/>
    </row>
    <row r="125" spans="2:50">
      <c r="B125" s="619" t="s">
        <v>713</v>
      </c>
      <c r="C125" s="619" t="s">
        <v>714</v>
      </c>
      <c r="D125" s="619"/>
      <c r="E125" s="619" t="s">
        <v>715</v>
      </c>
      <c r="F125" s="619"/>
      <c r="G125" s="619"/>
      <c r="H125" s="635" t="s">
        <v>716</v>
      </c>
      <c r="I125" s="656" t="s">
        <v>717</v>
      </c>
      <c r="J125" s="656"/>
      <c r="K125" s="656"/>
      <c r="L125" s="672" t="s">
        <v>716</v>
      </c>
      <c r="M125" s="675" t="s">
        <v>718</v>
      </c>
    </row>
    <row r="126" spans="2:50">
      <c r="B126" s="619"/>
      <c r="C126" s="619"/>
      <c r="D126" s="619"/>
      <c r="E126" s="619" t="s">
        <v>719</v>
      </c>
      <c r="F126" s="619"/>
      <c r="G126" s="619"/>
      <c r="H126" s="636"/>
      <c r="I126" s="656" t="s">
        <v>719</v>
      </c>
      <c r="J126" s="656"/>
      <c r="K126" s="656"/>
      <c r="L126" s="673"/>
      <c r="M126" s="676"/>
    </row>
    <row r="127" spans="2:50">
      <c r="B127" s="619"/>
      <c r="C127" s="619"/>
      <c r="D127" s="619"/>
      <c r="E127" s="357" t="s">
        <v>720</v>
      </c>
      <c r="F127" s="357" t="s">
        <v>721</v>
      </c>
      <c r="G127" s="357" t="s">
        <v>722</v>
      </c>
      <c r="H127" s="637"/>
      <c r="I127" s="364" t="s">
        <v>720</v>
      </c>
      <c r="J127" s="364" t="s">
        <v>721</v>
      </c>
      <c r="K127" s="364" t="s">
        <v>722</v>
      </c>
      <c r="L127" s="674"/>
      <c r="M127" s="677"/>
    </row>
    <row r="128" spans="2:50">
      <c r="B128" s="619" t="s">
        <v>729</v>
      </c>
      <c r="C128" s="356">
        <v>1</v>
      </c>
      <c r="D128" s="228"/>
      <c r="E128" s="183"/>
      <c r="F128" s="356"/>
      <c r="G128" s="359"/>
      <c r="H128" s="661" t="e">
        <f>AVERAGE(G128:G142)</f>
        <v>#DIV/0!</v>
      </c>
      <c r="I128" s="200" t="e">
        <f t="shared" ref="I128:J132" si="162">AVERAGEIF($D$7:$D$121,$D128,I$7:I$121)</f>
        <v>#DIV/0!</v>
      </c>
      <c r="J128" s="200" t="e">
        <f t="shared" si="162"/>
        <v>#DIV/0!</v>
      </c>
      <c r="K128" s="200" t="e">
        <f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27"/>
      <c r="C129" s="356">
        <v>2</v>
      </c>
      <c r="D129" s="228"/>
      <c r="E129" s="183"/>
      <c r="F129" s="356"/>
      <c r="G129" s="359"/>
      <c r="H129" s="662"/>
      <c r="I129" s="200" t="e">
        <f t="shared" si="162"/>
        <v>#DIV/0!</v>
      </c>
      <c r="J129" s="200" t="e">
        <f t="shared" si="162"/>
        <v>#DIV/0!</v>
      </c>
      <c r="K129" s="200" t="e">
        <f>AVERAGEIF($D$7:$D$121,$D129,K$7:K$121)</f>
        <v>#DIV/0!</v>
      </c>
      <c r="L129" s="670"/>
      <c r="M129" s="200" t="e">
        <f>RANK(K129, K$128:$K$142)</f>
        <v>#DIV/0!</v>
      </c>
    </row>
    <row r="130" spans="2:13">
      <c r="B130" s="627"/>
      <c r="C130" s="356">
        <v>3</v>
      </c>
      <c r="D130" s="228"/>
      <c r="E130" s="183"/>
      <c r="F130" s="356"/>
      <c r="G130" s="359"/>
      <c r="H130" s="662"/>
      <c r="I130" s="200" t="e">
        <f t="shared" si="162"/>
        <v>#DIV/0!</v>
      </c>
      <c r="J130" s="200" t="e">
        <f t="shared" si="162"/>
        <v>#DIV/0!</v>
      </c>
      <c r="K130" s="200" t="e">
        <f>AVERAGEIF($D$7:$D$121,$D130,K$7:K$121)</f>
        <v>#DIV/0!</v>
      </c>
      <c r="L130" s="670"/>
      <c r="M130" s="200" t="e">
        <f>RANK(K130, K$128:$K$142)</f>
        <v>#DIV/0!</v>
      </c>
    </row>
    <row r="131" spans="2:13">
      <c r="B131" s="627"/>
      <c r="C131" s="356">
        <v>4</v>
      </c>
      <c r="D131" s="228"/>
      <c r="E131" s="183"/>
      <c r="F131" s="356"/>
      <c r="G131" s="359"/>
      <c r="H131" s="662"/>
      <c r="I131" s="200" t="e">
        <f t="shared" si="162"/>
        <v>#DIV/0!</v>
      </c>
      <c r="J131" s="200" t="e">
        <f t="shared" si="162"/>
        <v>#DIV/0!</v>
      </c>
      <c r="K131" s="200" t="e">
        <f>AVERAGEIF($D$7:$D$121,$D131,K$7:K$121)</f>
        <v>#DIV/0!</v>
      </c>
      <c r="L131" s="670"/>
      <c r="M131" s="200" t="e">
        <f>RANK(K131, K$128:$K$142)</f>
        <v>#DIV/0!</v>
      </c>
    </row>
    <row r="132" spans="2:13">
      <c r="B132" s="627"/>
      <c r="C132" s="356">
        <v>5</v>
      </c>
      <c r="D132" s="228"/>
      <c r="E132" s="183"/>
      <c r="F132" s="356"/>
      <c r="G132" s="359"/>
      <c r="H132" s="662"/>
      <c r="I132" s="200" t="e">
        <f t="shared" si="162"/>
        <v>#DIV/0!</v>
      </c>
      <c r="J132" s="200" t="e">
        <f t="shared" si="162"/>
        <v>#DIV/0!</v>
      </c>
      <c r="K132" s="200" t="e">
        <f>AVERAGEIF($D$7:$D$121,$D132,K$7:K$121)</f>
        <v>#DIV/0!</v>
      </c>
      <c r="L132" s="670"/>
      <c r="M132" s="200" t="e">
        <f>RANK(K132, K$128:$K$142)</f>
        <v>#DIV/0!</v>
      </c>
    </row>
    <row r="133" spans="2:13">
      <c r="B133" s="627"/>
      <c r="C133" s="356">
        <v>6</v>
      </c>
      <c r="D133" s="365"/>
      <c r="E133" s="183"/>
      <c r="F133" s="356"/>
      <c r="G133" s="359"/>
      <c r="H133" s="662"/>
      <c r="I133" s="200"/>
      <c r="J133" s="200"/>
      <c r="K133" s="200"/>
      <c r="L133" s="670"/>
      <c r="M133" s="200" t="e">
        <f>RANK(K133, K$128:$K$142)</f>
        <v>#DIV/0!</v>
      </c>
    </row>
    <row r="134" spans="2:13">
      <c r="B134" s="627"/>
      <c r="C134" s="356">
        <v>7</v>
      </c>
      <c r="D134" s="228"/>
      <c r="E134" s="183"/>
      <c r="F134" s="356"/>
      <c r="G134" s="359"/>
      <c r="H134" s="662"/>
      <c r="I134" s="200"/>
      <c r="J134" s="200"/>
      <c r="K134" s="200"/>
      <c r="L134" s="670"/>
      <c r="M134" s="200" t="e">
        <f>RANK(K134, K$128:$K$142)</f>
        <v>#DIV/0!</v>
      </c>
    </row>
    <row r="135" spans="2:13">
      <c r="B135" s="627"/>
      <c r="C135" s="356">
        <v>8</v>
      </c>
      <c r="D135" s="228"/>
      <c r="E135" s="183"/>
      <c r="F135" s="356"/>
      <c r="G135" s="359"/>
      <c r="H135" s="662"/>
      <c r="I135" s="200"/>
      <c r="J135" s="200"/>
      <c r="K135" s="200"/>
      <c r="L135" s="670"/>
      <c r="M135" s="200" t="e">
        <f>RANK(K135, K$128:$K$142)</f>
        <v>#DIV/0!</v>
      </c>
    </row>
    <row r="136" spans="2:13">
      <c r="B136" s="627"/>
      <c r="C136" s="356">
        <v>9</v>
      </c>
      <c r="D136" s="228"/>
      <c r="E136" s="356"/>
      <c r="F136" s="356"/>
      <c r="G136" s="356"/>
      <c r="H136" s="662"/>
      <c r="I136" s="200"/>
      <c r="J136" s="200"/>
      <c r="K136" s="200"/>
      <c r="L136" s="670"/>
      <c r="M136" s="200" t="e">
        <f>RANK(K136, K$128:$K$142)</f>
        <v>#DIV/0!</v>
      </c>
    </row>
    <row r="137" spans="2:13">
      <c r="B137" s="627"/>
      <c r="C137" s="356">
        <v>10</v>
      </c>
      <c r="D137" s="228"/>
      <c r="E137" s="356"/>
      <c r="F137" s="356"/>
      <c r="G137" s="356"/>
      <c r="H137" s="662"/>
      <c r="I137" s="200"/>
      <c r="J137" s="200"/>
      <c r="K137" s="200"/>
      <c r="L137" s="670"/>
      <c r="M137" s="200" t="e">
        <f>RANK(K137, K$128:$K$142)</f>
        <v>#DIV/0!</v>
      </c>
    </row>
    <row r="138" spans="2:13">
      <c r="B138" s="627"/>
      <c r="C138" s="356">
        <v>11</v>
      </c>
      <c r="D138" s="228"/>
      <c r="E138" s="356"/>
      <c r="F138" s="356"/>
      <c r="G138" s="356"/>
      <c r="H138" s="662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27"/>
      <c r="C139" s="356">
        <v>12</v>
      </c>
      <c r="D139" s="228"/>
      <c r="E139" s="356"/>
      <c r="F139" s="356"/>
      <c r="G139" s="356"/>
      <c r="H139" s="662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27"/>
      <c r="C140" s="356">
        <v>13</v>
      </c>
      <c r="D140" s="228"/>
      <c r="E140" s="356"/>
      <c r="F140" s="356"/>
      <c r="G140" s="356"/>
      <c r="H140" s="662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27"/>
      <c r="C141" s="356">
        <v>14</v>
      </c>
      <c r="D141" s="228"/>
      <c r="E141" s="356"/>
      <c r="F141" s="356"/>
      <c r="G141" s="356"/>
      <c r="H141" s="662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27"/>
      <c r="C142" s="356">
        <v>15</v>
      </c>
      <c r="D142" s="228"/>
      <c r="E142" s="356"/>
      <c r="F142" s="356"/>
      <c r="G142" s="356"/>
      <c r="H142" s="663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5" zoomScale="70" zoomScaleNormal="70" workbookViewId="0">
      <pane xSplit="15" topLeftCell="P1" activePane="topRight" state="frozen"/>
      <selection activeCell="P2" sqref="P2:T2"/>
      <selection pane="topRight" activeCell="P47" sqref="P47:R54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16384" width="8.81640625" style="108"/>
  </cols>
  <sheetData>
    <row r="1" spans="1:54" ht="21">
      <c r="A1" s="75"/>
      <c r="B1" s="223" t="s">
        <v>332</v>
      </c>
      <c r="C1" s="222">
        <f>AVERAGE(L7,L27,L47,L67,L87,L107)</f>
        <v>115.90621259019042</v>
      </c>
    </row>
    <row r="2" spans="1:54" ht="15.5">
      <c r="A2" s="81"/>
      <c r="B2" s="631" t="s">
        <v>163</v>
      </c>
      <c r="C2" s="631"/>
      <c r="D2" s="631"/>
      <c r="E2" s="631"/>
      <c r="F2" s="631"/>
      <c r="G2" s="631"/>
      <c r="H2" s="631"/>
      <c r="I2" s="318"/>
      <c r="J2" s="318"/>
      <c r="K2" s="318"/>
      <c r="L2" s="318"/>
      <c r="M2" s="198"/>
      <c r="N2" s="620" t="s">
        <v>156</v>
      </c>
      <c r="O2" s="620" t="s">
        <v>155</v>
      </c>
      <c r="P2" s="666"/>
      <c r="Q2" s="667"/>
      <c r="R2" s="667"/>
      <c r="S2" s="667"/>
      <c r="T2" s="668"/>
      <c r="U2" s="626"/>
      <c r="V2" s="627"/>
      <c r="W2" s="627"/>
      <c r="X2" s="627"/>
      <c r="Y2" s="627"/>
      <c r="Z2" s="626"/>
      <c r="AA2" s="627"/>
      <c r="AB2" s="627"/>
      <c r="AC2" s="627"/>
      <c r="AD2" s="627"/>
      <c r="AE2" s="626"/>
      <c r="AF2" s="627"/>
      <c r="AG2" s="627"/>
      <c r="AH2" s="627"/>
      <c r="AI2" s="627"/>
      <c r="AJ2" s="626"/>
      <c r="AK2" s="627"/>
      <c r="AL2" s="627"/>
      <c r="AM2" s="627"/>
      <c r="AN2" s="627"/>
      <c r="AO2" s="626"/>
      <c r="AP2" s="627"/>
      <c r="AQ2" s="627"/>
      <c r="AR2" s="627"/>
      <c r="AS2" s="627"/>
      <c r="AT2" s="626">
        <v>45992</v>
      </c>
      <c r="AU2" s="627"/>
      <c r="AV2" s="627"/>
      <c r="AW2" s="627"/>
      <c r="AX2" s="627"/>
    </row>
    <row r="3" spans="1:54" ht="15.5">
      <c r="A3" s="81"/>
      <c r="B3" s="651"/>
      <c r="C3" s="651"/>
      <c r="D3" s="651"/>
      <c r="E3" s="651"/>
      <c r="F3" s="651"/>
      <c r="G3" s="651"/>
      <c r="H3" s="651"/>
      <c r="I3" s="319"/>
      <c r="J3" s="319"/>
      <c r="K3" s="319"/>
      <c r="L3" s="319"/>
      <c r="M3" s="199"/>
      <c r="N3" s="622"/>
      <c r="O3" s="622"/>
      <c r="P3" s="623" t="s">
        <v>158</v>
      </c>
      <c r="Q3" s="624"/>
      <c r="R3" s="624"/>
      <c r="S3" s="624"/>
      <c r="T3" s="625"/>
      <c r="U3" s="623" t="s">
        <v>114</v>
      </c>
      <c r="V3" s="624"/>
      <c r="W3" s="624"/>
      <c r="X3" s="624"/>
      <c r="Y3" s="625"/>
      <c r="Z3" s="623" t="s">
        <v>159</v>
      </c>
      <c r="AA3" s="624"/>
      <c r="AB3" s="624"/>
      <c r="AC3" s="624"/>
      <c r="AD3" s="625"/>
      <c r="AE3" s="623" t="s">
        <v>157</v>
      </c>
      <c r="AF3" s="624"/>
      <c r="AG3" s="624"/>
      <c r="AH3" s="624"/>
      <c r="AI3" s="625"/>
      <c r="AJ3" s="623" t="s">
        <v>160</v>
      </c>
      <c r="AK3" s="624"/>
      <c r="AL3" s="624"/>
      <c r="AM3" s="624"/>
      <c r="AN3" s="625"/>
      <c r="AO3" s="623" t="s">
        <v>161</v>
      </c>
      <c r="AP3" s="624"/>
      <c r="AQ3" s="624"/>
      <c r="AR3" s="624"/>
      <c r="AS3" s="625"/>
      <c r="AT3" s="623" t="s">
        <v>162</v>
      </c>
      <c r="AU3" s="624"/>
      <c r="AV3" s="624"/>
      <c r="AW3" s="624"/>
      <c r="AX3" s="625"/>
    </row>
    <row r="4" spans="1:54">
      <c r="A4" s="81"/>
      <c r="B4" s="619" t="s">
        <v>502</v>
      </c>
      <c r="C4" s="619" t="s">
        <v>503</v>
      </c>
      <c r="D4" s="619"/>
      <c r="E4" s="619" t="s">
        <v>504</v>
      </c>
      <c r="F4" s="619"/>
      <c r="G4" s="619"/>
      <c r="H4" s="635" t="s">
        <v>505</v>
      </c>
      <c r="I4" s="603" t="s">
        <v>506</v>
      </c>
      <c r="J4" s="603"/>
      <c r="K4" s="603"/>
      <c r="L4" s="604" t="s">
        <v>505</v>
      </c>
      <c r="M4" s="610" t="s">
        <v>507</v>
      </c>
      <c r="N4" s="619"/>
      <c r="O4" s="619" t="s">
        <v>508</v>
      </c>
      <c r="P4" s="616" t="s">
        <v>509</v>
      </c>
      <c r="Q4" s="617"/>
      <c r="R4" s="617"/>
      <c r="S4" s="618"/>
      <c r="T4" s="619" t="s">
        <v>505</v>
      </c>
      <c r="U4" s="616" t="s">
        <v>509</v>
      </c>
      <c r="V4" s="617"/>
      <c r="W4" s="617"/>
      <c r="X4" s="618"/>
      <c r="Y4" s="619" t="s">
        <v>505</v>
      </c>
      <c r="Z4" s="616" t="s">
        <v>509</v>
      </c>
      <c r="AA4" s="617"/>
      <c r="AB4" s="617"/>
      <c r="AC4" s="618"/>
      <c r="AD4" s="619" t="s">
        <v>505</v>
      </c>
      <c r="AE4" s="616" t="s">
        <v>509</v>
      </c>
      <c r="AF4" s="617"/>
      <c r="AG4" s="617"/>
      <c r="AH4" s="618"/>
      <c r="AI4" s="619" t="s">
        <v>505</v>
      </c>
      <c r="AJ4" s="616" t="s">
        <v>509</v>
      </c>
      <c r="AK4" s="617"/>
      <c r="AL4" s="617"/>
      <c r="AM4" s="618"/>
      <c r="AN4" s="619" t="s">
        <v>505</v>
      </c>
      <c r="AO4" s="616" t="s">
        <v>509</v>
      </c>
      <c r="AP4" s="617"/>
      <c r="AQ4" s="617"/>
      <c r="AR4" s="618"/>
      <c r="AS4" s="619" t="s">
        <v>505</v>
      </c>
      <c r="AT4" s="616" t="s">
        <v>509</v>
      </c>
      <c r="AU4" s="617"/>
      <c r="AV4" s="617"/>
      <c r="AW4" s="618"/>
      <c r="AX4" s="619" t="s">
        <v>505</v>
      </c>
    </row>
    <row r="5" spans="1:54">
      <c r="A5" s="81"/>
      <c r="B5" s="619"/>
      <c r="C5" s="619"/>
      <c r="D5" s="619"/>
      <c r="E5" s="619" t="s">
        <v>510</v>
      </c>
      <c r="F5" s="619"/>
      <c r="G5" s="619"/>
      <c r="H5" s="636"/>
      <c r="I5" s="603" t="s">
        <v>510</v>
      </c>
      <c r="J5" s="603"/>
      <c r="K5" s="603"/>
      <c r="L5" s="605"/>
      <c r="M5" s="611"/>
      <c r="N5" s="619"/>
      <c r="O5" s="619"/>
      <c r="P5" s="616" t="s">
        <v>511</v>
      </c>
      <c r="Q5" s="617"/>
      <c r="R5" s="617"/>
      <c r="S5" s="618"/>
      <c r="T5" s="619"/>
      <c r="U5" s="616" t="s">
        <v>511</v>
      </c>
      <c r="V5" s="617"/>
      <c r="W5" s="617"/>
      <c r="X5" s="618"/>
      <c r="Y5" s="619"/>
      <c r="Z5" s="616" t="s">
        <v>511</v>
      </c>
      <c r="AA5" s="617"/>
      <c r="AB5" s="617"/>
      <c r="AC5" s="618"/>
      <c r="AD5" s="619"/>
      <c r="AE5" s="616" t="s">
        <v>511</v>
      </c>
      <c r="AF5" s="617"/>
      <c r="AG5" s="617"/>
      <c r="AH5" s="618"/>
      <c r="AI5" s="619"/>
      <c r="AJ5" s="616" t="s">
        <v>511</v>
      </c>
      <c r="AK5" s="617"/>
      <c r="AL5" s="617"/>
      <c r="AM5" s="618"/>
      <c r="AN5" s="619"/>
      <c r="AO5" s="616" t="s">
        <v>511</v>
      </c>
      <c r="AP5" s="617"/>
      <c r="AQ5" s="617"/>
      <c r="AR5" s="618"/>
      <c r="AS5" s="619"/>
      <c r="AT5" s="616" t="s">
        <v>511</v>
      </c>
      <c r="AU5" s="617"/>
      <c r="AV5" s="617"/>
      <c r="AW5" s="618"/>
      <c r="AX5" s="619"/>
    </row>
    <row r="6" spans="1:54">
      <c r="A6" s="79"/>
      <c r="B6" s="619"/>
      <c r="C6" s="619"/>
      <c r="D6" s="619"/>
      <c r="E6" s="473" t="s">
        <v>512</v>
      </c>
      <c r="F6" s="473" t="s">
        <v>513</v>
      </c>
      <c r="G6" s="473" t="s">
        <v>514</v>
      </c>
      <c r="H6" s="637"/>
      <c r="I6" s="474" t="s">
        <v>512</v>
      </c>
      <c r="J6" s="474" t="s">
        <v>513</v>
      </c>
      <c r="K6" s="474" t="s">
        <v>514</v>
      </c>
      <c r="L6" s="606"/>
      <c r="M6" s="612"/>
      <c r="N6" s="619"/>
      <c r="O6" s="619"/>
      <c r="P6" s="473" t="s">
        <v>512</v>
      </c>
      <c r="Q6" s="473" t="s">
        <v>513</v>
      </c>
      <c r="R6" s="473" t="s">
        <v>514</v>
      </c>
      <c r="S6" s="473" t="s">
        <v>507</v>
      </c>
      <c r="T6" s="619"/>
      <c r="U6" s="473" t="s">
        <v>512</v>
      </c>
      <c r="V6" s="473" t="s">
        <v>513</v>
      </c>
      <c r="W6" s="473" t="s">
        <v>514</v>
      </c>
      <c r="X6" s="473" t="s">
        <v>507</v>
      </c>
      <c r="Y6" s="619"/>
      <c r="Z6" s="473" t="s">
        <v>512</v>
      </c>
      <c r="AA6" s="473" t="s">
        <v>513</v>
      </c>
      <c r="AB6" s="473" t="s">
        <v>514</v>
      </c>
      <c r="AC6" s="473" t="s">
        <v>507</v>
      </c>
      <c r="AD6" s="619"/>
      <c r="AE6" s="473" t="s">
        <v>512</v>
      </c>
      <c r="AF6" s="473" t="s">
        <v>513</v>
      </c>
      <c r="AG6" s="473" t="s">
        <v>514</v>
      </c>
      <c r="AH6" s="473" t="s">
        <v>507</v>
      </c>
      <c r="AI6" s="619"/>
      <c r="AJ6" s="473" t="s">
        <v>512</v>
      </c>
      <c r="AK6" s="473" t="s">
        <v>513</v>
      </c>
      <c r="AL6" s="473" t="s">
        <v>514</v>
      </c>
      <c r="AM6" s="473" t="s">
        <v>507</v>
      </c>
      <c r="AN6" s="619"/>
      <c r="AO6" s="473" t="s">
        <v>512</v>
      </c>
      <c r="AP6" s="473" t="s">
        <v>513</v>
      </c>
      <c r="AQ6" s="473" t="s">
        <v>514</v>
      </c>
      <c r="AR6" s="473" t="s">
        <v>507</v>
      </c>
      <c r="AS6" s="619"/>
      <c r="AT6" s="473" t="s">
        <v>512</v>
      </c>
      <c r="AU6" s="473" t="s">
        <v>513</v>
      </c>
      <c r="AV6" s="473" t="s">
        <v>514</v>
      </c>
      <c r="AW6" s="473" t="s">
        <v>507</v>
      </c>
      <c r="AX6" s="619"/>
    </row>
    <row r="7" spans="1:54">
      <c r="A7" s="81"/>
      <c r="B7" s="619" t="s">
        <v>516</v>
      </c>
      <c r="C7" s="470">
        <v>1</v>
      </c>
      <c r="D7" s="228" t="s">
        <v>401</v>
      </c>
      <c r="E7" s="183">
        <v>7</v>
      </c>
      <c r="F7" s="520">
        <v>1500</v>
      </c>
      <c r="G7" s="521">
        <v>214.28571428571428</v>
      </c>
      <c r="H7" s="661">
        <f>AVERAGE(G7:G21)</f>
        <v>123.60609243697479</v>
      </c>
      <c r="I7" s="472">
        <f>AVERAGE(P7,U7,Z7,AE7,AJ7,AO7,AT7)</f>
        <v>7</v>
      </c>
      <c r="J7" s="472">
        <f>AVERAGE(Q7,V7,AA7,AF7,AK7,AP7,AU7)</f>
        <v>1314.4827586206893</v>
      </c>
      <c r="K7" s="201">
        <f>AVERAGE(R7,W7,AB7,AG7,AL7,AQ7,AV7)</f>
        <v>187.78325123152703</v>
      </c>
      <c r="L7" s="600">
        <f>IFERROR(AVERAGE(K7:K21),"-")</f>
        <v>110.03239847116873</v>
      </c>
      <c r="M7" s="475">
        <f>RANK(K7, $K$7:K$21)</f>
        <v>1</v>
      </c>
      <c r="N7" s="619"/>
      <c r="O7" s="619"/>
      <c r="P7" s="183"/>
      <c r="Q7" s="183"/>
      <c r="R7" s="521"/>
      <c r="S7" s="520" t="e">
        <f t="shared" ref="S7:S21" si="0">RANK(R7, R$7:R$21)</f>
        <v>#N/A</v>
      </c>
      <c r="T7" s="628" t="e">
        <f t="shared" ref="T7" si="1">AVERAGE(R7:R21)</f>
        <v>#DIV/0!</v>
      </c>
      <c r="U7" s="183"/>
      <c r="V7" s="183"/>
      <c r="W7" s="521"/>
      <c r="X7" s="520" t="e">
        <f t="shared" ref="X7" si="2">RANK(W7, W$7:W$21)</f>
        <v>#N/A</v>
      </c>
      <c r="Y7" s="628" t="e">
        <f t="shared" ref="Y7" si="3">AVERAGE(W7:W21)</f>
        <v>#DIV/0!</v>
      </c>
      <c r="Z7" s="183"/>
      <c r="AA7" s="183"/>
      <c r="AB7" s="521"/>
      <c r="AC7" s="520" t="e">
        <f t="shared" ref="AC7" si="4">RANK(AB7, AB$7:AB$21)</f>
        <v>#N/A</v>
      </c>
      <c r="AD7" s="628" t="e">
        <f t="shared" ref="AD7" si="5">AVERAGE(AB7:AB21)</f>
        <v>#DIV/0!</v>
      </c>
      <c r="AE7" s="183"/>
      <c r="AF7" s="183"/>
      <c r="AG7" s="521"/>
      <c r="AH7" s="520" t="e">
        <f t="shared" ref="AH7" si="6">RANK(AG7, AG$7:AG$21)</f>
        <v>#N/A</v>
      </c>
      <c r="AI7" s="628" t="e">
        <f t="shared" ref="AI7" si="7">AVERAGE(AG7:AG21)</f>
        <v>#DIV/0!</v>
      </c>
      <c r="AJ7" s="183"/>
      <c r="AK7" s="183"/>
      <c r="AL7" s="521"/>
      <c r="AM7" s="520" t="e">
        <f t="shared" ref="AM7" si="8">RANK(AL7, AL$7:AL$21)</f>
        <v>#N/A</v>
      </c>
      <c r="AN7" s="628" t="e">
        <f t="shared" ref="AN7" si="9">AVERAGE(AL7:AL21)</f>
        <v>#DIV/0!</v>
      </c>
      <c r="AO7" s="183"/>
      <c r="AP7" s="183"/>
      <c r="AQ7" s="521"/>
      <c r="AR7" s="520" t="e">
        <f t="shared" ref="AR7" si="10">RANK(AQ7, AQ$7:AQ$21)</f>
        <v>#N/A</v>
      </c>
      <c r="AS7" s="628" t="e">
        <f t="shared" ref="AS7" si="11">AVERAGE(AQ7:AQ21)</f>
        <v>#DIV/0!</v>
      </c>
      <c r="AT7" s="183">
        <v>7</v>
      </c>
      <c r="AU7" s="183">
        <v>1314.4827586206893</v>
      </c>
      <c r="AV7" s="471">
        <v>187.78325123152703</v>
      </c>
      <c r="AW7" s="470">
        <f>RANK(AV7, AV$7:AV$21)</f>
        <v>1</v>
      </c>
      <c r="AX7" s="628">
        <f>AVERAGE(AV7:AV21)</f>
        <v>110.03239847116873</v>
      </c>
      <c r="AZ7" s="379" t="e">
        <f>RANK(AX7, $K$7:AX$21)</f>
        <v>#N/A</v>
      </c>
      <c r="BB7" s="376" t="e">
        <f>RANK(BA7, BA$7:BA$21)</f>
        <v>#N/A</v>
      </c>
    </row>
    <row r="8" spans="1:54" ht="15" customHeight="1">
      <c r="A8" s="81"/>
      <c r="B8" s="627"/>
      <c r="C8" s="470">
        <v>2</v>
      </c>
      <c r="D8" s="228" t="s">
        <v>402</v>
      </c>
      <c r="E8" s="183">
        <v>7</v>
      </c>
      <c r="F8" s="520">
        <v>1500</v>
      </c>
      <c r="G8" s="521">
        <v>214.28571428571428</v>
      </c>
      <c r="H8" s="662"/>
      <c r="I8" s="472">
        <f t="shared" ref="I8:I14" si="12">AVERAGE(P8,U8,Z8,AE8,AJ8,AO8,AT8)</f>
        <v>7</v>
      </c>
      <c r="J8" s="472">
        <f t="shared" ref="J8:J14" si="13">AVERAGE(Q8,V8,AA8,AF8,AK8,AP8,AU8)</f>
        <v>1308</v>
      </c>
      <c r="K8" s="201">
        <f t="shared" ref="K8:K14" si="14">AVERAGE(R8,W8,AB8,AG8,AL8,AQ8,AV8)</f>
        <v>186.85714285714286</v>
      </c>
      <c r="L8" s="601"/>
      <c r="M8" s="475">
        <f>RANK(K8, $K$7:K$21)</f>
        <v>2</v>
      </c>
      <c r="N8" s="619"/>
      <c r="O8" s="619"/>
      <c r="P8" s="520"/>
      <c r="Q8" s="183"/>
      <c r="R8" s="521"/>
      <c r="S8" s="520" t="e">
        <f t="shared" si="0"/>
        <v>#N/A</v>
      </c>
      <c r="T8" s="629"/>
      <c r="U8" s="520"/>
      <c r="V8" s="183"/>
      <c r="W8" s="521"/>
      <c r="X8" s="520" t="e">
        <f t="shared" ref="X8" si="15">RANK(W8, W$7:W$21)</f>
        <v>#N/A</v>
      </c>
      <c r="Y8" s="629"/>
      <c r="Z8" s="520"/>
      <c r="AA8" s="183"/>
      <c r="AB8" s="521"/>
      <c r="AC8" s="520" t="e">
        <f t="shared" ref="AC8" si="16">RANK(AB8, AB$7:AB$21)</f>
        <v>#N/A</v>
      </c>
      <c r="AD8" s="629"/>
      <c r="AE8" s="520"/>
      <c r="AF8" s="183"/>
      <c r="AG8" s="521"/>
      <c r="AH8" s="520" t="e">
        <f t="shared" ref="AH8" si="17">RANK(AG8, AG$7:AG$21)</f>
        <v>#N/A</v>
      </c>
      <c r="AI8" s="629"/>
      <c r="AJ8" s="520"/>
      <c r="AK8" s="183"/>
      <c r="AL8" s="521"/>
      <c r="AM8" s="520" t="e">
        <f t="shared" ref="AM8" si="18">RANK(AL8, AL$7:AL$21)</f>
        <v>#N/A</v>
      </c>
      <c r="AN8" s="629"/>
      <c r="AO8" s="520"/>
      <c r="AP8" s="183"/>
      <c r="AQ8" s="521"/>
      <c r="AR8" s="520" t="e">
        <f t="shared" ref="AR8" si="19">RANK(AQ8, AQ$7:AQ$21)</f>
        <v>#N/A</v>
      </c>
      <c r="AS8" s="629"/>
      <c r="AT8" s="470">
        <v>7</v>
      </c>
      <c r="AU8" s="183">
        <v>1308</v>
      </c>
      <c r="AV8" s="471">
        <v>186.85714285714286</v>
      </c>
      <c r="AW8" s="470">
        <f t="shared" ref="AW8:AW21" si="20">RANK(AV8, AV$7:AV$21)</f>
        <v>2</v>
      </c>
      <c r="AX8" s="629"/>
      <c r="AZ8" s="379" t="e">
        <f>RANK(AX8, $K$7:AX$21)</f>
        <v>#N/A</v>
      </c>
      <c r="BB8" s="376" t="e">
        <f t="shared" ref="BB8:BB21" si="21">RANK(BA8, BA$7:BA$21)</f>
        <v>#N/A</v>
      </c>
    </row>
    <row r="9" spans="1:54">
      <c r="A9" s="81"/>
      <c r="B9" s="627"/>
      <c r="C9" s="470">
        <v>3</v>
      </c>
      <c r="D9" s="228" t="s">
        <v>351</v>
      </c>
      <c r="E9" s="183">
        <v>20</v>
      </c>
      <c r="F9" s="520">
        <v>1500</v>
      </c>
      <c r="G9" s="521">
        <v>75</v>
      </c>
      <c r="H9" s="662"/>
      <c r="I9" s="472">
        <f t="shared" si="12"/>
        <v>18</v>
      </c>
      <c r="J9" s="472">
        <f t="shared" si="13"/>
        <v>1271.5037593984962</v>
      </c>
      <c r="K9" s="201">
        <f t="shared" si="14"/>
        <v>70.639097744360896</v>
      </c>
      <c r="L9" s="601"/>
      <c r="M9" s="475">
        <f>RANK(K9, $K$7:K$21)</f>
        <v>6</v>
      </c>
      <c r="N9" s="619"/>
      <c r="O9" s="619"/>
      <c r="P9" s="520"/>
      <c r="Q9" s="183"/>
      <c r="R9" s="521"/>
      <c r="S9" s="520" t="e">
        <f t="shared" si="0"/>
        <v>#N/A</v>
      </c>
      <c r="T9" s="629"/>
      <c r="U9" s="520"/>
      <c r="V9" s="183"/>
      <c r="W9" s="521"/>
      <c r="X9" s="520" t="e">
        <f t="shared" ref="X9" si="22">RANK(W9, W$7:W$21)</f>
        <v>#N/A</v>
      </c>
      <c r="Y9" s="629"/>
      <c r="Z9" s="520"/>
      <c r="AA9" s="183"/>
      <c r="AB9" s="521"/>
      <c r="AC9" s="520" t="e">
        <f t="shared" ref="AC9" si="23">RANK(AB9, AB$7:AB$21)</f>
        <v>#N/A</v>
      </c>
      <c r="AD9" s="629"/>
      <c r="AE9" s="520"/>
      <c r="AF9" s="183"/>
      <c r="AG9" s="521"/>
      <c r="AH9" s="520" t="e">
        <f t="shared" ref="AH9" si="24">RANK(AG9, AG$7:AG$21)</f>
        <v>#N/A</v>
      </c>
      <c r="AI9" s="629"/>
      <c r="AJ9" s="520"/>
      <c r="AK9" s="183"/>
      <c r="AL9" s="521"/>
      <c r="AM9" s="520" t="e">
        <f t="shared" ref="AM9" si="25">RANK(AL9, AL$7:AL$21)</f>
        <v>#N/A</v>
      </c>
      <c r="AN9" s="629"/>
      <c r="AO9" s="520"/>
      <c r="AP9" s="183"/>
      <c r="AQ9" s="521"/>
      <c r="AR9" s="520" t="e">
        <f t="shared" ref="AR9" si="26">RANK(AQ9, AQ$7:AQ$21)</f>
        <v>#N/A</v>
      </c>
      <c r="AS9" s="629"/>
      <c r="AT9" s="470">
        <v>18</v>
      </c>
      <c r="AU9" s="183">
        <v>1271.5037593984962</v>
      </c>
      <c r="AV9" s="471">
        <v>70.639097744360896</v>
      </c>
      <c r="AW9" s="470">
        <f t="shared" si="20"/>
        <v>6</v>
      </c>
      <c r="AX9" s="629"/>
      <c r="AZ9" s="379" t="e">
        <f>RANK(AX9, $K$7:AX$21)</f>
        <v>#N/A</v>
      </c>
      <c r="BB9" s="376" t="e">
        <f t="shared" si="21"/>
        <v>#N/A</v>
      </c>
    </row>
    <row r="10" spans="1:54">
      <c r="A10" s="81"/>
      <c r="B10" s="627"/>
      <c r="C10" s="470">
        <v>4</v>
      </c>
      <c r="D10" s="228" t="s">
        <v>403</v>
      </c>
      <c r="E10" s="183">
        <v>17</v>
      </c>
      <c r="F10" s="520">
        <v>1440</v>
      </c>
      <c r="G10" s="521">
        <v>84.705882352941174</v>
      </c>
      <c r="H10" s="662"/>
      <c r="I10" s="472">
        <f t="shared" si="12"/>
        <v>18</v>
      </c>
      <c r="J10" s="472">
        <f t="shared" si="13"/>
        <v>1276.4999999999995</v>
      </c>
      <c r="K10" s="201">
        <f t="shared" si="14"/>
        <v>70.916666666666643</v>
      </c>
      <c r="L10" s="601"/>
      <c r="M10" s="475">
        <f>RANK(K10, $K$7:K$21)</f>
        <v>5</v>
      </c>
      <c r="N10" s="619"/>
      <c r="O10" s="619"/>
      <c r="P10" s="520"/>
      <c r="Q10" s="183"/>
      <c r="R10" s="521"/>
      <c r="S10" s="520" t="e">
        <f t="shared" si="0"/>
        <v>#N/A</v>
      </c>
      <c r="T10" s="629"/>
      <c r="U10" s="520"/>
      <c r="V10" s="183"/>
      <c r="W10" s="521"/>
      <c r="X10" s="520" t="e">
        <f t="shared" ref="X10" si="27">RANK(W10, W$7:W$21)</f>
        <v>#N/A</v>
      </c>
      <c r="Y10" s="629"/>
      <c r="Z10" s="520"/>
      <c r="AA10" s="183"/>
      <c r="AB10" s="521"/>
      <c r="AC10" s="520" t="e">
        <f t="shared" ref="AC10" si="28">RANK(AB10, AB$7:AB$21)</f>
        <v>#N/A</v>
      </c>
      <c r="AD10" s="629"/>
      <c r="AE10" s="520"/>
      <c r="AF10" s="183"/>
      <c r="AG10" s="521"/>
      <c r="AH10" s="520" t="e">
        <f t="shared" ref="AH10" si="29">RANK(AG10, AG$7:AG$21)</f>
        <v>#N/A</v>
      </c>
      <c r="AI10" s="629"/>
      <c r="AJ10" s="520"/>
      <c r="AK10" s="183"/>
      <c r="AL10" s="521"/>
      <c r="AM10" s="520" t="e">
        <f t="shared" ref="AM10" si="30">RANK(AL10, AL$7:AL$21)</f>
        <v>#N/A</v>
      </c>
      <c r="AN10" s="629"/>
      <c r="AO10" s="520"/>
      <c r="AP10" s="183"/>
      <c r="AQ10" s="521"/>
      <c r="AR10" s="520" t="e">
        <f t="shared" ref="AR10" si="31">RANK(AQ10, AQ$7:AQ$21)</f>
        <v>#N/A</v>
      </c>
      <c r="AS10" s="629"/>
      <c r="AT10" s="470">
        <v>18</v>
      </c>
      <c r="AU10" s="183">
        <v>1276.4999999999995</v>
      </c>
      <c r="AV10" s="471">
        <v>70.916666666666643</v>
      </c>
      <c r="AW10" s="470">
        <f t="shared" si="20"/>
        <v>5</v>
      </c>
      <c r="AX10" s="629"/>
      <c r="AZ10" s="379" t="e">
        <f>RANK(AX10, $K$7:AX$21)</f>
        <v>#N/A</v>
      </c>
      <c r="BB10" s="376" t="e">
        <f t="shared" si="21"/>
        <v>#N/A</v>
      </c>
    </row>
    <row r="11" spans="1:54">
      <c r="A11" s="81"/>
      <c r="B11" s="627"/>
      <c r="C11" s="470">
        <v>5</v>
      </c>
      <c r="D11" s="228" t="s">
        <v>482</v>
      </c>
      <c r="E11" s="183">
        <v>7</v>
      </c>
      <c r="F11" s="520">
        <v>1500</v>
      </c>
      <c r="G11" s="521">
        <v>214.28571428571428</v>
      </c>
      <c r="H11" s="662"/>
      <c r="I11" s="472">
        <f t="shared" si="12"/>
        <v>7</v>
      </c>
      <c r="J11" s="472">
        <f t="shared" si="13"/>
        <v>1297.3509933774833</v>
      </c>
      <c r="K11" s="201">
        <f t="shared" si="14"/>
        <v>185.33585619678334</v>
      </c>
      <c r="L11" s="601"/>
      <c r="M11" s="475">
        <f>RANK(K11, $K$7:K$21)</f>
        <v>3</v>
      </c>
      <c r="N11" s="619"/>
      <c r="O11" s="619"/>
      <c r="P11" s="520"/>
      <c r="Q11" s="183"/>
      <c r="R11" s="521"/>
      <c r="S11" s="520" t="e">
        <f t="shared" si="0"/>
        <v>#N/A</v>
      </c>
      <c r="T11" s="629"/>
      <c r="U11" s="520"/>
      <c r="V11" s="183"/>
      <c r="W11" s="521"/>
      <c r="X11" s="520" t="e">
        <f t="shared" ref="X11" si="32">RANK(W11, W$7:W$21)</f>
        <v>#N/A</v>
      </c>
      <c r="Y11" s="629"/>
      <c r="Z11" s="520"/>
      <c r="AA11" s="183"/>
      <c r="AB11" s="521"/>
      <c r="AC11" s="520" t="e">
        <f t="shared" ref="AC11" si="33">RANK(AB11, AB$7:AB$21)</f>
        <v>#N/A</v>
      </c>
      <c r="AD11" s="629"/>
      <c r="AE11" s="520"/>
      <c r="AF11" s="183"/>
      <c r="AG11" s="521"/>
      <c r="AH11" s="520" t="e">
        <f t="shared" ref="AH11" si="34">RANK(AG11, AG$7:AG$21)</f>
        <v>#N/A</v>
      </c>
      <c r="AI11" s="629"/>
      <c r="AJ11" s="520"/>
      <c r="AK11" s="183"/>
      <c r="AL11" s="521"/>
      <c r="AM11" s="520" t="e">
        <f t="shared" ref="AM11" si="35">RANK(AL11, AL$7:AL$21)</f>
        <v>#N/A</v>
      </c>
      <c r="AN11" s="629"/>
      <c r="AO11" s="520"/>
      <c r="AP11" s="183"/>
      <c r="AQ11" s="521"/>
      <c r="AR11" s="520" t="e">
        <f t="shared" ref="AR11" si="36">RANK(AQ11, AQ$7:AQ$21)</f>
        <v>#N/A</v>
      </c>
      <c r="AS11" s="629"/>
      <c r="AT11" s="470">
        <v>7</v>
      </c>
      <c r="AU11" s="183">
        <v>1297.3509933774833</v>
      </c>
      <c r="AV11" s="471">
        <v>185.33585619678334</v>
      </c>
      <c r="AW11" s="470">
        <f t="shared" si="20"/>
        <v>3</v>
      </c>
      <c r="AX11" s="629"/>
      <c r="AZ11" s="379" t="e">
        <f>RANK(AX11, $K$7:AX$21)</f>
        <v>#N/A</v>
      </c>
      <c r="BB11" s="376" t="e">
        <f t="shared" si="21"/>
        <v>#N/A</v>
      </c>
    </row>
    <row r="12" spans="1:54">
      <c r="A12" s="81"/>
      <c r="B12" s="627"/>
      <c r="C12" s="470">
        <v>6</v>
      </c>
      <c r="D12" s="228" t="s">
        <v>698</v>
      </c>
      <c r="E12" s="183">
        <v>20</v>
      </c>
      <c r="F12" s="520">
        <v>1440</v>
      </c>
      <c r="G12" s="521">
        <v>72</v>
      </c>
      <c r="H12" s="662"/>
      <c r="I12" s="472">
        <f t="shared" si="12"/>
        <v>18</v>
      </c>
      <c r="J12" s="472">
        <f t="shared" si="13"/>
        <v>1307.3684210526317</v>
      </c>
      <c r="K12" s="201">
        <f t="shared" si="14"/>
        <v>72.631578947368425</v>
      </c>
      <c r="L12" s="601"/>
      <c r="M12" s="475">
        <f>RANK(K12, $K$7:K$21)</f>
        <v>4</v>
      </c>
      <c r="N12" s="619"/>
      <c r="O12" s="619"/>
      <c r="P12" s="520"/>
      <c r="Q12" s="183"/>
      <c r="R12" s="521"/>
      <c r="S12" s="520" t="e">
        <f t="shared" si="0"/>
        <v>#N/A</v>
      </c>
      <c r="T12" s="629"/>
      <c r="U12" s="520"/>
      <c r="V12" s="183"/>
      <c r="W12" s="521"/>
      <c r="X12" s="520" t="e">
        <f t="shared" ref="X12" si="37">RANK(W12, W$7:W$21)</f>
        <v>#N/A</v>
      </c>
      <c r="Y12" s="629"/>
      <c r="Z12" s="520"/>
      <c r="AA12" s="183"/>
      <c r="AB12" s="521"/>
      <c r="AC12" s="520" t="e">
        <f t="shared" ref="AC12" si="38">RANK(AB12, AB$7:AB$21)</f>
        <v>#N/A</v>
      </c>
      <c r="AD12" s="629"/>
      <c r="AE12" s="520"/>
      <c r="AF12" s="183"/>
      <c r="AG12" s="521"/>
      <c r="AH12" s="520" t="e">
        <f t="shared" ref="AH12" si="39">RANK(AG12, AG$7:AG$21)</f>
        <v>#N/A</v>
      </c>
      <c r="AI12" s="629"/>
      <c r="AJ12" s="520"/>
      <c r="AK12" s="183"/>
      <c r="AL12" s="521"/>
      <c r="AM12" s="520" t="e">
        <f t="shared" ref="AM12" si="40">RANK(AL12, AL$7:AL$21)</f>
        <v>#N/A</v>
      </c>
      <c r="AN12" s="629"/>
      <c r="AO12" s="520"/>
      <c r="AP12" s="183"/>
      <c r="AQ12" s="521"/>
      <c r="AR12" s="520" t="e">
        <f t="shared" ref="AR12" si="41">RANK(AQ12, AQ$7:AQ$21)</f>
        <v>#N/A</v>
      </c>
      <c r="AS12" s="629"/>
      <c r="AT12" s="470">
        <v>18</v>
      </c>
      <c r="AU12" s="183">
        <v>1307.3684210526317</v>
      </c>
      <c r="AV12" s="471">
        <v>72.631578947368425</v>
      </c>
      <c r="AW12" s="470">
        <f t="shared" si="20"/>
        <v>4</v>
      </c>
      <c r="AX12" s="629"/>
      <c r="AZ12" s="379" t="e">
        <f>RANK(AX12, $K$7:AX$21)</f>
        <v>#N/A</v>
      </c>
      <c r="BB12" s="376" t="e">
        <f t="shared" si="21"/>
        <v>#N/A</v>
      </c>
    </row>
    <row r="13" spans="1:54">
      <c r="A13" s="81"/>
      <c r="B13" s="627"/>
      <c r="C13" s="470">
        <v>7</v>
      </c>
      <c r="D13" s="228" t="s">
        <v>744</v>
      </c>
      <c r="E13" s="183">
        <v>21</v>
      </c>
      <c r="F13" s="520">
        <v>1200</v>
      </c>
      <c r="G13" s="521">
        <v>57.142857142857146</v>
      </c>
      <c r="H13" s="662"/>
      <c r="I13" s="472">
        <f t="shared" si="12"/>
        <v>20</v>
      </c>
      <c r="J13" s="472">
        <f t="shared" si="13"/>
        <v>1087.9999999999991</v>
      </c>
      <c r="K13" s="201">
        <f t="shared" si="14"/>
        <v>54.399999999999956</v>
      </c>
      <c r="L13" s="601"/>
      <c r="M13" s="475">
        <f>RANK(K13, $K$7:K$21)</f>
        <v>7</v>
      </c>
      <c r="N13" s="619"/>
      <c r="O13" s="619"/>
      <c r="P13" s="520"/>
      <c r="Q13" s="183"/>
      <c r="R13" s="521"/>
      <c r="S13" s="520" t="e">
        <f t="shared" si="0"/>
        <v>#N/A</v>
      </c>
      <c r="T13" s="629"/>
      <c r="U13" s="520"/>
      <c r="V13" s="183"/>
      <c r="W13" s="521"/>
      <c r="X13" s="520" t="e">
        <f t="shared" ref="X13" si="42">RANK(W13, W$7:W$21)</f>
        <v>#N/A</v>
      </c>
      <c r="Y13" s="629"/>
      <c r="Z13" s="520"/>
      <c r="AA13" s="183"/>
      <c r="AB13" s="521"/>
      <c r="AC13" s="520" t="e">
        <f t="shared" ref="AC13" si="43">RANK(AB13, AB$7:AB$21)</f>
        <v>#N/A</v>
      </c>
      <c r="AD13" s="629"/>
      <c r="AE13" s="520"/>
      <c r="AF13" s="183"/>
      <c r="AG13" s="521"/>
      <c r="AH13" s="520" t="e">
        <f t="shared" ref="AH13" si="44">RANK(AG13, AG$7:AG$21)</f>
        <v>#N/A</v>
      </c>
      <c r="AI13" s="629"/>
      <c r="AJ13" s="520"/>
      <c r="AK13" s="183"/>
      <c r="AL13" s="521"/>
      <c r="AM13" s="520" t="e">
        <f t="shared" ref="AM13" si="45">RANK(AL13, AL$7:AL$21)</f>
        <v>#N/A</v>
      </c>
      <c r="AN13" s="629"/>
      <c r="AO13" s="520"/>
      <c r="AP13" s="183"/>
      <c r="AQ13" s="521"/>
      <c r="AR13" s="520" t="e">
        <f t="shared" ref="AR13" si="46">RANK(AQ13, AQ$7:AQ$21)</f>
        <v>#N/A</v>
      </c>
      <c r="AS13" s="629"/>
      <c r="AT13" s="470">
        <v>20</v>
      </c>
      <c r="AU13" s="183">
        <v>1087.9999999999991</v>
      </c>
      <c r="AV13" s="471">
        <v>54.399999999999956</v>
      </c>
      <c r="AW13" s="470">
        <f t="shared" si="20"/>
        <v>7</v>
      </c>
      <c r="AX13" s="629"/>
      <c r="AZ13" s="379" t="e">
        <f>RANK(AX13, $K$7:AX$21)</f>
        <v>#N/A</v>
      </c>
      <c r="BB13" s="376" t="e">
        <f t="shared" si="21"/>
        <v>#N/A</v>
      </c>
    </row>
    <row r="14" spans="1:54">
      <c r="A14" s="81"/>
      <c r="B14" s="627"/>
      <c r="C14" s="470">
        <v>8</v>
      </c>
      <c r="D14" s="228" t="s">
        <v>839</v>
      </c>
      <c r="E14" s="183">
        <v>21</v>
      </c>
      <c r="F14" s="520">
        <v>1200</v>
      </c>
      <c r="G14" s="521">
        <v>57.142857142857146</v>
      </c>
      <c r="H14" s="662"/>
      <c r="I14" s="472">
        <f t="shared" si="12"/>
        <v>21</v>
      </c>
      <c r="J14" s="472">
        <f t="shared" si="13"/>
        <v>1085.6074766355146</v>
      </c>
      <c r="K14" s="201">
        <f t="shared" si="14"/>
        <v>51.695594125500691</v>
      </c>
      <c r="L14" s="601"/>
      <c r="M14" s="475">
        <f>RANK(K14, $K$7:K$21)</f>
        <v>8</v>
      </c>
      <c r="N14" s="619"/>
      <c r="O14" s="619"/>
      <c r="P14" s="520"/>
      <c r="Q14" s="183"/>
      <c r="R14" s="521"/>
      <c r="S14" s="520" t="e">
        <f t="shared" si="0"/>
        <v>#N/A</v>
      </c>
      <c r="T14" s="629"/>
      <c r="U14" s="520"/>
      <c r="V14" s="183"/>
      <c r="W14" s="521"/>
      <c r="X14" s="520" t="e">
        <f t="shared" ref="X14" si="47">RANK(W14, W$7:W$21)</f>
        <v>#N/A</v>
      </c>
      <c r="Y14" s="629"/>
      <c r="Z14" s="520"/>
      <c r="AA14" s="183"/>
      <c r="AB14" s="521"/>
      <c r="AC14" s="520" t="e">
        <f t="shared" ref="AC14" si="48">RANK(AB14, AB$7:AB$21)</f>
        <v>#N/A</v>
      </c>
      <c r="AD14" s="629"/>
      <c r="AE14" s="520"/>
      <c r="AF14" s="183"/>
      <c r="AG14" s="521"/>
      <c r="AH14" s="520" t="e">
        <f t="shared" ref="AH14" si="49">RANK(AG14, AG$7:AG$21)</f>
        <v>#N/A</v>
      </c>
      <c r="AI14" s="629"/>
      <c r="AJ14" s="520"/>
      <c r="AK14" s="183"/>
      <c r="AL14" s="521"/>
      <c r="AM14" s="520" t="e">
        <f t="shared" ref="AM14" si="50">RANK(AL14, AL$7:AL$21)</f>
        <v>#N/A</v>
      </c>
      <c r="AN14" s="629"/>
      <c r="AO14" s="520"/>
      <c r="AP14" s="183"/>
      <c r="AQ14" s="521"/>
      <c r="AR14" s="520" t="e">
        <f t="shared" ref="AR14" si="51">RANK(AQ14, AQ$7:AQ$21)</f>
        <v>#N/A</v>
      </c>
      <c r="AS14" s="629"/>
      <c r="AT14" s="470">
        <v>21</v>
      </c>
      <c r="AU14" s="183">
        <v>1085.6074766355146</v>
      </c>
      <c r="AV14" s="471">
        <v>51.695594125500691</v>
      </c>
      <c r="AW14" s="470">
        <f t="shared" si="20"/>
        <v>8</v>
      </c>
      <c r="AX14" s="629"/>
      <c r="AZ14" s="379" t="e">
        <f>RANK(AX14, $K$7:AX$21)</f>
        <v>#N/A</v>
      </c>
      <c r="BB14" s="376" t="e">
        <f t="shared" si="21"/>
        <v>#N/A</v>
      </c>
    </row>
    <row r="15" spans="1:54">
      <c r="A15" s="81"/>
      <c r="B15" s="627"/>
      <c r="C15" s="470">
        <v>9</v>
      </c>
      <c r="D15" s="228"/>
      <c r="E15" s="183"/>
      <c r="F15" s="520"/>
      <c r="G15" s="521"/>
      <c r="H15" s="662"/>
      <c r="I15" s="472"/>
      <c r="J15" s="472"/>
      <c r="K15" s="201"/>
      <c r="L15" s="601"/>
      <c r="M15" s="475" t="e">
        <f>RANK(K15, $K$7:K$21)</f>
        <v>#N/A</v>
      </c>
      <c r="N15" s="619"/>
      <c r="O15" s="619"/>
      <c r="P15" s="520"/>
      <c r="Q15" s="183"/>
      <c r="R15" s="521"/>
      <c r="S15" s="520" t="e">
        <f t="shared" si="0"/>
        <v>#N/A</v>
      </c>
      <c r="T15" s="629"/>
      <c r="U15" s="520"/>
      <c r="V15" s="183"/>
      <c r="W15" s="521"/>
      <c r="X15" s="520" t="e">
        <f t="shared" ref="X15" si="52">RANK(W15, W$7:W$21)</f>
        <v>#N/A</v>
      </c>
      <c r="Y15" s="629"/>
      <c r="Z15" s="520"/>
      <c r="AA15" s="183"/>
      <c r="AB15" s="521"/>
      <c r="AC15" s="520" t="e">
        <f t="shared" ref="AC15" si="53">RANK(AB15, AB$7:AB$21)</f>
        <v>#N/A</v>
      </c>
      <c r="AD15" s="629"/>
      <c r="AE15" s="520"/>
      <c r="AF15" s="183"/>
      <c r="AG15" s="521"/>
      <c r="AH15" s="520" t="e">
        <f t="shared" ref="AH15" si="54">RANK(AG15, AG$7:AG$21)</f>
        <v>#N/A</v>
      </c>
      <c r="AI15" s="629"/>
      <c r="AJ15" s="520"/>
      <c r="AK15" s="183"/>
      <c r="AL15" s="521"/>
      <c r="AM15" s="520" t="e">
        <f t="shared" ref="AM15" si="55">RANK(AL15, AL$7:AL$21)</f>
        <v>#N/A</v>
      </c>
      <c r="AN15" s="629"/>
      <c r="AO15" s="520"/>
      <c r="AP15" s="183"/>
      <c r="AQ15" s="521"/>
      <c r="AR15" s="520" t="e">
        <f t="shared" ref="AR15" si="56">RANK(AQ15, AQ$7:AQ$21)</f>
        <v>#N/A</v>
      </c>
      <c r="AS15" s="629"/>
      <c r="AT15" s="470"/>
      <c r="AU15" s="183"/>
      <c r="AV15" s="471"/>
      <c r="AW15" s="470" t="e">
        <f t="shared" si="20"/>
        <v>#N/A</v>
      </c>
      <c r="AX15" s="629"/>
      <c r="AZ15" s="379" t="e">
        <f>RANK(AX15, $K$7:AX$21)</f>
        <v>#N/A</v>
      </c>
      <c r="BB15" s="376" t="e">
        <f t="shared" si="21"/>
        <v>#N/A</v>
      </c>
    </row>
    <row r="16" spans="1:54">
      <c r="A16" s="81"/>
      <c r="B16" s="627"/>
      <c r="C16" s="470">
        <v>10</v>
      </c>
      <c r="D16" s="228"/>
      <c r="E16" s="183"/>
      <c r="F16" s="520"/>
      <c r="G16" s="521"/>
      <c r="H16" s="662"/>
      <c r="I16" s="472"/>
      <c r="J16" s="472"/>
      <c r="K16" s="201"/>
      <c r="L16" s="601"/>
      <c r="M16" s="475" t="e">
        <f>RANK(K16, $K$7:K$21)</f>
        <v>#N/A</v>
      </c>
      <c r="N16" s="619"/>
      <c r="O16" s="619"/>
      <c r="P16" s="520"/>
      <c r="Q16" s="183"/>
      <c r="R16" s="521"/>
      <c r="S16" s="520" t="e">
        <f t="shared" si="0"/>
        <v>#N/A</v>
      </c>
      <c r="T16" s="629"/>
      <c r="U16" s="520"/>
      <c r="V16" s="183"/>
      <c r="W16" s="521"/>
      <c r="X16" s="520" t="e">
        <f t="shared" ref="X16" si="57">RANK(W16, W$7:W$21)</f>
        <v>#N/A</v>
      </c>
      <c r="Y16" s="629"/>
      <c r="Z16" s="520"/>
      <c r="AA16" s="183"/>
      <c r="AB16" s="521"/>
      <c r="AC16" s="520" t="e">
        <f t="shared" ref="AC16" si="58">RANK(AB16, AB$7:AB$21)</f>
        <v>#N/A</v>
      </c>
      <c r="AD16" s="629"/>
      <c r="AE16" s="520"/>
      <c r="AF16" s="183"/>
      <c r="AG16" s="521"/>
      <c r="AH16" s="520" t="e">
        <f t="shared" ref="AH16" si="59">RANK(AG16, AG$7:AG$21)</f>
        <v>#N/A</v>
      </c>
      <c r="AI16" s="629"/>
      <c r="AJ16" s="520"/>
      <c r="AK16" s="183"/>
      <c r="AL16" s="521"/>
      <c r="AM16" s="520" t="e">
        <f t="shared" ref="AM16" si="60">RANK(AL16, AL$7:AL$21)</f>
        <v>#N/A</v>
      </c>
      <c r="AN16" s="629"/>
      <c r="AO16" s="520"/>
      <c r="AP16" s="183"/>
      <c r="AQ16" s="521"/>
      <c r="AR16" s="520" t="e">
        <f t="shared" ref="AR16" si="61">RANK(AQ16, AQ$7:AQ$21)</f>
        <v>#N/A</v>
      </c>
      <c r="AS16" s="629"/>
      <c r="AT16" s="470"/>
      <c r="AU16" s="183"/>
      <c r="AV16" s="471"/>
      <c r="AW16" s="470" t="e">
        <f t="shared" si="20"/>
        <v>#N/A</v>
      </c>
      <c r="AX16" s="629"/>
      <c r="AZ16" s="379" t="e">
        <f>RANK(AX16, $K$7:AX$21)</f>
        <v>#N/A</v>
      </c>
      <c r="BB16" s="376" t="e">
        <f t="shared" si="21"/>
        <v>#N/A</v>
      </c>
    </row>
    <row r="17" spans="2:54">
      <c r="B17" s="627"/>
      <c r="C17" s="470">
        <v>11</v>
      </c>
      <c r="D17" s="228"/>
      <c r="E17" s="183"/>
      <c r="F17" s="520"/>
      <c r="G17" s="521"/>
      <c r="H17" s="662"/>
      <c r="I17" s="472"/>
      <c r="J17" s="472"/>
      <c r="K17" s="201"/>
      <c r="L17" s="601"/>
      <c r="M17" s="475" t="e">
        <f>RANK(K17, $K$7:K$21)</f>
        <v>#N/A</v>
      </c>
      <c r="N17" s="619"/>
      <c r="O17" s="619"/>
      <c r="P17" s="520"/>
      <c r="Q17" s="183"/>
      <c r="R17" s="521"/>
      <c r="S17" s="520" t="e">
        <f t="shared" si="0"/>
        <v>#N/A</v>
      </c>
      <c r="T17" s="629"/>
      <c r="U17" s="520"/>
      <c r="V17" s="183"/>
      <c r="W17" s="521"/>
      <c r="X17" s="520" t="e">
        <f t="shared" ref="X17" si="62">RANK(W17, W$7:W$21)</f>
        <v>#N/A</v>
      </c>
      <c r="Y17" s="629"/>
      <c r="Z17" s="520"/>
      <c r="AA17" s="183"/>
      <c r="AB17" s="521"/>
      <c r="AC17" s="520" t="e">
        <f t="shared" ref="AC17" si="63">RANK(AB17, AB$7:AB$21)</f>
        <v>#N/A</v>
      </c>
      <c r="AD17" s="629"/>
      <c r="AE17" s="520"/>
      <c r="AF17" s="183"/>
      <c r="AG17" s="521"/>
      <c r="AH17" s="520" t="e">
        <f t="shared" ref="AH17" si="64">RANK(AG17, AG$7:AG$21)</f>
        <v>#N/A</v>
      </c>
      <c r="AI17" s="629"/>
      <c r="AJ17" s="520"/>
      <c r="AK17" s="183"/>
      <c r="AL17" s="521"/>
      <c r="AM17" s="520" t="e">
        <f t="shared" ref="AM17" si="65">RANK(AL17, AL$7:AL$21)</f>
        <v>#N/A</v>
      </c>
      <c r="AN17" s="629"/>
      <c r="AO17" s="520"/>
      <c r="AP17" s="183"/>
      <c r="AQ17" s="521"/>
      <c r="AR17" s="520" t="e">
        <f t="shared" ref="AR17" si="66">RANK(AQ17, AQ$7:AQ$21)</f>
        <v>#N/A</v>
      </c>
      <c r="AS17" s="629"/>
      <c r="AT17" s="470"/>
      <c r="AU17" s="183"/>
      <c r="AV17" s="471"/>
      <c r="AW17" s="470" t="e">
        <f t="shared" si="20"/>
        <v>#N/A</v>
      </c>
      <c r="AX17" s="629"/>
      <c r="AZ17" s="379" t="e">
        <f>RANK(AX17, $K$7:AX$21)</f>
        <v>#N/A</v>
      </c>
      <c r="BB17" s="376" t="e">
        <f t="shared" si="21"/>
        <v>#N/A</v>
      </c>
    </row>
    <row r="18" spans="2:54">
      <c r="B18" s="627"/>
      <c r="C18" s="470">
        <v>12</v>
      </c>
      <c r="D18" s="228"/>
      <c r="E18" s="183"/>
      <c r="F18" s="520"/>
      <c r="G18" s="521"/>
      <c r="H18" s="662"/>
      <c r="I18" s="472"/>
      <c r="J18" s="472"/>
      <c r="K18" s="201"/>
      <c r="L18" s="601"/>
      <c r="M18" s="475" t="e">
        <f>RANK(K18, $K$7:K$21)</f>
        <v>#N/A</v>
      </c>
      <c r="N18" s="619"/>
      <c r="O18" s="619"/>
      <c r="P18" s="520"/>
      <c r="Q18" s="183"/>
      <c r="R18" s="521"/>
      <c r="S18" s="520" t="e">
        <f t="shared" si="0"/>
        <v>#N/A</v>
      </c>
      <c r="T18" s="629"/>
      <c r="U18" s="520"/>
      <c r="V18" s="183"/>
      <c r="W18" s="521"/>
      <c r="X18" s="520" t="e">
        <f t="shared" ref="X18" si="67">RANK(W18, W$7:W$21)</f>
        <v>#N/A</v>
      </c>
      <c r="Y18" s="629"/>
      <c r="Z18" s="520"/>
      <c r="AA18" s="183"/>
      <c r="AB18" s="521"/>
      <c r="AC18" s="520" t="e">
        <f t="shared" ref="AC18" si="68">RANK(AB18, AB$7:AB$21)</f>
        <v>#N/A</v>
      </c>
      <c r="AD18" s="629"/>
      <c r="AE18" s="520"/>
      <c r="AF18" s="183"/>
      <c r="AG18" s="521"/>
      <c r="AH18" s="520" t="e">
        <f t="shared" ref="AH18" si="69">RANK(AG18, AG$7:AG$21)</f>
        <v>#N/A</v>
      </c>
      <c r="AI18" s="629"/>
      <c r="AJ18" s="520"/>
      <c r="AK18" s="183"/>
      <c r="AL18" s="521"/>
      <c r="AM18" s="520" t="e">
        <f t="shared" ref="AM18" si="70">RANK(AL18, AL$7:AL$21)</f>
        <v>#N/A</v>
      </c>
      <c r="AN18" s="629"/>
      <c r="AO18" s="520"/>
      <c r="AP18" s="183"/>
      <c r="AQ18" s="521"/>
      <c r="AR18" s="520" t="e">
        <f t="shared" ref="AR18" si="71">RANK(AQ18, AQ$7:AQ$21)</f>
        <v>#N/A</v>
      </c>
      <c r="AS18" s="629"/>
      <c r="AT18" s="470"/>
      <c r="AU18" s="183"/>
      <c r="AV18" s="471"/>
      <c r="AW18" s="470" t="e">
        <f t="shared" si="20"/>
        <v>#N/A</v>
      </c>
      <c r="AX18" s="629"/>
      <c r="AZ18" s="379" t="e">
        <f>RANK(AX18, $K$7:AX$21)</f>
        <v>#N/A</v>
      </c>
      <c r="BB18" s="376" t="e">
        <f t="shared" si="21"/>
        <v>#N/A</v>
      </c>
    </row>
    <row r="19" spans="2:54">
      <c r="B19" s="627"/>
      <c r="C19" s="470">
        <v>13</v>
      </c>
      <c r="D19" s="228"/>
      <c r="E19" s="183"/>
      <c r="F19" s="520"/>
      <c r="G19" s="521"/>
      <c r="H19" s="662"/>
      <c r="I19" s="472"/>
      <c r="J19" s="472"/>
      <c r="K19" s="201"/>
      <c r="L19" s="601"/>
      <c r="M19" s="475" t="e">
        <f>RANK(K19, $K$7:K$21)</f>
        <v>#N/A</v>
      </c>
      <c r="N19" s="619"/>
      <c r="O19" s="619"/>
      <c r="P19" s="520"/>
      <c r="Q19" s="183"/>
      <c r="R19" s="521"/>
      <c r="S19" s="520" t="e">
        <f t="shared" si="0"/>
        <v>#N/A</v>
      </c>
      <c r="T19" s="629"/>
      <c r="U19" s="520"/>
      <c r="V19" s="183"/>
      <c r="W19" s="521"/>
      <c r="X19" s="520" t="e">
        <f t="shared" ref="X19" si="72">RANK(W19, W$7:W$21)</f>
        <v>#N/A</v>
      </c>
      <c r="Y19" s="629"/>
      <c r="Z19" s="520"/>
      <c r="AA19" s="183"/>
      <c r="AB19" s="521"/>
      <c r="AC19" s="520" t="e">
        <f t="shared" ref="AC19" si="73">RANK(AB19, AB$7:AB$21)</f>
        <v>#N/A</v>
      </c>
      <c r="AD19" s="629"/>
      <c r="AE19" s="520"/>
      <c r="AF19" s="183"/>
      <c r="AG19" s="521"/>
      <c r="AH19" s="520" t="e">
        <f t="shared" ref="AH19" si="74">RANK(AG19, AG$7:AG$21)</f>
        <v>#N/A</v>
      </c>
      <c r="AI19" s="629"/>
      <c r="AJ19" s="520"/>
      <c r="AK19" s="183"/>
      <c r="AL19" s="521"/>
      <c r="AM19" s="520" t="e">
        <f t="shared" ref="AM19" si="75">RANK(AL19, AL$7:AL$21)</f>
        <v>#N/A</v>
      </c>
      <c r="AN19" s="629"/>
      <c r="AO19" s="520"/>
      <c r="AP19" s="183"/>
      <c r="AQ19" s="521"/>
      <c r="AR19" s="520" t="e">
        <f t="shared" ref="AR19" si="76">RANK(AQ19, AQ$7:AQ$21)</f>
        <v>#N/A</v>
      </c>
      <c r="AS19" s="629"/>
      <c r="AT19" s="470"/>
      <c r="AU19" s="183"/>
      <c r="AV19" s="471"/>
      <c r="AW19" s="470" t="e">
        <f t="shared" si="20"/>
        <v>#N/A</v>
      </c>
      <c r="AX19" s="629"/>
      <c r="AZ19" s="379" t="e">
        <f>RANK(AX19, $K$7:AX$21)</f>
        <v>#N/A</v>
      </c>
      <c r="BB19" s="376" t="e">
        <f t="shared" si="21"/>
        <v>#N/A</v>
      </c>
    </row>
    <row r="20" spans="2:54">
      <c r="B20" s="627"/>
      <c r="C20" s="470">
        <v>14</v>
      </c>
      <c r="D20" s="228"/>
      <c r="E20" s="183"/>
      <c r="F20" s="520"/>
      <c r="G20" s="521"/>
      <c r="H20" s="662"/>
      <c r="I20" s="472"/>
      <c r="J20" s="472"/>
      <c r="K20" s="201"/>
      <c r="L20" s="601"/>
      <c r="M20" s="475" t="e">
        <f>RANK(K20, $K$7:K$21)</f>
        <v>#N/A</v>
      </c>
      <c r="N20" s="619"/>
      <c r="O20" s="619"/>
      <c r="P20" s="520"/>
      <c r="Q20" s="183"/>
      <c r="R20" s="521"/>
      <c r="S20" s="520" t="e">
        <f t="shared" si="0"/>
        <v>#N/A</v>
      </c>
      <c r="T20" s="629"/>
      <c r="U20" s="520"/>
      <c r="V20" s="183"/>
      <c r="W20" s="521"/>
      <c r="X20" s="520" t="e">
        <f t="shared" ref="X20" si="77">RANK(W20, W$7:W$21)</f>
        <v>#N/A</v>
      </c>
      <c r="Y20" s="629"/>
      <c r="Z20" s="520"/>
      <c r="AA20" s="183"/>
      <c r="AB20" s="521"/>
      <c r="AC20" s="520" t="e">
        <f t="shared" ref="AC20" si="78">RANK(AB20, AB$7:AB$21)</f>
        <v>#N/A</v>
      </c>
      <c r="AD20" s="629"/>
      <c r="AE20" s="520"/>
      <c r="AF20" s="183"/>
      <c r="AG20" s="521"/>
      <c r="AH20" s="520" t="e">
        <f t="shared" ref="AH20" si="79">RANK(AG20, AG$7:AG$21)</f>
        <v>#N/A</v>
      </c>
      <c r="AI20" s="629"/>
      <c r="AJ20" s="520"/>
      <c r="AK20" s="183"/>
      <c r="AL20" s="521"/>
      <c r="AM20" s="520" t="e">
        <f t="shared" ref="AM20" si="80">RANK(AL20, AL$7:AL$21)</f>
        <v>#N/A</v>
      </c>
      <c r="AN20" s="629"/>
      <c r="AO20" s="520"/>
      <c r="AP20" s="183"/>
      <c r="AQ20" s="521"/>
      <c r="AR20" s="520" t="e">
        <f t="shared" ref="AR20" si="81">RANK(AQ20, AQ$7:AQ$21)</f>
        <v>#N/A</v>
      </c>
      <c r="AS20" s="629"/>
      <c r="AT20" s="470"/>
      <c r="AU20" s="183"/>
      <c r="AV20" s="471"/>
      <c r="AW20" s="470" t="e">
        <f t="shared" si="20"/>
        <v>#N/A</v>
      </c>
      <c r="AX20" s="629"/>
      <c r="AZ20" s="379" t="e">
        <f>RANK(AX20, $K$7:AX$21)</f>
        <v>#N/A</v>
      </c>
      <c r="BB20" s="376" t="e">
        <f t="shared" si="21"/>
        <v>#N/A</v>
      </c>
    </row>
    <row r="21" spans="2:54">
      <c r="B21" s="627"/>
      <c r="C21" s="470">
        <v>15</v>
      </c>
      <c r="D21" s="228"/>
      <c r="E21" s="183"/>
      <c r="F21" s="520"/>
      <c r="G21" s="521"/>
      <c r="H21" s="663"/>
      <c r="I21" s="472"/>
      <c r="J21" s="472"/>
      <c r="K21" s="201"/>
      <c r="L21" s="602"/>
      <c r="M21" s="472" t="e">
        <f>RANK(K21, $K$7:K$21)</f>
        <v>#N/A</v>
      </c>
      <c r="N21" s="619"/>
      <c r="O21" s="619"/>
      <c r="P21" s="520"/>
      <c r="Q21" s="183"/>
      <c r="R21" s="521"/>
      <c r="S21" s="520" t="e">
        <f t="shared" si="0"/>
        <v>#N/A</v>
      </c>
      <c r="T21" s="630"/>
      <c r="U21" s="520"/>
      <c r="V21" s="183"/>
      <c r="W21" s="521"/>
      <c r="X21" s="520" t="e">
        <f t="shared" ref="X21" si="82">RANK(W21, W$7:W$21)</f>
        <v>#N/A</v>
      </c>
      <c r="Y21" s="630"/>
      <c r="Z21" s="520"/>
      <c r="AA21" s="183"/>
      <c r="AB21" s="521"/>
      <c r="AC21" s="520" t="e">
        <f t="shared" ref="AC21" si="83">RANK(AB21, AB$7:AB$21)</f>
        <v>#N/A</v>
      </c>
      <c r="AD21" s="630"/>
      <c r="AE21" s="520"/>
      <c r="AF21" s="183"/>
      <c r="AG21" s="521"/>
      <c r="AH21" s="520" t="e">
        <f t="shared" ref="AH21" si="84">RANK(AG21, AG$7:AG$21)</f>
        <v>#N/A</v>
      </c>
      <c r="AI21" s="630"/>
      <c r="AJ21" s="520"/>
      <c r="AK21" s="183"/>
      <c r="AL21" s="521"/>
      <c r="AM21" s="520" t="e">
        <f t="shared" ref="AM21" si="85">RANK(AL21, AL$7:AL$21)</f>
        <v>#N/A</v>
      </c>
      <c r="AN21" s="630"/>
      <c r="AO21" s="520"/>
      <c r="AP21" s="183"/>
      <c r="AQ21" s="521"/>
      <c r="AR21" s="520" t="e">
        <f t="shared" ref="AR21" si="86">RANK(AQ21, AQ$7:AQ$21)</f>
        <v>#N/A</v>
      </c>
      <c r="AS21" s="630"/>
      <c r="AT21" s="470"/>
      <c r="AU21" s="183"/>
      <c r="AV21" s="471"/>
      <c r="AW21" s="470" t="e">
        <f t="shared" si="20"/>
        <v>#N/A</v>
      </c>
      <c r="AX21" s="630"/>
      <c r="AZ21" s="378" t="e">
        <f>RANK(AX21, $K$7:AX$21)</f>
        <v>#N/A</v>
      </c>
      <c r="BB21" s="376" t="e">
        <f t="shared" si="21"/>
        <v>#N/A</v>
      </c>
    </row>
    <row r="22" spans="2:54" ht="15.5">
      <c r="B22" s="644" t="s">
        <v>163</v>
      </c>
      <c r="C22" s="645"/>
      <c r="D22" s="645"/>
      <c r="E22" s="645"/>
      <c r="F22" s="645"/>
      <c r="G22" s="645"/>
      <c r="H22" s="645"/>
      <c r="I22" s="204"/>
      <c r="J22" s="204"/>
      <c r="K22" s="204"/>
      <c r="L22" s="204"/>
      <c r="M22" s="205"/>
      <c r="N22" s="620" t="s">
        <v>156</v>
      </c>
      <c r="O22" s="620" t="s">
        <v>105</v>
      </c>
      <c r="P22" s="626">
        <v>45993</v>
      </c>
      <c r="Q22" s="627"/>
      <c r="R22" s="627"/>
      <c r="S22" s="627"/>
      <c r="T22" s="627"/>
      <c r="U22" s="626">
        <f>P22+1</f>
        <v>45994</v>
      </c>
      <c r="V22" s="627"/>
      <c r="W22" s="627"/>
      <c r="X22" s="627"/>
      <c r="Y22" s="627"/>
      <c r="Z22" s="626">
        <f>U22+1</f>
        <v>45995</v>
      </c>
      <c r="AA22" s="627"/>
      <c r="AB22" s="627"/>
      <c r="AC22" s="627"/>
      <c r="AD22" s="627"/>
      <c r="AE22" s="626">
        <f>Z22+1</f>
        <v>45996</v>
      </c>
      <c r="AF22" s="627"/>
      <c r="AG22" s="627"/>
      <c r="AH22" s="627"/>
      <c r="AI22" s="627"/>
      <c r="AJ22" s="626">
        <f>AE22+1</f>
        <v>45997</v>
      </c>
      <c r="AK22" s="627"/>
      <c r="AL22" s="627"/>
      <c r="AM22" s="627"/>
      <c r="AN22" s="627"/>
      <c r="AO22" s="626">
        <f>AJ22+1</f>
        <v>45998</v>
      </c>
      <c r="AP22" s="627"/>
      <c r="AQ22" s="627"/>
      <c r="AR22" s="627"/>
      <c r="AS22" s="627"/>
      <c r="AT22" s="626">
        <f>AO22+1</f>
        <v>45999</v>
      </c>
      <c r="AU22" s="627"/>
      <c r="AV22" s="627"/>
      <c r="AW22" s="627"/>
      <c r="AX22" s="627"/>
    </row>
    <row r="23" spans="2:54" ht="15.5">
      <c r="B23" s="634"/>
      <c r="C23" s="634"/>
      <c r="D23" s="634"/>
      <c r="E23" s="634"/>
      <c r="F23" s="634"/>
      <c r="G23" s="634"/>
      <c r="H23" s="634"/>
      <c r="I23" s="206"/>
      <c r="J23" s="206"/>
      <c r="K23" s="206"/>
      <c r="L23" s="206"/>
      <c r="M23" s="207"/>
      <c r="N23" s="622"/>
      <c r="O23" s="622"/>
      <c r="P23" s="626" t="s">
        <v>336</v>
      </c>
      <c r="Q23" s="627"/>
      <c r="R23" s="627"/>
      <c r="S23" s="627"/>
      <c r="T23" s="627"/>
      <c r="U23" s="626" t="s">
        <v>337</v>
      </c>
      <c r="V23" s="627"/>
      <c r="W23" s="627"/>
      <c r="X23" s="627"/>
      <c r="Y23" s="627"/>
      <c r="Z23" s="626" t="s">
        <v>338</v>
      </c>
      <c r="AA23" s="627"/>
      <c r="AB23" s="627"/>
      <c r="AC23" s="627"/>
      <c r="AD23" s="627"/>
      <c r="AE23" s="626" t="s">
        <v>339</v>
      </c>
      <c r="AF23" s="627"/>
      <c r="AG23" s="627"/>
      <c r="AH23" s="627"/>
      <c r="AI23" s="627"/>
      <c r="AJ23" s="626" t="s">
        <v>340</v>
      </c>
      <c r="AK23" s="627"/>
      <c r="AL23" s="627"/>
      <c r="AM23" s="627"/>
      <c r="AN23" s="627"/>
      <c r="AO23" s="626" t="s">
        <v>341</v>
      </c>
      <c r="AP23" s="627"/>
      <c r="AQ23" s="627"/>
      <c r="AR23" s="627"/>
      <c r="AS23" s="627"/>
      <c r="AT23" s="626" t="s">
        <v>342</v>
      </c>
      <c r="AU23" s="627"/>
      <c r="AV23" s="627"/>
      <c r="AW23" s="627"/>
      <c r="AX23" s="627"/>
    </row>
    <row r="24" spans="2:54">
      <c r="B24" s="619" t="s">
        <v>593</v>
      </c>
      <c r="C24" s="619" t="s">
        <v>594</v>
      </c>
      <c r="D24" s="619"/>
      <c r="E24" s="619" t="s">
        <v>595</v>
      </c>
      <c r="F24" s="619"/>
      <c r="G24" s="619"/>
      <c r="H24" s="635" t="s">
        <v>566</v>
      </c>
      <c r="I24" s="603" t="s">
        <v>562</v>
      </c>
      <c r="J24" s="603"/>
      <c r="K24" s="603"/>
      <c r="L24" s="604" t="s">
        <v>566</v>
      </c>
      <c r="M24" s="610" t="s">
        <v>596</v>
      </c>
      <c r="N24" s="619"/>
      <c r="O24" s="619" t="s">
        <v>597</v>
      </c>
      <c r="P24" s="616" t="s">
        <v>564</v>
      </c>
      <c r="Q24" s="617"/>
      <c r="R24" s="617"/>
      <c r="S24" s="618"/>
      <c r="T24" s="619" t="s">
        <v>566</v>
      </c>
      <c r="U24" s="616" t="s">
        <v>564</v>
      </c>
      <c r="V24" s="617"/>
      <c r="W24" s="617"/>
      <c r="X24" s="618"/>
      <c r="Y24" s="619" t="s">
        <v>566</v>
      </c>
      <c r="Z24" s="616" t="s">
        <v>564</v>
      </c>
      <c r="AA24" s="617"/>
      <c r="AB24" s="617"/>
      <c r="AC24" s="618"/>
      <c r="AD24" s="619" t="s">
        <v>566</v>
      </c>
      <c r="AE24" s="616" t="s">
        <v>564</v>
      </c>
      <c r="AF24" s="617"/>
      <c r="AG24" s="617"/>
      <c r="AH24" s="618"/>
      <c r="AI24" s="619" t="s">
        <v>566</v>
      </c>
      <c r="AJ24" s="616" t="s">
        <v>564</v>
      </c>
      <c r="AK24" s="617"/>
      <c r="AL24" s="617"/>
      <c r="AM24" s="618"/>
      <c r="AN24" s="619" t="s">
        <v>566</v>
      </c>
      <c r="AO24" s="616" t="s">
        <v>564</v>
      </c>
      <c r="AP24" s="617"/>
      <c r="AQ24" s="617"/>
      <c r="AR24" s="618"/>
      <c r="AS24" s="619" t="s">
        <v>566</v>
      </c>
      <c r="AT24" s="616" t="s">
        <v>564</v>
      </c>
      <c r="AU24" s="617"/>
      <c r="AV24" s="617"/>
      <c r="AW24" s="618"/>
      <c r="AX24" s="619" t="s">
        <v>566</v>
      </c>
    </row>
    <row r="25" spans="2:54">
      <c r="B25" s="619"/>
      <c r="C25" s="619"/>
      <c r="D25" s="619"/>
      <c r="E25" s="619" t="s">
        <v>569</v>
      </c>
      <c r="F25" s="619"/>
      <c r="G25" s="619"/>
      <c r="H25" s="636"/>
      <c r="I25" s="603" t="s">
        <v>569</v>
      </c>
      <c r="J25" s="603"/>
      <c r="K25" s="603"/>
      <c r="L25" s="605"/>
      <c r="M25" s="611"/>
      <c r="N25" s="619"/>
      <c r="O25" s="619"/>
      <c r="P25" s="616" t="s">
        <v>570</v>
      </c>
      <c r="Q25" s="617"/>
      <c r="R25" s="617"/>
      <c r="S25" s="618"/>
      <c r="T25" s="619"/>
      <c r="U25" s="616" t="s">
        <v>570</v>
      </c>
      <c r="V25" s="617"/>
      <c r="W25" s="617"/>
      <c r="X25" s="618"/>
      <c r="Y25" s="619"/>
      <c r="Z25" s="616" t="s">
        <v>570</v>
      </c>
      <c r="AA25" s="617"/>
      <c r="AB25" s="617"/>
      <c r="AC25" s="618"/>
      <c r="AD25" s="619"/>
      <c r="AE25" s="616" t="s">
        <v>570</v>
      </c>
      <c r="AF25" s="617"/>
      <c r="AG25" s="617"/>
      <c r="AH25" s="618"/>
      <c r="AI25" s="619"/>
      <c r="AJ25" s="616" t="s">
        <v>570</v>
      </c>
      <c r="AK25" s="617"/>
      <c r="AL25" s="617"/>
      <c r="AM25" s="618"/>
      <c r="AN25" s="619"/>
      <c r="AO25" s="616" t="s">
        <v>570</v>
      </c>
      <c r="AP25" s="617"/>
      <c r="AQ25" s="617"/>
      <c r="AR25" s="618"/>
      <c r="AS25" s="619"/>
      <c r="AT25" s="616" t="s">
        <v>570</v>
      </c>
      <c r="AU25" s="617"/>
      <c r="AV25" s="617"/>
      <c r="AW25" s="618"/>
      <c r="AX25" s="619"/>
    </row>
    <row r="26" spans="2:54">
      <c r="B26" s="619"/>
      <c r="C26" s="619"/>
      <c r="D26" s="619"/>
      <c r="E26" s="329" t="s">
        <v>574</v>
      </c>
      <c r="F26" s="329" t="s">
        <v>598</v>
      </c>
      <c r="G26" s="329" t="s">
        <v>573</v>
      </c>
      <c r="H26" s="637"/>
      <c r="I26" s="328" t="s">
        <v>574</v>
      </c>
      <c r="J26" s="328" t="s">
        <v>598</v>
      </c>
      <c r="K26" s="328" t="s">
        <v>573</v>
      </c>
      <c r="L26" s="606"/>
      <c r="M26" s="612"/>
      <c r="N26" s="619"/>
      <c r="O26" s="619"/>
      <c r="P26" s="329" t="s">
        <v>574</v>
      </c>
      <c r="Q26" s="329" t="s">
        <v>598</v>
      </c>
      <c r="R26" s="329" t="s">
        <v>573</v>
      </c>
      <c r="S26" s="329" t="s">
        <v>596</v>
      </c>
      <c r="T26" s="619"/>
      <c r="U26" s="329" t="s">
        <v>574</v>
      </c>
      <c r="V26" s="329" t="s">
        <v>450</v>
      </c>
      <c r="W26" s="329" t="s">
        <v>573</v>
      </c>
      <c r="X26" s="329" t="s">
        <v>596</v>
      </c>
      <c r="Y26" s="619"/>
      <c r="Z26" s="329" t="s">
        <v>574</v>
      </c>
      <c r="AA26" s="329" t="s">
        <v>450</v>
      </c>
      <c r="AB26" s="329" t="s">
        <v>573</v>
      </c>
      <c r="AC26" s="329" t="s">
        <v>596</v>
      </c>
      <c r="AD26" s="619"/>
      <c r="AE26" s="329" t="s">
        <v>574</v>
      </c>
      <c r="AF26" s="329" t="s">
        <v>598</v>
      </c>
      <c r="AG26" s="329" t="s">
        <v>573</v>
      </c>
      <c r="AH26" s="329" t="s">
        <v>596</v>
      </c>
      <c r="AI26" s="619"/>
      <c r="AJ26" s="329" t="s">
        <v>574</v>
      </c>
      <c r="AK26" s="329" t="s">
        <v>598</v>
      </c>
      <c r="AL26" s="329" t="s">
        <v>573</v>
      </c>
      <c r="AM26" s="329" t="s">
        <v>596</v>
      </c>
      <c r="AN26" s="619"/>
      <c r="AO26" s="329" t="s">
        <v>574</v>
      </c>
      <c r="AP26" s="329" t="s">
        <v>598</v>
      </c>
      <c r="AQ26" s="329" t="s">
        <v>573</v>
      </c>
      <c r="AR26" s="329" t="s">
        <v>596</v>
      </c>
      <c r="AS26" s="619"/>
      <c r="AT26" s="329" t="s">
        <v>574</v>
      </c>
      <c r="AU26" s="329" t="s">
        <v>598</v>
      </c>
      <c r="AV26" s="329" t="s">
        <v>573</v>
      </c>
      <c r="AW26" s="329" t="s">
        <v>596</v>
      </c>
      <c r="AX26" s="619"/>
    </row>
    <row r="27" spans="2:54">
      <c r="B27" s="619" t="s">
        <v>599</v>
      </c>
      <c r="C27" s="330">
        <v>1</v>
      </c>
      <c r="D27" s="228" t="s">
        <v>401</v>
      </c>
      <c r="E27" s="183">
        <v>6</v>
      </c>
      <c r="F27" s="330">
        <v>1500</v>
      </c>
      <c r="G27" s="331">
        <v>250</v>
      </c>
      <c r="H27" s="661">
        <f>AVERAGE(G27:G41)</f>
        <v>140.15</v>
      </c>
      <c r="I27" s="200">
        <f t="shared" ref="I27:K32" si="87">AVERAGE(P27,U27,Z27,AE27,AJ27,AO27,AT27)</f>
        <v>6</v>
      </c>
      <c r="J27" s="200">
        <f t="shared" si="87"/>
        <v>1292.4051821272174</v>
      </c>
      <c r="K27" s="201">
        <f t="shared" si="87"/>
        <v>215.40086368786956</v>
      </c>
      <c r="L27" s="600">
        <f>IFERROR(AVERAGE(K27:K41),"-")</f>
        <v>120.98842012566415</v>
      </c>
      <c r="M27" s="202">
        <f>RANK(K27, K$27:$K$41)</f>
        <v>2</v>
      </c>
      <c r="N27" s="619"/>
      <c r="O27" s="619"/>
      <c r="P27" s="183">
        <v>6</v>
      </c>
      <c r="Q27" s="183">
        <v>1267.5862068965516</v>
      </c>
      <c r="R27" s="377">
        <v>211.26436781609195</v>
      </c>
      <c r="S27" s="330">
        <f t="shared" ref="S27:S41" si="88">RANK(R27, R$27:R$41)</f>
        <v>3</v>
      </c>
      <c r="T27" s="628">
        <f>AVERAGE(R27:R41)</f>
        <v>120.78743027399619</v>
      </c>
      <c r="U27" s="183">
        <v>6</v>
      </c>
      <c r="V27" s="183">
        <v>1322.926829268293</v>
      </c>
      <c r="W27" s="523">
        <v>220.48780487804882</v>
      </c>
      <c r="X27" s="520">
        <f t="shared" ref="X27:X41" si="89">RANK(W27, W$27:W$41)</f>
        <v>1</v>
      </c>
      <c r="Y27" s="628">
        <f t="shared" ref="Y27" si="90">AVERAGE(W27:W41)</f>
        <v>122.70057808191829</v>
      </c>
      <c r="Z27" s="183">
        <v>6</v>
      </c>
      <c r="AA27" s="183">
        <v>1314.8780487804879</v>
      </c>
      <c r="AB27" s="523">
        <v>219.14634146341464</v>
      </c>
      <c r="AC27" s="520">
        <f t="shared" ref="AC27:AC41" si="91">RANK(AB27, AB$27:AB$41)</f>
        <v>1</v>
      </c>
      <c r="AD27" s="628">
        <f t="shared" ref="AD27" si="92">AVERAGE(AB27:AB41)</f>
        <v>121.95007784656255</v>
      </c>
      <c r="AE27" s="183">
        <v>6</v>
      </c>
      <c r="AF27" s="183">
        <v>1308.9230769230765</v>
      </c>
      <c r="AG27" s="523">
        <v>218.15384615384608</v>
      </c>
      <c r="AH27" s="520">
        <f t="shared" ref="AH27:AH41" si="93">RANK(AG27, AG$27:AG$41)</f>
        <v>1</v>
      </c>
      <c r="AI27" s="628">
        <f t="shared" ref="AI27" si="94">AVERAGE(AG27:AG41)</f>
        <v>119.3447360806808</v>
      </c>
      <c r="AJ27" s="183">
        <v>6</v>
      </c>
      <c r="AK27" s="183">
        <v>1257.5675675675673</v>
      </c>
      <c r="AL27" s="523">
        <v>209.59459459459455</v>
      </c>
      <c r="AM27" s="520">
        <f t="shared" ref="AM27:AM41" si="95">RANK(AL27, AL$27:AL$41)</f>
        <v>3</v>
      </c>
      <c r="AN27" s="628">
        <f t="shared" ref="AN27" si="96">AVERAGE(AL27:AL41)</f>
        <v>120.99252067479449</v>
      </c>
      <c r="AO27" s="183">
        <v>6</v>
      </c>
      <c r="AP27" s="183">
        <v>1309.5</v>
      </c>
      <c r="AQ27" s="523">
        <v>218.25</v>
      </c>
      <c r="AR27" s="520">
        <f t="shared" ref="AR27:AR41" si="97">RANK(AQ27, AQ$27:AQ$41)</f>
        <v>2</v>
      </c>
      <c r="AS27" s="628">
        <f t="shared" ref="AS27" si="98">AVERAGE(AQ27:AQ41)</f>
        <v>121.45124729231534</v>
      </c>
      <c r="AT27" s="183">
        <v>6</v>
      </c>
      <c r="AU27" s="183">
        <v>1265.4545454545455</v>
      </c>
      <c r="AV27" s="523">
        <v>210.90909090909091</v>
      </c>
      <c r="AW27" s="520">
        <f t="shared" ref="AW27:AW41" si="99">RANK(AV27, AV$27:AV$41)</f>
        <v>3</v>
      </c>
      <c r="AX27" s="658">
        <f t="shared" ref="AX27" si="100">AVERAGE(AV27:AV41)</f>
        <v>119.69235062938155</v>
      </c>
    </row>
    <row r="28" spans="2:54">
      <c r="B28" s="627"/>
      <c r="C28" s="330">
        <v>2</v>
      </c>
      <c r="D28" s="228" t="s">
        <v>402</v>
      </c>
      <c r="E28" s="183">
        <v>6</v>
      </c>
      <c r="F28" s="330">
        <v>1500</v>
      </c>
      <c r="G28" s="331">
        <v>250</v>
      </c>
      <c r="H28" s="662"/>
      <c r="I28" s="200">
        <f t="shared" si="87"/>
        <v>6</v>
      </c>
      <c r="J28" s="200">
        <f t="shared" si="87"/>
        <v>1287.3880519882075</v>
      </c>
      <c r="K28" s="201">
        <f t="shared" si="87"/>
        <v>214.56467533136791</v>
      </c>
      <c r="L28" s="601"/>
      <c r="M28" s="202">
        <f>RANK(K28, K$27:$K$41)</f>
        <v>3</v>
      </c>
      <c r="N28" s="619"/>
      <c r="O28" s="619"/>
      <c r="P28" s="376">
        <v>6</v>
      </c>
      <c r="Q28" s="183">
        <v>1316.9343065693431</v>
      </c>
      <c r="R28" s="377">
        <v>219.48905109489053</v>
      </c>
      <c r="S28" s="330">
        <f t="shared" si="88"/>
        <v>1</v>
      </c>
      <c r="T28" s="629"/>
      <c r="U28" s="522">
        <v>6</v>
      </c>
      <c r="V28" s="183">
        <v>1289.166666666667</v>
      </c>
      <c r="W28" s="523">
        <v>214.86111111111117</v>
      </c>
      <c r="X28" s="520">
        <f t="shared" si="89"/>
        <v>3</v>
      </c>
      <c r="Y28" s="629"/>
      <c r="Z28" s="522">
        <v>6</v>
      </c>
      <c r="AA28" s="183">
        <v>1291.3235294117649</v>
      </c>
      <c r="AB28" s="523">
        <v>215.22058823529414</v>
      </c>
      <c r="AC28" s="520">
        <f t="shared" si="91"/>
        <v>3</v>
      </c>
      <c r="AD28" s="629"/>
      <c r="AE28" s="522">
        <v>6</v>
      </c>
      <c r="AF28" s="183">
        <v>1261.9512195121947</v>
      </c>
      <c r="AG28" s="523">
        <v>210.32520325203245</v>
      </c>
      <c r="AH28" s="520">
        <f t="shared" si="93"/>
        <v>3</v>
      </c>
      <c r="AI28" s="629"/>
      <c r="AJ28" s="522">
        <v>6</v>
      </c>
      <c r="AK28" s="183">
        <v>1320.4878048780492</v>
      </c>
      <c r="AL28" s="523">
        <v>220.0813008130082</v>
      </c>
      <c r="AM28" s="520">
        <f t="shared" si="95"/>
        <v>1</v>
      </c>
      <c r="AN28" s="629"/>
      <c r="AO28" s="522">
        <v>6</v>
      </c>
      <c r="AP28" s="183">
        <v>1262.916666666667</v>
      </c>
      <c r="AQ28" s="523">
        <v>210.48611111111117</v>
      </c>
      <c r="AR28" s="520">
        <f t="shared" si="97"/>
        <v>3</v>
      </c>
      <c r="AS28" s="629"/>
      <c r="AT28" s="522">
        <v>6</v>
      </c>
      <c r="AU28" s="183">
        <v>1268.9361702127662</v>
      </c>
      <c r="AV28" s="523">
        <v>211.4893617021277</v>
      </c>
      <c r="AW28" s="520">
        <f t="shared" si="99"/>
        <v>2</v>
      </c>
      <c r="AX28" s="658"/>
    </row>
    <row r="29" spans="2:54">
      <c r="B29" s="627"/>
      <c r="C29" s="330">
        <v>3</v>
      </c>
      <c r="D29" s="228" t="s">
        <v>351</v>
      </c>
      <c r="E29" s="183">
        <v>19</v>
      </c>
      <c r="F29" s="330">
        <v>1500</v>
      </c>
      <c r="G29" s="331">
        <v>78.900000000000006</v>
      </c>
      <c r="H29" s="662"/>
      <c r="I29" s="200">
        <f t="shared" si="87"/>
        <v>18.571428571428573</v>
      </c>
      <c r="J29" s="200">
        <f t="shared" si="87"/>
        <v>1276.8991435739044</v>
      </c>
      <c r="K29" s="201">
        <f t="shared" si="87"/>
        <v>68.814932595690905</v>
      </c>
      <c r="L29" s="601"/>
      <c r="M29" s="202">
        <f>RANK(K29, K$27:$K$41)</f>
        <v>6</v>
      </c>
      <c r="N29" s="619"/>
      <c r="O29" s="619"/>
      <c r="P29" s="376">
        <v>18</v>
      </c>
      <c r="Q29" s="183">
        <v>1300.9459459459456</v>
      </c>
      <c r="R29" s="377">
        <v>72.274774774774755</v>
      </c>
      <c r="S29" s="330">
        <f t="shared" si="88"/>
        <v>5</v>
      </c>
      <c r="T29" s="629"/>
      <c r="U29" s="522">
        <v>19</v>
      </c>
      <c r="V29" s="183">
        <v>1275.6164383561641</v>
      </c>
      <c r="W29" s="523">
        <v>67.137707281903374</v>
      </c>
      <c r="X29" s="520">
        <f t="shared" si="89"/>
        <v>6</v>
      </c>
      <c r="Y29" s="629"/>
      <c r="Z29" s="522">
        <v>18</v>
      </c>
      <c r="AA29" s="183">
        <v>1291.304347826087</v>
      </c>
      <c r="AB29" s="523">
        <v>71.739130434782609</v>
      </c>
      <c r="AC29" s="520">
        <f t="shared" si="91"/>
        <v>5</v>
      </c>
      <c r="AD29" s="629"/>
      <c r="AE29" s="522">
        <v>18</v>
      </c>
      <c r="AF29" s="183">
        <v>1261.4062499999998</v>
      </c>
      <c r="AG29" s="523">
        <v>70.078124999999986</v>
      </c>
      <c r="AH29" s="520">
        <f t="shared" si="93"/>
        <v>4</v>
      </c>
      <c r="AI29" s="629"/>
      <c r="AJ29" s="522">
        <v>19</v>
      </c>
      <c r="AK29" s="183">
        <v>1270.5343511450383</v>
      </c>
      <c r="AL29" s="523">
        <v>66.870229007633597</v>
      </c>
      <c r="AM29" s="520">
        <f t="shared" si="95"/>
        <v>5</v>
      </c>
      <c r="AN29" s="629"/>
      <c r="AO29" s="522">
        <v>19</v>
      </c>
      <c r="AP29" s="183">
        <v>1264.6153846153845</v>
      </c>
      <c r="AQ29" s="523">
        <v>66.558704453441294</v>
      </c>
      <c r="AR29" s="520">
        <f t="shared" si="97"/>
        <v>6</v>
      </c>
      <c r="AS29" s="629"/>
      <c r="AT29" s="522">
        <v>19</v>
      </c>
      <c r="AU29" s="183">
        <v>1273.8712871287123</v>
      </c>
      <c r="AV29" s="523">
        <v>67.04585721730065</v>
      </c>
      <c r="AW29" s="520">
        <f t="shared" si="99"/>
        <v>6</v>
      </c>
      <c r="AX29" s="658"/>
    </row>
    <row r="30" spans="2:54">
      <c r="B30" s="627"/>
      <c r="C30" s="330">
        <v>4</v>
      </c>
      <c r="D30" s="228" t="s">
        <v>403</v>
      </c>
      <c r="E30" s="183">
        <v>17</v>
      </c>
      <c r="F30" s="330">
        <v>1440</v>
      </c>
      <c r="G30" s="331">
        <v>84.7</v>
      </c>
      <c r="H30" s="662"/>
      <c r="I30" s="200">
        <f t="shared" si="87"/>
        <v>17</v>
      </c>
      <c r="J30" s="200">
        <f t="shared" si="87"/>
        <v>1259.7402460984379</v>
      </c>
      <c r="K30" s="201">
        <f t="shared" si="87"/>
        <v>74.102367417555158</v>
      </c>
      <c r="L30" s="601"/>
      <c r="M30" s="202">
        <f>RANK(K30, K$27:$K$41)</f>
        <v>4</v>
      </c>
      <c r="N30" s="619"/>
      <c r="O30" s="619"/>
      <c r="P30" s="376">
        <v>17</v>
      </c>
      <c r="Q30" s="183">
        <v>1237.4999999999982</v>
      </c>
      <c r="R30" s="377">
        <v>72.794117647058712</v>
      </c>
      <c r="S30" s="330">
        <f t="shared" si="88"/>
        <v>4</v>
      </c>
      <c r="T30" s="629"/>
      <c r="U30" s="522">
        <v>17</v>
      </c>
      <c r="V30" s="183">
        <v>1318.2352941176455</v>
      </c>
      <c r="W30" s="523">
        <v>77.543252595155622</v>
      </c>
      <c r="X30" s="520">
        <f t="shared" si="89"/>
        <v>4</v>
      </c>
      <c r="Y30" s="629"/>
      <c r="Z30" s="522">
        <v>17</v>
      </c>
      <c r="AA30" s="183">
        <v>1289.9999999999982</v>
      </c>
      <c r="AB30" s="523">
        <v>75.882352941176364</v>
      </c>
      <c r="AC30" s="520">
        <f t="shared" si="91"/>
        <v>4</v>
      </c>
      <c r="AD30" s="629"/>
      <c r="AE30" s="522">
        <v>17</v>
      </c>
      <c r="AF30" s="183">
        <v>1066.8749999999984</v>
      </c>
      <c r="AG30" s="523">
        <v>62.757352941176379</v>
      </c>
      <c r="AH30" s="520">
        <f t="shared" si="93"/>
        <v>6</v>
      </c>
      <c r="AI30" s="629"/>
      <c r="AJ30" s="522">
        <v>17</v>
      </c>
      <c r="AK30" s="183">
        <v>1313.5714285714296</v>
      </c>
      <c r="AL30" s="523">
        <v>77.268907563025266</v>
      </c>
      <c r="AM30" s="520">
        <f t="shared" si="95"/>
        <v>4</v>
      </c>
      <c r="AN30" s="629"/>
      <c r="AO30" s="522">
        <v>17</v>
      </c>
      <c r="AP30" s="183">
        <v>1301.9999999999977</v>
      </c>
      <c r="AQ30" s="523">
        <v>76.58823529411751</v>
      </c>
      <c r="AR30" s="520">
        <f t="shared" si="97"/>
        <v>4</v>
      </c>
      <c r="AS30" s="629"/>
      <c r="AT30" s="522">
        <v>17</v>
      </c>
      <c r="AU30" s="183">
        <v>1289.9999999999982</v>
      </c>
      <c r="AV30" s="523">
        <v>75.882352941176364</v>
      </c>
      <c r="AW30" s="520">
        <f t="shared" si="99"/>
        <v>4</v>
      </c>
      <c r="AX30" s="658"/>
    </row>
    <row r="31" spans="2:54">
      <c r="B31" s="627"/>
      <c r="C31" s="330">
        <v>5</v>
      </c>
      <c r="D31" s="228" t="s">
        <v>482</v>
      </c>
      <c r="E31" s="183">
        <v>6</v>
      </c>
      <c r="F31" s="330">
        <v>1500</v>
      </c>
      <c r="G31" s="331">
        <v>250</v>
      </c>
      <c r="H31" s="662"/>
      <c r="I31" s="200">
        <f t="shared" si="87"/>
        <v>6</v>
      </c>
      <c r="J31" s="200">
        <f t="shared" si="87"/>
        <v>1298.2626441450645</v>
      </c>
      <c r="K31" s="201">
        <f t="shared" si="87"/>
        <v>216.37710735751074</v>
      </c>
      <c r="L31" s="601"/>
      <c r="M31" s="202">
        <f>RANK(K31, K$27:$K$41)</f>
        <v>1</v>
      </c>
      <c r="N31" s="619"/>
      <c r="O31" s="619"/>
      <c r="P31" s="376">
        <v>6</v>
      </c>
      <c r="Q31" s="183">
        <v>1272.7272727272732</v>
      </c>
      <c r="R31" s="377">
        <v>212.12121212121221</v>
      </c>
      <c r="S31" s="330">
        <f t="shared" si="88"/>
        <v>2</v>
      </c>
      <c r="T31" s="629"/>
      <c r="U31" s="522">
        <v>6</v>
      </c>
      <c r="V31" s="183">
        <v>1318.153846153846</v>
      </c>
      <c r="W31" s="523">
        <v>219.69230769230765</v>
      </c>
      <c r="X31" s="520">
        <f t="shared" si="89"/>
        <v>2</v>
      </c>
      <c r="Y31" s="629"/>
      <c r="Z31" s="522">
        <v>6</v>
      </c>
      <c r="AA31" s="183">
        <v>1295.6249999999998</v>
      </c>
      <c r="AB31" s="523">
        <v>215.93749999999997</v>
      </c>
      <c r="AC31" s="520">
        <f t="shared" si="91"/>
        <v>2</v>
      </c>
      <c r="AD31" s="629"/>
      <c r="AE31" s="522">
        <v>6</v>
      </c>
      <c r="AF31" s="183">
        <v>1292.4770642201838</v>
      </c>
      <c r="AG31" s="523">
        <v>215.41284403669729</v>
      </c>
      <c r="AH31" s="520">
        <f t="shared" si="93"/>
        <v>2</v>
      </c>
      <c r="AI31" s="629"/>
      <c r="AJ31" s="522">
        <v>6</v>
      </c>
      <c r="AK31" s="183">
        <v>1312.9729729729729</v>
      </c>
      <c r="AL31" s="523">
        <v>218.82882882882882</v>
      </c>
      <c r="AM31" s="520">
        <f t="shared" si="95"/>
        <v>2</v>
      </c>
      <c r="AN31" s="629"/>
      <c r="AO31" s="522">
        <v>6</v>
      </c>
      <c r="AP31" s="183">
        <v>1310.7352941176468</v>
      </c>
      <c r="AQ31" s="523">
        <v>218.45588235294113</v>
      </c>
      <c r="AR31" s="520">
        <f t="shared" si="97"/>
        <v>1</v>
      </c>
      <c r="AS31" s="629"/>
      <c r="AT31" s="522">
        <v>6</v>
      </c>
      <c r="AU31" s="183">
        <v>1285.1470588235288</v>
      </c>
      <c r="AV31" s="523">
        <v>214.19117647058815</v>
      </c>
      <c r="AW31" s="520">
        <f t="shared" si="99"/>
        <v>1</v>
      </c>
      <c r="AX31" s="658"/>
    </row>
    <row r="32" spans="2:54">
      <c r="B32" s="627"/>
      <c r="C32" s="330">
        <v>6</v>
      </c>
      <c r="D32" s="228" t="s">
        <v>698</v>
      </c>
      <c r="E32" s="183">
        <v>19</v>
      </c>
      <c r="F32" s="330">
        <v>1440</v>
      </c>
      <c r="G32" s="331">
        <v>75.8</v>
      </c>
      <c r="H32" s="662"/>
      <c r="I32" s="200">
        <f t="shared" si="87"/>
        <v>18.142857142857142</v>
      </c>
      <c r="J32" s="200">
        <f t="shared" si="87"/>
        <v>1276.8266806367355</v>
      </c>
      <c r="K32" s="201">
        <f t="shared" si="87"/>
        <v>70.409836476476954</v>
      </c>
      <c r="L32" s="601"/>
      <c r="M32" s="202">
        <f>RANK(K32, K$27:$K$41)</f>
        <v>5</v>
      </c>
      <c r="N32" s="619"/>
      <c r="O32" s="619"/>
      <c r="P32" s="376">
        <v>18</v>
      </c>
      <c r="Q32" s="183">
        <v>1280.2247191011236</v>
      </c>
      <c r="R32" s="377">
        <v>71.123595505617971</v>
      </c>
      <c r="S32" s="330">
        <f t="shared" si="88"/>
        <v>6</v>
      </c>
      <c r="T32" s="629"/>
      <c r="U32" s="522">
        <v>18</v>
      </c>
      <c r="V32" s="183">
        <v>1304.1379310344826</v>
      </c>
      <c r="W32" s="523">
        <v>72.452107279693479</v>
      </c>
      <c r="X32" s="520">
        <f t="shared" si="89"/>
        <v>5</v>
      </c>
      <c r="Y32" s="629"/>
      <c r="Z32" s="522">
        <v>18</v>
      </c>
      <c r="AA32" s="183">
        <v>1259.3023255813951</v>
      </c>
      <c r="AB32" s="523">
        <v>69.9612403100775</v>
      </c>
      <c r="AC32" s="520">
        <f t="shared" si="91"/>
        <v>6</v>
      </c>
      <c r="AD32" s="629"/>
      <c r="AE32" s="522">
        <v>18</v>
      </c>
      <c r="AF32" s="183">
        <v>1248.695652173913</v>
      </c>
      <c r="AG32" s="523">
        <v>69.371980676328505</v>
      </c>
      <c r="AH32" s="520">
        <f t="shared" si="93"/>
        <v>5</v>
      </c>
      <c r="AI32" s="629"/>
      <c r="AJ32" s="522">
        <v>19</v>
      </c>
      <c r="AK32" s="183">
        <v>1256.8000000000006</v>
      </c>
      <c r="AL32" s="523">
        <v>66.147368421052661</v>
      </c>
      <c r="AM32" s="520">
        <f t="shared" si="95"/>
        <v>6</v>
      </c>
      <c r="AN32" s="629"/>
      <c r="AO32" s="522">
        <v>18</v>
      </c>
      <c r="AP32" s="183">
        <v>1315.4430379746841</v>
      </c>
      <c r="AQ32" s="523">
        <v>73.080168776371337</v>
      </c>
      <c r="AR32" s="520">
        <f t="shared" si="97"/>
        <v>5</v>
      </c>
      <c r="AS32" s="629"/>
      <c r="AT32" s="522">
        <v>18</v>
      </c>
      <c r="AU32" s="183">
        <v>1273.1830985915497</v>
      </c>
      <c r="AV32" s="523">
        <v>70.732394366197198</v>
      </c>
      <c r="AW32" s="520">
        <f t="shared" si="99"/>
        <v>5</v>
      </c>
      <c r="AX32" s="658"/>
    </row>
    <row r="33" spans="2:50">
      <c r="B33" s="627"/>
      <c r="C33" s="330">
        <v>7</v>
      </c>
      <c r="D33" s="228" t="s">
        <v>744</v>
      </c>
      <c r="E33" s="183">
        <v>21</v>
      </c>
      <c r="F33" s="330">
        <v>1385</v>
      </c>
      <c r="G33" s="331">
        <v>65.900000000000006</v>
      </c>
      <c r="H33" s="662"/>
      <c r="I33" s="483">
        <f t="shared" ref="I33:I34" si="101">AVERAGE(P33,U33,Z33,AE33,AJ33,AO33,AT33)</f>
        <v>20</v>
      </c>
      <c r="J33" s="483">
        <f t="shared" ref="J33:J34" si="102">AVERAGE(Q33,V33,AA33,AF33,AK33,AP33,AU33)</f>
        <v>1077.1949256415096</v>
      </c>
      <c r="K33" s="201">
        <f t="shared" ref="K33:K34" si="103">AVERAGE(R33,W33,AB33,AG33,AL33,AQ33,AV33)</f>
        <v>53.859746282075484</v>
      </c>
      <c r="L33" s="601"/>
      <c r="M33" s="202">
        <f>RANK(K33, K$27:$K$41)</f>
        <v>8</v>
      </c>
      <c r="N33" s="619"/>
      <c r="O33" s="619"/>
      <c r="P33" s="376">
        <v>20</v>
      </c>
      <c r="Q33" s="183">
        <v>1069.0909090909099</v>
      </c>
      <c r="R33" s="377">
        <v>53.454545454545496</v>
      </c>
      <c r="S33" s="330">
        <f t="shared" si="88"/>
        <v>8</v>
      </c>
      <c r="T33" s="629"/>
      <c r="U33" s="522">
        <v>20</v>
      </c>
      <c r="V33" s="183">
        <v>1092.4528301886799</v>
      </c>
      <c r="W33" s="523">
        <v>54.62264150943399</v>
      </c>
      <c r="X33" s="520">
        <f t="shared" si="89"/>
        <v>8</v>
      </c>
      <c r="Y33" s="629"/>
      <c r="Z33" s="522">
        <v>20</v>
      </c>
      <c r="AA33" s="183">
        <v>1060.8000000000002</v>
      </c>
      <c r="AB33" s="523">
        <v>53.040000000000006</v>
      </c>
      <c r="AC33" s="520">
        <f t="shared" si="91"/>
        <v>8</v>
      </c>
      <c r="AD33" s="629"/>
      <c r="AE33" s="522">
        <v>20</v>
      </c>
      <c r="AF33" s="183">
        <v>1080</v>
      </c>
      <c r="AG33" s="523">
        <v>54</v>
      </c>
      <c r="AH33" s="520">
        <f t="shared" si="93"/>
        <v>8</v>
      </c>
      <c r="AI33" s="629"/>
      <c r="AJ33" s="522">
        <v>20</v>
      </c>
      <c r="AK33" s="183">
        <v>1102.9787234042553</v>
      </c>
      <c r="AL33" s="523">
        <v>55.148936170212764</v>
      </c>
      <c r="AM33" s="520">
        <f t="shared" si="95"/>
        <v>7</v>
      </c>
      <c r="AN33" s="629"/>
      <c r="AO33" s="522">
        <v>20</v>
      </c>
      <c r="AP33" s="183">
        <v>1076.4705882352946</v>
      </c>
      <c r="AQ33" s="523">
        <v>53.823529411764731</v>
      </c>
      <c r="AR33" s="520">
        <f t="shared" si="97"/>
        <v>8</v>
      </c>
      <c r="AS33" s="629"/>
      <c r="AT33" s="522">
        <v>20</v>
      </c>
      <c r="AU33" s="183">
        <v>1058.5714285714278</v>
      </c>
      <c r="AV33" s="523">
        <v>52.928571428571388</v>
      </c>
      <c r="AW33" s="520">
        <f t="shared" si="99"/>
        <v>8</v>
      </c>
      <c r="AX33" s="658"/>
    </row>
    <row r="34" spans="2:50">
      <c r="B34" s="627"/>
      <c r="C34" s="330">
        <v>8</v>
      </c>
      <c r="D34" s="228" t="s">
        <v>839</v>
      </c>
      <c r="E34" s="183">
        <v>21</v>
      </c>
      <c r="F34" s="330">
        <v>1385</v>
      </c>
      <c r="G34" s="331">
        <v>65.900000000000006</v>
      </c>
      <c r="H34" s="662"/>
      <c r="I34" s="483">
        <f t="shared" si="101"/>
        <v>20</v>
      </c>
      <c r="J34" s="483">
        <f t="shared" si="102"/>
        <v>1087.5566371353332</v>
      </c>
      <c r="K34" s="201">
        <f t="shared" si="103"/>
        <v>54.377831856766662</v>
      </c>
      <c r="L34" s="601"/>
      <c r="M34" s="202">
        <f>RANK(K34, K$27:$K$41)</f>
        <v>7</v>
      </c>
      <c r="N34" s="619"/>
      <c r="O34" s="619"/>
      <c r="P34" s="376">
        <v>20</v>
      </c>
      <c r="Q34" s="183">
        <v>1075.5555555555561</v>
      </c>
      <c r="R34" s="377">
        <v>53.777777777777807</v>
      </c>
      <c r="S34" s="330">
        <f t="shared" si="88"/>
        <v>7</v>
      </c>
      <c r="T34" s="629"/>
      <c r="U34" s="522">
        <v>20</v>
      </c>
      <c r="V34" s="183">
        <v>1096.1538461538469</v>
      </c>
      <c r="W34" s="523">
        <v>54.807692307692342</v>
      </c>
      <c r="X34" s="520">
        <f t="shared" si="89"/>
        <v>7</v>
      </c>
      <c r="Y34" s="629"/>
      <c r="Z34" s="522">
        <v>20</v>
      </c>
      <c r="AA34" s="183">
        <v>1093.4693877551024</v>
      </c>
      <c r="AB34" s="523">
        <v>54.673469387755119</v>
      </c>
      <c r="AC34" s="520">
        <f t="shared" si="91"/>
        <v>7</v>
      </c>
      <c r="AD34" s="629"/>
      <c r="AE34" s="522">
        <v>20</v>
      </c>
      <c r="AF34" s="183">
        <v>1093.1707317073167</v>
      </c>
      <c r="AG34" s="523">
        <v>54.658536585365837</v>
      </c>
      <c r="AH34" s="520">
        <f t="shared" si="93"/>
        <v>7</v>
      </c>
      <c r="AI34" s="629"/>
      <c r="AJ34" s="522">
        <v>20</v>
      </c>
      <c r="AK34" s="183">
        <v>1080</v>
      </c>
      <c r="AL34" s="523">
        <v>54</v>
      </c>
      <c r="AM34" s="520">
        <f t="shared" si="95"/>
        <v>8</v>
      </c>
      <c r="AN34" s="629"/>
      <c r="AO34" s="522">
        <v>20</v>
      </c>
      <c r="AP34" s="183">
        <v>1087.3469387755104</v>
      </c>
      <c r="AQ34" s="523">
        <v>54.367346938775519</v>
      </c>
      <c r="AR34" s="520">
        <f t="shared" si="97"/>
        <v>7</v>
      </c>
      <c r="AS34" s="629"/>
      <c r="AT34" s="522">
        <v>20</v>
      </c>
      <c r="AU34" s="183">
        <v>1087.2000000000003</v>
      </c>
      <c r="AV34" s="523">
        <v>54.360000000000014</v>
      </c>
      <c r="AW34" s="520">
        <f t="shared" si="99"/>
        <v>7</v>
      </c>
      <c r="AX34" s="658"/>
    </row>
    <row r="35" spans="2:50">
      <c r="B35" s="627"/>
      <c r="C35" s="330">
        <v>9</v>
      </c>
      <c r="D35" s="228"/>
      <c r="E35" s="183"/>
      <c r="F35" s="330"/>
      <c r="G35" s="331"/>
      <c r="H35" s="662"/>
      <c r="I35" s="200"/>
      <c r="J35" s="200"/>
      <c r="K35" s="201"/>
      <c r="L35" s="601"/>
      <c r="M35" s="202" t="e">
        <f>RANK(K35, K$27:$K$41)</f>
        <v>#N/A</v>
      </c>
      <c r="N35" s="619"/>
      <c r="O35" s="619"/>
      <c r="P35" s="376"/>
      <c r="Q35" s="183"/>
      <c r="R35" s="377"/>
      <c r="S35" s="330" t="e">
        <f t="shared" si="88"/>
        <v>#N/A</v>
      </c>
      <c r="T35" s="629"/>
      <c r="U35" s="520"/>
      <c r="V35" s="183"/>
      <c r="W35" s="521"/>
      <c r="X35" s="520" t="e">
        <f t="shared" si="89"/>
        <v>#N/A</v>
      </c>
      <c r="Y35" s="629"/>
      <c r="Z35" s="520"/>
      <c r="AA35" s="183"/>
      <c r="AB35" s="521"/>
      <c r="AC35" s="520" t="e">
        <f t="shared" si="91"/>
        <v>#N/A</v>
      </c>
      <c r="AD35" s="629"/>
      <c r="AE35" s="520"/>
      <c r="AF35" s="183"/>
      <c r="AG35" s="521"/>
      <c r="AH35" s="520" t="e">
        <f t="shared" si="93"/>
        <v>#N/A</v>
      </c>
      <c r="AI35" s="629"/>
      <c r="AJ35" s="520"/>
      <c r="AK35" s="183"/>
      <c r="AL35" s="521"/>
      <c r="AM35" s="520" t="e">
        <f t="shared" si="95"/>
        <v>#N/A</v>
      </c>
      <c r="AN35" s="629"/>
      <c r="AO35" s="520"/>
      <c r="AP35" s="183"/>
      <c r="AQ35" s="521"/>
      <c r="AR35" s="520" t="e">
        <f t="shared" si="97"/>
        <v>#N/A</v>
      </c>
      <c r="AS35" s="629"/>
      <c r="AT35" s="520"/>
      <c r="AU35" s="183"/>
      <c r="AV35" s="521"/>
      <c r="AW35" s="520" t="e">
        <f t="shared" si="99"/>
        <v>#N/A</v>
      </c>
      <c r="AX35" s="658"/>
    </row>
    <row r="36" spans="2:50">
      <c r="B36" s="627"/>
      <c r="C36" s="330">
        <v>10</v>
      </c>
      <c r="D36" s="228"/>
      <c r="E36" s="183"/>
      <c r="F36" s="330"/>
      <c r="G36" s="331"/>
      <c r="H36" s="662"/>
      <c r="I36" s="200"/>
      <c r="J36" s="200"/>
      <c r="K36" s="201"/>
      <c r="L36" s="601"/>
      <c r="M36" s="202" t="e">
        <f>RANK(K36, K$27:$K$41)</f>
        <v>#N/A</v>
      </c>
      <c r="N36" s="619"/>
      <c r="O36" s="619"/>
      <c r="P36" s="376"/>
      <c r="Q36" s="183"/>
      <c r="R36" s="377"/>
      <c r="S36" s="330" t="e">
        <f t="shared" si="88"/>
        <v>#N/A</v>
      </c>
      <c r="T36" s="629"/>
      <c r="U36" s="520"/>
      <c r="V36" s="183"/>
      <c r="W36" s="521"/>
      <c r="X36" s="520" t="e">
        <f t="shared" si="89"/>
        <v>#N/A</v>
      </c>
      <c r="Y36" s="629"/>
      <c r="Z36" s="520"/>
      <c r="AA36" s="183"/>
      <c r="AB36" s="521"/>
      <c r="AC36" s="520" t="e">
        <f t="shared" si="91"/>
        <v>#N/A</v>
      </c>
      <c r="AD36" s="629"/>
      <c r="AE36" s="520"/>
      <c r="AF36" s="183"/>
      <c r="AG36" s="521"/>
      <c r="AH36" s="520" t="e">
        <f t="shared" si="93"/>
        <v>#N/A</v>
      </c>
      <c r="AI36" s="629"/>
      <c r="AJ36" s="520"/>
      <c r="AK36" s="183"/>
      <c r="AL36" s="521"/>
      <c r="AM36" s="520" t="e">
        <f t="shared" si="95"/>
        <v>#N/A</v>
      </c>
      <c r="AN36" s="629"/>
      <c r="AO36" s="520"/>
      <c r="AP36" s="183"/>
      <c r="AQ36" s="521"/>
      <c r="AR36" s="520" t="e">
        <f t="shared" si="97"/>
        <v>#N/A</v>
      </c>
      <c r="AS36" s="629"/>
      <c r="AT36" s="520"/>
      <c r="AU36" s="183"/>
      <c r="AV36" s="521"/>
      <c r="AW36" s="520" t="e">
        <f t="shared" si="99"/>
        <v>#N/A</v>
      </c>
      <c r="AX36" s="658"/>
    </row>
    <row r="37" spans="2:50">
      <c r="B37" s="627"/>
      <c r="C37" s="330">
        <v>11</v>
      </c>
      <c r="D37" s="228"/>
      <c r="E37" s="183"/>
      <c r="F37" s="330"/>
      <c r="G37" s="331"/>
      <c r="H37" s="662"/>
      <c r="I37" s="200"/>
      <c r="J37" s="200"/>
      <c r="K37" s="201"/>
      <c r="L37" s="601"/>
      <c r="M37" s="202" t="e">
        <f>RANK(K37, K$27:$K$41)</f>
        <v>#N/A</v>
      </c>
      <c r="N37" s="619"/>
      <c r="O37" s="619"/>
      <c r="P37" s="376"/>
      <c r="Q37" s="183"/>
      <c r="R37" s="377"/>
      <c r="S37" s="330" t="e">
        <f t="shared" si="88"/>
        <v>#N/A</v>
      </c>
      <c r="T37" s="629"/>
      <c r="U37" s="520"/>
      <c r="V37" s="183"/>
      <c r="W37" s="521"/>
      <c r="X37" s="520" t="e">
        <f t="shared" si="89"/>
        <v>#N/A</v>
      </c>
      <c r="Y37" s="629"/>
      <c r="Z37" s="520"/>
      <c r="AA37" s="183"/>
      <c r="AB37" s="521"/>
      <c r="AC37" s="520" t="e">
        <f t="shared" si="91"/>
        <v>#N/A</v>
      </c>
      <c r="AD37" s="629"/>
      <c r="AE37" s="520"/>
      <c r="AF37" s="183"/>
      <c r="AG37" s="521"/>
      <c r="AH37" s="520" t="e">
        <f t="shared" si="93"/>
        <v>#N/A</v>
      </c>
      <c r="AI37" s="629"/>
      <c r="AJ37" s="520"/>
      <c r="AK37" s="183"/>
      <c r="AL37" s="521"/>
      <c r="AM37" s="520" t="e">
        <f t="shared" si="95"/>
        <v>#N/A</v>
      </c>
      <c r="AN37" s="629"/>
      <c r="AO37" s="520"/>
      <c r="AP37" s="183"/>
      <c r="AQ37" s="521"/>
      <c r="AR37" s="520" t="e">
        <f t="shared" si="97"/>
        <v>#N/A</v>
      </c>
      <c r="AS37" s="629"/>
      <c r="AT37" s="520"/>
      <c r="AU37" s="183"/>
      <c r="AV37" s="521"/>
      <c r="AW37" s="520" t="e">
        <f t="shared" si="99"/>
        <v>#N/A</v>
      </c>
      <c r="AX37" s="658"/>
    </row>
    <row r="38" spans="2:50">
      <c r="B38" s="627"/>
      <c r="C38" s="330">
        <v>12</v>
      </c>
      <c r="D38" s="228"/>
      <c r="E38" s="183"/>
      <c r="F38" s="330"/>
      <c r="G38" s="331"/>
      <c r="H38" s="662"/>
      <c r="I38" s="200"/>
      <c r="J38" s="200"/>
      <c r="K38" s="201"/>
      <c r="L38" s="601"/>
      <c r="M38" s="202" t="e">
        <f>RANK(K38, K$27:$K$41)</f>
        <v>#N/A</v>
      </c>
      <c r="N38" s="619"/>
      <c r="O38" s="619"/>
      <c r="P38" s="376"/>
      <c r="Q38" s="183"/>
      <c r="R38" s="377"/>
      <c r="S38" s="330" t="e">
        <f t="shared" si="88"/>
        <v>#N/A</v>
      </c>
      <c r="T38" s="629"/>
      <c r="U38" s="520"/>
      <c r="V38" s="183"/>
      <c r="W38" s="521"/>
      <c r="X38" s="520" t="e">
        <f t="shared" si="89"/>
        <v>#N/A</v>
      </c>
      <c r="Y38" s="629"/>
      <c r="Z38" s="520"/>
      <c r="AA38" s="183"/>
      <c r="AB38" s="521"/>
      <c r="AC38" s="520" t="e">
        <f t="shared" si="91"/>
        <v>#N/A</v>
      </c>
      <c r="AD38" s="629"/>
      <c r="AE38" s="520"/>
      <c r="AF38" s="183"/>
      <c r="AG38" s="521"/>
      <c r="AH38" s="520" t="e">
        <f t="shared" si="93"/>
        <v>#N/A</v>
      </c>
      <c r="AI38" s="629"/>
      <c r="AJ38" s="520"/>
      <c r="AK38" s="183"/>
      <c r="AL38" s="521"/>
      <c r="AM38" s="520" t="e">
        <f t="shared" si="95"/>
        <v>#N/A</v>
      </c>
      <c r="AN38" s="629"/>
      <c r="AO38" s="520"/>
      <c r="AP38" s="183"/>
      <c r="AQ38" s="521"/>
      <c r="AR38" s="520" t="e">
        <f t="shared" si="97"/>
        <v>#N/A</v>
      </c>
      <c r="AS38" s="629"/>
      <c r="AT38" s="520"/>
      <c r="AU38" s="183"/>
      <c r="AV38" s="521"/>
      <c r="AW38" s="520" t="e">
        <f t="shared" si="99"/>
        <v>#N/A</v>
      </c>
      <c r="AX38" s="658"/>
    </row>
    <row r="39" spans="2:50">
      <c r="B39" s="627"/>
      <c r="C39" s="330">
        <v>13</v>
      </c>
      <c r="D39" s="228"/>
      <c r="E39" s="183"/>
      <c r="F39" s="330"/>
      <c r="G39" s="331"/>
      <c r="H39" s="662"/>
      <c r="I39" s="200"/>
      <c r="J39" s="200"/>
      <c r="K39" s="201"/>
      <c r="L39" s="601"/>
      <c r="M39" s="202" t="e">
        <f>RANK(K39, K$27:$K$41)</f>
        <v>#N/A</v>
      </c>
      <c r="N39" s="619"/>
      <c r="O39" s="619"/>
      <c r="P39" s="376"/>
      <c r="Q39" s="183"/>
      <c r="R39" s="377"/>
      <c r="S39" s="330" t="e">
        <f t="shared" si="88"/>
        <v>#N/A</v>
      </c>
      <c r="T39" s="629"/>
      <c r="U39" s="520"/>
      <c r="V39" s="183"/>
      <c r="W39" s="521"/>
      <c r="X39" s="520" t="e">
        <f t="shared" si="89"/>
        <v>#N/A</v>
      </c>
      <c r="Y39" s="629"/>
      <c r="Z39" s="520"/>
      <c r="AA39" s="183"/>
      <c r="AB39" s="521"/>
      <c r="AC39" s="520" t="e">
        <f t="shared" si="91"/>
        <v>#N/A</v>
      </c>
      <c r="AD39" s="629"/>
      <c r="AE39" s="520"/>
      <c r="AF39" s="183"/>
      <c r="AG39" s="521"/>
      <c r="AH39" s="520" t="e">
        <f t="shared" si="93"/>
        <v>#N/A</v>
      </c>
      <c r="AI39" s="629"/>
      <c r="AJ39" s="520"/>
      <c r="AK39" s="183"/>
      <c r="AL39" s="521"/>
      <c r="AM39" s="520" t="e">
        <f t="shared" si="95"/>
        <v>#N/A</v>
      </c>
      <c r="AN39" s="629"/>
      <c r="AO39" s="520"/>
      <c r="AP39" s="183"/>
      <c r="AQ39" s="521"/>
      <c r="AR39" s="520" t="e">
        <f t="shared" si="97"/>
        <v>#N/A</v>
      </c>
      <c r="AS39" s="629"/>
      <c r="AT39" s="520"/>
      <c r="AU39" s="183"/>
      <c r="AV39" s="521"/>
      <c r="AW39" s="520" t="e">
        <f t="shared" si="99"/>
        <v>#N/A</v>
      </c>
      <c r="AX39" s="658"/>
    </row>
    <row r="40" spans="2:50">
      <c r="B40" s="627"/>
      <c r="C40" s="330">
        <v>14</v>
      </c>
      <c r="D40" s="228"/>
      <c r="E40" s="183"/>
      <c r="F40" s="330"/>
      <c r="G40" s="331"/>
      <c r="H40" s="662"/>
      <c r="I40" s="200"/>
      <c r="J40" s="200"/>
      <c r="K40" s="201"/>
      <c r="L40" s="601"/>
      <c r="M40" s="202" t="e">
        <f>RANK(K40, K$27:$K$41)</f>
        <v>#N/A</v>
      </c>
      <c r="N40" s="619"/>
      <c r="O40" s="619"/>
      <c r="P40" s="376"/>
      <c r="Q40" s="183"/>
      <c r="R40" s="377"/>
      <c r="S40" s="330" t="e">
        <f t="shared" si="88"/>
        <v>#N/A</v>
      </c>
      <c r="T40" s="629"/>
      <c r="U40" s="520"/>
      <c r="V40" s="183"/>
      <c r="W40" s="521"/>
      <c r="X40" s="520" t="e">
        <f t="shared" si="89"/>
        <v>#N/A</v>
      </c>
      <c r="Y40" s="629"/>
      <c r="Z40" s="520"/>
      <c r="AA40" s="183"/>
      <c r="AB40" s="521"/>
      <c r="AC40" s="520" t="e">
        <f t="shared" si="91"/>
        <v>#N/A</v>
      </c>
      <c r="AD40" s="629"/>
      <c r="AE40" s="520"/>
      <c r="AF40" s="183"/>
      <c r="AG40" s="521"/>
      <c r="AH40" s="520" t="e">
        <f t="shared" si="93"/>
        <v>#N/A</v>
      </c>
      <c r="AI40" s="629"/>
      <c r="AJ40" s="520"/>
      <c r="AK40" s="183"/>
      <c r="AL40" s="521"/>
      <c r="AM40" s="520" t="e">
        <f t="shared" si="95"/>
        <v>#N/A</v>
      </c>
      <c r="AN40" s="629"/>
      <c r="AO40" s="520"/>
      <c r="AP40" s="183"/>
      <c r="AQ40" s="521"/>
      <c r="AR40" s="520" t="e">
        <f t="shared" si="97"/>
        <v>#N/A</v>
      </c>
      <c r="AS40" s="629"/>
      <c r="AT40" s="520"/>
      <c r="AU40" s="183"/>
      <c r="AV40" s="521"/>
      <c r="AW40" s="520" t="e">
        <f t="shared" si="99"/>
        <v>#N/A</v>
      </c>
      <c r="AX40" s="658"/>
    </row>
    <row r="41" spans="2:50">
      <c r="B41" s="627"/>
      <c r="C41" s="330">
        <v>15</v>
      </c>
      <c r="D41" s="228"/>
      <c r="E41" s="183"/>
      <c r="F41" s="330"/>
      <c r="G41" s="331"/>
      <c r="H41" s="663"/>
      <c r="I41" s="200"/>
      <c r="J41" s="200"/>
      <c r="K41" s="201"/>
      <c r="L41" s="602"/>
      <c r="M41" s="200" t="e">
        <f>RANK(K41, K$27:$K$41)</f>
        <v>#N/A</v>
      </c>
      <c r="N41" s="619"/>
      <c r="O41" s="619"/>
      <c r="P41" s="376"/>
      <c r="Q41" s="183"/>
      <c r="R41" s="377"/>
      <c r="S41" s="330" t="e">
        <f t="shared" si="88"/>
        <v>#N/A</v>
      </c>
      <c r="T41" s="630"/>
      <c r="U41" s="520"/>
      <c r="V41" s="183"/>
      <c r="W41" s="521"/>
      <c r="X41" s="520" t="e">
        <f t="shared" si="89"/>
        <v>#N/A</v>
      </c>
      <c r="Y41" s="630"/>
      <c r="Z41" s="520"/>
      <c r="AA41" s="183"/>
      <c r="AB41" s="521"/>
      <c r="AC41" s="520" t="e">
        <f t="shared" si="91"/>
        <v>#N/A</v>
      </c>
      <c r="AD41" s="630"/>
      <c r="AE41" s="520"/>
      <c r="AF41" s="183"/>
      <c r="AG41" s="521"/>
      <c r="AH41" s="520" t="e">
        <f t="shared" si="93"/>
        <v>#N/A</v>
      </c>
      <c r="AI41" s="630"/>
      <c r="AJ41" s="520"/>
      <c r="AK41" s="183"/>
      <c r="AL41" s="521"/>
      <c r="AM41" s="520" t="e">
        <f t="shared" si="95"/>
        <v>#N/A</v>
      </c>
      <c r="AN41" s="630"/>
      <c r="AO41" s="520"/>
      <c r="AP41" s="183"/>
      <c r="AQ41" s="521"/>
      <c r="AR41" s="520" t="e">
        <f t="shared" si="97"/>
        <v>#N/A</v>
      </c>
      <c r="AS41" s="630"/>
      <c r="AT41" s="520"/>
      <c r="AU41" s="183"/>
      <c r="AV41" s="521"/>
      <c r="AW41" s="520" t="e">
        <f t="shared" si="99"/>
        <v>#N/A</v>
      </c>
      <c r="AX41" s="658"/>
    </row>
    <row r="42" spans="2:50" ht="15.5">
      <c r="B42" s="644" t="s">
        <v>163</v>
      </c>
      <c r="C42" s="645"/>
      <c r="D42" s="645"/>
      <c r="E42" s="645"/>
      <c r="F42" s="645"/>
      <c r="G42" s="645"/>
      <c r="H42" s="645"/>
      <c r="I42" s="209"/>
      <c r="J42" s="204"/>
      <c r="K42" s="209"/>
      <c r="L42" s="209"/>
      <c r="M42" s="205"/>
      <c r="N42" s="620" t="s">
        <v>156</v>
      </c>
      <c r="O42" s="620" t="s">
        <v>105</v>
      </c>
      <c r="P42" s="626">
        <f>P22+7</f>
        <v>46000</v>
      </c>
      <c r="Q42" s="627"/>
      <c r="R42" s="627"/>
      <c r="S42" s="627"/>
      <c r="T42" s="627"/>
      <c r="U42" s="623">
        <f>P42+1</f>
        <v>46001</v>
      </c>
      <c r="V42" s="624"/>
      <c r="W42" s="624"/>
      <c r="X42" s="624"/>
      <c r="Y42" s="625"/>
      <c r="Z42" s="623">
        <f>U42+1</f>
        <v>46002</v>
      </c>
      <c r="AA42" s="624"/>
      <c r="AB42" s="624"/>
      <c r="AC42" s="624"/>
      <c r="AD42" s="625"/>
      <c r="AE42" s="623">
        <f>Z42+1</f>
        <v>46003</v>
      </c>
      <c r="AF42" s="624"/>
      <c r="AG42" s="624"/>
      <c r="AH42" s="624"/>
      <c r="AI42" s="625"/>
      <c r="AJ42" s="623">
        <f>AE42+1</f>
        <v>46004</v>
      </c>
      <c r="AK42" s="624"/>
      <c r="AL42" s="624"/>
      <c r="AM42" s="624"/>
      <c r="AN42" s="625"/>
      <c r="AO42" s="623">
        <f>AJ42+1</f>
        <v>46005</v>
      </c>
      <c r="AP42" s="624"/>
      <c r="AQ42" s="624"/>
      <c r="AR42" s="624"/>
      <c r="AS42" s="625"/>
      <c r="AT42" s="623">
        <f>AO42+1</f>
        <v>46006</v>
      </c>
      <c r="AU42" s="624"/>
      <c r="AV42" s="624"/>
      <c r="AW42" s="624"/>
      <c r="AX42" s="625"/>
    </row>
    <row r="43" spans="2:50" ht="15.5">
      <c r="B43" s="634"/>
      <c r="C43" s="634"/>
      <c r="D43" s="634"/>
      <c r="E43" s="634"/>
      <c r="F43" s="634"/>
      <c r="G43" s="634"/>
      <c r="H43" s="634"/>
      <c r="I43" s="206"/>
      <c r="J43" s="206"/>
      <c r="K43" s="206"/>
      <c r="L43" s="206"/>
      <c r="M43" s="207"/>
      <c r="N43" s="622"/>
      <c r="O43" s="622"/>
      <c r="P43" s="626" t="s">
        <v>336</v>
      </c>
      <c r="Q43" s="627"/>
      <c r="R43" s="627"/>
      <c r="S43" s="627"/>
      <c r="T43" s="627"/>
      <c r="U43" s="626" t="s">
        <v>337</v>
      </c>
      <c r="V43" s="627"/>
      <c r="W43" s="627"/>
      <c r="X43" s="627"/>
      <c r="Y43" s="627"/>
      <c r="Z43" s="626" t="s">
        <v>338</v>
      </c>
      <c r="AA43" s="627"/>
      <c r="AB43" s="627"/>
      <c r="AC43" s="627"/>
      <c r="AD43" s="627"/>
      <c r="AE43" s="626" t="s">
        <v>339</v>
      </c>
      <c r="AF43" s="627"/>
      <c r="AG43" s="627"/>
      <c r="AH43" s="627"/>
      <c r="AI43" s="627"/>
      <c r="AJ43" s="626" t="s">
        <v>340</v>
      </c>
      <c r="AK43" s="627"/>
      <c r="AL43" s="627"/>
      <c r="AM43" s="627"/>
      <c r="AN43" s="627"/>
      <c r="AO43" s="626" t="s">
        <v>341</v>
      </c>
      <c r="AP43" s="627"/>
      <c r="AQ43" s="627"/>
      <c r="AR43" s="627"/>
      <c r="AS43" s="627"/>
      <c r="AT43" s="626" t="s">
        <v>342</v>
      </c>
      <c r="AU43" s="627"/>
      <c r="AV43" s="627"/>
      <c r="AW43" s="627"/>
      <c r="AX43" s="627"/>
    </row>
    <row r="44" spans="2:50">
      <c r="B44" s="619" t="s">
        <v>649</v>
      </c>
      <c r="C44" s="619" t="s">
        <v>650</v>
      </c>
      <c r="D44" s="619"/>
      <c r="E44" s="619" t="s">
        <v>651</v>
      </c>
      <c r="F44" s="619"/>
      <c r="G44" s="619"/>
      <c r="H44" s="635" t="s">
        <v>652</v>
      </c>
      <c r="I44" s="603" t="s">
        <v>653</v>
      </c>
      <c r="J44" s="603"/>
      <c r="K44" s="603"/>
      <c r="L44" s="604" t="s">
        <v>652</v>
      </c>
      <c r="M44" s="610" t="s">
        <v>654</v>
      </c>
      <c r="N44" s="619"/>
      <c r="O44" s="619" t="s">
        <v>655</v>
      </c>
      <c r="P44" s="616" t="s">
        <v>656</v>
      </c>
      <c r="Q44" s="617"/>
      <c r="R44" s="617"/>
      <c r="S44" s="618"/>
      <c r="T44" s="619" t="s">
        <v>652</v>
      </c>
      <c r="U44" s="616" t="s">
        <v>656</v>
      </c>
      <c r="V44" s="617"/>
      <c r="W44" s="617"/>
      <c r="X44" s="618"/>
      <c r="Y44" s="619" t="s">
        <v>652</v>
      </c>
      <c r="Z44" s="616" t="s">
        <v>656</v>
      </c>
      <c r="AA44" s="617"/>
      <c r="AB44" s="617"/>
      <c r="AC44" s="618"/>
      <c r="AD44" s="619" t="s">
        <v>652</v>
      </c>
      <c r="AE44" s="616" t="s">
        <v>656</v>
      </c>
      <c r="AF44" s="617"/>
      <c r="AG44" s="617"/>
      <c r="AH44" s="618"/>
      <c r="AI44" s="619" t="s">
        <v>652</v>
      </c>
      <c r="AJ44" s="616" t="s">
        <v>656</v>
      </c>
      <c r="AK44" s="617"/>
      <c r="AL44" s="617"/>
      <c r="AM44" s="618"/>
      <c r="AN44" s="619" t="s">
        <v>652</v>
      </c>
      <c r="AO44" s="616" t="s">
        <v>656</v>
      </c>
      <c r="AP44" s="617"/>
      <c r="AQ44" s="617"/>
      <c r="AR44" s="618"/>
      <c r="AS44" s="619" t="s">
        <v>652</v>
      </c>
      <c r="AT44" s="616" t="s">
        <v>656</v>
      </c>
      <c r="AU44" s="617"/>
      <c r="AV44" s="617"/>
      <c r="AW44" s="618"/>
      <c r="AX44" s="619" t="s">
        <v>652</v>
      </c>
    </row>
    <row r="45" spans="2:50">
      <c r="B45" s="619"/>
      <c r="C45" s="619"/>
      <c r="D45" s="619"/>
      <c r="E45" s="619" t="s">
        <v>657</v>
      </c>
      <c r="F45" s="619"/>
      <c r="G45" s="619"/>
      <c r="H45" s="636"/>
      <c r="I45" s="603" t="s">
        <v>657</v>
      </c>
      <c r="J45" s="603"/>
      <c r="K45" s="603"/>
      <c r="L45" s="605"/>
      <c r="M45" s="611"/>
      <c r="N45" s="619"/>
      <c r="O45" s="619"/>
      <c r="P45" s="616" t="s">
        <v>658</v>
      </c>
      <c r="Q45" s="617"/>
      <c r="R45" s="617"/>
      <c r="S45" s="618"/>
      <c r="T45" s="619"/>
      <c r="U45" s="616" t="s">
        <v>658</v>
      </c>
      <c r="V45" s="617"/>
      <c r="W45" s="617"/>
      <c r="X45" s="618"/>
      <c r="Y45" s="619"/>
      <c r="Z45" s="616" t="s">
        <v>658</v>
      </c>
      <c r="AA45" s="617"/>
      <c r="AB45" s="617"/>
      <c r="AC45" s="618"/>
      <c r="AD45" s="619"/>
      <c r="AE45" s="616" t="s">
        <v>658</v>
      </c>
      <c r="AF45" s="617"/>
      <c r="AG45" s="617"/>
      <c r="AH45" s="618"/>
      <c r="AI45" s="619"/>
      <c r="AJ45" s="616" t="s">
        <v>658</v>
      </c>
      <c r="AK45" s="617"/>
      <c r="AL45" s="617"/>
      <c r="AM45" s="618"/>
      <c r="AN45" s="619"/>
      <c r="AO45" s="616" t="s">
        <v>658</v>
      </c>
      <c r="AP45" s="617"/>
      <c r="AQ45" s="617"/>
      <c r="AR45" s="618"/>
      <c r="AS45" s="619"/>
      <c r="AT45" s="616" t="s">
        <v>658</v>
      </c>
      <c r="AU45" s="617"/>
      <c r="AV45" s="617"/>
      <c r="AW45" s="618"/>
      <c r="AX45" s="619"/>
    </row>
    <row r="46" spans="2:50">
      <c r="B46" s="619"/>
      <c r="C46" s="619"/>
      <c r="D46" s="619"/>
      <c r="E46" s="335" t="s">
        <v>659</v>
      </c>
      <c r="F46" s="335" t="s">
        <v>660</v>
      </c>
      <c r="G46" s="335" t="s">
        <v>661</v>
      </c>
      <c r="H46" s="637"/>
      <c r="I46" s="334" t="s">
        <v>659</v>
      </c>
      <c r="J46" s="334" t="s">
        <v>660</v>
      </c>
      <c r="K46" s="334" t="s">
        <v>661</v>
      </c>
      <c r="L46" s="606"/>
      <c r="M46" s="612"/>
      <c r="N46" s="619"/>
      <c r="O46" s="619"/>
      <c r="P46" s="335" t="s">
        <v>659</v>
      </c>
      <c r="Q46" s="335" t="s">
        <v>660</v>
      </c>
      <c r="R46" s="335" t="s">
        <v>661</v>
      </c>
      <c r="S46" s="335" t="s">
        <v>654</v>
      </c>
      <c r="T46" s="619"/>
      <c r="U46" s="335" t="s">
        <v>659</v>
      </c>
      <c r="V46" s="335" t="s">
        <v>660</v>
      </c>
      <c r="W46" s="335" t="s">
        <v>661</v>
      </c>
      <c r="X46" s="335" t="s">
        <v>654</v>
      </c>
      <c r="Y46" s="619"/>
      <c r="Z46" s="335" t="s">
        <v>659</v>
      </c>
      <c r="AA46" s="335" t="s">
        <v>660</v>
      </c>
      <c r="AB46" s="335" t="s">
        <v>661</v>
      </c>
      <c r="AC46" s="335" t="s">
        <v>654</v>
      </c>
      <c r="AD46" s="619"/>
      <c r="AE46" s="335" t="s">
        <v>659</v>
      </c>
      <c r="AF46" s="335" t="s">
        <v>660</v>
      </c>
      <c r="AG46" s="335" t="s">
        <v>661</v>
      </c>
      <c r="AH46" s="335" t="s">
        <v>654</v>
      </c>
      <c r="AI46" s="619"/>
      <c r="AJ46" s="335" t="s">
        <v>659</v>
      </c>
      <c r="AK46" s="335" t="s">
        <v>660</v>
      </c>
      <c r="AL46" s="335" t="s">
        <v>661</v>
      </c>
      <c r="AM46" s="335" t="s">
        <v>654</v>
      </c>
      <c r="AN46" s="619"/>
      <c r="AO46" s="335" t="s">
        <v>659</v>
      </c>
      <c r="AP46" s="335" t="s">
        <v>660</v>
      </c>
      <c r="AQ46" s="335" t="s">
        <v>661</v>
      </c>
      <c r="AR46" s="335" t="s">
        <v>654</v>
      </c>
      <c r="AS46" s="619"/>
      <c r="AT46" s="335" t="s">
        <v>659</v>
      </c>
      <c r="AU46" s="335" t="s">
        <v>660</v>
      </c>
      <c r="AV46" s="335" t="s">
        <v>661</v>
      </c>
      <c r="AW46" s="335" t="s">
        <v>654</v>
      </c>
      <c r="AX46" s="619"/>
    </row>
    <row r="47" spans="2:50">
      <c r="B47" s="619" t="s">
        <v>666</v>
      </c>
      <c r="C47" s="336">
        <v>1</v>
      </c>
      <c r="D47" s="228" t="s">
        <v>401</v>
      </c>
      <c r="E47" s="183">
        <v>6</v>
      </c>
      <c r="F47" s="470">
        <v>1500</v>
      </c>
      <c r="G47" s="471">
        <v>250</v>
      </c>
      <c r="H47" s="661">
        <f>AVERAGE(G47:G61)</f>
        <v>140.15</v>
      </c>
      <c r="I47" s="200">
        <f t="shared" ref="I47:K51" si="104">AVERAGE(P47,U47,Z47,AE47,AJ47,AO47,AT47)</f>
        <v>7</v>
      </c>
      <c r="J47" s="200">
        <f t="shared" si="104"/>
        <v>1329.1826415773969</v>
      </c>
      <c r="K47" s="201">
        <f t="shared" si="104"/>
        <v>189.88323451105671</v>
      </c>
      <c r="L47" s="600">
        <f>IFERROR(AVERAGE(K47:K61),"-")</f>
        <v>116.69781917373838</v>
      </c>
      <c r="M47" s="202">
        <f>RANK(K47, K$47:$K$61)</f>
        <v>3</v>
      </c>
      <c r="N47" s="619"/>
      <c r="O47" s="619"/>
      <c r="P47" s="183">
        <v>7</v>
      </c>
      <c r="Q47" s="183">
        <v>1346.3414634146343</v>
      </c>
      <c r="R47" s="471">
        <v>192.3344947735192</v>
      </c>
      <c r="S47" s="336">
        <f>RANK(R47, R$47:R$61)</f>
        <v>3</v>
      </c>
      <c r="T47" s="628">
        <f>AVERAGE(R47:R61)</f>
        <v>117.03634142753073</v>
      </c>
      <c r="U47" s="183">
        <v>7</v>
      </c>
      <c r="V47" s="183">
        <v>1352.0930232558137</v>
      </c>
      <c r="W47" s="533">
        <v>193.15614617940196</v>
      </c>
      <c r="X47" s="520">
        <f t="shared" ref="X47:X61" si="105">RANK(W47, W$47:W$61)</f>
        <v>3</v>
      </c>
      <c r="Y47" s="628">
        <f t="shared" ref="Y47" si="106">AVERAGE(W47:W61)</f>
        <v>117.03175169178702</v>
      </c>
      <c r="Z47" s="183">
        <v>7</v>
      </c>
      <c r="AA47" s="183">
        <v>1356.4556962025317</v>
      </c>
      <c r="AB47" s="533">
        <v>193.77938517179024</v>
      </c>
      <c r="AC47" s="520">
        <f t="shared" ref="AC47:AC61" si="107">RANK(AB47, AB$47:AB$61)</f>
        <v>3</v>
      </c>
      <c r="AD47" s="628">
        <f t="shared" ref="AD47" si="108">AVERAGE(AB47:AB61)</f>
        <v>118.19428682605741</v>
      </c>
      <c r="AE47" s="183">
        <v>7</v>
      </c>
      <c r="AF47" s="183">
        <v>1313.3333333333337</v>
      </c>
      <c r="AG47" s="533">
        <v>187.61904761904768</v>
      </c>
      <c r="AH47" s="520">
        <f t="shared" ref="AH47:AH61" si="109">RANK(AG47, AG$47:AG$61)</f>
        <v>3</v>
      </c>
      <c r="AI47" s="628">
        <f t="shared" ref="AI47" si="110">AVERAGE(AG47:AG61)</f>
        <v>115.12048325119957</v>
      </c>
      <c r="AJ47" s="183">
        <v>7</v>
      </c>
      <c r="AK47" s="183">
        <v>1332.8571428571431</v>
      </c>
      <c r="AL47" s="533">
        <v>190.40816326530617</v>
      </c>
      <c r="AM47" s="520">
        <f t="shared" ref="AM47:AM61" si="111">RANK(AL47, AL$47:AL$61)</f>
        <v>3</v>
      </c>
      <c r="AN47" s="628">
        <f t="shared" ref="AN47" si="112">AVERAGE(AL47:AL61)</f>
        <v>117.6429190967696</v>
      </c>
      <c r="AO47" s="183">
        <v>7</v>
      </c>
      <c r="AP47" s="183">
        <v>1302.2222222222224</v>
      </c>
      <c r="AQ47" s="533">
        <v>186.03174603174605</v>
      </c>
      <c r="AR47" s="520">
        <f t="shared" ref="AR47:AR61" si="113">RANK(AQ47, AQ$47:AQ$61)</f>
        <v>3</v>
      </c>
      <c r="AS47" s="628">
        <f t="shared" ref="AS47" si="114">AVERAGE(AQ47:AQ61)</f>
        <v>115.4865469705318</v>
      </c>
      <c r="AT47" s="183">
        <v>7</v>
      </c>
      <c r="AU47" s="183">
        <v>1300.9756097560978</v>
      </c>
      <c r="AV47" s="533">
        <v>185.85365853658541</v>
      </c>
      <c r="AW47" s="520">
        <f t="shared" ref="AW47:AW61" si="115">RANK(AV47, AV$47:AV$61)</f>
        <v>3</v>
      </c>
      <c r="AX47" s="658">
        <f t="shared" ref="AX47" si="116">AVERAGE(AV47:AV61)</f>
        <v>116.37240495229246</v>
      </c>
    </row>
    <row r="48" spans="2:50">
      <c r="B48" s="627"/>
      <c r="C48" s="336">
        <v>2</v>
      </c>
      <c r="D48" s="228" t="s">
        <v>402</v>
      </c>
      <c r="E48" s="183">
        <v>6</v>
      </c>
      <c r="F48" s="470">
        <v>1500</v>
      </c>
      <c r="G48" s="471">
        <v>250</v>
      </c>
      <c r="H48" s="662"/>
      <c r="I48" s="200">
        <f t="shared" si="104"/>
        <v>7</v>
      </c>
      <c r="J48" s="200">
        <f t="shared" si="104"/>
        <v>1477.1806310161078</v>
      </c>
      <c r="K48" s="201">
        <f t="shared" si="104"/>
        <v>211.02580443087251</v>
      </c>
      <c r="L48" s="601"/>
      <c r="M48" s="202">
        <f>RANK(K48, K$47:$K$61)</f>
        <v>1</v>
      </c>
      <c r="N48" s="619"/>
      <c r="O48" s="619"/>
      <c r="P48" s="470">
        <v>7</v>
      </c>
      <c r="Q48" s="183">
        <v>1500.0000000000005</v>
      </c>
      <c r="R48" s="471">
        <v>214.28571428571436</v>
      </c>
      <c r="S48" s="343">
        <f t="shared" ref="S48:S61" si="117">RANK(R48, R$47:R$61)</f>
        <v>1</v>
      </c>
      <c r="T48" s="629"/>
      <c r="U48" s="532">
        <v>7</v>
      </c>
      <c r="V48" s="183">
        <v>1457.593984962406</v>
      </c>
      <c r="W48" s="533">
        <v>208.22771213748658</v>
      </c>
      <c r="X48" s="520">
        <f t="shared" si="105"/>
        <v>2</v>
      </c>
      <c r="Y48" s="629"/>
      <c r="Z48" s="532">
        <v>7</v>
      </c>
      <c r="AA48" s="183">
        <v>1470.0000000000005</v>
      </c>
      <c r="AB48" s="533">
        <v>210.00000000000006</v>
      </c>
      <c r="AC48" s="520">
        <f t="shared" si="107"/>
        <v>2</v>
      </c>
      <c r="AD48" s="629"/>
      <c r="AE48" s="532">
        <v>7</v>
      </c>
      <c r="AF48" s="183">
        <v>1464.117647058823</v>
      </c>
      <c r="AG48" s="533">
        <v>209.15966386554615</v>
      </c>
      <c r="AH48" s="520">
        <f t="shared" si="109"/>
        <v>2</v>
      </c>
      <c r="AI48" s="629"/>
      <c r="AJ48" s="532">
        <v>7</v>
      </c>
      <c r="AK48" s="183">
        <v>1487.8846153846162</v>
      </c>
      <c r="AL48" s="533">
        <v>212.55494505494516</v>
      </c>
      <c r="AM48" s="520">
        <f t="shared" si="111"/>
        <v>1</v>
      </c>
      <c r="AN48" s="629"/>
      <c r="AO48" s="532">
        <v>7</v>
      </c>
      <c r="AP48" s="183">
        <v>1505.5462184873954</v>
      </c>
      <c r="AQ48" s="533">
        <v>215.07803121248506</v>
      </c>
      <c r="AR48" s="520">
        <f t="shared" si="113"/>
        <v>1</v>
      </c>
      <c r="AS48" s="629"/>
      <c r="AT48" s="532">
        <v>7</v>
      </c>
      <c r="AU48" s="183">
        <v>1455.1219512195128</v>
      </c>
      <c r="AV48" s="533">
        <v>207.87456445993038</v>
      </c>
      <c r="AW48" s="520">
        <f t="shared" si="115"/>
        <v>2</v>
      </c>
      <c r="AX48" s="658"/>
    </row>
    <row r="49" spans="2:50">
      <c r="B49" s="627"/>
      <c r="C49" s="336">
        <v>3</v>
      </c>
      <c r="D49" s="228" t="s">
        <v>351</v>
      </c>
      <c r="E49" s="183">
        <v>19</v>
      </c>
      <c r="F49" s="470">
        <v>1500</v>
      </c>
      <c r="G49" s="471">
        <v>78.900000000000006</v>
      </c>
      <c r="H49" s="662"/>
      <c r="I49" s="200">
        <f t="shared" si="104"/>
        <v>18</v>
      </c>
      <c r="J49" s="200">
        <f t="shared" si="104"/>
        <v>1327.2742319436106</v>
      </c>
      <c r="K49" s="201">
        <f t="shared" si="104"/>
        <v>73.737457330200598</v>
      </c>
      <c r="L49" s="601"/>
      <c r="M49" s="202">
        <f>RANK(K49, K$47:$K$61)</f>
        <v>4</v>
      </c>
      <c r="N49" s="619"/>
      <c r="O49" s="619"/>
      <c r="P49" s="470">
        <v>18</v>
      </c>
      <c r="Q49" s="183">
        <v>1311.1764705882351</v>
      </c>
      <c r="R49" s="471">
        <v>72.843137254901947</v>
      </c>
      <c r="S49" s="343">
        <f t="shared" si="117"/>
        <v>4</v>
      </c>
      <c r="T49" s="629"/>
      <c r="U49" s="532">
        <v>18</v>
      </c>
      <c r="V49" s="183">
        <v>1304.1176470588234</v>
      </c>
      <c r="W49" s="533">
        <v>72.45098039215685</v>
      </c>
      <c r="X49" s="520">
        <f t="shared" si="105"/>
        <v>5</v>
      </c>
      <c r="Y49" s="629"/>
      <c r="Z49" s="532">
        <v>18</v>
      </c>
      <c r="AA49" s="183">
        <v>1340.1600000000005</v>
      </c>
      <c r="AB49" s="533">
        <v>74.453333333333362</v>
      </c>
      <c r="AC49" s="520">
        <f t="shared" si="107"/>
        <v>4</v>
      </c>
      <c r="AD49" s="629"/>
      <c r="AE49" s="532">
        <v>18</v>
      </c>
      <c r="AF49" s="183">
        <v>1321.5999999999995</v>
      </c>
      <c r="AG49" s="533">
        <v>73.422222222222189</v>
      </c>
      <c r="AH49" s="520">
        <f t="shared" si="109"/>
        <v>4</v>
      </c>
      <c r="AI49" s="629"/>
      <c r="AJ49" s="532">
        <v>18</v>
      </c>
      <c r="AK49" s="183">
        <v>1354.5420560747659</v>
      </c>
      <c r="AL49" s="533">
        <v>75.252336448598101</v>
      </c>
      <c r="AM49" s="520">
        <f t="shared" si="111"/>
        <v>4</v>
      </c>
      <c r="AN49" s="629"/>
      <c r="AO49" s="532">
        <v>18</v>
      </c>
      <c r="AP49" s="183">
        <v>1329.747692307692</v>
      </c>
      <c r="AQ49" s="533">
        <v>73.87487179487178</v>
      </c>
      <c r="AR49" s="520">
        <f t="shared" si="113"/>
        <v>4</v>
      </c>
      <c r="AS49" s="629"/>
      <c r="AT49" s="532">
        <v>18</v>
      </c>
      <c r="AU49" s="183">
        <v>1329.5757575757568</v>
      </c>
      <c r="AV49" s="533">
        <v>73.865319865319819</v>
      </c>
      <c r="AW49" s="520">
        <f t="shared" si="115"/>
        <v>5</v>
      </c>
      <c r="AX49" s="658"/>
    </row>
    <row r="50" spans="2:50">
      <c r="B50" s="627"/>
      <c r="C50" s="336">
        <v>4</v>
      </c>
      <c r="D50" s="228" t="s">
        <v>403</v>
      </c>
      <c r="E50" s="183">
        <v>17</v>
      </c>
      <c r="F50" s="470">
        <v>1440</v>
      </c>
      <c r="G50" s="471">
        <v>84.7</v>
      </c>
      <c r="H50" s="662"/>
      <c r="I50" s="200">
        <f t="shared" si="104"/>
        <v>17.142857142857142</v>
      </c>
      <c r="J50" s="200">
        <f t="shared" si="104"/>
        <v>1208.3003246753253</v>
      </c>
      <c r="K50" s="201">
        <f t="shared" si="104"/>
        <v>70.485628342246045</v>
      </c>
      <c r="L50" s="601"/>
      <c r="M50" s="202">
        <f>RANK(K50, K$47:$K$61)</f>
        <v>5</v>
      </c>
      <c r="N50" s="619"/>
      <c r="O50" s="619"/>
      <c r="P50" s="470">
        <v>18</v>
      </c>
      <c r="Q50" s="183">
        <v>1265.6249999999982</v>
      </c>
      <c r="R50" s="471">
        <v>70.312499999999901</v>
      </c>
      <c r="S50" s="343">
        <f t="shared" si="117"/>
        <v>5</v>
      </c>
      <c r="T50" s="629"/>
      <c r="U50" s="532">
        <v>17</v>
      </c>
      <c r="V50" s="183">
        <v>1261.8181818181831</v>
      </c>
      <c r="W50" s="533">
        <v>74.224598930481363</v>
      </c>
      <c r="X50" s="520">
        <f t="shared" si="105"/>
        <v>4</v>
      </c>
      <c r="Y50" s="629"/>
      <c r="Z50" s="532">
        <v>17</v>
      </c>
      <c r="AA50" s="183">
        <v>1258.1250000000016</v>
      </c>
      <c r="AB50" s="533">
        <v>74.007352941176563</v>
      </c>
      <c r="AC50" s="520">
        <f t="shared" si="107"/>
        <v>5</v>
      </c>
      <c r="AD50" s="629"/>
      <c r="AE50" s="532">
        <v>17</v>
      </c>
      <c r="AF50" s="183">
        <v>1066.0000000000009</v>
      </c>
      <c r="AG50" s="533">
        <v>62.705882352941231</v>
      </c>
      <c r="AH50" s="520">
        <f t="shared" si="109"/>
        <v>6</v>
      </c>
      <c r="AI50" s="629"/>
      <c r="AJ50" s="532">
        <v>17</v>
      </c>
      <c r="AK50" s="183">
        <v>1250.0000000000011</v>
      </c>
      <c r="AL50" s="533">
        <v>73.529411764705955</v>
      </c>
      <c r="AM50" s="520">
        <f t="shared" si="111"/>
        <v>5</v>
      </c>
      <c r="AN50" s="629"/>
      <c r="AO50" s="532">
        <v>17</v>
      </c>
      <c r="AP50" s="183">
        <v>1085.6250000000014</v>
      </c>
      <c r="AQ50" s="533">
        <v>63.860294117647136</v>
      </c>
      <c r="AR50" s="520">
        <f t="shared" si="113"/>
        <v>6</v>
      </c>
      <c r="AS50" s="629"/>
      <c r="AT50" s="532">
        <v>17</v>
      </c>
      <c r="AU50" s="183">
        <v>1270.9090909090924</v>
      </c>
      <c r="AV50" s="533">
        <v>74.759358288770144</v>
      </c>
      <c r="AW50" s="520">
        <f t="shared" si="115"/>
        <v>4</v>
      </c>
      <c r="AX50" s="658"/>
    </row>
    <row r="51" spans="2:50">
      <c r="B51" s="627"/>
      <c r="C51" s="336">
        <v>5</v>
      </c>
      <c r="D51" s="228" t="s">
        <v>482</v>
      </c>
      <c r="E51" s="183">
        <v>6</v>
      </c>
      <c r="F51" s="470">
        <v>1500</v>
      </c>
      <c r="G51" s="471">
        <v>250</v>
      </c>
      <c r="H51" s="662"/>
      <c r="I51" s="200">
        <f t="shared" si="104"/>
        <v>7</v>
      </c>
      <c r="J51" s="200">
        <f t="shared" si="104"/>
        <v>1473.4288686892828</v>
      </c>
      <c r="K51" s="201">
        <f t="shared" si="104"/>
        <v>210.48983838418332</v>
      </c>
      <c r="L51" s="601"/>
      <c r="M51" s="202">
        <f>RANK(K51, K$47:$K$61)</f>
        <v>2</v>
      </c>
      <c r="N51" s="619"/>
      <c r="O51" s="619"/>
      <c r="P51" s="470">
        <v>7</v>
      </c>
      <c r="Q51" s="183">
        <v>1472.231404958678</v>
      </c>
      <c r="R51" s="471">
        <v>210.31877213695401</v>
      </c>
      <c r="S51" s="343">
        <f t="shared" si="117"/>
        <v>2</v>
      </c>
      <c r="T51" s="629"/>
      <c r="U51" s="532">
        <v>7</v>
      </c>
      <c r="V51" s="183">
        <v>1460.8264462809918</v>
      </c>
      <c r="W51" s="533">
        <v>208.68949232585598</v>
      </c>
      <c r="X51" s="520">
        <f t="shared" si="105"/>
        <v>1</v>
      </c>
      <c r="Y51" s="629"/>
      <c r="Z51" s="532">
        <v>7</v>
      </c>
      <c r="AA51" s="183">
        <v>1502.2018348623851</v>
      </c>
      <c r="AB51" s="533">
        <v>214.60026212319787</v>
      </c>
      <c r="AC51" s="520">
        <f t="shared" si="107"/>
        <v>1</v>
      </c>
      <c r="AD51" s="629"/>
      <c r="AE51" s="532">
        <v>7</v>
      </c>
      <c r="AF51" s="183">
        <v>1485.161290322581</v>
      </c>
      <c r="AG51" s="533">
        <v>212.16589861751157</v>
      </c>
      <c r="AH51" s="520">
        <f t="shared" si="109"/>
        <v>1</v>
      </c>
      <c r="AI51" s="629"/>
      <c r="AJ51" s="532">
        <v>7</v>
      </c>
      <c r="AK51" s="183">
        <v>1486.7368421052627</v>
      </c>
      <c r="AL51" s="533">
        <v>212.39097744360896</v>
      </c>
      <c r="AM51" s="520">
        <f t="shared" si="111"/>
        <v>2</v>
      </c>
      <c r="AN51" s="629"/>
      <c r="AO51" s="532">
        <v>7</v>
      </c>
      <c r="AP51" s="183">
        <v>1449.3442622950824</v>
      </c>
      <c r="AQ51" s="533">
        <v>207.04918032786892</v>
      </c>
      <c r="AR51" s="520">
        <f t="shared" si="113"/>
        <v>2</v>
      </c>
      <c r="AS51" s="629"/>
      <c r="AT51" s="532">
        <v>7</v>
      </c>
      <c r="AU51" s="183">
        <v>1457.5000000000002</v>
      </c>
      <c r="AV51" s="533">
        <v>208.21428571428575</v>
      </c>
      <c r="AW51" s="520">
        <f t="shared" si="115"/>
        <v>1</v>
      </c>
      <c r="AX51" s="658"/>
    </row>
    <row r="52" spans="2:50">
      <c r="B52" s="627"/>
      <c r="C52" s="336">
        <v>6</v>
      </c>
      <c r="D52" s="228" t="s">
        <v>698</v>
      </c>
      <c r="E52" s="183">
        <v>19</v>
      </c>
      <c r="F52" s="470">
        <v>1440</v>
      </c>
      <c r="G52" s="471">
        <v>75.8</v>
      </c>
      <c r="H52" s="662"/>
      <c r="I52" s="447">
        <f t="shared" ref="I52:I53" si="118">AVERAGE(P52,U52,Z52,AE52,AJ52,AO52,AT52)</f>
        <v>18</v>
      </c>
      <c r="J52" s="447">
        <f t="shared" ref="J52:J53" si="119">AVERAGE(Q52,V52,AA52,AF52,AK52,AP52,AU52)</f>
        <v>1257.3002711574143</v>
      </c>
      <c r="K52" s="201">
        <f t="shared" ref="K52:K53" si="120">AVERAGE(R52,W52,AB52,AG52,AL52,AQ52,AV52)</f>
        <v>69.850015064300791</v>
      </c>
      <c r="L52" s="601"/>
      <c r="M52" s="202">
        <f>RANK(K52, K$47:$K$61)</f>
        <v>6</v>
      </c>
      <c r="N52" s="619"/>
      <c r="O52" s="619"/>
      <c r="P52" s="470">
        <v>18</v>
      </c>
      <c r="Q52" s="183">
        <v>1246.9230769230776</v>
      </c>
      <c r="R52" s="471">
        <v>69.273504273504315</v>
      </c>
      <c r="S52" s="343">
        <f t="shared" si="117"/>
        <v>6</v>
      </c>
      <c r="T52" s="629"/>
      <c r="U52" s="532">
        <v>18</v>
      </c>
      <c r="V52" s="183">
        <v>1269.2307692307697</v>
      </c>
      <c r="W52" s="533">
        <v>70.512820512820539</v>
      </c>
      <c r="X52" s="520">
        <f t="shared" si="105"/>
        <v>6</v>
      </c>
      <c r="Y52" s="629"/>
      <c r="Z52" s="532">
        <v>18</v>
      </c>
      <c r="AA52" s="183">
        <v>1245.9740259740265</v>
      </c>
      <c r="AB52" s="533">
        <v>69.220779220779249</v>
      </c>
      <c r="AC52" s="520">
        <f t="shared" si="107"/>
        <v>6</v>
      </c>
      <c r="AD52" s="629"/>
      <c r="AE52" s="532">
        <v>18</v>
      </c>
      <c r="AF52" s="183">
        <v>1248.9999999999993</v>
      </c>
      <c r="AG52" s="533">
        <v>69.388888888888857</v>
      </c>
      <c r="AH52" s="520">
        <f t="shared" si="109"/>
        <v>5</v>
      </c>
      <c r="AI52" s="629"/>
      <c r="AJ52" s="532">
        <v>18</v>
      </c>
      <c r="AK52" s="183">
        <v>1260</v>
      </c>
      <c r="AL52" s="533">
        <v>70</v>
      </c>
      <c r="AM52" s="520">
        <f t="shared" si="111"/>
        <v>6</v>
      </c>
      <c r="AN52" s="629"/>
      <c r="AO52" s="532">
        <v>18</v>
      </c>
      <c r="AP52" s="183">
        <v>1249.714285714286</v>
      </c>
      <c r="AQ52" s="533">
        <v>69.428571428571445</v>
      </c>
      <c r="AR52" s="520">
        <f t="shared" si="113"/>
        <v>5</v>
      </c>
      <c r="AS52" s="629"/>
      <c r="AT52" s="532">
        <v>18</v>
      </c>
      <c r="AU52" s="183">
        <v>1280.2597402597407</v>
      </c>
      <c r="AV52" s="533">
        <v>71.125541125541147</v>
      </c>
      <c r="AW52" s="520">
        <f t="shared" si="115"/>
        <v>6</v>
      </c>
      <c r="AX52" s="658"/>
    </row>
    <row r="53" spans="2:50">
      <c r="B53" s="627"/>
      <c r="C53" s="336">
        <v>7</v>
      </c>
      <c r="D53" s="228" t="s">
        <v>744</v>
      </c>
      <c r="E53" s="183">
        <v>21</v>
      </c>
      <c r="F53" s="470">
        <v>1385</v>
      </c>
      <c r="G53" s="471">
        <v>65.900000000000006</v>
      </c>
      <c r="H53" s="662"/>
      <c r="I53" s="447">
        <f t="shared" si="118"/>
        <v>20</v>
      </c>
      <c r="J53" s="447">
        <f t="shared" si="119"/>
        <v>1077.7224514087736</v>
      </c>
      <c r="K53" s="201">
        <f t="shared" si="120"/>
        <v>53.886122570438673</v>
      </c>
      <c r="L53" s="601"/>
      <c r="M53" s="202">
        <f>RANK(K53, K$47:$K$61)</f>
        <v>8</v>
      </c>
      <c r="N53" s="619"/>
      <c r="O53" s="619"/>
      <c r="P53" s="470">
        <v>20</v>
      </c>
      <c r="Q53" s="183">
        <v>1072.8000000000004</v>
      </c>
      <c r="R53" s="471">
        <v>53.640000000000022</v>
      </c>
      <c r="S53" s="343">
        <f t="shared" si="117"/>
        <v>7</v>
      </c>
      <c r="T53" s="629"/>
      <c r="U53" s="532">
        <v>20</v>
      </c>
      <c r="V53" s="183">
        <v>1088.936170212766</v>
      </c>
      <c r="W53" s="533">
        <v>54.446808510638299</v>
      </c>
      <c r="X53" s="520">
        <f t="shared" si="105"/>
        <v>8</v>
      </c>
      <c r="Y53" s="629"/>
      <c r="Z53" s="532">
        <v>20</v>
      </c>
      <c r="AA53" s="183">
        <v>1096.3636363636365</v>
      </c>
      <c r="AB53" s="533">
        <v>54.818181818181827</v>
      </c>
      <c r="AC53" s="520">
        <f t="shared" si="107"/>
        <v>7</v>
      </c>
      <c r="AD53" s="629"/>
      <c r="AE53" s="532">
        <v>20</v>
      </c>
      <c r="AF53" s="183">
        <v>1067.6923076923072</v>
      </c>
      <c r="AG53" s="533">
        <v>53.384615384615358</v>
      </c>
      <c r="AH53" s="520">
        <f t="shared" si="109"/>
        <v>7</v>
      </c>
      <c r="AI53" s="629"/>
      <c r="AJ53" s="532">
        <v>20</v>
      </c>
      <c r="AK53" s="183">
        <v>1058.5714285714282</v>
      </c>
      <c r="AL53" s="533">
        <v>52.928571428571409</v>
      </c>
      <c r="AM53" s="520">
        <f t="shared" si="111"/>
        <v>8</v>
      </c>
      <c r="AN53" s="629"/>
      <c r="AO53" s="532">
        <v>20</v>
      </c>
      <c r="AP53" s="183">
        <v>1074.8936170212767</v>
      </c>
      <c r="AQ53" s="533">
        <v>53.744680851063833</v>
      </c>
      <c r="AR53" s="520">
        <f t="shared" si="113"/>
        <v>8</v>
      </c>
      <c r="AS53" s="629"/>
      <c r="AT53" s="532">
        <v>20</v>
      </c>
      <c r="AU53" s="183">
        <v>1084.8000000000004</v>
      </c>
      <c r="AV53" s="533">
        <v>54.240000000000023</v>
      </c>
      <c r="AW53" s="520">
        <f t="shared" si="115"/>
        <v>8</v>
      </c>
      <c r="AX53" s="658"/>
    </row>
    <row r="54" spans="2:50">
      <c r="B54" s="627"/>
      <c r="C54" s="336">
        <v>8</v>
      </c>
      <c r="D54" s="228" t="s">
        <v>839</v>
      </c>
      <c r="E54" s="183">
        <v>21</v>
      </c>
      <c r="F54" s="470">
        <v>1385</v>
      </c>
      <c r="G54" s="471">
        <v>65.900000000000006</v>
      </c>
      <c r="H54" s="662"/>
      <c r="I54" s="493">
        <f t="shared" ref="I54" si="121">AVERAGE(P54,U54,Z54,AE54,AJ54,AO54,AT54)</f>
        <v>20</v>
      </c>
      <c r="J54" s="493">
        <f t="shared" ref="J54" si="122">AVERAGE(Q54,V54,AA54,AF54,AK54,AP54,AU54)</f>
        <v>1084.4890551321664</v>
      </c>
      <c r="K54" s="201">
        <f t="shared" ref="K54" si="123">AVERAGE(R54,W54,AB54,AG54,AL54,AQ54,AV54)</f>
        <v>54.224452756608329</v>
      </c>
      <c r="L54" s="601"/>
      <c r="M54" s="202">
        <f>RANK(K54, K$47:$K$61)</f>
        <v>7</v>
      </c>
      <c r="N54" s="619"/>
      <c r="O54" s="619"/>
      <c r="P54" s="470">
        <v>20</v>
      </c>
      <c r="Q54" s="183">
        <v>1065.6521739130435</v>
      </c>
      <c r="R54" s="471">
        <v>53.282608695652172</v>
      </c>
      <c r="S54" s="343">
        <f t="shared" si="117"/>
        <v>8</v>
      </c>
      <c r="T54" s="629"/>
      <c r="U54" s="532">
        <v>20</v>
      </c>
      <c r="V54" s="183">
        <v>1090.909090909091</v>
      </c>
      <c r="W54" s="533">
        <v>54.545454545454547</v>
      </c>
      <c r="X54" s="520">
        <f t="shared" si="105"/>
        <v>7</v>
      </c>
      <c r="Y54" s="629"/>
      <c r="Z54" s="532">
        <v>20</v>
      </c>
      <c r="AA54" s="183">
        <v>1093.4999999999995</v>
      </c>
      <c r="AB54" s="533">
        <v>54.674999999999976</v>
      </c>
      <c r="AC54" s="520">
        <f t="shared" si="107"/>
        <v>8</v>
      </c>
      <c r="AD54" s="629"/>
      <c r="AE54" s="532">
        <v>20</v>
      </c>
      <c r="AF54" s="183">
        <v>1062.3529411764719</v>
      </c>
      <c r="AG54" s="533">
        <v>53.117647058823593</v>
      </c>
      <c r="AH54" s="520">
        <f t="shared" si="109"/>
        <v>8</v>
      </c>
      <c r="AI54" s="629"/>
      <c r="AJ54" s="532">
        <v>20</v>
      </c>
      <c r="AK54" s="183">
        <v>1081.5789473684204</v>
      </c>
      <c r="AL54" s="533">
        <v>54.078947368421019</v>
      </c>
      <c r="AM54" s="520">
        <f t="shared" si="111"/>
        <v>7</v>
      </c>
      <c r="AN54" s="629"/>
      <c r="AO54" s="532">
        <v>20</v>
      </c>
      <c r="AP54" s="183">
        <v>1096.4999999999998</v>
      </c>
      <c r="AQ54" s="533">
        <v>54.824999999999989</v>
      </c>
      <c r="AR54" s="520">
        <f t="shared" si="113"/>
        <v>7</v>
      </c>
      <c r="AS54" s="629"/>
      <c r="AT54" s="532">
        <v>20</v>
      </c>
      <c r="AU54" s="183">
        <v>1100.9302325581393</v>
      </c>
      <c r="AV54" s="533">
        <v>55.046511627906966</v>
      </c>
      <c r="AW54" s="520">
        <f t="shared" si="115"/>
        <v>7</v>
      </c>
      <c r="AX54" s="658"/>
    </row>
    <row r="55" spans="2:50">
      <c r="B55" s="627"/>
      <c r="C55" s="336">
        <v>9</v>
      </c>
      <c r="D55" s="228"/>
      <c r="E55" s="183"/>
      <c r="F55" s="470"/>
      <c r="G55" s="471"/>
      <c r="H55" s="662"/>
      <c r="I55" s="200"/>
      <c r="J55" s="200"/>
      <c r="K55" s="201"/>
      <c r="L55" s="601"/>
      <c r="M55" s="202" t="e">
        <f>RANK(K55, K$47:$K$61)</f>
        <v>#N/A</v>
      </c>
      <c r="N55" s="619"/>
      <c r="O55" s="619"/>
      <c r="P55" s="470"/>
      <c r="Q55" s="183"/>
      <c r="R55" s="471"/>
      <c r="S55" s="343" t="e">
        <f t="shared" si="117"/>
        <v>#N/A</v>
      </c>
      <c r="T55" s="629"/>
      <c r="U55" s="520"/>
      <c r="V55" s="183"/>
      <c r="W55" s="521"/>
      <c r="X55" s="520" t="e">
        <f t="shared" si="105"/>
        <v>#N/A</v>
      </c>
      <c r="Y55" s="629"/>
      <c r="Z55" s="520"/>
      <c r="AA55" s="183"/>
      <c r="AB55" s="521"/>
      <c r="AC55" s="520" t="e">
        <f t="shared" si="107"/>
        <v>#N/A</v>
      </c>
      <c r="AD55" s="629"/>
      <c r="AE55" s="520"/>
      <c r="AF55" s="183"/>
      <c r="AG55" s="521"/>
      <c r="AH55" s="520" t="e">
        <f t="shared" si="109"/>
        <v>#N/A</v>
      </c>
      <c r="AI55" s="629"/>
      <c r="AJ55" s="520"/>
      <c r="AK55" s="183"/>
      <c r="AL55" s="521"/>
      <c r="AM55" s="520" t="e">
        <f t="shared" si="111"/>
        <v>#N/A</v>
      </c>
      <c r="AN55" s="629"/>
      <c r="AO55" s="520"/>
      <c r="AP55" s="183"/>
      <c r="AQ55" s="521"/>
      <c r="AR55" s="520" t="e">
        <f t="shared" si="113"/>
        <v>#N/A</v>
      </c>
      <c r="AS55" s="629"/>
      <c r="AT55" s="520"/>
      <c r="AU55" s="183"/>
      <c r="AV55" s="521"/>
      <c r="AW55" s="520" t="e">
        <f t="shared" si="115"/>
        <v>#N/A</v>
      </c>
      <c r="AX55" s="658"/>
    </row>
    <row r="56" spans="2:50">
      <c r="B56" s="627"/>
      <c r="C56" s="336">
        <v>10</v>
      </c>
      <c r="D56" s="228"/>
      <c r="E56" s="183"/>
      <c r="F56" s="470"/>
      <c r="G56" s="471"/>
      <c r="H56" s="662"/>
      <c r="I56" s="200"/>
      <c r="J56" s="200"/>
      <c r="K56" s="201"/>
      <c r="L56" s="601"/>
      <c r="M56" s="202" t="e">
        <f>RANK(K56, K$47:$K$61)</f>
        <v>#N/A</v>
      </c>
      <c r="N56" s="619"/>
      <c r="O56" s="619"/>
      <c r="P56" s="470"/>
      <c r="Q56" s="183"/>
      <c r="R56" s="471"/>
      <c r="S56" s="343" t="e">
        <f t="shared" si="117"/>
        <v>#N/A</v>
      </c>
      <c r="T56" s="629"/>
      <c r="U56" s="520"/>
      <c r="V56" s="183"/>
      <c r="W56" s="521"/>
      <c r="X56" s="520" t="e">
        <f t="shared" si="105"/>
        <v>#N/A</v>
      </c>
      <c r="Y56" s="629"/>
      <c r="Z56" s="520"/>
      <c r="AA56" s="183"/>
      <c r="AB56" s="521"/>
      <c r="AC56" s="520" t="e">
        <f t="shared" si="107"/>
        <v>#N/A</v>
      </c>
      <c r="AD56" s="629"/>
      <c r="AE56" s="520"/>
      <c r="AF56" s="183"/>
      <c r="AG56" s="521"/>
      <c r="AH56" s="520" t="e">
        <f t="shared" si="109"/>
        <v>#N/A</v>
      </c>
      <c r="AI56" s="629"/>
      <c r="AJ56" s="520"/>
      <c r="AK56" s="183"/>
      <c r="AL56" s="521"/>
      <c r="AM56" s="520" t="e">
        <f t="shared" si="111"/>
        <v>#N/A</v>
      </c>
      <c r="AN56" s="629"/>
      <c r="AO56" s="520"/>
      <c r="AP56" s="183"/>
      <c r="AQ56" s="521"/>
      <c r="AR56" s="520" t="e">
        <f t="shared" si="113"/>
        <v>#N/A</v>
      </c>
      <c r="AS56" s="629"/>
      <c r="AT56" s="520"/>
      <c r="AU56" s="183"/>
      <c r="AV56" s="521"/>
      <c r="AW56" s="520" t="e">
        <f t="shared" si="115"/>
        <v>#N/A</v>
      </c>
      <c r="AX56" s="658"/>
    </row>
    <row r="57" spans="2:50">
      <c r="B57" s="627"/>
      <c r="C57" s="336">
        <v>11</v>
      </c>
      <c r="D57" s="228"/>
      <c r="E57" s="183"/>
      <c r="F57" s="470"/>
      <c r="G57" s="471"/>
      <c r="H57" s="662"/>
      <c r="I57" s="200"/>
      <c r="J57" s="200"/>
      <c r="K57" s="201"/>
      <c r="L57" s="601"/>
      <c r="M57" s="202" t="e">
        <f>RANK(K57, K$47:$K$61)</f>
        <v>#N/A</v>
      </c>
      <c r="N57" s="619"/>
      <c r="O57" s="619"/>
      <c r="P57" s="470"/>
      <c r="Q57" s="183"/>
      <c r="R57" s="471"/>
      <c r="S57" s="343" t="e">
        <f t="shared" si="117"/>
        <v>#N/A</v>
      </c>
      <c r="T57" s="629"/>
      <c r="U57" s="520"/>
      <c r="V57" s="183"/>
      <c r="W57" s="521"/>
      <c r="X57" s="520" t="e">
        <f t="shared" si="105"/>
        <v>#N/A</v>
      </c>
      <c r="Y57" s="629"/>
      <c r="Z57" s="520"/>
      <c r="AA57" s="183"/>
      <c r="AB57" s="521"/>
      <c r="AC57" s="520" t="e">
        <f t="shared" si="107"/>
        <v>#N/A</v>
      </c>
      <c r="AD57" s="629"/>
      <c r="AE57" s="520"/>
      <c r="AF57" s="183"/>
      <c r="AG57" s="521"/>
      <c r="AH57" s="520" t="e">
        <f t="shared" si="109"/>
        <v>#N/A</v>
      </c>
      <c r="AI57" s="629"/>
      <c r="AJ57" s="520"/>
      <c r="AK57" s="183"/>
      <c r="AL57" s="521"/>
      <c r="AM57" s="520" t="e">
        <f t="shared" si="111"/>
        <v>#N/A</v>
      </c>
      <c r="AN57" s="629"/>
      <c r="AO57" s="520"/>
      <c r="AP57" s="183"/>
      <c r="AQ57" s="521"/>
      <c r="AR57" s="520" t="e">
        <f t="shared" si="113"/>
        <v>#N/A</v>
      </c>
      <c r="AS57" s="629"/>
      <c r="AT57" s="520"/>
      <c r="AU57" s="183"/>
      <c r="AV57" s="521"/>
      <c r="AW57" s="520" t="e">
        <f t="shared" si="115"/>
        <v>#N/A</v>
      </c>
      <c r="AX57" s="658"/>
    </row>
    <row r="58" spans="2:50">
      <c r="B58" s="627"/>
      <c r="C58" s="336">
        <v>12</v>
      </c>
      <c r="D58" s="228"/>
      <c r="E58" s="183"/>
      <c r="F58" s="470"/>
      <c r="G58" s="471"/>
      <c r="H58" s="662"/>
      <c r="I58" s="200"/>
      <c r="J58" s="200"/>
      <c r="K58" s="201"/>
      <c r="L58" s="601"/>
      <c r="M58" s="202" t="e">
        <f>RANK(K58, K$47:$K$61)</f>
        <v>#N/A</v>
      </c>
      <c r="N58" s="619"/>
      <c r="O58" s="619"/>
      <c r="P58" s="470"/>
      <c r="Q58" s="183"/>
      <c r="R58" s="471"/>
      <c r="S58" s="343" t="e">
        <f t="shared" si="117"/>
        <v>#N/A</v>
      </c>
      <c r="T58" s="629"/>
      <c r="U58" s="520"/>
      <c r="V58" s="183"/>
      <c r="W58" s="521"/>
      <c r="X58" s="520" t="e">
        <f t="shared" si="105"/>
        <v>#N/A</v>
      </c>
      <c r="Y58" s="629"/>
      <c r="Z58" s="520"/>
      <c r="AA58" s="183"/>
      <c r="AB58" s="521"/>
      <c r="AC58" s="520" t="e">
        <f t="shared" si="107"/>
        <v>#N/A</v>
      </c>
      <c r="AD58" s="629"/>
      <c r="AE58" s="520"/>
      <c r="AF58" s="183"/>
      <c r="AG58" s="521"/>
      <c r="AH58" s="520" t="e">
        <f t="shared" si="109"/>
        <v>#N/A</v>
      </c>
      <c r="AI58" s="629"/>
      <c r="AJ58" s="520"/>
      <c r="AK58" s="183"/>
      <c r="AL58" s="521"/>
      <c r="AM58" s="520" t="e">
        <f t="shared" si="111"/>
        <v>#N/A</v>
      </c>
      <c r="AN58" s="629"/>
      <c r="AO58" s="520"/>
      <c r="AP58" s="183"/>
      <c r="AQ58" s="521"/>
      <c r="AR58" s="520" t="e">
        <f t="shared" si="113"/>
        <v>#N/A</v>
      </c>
      <c r="AS58" s="629"/>
      <c r="AT58" s="520"/>
      <c r="AU58" s="183"/>
      <c r="AV58" s="521"/>
      <c r="AW58" s="520" t="e">
        <f t="shared" si="115"/>
        <v>#N/A</v>
      </c>
      <c r="AX58" s="658"/>
    </row>
    <row r="59" spans="2:50">
      <c r="B59" s="627"/>
      <c r="C59" s="336">
        <v>13</v>
      </c>
      <c r="D59" s="228"/>
      <c r="E59" s="183"/>
      <c r="F59" s="470"/>
      <c r="G59" s="471"/>
      <c r="H59" s="662"/>
      <c r="I59" s="200"/>
      <c r="J59" s="200"/>
      <c r="K59" s="201"/>
      <c r="L59" s="601"/>
      <c r="M59" s="202" t="e">
        <f>RANK(K59, K$47:$K$61)</f>
        <v>#N/A</v>
      </c>
      <c r="N59" s="619"/>
      <c r="O59" s="619"/>
      <c r="P59" s="470"/>
      <c r="Q59" s="183"/>
      <c r="R59" s="471"/>
      <c r="S59" s="343" t="e">
        <f t="shared" si="117"/>
        <v>#N/A</v>
      </c>
      <c r="T59" s="629"/>
      <c r="U59" s="520"/>
      <c r="V59" s="183"/>
      <c r="W59" s="521"/>
      <c r="X59" s="520" t="e">
        <f t="shared" si="105"/>
        <v>#N/A</v>
      </c>
      <c r="Y59" s="629"/>
      <c r="Z59" s="520"/>
      <c r="AA59" s="183"/>
      <c r="AB59" s="521"/>
      <c r="AC59" s="520" t="e">
        <f t="shared" si="107"/>
        <v>#N/A</v>
      </c>
      <c r="AD59" s="629"/>
      <c r="AE59" s="520"/>
      <c r="AF59" s="183"/>
      <c r="AG59" s="521"/>
      <c r="AH59" s="520" t="e">
        <f t="shared" si="109"/>
        <v>#N/A</v>
      </c>
      <c r="AI59" s="629"/>
      <c r="AJ59" s="520"/>
      <c r="AK59" s="183"/>
      <c r="AL59" s="521"/>
      <c r="AM59" s="520" t="e">
        <f t="shared" si="111"/>
        <v>#N/A</v>
      </c>
      <c r="AN59" s="629"/>
      <c r="AO59" s="520"/>
      <c r="AP59" s="183"/>
      <c r="AQ59" s="521"/>
      <c r="AR59" s="520" t="e">
        <f t="shared" si="113"/>
        <v>#N/A</v>
      </c>
      <c r="AS59" s="629"/>
      <c r="AT59" s="520"/>
      <c r="AU59" s="183"/>
      <c r="AV59" s="521"/>
      <c r="AW59" s="520" t="e">
        <f t="shared" si="115"/>
        <v>#N/A</v>
      </c>
      <c r="AX59" s="658"/>
    </row>
    <row r="60" spans="2:50">
      <c r="B60" s="627"/>
      <c r="C60" s="336">
        <v>14</v>
      </c>
      <c r="D60" s="228"/>
      <c r="E60" s="183"/>
      <c r="F60" s="470"/>
      <c r="G60" s="471"/>
      <c r="H60" s="662"/>
      <c r="I60" s="200"/>
      <c r="J60" s="200"/>
      <c r="K60" s="201"/>
      <c r="L60" s="601"/>
      <c r="M60" s="202" t="e">
        <f>RANK(K60, K$47:$K$61)</f>
        <v>#N/A</v>
      </c>
      <c r="N60" s="619"/>
      <c r="O60" s="619"/>
      <c r="P60" s="470"/>
      <c r="Q60" s="183"/>
      <c r="R60" s="471"/>
      <c r="S60" s="343" t="e">
        <f t="shared" si="117"/>
        <v>#N/A</v>
      </c>
      <c r="T60" s="629"/>
      <c r="U60" s="520"/>
      <c r="V60" s="183"/>
      <c r="W60" s="521"/>
      <c r="X60" s="520" t="e">
        <f t="shared" si="105"/>
        <v>#N/A</v>
      </c>
      <c r="Y60" s="629"/>
      <c r="Z60" s="520"/>
      <c r="AA60" s="183"/>
      <c r="AB60" s="521"/>
      <c r="AC60" s="520" t="e">
        <f t="shared" si="107"/>
        <v>#N/A</v>
      </c>
      <c r="AD60" s="629"/>
      <c r="AE60" s="520"/>
      <c r="AF60" s="183"/>
      <c r="AG60" s="521"/>
      <c r="AH60" s="520" t="e">
        <f t="shared" si="109"/>
        <v>#N/A</v>
      </c>
      <c r="AI60" s="629"/>
      <c r="AJ60" s="520"/>
      <c r="AK60" s="183"/>
      <c r="AL60" s="521"/>
      <c r="AM60" s="520" t="e">
        <f t="shared" si="111"/>
        <v>#N/A</v>
      </c>
      <c r="AN60" s="629"/>
      <c r="AO60" s="520"/>
      <c r="AP60" s="183"/>
      <c r="AQ60" s="521"/>
      <c r="AR60" s="520" t="e">
        <f t="shared" si="113"/>
        <v>#N/A</v>
      </c>
      <c r="AS60" s="629"/>
      <c r="AT60" s="520"/>
      <c r="AU60" s="183"/>
      <c r="AV60" s="521"/>
      <c r="AW60" s="520" t="e">
        <f t="shared" si="115"/>
        <v>#N/A</v>
      </c>
      <c r="AX60" s="658"/>
    </row>
    <row r="61" spans="2:50">
      <c r="B61" s="627"/>
      <c r="C61" s="336">
        <v>15</v>
      </c>
      <c r="D61" s="228"/>
      <c r="E61" s="183"/>
      <c r="F61" s="470"/>
      <c r="G61" s="471"/>
      <c r="H61" s="663"/>
      <c r="I61" s="200"/>
      <c r="J61" s="200"/>
      <c r="K61" s="201"/>
      <c r="L61" s="602"/>
      <c r="M61" s="202" t="e">
        <f>RANK(K61, K$47:$K$61)</f>
        <v>#N/A</v>
      </c>
      <c r="N61" s="619"/>
      <c r="O61" s="619"/>
      <c r="P61" s="470"/>
      <c r="Q61" s="183"/>
      <c r="R61" s="471"/>
      <c r="S61" s="343" t="e">
        <f t="shared" si="117"/>
        <v>#N/A</v>
      </c>
      <c r="T61" s="630"/>
      <c r="U61" s="520"/>
      <c r="V61" s="183"/>
      <c r="W61" s="521"/>
      <c r="X61" s="520" t="e">
        <f t="shared" si="105"/>
        <v>#N/A</v>
      </c>
      <c r="Y61" s="630"/>
      <c r="Z61" s="520"/>
      <c r="AA61" s="183"/>
      <c r="AB61" s="521"/>
      <c r="AC61" s="520" t="e">
        <f t="shared" si="107"/>
        <v>#N/A</v>
      </c>
      <c r="AD61" s="630"/>
      <c r="AE61" s="520"/>
      <c r="AF61" s="183"/>
      <c r="AG61" s="521"/>
      <c r="AH61" s="520" t="e">
        <f t="shared" si="109"/>
        <v>#N/A</v>
      </c>
      <c r="AI61" s="630"/>
      <c r="AJ61" s="520"/>
      <c r="AK61" s="183"/>
      <c r="AL61" s="521"/>
      <c r="AM61" s="520" t="e">
        <f t="shared" si="111"/>
        <v>#N/A</v>
      </c>
      <c r="AN61" s="630"/>
      <c r="AO61" s="520"/>
      <c r="AP61" s="183"/>
      <c r="AQ61" s="521"/>
      <c r="AR61" s="520" t="e">
        <f t="shared" si="113"/>
        <v>#N/A</v>
      </c>
      <c r="AS61" s="630"/>
      <c r="AT61" s="520"/>
      <c r="AU61" s="183"/>
      <c r="AV61" s="521"/>
      <c r="AW61" s="520" t="e">
        <f t="shared" si="115"/>
        <v>#N/A</v>
      </c>
      <c r="AX61" s="658"/>
    </row>
    <row r="62" spans="2:50" ht="15.5">
      <c r="B62" s="631" t="s">
        <v>163</v>
      </c>
      <c r="C62" s="632"/>
      <c r="D62" s="632"/>
      <c r="E62" s="632"/>
      <c r="F62" s="632"/>
      <c r="G62" s="632"/>
      <c r="H62" s="633"/>
      <c r="I62" s="209"/>
      <c r="J62" s="209"/>
      <c r="K62" s="209"/>
      <c r="L62" s="209"/>
      <c r="M62" s="208"/>
      <c r="N62" s="620" t="s">
        <v>156</v>
      </c>
      <c r="O62" s="620" t="s">
        <v>105</v>
      </c>
      <c r="P62" s="626">
        <f>P42+7</f>
        <v>46007</v>
      </c>
      <c r="Q62" s="627"/>
      <c r="R62" s="627"/>
      <c r="S62" s="627"/>
      <c r="T62" s="627"/>
      <c r="U62" s="623">
        <f>P62+1</f>
        <v>46008</v>
      </c>
      <c r="V62" s="624"/>
      <c r="W62" s="624"/>
      <c r="X62" s="624"/>
      <c r="Y62" s="625"/>
      <c r="Z62" s="623">
        <f>U62+1</f>
        <v>46009</v>
      </c>
      <c r="AA62" s="624"/>
      <c r="AB62" s="624"/>
      <c r="AC62" s="624"/>
      <c r="AD62" s="625"/>
      <c r="AE62" s="623">
        <f>Z62+1</f>
        <v>46010</v>
      </c>
      <c r="AF62" s="624"/>
      <c r="AG62" s="624"/>
      <c r="AH62" s="624"/>
      <c r="AI62" s="625"/>
      <c r="AJ62" s="623">
        <f>AE62+1</f>
        <v>46011</v>
      </c>
      <c r="AK62" s="624"/>
      <c r="AL62" s="624"/>
      <c r="AM62" s="624"/>
      <c r="AN62" s="625"/>
      <c r="AO62" s="623">
        <f>AJ62+1</f>
        <v>46012</v>
      </c>
      <c r="AP62" s="624"/>
      <c r="AQ62" s="624"/>
      <c r="AR62" s="624"/>
      <c r="AS62" s="625"/>
      <c r="AT62" s="623">
        <f>AO62+1</f>
        <v>46013</v>
      </c>
      <c r="AU62" s="624"/>
      <c r="AV62" s="624"/>
      <c r="AW62" s="624"/>
      <c r="AX62" s="625"/>
    </row>
    <row r="63" spans="2:50" ht="15.5">
      <c r="B63" s="634"/>
      <c r="C63" s="634"/>
      <c r="D63" s="634"/>
      <c r="E63" s="634"/>
      <c r="F63" s="634"/>
      <c r="G63" s="634"/>
      <c r="H63" s="634"/>
      <c r="I63" s="206"/>
      <c r="J63" s="206"/>
      <c r="K63" s="206"/>
      <c r="L63" s="206"/>
      <c r="M63" s="207"/>
      <c r="N63" s="622"/>
      <c r="O63" s="622"/>
      <c r="P63" s="626" t="s">
        <v>336</v>
      </c>
      <c r="Q63" s="627"/>
      <c r="R63" s="627"/>
      <c r="S63" s="627"/>
      <c r="T63" s="627"/>
      <c r="U63" s="626" t="s">
        <v>337</v>
      </c>
      <c r="V63" s="627"/>
      <c r="W63" s="627"/>
      <c r="X63" s="627"/>
      <c r="Y63" s="627"/>
      <c r="Z63" s="626" t="s">
        <v>338</v>
      </c>
      <c r="AA63" s="627"/>
      <c r="AB63" s="627"/>
      <c r="AC63" s="627"/>
      <c r="AD63" s="627"/>
      <c r="AE63" s="626" t="s">
        <v>339</v>
      </c>
      <c r="AF63" s="627"/>
      <c r="AG63" s="627"/>
      <c r="AH63" s="627"/>
      <c r="AI63" s="627"/>
      <c r="AJ63" s="626" t="s">
        <v>340</v>
      </c>
      <c r="AK63" s="627"/>
      <c r="AL63" s="627"/>
      <c r="AM63" s="627"/>
      <c r="AN63" s="627"/>
      <c r="AO63" s="626" t="s">
        <v>341</v>
      </c>
      <c r="AP63" s="627"/>
      <c r="AQ63" s="627"/>
      <c r="AR63" s="627"/>
      <c r="AS63" s="627"/>
      <c r="AT63" s="626" t="s">
        <v>342</v>
      </c>
      <c r="AU63" s="627"/>
      <c r="AV63" s="627"/>
      <c r="AW63" s="627"/>
      <c r="AX63" s="627"/>
    </row>
    <row r="64" spans="2:50">
      <c r="B64" s="619" t="s">
        <v>502</v>
      </c>
      <c r="C64" s="619" t="s">
        <v>503</v>
      </c>
      <c r="D64" s="619"/>
      <c r="E64" s="619" t="s">
        <v>504</v>
      </c>
      <c r="F64" s="619"/>
      <c r="G64" s="619"/>
      <c r="H64" s="635" t="s">
        <v>505</v>
      </c>
      <c r="I64" s="603" t="s">
        <v>506</v>
      </c>
      <c r="J64" s="603"/>
      <c r="K64" s="603"/>
      <c r="L64" s="604" t="s">
        <v>505</v>
      </c>
      <c r="M64" s="610" t="s">
        <v>507</v>
      </c>
      <c r="N64" s="619"/>
      <c r="O64" s="619" t="s">
        <v>508</v>
      </c>
      <c r="P64" s="616" t="s">
        <v>509</v>
      </c>
      <c r="Q64" s="617"/>
      <c r="R64" s="617"/>
      <c r="S64" s="618"/>
      <c r="T64" s="619" t="s">
        <v>505</v>
      </c>
      <c r="U64" s="616" t="s">
        <v>509</v>
      </c>
      <c r="V64" s="617"/>
      <c r="W64" s="617"/>
      <c r="X64" s="618"/>
      <c r="Y64" s="619" t="s">
        <v>505</v>
      </c>
      <c r="Z64" s="616" t="s">
        <v>509</v>
      </c>
      <c r="AA64" s="617"/>
      <c r="AB64" s="617"/>
      <c r="AC64" s="618"/>
      <c r="AD64" s="619" t="s">
        <v>505</v>
      </c>
      <c r="AE64" s="616" t="s">
        <v>509</v>
      </c>
      <c r="AF64" s="617"/>
      <c r="AG64" s="617"/>
      <c r="AH64" s="618"/>
      <c r="AI64" s="619" t="s">
        <v>505</v>
      </c>
      <c r="AJ64" s="616" t="s">
        <v>509</v>
      </c>
      <c r="AK64" s="617"/>
      <c r="AL64" s="617"/>
      <c r="AM64" s="618"/>
      <c r="AN64" s="619" t="s">
        <v>505</v>
      </c>
      <c r="AO64" s="616" t="s">
        <v>509</v>
      </c>
      <c r="AP64" s="617"/>
      <c r="AQ64" s="617"/>
      <c r="AR64" s="618"/>
      <c r="AS64" s="619" t="s">
        <v>505</v>
      </c>
      <c r="AT64" s="616" t="s">
        <v>509</v>
      </c>
      <c r="AU64" s="617"/>
      <c r="AV64" s="617"/>
      <c r="AW64" s="618"/>
      <c r="AX64" s="619" t="s">
        <v>505</v>
      </c>
    </row>
    <row r="65" spans="2:50">
      <c r="B65" s="619"/>
      <c r="C65" s="619"/>
      <c r="D65" s="619"/>
      <c r="E65" s="619" t="s">
        <v>510</v>
      </c>
      <c r="F65" s="619"/>
      <c r="G65" s="619"/>
      <c r="H65" s="636"/>
      <c r="I65" s="603" t="s">
        <v>510</v>
      </c>
      <c r="J65" s="603"/>
      <c r="K65" s="603"/>
      <c r="L65" s="605"/>
      <c r="M65" s="611"/>
      <c r="N65" s="619"/>
      <c r="O65" s="619"/>
      <c r="P65" s="616" t="s">
        <v>511</v>
      </c>
      <c r="Q65" s="617"/>
      <c r="R65" s="617"/>
      <c r="S65" s="618"/>
      <c r="T65" s="619"/>
      <c r="U65" s="616" t="s">
        <v>511</v>
      </c>
      <c r="V65" s="617"/>
      <c r="W65" s="617"/>
      <c r="X65" s="618"/>
      <c r="Y65" s="619"/>
      <c r="Z65" s="616" t="s">
        <v>511</v>
      </c>
      <c r="AA65" s="617"/>
      <c r="AB65" s="617"/>
      <c r="AC65" s="618"/>
      <c r="AD65" s="619"/>
      <c r="AE65" s="616" t="s">
        <v>511</v>
      </c>
      <c r="AF65" s="617"/>
      <c r="AG65" s="617"/>
      <c r="AH65" s="618"/>
      <c r="AI65" s="619"/>
      <c r="AJ65" s="616" t="s">
        <v>511</v>
      </c>
      <c r="AK65" s="617"/>
      <c r="AL65" s="617"/>
      <c r="AM65" s="618"/>
      <c r="AN65" s="619"/>
      <c r="AO65" s="616" t="s">
        <v>511</v>
      </c>
      <c r="AP65" s="617"/>
      <c r="AQ65" s="617"/>
      <c r="AR65" s="618"/>
      <c r="AS65" s="619"/>
      <c r="AT65" s="616" t="s">
        <v>511</v>
      </c>
      <c r="AU65" s="617"/>
      <c r="AV65" s="617"/>
      <c r="AW65" s="618"/>
      <c r="AX65" s="619"/>
    </row>
    <row r="66" spans="2:50">
      <c r="B66" s="619"/>
      <c r="C66" s="619"/>
      <c r="D66" s="619"/>
      <c r="E66" s="316" t="s">
        <v>512</v>
      </c>
      <c r="F66" s="316" t="s">
        <v>513</v>
      </c>
      <c r="G66" s="316" t="s">
        <v>514</v>
      </c>
      <c r="H66" s="637"/>
      <c r="I66" s="315" t="s">
        <v>512</v>
      </c>
      <c r="J66" s="315" t="s">
        <v>513</v>
      </c>
      <c r="K66" s="315" t="s">
        <v>514</v>
      </c>
      <c r="L66" s="606"/>
      <c r="M66" s="612"/>
      <c r="N66" s="619"/>
      <c r="O66" s="619"/>
      <c r="P66" s="316" t="s">
        <v>512</v>
      </c>
      <c r="Q66" s="316" t="s">
        <v>513</v>
      </c>
      <c r="R66" s="316" t="s">
        <v>514</v>
      </c>
      <c r="S66" s="316" t="s">
        <v>507</v>
      </c>
      <c r="T66" s="619"/>
      <c r="U66" s="316" t="s">
        <v>512</v>
      </c>
      <c r="V66" s="316" t="s">
        <v>513</v>
      </c>
      <c r="W66" s="316" t="s">
        <v>514</v>
      </c>
      <c r="X66" s="316" t="s">
        <v>507</v>
      </c>
      <c r="Y66" s="619"/>
      <c r="Z66" s="316" t="s">
        <v>512</v>
      </c>
      <c r="AA66" s="316" t="s">
        <v>513</v>
      </c>
      <c r="AB66" s="316" t="s">
        <v>514</v>
      </c>
      <c r="AC66" s="316" t="s">
        <v>507</v>
      </c>
      <c r="AD66" s="619"/>
      <c r="AE66" s="316" t="s">
        <v>512</v>
      </c>
      <c r="AF66" s="316" t="s">
        <v>513</v>
      </c>
      <c r="AG66" s="316" t="s">
        <v>514</v>
      </c>
      <c r="AH66" s="316" t="s">
        <v>507</v>
      </c>
      <c r="AI66" s="619"/>
      <c r="AJ66" s="316" t="s">
        <v>512</v>
      </c>
      <c r="AK66" s="316" t="s">
        <v>513</v>
      </c>
      <c r="AL66" s="316" t="s">
        <v>514</v>
      </c>
      <c r="AM66" s="316" t="s">
        <v>507</v>
      </c>
      <c r="AN66" s="619"/>
      <c r="AO66" s="316" t="s">
        <v>512</v>
      </c>
      <c r="AP66" s="316" t="s">
        <v>513</v>
      </c>
      <c r="AQ66" s="316" t="s">
        <v>514</v>
      </c>
      <c r="AR66" s="316" t="s">
        <v>507</v>
      </c>
      <c r="AS66" s="619"/>
      <c r="AT66" s="316" t="s">
        <v>512</v>
      </c>
      <c r="AU66" s="316" t="s">
        <v>513</v>
      </c>
      <c r="AV66" s="316" t="s">
        <v>514</v>
      </c>
      <c r="AW66" s="316" t="s">
        <v>507</v>
      </c>
      <c r="AX66" s="619"/>
    </row>
    <row r="67" spans="2:50">
      <c r="B67" s="619" t="s">
        <v>516</v>
      </c>
      <c r="C67" s="317">
        <v>1</v>
      </c>
      <c r="D67" s="228"/>
      <c r="E67" s="183"/>
      <c r="F67" s="470"/>
      <c r="G67" s="471"/>
      <c r="H67" s="661" t="e">
        <f>AVERAGE(G67:G81)</f>
        <v>#DIV/0!</v>
      </c>
      <c r="I67" s="200" t="e">
        <f t="shared" ref="I67:K72" si="124">AVERAGE(P67,U67,Z67,AE67,AJ67,AO67,AT67)</f>
        <v>#DIV/0!</v>
      </c>
      <c r="J67" s="200" t="e">
        <f t="shared" si="124"/>
        <v>#DIV/0!</v>
      </c>
      <c r="K67" s="201" t="e">
        <f t="shared" si="124"/>
        <v>#DIV/0!</v>
      </c>
      <c r="L67" s="600" t="str">
        <f>IFERROR(AVERAGE(K67:K81),"-")</f>
        <v>-</v>
      </c>
      <c r="M67" s="202" t="e">
        <f>RANK(K67, K$67:$K$81)</f>
        <v>#DIV/0!</v>
      </c>
      <c r="N67" s="619"/>
      <c r="O67" s="619"/>
      <c r="P67" s="183"/>
      <c r="Q67" s="183"/>
      <c r="R67" s="471"/>
      <c r="S67" s="317" t="e">
        <f>RANK(R67, R$67:R$81)</f>
        <v>#N/A</v>
      </c>
      <c r="T67" s="628" t="e">
        <f>AVERAGE(R67:R81)</f>
        <v>#DIV/0!</v>
      </c>
      <c r="U67" s="183"/>
      <c r="V67" s="183"/>
      <c r="W67" s="521"/>
      <c r="X67" s="520" t="e">
        <f t="shared" ref="X67:X81" si="125">RANK(W67, W$67:W$81)</f>
        <v>#N/A</v>
      </c>
      <c r="Y67" s="628" t="e">
        <f t="shared" ref="Y67" si="126">AVERAGE(W67:W81)</f>
        <v>#DIV/0!</v>
      </c>
      <c r="Z67" s="183"/>
      <c r="AA67" s="183"/>
      <c r="AB67" s="521"/>
      <c r="AC67" s="520" t="e">
        <f t="shared" ref="AC67:AC81" si="127">RANK(AB67, AB$67:AB$81)</f>
        <v>#N/A</v>
      </c>
      <c r="AD67" s="628" t="e">
        <f t="shared" ref="AD67" si="128">AVERAGE(AB67:AB81)</f>
        <v>#DIV/0!</v>
      </c>
      <c r="AE67" s="183"/>
      <c r="AF67" s="183"/>
      <c r="AG67" s="521"/>
      <c r="AH67" s="520" t="e">
        <f t="shared" ref="AH67:AH81" si="129">RANK(AG67, AG$67:AG$81)</f>
        <v>#N/A</v>
      </c>
      <c r="AI67" s="628" t="e">
        <f t="shared" ref="AI67" si="130">AVERAGE(AG67:AG81)</f>
        <v>#DIV/0!</v>
      </c>
      <c r="AJ67" s="183"/>
      <c r="AK67" s="183"/>
      <c r="AL67" s="521"/>
      <c r="AM67" s="520" t="e">
        <f t="shared" ref="AM67:AM81" si="131">RANK(AL67, AL$67:AL$81)</f>
        <v>#N/A</v>
      </c>
      <c r="AN67" s="628" t="e">
        <f t="shared" ref="AN67" si="132">AVERAGE(AL67:AL81)</f>
        <v>#DIV/0!</v>
      </c>
      <c r="AO67" s="183"/>
      <c r="AP67" s="183"/>
      <c r="AQ67" s="521"/>
      <c r="AR67" s="520" t="e">
        <f t="shared" ref="AR67:AR81" si="133">RANK(AQ67, AQ$67:AQ$81)</f>
        <v>#N/A</v>
      </c>
      <c r="AS67" s="628" t="e">
        <f t="shared" ref="AS67" si="134">AVERAGE(AQ67:AQ81)</f>
        <v>#DIV/0!</v>
      </c>
      <c r="AT67" s="183"/>
      <c r="AU67" s="183"/>
      <c r="AV67" s="521"/>
      <c r="AW67" s="520" t="e">
        <f t="shared" ref="AW67:AW81" si="135">RANK(AV67, AV$67:AV$81)</f>
        <v>#N/A</v>
      </c>
      <c r="AX67" s="658" t="e">
        <f t="shared" ref="AX67" si="136">AVERAGE(AV67:AV81)</f>
        <v>#DIV/0!</v>
      </c>
    </row>
    <row r="68" spans="2:50">
      <c r="B68" s="627"/>
      <c r="C68" s="317">
        <v>2</v>
      </c>
      <c r="D68" s="228"/>
      <c r="E68" s="183"/>
      <c r="F68" s="470"/>
      <c r="G68" s="471"/>
      <c r="H68" s="662"/>
      <c r="I68" s="200" t="e">
        <f t="shared" si="124"/>
        <v>#DIV/0!</v>
      </c>
      <c r="J68" s="200" t="e">
        <f t="shared" si="124"/>
        <v>#DIV/0!</v>
      </c>
      <c r="K68" s="201" t="e">
        <f t="shared" si="124"/>
        <v>#DIV/0!</v>
      </c>
      <c r="L68" s="601"/>
      <c r="M68" s="202" t="e">
        <f>RANK(K68, K$67:$K$81)</f>
        <v>#DIV/0!</v>
      </c>
      <c r="N68" s="619"/>
      <c r="O68" s="619"/>
      <c r="P68" s="470"/>
      <c r="Q68" s="183"/>
      <c r="R68" s="471"/>
      <c r="S68" s="349" t="e">
        <f t="shared" ref="S68:S81" si="137">RANK(R68, R$67:R$81)</f>
        <v>#N/A</v>
      </c>
      <c r="T68" s="629"/>
      <c r="U68" s="520"/>
      <c r="V68" s="183"/>
      <c r="W68" s="521"/>
      <c r="X68" s="520" t="e">
        <f t="shared" si="125"/>
        <v>#N/A</v>
      </c>
      <c r="Y68" s="629"/>
      <c r="Z68" s="520"/>
      <c r="AA68" s="183"/>
      <c r="AB68" s="521"/>
      <c r="AC68" s="520" t="e">
        <f t="shared" si="127"/>
        <v>#N/A</v>
      </c>
      <c r="AD68" s="629"/>
      <c r="AE68" s="520"/>
      <c r="AF68" s="183"/>
      <c r="AG68" s="521"/>
      <c r="AH68" s="520" t="e">
        <f t="shared" si="129"/>
        <v>#N/A</v>
      </c>
      <c r="AI68" s="629"/>
      <c r="AJ68" s="520"/>
      <c r="AK68" s="183"/>
      <c r="AL68" s="521"/>
      <c r="AM68" s="520" t="e">
        <f t="shared" si="131"/>
        <v>#N/A</v>
      </c>
      <c r="AN68" s="629"/>
      <c r="AO68" s="520"/>
      <c r="AP68" s="183"/>
      <c r="AQ68" s="521"/>
      <c r="AR68" s="520" t="e">
        <f t="shared" si="133"/>
        <v>#N/A</v>
      </c>
      <c r="AS68" s="629"/>
      <c r="AT68" s="520"/>
      <c r="AU68" s="183"/>
      <c r="AV68" s="521"/>
      <c r="AW68" s="520" t="e">
        <f t="shared" si="135"/>
        <v>#N/A</v>
      </c>
      <c r="AX68" s="658"/>
    </row>
    <row r="69" spans="2:50">
      <c r="B69" s="627"/>
      <c r="C69" s="317">
        <v>3</v>
      </c>
      <c r="D69" s="228"/>
      <c r="E69" s="183"/>
      <c r="F69" s="470"/>
      <c r="G69" s="471"/>
      <c r="H69" s="662"/>
      <c r="I69" s="200" t="e">
        <f t="shared" si="124"/>
        <v>#DIV/0!</v>
      </c>
      <c r="J69" s="200" t="e">
        <f t="shared" si="124"/>
        <v>#DIV/0!</v>
      </c>
      <c r="K69" s="201" t="e">
        <f t="shared" si="124"/>
        <v>#DIV/0!</v>
      </c>
      <c r="L69" s="601"/>
      <c r="M69" s="202" t="e">
        <f>RANK(K69, K$67:$K$81)</f>
        <v>#DIV/0!</v>
      </c>
      <c r="N69" s="619"/>
      <c r="O69" s="619"/>
      <c r="P69" s="470"/>
      <c r="Q69" s="183"/>
      <c r="R69" s="471"/>
      <c r="S69" s="349" t="e">
        <f t="shared" si="137"/>
        <v>#N/A</v>
      </c>
      <c r="T69" s="629"/>
      <c r="U69" s="520"/>
      <c r="V69" s="183"/>
      <c r="W69" s="521"/>
      <c r="X69" s="520" t="e">
        <f t="shared" si="125"/>
        <v>#N/A</v>
      </c>
      <c r="Y69" s="629"/>
      <c r="Z69" s="520"/>
      <c r="AA69" s="183"/>
      <c r="AB69" s="521"/>
      <c r="AC69" s="520" t="e">
        <f t="shared" si="127"/>
        <v>#N/A</v>
      </c>
      <c r="AD69" s="629"/>
      <c r="AE69" s="520"/>
      <c r="AF69" s="183"/>
      <c r="AG69" s="521"/>
      <c r="AH69" s="520" t="e">
        <f t="shared" si="129"/>
        <v>#N/A</v>
      </c>
      <c r="AI69" s="629"/>
      <c r="AJ69" s="520"/>
      <c r="AK69" s="183"/>
      <c r="AL69" s="521"/>
      <c r="AM69" s="520" t="e">
        <f t="shared" si="131"/>
        <v>#N/A</v>
      </c>
      <c r="AN69" s="629"/>
      <c r="AO69" s="520"/>
      <c r="AP69" s="183"/>
      <c r="AQ69" s="521"/>
      <c r="AR69" s="520" t="e">
        <f t="shared" si="133"/>
        <v>#N/A</v>
      </c>
      <c r="AS69" s="629"/>
      <c r="AT69" s="520"/>
      <c r="AU69" s="183"/>
      <c r="AV69" s="521"/>
      <c r="AW69" s="520" t="e">
        <f t="shared" si="135"/>
        <v>#N/A</v>
      </c>
      <c r="AX69" s="658"/>
    </row>
    <row r="70" spans="2:50">
      <c r="B70" s="627"/>
      <c r="C70" s="317">
        <v>4</v>
      </c>
      <c r="D70" s="228"/>
      <c r="E70" s="183"/>
      <c r="F70" s="470"/>
      <c r="G70" s="471"/>
      <c r="H70" s="662"/>
      <c r="I70" s="200" t="e">
        <f t="shared" si="124"/>
        <v>#DIV/0!</v>
      </c>
      <c r="J70" s="200" t="e">
        <f t="shared" si="124"/>
        <v>#DIV/0!</v>
      </c>
      <c r="K70" s="201" t="e">
        <f t="shared" si="124"/>
        <v>#DIV/0!</v>
      </c>
      <c r="L70" s="601"/>
      <c r="M70" s="202" t="e">
        <f>RANK(K70, K$67:$K$81)</f>
        <v>#DIV/0!</v>
      </c>
      <c r="N70" s="619"/>
      <c r="O70" s="619"/>
      <c r="P70" s="470"/>
      <c r="Q70" s="183"/>
      <c r="R70" s="471"/>
      <c r="S70" s="349" t="e">
        <f t="shared" si="137"/>
        <v>#N/A</v>
      </c>
      <c r="T70" s="629"/>
      <c r="U70" s="520"/>
      <c r="V70" s="183"/>
      <c r="W70" s="521"/>
      <c r="X70" s="520" t="e">
        <f t="shared" si="125"/>
        <v>#N/A</v>
      </c>
      <c r="Y70" s="629"/>
      <c r="Z70" s="520"/>
      <c r="AA70" s="183"/>
      <c r="AB70" s="521"/>
      <c r="AC70" s="520" t="e">
        <f t="shared" si="127"/>
        <v>#N/A</v>
      </c>
      <c r="AD70" s="629"/>
      <c r="AE70" s="520"/>
      <c r="AF70" s="183"/>
      <c r="AG70" s="521"/>
      <c r="AH70" s="520" t="e">
        <f t="shared" si="129"/>
        <v>#N/A</v>
      </c>
      <c r="AI70" s="629"/>
      <c r="AJ70" s="520"/>
      <c r="AK70" s="183"/>
      <c r="AL70" s="521"/>
      <c r="AM70" s="520" t="e">
        <f t="shared" si="131"/>
        <v>#N/A</v>
      </c>
      <c r="AN70" s="629"/>
      <c r="AO70" s="520"/>
      <c r="AP70" s="183"/>
      <c r="AQ70" s="521"/>
      <c r="AR70" s="520" t="e">
        <f t="shared" si="133"/>
        <v>#N/A</v>
      </c>
      <c r="AS70" s="629"/>
      <c r="AT70" s="520"/>
      <c r="AU70" s="183"/>
      <c r="AV70" s="521"/>
      <c r="AW70" s="520" t="e">
        <f t="shared" si="135"/>
        <v>#N/A</v>
      </c>
      <c r="AX70" s="658"/>
    </row>
    <row r="71" spans="2:50">
      <c r="B71" s="627"/>
      <c r="C71" s="317">
        <v>5</v>
      </c>
      <c r="D71" s="228"/>
      <c r="E71" s="183"/>
      <c r="F71" s="470"/>
      <c r="G71" s="471"/>
      <c r="H71" s="662"/>
      <c r="I71" s="200" t="e">
        <f t="shared" si="124"/>
        <v>#DIV/0!</v>
      </c>
      <c r="J71" s="200" t="e">
        <f t="shared" si="124"/>
        <v>#DIV/0!</v>
      </c>
      <c r="K71" s="201" t="e">
        <f t="shared" si="124"/>
        <v>#DIV/0!</v>
      </c>
      <c r="L71" s="601"/>
      <c r="M71" s="202" t="e">
        <f>RANK(K71, K$67:$K$81)</f>
        <v>#DIV/0!</v>
      </c>
      <c r="N71" s="619"/>
      <c r="O71" s="619"/>
      <c r="P71" s="470"/>
      <c r="Q71" s="183"/>
      <c r="R71" s="471"/>
      <c r="S71" s="349" t="e">
        <f t="shared" si="137"/>
        <v>#N/A</v>
      </c>
      <c r="T71" s="629"/>
      <c r="U71" s="520"/>
      <c r="V71" s="183"/>
      <c r="W71" s="521"/>
      <c r="X71" s="520" t="e">
        <f t="shared" si="125"/>
        <v>#N/A</v>
      </c>
      <c r="Y71" s="629"/>
      <c r="Z71" s="520"/>
      <c r="AA71" s="183"/>
      <c r="AB71" s="521"/>
      <c r="AC71" s="520" t="e">
        <f t="shared" si="127"/>
        <v>#N/A</v>
      </c>
      <c r="AD71" s="629"/>
      <c r="AE71" s="520"/>
      <c r="AF71" s="183"/>
      <c r="AG71" s="521"/>
      <c r="AH71" s="520" t="e">
        <f t="shared" si="129"/>
        <v>#N/A</v>
      </c>
      <c r="AI71" s="629"/>
      <c r="AJ71" s="520"/>
      <c r="AK71" s="183"/>
      <c r="AL71" s="521"/>
      <c r="AM71" s="520" t="e">
        <f t="shared" si="131"/>
        <v>#N/A</v>
      </c>
      <c r="AN71" s="629"/>
      <c r="AO71" s="520"/>
      <c r="AP71" s="183"/>
      <c r="AQ71" s="521"/>
      <c r="AR71" s="520" t="e">
        <f t="shared" si="133"/>
        <v>#N/A</v>
      </c>
      <c r="AS71" s="629"/>
      <c r="AT71" s="520"/>
      <c r="AU71" s="183"/>
      <c r="AV71" s="521"/>
      <c r="AW71" s="520" t="e">
        <f t="shared" si="135"/>
        <v>#N/A</v>
      </c>
      <c r="AX71" s="658"/>
    </row>
    <row r="72" spans="2:50">
      <c r="B72" s="627"/>
      <c r="C72" s="317">
        <v>6</v>
      </c>
      <c r="D72" s="228"/>
      <c r="E72" s="183"/>
      <c r="F72" s="470"/>
      <c r="G72" s="471"/>
      <c r="H72" s="662"/>
      <c r="I72" s="200" t="e">
        <f t="shared" si="124"/>
        <v>#DIV/0!</v>
      </c>
      <c r="J72" s="200" t="e">
        <f t="shared" si="124"/>
        <v>#DIV/0!</v>
      </c>
      <c r="K72" s="201" t="e">
        <f t="shared" si="124"/>
        <v>#DIV/0!</v>
      </c>
      <c r="L72" s="601"/>
      <c r="M72" s="202" t="e">
        <f>RANK(K72, K$67:$K$81)</f>
        <v>#DIV/0!</v>
      </c>
      <c r="N72" s="619"/>
      <c r="O72" s="619"/>
      <c r="P72" s="470"/>
      <c r="Q72" s="183"/>
      <c r="R72" s="471"/>
      <c r="S72" s="349" t="e">
        <f t="shared" si="137"/>
        <v>#N/A</v>
      </c>
      <c r="T72" s="629"/>
      <c r="U72" s="520"/>
      <c r="V72" s="183"/>
      <c r="W72" s="521"/>
      <c r="X72" s="520" t="e">
        <f t="shared" si="125"/>
        <v>#N/A</v>
      </c>
      <c r="Y72" s="629"/>
      <c r="Z72" s="520"/>
      <c r="AA72" s="183"/>
      <c r="AB72" s="521"/>
      <c r="AC72" s="520" t="e">
        <f t="shared" si="127"/>
        <v>#N/A</v>
      </c>
      <c r="AD72" s="629"/>
      <c r="AE72" s="520"/>
      <c r="AF72" s="183"/>
      <c r="AG72" s="521"/>
      <c r="AH72" s="520" t="e">
        <f t="shared" si="129"/>
        <v>#N/A</v>
      </c>
      <c r="AI72" s="629"/>
      <c r="AJ72" s="520"/>
      <c r="AK72" s="183"/>
      <c r="AL72" s="521"/>
      <c r="AM72" s="520" t="e">
        <f t="shared" si="131"/>
        <v>#N/A</v>
      </c>
      <c r="AN72" s="629"/>
      <c r="AO72" s="520"/>
      <c r="AP72" s="183"/>
      <c r="AQ72" s="521"/>
      <c r="AR72" s="520" t="e">
        <f t="shared" si="133"/>
        <v>#N/A</v>
      </c>
      <c r="AS72" s="629"/>
      <c r="AT72" s="520"/>
      <c r="AU72" s="183"/>
      <c r="AV72" s="521"/>
      <c r="AW72" s="520" t="e">
        <f t="shared" si="135"/>
        <v>#N/A</v>
      </c>
      <c r="AX72" s="658"/>
    </row>
    <row r="73" spans="2:50">
      <c r="B73" s="627"/>
      <c r="C73" s="317">
        <v>7</v>
      </c>
      <c r="D73" s="228"/>
      <c r="E73" s="183"/>
      <c r="F73" s="470"/>
      <c r="G73" s="471"/>
      <c r="H73" s="662"/>
      <c r="I73" s="448" t="e">
        <f t="shared" ref="I73" si="138">AVERAGE(P73,U73,Z73,AE73,AJ73,AO73,AT73)</f>
        <v>#DIV/0!</v>
      </c>
      <c r="J73" s="448" t="e">
        <f t="shared" ref="J73" si="139">AVERAGE(Q73,V73,AA73,AF73,AK73,AP73,AU73)</f>
        <v>#DIV/0!</v>
      </c>
      <c r="K73" s="201" t="e">
        <f t="shared" ref="K73" si="140">AVERAGE(R73,W73,AB73,AG73,AL73,AQ73,AV73)</f>
        <v>#DIV/0!</v>
      </c>
      <c r="L73" s="601"/>
      <c r="M73" s="202" t="e">
        <f>RANK(K73, K$67:$K$81)</f>
        <v>#DIV/0!</v>
      </c>
      <c r="N73" s="619"/>
      <c r="O73" s="619"/>
      <c r="P73" s="470"/>
      <c r="Q73" s="183"/>
      <c r="R73" s="471"/>
      <c r="S73" s="349" t="e">
        <f t="shared" si="137"/>
        <v>#N/A</v>
      </c>
      <c r="T73" s="629"/>
      <c r="U73" s="520"/>
      <c r="V73" s="183"/>
      <c r="W73" s="521"/>
      <c r="X73" s="520" t="e">
        <f t="shared" si="125"/>
        <v>#N/A</v>
      </c>
      <c r="Y73" s="629"/>
      <c r="Z73" s="520"/>
      <c r="AA73" s="183"/>
      <c r="AB73" s="521"/>
      <c r="AC73" s="520" t="e">
        <f t="shared" si="127"/>
        <v>#N/A</v>
      </c>
      <c r="AD73" s="629"/>
      <c r="AE73" s="520"/>
      <c r="AF73" s="183"/>
      <c r="AG73" s="521"/>
      <c r="AH73" s="520" t="e">
        <f t="shared" si="129"/>
        <v>#N/A</v>
      </c>
      <c r="AI73" s="629"/>
      <c r="AJ73" s="520"/>
      <c r="AK73" s="183"/>
      <c r="AL73" s="521"/>
      <c r="AM73" s="520" t="e">
        <f t="shared" si="131"/>
        <v>#N/A</v>
      </c>
      <c r="AN73" s="629"/>
      <c r="AO73" s="520"/>
      <c r="AP73" s="183"/>
      <c r="AQ73" s="521"/>
      <c r="AR73" s="520" t="e">
        <f t="shared" si="133"/>
        <v>#N/A</v>
      </c>
      <c r="AS73" s="629"/>
      <c r="AT73" s="520"/>
      <c r="AU73" s="183"/>
      <c r="AV73" s="521"/>
      <c r="AW73" s="520" t="e">
        <f t="shared" si="135"/>
        <v>#N/A</v>
      </c>
      <c r="AX73" s="658"/>
    </row>
    <row r="74" spans="2:50">
      <c r="B74" s="627"/>
      <c r="C74" s="317">
        <v>8</v>
      </c>
      <c r="D74" s="228"/>
      <c r="E74" s="183"/>
      <c r="F74" s="470"/>
      <c r="G74" s="471"/>
      <c r="H74" s="662"/>
      <c r="I74" s="501" t="e">
        <f t="shared" ref="I74" si="141">AVERAGE(P74,U74,Z74,AE74,AJ74,AO74,AT74)</f>
        <v>#DIV/0!</v>
      </c>
      <c r="J74" s="501" t="e">
        <f t="shared" ref="J74" si="142">AVERAGE(Q74,V74,AA74,AF74,AK74,AP74,AU74)</f>
        <v>#DIV/0!</v>
      </c>
      <c r="K74" s="201" t="e">
        <f t="shared" ref="K74" si="143">AVERAGE(R74,W74,AB74,AG74,AL74,AQ74,AV74)</f>
        <v>#DIV/0!</v>
      </c>
      <c r="L74" s="601"/>
      <c r="M74" s="202" t="e">
        <f>RANK(K74, K$67:$K$81)</f>
        <v>#DIV/0!</v>
      </c>
      <c r="N74" s="619"/>
      <c r="O74" s="619"/>
      <c r="P74" s="470"/>
      <c r="Q74" s="183"/>
      <c r="R74" s="471"/>
      <c r="S74" s="349" t="e">
        <f t="shared" si="137"/>
        <v>#N/A</v>
      </c>
      <c r="T74" s="629"/>
      <c r="U74" s="520"/>
      <c r="V74" s="183"/>
      <c r="W74" s="521"/>
      <c r="X74" s="520" t="e">
        <f t="shared" si="125"/>
        <v>#N/A</v>
      </c>
      <c r="Y74" s="629"/>
      <c r="Z74" s="520"/>
      <c r="AA74" s="183"/>
      <c r="AB74" s="521"/>
      <c r="AC74" s="520" t="e">
        <f t="shared" si="127"/>
        <v>#N/A</v>
      </c>
      <c r="AD74" s="629"/>
      <c r="AE74" s="520"/>
      <c r="AF74" s="183"/>
      <c r="AG74" s="521"/>
      <c r="AH74" s="520" t="e">
        <f t="shared" si="129"/>
        <v>#N/A</v>
      </c>
      <c r="AI74" s="629"/>
      <c r="AJ74" s="520"/>
      <c r="AK74" s="183"/>
      <c r="AL74" s="521"/>
      <c r="AM74" s="520" t="e">
        <f t="shared" si="131"/>
        <v>#N/A</v>
      </c>
      <c r="AN74" s="629"/>
      <c r="AO74" s="520"/>
      <c r="AP74" s="183"/>
      <c r="AQ74" s="521"/>
      <c r="AR74" s="520" t="e">
        <f t="shared" si="133"/>
        <v>#N/A</v>
      </c>
      <c r="AS74" s="629"/>
      <c r="AT74" s="520"/>
      <c r="AU74" s="183"/>
      <c r="AV74" s="521"/>
      <c r="AW74" s="520" t="e">
        <f t="shared" si="135"/>
        <v>#N/A</v>
      </c>
      <c r="AX74" s="658"/>
    </row>
    <row r="75" spans="2:50">
      <c r="B75" s="627"/>
      <c r="C75" s="317">
        <v>9</v>
      </c>
      <c r="D75" s="228"/>
      <c r="E75" s="183"/>
      <c r="F75" s="470"/>
      <c r="G75" s="471"/>
      <c r="H75" s="662"/>
      <c r="I75" s="200"/>
      <c r="J75" s="200"/>
      <c r="K75" s="201"/>
      <c r="L75" s="601"/>
      <c r="M75" s="202" t="e">
        <f>RANK(K75, K$67:$K$81)</f>
        <v>#DIV/0!</v>
      </c>
      <c r="N75" s="619"/>
      <c r="O75" s="619"/>
      <c r="P75" s="470"/>
      <c r="Q75" s="183"/>
      <c r="R75" s="471"/>
      <c r="S75" s="349" t="e">
        <f t="shared" si="137"/>
        <v>#N/A</v>
      </c>
      <c r="T75" s="629"/>
      <c r="U75" s="520"/>
      <c r="V75" s="183"/>
      <c r="W75" s="521"/>
      <c r="X75" s="520" t="e">
        <f t="shared" si="125"/>
        <v>#N/A</v>
      </c>
      <c r="Y75" s="629"/>
      <c r="Z75" s="520"/>
      <c r="AA75" s="183"/>
      <c r="AB75" s="521"/>
      <c r="AC75" s="520" t="e">
        <f t="shared" si="127"/>
        <v>#N/A</v>
      </c>
      <c r="AD75" s="629"/>
      <c r="AE75" s="520"/>
      <c r="AF75" s="183"/>
      <c r="AG75" s="521"/>
      <c r="AH75" s="520" t="e">
        <f t="shared" si="129"/>
        <v>#N/A</v>
      </c>
      <c r="AI75" s="629"/>
      <c r="AJ75" s="520"/>
      <c r="AK75" s="183"/>
      <c r="AL75" s="521"/>
      <c r="AM75" s="520" t="e">
        <f t="shared" si="131"/>
        <v>#N/A</v>
      </c>
      <c r="AN75" s="629"/>
      <c r="AO75" s="520"/>
      <c r="AP75" s="183"/>
      <c r="AQ75" s="521"/>
      <c r="AR75" s="520" t="e">
        <f t="shared" si="133"/>
        <v>#N/A</v>
      </c>
      <c r="AS75" s="629"/>
      <c r="AT75" s="520"/>
      <c r="AU75" s="183"/>
      <c r="AV75" s="521"/>
      <c r="AW75" s="520" t="e">
        <f t="shared" si="135"/>
        <v>#N/A</v>
      </c>
      <c r="AX75" s="658"/>
    </row>
    <row r="76" spans="2:50">
      <c r="B76" s="627"/>
      <c r="C76" s="317">
        <v>10</v>
      </c>
      <c r="D76" s="228"/>
      <c r="E76" s="183"/>
      <c r="F76" s="470"/>
      <c r="G76" s="471"/>
      <c r="H76" s="662"/>
      <c r="I76" s="200"/>
      <c r="J76" s="200"/>
      <c r="K76" s="201"/>
      <c r="L76" s="601"/>
      <c r="M76" s="202" t="e">
        <f>RANK(K76, K$67:$K$81)</f>
        <v>#DIV/0!</v>
      </c>
      <c r="N76" s="619"/>
      <c r="O76" s="619"/>
      <c r="P76" s="470"/>
      <c r="Q76" s="183"/>
      <c r="R76" s="471"/>
      <c r="S76" s="349" t="e">
        <f t="shared" si="137"/>
        <v>#N/A</v>
      </c>
      <c r="T76" s="629"/>
      <c r="U76" s="520"/>
      <c r="V76" s="183"/>
      <c r="W76" s="521"/>
      <c r="X76" s="520" t="e">
        <f t="shared" si="125"/>
        <v>#N/A</v>
      </c>
      <c r="Y76" s="629"/>
      <c r="Z76" s="520"/>
      <c r="AA76" s="183"/>
      <c r="AB76" s="521"/>
      <c r="AC76" s="520" t="e">
        <f t="shared" si="127"/>
        <v>#N/A</v>
      </c>
      <c r="AD76" s="629"/>
      <c r="AE76" s="520"/>
      <c r="AF76" s="183"/>
      <c r="AG76" s="521"/>
      <c r="AH76" s="520" t="e">
        <f t="shared" si="129"/>
        <v>#N/A</v>
      </c>
      <c r="AI76" s="629"/>
      <c r="AJ76" s="520"/>
      <c r="AK76" s="183"/>
      <c r="AL76" s="521"/>
      <c r="AM76" s="520" t="e">
        <f t="shared" si="131"/>
        <v>#N/A</v>
      </c>
      <c r="AN76" s="629"/>
      <c r="AO76" s="520"/>
      <c r="AP76" s="183"/>
      <c r="AQ76" s="521"/>
      <c r="AR76" s="520" t="e">
        <f t="shared" si="133"/>
        <v>#N/A</v>
      </c>
      <c r="AS76" s="629"/>
      <c r="AT76" s="520"/>
      <c r="AU76" s="183"/>
      <c r="AV76" s="521"/>
      <c r="AW76" s="520" t="e">
        <f t="shared" si="135"/>
        <v>#N/A</v>
      </c>
      <c r="AX76" s="658"/>
    </row>
    <row r="77" spans="2:50">
      <c r="B77" s="627"/>
      <c r="C77" s="317">
        <v>11</v>
      </c>
      <c r="D77" s="228"/>
      <c r="E77" s="183"/>
      <c r="F77" s="470"/>
      <c r="G77" s="471"/>
      <c r="H77" s="662"/>
      <c r="I77" s="200"/>
      <c r="J77" s="200"/>
      <c r="K77" s="201"/>
      <c r="L77" s="601"/>
      <c r="M77" s="202" t="e">
        <f>RANK(K77, K$67:$K$81)</f>
        <v>#DIV/0!</v>
      </c>
      <c r="N77" s="619"/>
      <c r="O77" s="619"/>
      <c r="P77" s="470"/>
      <c r="Q77" s="183"/>
      <c r="R77" s="471"/>
      <c r="S77" s="349" t="e">
        <f t="shared" si="137"/>
        <v>#N/A</v>
      </c>
      <c r="T77" s="629"/>
      <c r="U77" s="520"/>
      <c r="V77" s="183"/>
      <c r="W77" s="521"/>
      <c r="X77" s="520" t="e">
        <f t="shared" si="125"/>
        <v>#N/A</v>
      </c>
      <c r="Y77" s="629"/>
      <c r="Z77" s="520"/>
      <c r="AA77" s="183"/>
      <c r="AB77" s="521"/>
      <c r="AC77" s="520" t="e">
        <f t="shared" si="127"/>
        <v>#N/A</v>
      </c>
      <c r="AD77" s="629"/>
      <c r="AE77" s="520"/>
      <c r="AF77" s="183"/>
      <c r="AG77" s="521"/>
      <c r="AH77" s="520" t="e">
        <f t="shared" si="129"/>
        <v>#N/A</v>
      </c>
      <c r="AI77" s="629"/>
      <c r="AJ77" s="520"/>
      <c r="AK77" s="183"/>
      <c r="AL77" s="521"/>
      <c r="AM77" s="520" t="e">
        <f t="shared" si="131"/>
        <v>#N/A</v>
      </c>
      <c r="AN77" s="629"/>
      <c r="AO77" s="520"/>
      <c r="AP77" s="183"/>
      <c r="AQ77" s="521"/>
      <c r="AR77" s="520" t="e">
        <f t="shared" si="133"/>
        <v>#N/A</v>
      </c>
      <c r="AS77" s="629"/>
      <c r="AT77" s="520"/>
      <c r="AU77" s="183"/>
      <c r="AV77" s="521"/>
      <c r="AW77" s="520" t="e">
        <f t="shared" si="135"/>
        <v>#N/A</v>
      </c>
      <c r="AX77" s="658"/>
    </row>
    <row r="78" spans="2:50">
      <c r="B78" s="627"/>
      <c r="C78" s="317">
        <v>12</v>
      </c>
      <c r="D78" s="228"/>
      <c r="E78" s="183"/>
      <c r="F78" s="470"/>
      <c r="G78" s="471"/>
      <c r="H78" s="662"/>
      <c r="I78" s="200"/>
      <c r="J78" s="200"/>
      <c r="K78" s="201"/>
      <c r="L78" s="601"/>
      <c r="M78" s="202" t="e">
        <f>RANK(K78, K$67:$K$81)</f>
        <v>#DIV/0!</v>
      </c>
      <c r="N78" s="619"/>
      <c r="O78" s="619"/>
      <c r="P78" s="470"/>
      <c r="Q78" s="183"/>
      <c r="R78" s="471"/>
      <c r="S78" s="349" t="e">
        <f t="shared" si="137"/>
        <v>#N/A</v>
      </c>
      <c r="T78" s="629"/>
      <c r="U78" s="520"/>
      <c r="V78" s="183"/>
      <c r="W78" s="521"/>
      <c r="X78" s="520" t="e">
        <f t="shared" si="125"/>
        <v>#N/A</v>
      </c>
      <c r="Y78" s="629"/>
      <c r="Z78" s="520"/>
      <c r="AA78" s="183"/>
      <c r="AB78" s="521"/>
      <c r="AC78" s="520" t="e">
        <f t="shared" si="127"/>
        <v>#N/A</v>
      </c>
      <c r="AD78" s="629"/>
      <c r="AE78" s="520"/>
      <c r="AF78" s="183"/>
      <c r="AG78" s="521"/>
      <c r="AH78" s="520" t="e">
        <f t="shared" si="129"/>
        <v>#N/A</v>
      </c>
      <c r="AI78" s="629"/>
      <c r="AJ78" s="520"/>
      <c r="AK78" s="183"/>
      <c r="AL78" s="521"/>
      <c r="AM78" s="520" t="e">
        <f t="shared" si="131"/>
        <v>#N/A</v>
      </c>
      <c r="AN78" s="629"/>
      <c r="AO78" s="520"/>
      <c r="AP78" s="183"/>
      <c r="AQ78" s="521"/>
      <c r="AR78" s="520" t="e">
        <f t="shared" si="133"/>
        <v>#N/A</v>
      </c>
      <c r="AS78" s="629"/>
      <c r="AT78" s="520"/>
      <c r="AU78" s="183"/>
      <c r="AV78" s="521"/>
      <c r="AW78" s="520" t="e">
        <f t="shared" si="135"/>
        <v>#N/A</v>
      </c>
      <c r="AX78" s="658"/>
    </row>
    <row r="79" spans="2:50">
      <c r="B79" s="627"/>
      <c r="C79" s="317">
        <v>13</v>
      </c>
      <c r="D79" s="228"/>
      <c r="E79" s="183"/>
      <c r="F79" s="470"/>
      <c r="G79" s="471"/>
      <c r="H79" s="662"/>
      <c r="I79" s="200"/>
      <c r="J79" s="200"/>
      <c r="K79" s="201"/>
      <c r="L79" s="601"/>
      <c r="M79" s="202" t="e">
        <f>RANK(K79, K$67:$K$81)</f>
        <v>#DIV/0!</v>
      </c>
      <c r="N79" s="619"/>
      <c r="O79" s="619"/>
      <c r="P79" s="470"/>
      <c r="Q79" s="183"/>
      <c r="R79" s="471"/>
      <c r="S79" s="349" t="e">
        <f t="shared" si="137"/>
        <v>#N/A</v>
      </c>
      <c r="T79" s="629"/>
      <c r="U79" s="520"/>
      <c r="V79" s="183"/>
      <c r="W79" s="521"/>
      <c r="X79" s="520" t="e">
        <f t="shared" si="125"/>
        <v>#N/A</v>
      </c>
      <c r="Y79" s="629"/>
      <c r="Z79" s="520"/>
      <c r="AA79" s="183"/>
      <c r="AB79" s="521"/>
      <c r="AC79" s="520" t="e">
        <f t="shared" si="127"/>
        <v>#N/A</v>
      </c>
      <c r="AD79" s="629"/>
      <c r="AE79" s="520"/>
      <c r="AF79" s="183"/>
      <c r="AG79" s="521"/>
      <c r="AH79" s="520" t="e">
        <f t="shared" si="129"/>
        <v>#N/A</v>
      </c>
      <c r="AI79" s="629"/>
      <c r="AJ79" s="520"/>
      <c r="AK79" s="183"/>
      <c r="AL79" s="521"/>
      <c r="AM79" s="520" t="e">
        <f t="shared" si="131"/>
        <v>#N/A</v>
      </c>
      <c r="AN79" s="629"/>
      <c r="AO79" s="520"/>
      <c r="AP79" s="183"/>
      <c r="AQ79" s="521"/>
      <c r="AR79" s="520" t="e">
        <f t="shared" si="133"/>
        <v>#N/A</v>
      </c>
      <c r="AS79" s="629"/>
      <c r="AT79" s="520"/>
      <c r="AU79" s="183"/>
      <c r="AV79" s="521"/>
      <c r="AW79" s="520" t="e">
        <f t="shared" si="135"/>
        <v>#N/A</v>
      </c>
      <c r="AX79" s="658"/>
    </row>
    <row r="80" spans="2:50">
      <c r="B80" s="627"/>
      <c r="C80" s="317">
        <v>14</v>
      </c>
      <c r="D80" s="228"/>
      <c r="E80" s="183"/>
      <c r="F80" s="470"/>
      <c r="G80" s="471"/>
      <c r="H80" s="662"/>
      <c r="I80" s="200"/>
      <c r="J80" s="200"/>
      <c r="K80" s="201"/>
      <c r="L80" s="601"/>
      <c r="M80" s="202" t="e">
        <f>RANK(K80, K$67:$K$81)</f>
        <v>#DIV/0!</v>
      </c>
      <c r="N80" s="619"/>
      <c r="O80" s="619"/>
      <c r="P80" s="470"/>
      <c r="Q80" s="183"/>
      <c r="R80" s="471"/>
      <c r="S80" s="349" t="e">
        <f t="shared" si="137"/>
        <v>#N/A</v>
      </c>
      <c r="T80" s="629"/>
      <c r="U80" s="520"/>
      <c r="V80" s="183"/>
      <c r="W80" s="521"/>
      <c r="X80" s="520" t="e">
        <f t="shared" si="125"/>
        <v>#N/A</v>
      </c>
      <c r="Y80" s="629"/>
      <c r="Z80" s="520"/>
      <c r="AA80" s="183"/>
      <c r="AB80" s="521"/>
      <c r="AC80" s="520" t="e">
        <f t="shared" si="127"/>
        <v>#N/A</v>
      </c>
      <c r="AD80" s="629"/>
      <c r="AE80" s="520"/>
      <c r="AF80" s="183"/>
      <c r="AG80" s="521"/>
      <c r="AH80" s="520" t="e">
        <f t="shared" si="129"/>
        <v>#N/A</v>
      </c>
      <c r="AI80" s="629"/>
      <c r="AJ80" s="520"/>
      <c r="AK80" s="183"/>
      <c r="AL80" s="521"/>
      <c r="AM80" s="520" t="e">
        <f t="shared" si="131"/>
        <v>#N/A</v>
      </c>
      <c r="AN80" s="629"/>
      <c r="AO80" s="520"/>
      <c r="AP80" s="183"/>
      <c r="AQ80" s="521"/>
      <c r="AR80" s="520" t="e">
        <f t="shared" si="133"/>
        <v>#N/A</v>
      </c>
      <c r="AS80" s="629"/>
      <c r="AT80" s="520"/>
      <c r="AU80" s="183"/>
      <c r="AV80" s="521"/>
      <c r="AW80" s="520" t="e">
        <f t="shared" si="135"/>
        <v>#N/A</v>
      </c>
      <c r="AX80" s="658"/>
    </row>
    <row r="81" spans="2:50">
      <c r="B81" s="627"/>
      <c r="C81" s="317">
        <v>15</v>
      </c>
      <c r="D81" s="228"/>
      <c r="E81" s="183"/>
      <c r="F81" s="470"/>
      <c r="G81" s="471"/>
      <c r="H81" s="663"/>
      <c r="I81" s="200"/>
      <c r="J81" s="200"/>
      <c r="K81" s="201"/>
      <c r="L81" s="602"/>
      <c r="M81" s="202" t="e">
        <f>RANK(K81, K$67:$K$81)</f>
        <v>#DIV/0!</v>
      </c>
      <c r="N81" s="619"/>
      <c r="O81" s="619"/>
      <c r="P81" s="470"/>
      <c r="Q81" s="183"/>
      <c r="R81" s="471"/>
      <c r="S81" s="349" t="e">
        <f t="shared" si="137"/>
        <v>#N/A</v>
      </c>
      <c r="T81" s="630"/>
      <c r="U81" s="520"/>
      <c r="V81" s="183"/>
      <c r="W81" s="521"/>
      <c r="X81" s="520" t="e">
        <f t="shared" si="125"/>
        <v>#N/A</v>
      </c>
      <c r="Y81" s="630"/>
      <c r="Z81" s="520"/>
      <c r="AA81" s="183"/>
      <c r="AB81" s="521"/>
      <c r="AC81" s="520" t="e">
        <f t="shared" si="127"/>
        <v>#N/A</v>
      </c>
      <c r="AD81" s="630"/>
      <c r="AE81" s="520"/>
      <c r="AF81" s="183"/>
      <c r="AG81" s="521"/>
      <c r="AH81" s="520" t="e">
        <f t="shared" si="129"/>
        <v>#N/A</v>
      </c>
      <c r="AI81" s="630"/>
      <c r="AJ81" s="520"/>
      <c r="AK81" s="183"/>
      <c r="AL81" s="521"/>
      <c r="AM81" s="520" t="e">
        <f t="shared" si="131"/>
        <v>#N/A</v>
      </c>
      <c r="AN81" s="630"/>
      <c r="AO81" s="520"/>
      <c r="AP81" s="183"/>
      <c r="AQ81" s="521"/>
      <c r="AR81" s="520" t="e">
        <f t="shared" si="133"/>
        <v>#N/A</v>
      </c>
      <c r="AS81" s="630"/>
      <c r="AT81" s="520"/>
      <c r="AU81" s="183"/>
      <c r="AV81" s="521"/>
      <c r="AW81" s="520" t="e">
        <f t="shared" si="135"/>
        <v>#N/A</v>
      </c>
      <c r="AX81" s="658"/>
    </row>
    <row r="82" spans="2:50" ht="15.5">
      <c r="B82" s="631" t="s">
        <v>163</v>
      </c>
      <c r="C82" s="632"/>
      <c r="D82" s="632"/>
      <c r="E82" s="632"/>
      <c r="F82" s="632"/>
      <c r="G82" s="632"/>
      <c r="H82" s="633"/>
      <c r="I82" s="209"/>
      <c r="J82" s="209"/>
      <c r="K82" s="209"/>
      <c r="L82" s="209"/>
      <c r="M82" s="208"/>
      <c r="N82" s="620" t="s">
        <v>156</v>
      </c>
      <c r="O82" s="620" t="s">
        <v>105</v>
      </c>
      <c r="P82" s="626">
        <f>P62+7</f>
        <v>46014</v>
      </c>
      <c r="Q82" s="627"/>
      <c r="R82" s="627"/>
      <c r="S82" s="627"/>
      <c r="T82" s="627"/>
      <c r="U82" s="623">
        <f>P82+1</f>
        <v>46015</v>
      </c>
      <c r="V82" s="624"/>
      <c r="W82" s="624"/>
      <c r="X82" s="624"/>
      <c r="Y82" s="625"/>
      <c r="Z82" s="623">
        <f>U82+1</f>
        <v>46016</v>
      </c>
      <c r="AA82" s="624"/>
      <c r="AB82" s="624"/>
      <c r="AC82" s="624"/>
      <c r="AD82" s="625"/>
      <c r="AE82" s="623">
        <f>Z82+1</f>
        <v>46017</v>
      </c>
      <c r="AF82" s="624"/>
      <c r="AG82" s="624"/>
      <c r="AH82" s="624"/>
      <c r="AI82" s="625"/>
      <c r="AJ82" s="623">
        <f>AE82+1</f>
        <v>46018</v>
      </c>
      <c r="AK82" s="624"/>
      <c r="AL82" s="624"/>
      <c r="AM82" s="624"/>
      <c r="AN82" s="625"/>
      <c r="AO82" s="623">
        <f>AJ82+1</f>
        <v>46019</v>
      </c>
      <c r="AP82" s="624"/>
      <c r="AQ82" s="624"/>
      <c r="AR82" s="624"/>
      <c r="AS82" s="625"/>
      <c r="AT82" s="623">
        <f>AO82+1</f>
        <v>46020</v>
      </c>
      <c r="AU82" s="624"/>
      <c r="AV82" s="624"/>
      <c r="AW82" s="624"/>
      <c r="AX82" s="625"/>
    </row>
    <row r="83" spans="2:50" ht="15.5">
      <c r="B83" s="634"/>
      <c r="C83" s="634"/>
      <c r="D83" s="634"/>
      <c r="E83" s="634"/>
      <c r="F83" s="634"/>
      <c r="G83" s="634"/>
      <c r="H83" s="634"/>
      <c r="I83" s="206"/>
      <c r="J83" s="206"/>
      <c r="K83" s="206"/>
      <c r="L83" s="206"/>
      <c r="M83" s="207"/>
      <c r="N83" s="622"/>
      <c r="O83" s="622"/>
      <c r="P83" s="626" t="s">
        <v>336</v>
      </c>
      <c r="Q83" s="627"/>
      <c r="R83" s="627"/>
      <c r="S83" s="627"/>
      <c r="T83" s="627"/>
      <c r="U83" s="626" t="s">
        <v>337</v>
      </c>
      <c r="V83" s="627"/>
      <c r="W83" s="627"/>
      <c r="X83" s="627"/>
      <c r="Y83" s="627"/>
      <c r="Z83" s="626" t="s">
        <v>338</v>
      </c>
      <c r="AA83" s="627"/>
      <c r="AB83" s="627"/>
      <c r="AC83" s="627"/>
      <c r="AD83" s="627"/>
      <c r="AE83" s="626" t="s">
        <v>339</v>
      </c>
      <c r="AF83" s="627"/>
      <c r="AG83" s="627"/>
      <c r="AH83" s="627"/>
      <c r="AI83" s="627"/>
      <c r="AJ83" s="626" t="s">
        <v>340</v>
      </c>
      <c r="AK83" s="627"/>
      <c r="AL83" s="627"/>
      <c r="AM83" s="627"/>
      <c r="AN83" s="627"/>
      <c r="AO83" s="626" t="s">
        <v>341</v>
      </c>
      <c r="AP83" s="627"/>
      <c r="AQ83" s="627"/>
      <c r="AR83" s="627"/>
      <c r="AS83" s="627"/>
      <c r="AT83" s="626" t="s">
        <v>342</v>
      </c>
      <c r="AU83" s="627"/>
      <c r="AV83" s="627"/>
      <c r="AW83" s="627"/>
      <c r="AX83" s="627"/>
    </row>
    <row r="84" spans="2:50">
      <c r="B84" s="619" t="s">
        <v>502</v>
      </c>
      <c r="C84" s="619" t="s">
        <v>503</v>
      </c>
      <c r="D84" s="619"/>
      <c r="E84" s="619" t="s">
        <v>504</v>
      </c>
      <c r="F84" s="619"/>
      <c r="G84" s="619"/>
      <c r="H84" s="635" t="s">
        <v>505</v>
      </c>
      <c r="I84" s="603" t="s">
        <v>506</v>
      </c>
      <c r="J84" s="603"/>
      <c r="K84" s="603"/>
      <c r="L84" s="604" t="s">
        <v>505</v>
      </c>
      <c r="M84" s="610" t="s">
        <v>507</v>
      </c>
      <c r="N84" s="619"/>
      <c r="O84" s="619" t="s">
        <v>508</v>
      </c>
      <c r="P84" s="616" t="s">
        <v>509</v>
      </c>
      <c r="Q84" s="617"/>
      <c r="R84" s="617"/>
      <c r="S84" s="618"/>
      <c r="T84" s="619" t="s">
        <v>505</v>
      </c>
      <c r="U84" s="616" t="s">
        <v>509</v>
      </c>
      <c r="V84" s="617"/>
      <c r="W84" s="617"/>
      <c r="X84" s="618"/>
      <c r="Y84" s="619" t="s">
        <v>505</v>
      </c>
      <c r="Z84" s="616" t="s">
        <v>509</v>
      </c>
      <c r="AA84" s="617"/>
      <c r="AB84" s="617"/>
      <c r="AC84" s="618"/>
      <c r="AD84" s="619" t="s">
        <v>505</v>
      </c>
      <c r="AE84" s="616" t="s">
        <v>509</v>
      </c>
      <c r="AF84" s="617"/>
      <c r="AG84" s="617"/>
      <c r="AH84" s="618"/>
      <c r="AI84" s="619" t="s">
        <v>505</v>
      </c>
      <c r="AJ84" s="616" t="s">
        <v>509</v>
      </c>
      <c r="AK84" s="617"/>
      <c r="AL84" s="617"/>
      <c r="AM84" s="618"/>
      <c r="AN84" s="619" t="s">
        <v>505</v>
      </c>
      <c r="AO84" s="616" t="s">
        <v>509</v>
      </c>
      <c r="AP84" s="617"/>
      <c r="AQ84" s="617"/>
      <c r="AR84" s="618"/>
      <c r="AS84" s="619" t="s">
        <v>505</v>
      </c>
      <c r="AT84" s="616" t="s">
        <v>509</v>
      </c>
      <c r="AU84" s="617"/>
      <c r="AV84" s="617"/>
      <c r="AW84" s="618"/>
      <c r="AX84" s="619" t="s">
        <v>505</v>
      </c>
    </row>
    <row r="85" spans="2:50">
      <c r="B85" s="619"/>
      <c r="C85" s="619"/>
      <c r="D85" s="619"/>
      <c r="E85" s="619" t="s">
        <v>510</v>
      </c>
      <c r="F85" s="619"/>
      <c r="G85" s="619"/>
      <c r="H85" s="636"/>
      <c r="I85" s="603" t="s">
        <v>510</v>
      </c>
      <c r="J85" s="603"/>
      <c r="K85" s="603"/>
      <c r="L85" s="605"/>
      <c r="M85" s="611"/>
      <c r="N85" s="619"/>
      <c r="O85" s="619"/>
      <c r="P85" s="616" t="s">
        <v>511</v>
      </c>
      <c r="Q85" s="617"/>
      <c r="R85" s="617"/>
      <c r="S85" s="618"/>
      <c r="T85" s="619"/>
      <c r="U85" s="616" t="s">
        <v>511</v>
      </c>
      <c r="V85" s="617"/>
      <c r="W85" s="617"/>
      <c r="X85" s="618"/>
      <c r="Y85" s="619"/>
      <c r="Z85" s="616" t="s">
        <v>511</v>
      </c>
      <c r="AA85" s="617"/>
      <c r="AB85" s="617"/>
      <c r="AC85" s="618"/>
      <c r="AD85" s="619"/>
      <c r="AE85" s="616" t="s">
        <v>511</v>
      </c>
      <c r="AF85" s="617"/>
      <c r="AG85" s="617"/>
      <c r="AH85" s="618"/>
      <c r="AI85" s="619"/>
      <c r="AJ85" s="616" t="s">
        <v>511</v>
      </c>
      <c r="AK85" s="617"/>
      <c r="AL85" s="617"/>
      <c r="AM85" s="618"/>
      <c r="AN85" s="619"/>
      <c r="AO85" s="616" t="s">
        <v>511</v>
      </c>
      <c r="AP85" s="617"/>
      <c r="AQ85" s="617"/>
      <c r="AR85" s="618"/>
      <c r="AS85" s="619"/>
      <c r="AT85" s="616" t="s">
        <v>511</v>
      </c>
      <c r="AU85" s="617"/>
      <c r="AV85" s="617"/>
      <c r="AW85" s="618"/>
      <c r="AX85" s="619"/>
    </row>
    <row r="86" spans="2:50">
      <c r="B86" s="619"/>
      <c r="C86" s="619"/>
      <c r="D86" s="619"/>
      <c r="E86" s="310" t="s">
        <v>512</v>
      </c>
      <c r="F86" s="310" t="s">
        <v>513</v>
      </c>
      <c r="G86" s="310" t="s">
        <v>514</v>
      </c>
      <c r="H86" s="637"/>
      <c r="I86" s="312" t="s">
        <v>512</v>
      </c>
      <c r="J86" s="312" t="s">
        <v>513</v>
      </c>
      <c r="K86" s="312" t="s">
        <v>514</v>
      </c>
      <c r="L86" s="606"/>
      <c r="M86" s="612"/>
      <c r="N86" s="619"/>
      <c r="O86" s="619"/>
      <c r="P86" s="310" t="s">
        <v>512</v>
      </c>
      <c r="Q86" s="310" t="s">
        <v>513</v>
      </c>
      <c r="R86" s="310" t="s">
        <v>514</v>
      </c>
      <c r="S86" s="310" t="s">
        <v>507</v>
      </c>
      <c r="T86" s="619"/>
      <c r="U86" s="310" t="s">
        <v>512</v>
      </c>
      <c r="V86" s="310" t="s">
        <v>513</v>
      </c>
      <c r="W86" s="310" t="s">
        <v>514</v>
      </c>
      <c r="X86" s="310" t="s">
        <v>507</v>
      </c>
      <c r="Y86" s="619"/>
      <c r="Z86" s="310" t="s">
        <v>512</v>
      </c>
      <c r="AA86" s="310" t="s">
        <v>513</v>
      </c>
      <c r="AB86" s="310" t="s">
        <v>514</v>
      </c>
      <c r="AC86" s="310" t="s">
        <v>507</v>
      </c>
      <c r="AD86" s="619"/>
      <c r="AE86" s="310" t="s">
        <v>512</v>
      </c>
      <c r="AF86" s="310" t="s">
        <v>513</v>
      </c>
      <c r="AG86" s="310" t="s">
        <v>514</v>
      </c>
      <c r="AH86" s="310" t="s">
        <v>507</v>
      </c>
      <c r="AI86" s="619"/>
      <c r="AJ86" s="310" t="s">
        <v>512</v>
      </c>
      <c r="AK86" s="310" t="s">
        <v>513</v>
      </c>
      <c r="AL86" s="310" t="s">
        <v>514</v>
      </c>
      <c r="AM86" s="310" t="s">
        <v>507</v>
      </c>
      <c r="AN86" s="619"/>
      <c r="AO86" s="310" t="s">
        <v>512</v>
      </c>
      <c r="AP86" s="310" t="s">
        <v>513</v>
      </c>
      <c r="AQ86" s="310" t="s">
        <v>514</v>
      </c>
      <c r="AR86" s="310" t="s">
        <v>507</v>
      </c>
      <c r="AS86" s="619"/>
      <c r="AT86" s="310" t="s">
        <v>512</v>
      </c>
      <c r="AU86" s="310" t="s">
        <v>513</v>
      </c>
      <c r="AV86" s="310" t="s">
        <v>514</v>
      </c>
      <c r="AW86" s="310" t="s">
        <v>507</v>
      </c>
      <c r="AX86" s="619"/>
    </row>
    <row r="87" spans="2:50">
      <c r="B87" s="619" t="s">
        <v>516</v>
      </c>
      <c r="C87" s="309">
        <v>1</v>
      </c>
      <c r="D87" s="228"/>
      <c r="E87" s="183"/>
      <c r="F87" s="470"/>
      <c r="G87" s="471"/>
      <c r="H87" s="661" t="e">
        <f>AVERAGE(G87:G101)</f>
        <v>#DIV/0!</v>
      </c>
      <c r="I87" s="200" t="e">
        <f>AVERAGE(P87,U87,Z87,AE87,AJ87,AO87,AT87)</f>
        <v>#DIV/0!</v>
      </c>
      <c r="J87" s="200" t="e">
        <f>AVERAGE(Q87,V87,AA87,AF87,AK87,AP87,AU87)</f>
        <v>#DIV/0!</v>
      </c>
      <c r="K87" s="201" t="e">
        <f>AVERAGE(R87,W87,AB87,AG87,AL87,AQ87,AV87)</f>
        <v>#DIV/0!</v>
      </c>
      <c r="L87" s="600" t="str">
        <f>IFERROR(AVERAGE(K87:K101),"-")</f>
        <v>-</v>
      </c>
      <c r="M87" s="202" t="e">
        <f>RANK(K87, K$87:$K$101)</f>
        <v>#DIV/0!</v>
      </c>
      <c r="N87" s="619"/>
      <c r="O87" s="619"/>
      <c r="P87" s="183"/>
      <c r="Q87" s="183"/>
      <c r="R87" s="471"/>
      <c r="S87" s="309" t="e">
        <f>RANK(R87, R$87:R$101)</f>
        <v>#N/A</v>
      </c>
      <c r="T87" s="628" t="e">
        <f>AVERAGE(R87:R101)</f>
        <v>#DIV/0!</v>
      </c>
      <c r="U87" s="183"/>
      <c r="V87" s="183"/>
      <c r="W87" s="521"/>
      <c r="X87" s="520" t="e">
        <f t="shared" ref="X87:X101" si="144">RANK(W87, W$87:W$101)</f>
        <v>#N/A</v>
      </c>
      <c r="Y87" s="628" t="e">
        <f t="shared" ref="Y87" si="145">AVERAGE(W87:W101)</f>
        <v>#DIV/0!</v>
      </c>
      <c r="Z87" s="183"/>
      <c r="AA87" s="183"/>
      <c r="AB87" s="521"/>
      <c r="AC87" s="520" t="e">
        <f t="shared" ref="AC87:AC101" si="146">RANK(AB87, AB$87:AB$101)</f>
        <v>#N/A</v>
      </c>
      <c r="AD87" s="628" t="e">
        <f t="shared" ref="AD87" si="147">AVERAGE(AB87:AB101)</f>
        <v>#DIV/0!</v>
      </c>
      <c r="AE87" s="183"/>
      <c r="AF87" s="183"/>
      <c r="AG87" s="521"/>
      <c r="AH87" s="520" t="e">
        <f t="shared" ref="AH87:AH101" si="148">RANK(AG87, AG$87:AG$101)</f>
        <v>#N/A</v>
      </c>
      <c r="AI87" s="628" t="e">
        <f t="shared" ref="AI87" si="149">AVERAGE(AG87:AG101)</f>
        <v>#DIV/0!</v>
      </c>
      <c r="AJ87" s="183"/>
      <c r="AK87" s="183"/>
      <c r="AL87" s="521"/>
      <c r="AM87" s="520" t="e">
        <f t="shared" ref="AM87:AM101" si="150">RANK(AL87, AL$87:AL$101)</f>
        <v>#N/A</v>
      </c>
      <c r="AN87" s="628" t="e">
        <f t="shared" ref="AN87" si="151">AVERAGE(AL87:AL101)</f>
        <v>#DIV/0!</v>
      </c>
      <c r="AO87" s="183"/>
      <c r="AP87" s="183"/>
      <c r="AQ87" s="521"/>
      <c r="AR87" s="520" t="e">
        <f t="shared" ref="AR87:AR101" si="152">RANK(AQ87, AQ$87:AQ$101)</f>
        <v>#N/A</v>
      </c>
      <c r="AS87" s="628" t="e">
        <f t="shared" ref="AS87" si="153">AVERAGE(AQ87:AQ101)</f>
        <v>#DIV/0!</v>
      </c>
      <c r="AT87" s="183"/>
      <c r="AU87" s="183"/>
      <c r="AV87" s="521"/>
      <c r="AW87" s="520" t="e">
        <f t="shared" ref="AW87:AW101" si="154">RANK(AV87, AV$87:AV$101)</f>
        <v>#N/A</v>
      </c>
      <c r="AX87" s="658" t="e">
        <f t="shared" ref="AX87" si="155">AVERAGE(AV87:AV101)</f>
        <v>#DIV/0!</v>
      </c>
    </row>
    <row r="88" spans="2:50">
      <c r="B88" s="627"/>
      <c r="C88" s="309">
        <v>2</v>
      </c>
      <c r="D88" s="228"/>
      <c r="E88" s="183"/>
      <c r="F88" s="470"/>
      <c r="G88" s="471"/>
      <c r="H88" s="662"/>
      <c r="I88" s="200" t="e">
        <f t="shared" ref="I88:K92" si="156">AVERAGE(P88,U88,Z88,AE88,AJ88,AO88,AT88)</f>
        <v>#DIV/0!</v>
      </c>
      <c r="J88" s="200" t="e">
        <f t="shared" si="156"/>
        <v>#DIV/0!</v>
      </c>
      <c r="K88" s="201" t="e">
        <f t="shared" si="156"/>
        <v>#DIV/0!</v>
      </c>
      <c r="L88" s="601"/>
      <c r="M88" s="202" t="e">
        <f>RANK(K88, K$87:$K$101)</f>
        <v>#DIV/0!</v>
      </c>
      <c r="N88" s="619"/>
      <c r="O88" s="619"/>
      <c r="P88" s="470"/>
      <c r="Q88" s="183"/>
      <c r="R88" s="471"/>
      <c r="S88" s="309" t="e">
        <f t="shared" ref="S88:S101" si="157">RANK(R88, R$87:R$101)</f>
        <v>#N/A</v>
      </c>
      <c r="T88" s="629"/>
      <c r="U88" s="520"/>
      <c r="V88" s="183"/>
      <c r="W88" s="521"/>
      <c r="X88" s="520" t="e">
        <f t="shared" si="144"/>
        <v>#N/A</v>
      </c>
      <c r="Y88" s="629"/>
      <c r="Z88" s="520"/>
      <c r="AA88" s="183"/>
      <c r="AB88" s="521"/>
      <c r="AC88" s="520" t="e">
        <f t="shared" si="146"/>
        <v>#N/A</v>
      </c>
      <c r="AD88" s="629"/>
      <c r="AE88" s="520"/>
      <c r="AF88" s="183"/>
      <c r="AG88" s="521"/>
      <c r="AH88" s="520" t="e">
        <f t="shared" si="148"/>
        <v>#N/A</v>
      </c>
      <c r="AI88" s="629"/>
      <c r="AJ88" s="520"/>
      <c r="AK88" s="183"/>
      <c r="AL88" s="521"/>
      <c r="AM88" s="520" t="e">
        <f t="shared" si="150"/>
        <v>#N/A</v>
      </c>
      <c r="AN88" s="629"/>
      <c r="AO88" s="520"/>
      <c r="AP88" s="183"/>
      <c r="AQ88" s="521"/>
      <c r="AR88" s="520" t="e">
        <f t="shared" si="152"/>
        <v>#N/A</v>
      </c>
      <c r="AS88" s="629"/>
      <c r="AT88" s="520"/>
      <c r="AU88" s="183"/>
      <c r="AV88" s="521"/>
      <c r="AW88" s="520" t="e">
        <f t="shared" si="154"/>
        <v>#N/A</v>
      </c>
      <c r="AX88" s="658"/>
    </row>
    <row r="89" spans="2:50">
      <c r="B89" s="627"/>
      <c r="C89" s="309">
        <v>3</v>
      </c>
      <c r="D89" s="228"/>
      <c r="E89" s="183"/>
      <c r="F89" s="470"/>
      <c r="G89" s="471"/>
      <c r="H89" s="662"/>
      <c r="I89" s="200" t="e">
        <f t="shared" si="156"/>
        <v>#DIV/0!</v>
      </c>
      <c r="J89" s="200" t="e">
        <f t="shared" si="156"/>
        <v>#DIV/0!</v>
      </c>
      <c r="K89" s="201" t="e">
        <f t="shared" si="156"/>
        <v>#DIV/0!</v>
      </c>
      <c r="L89" s="601"/>
      <c r="M89" s="202" t="e">
        <f>RANK(K89, K$87:$K$101)</f>
        <v>#DIV/0!</v>
      </c>
      <c r="N89" s="619"/>
      <c r="O89" s="619"/>
      <c r="P89" s="470"/>
      <c r="Q89" s="183"/>
      <c r="R89" s="471"/>
      <c r="S89" s="309" t="e">
        <f t="shared" si="157"/>
        <v>#N/A</v>
      </c>
      <c r="T89" s="629"/>
      <c r="U89" s="520"/>
      <c r="V89" s="183"/>
      <c r="W89" s="521"/>
      <c r="X89" s="520" t="e">
        <f t="shared" si="144"/>
        <v>#N/A</v>
      </c>
      <c r="Y89" s="629"/>
      <c r="Z89" s="520"/>
      <c r="AA89" s="183"/>
      <c r="AB89" s="521"/>
      <c r="AC89" s="520" t="e">
        <f t="shared" si="146"/>
        <v>#N/A</v>
      </c>
      <c r="AD89" s="629"/>
      <c r="AE89" s="520"/>
      <c r="AF89" s="183"/>
      <c r="AG89" s="521"/>
      <c r="AH89" s="520" t="e">
        <f t="shared" si="148"/>
        <v>#N/A</v>
      </c>
      <c r="AI89" s="629"/>
      <c r="AJ89" s="520"/>
      <c r="AK89" s="183"/>
      <c r="AL89" s="521"/>
      <c r="AM89" s="520" t="e">
        <f t="shared" si="150"/>
        <v>#N/A</v>
      </c>
      <c r="AN89" s="629"/>
      <c r="AO89" s="520"/>
      <c r="AP89" s="183"/>
      <c r="AQ89" s="521"/>
      <c r="AR89" s="520" t="e">
        <f t="shared" si="152"/>
        <v>#N/A</v>
      </c>
      <c r="AS89" s="629"/>
      <c r="AT89" s="520"/>
      <c r="AU89" s="183"/>
      <c r="AV89" s="521"/>
      <c r="AW89" s="520" t="e">
        <f t="shared" si="154"/>
        <v>#N/A</v>
      </c>
      <c r="AX89" s="658"/>
    </row>
    <row r="90" spans="2:50">
      <c r="B90" s="627"/>
      <c r="C90" s="309">
        <v>4</v>
      </c>
      <c r="D90" s="228"/>
      <c r="E90" s="183"/>
      <c r="F90" s="470"/>
      <c r="G90" s="471"/>
      <c r="H90" s="662"/>
      <c r="I90" s="200" t="e">
        <f t="shared" si="156"/>
        <v>#DIV/0!</v>
      </c>
      <c r="J90" s="200" t="e">
        <f t="shared" si="156"/>
        <v>#DIV/0!</v>
      </c>
      <c r="K90" s="201" t="e">
        <f t="shared" si="156"/>
        <v>#DIV/0!</v>
      </c>
      <c r="L90" s="601"/>
      <c r="M90" s="202" t="e">
        <f>RANK(K90, K$87:$K$101)</f>
        <v>#DIV/0!</v>
      </c>
      <c r="N90" s="619"/>
      <c r="O90" s="619"/>
      <c r="P90" s="470"/>
      <c r="Q90" s="183"/>
      <c r="R90" s="471"/>
      <c r="S90" s="309" t="e">
        <f t="shared" si="157"/>
        <v>#N/A</v>
      </c>
      <c r="T90" s="629"/>
      <c r="U90" s="520"/>
      <c r="V90" s="183"/>
      <c r="W90" s="521"/>
      <c r="X90" s="520" t="e">
        <f t="shared" si="144"/>
        <v>#N/A</v>
      </c>
      <c r="Y90" s="629"/>
      <c r="Z90" s="520"/>
      <c r="AA90" s="183"/>
      <c r="AB90" s="521"/>
      <c r="AC90" s="520" t="e">
        <f t="shared" si="146"/>
        <v>#N/A</v>
      </c>
      <c r="AD90" s="629"/>
      <c r="AE90" s="520"/>
      <c r="AF90" s="183"/>
      <c r="AG90" s="521"/>
      <c r="AH90" s="520" t="e">
        <f t="shared" si="148"/>
        <v>#N/A</v>
      </c>
      <c r="AI90" s="629"/>
      <c r="AJ90" s="520"/>
      <c r="AK90" s="183"/>
      <c r="AL90" s="521"/>
      <c r="AM90" s="520" t="e">
        <f t="shared" si="150"/>
        <v>#N/A</v>
      </c>
      <c r="AN90" s="629"/>
      <c r="AO90" s="520"/>
      <c r="AP90" s="183"/>
      <c r="AQ90" s="521"/>
      <c r="AR90" s="520" t="e">
        <f t="shared" si="152"/>
        <v>#N/A</v>
      </c>
      <c r="AS90" s="629"/>
      <c r="AT90" s="520"/>
      <c r="AU90" s="183"/>
      <c r="AV90" s="521"/>
      <c r="AW90" s="520" t="e">
        <f t="shared" si="154"/>
        <v>#N/A</v>
      </c>
      <c r="AX90" s="658"/>
    </row>
    <row r="91" spans="2:50">
      <c r="B91" s="627"/>
      <c r="C91" s="309">
        <v>5</v>
      </c>
      <c r="D91" s="228"/>
      <c r="E91" s="183"/>
      <c r="F91" s="470"/>
      <c r="G91" s="471"/>
      <c r="H91" s="662"/>
      <c r="I91" s="200" t="e">
        <f t="shared" si="156"/>
        <v>#DIV/0!</v>
      </c>
      <c r="J91" s="200" t="e">
        <f t="shared" si="156"/>
        <v>#DIV/0!</v>
      </c>
      <c r="K91" s="201" t="e">
        <f t="shared" si="156"/>
        <v>#DIV/0!</v>
      </c>
      <c r="L91" s="601"/>
      <c r="M91" s="202" t="e">
        <f>RANK(K91, K$87:$K$101)</f>
        <v>#DIV/0!</v>
      </c>
      <c r="N91" s="619"/>
      <c r="O91" s="619"/>
      <c r="P91" s="470"/>
      <c r="Q91" s="183"/>
      <c r="R91" s="471"/>
      <c r="S91" s="309" t="e">
        <f t="shared" si="157"/>
        <v>#N/A</v>
      </c>
      <c r="T91" s="629"/>
      <c r="U91" s="520"/>
      <c r="V91" s="183"/>
      <c r="W91" s="521"/>
      <c r="X91" s="520" t="e">
        <f t="shared" si="144"/>
        <v>#N/A</v>
      </c>
      <c r="Y91" s="629"/>
      <c r="Z91" s="520"/>
      <c r="AA91" s="183"/>
      <c r="AB91" s="521"/>
      <c r="AC91" s="520" t="e">
        <f t="shared" si="146"/>
        <v>#N/A</v>
      </c>
      <c r="AD91" s="629"/>
      <c r="AE91" s="520"/>
      <c r="AF91" s="183"/>
      <c r="AG91" s="521"/>
      <c r="AH91" s="520" t="e">
        <f t="shared" si="148"/>
        <v>#N/A</v>
      </c>
      <c r="AI91" s="629"/>
      <c r="AJ91" s="520"/>
      <c r="AK91" s="183"/>
      <c r="AL91" s="521"/>
      <c r="AM91" s="520" t="e">
        <f t="shared" si="150"/>
        <v>#N/A</v>
      </c>
      <c r="AN91" s="629"/>
      <c r="AO91" s="520"/>
      <c r="AP91" s="183"/>
      <c r="AQ91" s="521"/>
      <c r="AR91" s="520" t="e">
        <f t="shared" si="152"/>
        <v>#N/A</v>
      </c>
      <c r="AS91" s="629"/>
      <c r="AT91" s="520"/>
      <c r="AU91" s="183"/>
      <c r="AV91" s="521"/>
      <c r="AW91" s="520" t="e">
        <f t="shared" si="154"/>
        <v>#N/A</v>
      </c>
      <c r="AX91" s="658"/>
    </row>
    <row r="92" spans="2:50">
      <c r="B92" s="627"/>
      <c r="C92" s="309">
        <v>6</v>
      </c>
      <c r="D92" s="228"/>
      <c r="E92" s="183"/>
      <c r="F92" s="470"/>
      <c r="G92" s="471"/>
      <c r="H92" s="662"/>
      <c r="I92" s="200" t="e">
        <f t="shared" si="156"/>
        <v>#DIV/0!</v>
      </c>
      <c r="J92" s="200" t="e">
        <f t="shared" si="156"/>
        <v>#DIV/0!</v>
      </c>
      <c r="K92" s="201" t="e">
        <f t="shared" si="156"/>
        <v>#DIV/0!</v>
      </c>
      <c r="L92" s="601"/>
      <c r="M92" s="202" t="e">
        <f>RANK(K92, K$87:$K$101)</f>
        <v>#DIV/0!</v>
      </c>
      <c r="N92" s="619"/>
      <c r="O92" s="619"/>
      <c r="P92" s="470"/>
      <c r="Q92" s="183"/>
      <c r="R92" s="471"/>
      <c r="S92" s="309" t="e">
        <f t="shared" si="157"/>
        <v>#N/A</v>
      </c>
      <c r="T92" s="629"/>
      <c r="U92" s="520"/>
      <c r="V92" s="183"/>
      <c r="W92" s="521"/>
      <c r="X92" s="520" t="e">
        <f t="shared" si="144"/>
        <v>#N/A</v>
      </c>
      <c r="Y92" s="629"/>
      <c r="Z92" s="520"/>
      <c r="AA92" s="183"/>
      <c r="AB92" s="521"/>
      <c r="AC92" s="520" t="e">
        <f t="shared" si="146"/>
        <v>#N/A</v>
      </c>
      <c r="AD92" s="629"/>
      <c r="AE92" s="520"/>
      <c r="AF92" s="183"/>
      <c r="AG92" s="521"/>
      <c r="AH92" s="520" t="e">
        <f t="shared" si="148"/>
        <v>#N/A</v>
      </c>
      <c r="AI92" s="629"/>
      <c r="AJ92" s="520"/>
      <c r="AK92" s="183"/>
      <c r="AL92" s="521"/>
      <c r="AM92" s="520" t="e">
        <f t="shared" si="150"/>
        <v>#N/A</v>
      </c>
      <c r="AN92" s="629"/>
      <c r="AO92" s="520"/>
      <c r="AP92" s="183"/>
      <c r="AQ92" s="521"/>
      <c r="AR92" s="520" t="e">
        <f t="shared" si="152"/>
        <v>#N/A</v>
      </c>
      <c r="AS92" s="629"/>
      <c r="AT92" s="520"/>
      <c r="AU92" s="183"/>
      <c r="AV92" s="521"/>
      <c r="AW92" s="520" t="e">
        <f t="shared" si="154"/>
        <v>#N/A</v>
      </c>
      <c r="AX92" s="658"/>
    </row>
    <row r="93" spans="2:50">
      <c r="B93" s="627"/>
      <c r="C93" s="309">
        <v>7</v>
      </c>
      <c r="D93" s="228"/>
      <c r="E93" s="183"/>
      <c r="F93" s="470"/>
      <c r="G93" s="471"/>
      <c r="H93" s="662"/>
      <c r="I93" s="469" t="e">
        <f t="shared" ref="I93:I94" si="158">AVERAGE(P93,U93,Z93,AE93,AJ93,AO93,AT93)</f>
        <v>#DIV/0!</v>
      </c>
      <c r="J93" s="469" t="e">
        <f t="shared" ref="J93:J94" si="159">AVERAGE(Q93,V93,AA93,AF93,AK93,AP93,AU93)</f>
        <v>#DIV/0!</v>
      </c>
      <c r="K93" s="201" t="e">
        <f t="shared" ref="K93:K94" si="160">AVERAGE(R93,W93,AB93,AG93,AL93,AQ93,AV93)</f>
        <v>#DIV/0!</v>
      </c>
      <c r="L93" s="601"/>
      <c r="M93" s="202" t="e">
        <f>RANK(K93, K$87:$K$101)</f>
        <v>#DIV/0!</v>
      </c>
      <c r="N93" s="619"/>
      <c r="O93" s="619"/>
      <c r="P93" s="470"/>
      <c r="Q93" s="183"/>
      <c r="R93" s="471"/>
      <c r="S93" s="309" t="e">
        <f t="shared" si="157"/>
        <v>#N/A</v>
      </c>
      <c r="T93" s="629"/>
      <c r="U93" s="520"/>
      <c r="V93" s="183"/>
      <c r="W93" s="521"/>
      <c r="X93" s="520" t="e">
        <f t="shared" si="144"/>
        <v>#N/A</v>
      </c>
      <c r="Y93" s="629"/>
      <c r="Z93" s="520"/>
      <c r="AA93" s="183"/>
      <c r="AB93" s="521"/>
      <c r="AC93" s="520" t="e">
        <f t="shared" si="146"/>
        <v>#N/A</v>
      </c>
      <c r="AD93" s="629"/>
      <c r="AE93" s="520"/>
      <c r="AF93" s="183"/>
      <c r="AG93" s="521"/>
      <c r="AH93" s="520" t="e">
        <f t="shared" si="148"/>
        <v>#N/A</v>
      </c>
      <c r="AI93" s="629"/>
      <c r="AJ93" s="520"/>
      <c r="AK93" s="183"/>
      <c r="AL93" s="521"/>
      <c r="AM93" s="520" t="e">
        <f t="shared" si="150"/>
        <v>#N/A</v>
      </c>
      <c r="AN93" s="629"/>
      <c r="AO93" s="520"/>
      <c r="AP93" s="183"/>
      <c r="AQ93" s="521"/>
      <c r="AR93" s="520" t="e">
        <f t="shared" si="152"/>
        <v>#N/A</v>
      </c>
      <c r="AS93" s="629"/>
      <c r="AT93" s="520"/>
      <c r="AU93" s="183"/>
      <c r="AV93" s="521"/>
      <c r="AW93" s="520" t="e">
        <f t="shared" si="154"/>
        <v>#N/A</v>
      </c>
      <c r="AX93" s="658"/>
    </row>
    <row r="94" spans="2:50">
      <c r="B94" s="627"/>
      <c r="C94" s="309">
        <v>8</v>
      </c>
      <c r="D94" s="228"/>
      <c r="E94" s="183"/>
      <c r="F94" s="470"/>
      <c r="G94" s="471"/>
      <c r="H94" s="662"/>
      <c r="I94" s="469" t="e">
        <f t="shared" si="158"/>
        <v>#DIV/0!</v>
      </c>
      <c r="J94" s="469" t="e">
        <f t="shared" si="159"/>
        <v>#DIV/0!</v>
      </c>
      <c r="K94" s="201" t="e">
        <f t="shared" si="160"/>
        <v>#DIV/0!</v>
      </c>
      <c r="L94" s="601"/>
      <c r="M94" s="202" t="e">
        <f>RANK(K94, K$87:$K$101)</f>
        <v>#DIV/0!</v>
      </c>
      <c r="N94" s="619"/>
      <c r="O94" s="619"/>
      <c r="P94" s="470"/>
      <c r="Q94" s="183"/>
      <c r="R94" s="471"/>
      <c r="S94" s="309" t="e">
        <f t="shared" si="157"/>
        <v>#N/A</v>
      </c>
      <c r="T94" s="629"/>
      <c r="U94" s="520"/>
      <c r="V94" s="183"/>
      <c r="W94" s="521"/>
      <c r="X94" s="520" t="e">
        <f t="shared" si="144"/>
        <v>#N/A</v>
      </c>
      <c r="Y94" s="629"/>
      <c r="Z94" s="520"/>
      <c r="AA94" s="183"/>
      <c r="AB94" s="521"/>
      <c r="AC94" s="520" t="e">
        <f t="shared" si="146"/>
        <v>#N/A</v>
      </c>
      <c r="AD94" s="629"/>
      <c r="AE94" s="520"/>
      <c r="AF94" s="183"/>
      <c r="AG94" s="521"/>
      <c r="AH94" s="520" t="e">
        <f t="shared" si="148"/>
        <v>#N/A</v>
      </c>
      <c r="AI94" s="629"/>
      <c r="AJ94" s="520"/>
      <c r="AK94" s="183"/>
      <c r="AL94" s="521"/>
      <c r="AM94" s="520" t="e">
        <f t="shared" si="150"/>
        <v>#N/A</v>
      </c>
      <c r="AN94" s="629"/>
      <c r="AO94" s="520"/>
      <c r="AP94" s="183"/>
      <c r="AQ94" s="521"/>
      <c r="AR94" s="520" t="e">
        <f t="shared" si="152"/>
        <v>#N/A</v>
      </c>
      <c r="AS94" s="629"/>
      <c r="AT94" s="520"/>
      <c r="AU94" s="183"/>
      <c r="AV94" s="521"/>
      <c r="AW94" s="520" t="e">
        <f t="shared" si="154"/>
        <v>#N/A</v>
      </c>
      <c r="AX94" s="658"/>
    </row>
    <row r="95" spans="2:50">
      <c r="B95" s="627"/>
      <c r="C95" s="309">
        <v>9</v>
      </c>
      <c r="D95" s="228"/>
      <c r="E95" s="183"/>
      <c r="F95" s="470"/>
      <c r="G95" s="471"/>
      <c r="H95" s="662"/>
      <c r="I95" s="200"/>
      <c r="J95" s="200"/>
      <c r="K95" s="201"/>
      <c r="L95" s="601"/>
      <c r="M95" s="202" t="e">
        <f>RANK(K95, K$87:$K$101)</f>
        <v>#DIV/0!</v>
      </c>
      <c r="N95" s="619"/>
      <c r="O95" s="619"/>
      <c r="P95" s="470"/>
      <c r="Q95" s="183"/>
      <c r="R95" s="471"/>
      <c r="S95" s="309" t="e">
        <f t="shared" si="157"/>
        <v>#N/A</v>
      </c>
      <c r="T95" s="629"/>
      <c r="U95" s="520"/>
      <c r="V95" s="183"/>
      <c r="W95" s="521"/>
      <c r="X95" s="520" t="e">
        <f t="shared" si="144"/>
        <v>#N/A</v>
      </c>
      <c r="Y95" s="629"/>
      <c r="Z95" s="520"/>
      <c r="AA95" s="183"/>
      <c r="AB95" s="521"/>
      <c r="AC95" s="520" t="e">
        <f t="shared" si="146"/>
        <v>#N/A</v>
      </c>
      <c r="AD95" s="629"/>
      <c r="AE95" s="520"/>
      <c r="AF95" s="183"/>
      <c r="AG95" s="521"/>
      <c r="AH95" s="520" t="e">
        <f t="shared" si="148"/>
        <v>#N/A</v>
      </c>
      <c r="AI95" s="629"/>
      <c r="AJ95" s="520"/>
      <c r="AK95" s="183"/>
      <c r="AL95" s="521"/>
      <c r="AM95" s="520" t="e">
        <f t="shared" si="150"/>
        <v>#N/A</v>
      </c>
      <c r="AN95" s="629"/>
      <c r="AO95" s="520"/>
      <c r="AP95" s="183"/>
      <c r="AQ95" s="521"/>
      <c r="AR95" s="520" t="e">
        <f t="shared" si="152"/>
        <v>#N/A</v>
      </c>
      <c r="AS95" s="629"/>
      <c r="AT95" s="520"/>
      <c r="AU95" s="183"/>
      <c r="AV95" s="521"/>
      <c r="AW95" s="520" t="e">
        <f t="shared" si="154"/>
        <v>#N/A</v>
      </c>
      <c r="AX95" s="658"/>
    </row>
    <row r="96" spans="2:50">
      <c r="B96" s="627"/>
      <c r="C96" s="309">
        <v>10</v>
      </c>
      <c r="D96" s="228"/>
      <c r="E96" s="183"/>
      <c r="F96" s="470"/>
      <c r="G96" s="471"/>
      <c r="H96" s="662"/>
      <c r="I96" s="200"/>
      <c r="J96" s="200"/>
      <c r="K96" s="201"/>
      <c r="L96" s="601"/>
      <c r="M96" s="202" t="e">
        <f>RANK(K96, K$87:$K$101)</f>
        <v>#DIV/0!</v>
      </c>
      <c r="N96" s="619"/>
      <c r="O96" s="619"/>
      <c r="P96" s="470"/>
      <c r="Q96" s="183"/>
      <c r="R96" s="471"/>
      <c r="S96" s="309" t="e">
        <f t="shared" si="157"/>
        <v>#N/A</v>
      </c>
      <c r="T96" s="629"/>
      <c r="U96" s="520"/>
      <c r="V96" s="183"/>
      <c r="W96" s="521"/>
      <c r="X96" s="520" t="e">
        <f t="shared" si="144"/>
        <v>#N/A</v>
      </c>
      <c r="Y96" s="629"/>
      <c r="Z96" s="520"/>
      <c r="AA96" s="183"/>
      <c r="AB96" s="521"/>
      <c r="AC96" s="520" t="e">
        <f t="shared" si="146"/>
        <v>#N/A</v>
      </c>
      <c r="AD96" s="629"/>
      <c r="AE96" s="520"/>
      <c r="AF96" s="183"/>
      <c r="AG96" s="521"/>
      <c r="AH96" s="520" t="e">
        <f t="shared" si="148"/>
        <v>#N/A</v>
      </c>
      <c r="AI96" s="629"/>
      <c r="AJ96" s="520"/>
      <c r="AK96" s="183"/>
      <c r="AL96" s="521"/>
      <c r="AM96" s="520" t="e">
        <f t="shared" si="150"/>
        <v>#N/A</v>
      </c>
      <c r="AN96" s="629"/>
      <c r="AO96" s="520"/>
      <c r="AP96" s="183"/>
      <c r="AQ96" s="521"/>
      <c r="AR96" s="520" t="e">
        <f t="shared" si="152"/>
        <v>#N/A</v>
      </c>
      <c r="AS96" s="629"/>
      <c r="AT96" s="520"/>
      <c r="AU96" s="183"/>
      <c r="AV96" s="521"/>
      <c r="AW96" s="520" t="e">
        <f t="shared" si="154"/>
        <v>#N/A</v>
      </c>
      <c r="AX96" s="658"/>
    </row>
    <row r="97" spans="2:50">
      <c r="B97" s="627"/>
      <c r="C97" s="309">
        <v>11</v>
      </c>
      <c r="D97" s="228"/>
      <c r="E97" s="183"/>
      <c r="F97" s="470"/>
      <c r="G97" s="471"/>
      <c r="H97" s="662"/>
      <c r="I97" s="200"/>
      <c r="J97" s="200"/>
      <c r="K97" s="201"/>
      <c r="L97" s="601"/>
      <c r="M97" s="202" t="e">
        <f>RANK(K97, K$87:$K$101)</f>
        <v>#DIV/0!</v>
      </c>
      <c r="N97" s="619"/>
      <c r="O97" s="619"/>
      <c r="P97" s="470"/>
      <c r="Q97" s="183"/>
      <c r="R97" s="471"/>
      <c r="S97" s="309" t="e">
        <f t="shared" si="157"/>
        <v>#N/A</v>
      </c>
      <c r="T97" s="629"/>
      <c r="U97" s="520"/>
      <c r="V97" s="183"/>
      <c r="W97" s="521"/>
      <c r="X97" s="520" t="e">
        <f t="shared" si="144"/>
        <v>#N/A</v>
      </c>
      <c r="Y97" s="629"/>
      <c r="Z97" s="520"/>
      <c r="AA97" s="183"/>
      <c r="AB97" s="521"/>
      <c r="AC97" s="520" t="e">
        <f t="shared" si="146"/>
        <v>#N/A</v>
      </c>
      <c r="AD97" s="629"/>
      <c r="AE97" s="520"/>
      <c r="AF97" s="183"/>
      <c r="AG97" s="521"/>
      <c r="AH97" s="520" t="e">
        <f t="shared" si="148"/>
        <v>#N/A</v>
      </c>
      <c r="AI97" s="629"/>
      <c r="AJ97" s="520"/>
      <c r="AK97" s="183"/>
      <c r="AL97" s="521"/>
      <c r="AM97" s="520" t="e">
        <f t="shared" si="150"/>
        <v>#N/A</v>
      </c>
      <c r="AN97" s="629"/>
      <c r="AO97" s="520"/>
      <c r="AP97" s="183"/>
      <c r="AQ97" s="521"/>
      <c r="AR97" s="520" t="e">
        <f t="shared" si="152"/>
        <v>#N/A</v>
      </c>
      <c r="AS97" s="629"/>
      <c r="AT97" s="520"/>
      <c r="AU97" s="183"/>
      <c r="AV97" s="521"/>
      <c r="AW97" s="520" t="e">
        <f t="shared" si="154"/>
        <v>#N/A</v>
      </c>
      <c r="AX97" s="658"/>
    </row>
    <row r="98" spans="2:50">
      <c r="B98" s="627"/>
      <c r="C98" s="309">
        <v>12</v>
      </c>
      <c r="D98" s="228"/>
      <c r="E98" s="183"/>
      <c r="F98" s="470"/>
      <c r="G98" s="471"/>
      <c r="H98" s="662"/>
      <c r="I98" s="200"/>
      <c r="J98" s="200"/>
      <c r="K98" s="201"/>
      <c r="L98" s="601"/>
      <c r="M98" s="202" t="e">
        <f>RANK(K98, K$87:$K$101)</f>
        <v>#DIV/0!</v>
      </c>
      <c r="N98" s="619"/>
      <c r="O98" s="619"/>
      <c r="P98" s="470"/>
      <c r="Q98" s="183"/>
      <c r="R98" s="471"/>
      <c r="S98" s="309" t="e">
        <f t="shared" si="157"/>
        <v>#N/A</v>
      </c>
      <c r="T98" s="629"/>
      <c r="U98" s="520"/>
      <c r="V98" s="183"/>
      <c r="W98" s="521"/>
      <c r="X98" s="520" t="e">
        <f t="shared" si="144"/>
        <v>#N/A</v>
      </c>
      <c r="Y98" s="629"/>
      <c r="Z98" s="520"/>
      <c r="AA98" s="183"/>
      <c r="AB98" s="521"/>
      <c r="AC98" s="520" t="e">
        <f t="shared" si="146"/>
        <v>#N/A</v>
      </c>
      <c r="AD98" s="629"/>
      <c r="AE98" s="520"/>
      <c r="AF98" s="183"/>
      <c r="AG98" s="521"/>
      <c r="AH98" s="520" t="e">
        <f t="shared" si="148"/>
        <v>#N/A</v>
      </c>
      <c r="AI98" s="629"/>
      <c r="AJ98" s="520"/>
      <c r="AK98" s="183"/>
      <c r="AL98" s="521"/>
      <c r="AM98" s="520" t="e">
        <f t="shared" si="150"/>
        <v>#N/A</v>
      </c>
      <c r="AN98" s="629"/>
      <c r="AO98" s="520"/>
      <c r="AP98" s="183"/>
      <c r="AQ98" s="521"/>
      <c r="AR98" s="520" t="e">
        <f t="shared" si="152"/>
        <v>#N/A</v>
      </c>
      <c r="AS98" s="629"/>
      <c r="AT98" s="520"/>
      <c r="AU98" s="183"/>
      <c r="AV98" s="521"/>
      <c r="AW98" s="520" t="e">
        <f t="shared" si="154"/>
        <v>#N/A</v>
      </c>
      <c r="AX98" s="658"/>
    </row>
    <row r="99" spans="2:50">
      <c r="B99" s="627"/>
      <c r="C99" s="309">
        <v>13</v>
      </c>
      <c r="D99" s="228"/>
      <c r="E99" s="183"/>
      <c r="F99" s="470"/>
      <c r="G99" s="471"/>
      <c r="H99" s="662"/>
      <c r="I99" s="200"/>
      <c r="J99" s="200"/>
      <c r="K99" s="201"/>
      <c r="L99" s="601"/>
      <c r="M99" s="202" t="e">
        <f>RANK(K99, K$87:$K$101)</f>
        <v>#DIV/0!</v>
      </c>
      <c r="N99" s="619"/>
      <c r="O99" s="619"/>
      <c r="P99" s="470"/>
      <c r="Q99" s="183"/>
      <c r="R99" s="471"/>
      <c r="S99" s="309" t="e">
        <f t="shared" si="157"/>
        <v>#N/A</v>
      </c>
      <c r="T99" s="629"/>
      <c r="U99" s="520"/>
      <c r="V99" s="183"/>
      <c r="W99" s="521"/>
      <c r="X99" s="520" t="e">
        <f t="shared" si="144"/>
        <v>#N/A</v>
      </c>
      <c r="Y99" s="629"/>
      <c r="Z99" s="520"/>
      <c r="AA99" s="183"/>
      <c r="AB99" s="521"/>
      <c r="AC99" s="520" t="e">
        <f t="shared" si="146"/>
        <v>#N/A</v>
      </c>
      <c r="AD99" s="629"/>
      <c r="AE99" s="520"/>
      <c r="AF99" s="183"/>
      <c r="AG99" s="521"/>
      <c r="AH99" s="520" t="e">
        <f t="shared" si="148"/>
        <v>#N/A</v>
      </c>
      <c r="AI99" s="629"/>
      <c r="AJ99" s="520"/>
      <c r="AK99" s="183"/>
      <c r="AL99" s="521"/>
      <c r="AM99" s="520" t="e">
        <f t="shared" si="150"/>
        <v>#N/A</v>
      </c>
      <c r="AN99" s="629"/>
      <c r="AO99" s="520"/>
      <c r="AP99" s="183"/>
      <c r="AQ99" s="521"/>
      <c r="AR99" s="520" t="e">
        <f t="shared" si="152"/>
        <v>#N/A</v>
      </c>
      <c r="AS99" s="629"/>
      <c r="AT99" s="520"/>
      <c r="AU99" s="183"/>
      <c r="AV99" s="521"/>
      <c r="AW99" s="520" t="e">
        <f t="shared" si="154"/>
        <v>#N/A</v>
      </c>
      <c r="AX99" s="658"/>
    </row>
    <row r="100" spans="2:50">
      <c r="B100" s="627"/>
      <c r="C100" s="309">
        <v>14</v>
      </c>
      <c r="D100" s="228"/>
      <c r="E100" s="183"/>
      <c r="F100" s="470"/>
      <c r="G100" s="471"/>
      <c r="H100" s="662"/>
      <c r="I100" s="200"/>
      <c r="J100" s="200"/>
      <c r="K100" s="201"/>
      <c r="L100" s="601"/>
      <c r="M100" s="202" t="e">
        <f>RANK(K100, K$87:$K$101)</f>
        <v>#DIV/0!</v>
      </c>
      <c r="N100" s="619"/>
      <c r="O100" s="619"/>
      <c r="P100" s="470"/>
      <c r="Q100" s="183"/>
      <c r="R100" s="471"/>
      <c r="S100" s="309" t="e">
        <f t="shared" si="157"/>
        <v>#N/A</v>
      </c>
      <c r="T100" s="629"/>
      <c r="U100" s="520"/>
      <c r="V100" s="183"/>
      <c r="W100" s="521"/>
      <c r="X100" s="520" t="e">
        <f t="shared" si="144"/>
        <v>#N/A</v>
      </c>
      <c r="Y100" s="629"/>
      <c r="Z100" s="520"/>
      <c r="AA100" s="183"/>
      <c r="AB100" s="521"/>
      <c r="AC100" s="520" t="e">
        <f t="shared" si="146"/>
        <v>#N/A</v>
      </c>
      <c r="AD100" s="629"/>
      <c r="AE100" s="520"/>
      <c r="AF100" s="183"/>
      <c r="AG100" s="521"/>
      <c r="AH100" s="520" t="e">
        <f t="shared" si="148"/>
        <v>#N/A</v>
      </c>
      <c r="AI100" s="629"/>
      <c r="AJ100" s="520"/>
      <c r="AK100" s="183"/>
      <c r="AL100" s="521"/>
      <c r="AM100" s="520" t="e">
        <f t="shared" si="150"/>
        <v>#N/A</v>
      </c>
      <c r="AN100" s="629"/>
      <c r="AO100" s="520"/>
      <c r="AP100" s="183"/>
      <c r="AQ100" s="521"/>
      <c r="AR100" s="520" t="e">
        <f t="shared" si="152"/>
        <v>#N/A</v>
      </c>
      <c r="AS100" s="629"/>
      <c r="AT100" s="520"/>
      <c r="AU100" s="183"/>
      <c r="AV100" s="521"/>
      <c r="AW100" s="520" t="e">
        <f t="shared" si="154"/>
        <v>#N/A</v>
      </c>
      <c r="AX100" s="658"/>
    </row>
    <row r="101" spans="2:50">
      <c r="B101" s="627"/>
      <c r="C101" s="309">
        <v>15</v>
      </c>
      <c r="D101" s="228"/>
      <c r="E101" s="183"/>
      <c r="F101" s="470"/>
      <c r="G101" s="471"/>
      <c r="H101" s="663"/>
      <c r="I101" s="200"/>
      <c r="J101" s="200"/>
      <c r="K101" s="201"/>
      <c r="L101" s="602"/>
      <c r="M101" s="200" t="e">
        <f>RANK(K101, K$87:$K$101)</f>
        <v>#DIV/0!</v>
      </c>
      <c r="N101" s="619"/>
      <c r="O101" s="619"/>
      <c r="P101" s="470"/>
      <c r="Q101" s="183"/>
      <c r="R101" s="471"/>
      <c r="S101" s="309" t="e">
        <f t="shared" si="157"/>
        <v>#N/A</v>
      </c>
      <c r="T101" s="630"/>
      <c r="U101" s="520"/>
      <c r="V101" s="183"/>
      <c r="W101" s="521"/>
      <c r="X101" s="520" t="e">
        <f t="shared" si="144"/>
        <v>#N/A</v>
      </c>
      <c r="Y101" s="630"/>
      <c r="Z101" s="520"/>
      <c r="AA101" s="183"/>
      <c r="AB101" s="521"/>
      <c r="AC101" s="520" t="e">
        <f t="shared" si="146"/>
        <v>#N/A</v>
      </c>
      <c r="AD101" s="630"/>
      <c r="AE101" s="520"/>
      <c r="AF101" s="183"/>
      <c r="AG101" s="521"/>
      <c r="AH101" s="520" t="e">
        <f t="shared" si="148"/>
        <v>#N/A</v>
      </c>
      <c r="AI101" s="630"/>
      <c r="AJ101" s="520"/>
      <c r="AK101" s="183"/>
      <c r="AL101" s="521"/>
      <c r="AM101" s="520" t="e">
        <f t="shared" si="150"/>
        <v>#N/A</v>
      </c>
      <c r="AN101" s="630"/>
      <c r="AO101" s="520"/>
      <c r="AP101" s="183"/>
      <c r="AQ101" s="521"/>
      <c r="AR101" s="520" t="e">
        <f t="shared" si="152"/>
        <v>#N/A</v>
      </c>
      <c r="AS101" s="630"/>
      <c r="AT101" s="520"/>
      <c r="AU101" s="183"/>
      <c r="AV101" s="521"/>
      <c r="AW101" s="520" t="e">
        <f t="shared" si="154"/>
        <v>#N/A</v>
      </c>
      <c r="AX101" s="658"/>
    </row>
    <row r="102" spans="2:50" ht="15.5">
      <c r="B102" s="631" t="s">
        <v>163</v>
      </c>
      <c r="C102" s="632"/>
      <c r="D102" s="632"/>
      <c r="E102" s="632"/>
      <c r="F102" s="632"/>
      <c r="G102" s="632"/>
      <c r="H102" s="633"/>
      <c r="I102" s="209"/>
      <c r="J102" s="209"/>
      <c r="K102" s="209"/>
      <c r="L102" s="209"/>
      <c r="M102" s="208"/>
      <c r="N102" s="620" t="s">
        <v>156</v>
      </c>
      <c r="O102" s="620" t="s">
        <v>105</v>
      </c>
      <c r="P102" s="626">
        <f>P82+7</f>
        <v>46021</v>
      </c>
      <c r="Q102" s="627"/>
      <c r="R102" s="627"/>
      <c r="S102" s="627"/>
      <c r="T102" s="627"/>
      <c r="U102" s="623">
        <f>P102+1</f>
        <v>46022</v>
      </c>
      <c r="V102" s="624"/>
      <c r="W102" s="624"/>
      <c r="X102" s="624"/>
      <c r="Y102" s="625"/>
      <c r="Z102" s="623">
        <f>U102+1</f>
        <v>46023</v>
      </c>
      <c r="AA102" s="624"/>
      <c r="AB102" s="624"/>
      <c r="AC102" s="624"/>
      <c r="AD102" s="625"/>
      <c r="AE102" s="623">
        <f>Z102+1</f>
        <v>46024</v>
      </c>
      <c r="AF102" s="624"/>
      <c r="AG102" s="624"/>
      <c r="AH102" s="624"/>
      <c r="AI102" s="625"/>
      <c r="AJ102" s="623">
        <f>AE102+1</f>
        <v>46025</v>
      </c>
      <c r="AK102" s="624"/>
      <c r="AL102" s="624"/>
      <c r="AM102" s="624"/>
      <c r="AN102" s="625"/>
      <c r="AO102" s="623">
        <f>AJ102+1</f>
        <v>46026</v>
      </c>
      <c r="AP102" s="624"/>
      <c r="AQ102" s="624"/>
      <c r="AR102" s="624"/>
      <c r="AS102" s="625"/>
      <c r="AT102" s="623">
        <f>AO102+1</f>
        <v>46027</v>
      </c>
      <c r="AU102" s="624"/>
      <c r="AV102" s="624"/>
      <c r="AW102" s="624"/>
      <c r="AX102" s="625"/>
    </row>
    <row r="103" spans="2:50" ht="15.5">
      <c r="B103" s="634"/>
      <c r="C103" s="634"/>
      <c r="D103" s="634"/>
      <c r="E103" s="634"/>
      <c r="F103" s="634"/>
      <c r="G103" s="634"/>
      <c r="H103" s="634"/>
      <c r="I103" s="206"/>
      <c r="J103" s="206"/>
      <c r="K103" s="206"/>
      <c r="L103" s="206"/>
      <c r="M103" s="207"/>
      <c r="N103" s="622"/>
      <c r="O103" s="622"/>
      <c r="P103" s="626" t="s">
        <v>158</v>
      </c>
      <c r="Q103" s="627"/>
      <c r="R103" s="627"/>
      <c r="S103" s="627"/>
      <c r="T103" s="627"/>
      <c r="U103" s="626" t="s">
        <v>114</v>
      </c>
      <c r="V103" s="627"/>
      <c r="W103" s="627"/>
      <c r="X103" s="627"/>
      <c r="Y103" s="627"/>
      <c r="Z103" s="626" t="s">
        <v>159</v>
      </c>
      <c r="AA103" s="627"/>
      <c r="AB103" s="627"/>
      <c r="AC103" s="627"/>
      <c r="AD103" s="627"/>
      <c r="AE103" s="626" t="s">
        <v>157</v>
      </c>
      <c r="AF103" s="627"/>
      <c r="AG103" s="627"/>
      <c r="AH103" s="627"/>
      <c r="AI103" s="627"/>
      <c r="AJ103" s="626" t="s">
        <v>160</v>
      </c>
      <c r="AK103" s="627"/>
      <c r="AL103" s="627"/>
      <c r="AM103" s="627"/>
      <c r="AN103" s="627"/>
      <c r="AO103" s="626" t="s">
        <v>115</v>
      </c>
      <c r="AP103" s="627"/>
      <c r="AQ103" s="627"/>
      <c r="AR103" s="627"/>
      <c r="AS103" s="627"/>
      <c r="AT103" s="626" t="s">
        <v>162</v>
      </c>
      <c r="AU103" s="627"/>
      <c r="AV103" s="627"/>
      <c r="AW103" s="627"/>
      <c r="AX103" s="627"/>
    </row>
    <row r="104" spans="2:50">
      <c r="B104" s="619" t="s">
        <v>154</v>
      </c>
      <c r="C104" s="619" t="s">
        <v>453</v>
      </c>
      <c r="D104" s="619"/>
      <c r="E104" s="619" t="s">
        <v>444</v>
      </c>
      <c r="F104" s="619"/>
      <c r="G104" s="619"/>
      <c r="H104" s="635" t="s">
        <v>440</v>
      </c>
      <c r="I104" s="603" t="s">
        <v>445</v>
      </c>
      <c r="J104" s="603"/>
      <c r="K104" s="603"/>
      <c r="L104" s="604" t="s">
        <v>440</v>
      </c>
      <c r="M104" s="610" t="s">
        <v>441</v>
      </c>
      <c r="N104" s="619"/>
      <c r="O104" s="619" t="s">
        <v>446</v>
      </c>
      <c r="P104" s="616" t="s">
        <v>442</v>
      </c>
      <c r="Q104" s="617"/>
      <c r="R104" s="617"/>
      <c r="S104" s="618"/>
      <c r="T104" s="619" t="s">
        <v>440</v>
      </c>
      <c r="U104" s="616" t="s">
        <v>442</v>
      </c>
      <c r="V104" s="617"/>
      <c r="W104" s="617"/>
      <c r="X104" s="618"/>
      <c r="Y104" s="619" t="s">
        <v>440</v>
      </c>
      <c r="Z104" s="616" t="s">
        <v>442</v>
      </c>
      <c r="AA104" s="617"/>
      <c r="AB104" s="617"/>
      <c r="AC104" s="618"/>
      <c r="AD104" s="619" t="s">
        <v>440</v>
      </c>
      <c r="AE104" s="616" t="s">
        <v>442</v>
      </c>
      <c r="AF104" s="617"/>
      <c r="AG104" s="617"/>
      <c r="AH104" s="618"/>
      <c r="AI104" s="619" t="s">
        <v>440</v>
      </c>
      <c r="AJ104" s="616" t="s">
        <v>442</v>
      </c>
      <c r="AK104" s="617"/>
      <c r="AL104" s="617"/>
      <c r="AM104" s="618"/>
      <c r="AN104" s="619" t="s">
        <v>440</v>
      </c>
      <c r="AO104" s="616" t="s">
        <v>442</v>
      </c>
      <c r="AP104" s="617"/>
      <c r="AQ104" s="617"/>
      <c r="AR104" s="618"/>
      <c r="AS104" s="619" t="s">
        <v>440</v>
      </c>
      <c r="AT104" s="616" t="s">
        <v>442</v>
      </c>
      <c r="AU104" s="617"/>
      <c r="AV104" s="617"/>
      <c r="AW104" s="618"/>
      <c r="AX104" s="619" t="s">
        <v>440</v>
      </c>
    </row>
    <row r="105" spans="2:50">
      <c r="B105" s="619"/>
      <c r="C105" s="619"/>
      <c r="D105" s="619"/>
      <c r="E105" s="619" t="s">
        <v>447</v>
      </c>
      <c r="F105" s="619"/>
      <c r="G105" s="619"/>
      <c r="H105" s="636"/>
      <c r="I105" s="603" t="s">
        <v>447</v>
      </c>
      <c r="J105" s="603"/>
      <c r="K105" s="603"/>
      <c r="L105" s="605"/>
      <c r="M105" s="611"/>
      <c r="N105" s="619"/>
      <c r="O105" s="619"/>
      <c r="P105" s="616" t="s">
        <v>448</v>
      </c>
      <c r="Q105" s="617"/>
      <c r="R105" s="617"/>
      <c r="S105" s="618"/>
      <c r="T105" s="619"/>
      <c r="U105" s="616" t="s">
        <v>448</v>
      </c>
      <c r="V105" s="617"/>
      <c r="W105" s="617"/>
      <c r="X105" s="618"/>
      <c r="Y105" s="619"/>
      <c r="Z105" s="616" t="s">
        <v>448</v>
      </c>
      <c r="AA105" s="617"/>
      <c r="AB105" s="617"/>
      <c r="AC105" s="618"/>
      <c r="AD105" s="619"/>
      <c r="AE105" s="616" t="s">
        <v>448</v>
      </c>
      <c r="AF105" s="617"/>
      <c r="AG105" s="617"/>
      <c r="AH105" s="618"/>
      <c r="AI105" s="619"/>
      <c r="AJ105" s="616" t="s">
        <v>448</v>
      </c>
      <c r="AK105" s="617"/>
      <c r="AL105" s="617"/>
      <c r="AM105" s="618"/>
      <c r="AN105" s="619"/>
      <c r="AO105" s="616" t="s">
        <v>448</v>
      </c>
      <c r="AP105" s="617"/>
      <c r="AQ105" s="617"/>
      <c r="AR105" s="618"/>
      <c r="AS105" s="619"/>
      <c r="AT105" s="616" t="s">
        <v>448</v>
      </c>
      <c r="AU105" s="617"/>
      <c r="AV105" s="617"/>
      <c r="AW105" s="618"/>
      <c r="AX105" s="619"/>
    </row>
    <row r="106" spans="2:50">
      <c r="B106" s="619"/>
      <c r="C106" s="619"/>
      <c r="D106" s="619"/>
      <c r="E106" s="357" t="s">
        <v>449</v>
      </c>
      <c r="F106" s="357" t="s">
        <v>450</v>
      </c>
      <c r="G106" s="357" t="s">
        <v>451</v>
      </c>
      <c r="H106" s="637"/>
      <c r="I106" s="358" t="s">
        <v>449</v>
      </c>
      <c r="J106" s="358" t="s">
        <v>450</v>
      </c>
      <c r="K106" s="358" t="s">
        <v>451</v>
      </c>
      <c r="L106" s="606"/>
      <c r="M106" s="612"/>
      <c r="N106" s="619"/>
      <c r="O106" s="619"/>
      <c r="P106" s="357" t="s">
        <v>449</v>
      </c>
      <c r="Q106" s="357" t="s">
        <v>450</v>
      </c>
      <c r="R106" s="357" t="s">
        <v>451</v>
      </c>
      <c r="S106" s="357" t="s">
        <v>441</v>
      </c>
      <c r="T106" s="619"/>
      <c r="U106" s="357" t="s">
        <v>449</v>
      </c>
      <c r="V106" s="357" t="s">
        <v>450</v>
      </c>
      <c r="W106" s="357" t="s">
        <v>451</v>
      </c>
      <c r="X106" s="357" t="s">
        <v>441</v>
      </c>
      <c r="Y106" s="619"/>
      <c r="Z106" s="357" t="s">
        <v>449</v>
      </c>
      <c r="AA106" s="357" t="s">
        <v>450</v>
      </c>
      <c r="AB106" s="357" t="s">
        <v>451</v>
      </c>
      <c r="AC106" s="357" t="s">
        <v>441</v>
      </c>
      <c r="AD106" s="619"/>
      <c r="AE106" s="357" t="s">
        <v>449</v>
      </c>
      <c r="AF106" s="357" t="s">
        <v>450</v>
      </c>
      <c r="AG106" s="357" t="s">
        <v>451</v>
      </c>
      <c r="AH106" s="357" t="s">
        <v>441</v>
      </c>
      <c r="AI106" s="619"/>
      <c r="AJ106" s="357" t="s">
        <v>449</v>
      </c>
      <c r="AK106" s="357" t="s">
        <v>450</v>
      </c>
      <c r="AL106" s="357" t="s">
        <v>451</v>
      </c>
      <c r="AM106" s="357" t="s">
        <v>441</v>
      </c>
      <c r="AN106" s="619"/>
      <c r="AO106" s="357" t="s">
        <v>449</v>
      </c>
      <c r="AP106" s="357" t="s">
        <v>450</v>
      </c>
      <c r="AQ106" s="357" t="s">
        <v>451</v>
      </c>
      <c r="AR106" s="357" t="s">
        <v>441</v>
      </c>
      <c r="AS106" s="619"/>
      <c r="AT106" s="357" t="s">
        <v>449</v>
      </c>
      <c r="AU106" s="357" t="s">
        <v>450</v>
      </c>
      <c r="AV106" s="357" t="s">
        <v>451</v>
      </c>
      <c r="AW106" s="357" t="s">
        <v>441</v>
      </c>
      <c r="AX106" s="619"/>
    </row>
    <row r="107" spans="2:50">
      <c r="B107" s="619" t="s">
        <v>138</v>
      </c>
      <c r="C107" s="356">
        <v>1</v>
      </c>
      <c r="D107" s="228"/>
      <c r="E107" s="183"/>
      <c r="F107" s="356"/>
      <c r="G107" s="359"/>
      <c r="H107" s="661" t="e">
        <f>AVERAGE(G107:G121)</f>
        <v>#DIV/0!</v>
      </c>
      <c r="I107" s="200" t="e">
        <f>AVERAGE(P107,U107,Z107,AE107,AJ107,AO107,AT107)</f>
        <v>#DIV/0!</v>
      </c>
      <c r="J107" s="200" t="e">
        <f>AVERAGE(Q107,V107,AA107,AF107,AK107,AP107,AU107)</f>
        <v>#DIV/0!</v>
      </c>
      <c r="K107" s="201" t="e">
        <f>AVERAGE(R107,W107,AB107,AG107,AL107,AQ107,AV107)</f>
        <v>#DIV/0!</v>
      </c>
      <c r="L107" s="600" t="str">
        <f>IFERROR(AVERAGE(K107:K121),"-")</f>
        <v>-</v>
      </c>
      <c r="M107" s="367" t="e">
        <f>RANK(K107, K$107:$K$121)</f>
        <v>#DIV/0!</v>
      </c>
      <c r="N107" s="619"/>
      <c r="O107" s="619"/>
      <c r="P107" s="183"/>
      <c r="Q107" s="183"/>
      <c r="R107" s="359"/>
      <c r="S107" s="356" t="e">
        <f>RANK(R107, R$107:R$121)</f>
        <v>#N/A</v>
      </c>
      <c r="T107" s="628" t="e">
        <f>AVERAGE(R107:R121)</f>
        <v>#DIV/0!</v>
      </c>
      <c r="U107" s="183"/>
      <c r="V107" s="183"/>
      <c r="W107" s="377"/>
      <c r="X107" s="370" t="e">
        <f>RANK(W107, W$107:W$121)</f>
        <v>#N/A</v>
      </c>
      <c r="Y107" s="628" t="e">
        <f>AVERAGE(W107:W121)</f>
        <v>#DIV/0!</v>
      </c>
      <c r="Z107" s="183"/>
      <c r="AA107" s="183"/>
      <c r="AB107" s="377"/>
      <c r="AC107" s="370" t="e">
        <f>RANK(AB107, AB$107:AB$121)</f>
        <v>#N/A</v>
      </c>
      <c r="AD107" s="628" t="e">
        <f>AVERAGE(AB107:AB121)</f>
        <v>#DIV/0!</v>
      </c>
      <c r="AE107" s="183"/>
      <c r="AF107" s="183"/>
      <c r="AG107" s="377"/>
      <c r="AH107" s="370" t="e">
        <f>RANK(AG107, AG$107:AG$121)</f>
        <v>#N/A</v>
      </c>
      <c r="AI107" s="628" t="e">
        <f>AVERAGE(AG107:AG121)</f>
        <v>#DIV/0!</v>
      </c>
      <c r="AJ107" s="183"/>
      <c r="AK107" s="183"/>
      <c r="AL107" s="377"/>
      <c r="AM107" s="370" t="e">
        <f>RANK(AL107, AL$107:AL$121)</f>
        <v>#N/A</v>
      </c>
      <c r="AN107" s="628" t="e">
        <f>AVERAGE(AL107:AL121)</f>
        <v>#DIV/0!</v>
      </c>
      <c r="AO107" s="183"/>
      <c r="AP107" s="183"/>
      <c r="AQ107" s="377"/>
      <c r="AR107" s="370" t="e">
        <f>RANK(AQ107, AQ$107:AQ$121)</f>
        <v>#N/A</v>
      </c>
      <c r="AS107" s="628" t="e">
        <f>AVERAGE(AQ107:AQ121)</f>
        <v>#DIV/0!</v>
      </c>
      <c r="AT107" s="183"/>
      <c r="AU107" s="183"/>
      <c r="AV107" s="377"/>
      <c r="AW107" s="370" t="e">
        <f>RANK(AV107, AV$107:AV$121)</f>
        <v>#N/A</v>
      </c>
      <c r="AX107" s="628" t="e">
        <f>AVERAGE(AV107:AV121)</f>
        <v>#DIV/0!</v>
      </c>
    </row>
    <row r="108" spans="2:50">
      <c r="B108" s="627"/>
      <c r="C108" s="356">
        <v>2</v>
      </c>
      <c r="D108" s="228"/>
      <c r="E108" s="183"/>
      <c r="F108" s="356"/>
      <c r="G108" s="359"/>
      <c r="H108" s="662"/>
      <c r="I108" s="200" t="e">
        <f t="shared" ref="I108:I112" si="161">AVERAGE(P108,U108,Z108,AE108,AJ108,AO108,AT108)</f>
        <v>#DIV/0!</v>
      </c>
      <c r="J108" s="200" t="e">
        <f t="shared" ref="J108:J112" si="162">AVERAGE(Q108,V108,AA108,AF108,AK108,AP108,AU108)</f>
        <v>#DIV/0!</v>
      </c>
      <c r="K108" s="201" t="e">
        <f t="shared" ref="K108:K112" si="163">AVERAGE(R108,W108,AB108,AG108,AL108,AQ108,AV108)</f>
        <v>#DIV/0!</v>
      </c>
      <c r="L108" s="601"/>
      <c r="M108" s="367" t="e">
        <f>RANK(K108, K$107:$K$121)</f>
        <v>#DIV/0!</v>
      </c>
      <c r="N108" s="619"/>
      <c r="O108" s="619"/>
      <c r="P108" s="356"/>
      <c r="Q108" s="183"/>
      <c r="R108" s="359"/>
      <c r="S108" s="366" t="e">
        <f t="shared" ref="S108:S121" si="164">RANK(R108, R$107:R$121)</f>
        <v>#N/A</v>
      </c>
      <c r="T108" s="629"/>
      <c r="U108" s="376"/>
      <c r="V108" s="183"/>
      <c r="W108" s="377"/>
      <c r="X108" s="370" t="e">
        <f t="shared" ref="X108:X113" si="165">RANK(W108, W$107:W$121)</f>
        <v>#N/A</v>
      </c>
      <c r="Y108" s="629"/>
      <c r="Z108" s="376"/>
      <c r="AA108" s="183"/>
      <c r="AB108" s="377"/>
      <c r="AC108" s="370" t="e">
        <f t="shared" ref="AC108:AC113" si="166">RANK(AB108, AB$107:AB$121)</f>
        <v>#N/A</v>
      </c>
      <c r="AD108" s="629"/>
      <c r="AE108" s="376"/>
      <c r="AF108" s="183"/>
      <c r="AG108" s="377"/>
      <c r="AH108" s="370" t="e">
        <f t="shared" ref="AH108:AH113" si="167">RANK(AG108, AG$107:AG$121)</f>
        <v>#N/A</v>
      </c>
      <c r="AI108" s="629"/>
      <c r="AJ108" s="376"/>
      <c r="AK108" s="183"/>
      <c r="AL108" s="377"/>
      <c r="AM108" s="370" t="e">
        <f t="shared" ref="AM108:AM113" si="168">RANK(AL108, AL$107:AL$121)</f>
        <v>#N/A</v>
      </c>
      <c r="AN108" s="629"/>
      <c r="AO108" s="376"/>
      <c r="AP108" s="183"/>
      <c r="AQ108" s="377"/>
      <c r="AR108" s="370" t="e">
        <f t="shared" ref="AR108:AR113" si="169">RANK(AQ108, AQ$107:AQ$121)</f>
        <v>#N/A</v>
      </c>
      <c r="AS108" s="629"/>
      <c r="AT108" s="376"/>
      <c r="AU108" s="183"/>
      <c r="AV108" s="377"/>
      <c r="AW108" s="370" t="e">
        <f t="shared" ref="AW108:AW113" si="170">RANK(AV108, AV$107:AV$121)</f>
        <v>#N/A</v>
      </c>
      <c r="AX108" s="629"/>
    </row>
    <row r="109" spans="2:50">
      <c r="B109" s="627"/>
      <c r="C109" s="356">
        <v>3</v>
      </c>
      <c r="D109" s="228"/>
      <c r="E109" s="183"/>
      <c r="F109" s="356"/>
      <c r="G109" s="359"/>
      <c r="H109" s="662"/>
      <c r="I109" s="200" t="e">
        <f t="shared" si="161"/>
        <v>#DIV/0!</v>
      </c>
      <c r="J109" s="200" t="e">
        <f t="shared" si="162"/>
        <v>#DIV/0!</v>
      </c>
      <c r="K109" s="201" t="e">
        <f t="shared" si="163"/>
        <v>#DIV/0!</v>
      </c>
      <c r="L109" s="601"/>
      <c r="M109" s="367" t="e">
        <f>RANK(K109, K$107:$K$121)</f>
        <v>#DIV/0!</v>
      </c>
      <c r="N109" s="619"/>
      <c r="O109" s="619"/>
      <c r="P109" s="356"/>
      <c r="Q109" s="183"/>
      <c r="R109" s="359"/>
      <c r="S109" s="366" t="e">
        <f t="shared" si="164"/>
        <v>#N/A</v>
      </c>
      <c r="T109" s="629"/>
      <c r="U109" s="376"/>
      <c r="V109" s="183"/>
      <c r="W109" s="377"/>
      <c r="X109" s="370" t="e">
        <f t="shared" si="165"/>
        <v>#N/A</v>
      </c>
      <c r="Y109" s="629"/>
      <c r="Z109" s="376"/>
      <c r="AA109" s="183"/>
      <c r="AB109" s="377"/>
      <c r="AC109" s="370" t="e">
        <f t="shared" si="166"/>
        <v>#N/A</v>
      </c>
      <c r="AD109" s="629"/>
      <c r="AE109" s="376"/>
      <c r="AF109" s="183"/>
      <c r="AG109" s="377"/>
      <c r="AH109" s="370" t="e">
        <f t="shared" si="167"/>
        <v>#N/A</v>
      </c>
      <c r="AI109" s="629"/>
      <c r="AJ109" s="376"/>
      <c r="AK109" s="183"/>
      <c r="AL109" s="377"/>
      <c r="AM109" s="370" t="e">
        <f t="shared" si="168"/>
        <v>#N/A</v>
      </c>
      <c r="AN109" s="629"/>
      <c r="AO109" s="376"/>
      <c r="AP109" s="183"/>
      <c r="AQ109" s="377"/>
      <c r="AR109" s="370" t="e">
        <f t="shared" si="169"/>
        <v>#N/A</v>
      </c>
      <c r="AS109" s="629"/>
      <c r="AT109" s="376"/>
      <c r="AU109" s="183"/>
      <c r="AV109" s="377"/>
      <c r="AW109" s="370" t="e">
        <f t="shared" si="170"/>
        <v>#N/A</v>
      </c>
      <c r="AX109" s="629"/>
    </row>
    <row r="110" spans="2:50">
      <c r="B110" s="627"/>
      <c r="C110" s="356">
        <v>4</v>
      </c>
      <c r="D110" s="228"/>
      <c r="E110" s="183"/>
      <c r="F110" s="356"/>
      <c r="G110" s="359"/>
      <c r="H110" s="662"/>
      <c r="I110" s="200" t="e">
        <f t="shared" si="161"/>
        <v>#DIV/0!</v>
      </c>
      <c r="J110" s="200" t="e">
        <f t="shared" si="162"/>
        <v>#DIV/0!</v>
      </c>
      <c r="K110" s="201" t="e">
        <f t="shared" si="163"/>
        <v>#DIV/0!</v>
      </c>
      <c r="L110" s="601"/>
      <c r="M110" s="367" t="e">
        <f>RANK(K110, K$107:$K$121)</f>
        <v>#DIV/0!</v>
      </c>
      <c r="N110" s="619"/>
      <c r="O110" s="619"/>
      <c r="P110" s="356"/>
      <c r="Q110" s="183"/>
      <c r="R110" s="359"/>
      <c r="S110" s="366" t="e">
        <f t="shared" si="164"/>
        <v>#N/A</v>
      </c>
      <c r="T110" s="629"/>
      <c r="U110" s="376"/>
      <c r="V110" s="183"/>
      <c r="W110" s="377"/>
      <c r="X110" s="370" t="e">
        <f t="shared" si="165"/>
        <v>#N/A</v>
      </c>
      <c r="Y110" s="629"/>
      <c r="Z110" s="376"/>
      <c r="AA110" s="183"/>
      <c r="AB110" s="377"/>
      <c r="AC110" s="370" t="e">
        <f t="shared" si="166"/>
        <v>#N/A</v>
      </c>
      <c r="AD110" s="629"/>
      <c r="AE110" s="376"/>
      <c r="AF110" s="183"/>
      <c r="AG110" s="377"/>
      <c r="AH110" s="370" t="e">
        <f t="shared" si="167"/>
        <v>#N/A</v>
      </c>
      <c r="AI110" s="629"/>
      <c r="AJ110" s="376"/>
      <c r="AK110" s="183"/>
      <c r="AL110" s="377"/>
      <c r="AM110" s="370" t="e">
        <f t="shared" si="168"/>
        <v>#N/A</v>
      </c>
      <c r="AN110" s="629"/>
      <c r="AO110" s="376"/>
      <c r="AP110" s="183"/>
      <c r="AQ110" s="377"/>
      <c r="AR110" s="370" t="e">
        <f t="shared" si="169"/>
        <v>#N/A</v>
      </c>
      <c r="AS110" s="629"/>
      <c r="AT110" s="376"/>
      <c r="AU110" s="183"/>
      <c r="AV110" s="377"/>
      <c r="AW110" s="370" t="e">
        <f t="shared" si="170"/>
        <v>#N/A</v>
      </c>
      <c r="AX110" s="629"/>
    </row>
    <row r="111" spans="2:50">
      <c r="B111" s="627"/>
      <c r="C111" s="356">
        <v>5</v>
      </c>
      <c r="D111" s="228"/>
      <c r="E111" s="183"/>
      <c r="F111" s="356"/>
      <c r="G111" s="359"/>
      <c r="H111" s="662"/>
      <c r="I111" s="200" t="e">
        <f t="shared" si="161"/>
        <v>#DIV/0!</v>
      </c>
      <c r="J111" s="200" t="e">
        <f t="shared" si="162"/>
        <v>#DIV/0!</v>
      </c>
      <c r="K111" s="201" t="e">
        <f t="shared" si="163"/>
        <v>#DIV/0!</v>
      </c>
      <c r="L111" s="601"/>
      <c r="M111" s="367" t="e">
        <f>RANK(K111, K$107:$K$121)</f>
        <v>#DIV/0!</v>
      </c>
      <c r="N111" s="619"/>
      <c r="O111" s="619"/>
      <c r="P111" s="356"/>
      <c r="Q111" s="183"/>
      <c r="R111" s="359"/>
      <c r="S111" s="366" t="e">
        <f t="shared" si="164"/>
        <v>#N/A</v>
      </c>
      <c r="T111" s="629"/>
      <c r="U111" s="376"/>
      <c r="V111" s="183"/>
      <c r="W111" s="377"/>
      <c r="X111" s="370" t="e">
        <f t="shared" si="165"/>
        <v>#N/A</v>
      </c>
      <c r="Y111" s="629"/>
      <c r="Z111" s="376"/>
      <c r="AA111" s="183"/>
      <c r="AB111" s="377"/>
      <c r="AC111" s="370" t="e">
        <f t="shared" si="166"/>
        <v>#N/A</v>
      </c>
      <c r="AD111" s="629"/>
      <c r="AE111" s="376"/>
      <c r="AF111" s="183"/>
      <c r="AG111" s="377"/>
      <c r="AH111" s="370" t="e">
        <f t="shared" si="167"/>
        <v>#N/A</v>
      </c>
      <c r="AI111" s="629"/>
      <c r="AJ111" s="376"/>
      <c r="AK111" s="183"/>
      <c r="AL111" s="377"/>
      <c r="AM111" s="370" t="e">
        <f t="shared" si="168"/>
        <v>#N/A</v>
      </c>
      <c r="AN111" s="629"/>
      <c r="AO111" s="376"/>
      <c r="AP111" s="183"/>
      <c r="AQ111" s="377"/>
      <c r="AR111" s="370" t="e">
        <f t="shared" si="169"/>
        <v>#N/A</v>
      </c>
      <c r="AS111" s="629"/>
      <c r="AT111" s="376"/>
      <c r="AU111" s="183"/>
      <c r="AV111" s="377"/>
      <c r="AW111" s="370" t="e">
        <f t="shared" si="170"/>
        <v>#N/A</v>
      </c>
      <c r="AX111" s="629"/>
    </row>
    <row r="112" spans="2:50">
      <c r="B112" s="627"/>
      <c r="C112" s="356">
        <v>6</v>
      </c>
      <c r="D112" s="228"/>
      <c r="E112" s="183"/>
      <c r="F112" s="356"/>
      <c r="G112" s="359"/>
      <c r="H112" s="662"/>
      <c r="I112" s="200" t="e">
        <f t="shared" si="161"/>
        <v>#DIV/0!</v>
      </c>
      <c r="J112" s="200" t="e">
        <f t="shared" si="162"/>
        <v>#DIV/0!</v>
      </c>
      <c r="K112" s="201" t="e">
        <f t="shared" si="163"/>
        <v>#DIV/0!</v>
      </c>
      <c r="L112" s="601"/>
      <c r="M112" s="367" t="e">
        <f>RANK(K112, K$107:$K$121)</f>
        <v>#DIV/0!</v>
      </c>
      <c r="N112" s="619"/>
      <c r="O112" s="619"/>
      <c r="P112" s="356"/>
      <c r="Q112" s="183"/>
      <c r="R112" s="359"/>
      <c r="S112" s="366" t="e">
        <f t="shared" si="164"/>
        <v>#N/A</v>
      </c>
      <c r="T112" s="629"/>
      <c r="U112" s="376"/>
      <c r="V112" s="183"/>
      <c r="W112" s="377"/>
      <c r="X112" s="370" t="e">
        <f t="shared" si="165"/>
        <v>#N/A</v>
      </c>
      <c r="Y112" s="629"/>
      <c r="Z112" s="376"/>
      <c r="AA112" s="183"/>
      <c r="AB112" s="377"/>
      <c r="AC112" s="370" t="e">
        <f t="shared" si="166"/>
        <v>#N/A</v>
      </c>
      <c r="AD112" s="629"/>
      <c r="AE112" s="376"/>
      <c r="AF112" s="183"/>
      <c r="AG112" s="377"/>
      <c r="AH112" s="370" t="e">
        <f t="shared" si="167"/>
        <v>#N/A</v>
      </c>
      <c r="AI112" s="629"/>
      <c r="AJ112" s="376"/>
      <c r="AK112" s="183"/>
      <c r="AL112" s="377"/>
      <c r="AM112" s="370" t="e">
        <f t="shared" si="168"/>
        <v>#N/A</v>
      </c>
      <c r="AN112" s="629"/>
      <c r="AO112" s="376"/>
      <c r="AP112" s="183"/>
      <c r="AQ112" s="377"/>
      <c r="AR112" s="370" t="e">
        <f t="shared" si="169"/>
        <v>#N/A</v>
      </c>
      <c r="AS112" s="629"/>
      <c r="AT112" s="376"/>
      <c r="AU112" s="183"/>
      <c r="AV112" s="377"/>
      <c r="AW112" s="370" t="e">
        <f t="shared" si="170"/>
        <v>#N/A</v>
      </c>
      <c r="AX112" s="629"/>
    </row>
    <row r="113" spans="2:50">
      <c r="B113" s="627"/>
      <c r="C113" s="356">
        <v>7</v>
      </c>
      <c r="D113" s="228"/>
      <c r="E113" s="183"/>
      <c r="F113" s="356"/>
      <c r="G113" s="359"/>
      <c r="H113" s="662"/>
      <c r="I113" s="372" t="e">
        <f t="shared" ref="I113" si="171">AVERAGE(P113,U113,Z113,AE113,AJ113,AO113,AT113)</f>
        <v>#DIV/0!</v>
      </c>
      <c r="J113" s="372" t="e">
        <f t="shared" ref="J113" si="172">AVERAGE(Q113,V113,AA113,AF113,AK113,AP113,AU113)</f>
        <v>#DIV/0!</v>
      </c>
      <c r="K113" s="201" t="e">
        <f t="shared" ref="K113" si="173">AVERAGE(R113,W113,AB113,AG113,AL113,AQ113,AV113)</f>
        <v>#DIV/0!</v>
      </c>
      <c r="L113" s="601"/>
      <c r="M113" s="367" t="e">
        <f>RANK(K113, K$107:$K$121)</f>
        <v>#DIV/0!</v>
      </c>
      <c r="N113" s="619"/>
      <c r="O113" s="619"/>
      <c r="P113" s="356"/>
      <c r="Q113" s="183"/>
      <c r="R113" s="359"/>
      <c r="S113" s="366" t="e">
        <f t="shared" si="164"/>
        <v>#N/A</v>
      </c>
      <c r="T113" s="629"/>
      <c r="U113" s="376"/>
      <c r="V113" s="183"/>
      <c r="W113" s="377"/>
      <c r="X113" s="370" t="e">
        <f t="shared" si="165"/>
        <v>#N/A</v>
      </c>
      <c r="Y113" s="629"/>
      <c r="Z113" s="376"/>
      <c r="AA113" s="183"/>
      <c r="AB113" s="377"/>
      <c r="AC113" s="370" t="e">
        <f t="shared" si="166"/>
        <v>#N/A</v>
      </c>
      <c r="AD113" s="629"/>
      <c r="AE113" s="376"/>
      <c r="AF113" s="183"/>
      <c r="AG113" s="377"/>
      <c r="AH113" s="370" t="e">
        <f t="shared" si="167"/>
        <v>#N/A</v>
      </c>
      <c r="AI113" s="629"/>
      <c r="AJ113" s="376"/>
      <c r="AK113" s="183"/>
      <c r="AL113" s="377"/>
      <c r="AM113" s="370" t="e">
        <f t="shared" si="168"/>
        <v>#N/A</v>
      </c>
      <c r="AN113" s="629"/>
      <c r="AO113" s="376"/>
      <c r="AP113" s="183"/>
      <c r="AQ113" s="377"/>
      <c r="AR113" s="370" t="e">
        <f t="shared" si="169"/>
        <v>#N/A</v>
      </c>
      <c r="AS113" s="629"/>
      <c r="AT113" s="376"/>
      <c r="AU113" s="183"/>
      <c r="AV113" s="377"/>
      <c r="AW113" s="370" t="e">
        <f t="shared" si="170"/>
        <v>#N/A</v>
      </c>
      <c r="AX113" s="629"/>
    </row>
    <row r="114" spans="2:50">
      <c r="B114" s="627"/>
      <c r="C114" s="356">
        <v>8</v>
      </c>
      <c r="D114" s="228"/>
      <c r="E114" s="183"/>
      <c r="F114" s="356"/>
      <c r="G114" s="359"/>
      <c r="H114" s="662"/>
      <c r="I114" s="200"/>
      <c r="J114" s="200"/>
      <c r="K114" s="201"/>
      <c r="L114" s="601"/>
      <c r="M114" s="367" t="e">
        <f>RANK(K114, K$107:$K$121)</f>
        <v>#DIV/0!</v>
      </c>
      <c r="N114" s="619"/>
      <c r="O114" s="619"/>
      <c r="P114" s="356"/>
      <c r="Q114" s="183"/>
      <c r="R114" s="359"/>
      <c r="S114" s="366" t="e">
        <f t="shared" si="164"/>
        <v>#N/A</v>
      </c>
      <c r="T114" s="629"/>
      <c r="U114" s="376"/>
      <c r="V114" s="183"/>
      <c r="W114" s="377"/>
      <c r="X114" s="366" t="e">
        <f t="shared" ref="X114:X121" si="174">RANK(W114, W$107:W$121)</f>
        <v>#N/A</v>
      </c>
      <c r="Y114" s="629"/>
      <c r="Z114" s="376"/>
      <c r="AA114" s="183"/>
      <c r="AB114" s="377"/>
      <c r="AC114" s="366" t="e">
        <f t="shared" ref="AC114:AC121" si="175">RANK(AB114, AB$107:AB$121)</f>
        <v>#N/A</v>
      </c>
      <c r="AD114" s="629"/>
      <c r="AE114" s="376"/>
      <c r="AF114" s="183"/>
      <c r="AG114" s="377"/>
      <c r="AH114" s="366" t="e">
        <f t="shared" ref="AH114:AH121" si="176">RANK(AG114, AG$107:AG$121)</f>
        <v>#N/A</v>
      </c>
      <c r="AI114" s="629"/>
      <c r="AJ114" s="376"/>
      <c r="AK114" s="183"/>
      <c r="AL114" s="377"/>
      <c r="AM114" s="366" t="e">
        <f t="shared" ref="AM114:AM121" si="177">RANK(AL114, AL$107:AL$121)</f>
        <v>#N/A</v>
      </c>
      <c r="AN114" s="629"/>
      <c r="AO114" s="376"/>
      <c r="AP114" s="183"/>
      <c r="AQ114" s="377"/>
      <c r="AR114" s="366" t="e">
        <f t="shared" ref="AR114:AR121" si="178">RANK(AQ114, AQ$107:AQ$121)</f>
        <v>#N/A</v>
      </c>
      <c r="AS114" s="629"/>
      <c r="AT114" s="376"/>
      <c r="AU114" s="183"/>
      <c r="AV114" s="377"/>
      <c r="AW114" s="366" t="e">
        <f t="shared" ref="AW114:AW121" si="179">RANK(AV114, AV$107:AV$121)</f>
        <v>#N/A</v>
      </c>
      <c r="AX114" s="629"/>
    </row>
    <row r="115" spans="2:50">
      <c r="B115" s="627"/>
      <c r="C115" s="356">
        <v>9</v>
      </c>
      <c r="D115" s="228"/>
      <c r="E115" s="183"/>
      <c r="F115" s="356"/>
      <c r="G115" s="359"/>
      <c r="H115" s="662"/>
      <c r="I115" s="200"/>
      <c r="J115" s="200"/>
      <c r="K115" s="201"/>
      <c r="L115" s="601"/>
      <c r="M115" s="367" t="e">
        <f>RANK(K115, K$107:$K$121)</f>
        <v>#DIV/0!</v>
      </c>
      <c r="N115" s="619"/>
      <c r="O115" s="619"/>
      <c r="P115" s="356"/>
      <c r="Q115" s="183"/>
      <c r="R115" s="359"/>
      <c r="S115" s="366" t="e">
        <f t="shared" si="164"/>
        <v>#N/A</v>
      </c>
      <c r="T115" s="629"/>
      <c r="U115" s="376"/>
      <c r="V115" s="183"/>
      <c r="W115" s="377"/>
      <c r="X115" s="366" t="e">
        <f t="shared" si="174"/>
        <v>#N/A</v>
      </c>
      <c r="Y115" s="629"/>
      <c r="Z115" s="376"/>
      <c r="AA115" s="183"/>
      <c r="AB115" s="377"/>
      <c r="AC115" s="366" t="e">
        <f t="shared" si="175"/>
        <v>#N/A</v>
      </c>
      <c r="AD115" s="629"/>
      <c r="AE115" s="376"/>
      <c r="AF115" s="183"/>
      <c r="AG115" s="377"/>
      <c r="AH115" s="366" t="e">
        <f t="shared" si="176"/>
        <v>#N/A</v>
      </c>
      <c r="AI115" s="629"/>
      <c r="AJ115" s="376"/>
      <c r="AK115" s="183"/>
      <c r="AL115" s="377"/>
      <c r="AM115" s="366" t="e">
        <f t="shared" si="177"/>
        <v>#N/A</v>
      </c>
      <c r="AN115" s="629"/>
      <c r="AO115" s="376"/>
      <c r="AP115" s="183"/>
      <c r="AQ115" s="377"/>
      <c r="AR115" s="366" t="e">
        <f t="shared" si="178"/>
        <v>#N/A</v>
      </c>
      <c r="AS115" s="629"/>
      <c r="AT115" s="376"/>
      <c r="AU115" s="183"/>
      <c r="AV115" s="377"/>
      <c r="AW115" s="366" t="e">
        <f t="shared" si="179"/>
        <v>#N/A</v>
      </c>
      <c r="AX115" s="629"/>
    </row>
    <row r="116" spans="2:50">
      <c r="B116" s="627"/>
      <c r="C116" s="356">
        <v>10</v>
      </c>
      <c r="D116" s="228"/>
      <c r="E116" s="183"/>
      <c r="F116" s="356"/>
      <c r="G116" s="359"/>
      <c r="H116" s="662"/>
      <c r="I116" s="200"/>
      <c r="J116" s="200"/>
      <c r="K116" s="201"/>
      <c r="L116" s="601"/>
      <c r="M116" s="367" t="e">
        <f>RANK(K116, K$107:$K$121)</f>
        <v>#DIV/0!</v>
      </c>
      <c r="N116" s="619"/>
      <c r="O116" s="619"/>
      <c r="P116" s="356"/>
      <c r="Q116" s="183"/>
      <c r="R116" s="359"/>
      <c r="S116" s="366" t="e">
        <f t="shared" si="164"/>
        <v>#N/A</v>
      </c>
      <c r="T116" s="629"/>
      <c r="U116" s="376"/>
      <c r="V116" s="183"/>
      <c r="W116" s="377"/>
      <c r="X116" s="366" t="e">
        <f t="shared" si="174"/>
        <v>#N/A</v>
      </c>
      <c r="Y116" s="629"/>
      <c r="Z116" s="376"/>
      <c r="AA116" s="183"/>
      <c r="AB116" s="377"/>
      <c r="AC116" s="366" t="e">
        <f t="shared" si="175"/>
        <v>#N/A</v>
      </c>
      <c r="AD116" s="629"/>
      <c r="AE116" s="376"/>
      <c r="AF116" s="183"/>
      <c r="AG116" s="377"/>
      <c r="AH116" s="366" t="e">
        <f t="shared" si="176"/>
        <v>#N/A</v>
      </c>
      <c r="AI116" s="629"/>
      <c r="AJ116" s="376"/>
      <c r="AK116" s="183"/>
      <c r="AL116" s="377"/>
      <c r="AM116" s="366" t="e">
        <f t="shared" si="177"/>
        <v>#N/A</v>
      </c>
      <c r="AN116" s="629"/>
      <c r="AO116" s="376"/>
      <c r="AP116" s="183"/>
      <c r="AQ116" s="377"/>
      <c r="AR116" s="366" t="e">
        <f t="shared" si="178"/>
        <v>#N/A</v>
      </c>
      <c r="AS116" s="629"/>
      <c r="AT116" s="376"/>
      <c r="AU116" s="183"/>
      <c r="AV116" s="377"/>
      <c r="AW116" s="366" t="e">
        <f t="shared" si="179"/>
        <v>#N/A</v>
      </c>
      <c r="AX116" s="629"/>
    </row>
    <row r="117" spans="2:50">
      <c r="B117" s="627"/>
      <c r="C117" s="356">
        <v>11</v>
      </c>
      <c r="D117" s="228"/>
      <c r="E117" s="183"/>
      <c r="F117" s="356"/>
      <c r="G117" s="359"/>
      <c r="H117" s="662"/>
      <c r="I117" s="200"/>
      <c r="J117" s="200"/>
      <c r="K117" s="201"/>
      <c r="L117" s="601"/>
      <c r="M117" s="367" t="e">
        <f>RANK(K117, K$107:$K$121)</f>
        <v>#DIV/0!</v>
      </c>
      <c r="N117" s="619"/>
      <c r="O117" s="619"/>
      <c r="P117" s="356"/>
      <c r="Q117" s="183"/>
      <c r="R117" s="359"/>
      <c r="S117" s="366" t="e">
        <f t="shared" si="164"/>
        <v>#N/A</v>
      </c>
      <c r="T117" s="629"/>
      <c r="U117" s="376"/>
      <c r="V117" s="183"/>
      <c r="W117" s="377"/>
      <c r="X117" s="366" t="e">
        <f t="shared" si="174"/>
        <v>#N/A</v>
      </c>
      <c r="Y117" s="629"/>
      <c r="Z117" s="376"/>
      <c r="AA117" s="183"/>
      <c r="AB117" s="377"/>
      <c r="AC117" s="366" t="e">
        <f t="shared" si="175"/>
        <v>#N/A</v>
      </c>
      <c r="AD117" s="629"/>
      <c r="AE117" s="376"/>
      <c r="AF117" s="183"/>
      <c r="AG117" s="377"/>
      <c r="AH117" s="366" t="e">
        <f t="shared" si="176"/>
        <v>#N/A</v>
      </c>
      <c r="AI117" s="629"/>
      <c r="AJ117" s="376"/>
      <c r="AK117" s="183"/>
      <c r="AL117" s="377"/>
      <c r="AM117" s="366" t="e">
        <f t="shared" si="177"/>
        <v>#N/A</v>
      </c>
      <c r="AN117" s="629"/>
      <c r="AO117" s="376"/>
      <c r="AP117" s="183"/>
      <c r="AQ117" s="377"/>
      <c r="AR117" s="366" t="e">
        <f t="shared" si="178"/>
        <v>#N/A</v>
      </c>
      <c r="AS117" s="629"/>
      <c r="AT117" s="376"/>
      <c r="AU117" s="183"/>
      <c r="AV117" s="377"/>
      <c r="AW117" s="366" t="e">
        <f t="shared" si="179"/>
        <v>#N/A</v>
      </c>
      <c r="AX117" s="629"/>
    </row>
    <row r="118" spans="2:50">
      <c r="B118" s="627"/>
      <c r="C118" s="356">
        <v>12</v>
      </c>
      <c r="D118" s="228"/>
      <c r="E118" s="183"/>
      <c r="F118" s="356"/>
      <c r="G118" s="359"/>
      <c r="H118" s="662"/>
      <c r="I118" s="200"/>
      <c r="J118" s="200"/>
      <c r="K118" s="201"/>
      <c r="L118" s="601"/>
      <c r="M118" s="367" t="e">
        <f>RANK(K118, K$107:$K$121)</f>
        <v>#DIV/0!</v>
      </c>
      <c r="N118" s="619"/>
      <c r="O118" s="619"/>
      <c r="P118" s="356"/>
      <c r="Q118" s="183"/>
      <c r="R118" s="359"/>
      <c r="S118" s="366" t="e">
        <f t="shared" si="164"/>
        <v>#N/A</v>
      </c>
      <c r="T118" s="629"/>
      <c r="U118" s="376"/>
      <c r="V118" s="183"/>
      <c r="W118" s="377"/>
      <c r="X118" s="366" t="e">
        <f t="shared" si="174"/>
        <v>#N/A</v>
      </c>
      <c r="Y118" s="629"/>
      <c r="Z118" s="376"/>
      <c r="AA118" s="183"/>
      <c r="AB118" s="377"/>
      <c r="AC118" s="366" t="e">
        <f t="shared" si="175"/>
        <v>#N/A</v>
      </c>
      <c r="AD118" s="629"/>
      <c r="AE118" s="376"/>
      <c r="AF118" s="183"/>
      <c r="AG118" s="377"/>
      <c r="AH118" s="366" t="e">
        <f t="shared" si="176"/>
        <v>#N/A</v>
      </c>
      <c r="AI118" s="629"/>
      <c r="AJ118" s="376"/>
      <c r="AK118" s="183"/>
      <c r="AL118" s="377"/>
      <c r="AM118" s="366" t="e">
        <f t="shared" si="177"/>
        <v>#N/A</v>
      </c>
      <c r="AN118" s="629"/>
      <c r="AO118" s="376"/>
      <c r="AP118" s="183"/>
      <c r="AQ118" s="377"/>
      <c r="AR118" s="366" t="e">
        <f t="shared" si="178"/>
        <v>#N/A</v>
      </c>
      <c r="AS118" s="629"/>
      <c r="AT118" s="376"/>
      <c r="AU118" s="183"/>
      <c r="AV118" s="377"/>
      <c r="AW118" s="366" t="e">
        <f t="shared" si="179"/>
        <v>#N/A</v>
      </c>
      <c r="AX118" s="629"/>
    </row>
    <row r="119" spans="2:50">
      <c r="B119" s="627"/>
      <c r="C119" s="356">
        <v>13</v>
      </c>
      <c r="D119" s="228"/>
      <c r="E119" s="183"/>
      <c r="F119" s="356"/>
      <c r="G119" s="359"/>
      <c r="H119" s="662"/>
      <c r="I119" s="200"/>
      <c r="J119" s="200"/>
      <c r="K119" s="201"/>
      <c r="L119" s="601"/>
      <c r="M119" s="367" t="e">
        <f>RANK(K119, K$107:$K$121)</f>
        <v>#DIV/0!</v>
      </c>
      <c r="N119" s="619"/>
      <c r="O119" s="619"/>
      <c r="P119" s="356"/>
      <c r="Q119" s="183"/>
      <c r="R119" s="359"/>
      <c r="S119" s="366" t="e">
        <f t="shared" si="164"/>
        <v>#N/A</v>
      </c>
      <c r="T119" s="629"/>
      <c r="U119" s="376"/>
      <c r="V119" s="183"/>
      <c r="W119" s="377"/>
      <c r="X119" s="366" t="e">
        <f t="shared" si="174"/>
        <v>#N/A</v>
      </c>
      <c r="Y119" s="629"/>
      <c r="Z119" s="376"/>
      <c r="AA119" s="183"/>
      <c r="AB119" s="377"/>
      <c r="AC119" s="366" t="e">
        <f t="shared" si="175"/>
        <v>#N/A</v>
      </c>
      <c r="AD119" s="629"/>
      <c r="AE119" s="376"/>
      <c r="AF119" s="183"/>
      <c r="AG119" s="377"/>
      <c r="AH119" s="366" t="e">
        <f t="shared" si="176"/>
        <v>#N/A</v>
      </c>
      <c r="AI119" s="629"/>
      <c r="AJ119" s="376"/>
      <c r="AK119" s="183"/>
      <c r="AL119" s="377"/>
      <c r="AM119" s="366" t="e">
        <f t="shared" si="177"/>
        <v>#N/A</v>
      </c>
      <c r="AN119" s="629"/>
      <c r="AO119" s="376"/>
      <c r="AP119" s="183"/>
      <c r="AQ119" s="377"/>
      <c r="AR119" s="366" t="e">
        <f t="shared" si="178"/>
        <v>#N/A</v>
      </c>
      <c r="AS119" s="629"/>
      <c r="AT119" s="376"/>
      <c r="AU119" s="183"/>
      <c r="AV119" s="377"/>
      <c r="AW119" s="366" t="e">
        <f t="shared" si="179"/>
        <v>#N/A</v>
      </c>
      <c r="AX119" s="629"/>
    </row>
    <row r="120" spans="2:50">
      <c r="B120" s="627"/>
      <c r="C120" s="356">
        <v>14</v>
      </c>
      <c r="D120" s="228"/>
      <c r="E120" s="183"/>
      <c r="F120" s="356"/>
      <c r="G120" s="359"/>
      <c r="H120" s="662"/>
      <c r="I120" s="200"/>
      <c r="J120" s="200"/>
      <c r="K120" s="201"/>
      <c r="L120" s="601"/>
      <c r="M120" s="367" t="e">
        <f>RANK(K120, K$107:$K$121)</f>
        <v>#DIV/0!</v>
      </c>
      <c r="N120" s="619"/>
      <c r="O120" s="619"/>
      <c r="P120" s="356"/>
      <c r="Q120" s="183"/>
      <c r="R120" s="359"/>
      <c r="S120" s="366" t="e">
        <f t="shared" si="164"/>
        <v>#N/A</v>
      </c>
      <c r="T120" s="629"/>
      <c r="U120" s="376"/>
      <c r="V120" s="183"/>
      <c r="W120" s="377"/>
      <c r="X120" s="366" t="e">
        <f t="shared" si="174"/>
        <v>#N/A</v>
      </c>
      <c r="Y120" s="629"/>
      <c r="Z120" s="376"/>
      <c r="AA120" s="183"/>
      <c r="AB120" s="377"/>
      <c r="AC120" s="366" t="e">
        <f t="shared" si="175"/>
        <v>#N/A</v>
      </c>
      <c r="AD120" s="629"/>
      <c r="AE120" s="376"/>
      <c r="AF120" s="183"/>
      <c r="AG120" s="377"/>
      <c r="AH120" s="366" t="e">
        <f t="shared" si="176"/>
        <v>#N/A</v>
      </c>
      <c r="AI120" s="629"/>
      <c r="AJ120" s="376"/>
      <c r="AK120" s="183"/>
      <c r="AL120" s="377"/>
      <c r="AM120" s="366" t="e">
        <f t="shared" si="177"/>
        <v>#N/A</v>
      </c>
      <c r="AN120" s="629"/>
      <c r="AO120" s="376"/>
      <c r="AP120" s="183"/>
      <c r="AQ120" s="377"/>
      <c r="AR120" s="366" t="e">
        <f t="shared" si="178"/>
        <v>#N/A</v>
      </c>
      <c r="AS120" s="629"/>
      <c r="AT120" s="376"/>
      <c r="AU120" s="183"/>
      <c r="AV120" s="377"/>
      <c r="AW120" s="366" t="e">
        <f t="shared" si="179"/>
        <v>#N/A</v>
      </c>
      <c r="AX120" s="629"/>
    </row>
    <row r="121" spans="2:50">
      <c r="B121" s="627"/>
      <c r="C121" s="356">
        <v>15</v>
      </c>
      <c r="D121" s="228"/>
      <c r="E121" s="183"/>
      <c r="F121" s="356"/>
      <c r="G121" s="359"/>
      <c r="H121" s="663"/>
      <c r="I121" s="200"/>
      <c r="J121" s="200"/>
      <c r="K121" s="201"/>
      <c r="L121" s="602"/>
      <c r="M121" s="367" t="e">
        <f>RANK(K121, K$107:$K$121)</f>
        <v>#DIV/0!</v>
      </c>
      <c r="N121" s="619"/>
      <c r="O121" s="619"/>
      <c r="P121" s="356"/>
      <c r="Q121" s="183"/>
      <c r="R121" s="359"/>
      <c r="S121" s="366" t="e">
        <f t="shared" si="164"/>
        <v>#N/A</v>
      </c>
      <c r="T121" s="630"/>
      <c r="U121" s="376"/>
      <c r="V121" s="183"/>
      <c r="W121" s="377"/>
      <c r="X121" s="366" t="e">
        <f t="shared" si="174"/>
        <v>#N/A</v>
      </c>
      <c r="Y121" s="630"/>
      <c r="Z121" s="376"/>
      <c r="AA121" s="183"/>
      <c r="AB121" s="377"/>
      <c r="AC121" s="366" t="e">
        <f t="shared" si="175"/>
        <v>#N/A</v>
      </c>
      <c r="AD121" s="630"/>
      <c r="AE121" s="376"/>
      <c r="AF121" s="183"/>
      <c r="AG121" s="377"/>
      <c r="AH121" s="366" t="e">
        <f t="shared" si="176"/>
        <v>#N/A</v>
      </c>
      <c r="AI121" s="630"/>
      <c r="AJ121" s="376"/>
      <c r="AK121" s="183"/>
      <c r="AL121" s="377"/>
      <c r="AM121" s="366" t="e">
        <f t="shared" si="177"/>
        <v>#N/A</v>
      </c>
      <c r="AN121" s="630"/>
      <c r="AO121" s="376"/>
      <c r="AP121" s="183"/>
      <c r="AQ121" s="377"/>
      <c r="AR121" s="366" t="e">
        <f t="shared" si="178"/>
        <v>#N/A</v>
      </c>
      <c r="AS121" s="630"/>
      <c r="AT121" s="376"/>
      <c r="AU121" s="183"/>
      <c r="AV121" s="377"/>
      <c r="AW121" s="366" t="e">
        <f t="shared" si="179"/>
        <v>#N/A</v>
      </c>
      <c r="AX121" s="630"/>
    </row>
    <row r="123" spans="2:50" ht="15.5">
      <c r="B123" s="652" t="s">
        <v>712</v>
      </c>
      <c r="C123" s="653"/>
      <c r="D123" s="653"/>
      <c r="E123" s="653"/>
      <c r="F123" s="653"/>
      <c r="G123" s="653"/>
      <c r="H123" s="654"/>
      <c r="I123" s="360"/>
      <c r="J123" s="360"/>
      <c r="K123" s="360"/>
      <c r="L123" s="360"/>
      <c r="M123" s="361"/>
    </row>
    <row r="124" spans="2:50" ht="15.5">
      <c r="B124" s="655"/>
      <c r="C124" s="655"/>
      <c r="D124" s="655"/>
      <c r="E124" s="655"/>
      <c r="F124" s="655"/>
      <c r="G124" s="655"/>
      <c r="H124" s="655"/>
      <c r="I124" s="362"/>
      <c r="J124" s="362"/>
      <c r="K124" s="362"/>
      <c r="L124" s="362"/>
      <c r="M124" s="363"/>
    </row>
    <row r="125" spans="2:50">
      <c r="B125" s="619" t="s">
        <v>713</v>
      </c>
      <c r="C125" s="619" t="s">
        <v>714</v>
      </c>
      <c r="D125" s="619"/>
      <c r="E125" s="619" t="s">
        <v>715</v>
      </c>
      <c r="F125" s="619"/>
      <c r="G125" s="619"/>
      <c r="H125" s="635" t="s">
        <v>716</v>
      </c>
      <c r="I125" s="656" t="s">
        <v>717</v>
      </c>
      <c r="J125" s="656"/>
      <c r="K125" s="656"/>
      <c r="L125" s="672" t="s">
        <v>716</v>
      </c>
      <c r="M125" s="675" t="s">
        <v>718</v>
      </c>
    </row>
    <row r="126" spans="2:50">
      <c r="B126" s="619"/>
      <c r="C126" s="619"/>
      <c r="D126" s="619"/>
      <c r="E126" s="619" t="s">
        <v>719</v>
      </c>
      <c r="F126" s="619"/>
      <c r="G126" s="619"/>
      <c r="H126" s="636"/>
      <c r="I126" s="656" t="s">
        <v>719</v>
      </c>
      <c r="J126" s="656"/>
      <c r="K126" s="656"/>
      <c r="L126" s="673"/>
      <c r="M126" s="676"/>
    </row>
    <row r="127" spans="2:50">
      <c r="B127" s="619"/>
      <c r="C127" s="619"/>
      <c r="D127" s="619"/>
      <c r="E127" s="357" t="s">
        <v>720</v>
      </c>
      <c r="F127" s="357" t="s">
        <v>721</v>
      </c>
      <c r="G127" s="357" t="s">
        <v>722</v>
      </c>
      <c r="H127" s="637"/>
      <c r="I127" s="364" t="s">
        <v>720</v>
      </c>
      <c r="J127" s="364" t="s">
        <v>721</v>
      </c>
      <c r="K127" s="364" t="s">
        <v>722</v>
      </c>
      <c r="L127" s="674"/>
      <c r="M127" s="677"/>
    </row>
    <row r="128" spans="2:50">
      <c r="B128" s="619" t="s">
        <v>730</v>
      </c>
      <c r="C128" s="356">
        <v>1</v>
      </c>
      <c r="D128" s="228"/>
      <c r="E128" s="183"/>
      <c r="F128" s="356"/>
      <c r="G128" s="359"/>
      <c r="H128" s="661" t="e">
        <f>AVERAGE(G128:G142)</f>
        <v>#DIV/0!</v>
      </c>
      <c r="I128" s="200" t="e">
        <f t="shared" ref="I128:J133" si="180">AVERAGEIF($D$7:$D$121,$D128,I$7:I$121)</f>
        <v>#DIV/0!</v>
      </c>
      <c r="J128" s="200" t="e">
        <f t="shared" si="180"/>
        <v>#DIV/0!</v>
      </c>
      <c r="K128" s="200" t="e">
        <f t="shared" ref="K128:K133" si="181">AVERAGEIF($D$7:$D$121,$D128,K$7:K$121)</f>
        <v>#DIV/0!</v>
      </c>
      <c r="L128" s="669" t="e">
        <f>AVERAGE(K128:K142)</f>
        <v>#DIV/0!</v>
      </c>
      <c r="M128" s="200" t="e">
        <f>RANK(K128, K$128:$K$142)</f>
        <v>#DIV/0!</v>
      </c>
    </row>
    <row r="129" spans="2:13">
      <c r="B129" s="627"/>
      <c r="C129" s="356">
        <v>2</v>
      </c>
      <c r="D129" s="228"/>
      <c r="E129" s="183"/>
      <c r="F129" s="356"/>
      <c r="G129" s="359"/>
      <c r="H129" s="662"/>
      <c r="I129" s="200" t="e">
        <f t="shared" si="180"/>
        <v>#DIV/0!</v>
      </c>
      <c r="J129" s="200" t="e">
        <f t="shared" si="180"/>
        <v>#DIV/0!</v>
      </c>
      <c r="K129" s="200" t="e">
        <f t="shared" si="181"/>
        <v>#DIV/0!</v>
      </c>
      <c r="L129" s="670"/>
      <c r="M129" s="200" t="e">
        <f>RANK(K129, K$128:$K$142)</f>
        <v>#DIV/0!</v>
      </c>
    </row>
    <row r="130" spans="2:13">
      <c r="B130" s="627"/>
      <c r="C130" s="356">
        <v>3</v>
      </c>
      <c r="D130" s="228"/>
      <c r="E130" s="183"/>
      <c r="F130" s="356"/>
      <c r="G130" s="359"/>
      <c r="H130" s="662"/>
      <c r="I130" s="200" t="e">
        <f t="shared" si="180"/>
        <v>#DIV/0!</v>
      </c>
      <c r="J130" s="200" t="e">
        <f t="shared" si="180"/>
        <v>#DIV/0!</v>
      </c>
      <c r="K130" s="200" t="e">
        <f t="shared" si="181"/>
        <v>#DIV/0!</v>
      </c>
      <c r="L130" s="670"/>
      <c r="M130" s="200" t="e">
        <f>RANK(K130, K$128:$K$142)</f>
        <v>#DIV/0!</v>
      </c>
    </row>
    <row r="131" spans="2:13">
      <c r="B131" s="627"/>
      <c r="C131" s="356">
        <v>4</v>
      </c>
      <c r="D131" s="228"/>
      <c r="E131" s="183"/>
      <c r="F131" s="356"/>
      <c r="G131" s="359"/>
      <c r="H131" s="662"/>
      <c r="I131" s="200" t="e">
        <f t="shared" si="180"/>
        <v>#DIV/0!</v>
      </c>
      <c r="J131" s="200" t="e">
        <f t="shared" si="180"/>
        <v>#DIV/0!</v>
      </c>
      <c r="K131" s="200" t="e">
        <f t="shared" si="181"/>
        <v>#DIV/0!</v>
      </c>
      <c r="L131" s="670"/>
      <c r="M131" s="200" t="e">
        <f>RANK(K131, K$128:$K$142)</f>
        <v>#DIV/0!</v>
      </c>
    </row>
    <row r="132" spans="2:13">
      <c r="B132" s="627"/>
      <c r="C132" s="356">
        <v>5</v>
      </c>
      <c r="D132" s="228"/>
      <c r="E132" s="183"/>
      <c r="F132" s="356"/>
      <c r="G132" s="359"/>
      <c r="H132" s="662"/>
      <c r="I132" s="200" t="e">
        <f t="shared" si="180"/>
        <v>#DIV/0!</v>
      </c>
      <c r="J132" s="200" t="e">
        <f t="shared" si="180"/>
        <v>#DIV/0!</v>
      </c>
      <c r="K132" s="200" t="e">
        <f t="shared" si="181"/>
        <v>#DIV/0!</v>
      </c>
      <c r="L132" s="670"/>
      <c r="M132" s="200" t="e">
        <f>RANK(K132, K$128:$K$142)</f>
        <v>#DIV/0!</v>
      </c>
    </row>
    <row r="133" spans="2:13">
      <c r="B133" s="627"/>
      <c r="C133" s="356">
        <v>6</v>
      </c>
      <c r="D133" s="365"/>
      <c r="E133" s="183"/>
      <c r="F133" s="356"/>
      <c r="G133" s="359"/>
      <c r="H133" s="662"/>
      <c r="I133" s="200" t="e">
        <f t="shared" si="180"/>
        <v>#DIV/0!</v>
      </c>
      <c r="J133" s="200" t="e">
        <f t="shared" si="180"/>
        <v>#DIV/0!</v>
      </c>
      <c r="K133" s="200" t="e">
        <f t="shared" si="181"/>
        <v>#DIV/0!</v>
      </c>
      <c r="L133" s="670"/>
      <c r="M133" s="200" t="e">
        <f>RANK(K133, K$128:$K$142)</f>
        <v>#DIV/0!</v>
      </c>
    </row>
    <row r="134" spans="2:13">
      <c r="B134" s="627"/>
      <c r="C134" s="356">
        <v>7</v>
      </c>
      <c r="D134" s="228"/>
      <c r="E134" s="183"/>
      <c r="F134" s="356"/>
      <c r="G134" s="359"/>
      <c r="H134" s="662"/>
      <c r="I134" s="200"/>
      <c r="J134" s="200"/>
      <c r="K134" s="200"/>
      <c r="L134" s="670"/>
      <c r="M134" s="200" t="e">
        <f>RANK(K134, K$128:$K$142)</f>
        <v>#DIV/0!</v>
      </c>
    </row>
    <row r="135" spans="2:13">
      <c r="B135" s="627"/>
      <c r="C135" s="356">
        <v>8</v>
      </c>
      <c r="D135" s="228"/>
      <c r="E135" s="183"/>
      <c r="F135" s="356"/>
      <c r="G135" s="359"/>
      <c r="H135" s="662"/>
      <c r="I135" s="200"/>
      <c r="J135" s="200"/>
      <c r="K135" s="200"/>
      <c r="L135" s="670"/>
      <c r="M135" s="200" t="e">
        <f>RANK(K135, K$128:$K$142)</f>
        <v>#DIV/0!</v>
      </c>
    </row>
    <row r="136" spans="2:13">
      <c r="B136" s="627"/>
      <c r="C136" s="356">
        <v>9</v>
      </c>
      <c r="D136" s="228"/>
      <c r="E136" s="356"/>
      <c r="F136" s="356"/>
      <c r="G136" s="356"/>
      <c r="H136" s="662"/>
      <c r="I136" s="200"/>
      <c r="J136" s="200"/>
      <c r="K136" s="200"/>
      <c r="L136" s="670"/>
      <c r="M136" s="200" t="e">
        <f>RANK(K136, K$128:$K$142)</f>
        <v>#DIV/0!</v>
      </c>
    </row>
    <row r="137" spans="2:13">
      <c r="B137" s="627"/>
      <c r="C137" s="356">
        <v>10</v>
      </c>
      <c r="D137" s="228"/>
      <c r="E137" s="356"/>
      <c r="F137" s="356"/>
      <c r="G137" s="356"/>
      <c r="H137" s="662"/>
      <c r="I137" s="200"/>
      <c r="J137" s="200"/>
      <c r="K137" s="200"/>
      <c r="L137" s="670"/>
      <c r="M137" s="200" t="e">
        <f>RANK(K137, K$128:$K$142)</f>
        <v>#DIV/0!</v>
      </c>
    </row>
    <row r="138" spans="2:13">
      <c r="B138" s="627"/>
      <c r="C138" s="356">
        <v>11</v>
      </c>
      <c r="D138" s="228"/>
      <c r="E138" s="356"/>
      <c r="F138" s="356"/>
      <c r="G138" s="356"/>
      <c r="H138" s="662"/>
      <c r="I138" s="200"/>
      <c r="J138" s="200"/>
      <c r="K138" s="200"/>
      <c r="L138" s="670"/>
      <c r="M138" s="200" t="e">
        <f>RANK(K138, K$128:$K$142)</f>
        <v>#DIV/0!</v>
      </c>
    </row>
    <row r="139" spans="2:13">
      <c r="B139" s="627"/>
      <c r="C139" s="356">
        <v>12</v>
      </c>
      <c r="D139" s="228"/>
      <c r="E139" s="356"/>
      <c r="F139" s="356"/>
      <c r="G139" s="356"/>
      <c r="H139" s="662"/>
      <c r="I139" s="200"/>
      <c r="J139" s="200"/>
      <c r="K139" s="200"/>
      <c r="L139" s="670"/>
      <c r="M139" s="200" t="e">
        <f>RANK(K139, K$128:$K$142)</f>
        <v>#DIV/0!</v>
      </c>
    </row>
    <row r="140" spans="2:13">
      <c r="B140" s="627"/>
      <c r="C140" s="356">
        <v>13</v>
      </c>
      <c r="D140" s="228"/>
      <c r="E140" s="356"/>
      <c r="F140" s="356"/>
      <c r="G140" s="356"/>
      <c r="H140" s="662"/>
      <c r="I140" s="200"/>
      <c r="J140" s="200"/>
      <c r="K140" s="200"/>
      <c r="L140" s="670"/>
      <c r="M140" s="200" t="e">
        <f>RANK(K140, K$128:$K$142)</f>
        <v>#DIV/0!</v>
      </c>
    </row>
    <row r="141" spans="2:13">
      <c r="B141" s="627"/>
      <c r="C141" s="356">
        <v>14</v>
      </c>
      <c r="D141" s="228"/>
      <c r="E141" s="356"/>
      <c r="F141" s="356"/>
      <c r="G141" s="356"/>
      <c r="H141" s="662"/>
      <c r="I141" s="200"/>
      <c r="J141" s="200"/>
      <c r="K141" s="200"/>
      <c r="L141" s="670"/>
      <c r="M141" s="200" t="e">
        <f>RANK(K141, K$128:$K$142)</f>
        <v>#DIV/0!</v>
      </c>
    </row>
    <row r="142" spans="2:13">
      <c r="B142" s="627"/>
      <c r="C142" s="356">
        <v>15</v>
      </c>
      <c r="D142" s="228"/>
      <c r="E142" s="356"/>
      <c r="F142" s="356"/>
      <c r="G142" s="356"/>
      <c r="H142" s="663"/>
      <c r="I142" s="200"/>
      <c r="J142" s="200"/>
      <c r="K142" s="200"/>
      <c r="L142" s="671"/>
      <c r="M142" s="200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5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72" t="s">
        <v>204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120"/>
    </row>
    <row r="2" spans="1:13" s="121" customFormat="1" ht="15.75" customHeight="1">
      <c r="A2" s="572"/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</row>
    <row r="3" spans="1:13" ht="15.75" customHeight="1">
      <c r="A3" s="701" t="s">
        <v>205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152"/>
    </row>
    <row r="4" spans="1:13" s="121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131"/>
    </row>
    <row r="5" spans="1:13" s="154" customFormat="1" ht="16.399999999999999" customHeight="1">
      <c r="A5" s="684" t="s">
        <v>154</v>
      </c>
      <c r="B5" s="167">
        <v>1</v>
      </c>
      <c r="C5" s="167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684"/>
      <c r="B6" s="168" t="s">
        <v>206</v>
      </c>
      <c r="C6" s="168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685" t="s">
        <v>187</v>
      </c>
      <c r="B7" s="685"/>
      <c r="C7" s="163" t="s">
        <v>47</v>
      </c>
      <c r="D7" s="685" t="s">
        <v>12</v>
      </c>
      <c r="E7" s="700"/>
      <c r="F7" s="700"/>
      <c r="G7" s="444" t="s">
        <v>816</v>
      </c>
      <c r="H7" s="444" t="s">
        <v>817</v>
      </c>
      <c r="I7" s="444" t="s">
        <v>818</v>
      </c>
      <c r="J7" s="224" t="s">
        <v>819</v>
      </c>
      <c r="K7" s="685" t="s">
        <v>820</v>
      </c>
      <c r="L7" s="700"/>
      <c r="M7" s="153"/>
    </row>
    <row r="8" spans="1:13" ht="15.75" customHeight="1">
      <c r="A8" s="684">
        <v>1</v>
      </c>
      <c r="B8" s="685" t="s">
        <v>150</v>
      </c>
      <c r="C8" s="313">
        <v>1</v>
      </c>
      <c r="D8" s="525" t="s">
        <v>364</v>
      </c>
      <c r="E8" s="526"/>
      <c r="F8" s="527"/>
      <c r="G8" s="156">
        <v>3</v>
      </c>
      <c r="H8" s="242">
        <v>3197.5847239396148</v>
      </c>
      <c r="I8" s="242">
        <v>1065.8615746465382</v>
      </c>
      <c r="J8" s="243" t="s">
        <v>930</v>
      </c>
      <c r="K8" s="680"/>
      <c r="L8" s="681"/>
      <c r="M8" s="131"/>
    </row>
    <row r="9" spans="1:13" ht="15.75" customHeight="1">
      <c r="A9" s="684"/>
      <c r="B9" s="685"/>
      <c r="C9" s="313">
        <v>2</v>
      </c>
      <c r="D9" s="525" t="s">
        <v>361</v>
      </c>
      <c r="E9" s="526"/>
      <c r="F9" s="527"/>
      <c r="G9" s="156">
        <v>3</v>
      </c>
      <c r="H9" s="242">
        <v>3166.0783004538421</v>
      </c>
      <c r="I9" s="242">
        <v>1055.3594334846139</v>
      </c>
      <c r="J9" s="244" t="s">
        <v>931</v>
      </c>
      <c r="K9" s="680"/>
      <c r="L9" s="681"/>
      <c r="M9" s="131"/>
    </row>
    <row r="10" spans="1:13" ht="15.75" customHeight="1">
      <c r="A10" s="684"/>
      <c r="B10" s="685"/>
      <c r="C10" s="313">
        <v>3</v>
      </c>
      <c r="D10" s="525" t="s">
        <v>815</v>
      </c>
      <c r="E10" s="526"/>
      <c r="F10" s="527"/>
      <c r="G10" s="156">
        <v>3</v>
      </c>
      <c r="H10" s="242">
        <v>2845.9334049409213</v>
      </c>
      <c r="I10" s="242">
        <v>948.64446831364057</v>
      </c>
      <c r="J10" s="244" t="s">
        <v>931</v>
      </c>
      <c r="K10" s="682"/>
      <c r="L10" s="683"/>
      <c r="M10" s="131"/>
    </row>
    <row r="11" spans="1:13" ht="15.75" customHeight="1">
      <c r="A11" s="684"/>
      <c r="B11" s="685"/>
      <c r="C11" s="313">
        <v>4</v>
      </c>
      <c r="D11" s="525" t="s">
        <v>362</v>
      </c>
      <c r="E11" s="526"/>
      <c r="F11" s="527"/>
      <c r="G11" s="156">
        <v>3</v>
      </c>
      <c r="H11" s="242">
        <v>2830.1682127396425</v>
      </c>
      <c r="I11" s="242">
        <v>943.38940424654754</v>
      </c>
      <c r="J11" s="243" t="s">
        <v>930</v>
      </c>
      <c r="K11" s="682"/>
      <c r="L11" s="683"/>
      <c r="M11" s="131"/>
    </row>
    <row r="12" spans="1:13" ht="15.75" customHeight="1">
      <c r="A12" s="684"/>
      <c r="B12" s="685"/>
      <c r="C12" s="313">
        <v>5</v>
      </c>
      <c r="D12" s="525" t="s">
        <v>367</v>
      </c>
      <c r="E12" s="526"/>
      <c r="F12" s="527"/>
      <c r="G12" s="242">
        <v>3</v>
      </c>
      <c r="H12" s="242">
        <v>2808.8766339869303</v>
      </c>
      <c r="I12" s="242">
        <v>936.29221132897692</v>
      </c>
      <c r="J12" s="245" t="s">
        <v>932</v>
      </c>
      <c r="K12" s="682" t="s">
        <v>933</v>
      </c>
      <c r="L12" s="683"/>
      <c r="M12" s="131"/>
    </row>
    <row r="13" spans="1:13" ht="15.75" customHeight="1">
      <c r="A13" s="684"/>
      <c r="B13" s="685"/>
      <c r="C13" s="166" t="s">
        <v>517</v>
      </c>
      <c r="D13" s="525" t="s">
        <v>833</v>
      </c>
      <c r="E13" s="526"/>
      <c r="F13" s="527"/>
      <c r="G13" s="242">
        <v>10.428571428571429</v>
      </c>
      <c r="H13" s="242">
        <v>1496.9425622880733</v>
      </c>
      <c r="I13" s="242">
        <v>144.73058460631222</v>
      </c>
      <c r="J13" s="243" t="s">
        <v>930</v>
      </c>
      <c r="K13" s="680"/>
      <c r="L13" s="681"/>
      <c r="M13" s="131"/>
    </row>
    <row r="14" spans="1:13" ht="15.75" customHeight="1">
      <c r="A14" s="684"/>
      <c r="B14" s="685"/>
      <c r="C14" s="166" t="s">
        <v>518</v>
      </c>
      <c r="D14" s="525" t="s">
        <v>371</v>
      </c>
      <c r="E14" s="526"/>
      <c r="F14" s="527"/>
      <c r="G14" s="156">
        <v>4</v>
      </c>
      <c r="H14" s="242">
        <v>2354.5766233766158</v>
      </c>
      <c r="I14" s="242">
        <v>588.64415584415394</v>
      </c>
      <c r="J14" s="243" t="s">
        <v>930</v>
      </c>
      <c r="K14" s="682"/>
      <c r="L14" s="683"/>
      <c r="M14" s="131"/>
    </row>
    <row r="15" spans="1:13" ht="15.75" customHeight="1">
      <c r="A15" s="684"/>
      <c r="B15" s="685"/>
      <c r="C15" s="166" t="s">
        <v>519</v>
      </c>
      <c r="D15" s="525" t="s">
        <v>369</v>
      </c>
      <c r="E15" s="526"/>
      <c r="F15" s="527"/>
      <c r="G15" s="156">
        <v>4</v>
      </c>
      <c r="H15" s="242">
        <v>2748.8676737491937</v>
      </c>
      <c r="I15" s="242">
        <v>687.21691843729843</v>
      </c>
      <c r="J15" s="245" t="s">
        <v>932</v>
      </c>
      <c r="K15" s="686" t="s">
        <v>933</v>
      </c>
      <c r="L15" s="687"/>
      <c r="M15" s="131"/>
    </row>
    <row r="16" spans="1:13" ht="15.75" customHeight="1">
      <c r="A16" s="684"/>
      <c r="B16" s="685"/>
      <c r="C16" s="166" t="s">
        <v>520</v>
      </c>
      <c r="D16" s="528" t="s">
        <v>366</v>
      </c>
      <c r="E16" s="526"/>
      <c r="F16" s="527"/>
      <c r="G16" s="156">
        <v>4</v>
      </c>
      <c r="H16" s="242">
        <v>2816.7110389610411</v>
      </c>
      <c r="I16" s="242">
        <v>704.17775974026029</v>
      </c>
      <c r="J16" s="245" t="s">
        <v>932</v>
      </c>
      <c r="K16" s="688"/>
      <c r="L16" s="689"/>
      <c r="M16" s="152"/>
    </row>
    <row r="17" spans="1:13" ht="15.75" customHeight="1">
      <c r="A17" s="684"/>
      <c r="B17" s="685"/>
      <c r="C17" s="166" t="s">
        <v>521</v>
      </c>
      <c r="D17" s="525" t="s">
        <v>370</v>
      </c>
      <c r="E17" s="526"/>
      <c r="F17" s="527"/>
      <c r="G17" s="156">
        <v>4</v>
      </c>
      <c r="H17" s="242">
        <v>2822.3023228124935</v>
      </c>
      <c r="I17" s="242">
        <v>705.57558070312336</v>
      </c>
      <c r="J17" s="244" t="s">
        <v>931</v>
      </c>
      <c r="K17" s="680"/>
      <c r="L17" s="681"/>
      <c r="M17" s="152"/>
    </row>
    <row r="18" spans="1:13" s="162" customFormat="1" ht="15.75" customHeight="1">
      <c r="A18" s="678" t="s">
        <v>187</v>
      </c>
      <c r="B18" s="678"/>
      <c r="C18" s="314" t="s">
        <v>522</v>
      </c>
      <c r="D18" s="678" t="s">
        <v>12</v>
      </c>
      <c r="E18" s="679"/>
      <c r="F18" s="679"/>
      <c r="G18" s="535" t="s">
        <v>934</v>
      </c>
      <c r="H18" s="535" t="s">
        <v>935</v>
      </c>
      <c r="I18" s="535" t="s">
        <v>936</v>
      </c>
      <c r="J18" s="224" t="s">
        <v>937</v>
      </c>
      <c r="K18" s="678" t="s">
        <v>938</v>
      </c>
      <c r="L18" s="679"/>
      <c r="M18" s="155"/>
    </row>
    <row r="19" spans="1:13" ht="15.75" customHeight="1">
      <c r="A19" s="684">
        <v>2</v>
      </c>
      <c r="B19" s="685" t="s">
        <v>151</v>
      </c>
      <c r="C19" s="313">
        <v>1</v>
      </c>
      <c r="D19" s="542" t="s">
        <v>746</v>
      </c>
      <c r="E19" s="543"/>
      <c r="F19" s="544"/>
      <c r="G19" s="156">
        <v>5</v>
      </c>
      <c r="H19" s="242">
        <v>1569.1390497640502</v>
      </c>
      <c r="I19" s="242">
        <v>313.82780995281001</v>
      </c>
      <c r="J19" s="244" t="s">
        <v>931</v>
      </c>
      <c r="K19" s="696" t="s">
        <v>939</v>
      </c>
      <c r="L19" s="697"/>
      <c r="M19" s="152"/>
    </row>
    <row r="20" spans="1:13" ht="15.75" customHeight="1">
      <c r="A20" s="684"/>
      <c r="B20" s="685"/>
      <c r="C20" s="313">
        <v>2</v>
      </c>
      <c r="D20" s="542" t="s">
        <v>694</v>
      </c>
      <c r="E20" s="543"/>
      <c r="F20" s="544"/>
      <c r="G20" s="156">
        <v>5</v>
      </c>
      <c r="H20" s="242">
        <v>1442.7565217391304</v>
      </c>
      <c r="I20" s="242">
        <v>288.55130434782615</v>
      </c>
      <c r="J20" s="245" t="s">
        <v>932</v>
      </c>
      <c r="K20" s="698"/>
      <c r="L20" s="699"/>
      <c r="M20" s="152"/>
    </row>
    <row r="21" spans="1:13" ht="15.75" customHeight="1">
      <c r="A21" s="684"/>
      <c r="B21" s="685"/>
      <c r="C21" s="313">
        <v>3</v>
      </c>
      <c r="D21" s="542" t="s">
        <v>825</v>
      </c>
      <c r="E21" s="543"/>
      <c r="F21" s="544"/>
      <c r="G21" s="242">
        <v>6</v>
      </c>
      <c r="H21" s="242">
        <v>1505.1519274376424</v>
      </c>
      <c r="I21" s="242">
        <v>250.85865457294037</v>
      </c>
      <c r="J21" s="243" t="s">
        <v>930</v>
      </c>
      <c r="K21" s="695"/>
      <c r="L21" s="691"/>
      <c r="M21" s="152"/>
    </row>
    <row r="22" spans="1:13" ht="15.75" customHeight="1">
      <c r="A22" s="684"/>
      <c r="B22" s="685"/>
      <c r="C22" s="313">
        <v>4</v>
      </c>
      <c r="D22" s="542" t="s">
        <v>375</v>
      </c>
      <c r="E22" s="543"/>
      <c r="F22" s="544"/>
      <c r="G22" s="242">
        <v>12</v>
      </c>
      <c r="H22" s="242">
        <v>1765.3442176870744</v>
      </c>
      <c r="I22" s="242">
        <v>147.11201814058953</v>
      </c>
      <c r="J22" s="244" t="s">
        <v>931</v>
      </c>
      <c r="K22" s="695"/>
      <c r="L22" s="691"/>
      <c r="M22" s="152"/>
    </row>
    <row r="23" spans="1:13" ht="15.75" customHeight="1">
      <c r="A23" s="684"/>
      <c r="B23" s="685"/>
      <c r="C23" s="313">
        <v>5</v>
      </c>
      <c r="D23" s="542" t="s">
        <v>374</v>
      </c>
      <c r="E23" s="543"/>
      <c r="F23" s="544"/>
      <c r="G23" s="242">
        <v>12</v>
      </c>
      <c r="H23" s="242">
        <v>1734.7639455782321</v>
      </c>
      <c r="I23" s="242">
        <v>144.56366213151935</v>
      </c>
      <c r="J23" s="244" t="s">
        <v>931</v>
      </c>
      <c r="K23" s="695"/>
      <c r="L23" s="691"/>
      <c r="M23" s="152"/>
    </row>
    <row r="24" spans="1:13" ht="15.75" customHeight="1">
      <c r="A24" s="684"/>
      <c r="B24" s="685"/>
      <c r="C24" s="166" t="s">
        <v>517</v>
      </c>
      <c r="D24" s="542" t="s">
        <v>829</v>
      </c>
      <c r="E24" s="543"/>
      <c r="F24" s="544"/>
      <c r="G24" s="242">
        <v>11.714285714285714</v>
      </c>
      <c r="H24" s="242">
        <v>1108.800000000002</v>
      </c>
      <c r="I24" s="242">
        <v>96.263736263736433</v>
      </c>
      <c r="J24" s="243" t="s">
        <v>930</v>
      </c>
      <c r="K24" s="696"/>
      <c r="L24" s="697"/>
      <c r="M24" s="152"/>
    </row>
    <row r="25" spans="1:13" ht="15.75" customHeight="1">
      <c r="A25" s="684"/>
      <c r="B25" s="685"/>
      <c r="C25" s="166" t="s">
        <v>518</v>
      </c>
      <c r="D25" s="542" t="s">
        <v>373</v>
      </c>
      <c r="E25" s="543"/>
      <c r="F25" s="544"/>
      <c r="G25" s="242">
        <v>10</v>
      </c>
      <c r="H25" s="242">
        <v>1382.828571428571</v>
      </c>
      <c r="I25" s="242">
        <v>138.2828571428571</v>
      </c>
      <c r="J25" s="245" t="s">
        <v>932</v>
      </c>
      <c r="K25" s="695" t="s">
        <v>940</v>
      </c>
      <c r="L25" s="691"/>
      <c r="M25" s="152"/>
    </row>
    <row r="26" spans="1:13" ht="15.75" customHeight="1">
      <c r="A26" s="684"/>
      <c r="B26" s="685"/>
      <c r="C26" s="166" t="s">
        <v>519</v>
      </c>
      <c r="D26" s="692"/>
      <c r="E26" s="693"/>
      <c r="F26" s="694"/>
      <c r="G26" s="242"/>
      <c r="H26" s="242"/>
      <c r="I26" s="242"/>
      <c r="J26" s="530"/>
      <c r="K26" s="695"/>
      <c r="L26" s="691"/>
      <c r="M26" s="152"/>
    </row>
    <row r="27" spans="1:13" ht="15.75" customHeight="1">
      <c r="A27" s="684"/>
      <c r="B27" s="685"/>
      <c r="C27" s="166" t="s">
        <v>520</v>
      </c>
      <c r="D27" s="692"/>
      <c r="E27" s="693"/>
      <c r="F27" s="694"/>
      <c r="G27" s="156"/>
      <c r="H27" s="242"/>
      <c r="I27" s="242"/>
      <c r="J27" s="530"/>
      <c r="K27" s="690"/>
      <c r="L27" s="691"/>
      <c r="M27" s="152"/>
    </row>
    <row r="28" spans="1:13" ht="15.75" customHeight="1">
      <c r="A28" s="684"/>
      <c r="B28" s="685"/>
      <c r="C28" s="166" t="s">
        <v>521</v>
      </c>
      <c r="D28" s="692"/>
      <c r="E28" s="693"/>
      <c r="F28" s="694"/>
      <c r="G28" s="156"/>
      <c r="H28" s="242"/>
      <c r="I28" s="242"/>
      <c r="J28" s="530"/>
      <c r="K28" s="690"/>
      <c r="L28" s="69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4">
    <mergeCell ref="A1:L2"/>
    <mergeCell ref="A5:A6"/>
    <mergeCell ref="A7:B7"/>
    <mergeCell ref="D7:F7"/>
    <mergeCell ref="K7:L7"/>
    <mergeCell ref="A3:L4"/>
    <mergeCell ref="A19:A28"/>
    <mergeCell ref="K28:L28"/>
    <mergeCell ref="D27:F27"/>
    <mergeCell ref="B19:B28"/>
    <mergeCell ref="D28:F28"/>
    <mergeCell ref="K27:L27"/>
    <mergeCell ref="D26:F26"/>
    <mergeCell ref="K26:L26"/>
    <mergeCell ref="K21:L21"/>
    <mergeCell ref="K22:L22"/>
    <mergeCell ref="K23:L23"/>
    <mergeCell ref="K19:L20"/>
    <mergeCell ref="K24:L24"/>
    <mergeCell ref="K25:L25"/>
    <mergeCell ref="A18:B18"/>
    <mergeCell ref="D18:F18"/>
    <mergeCell ref="K18:L18"/>
    <mergeCell ref="K13:L13"/>
    <mergeCell ref="K14:L14"/>
    <mergeCell ref="A8:A17"/>
    <mergeCell ref="B8:B17"/>
    <mergeCell ref="K17:L17"/>
    <mergeCell ref="K12:L12"/>
    <mergeCell ref="K8:L8"/>
    <mergeCell ref="K9:L9"/>
    <mergeCell ref="K10:L10"/>
    <mergeCell ref="K11:L11"/>
    <mergeCell ref="K15:L1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20" sqref="D20:F20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72" t="s">
        <v>204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120"/>
    </row>
    <row r="2" spans="1:13" s="121" customFormat="1" ht="15.75" customHeight="1">
      <c r="A2" s="572"/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</row>
    <row r="3" spans="1:13" ht="15.75" customHeight="1">
      <c r="A3" s="701" t="s">
        <v>205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152"/>
    </row>
    <row r="4" spans="1:13" s="121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131"/>
    </row>
    <row r="5" spans="1:13" s="154" customFormat="1" ht="16.399999999999999" customHeight="1">
      <c r="A5" s="684" t="s">
        <v>154</v>
      </c>
      <c r="B5" s="156">
        <v>1</v>
      </c>
      <c r="C5" s="156">
        <v>2</v>
      </c>
      <c r="D5" s="167">
        <v>3</v>
      </c>
      <c r="E5" s="167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99999999999999" customHeight="1">
      <c r="A6" s="684"/>
      <c r="B6" s="157" t="s">
        <v>206</v>
      </c>
      <c r="C6" s="157" t="s">
        <v>151</v>
      </c>
      <c r="D6" s="168" t="s">
        <v>207</v>
      </c>
      <c r="E6" s="168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685" t="s">
        <v>187</v>
      </c>
      <c r="B7" s="685"/>
      <c r="C7" s="163" t="s">
        <v>47</v>
      </c>
      <c r="D7" s="685" t="s">
        <v>12</v>
      </c>
      <c r="E7" s="700"/>
      <c r="F7" s="700"/>
      <c r="G7" s="444" t="s">
        <v>816</v>
      </c>
      <c r="H7" s="444" t="s">
        <v>817</v>
      </c>
      <c r="I7" s="444" t="s">
        <v>821</v>
      </c>
      <c r="J7" s="224" t="s">
        <v>819</v>
      </c>
      <c r="K7" s="685" t="s">
        <v>820</v>
      </c>
      <c r="L7" s="700"/>
      <c r="M7" s="153"/>
    </row>
    <row r="8" spans="1:13" ht="15.75" customHeight="1">
      <c r="A8" s="684">
        <v>3</v>
      </c>
      <c r="B8" s="685" t="s">
        <v>152</v>
      </c>
      <c r="C8" s="375">
        <v>1</v>
      </c>
      <c r="D8" s="706" t="s">
        <v>535</v>
      </c>
      <c r="E8" s="708"/>
      <c r="F8" s="707"/>
      <c r="G8" s="242">
        <v>4</v>
      </c>
      <c r="H8" s="242">
        <v>2138.7938345298589</v>
      </c>
      <c r="I8" s="242">
        <v>534.69845863246474</v>
      </c>
      <c r="J8" s="244" t="s">
        <v>931</v>
      </c>
      <c r="K8" s="712" t="s">
        <v>941</v>
      </c>
      <c r="L8" s="713"/>
      <c r="M8" s="131"/>
    </row>
    <row r="9" spans="1:13" ht="15.75" customHeight="1">
      <c r="A9" s="684"/>
      <c r="B9" s="685"/>
      <c r="C9" s="375">
        <v>2</v>
      </c>
      <c r="D9" s="706" t="s">
        <v>405</v>
      </c>
      <c r="E9" s="708"/>
      <c r="F9" s="707"/>
      <c r="G9" s="242">
        <v>4</v>
      </c>
      <c r="H9" s="242">
        <v>2068.8398268398259</v>
      </c>
      <c r="I9" s="242">
        <v>517.20995670995649</v>
      </c>
      <c r="J9" s="244" t="s">
        <v>931</v>
      </c>
      <c r="K9" s="714"/>
      <c r="L9" s="715"/>
      <c r="M9" s="131"/>
    </row>
    <row r="10" spans="1:13" ht="15.75" customHeight="1">
      <c r="A10" s="684"/>
      <c r="B10" s="685"/>
      <c r="C10" s="375">
        <v>3</v>
      </c>
      <c r="D10" s="706" t="s">
        <v>892</v>
      </c>
      <c r="E10" s="708"/>
      <c r="F10" s="707"/>
      <c r="G10" s="242">
        <v>4.8571428571428568</v>
      </c>
      <c r="H10" s="242">
        <v>2123.4727580542672</v>
      </c>
      <c r="I10" s="242">
        <v>438.70883732513909</v>
      </c>
      <c r="J10" s="245" t="s">
        <v>932</v>
      </c>
      <c r="K10" s="716"/>
      <c r="L10" s="717"/>
      <c r="M10" s="131"/>
    </row>
    <row r="11" spans="1:13" ht="15.75" customHeight="1">
      <c r="A11" s="684"/>
      <c r="B11" s="685"/>
      <c r="C11" s="375">
        <v>4</v>
      </c>
      <c r="D11" s="706" t="s">
        <v>871</v>
      </c>
      <c r="E11" s="708"/>
      <c r="F11" s="707"/>
      <c r="G11" s="242">
        <v>6</v>
      </c>
      <c r="H11" s="242">
        <v>1976.3511299256577</v>
      </c>
      <c r="I11" s="242">
        <v>329.39185498760969</v>
      </c>
      <c r="J11" s="246" t="s">
        <v>414</v>
      </c>
      <c r="K11" s="710"/>
      <c r="L11" s="711"/>
      <c r="M11" s="131"/>
    </row>
    <row r="12" spans="1:13" ht="15.75" customHeight="1">
      <c r="A12" s="684"/>
      <c r="B12" s="685"/>
      <c r="C12" s="375">
        <v>5</v>
      </c>
      <c r="D12" s="706" t="s">
        <v>408</v>
      </c>
      <c r="E12" s="708"/>
      <c r="F12" s="707"/>
      <c r="G12" s="242">
        <v>11</v>
      </c>
      <c r="H12" s="242">
        <v>2212.116436947591</v>
      </c>
      <c r="I12" s="242">
        <v>201.10149426796283</v>
      </c>
      <c r="J12" s="244" t="s">
        <v>931</v>
      </c>
      <c r="K12" s="695"/>
      <c r="L12" s="691"/>
      <c r="M12" s="131"/>
    </row>
    <row r="13" spans="1:13" ht="15.75" customHeight="1">
      <c r="A13" s="684"/>
      <c r="B13" s="685"/>
      <c r="C13" s="166" t="s">
        <v>749</v>
      </c>
      <c r="D13" s="706" t="s">
        <v>404</v>
      </c>
      <c r="E13" s="708"/>
      <c r="F13" s="707"/>
      <c r="G13" s="242">
        <v>13</v>
      </c>
      <c r="H13" s="242">
        <v>1236.3789473684212</v>
      </c>
      <c r="I13" s="242">
        <v>95.106072874493961</v>
      </c>
      <c r="J13" s="246" t="s">
        <v>414</v>
      </c>
      <c r="K13" s="709"/>
      <c r="L13" s="691"/>
      <c r="M13" s="131"/>
    </row>
    <row r="14" spans="1:13" ht="15.75" customHeight="1">
      <c r="A14" s="684"/>
      <c r="B14" s="685"/>
      <c r="C14" s="166" t="s">
        <v>750</v>
      </c>
      <c r="D14" s="706" t="s">
        <v>409</v>
      </c>
      <c r="E14" s="708"/>
      <c r="F14" s="707"/>
      <c r="G14" s="242">
        <v>12</v>
      </c>
      <c r="H14" s="242">
        <v>2127.740162877179</v>
      </c>
      <c r="I14" s="242">
        <v>177.31168023976491</v>
      </c>
      <c r="J14" s="246" t="s">
        <v>414</v>
      </c>
      <c r="K14" s="690"/>
      <c r="L14" s="691"/>
      <c r="M14" s="131"/>
    </row>
    <row r="15" spans="1:13" ht="15.75" customHeight="1">
      <c r="A15" s="684"/>
      <c r="B15" s="685"/>
      <c r="C15" s="166" t="s">
        <v>751</v>
      </c>
      <c r="D15" s="706" t="s">
        <v>928</v>
      </c>
      <c r="E15" s="708"/>
      <c r="F15" s="707"/>
      <c r="G15" s="242">
        <v>11.571428571428571</v>
      </c>
      <c r="H15" s="242">
        <v>2064.9733533966596</v>
      </c>
      <c r="I15" s="242">
        <v>179.16685144257403</v>
      </c>
      <c r="J15" s="246" t="s">
        <v>414</v>
      </c>
      <c r="K15" s="695"/>
      <c r="L15" s="691"/>
      <c r="M15" s="131"/>
    </row>
    <row r="16" spans="1:13" ht="15.75" customHeight="1">
      <c r="A16" s="684"/>
      <c r="B16" s="685"/>
      <c r="C16" s="166" t="s">
        <v>752</v>
      </c>
      <c r="D16" s="706" t="s">
        <v>406</v>
      </c>
      <c r="E16" s="708"/>
      <c r="F16" s="707"/>
      <c r="G16" s="242">
        <v>12</v>
      </c>
      <c r="H16" s="242">
        <v>2184.626969275771</v>
      </c>
      <c r="I16" s="242">
        <v>182.0522474396476</v>
      </c>
      <c r="J16" s="244" t="s">
        <v>931</v>
      </c>
      <c r="K16" s="695"/>
      <c r="L16" s="691"/>
      <c r="M16" s="152"/>
    </row>
    <row r="17" spans="1:13" ht="15.75" customHeight="1">
      <c r="A17" s="684"/>
      <c r="B17" s="685"/>
      <c r="C17" s="166" t="s">
        <v>753</v>
      </c>
      <c r="D17" s="706" t="s">
        <v>410</v>
      </c>
      <c r="E17" s="708"/>
      <c r="F17" s="707"/>
      <c r="G17" s="242">
        <v>10.857142857142858</v>
      </c>
      <c r="H17" s="242">
        <v>2136.3687709712672</v>
      </c>
      <c r="I17" s="242">
        <v>196.95316749089437</v>
      </c>
      <c r="J17" s="245" t="s">
        <v>932</v>
      </c>
      <c r="K17" s="695" t="s">
        <v>942</v>
      </c>
      <c r="L17" s="691"/>
      <c r="M17" s="152"/>
    </row>
    <row r="18" spans="1:13" s="162" customFormat="1" ht="15.75" customHeight="1">
      <c r="A18" s="678" t="s">
        <v>187</v>
      </c>
      <c r="B18" s="678"/>
      <c r="C18" s="374" t="s">
        <v>754</v>
      </c>
      <c r="D18" s="703" t="s">
        <v>12</v>
      </c>
      <c r="E18" s="704"/>
      <c r="F18" s="705"/>
      <c r="G18" s="529" t="s">
        <v>895</v>
      </c>
      <c r="H18" s="529" t="s">
        <v>896</v>
      </c>
      <c r="I18" s="529" t="s">
        <v>897</v>
      </c>
      <c r="J18" s="224" t="s">
        <v>898</v>
      </c>
      <c r="K18" s="703" t="s">
        <v>899</v>
      </c>
      <c r="L18" s="705"/>
      <c r="M18" s="155"/>
    </row>
    <row r="19" spans="1:13" ht="15.75" customHeight="1">
      <c r="A19" s="684">
        <v>4</v>
      </c>
      <c r="B19" s="685" t="s">
        <v>153</v>
      </c>
      <c r="C19" s="375">
        <v>1</v>
      </c>
      <c r="D19" s="719"/>
      <c r="E19" s="720"/>
      <c r="F19" s="721"/>
      <c r="G19" s="247"/>
      <c r="H19" s="247"/>
      <c r="I19" s="247"/>
      <c r="J19" s="246"/>
      <c r="K19" s="706"/>
      <c r="L19" s="707"/>
      <c r="M19" s="152"/>
    </row>
    <row r="20" spans="1:13" ht="15.75" customHeight="1">
      <c r="A20" s="684"/>
      <c r="B20" s="685"/>
      <c r="C20" s="375">
        <v>2</v>
      </c>
      <c r="D20" s="706"/>
      <c r="E20" s="708"/>
      <c r="F20" s="707"/>
      <c r="G20" s="247"/>
      <c r="H20" s="247"/>
      <c r="I20" s="247"/>
      <c r="J20" s="246"/>
      <c r="K20" s="706"/>
      <c r="L20" s="707"/>
      <c r="M20" s="152"/>
    </row>
    <row r="21" spans="1:13" ht="15.75" customHeight="1">
      <c r="A21" s="684"/>
      <c r="B21" s="685"/>
      <c r="C21" s="375">
        <v>3</v>
      </c>
      <c r="D21" s="690"/>
      <c r="E21" s="691"/>
      <c r="F21" s="691"/>
      <c r="G21" s="247"/>
      <c r="H21" s="247"/>
      <c r="I21" s="247"/>
      <c r="J21" s="502"/>
      <c r="K21" s="690"/>
      <c r="L21" s="691"/>
      <c r="M21" s="152"/>
    </row>
    <row r="22" spans="1:13" ht="15.75" customHeight="1">
      <c r="A22" s="684"/>
      <c r="B22" s="685"/>
      <c r="C22" s="375">
        <v>4</v>
      </c>
      <c r="D22" s="690"/>
      <c r="E22" s="691"/>
      <c r="F22" s="691"/>
      <c r="G22" s="502"/>
      <c r="H22" s="502"/>
      <c r="I22" s="502"/>
      <c r="J22" s="502"/>
      <c r="K22" s="690"/>
      <c r="L22" s="691"/>
      <c r="M22" s="152"/>
    </row>
    <row r="23" spans="1:13" ht="15.75" customHeight="1">
      <c r="A23" s="684"/>
      <c r="B23" s="685"/>
      <c r="C23" s="375">
        <v>5</v>
      </c>
      <c r="D23" s="690"/>
      <c r="E23" s="691"/>
      <c r="F23" s="691"/>
      <c r="G23" s="502"/>
      <c r="H23" s="502"/>
      <c r="I23" s="502"/>
      <c r="J23" s="502"/>
      <c r="K23" s="690"/>
      <c r="L23" s="691"/>
      <c r="M23" s="152"/>
    </row>
    <row r="24" spans="1:13" ht="15.75" customHeight="1">
      <c r="A24" s="684"/>
      <c r="B24" s="685"/>
      <c r="C24" s="166" t="s">
        <v>749</v>
      </c>
      <c r="D24" s="719"/>
      <c r="E24" s="720"/>
      <c r="F24" s="721"/>
      <c r="G24" s="247"/>
      <c r="H24" s="247"/>
      <c r="I24" s="247"/>
      <c r="J24" s="246"/>
      <c r="K24" s="718"/>
      <c r="L24" s="691"/>
      <c r="M24" s="152"/>
    </row>
    <row r="25" spans="1:13" ht="15.75" customHeight="1">
      <c r="A25" s="684"/>
      <c r="B25" s="685"/>
      <c r="C25" s="166" t="s">
        <v>518</v>
      </c>
      <c r="D25" s="690"/>
      <c r="E25" s="691"/>
      <c r="F25" s="691"/>
      <c r="G25" s="497"/>
      <c r="H25" s="497"/>
      <c r="I25" s="497"/>
      <c r="J25" s="497"/>
      <c r="K25" s="690"/>
      <c r="L25" s="691"/>
      <c r="M25" s="152"/>
    </row>
    <row r="26" spans="1:13" ht="15.75" customHeight="1">
      <c r="A26" s="684"/>
      <c r="B26" s="685"/>
      <c r="C26" s="166" t="s">
        <v>519</v>
      </c>
      <c r="D26" s="690"/>
      <c r="E26" s="691"/>
      <c r="F26" s="691"/>
      <c r="G26" s="497"/>
      <c r="H26" s="497"/>
      <c r="I26" s="497"/>
      <c r="J26" s="497"/>
      <c r="K26" s="690"/>
      <c r="L26" s="691"/>
      <c r="M26" s="152"/>
    </row>
    <row r="27" spans="1:13" ht="15.75" customHeight="1">
      <c r="A27" s="684"/>
      <c r="B27" s="685"/>
      <c r="C27" s="166" t="s">
        <v>520</v>
      </c>
      <c r="D27" s="690"/>
      <c r="E27" s="691"/>
      <c r="F27" s="691"/>
      <c r="G27" s="497"/>
      <c r="H27" s="497"/>
      <c r="I27" s="497"/>
      <c r="J27" s="497"/>
      <c r="K27" s="690"/>
      <c r="L27" s="691"/>
      <c r="M27" s="152"/>
    </row>
    <row r="28" spans="1:13" ht="15.75" customHeight="1">
      <c r="A28" s="684"/>
      <c r="B28" s="685"/>
      <c r="C28" s="166" t="s">
        <v>521</v>
      </c>
      <c r="D28" s="690"/>
      <c r="E28" s="691"/>
      <c r="F28" s="691"/>
      <c r="G28" s="497"/>
      <c r="H28" s="497"/>
      <c r="I28" s="497"/>
      <c r="J28" s="497"/>
      <c r="K28" s="690"/>
      <c r="L28" s="69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1">
    <mergeCell ref="D25:F25"/>
    <mergeCell ref="K25:L25"/>
    <mergeCell ref="D26:F26"/>
    <mergeCell ref="K26:L26"/>
    <mergeCell ref="B19:B28"/>
    <mergeCell ref="D19:F19"/>
    <mergeCell ref="D20:F20"/>
    <mergeCell ref="D21:F21"/>
    <mergeCell ref="D27:F27"/>
    <mergeCell ref="K27:L27"/>
    <mergeCell ref="D28:F28"/>
    <mergeCell ref="K28:L28"/>
    <mergeCell ref="K21:L21"/>
    <mergeCell ref="D22:F22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10"/>
    <mergeCell ref="A18:B18"/>
    <mergeCell ref="D18:F18"/>
    <mergeCell ref="K18:L18"/>
    <mergeCell ref="K22:L22"/>
    <mergeCell ref="D23:F23"/>
    <mergeCell ref="K23:L23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8" ht="15.75" customHeight="1">
      <c r="A1" s="572" t="s">
        <v>204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120"/>
    </row>
    <row r="2" spans="1:18" s="121" customFormat="1" ht="15.75" customHeight="1">
      <c r="A2" s="572"/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</row>
    <row r="3" spans="1:18" ht="15.75" customHeight="1">
      <c r="A3" s="701" t="s">
        <v>205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152"/>
    </row>
    <row r="4" spans="1:18" s="121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131"/>
    </row>
    <row r="5" spans="1:18" s="154" customFormat="1" ht="16.399999999999999" customHeight="1">
      <c r="A5" s="684" t="s">
        <v>154</v>
      </c>
      <c r="B5" s="156">
        <v>1</v>
      </c>
      <c r="C5" s="156">
        <v>2</v>
      </c>
      <c r="D5" s="156">
        <v>3</v>
      </c>
      <c r="E5" s="156">
        <v>4</v>
      </c>
      <c r="F5" s="167">
        <v>5</v>
      </c>
      <c r="G5" s="167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99999999999999" customHeight="1">
      <c r="A6" s="684"/>
      <c r="B6" s="157" t="s">
        <v>206</v>
      </c>
      <c r="C6" s="157" t="s">
        <v>151</v>
      </c>
      <c r="D6" s="157" t="s">
        <v>207</v>
      </c>
      <c r="E6" s="157" t="s">
        <v>153</v>
      </c>
      <c r="F6" s="169" t="s">
        <v>133</v>
      </c>
      <c r="G6" s="170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685" t="s">
        <v>187</v>
      </c>
      <c r="B7" s="685"/>
      <c r="C7" s="163" t="s">
        <v>47</v>
      </c>
      <c r="D7" s="685" t="s">
        <v>12</v>
      </c>
      <c r="E7" s="700"/>
      <c r="F7" s="700"/>
      <c r="G7" s="444" t="s">
        <v>816</v>
      </c>
      <c r="H7" s="444" t="s">
        <v>817</v>
      </c>
      <c r="I7" s="444" t="s">
        <v>818</v>
      </c>
      <c r="J7" s="224" t="s">
        <v>819</v>
      </c>
      <c r="K7" s="685" t="s">
        <v>820</v>
      </c>
      <c r="L7" s="700"/>
      <c r="M7" s="153"/>
    </row>
    <row r="8" spans="1:18" ht="15.75" customHeight="1">
      <c r="A8" s="684">
        <v>5</v>
      </c>
      <c r="B8" s="685" t="s">
        <v>133</v>
      </c>
      <c r="C8" s="375">
        <v>1</v>
      </c>
      <c r="D8" s="730" t="s">
        <v>943</v>
      </c>
      <c r="E8" s="731"/>
      <c r="F8" s="732"/>
      <c r="G8" s="247">
        <v>6</v>
      </c>
      <c r="H8" s="247">
        <v>1505.3310446180676</v>
      </c>
      <c r="I8" s="247">
        <v>250.88850743634458</v>
      </c>
      <c r="J8" s="244" t="s">
        <v>931</v>
      </c>
      <c r="K8" s="733" t="s">
        <v>944</v>
      </c>
      <c r="L8" s="723"/>
      <c r="M8" s="131"/>
      <c r="P8" s="257"/>
      <c r="Q8" s="257"/>
      <c r="R8" s="257"/>
    </row>
    <row r="9" spans="1:18" ht="15.75" customHeight="1">
      <c r="A9" s="684"/>
      <c r="B9" s="685"/>
      <c r="C9" s="375">
        <v>2</v>
      </c>
      <c r="D9" s="730" t="s">
        <v>945</v>
      </c>
      <c r="E9" s="731"/>
      <c r="F9" s="732"/>
      <c r="G9" s="247">
        <v>7</v>
      </c>
      <c r="H9" s="247">
        <v>1442.3585400625248</v>
      </c>
      <c r="I9" s="247">
        <v>206.05122000893206</v>
      </c>
      <c r="J9" s="245" t="s">
        <v>932</v>
      </c>
      <c r="K9" s="726"/>
      <c r="L9" s="727"/>
      <c r="M9" s="131"/>
      <c r="P9" s="257"/>
      <c r="Q9" s="257"/>
      <c r="R9" s="257"/>
    </row>
    <row r="10" spans="1:18" ht="15.75" customHeight="1">
      <c r="A10" s="684"/>
      <c r="B10" s="685"/>
      <c r="C10" s="375">
        <v>3</v>
      </c>
      <c r="D10" s="730" t="s">
        <v>946</v>
      </c>
      <c r="E10" s="731"/>
      <c r="F10" s="732"/>
      <c r="G10" s="247">
        <v>15</v>
      </c>
      <c r="H10" s="247">
        <v>1343.7285645210773</v>
      </c>
      <c r="I10" s="247">
        <v>89.581904301405146</v>
      </c>
      <c r="J10" s="244" t="s">
        <v>931</v>
      </c>
      <c r="K10" s="690"/>
      <c r="L10" s="691"/>
      <c r="M10" s="131"/>
      <c r="P10" s="257"/>
      <c r="Q10" s="257"/>
      <c r="R10" s="257"/>
    </row>
    <row r="11" spans="1:18" ht="15.75" customHeight="1">
      <c r="A11" s="684"/>
      <c r="B11" s="685"/>
      <c r="C11" s="375">
        <v>4</v>
      </c>
      <c r="D11" s="730" t="s">
        <v>947</v>
      </c>
      <c r="E11" s="731"/>
      <c r="F11" s="732"/>
      <c r="G11" s="247">
        <v>15</v>
      </c>
      <c r="H11" s="247">
        <v>1248.9207429356595</v>
      </c>
      <c r="I11" s="247">
        <v>83.261382862377303</v>
      </c>
      <c r="J11" s="244" t="s">
        <v>931</v>
      </c>
      <c r="K11" s="695"/>
      <c r="L11" s="691"/>
      <c r="M11" s="131"/>
      <c r="P11" s="257"/>
      <c r="Q11" s="257"/>
      <c r="R11" s="257"/>
    </row>
    <row r="12" spans="1:18" ht="15.75" customHeight="1">
      <c r="A12" s="684"/>
      <c r="B12" s="685"/>
      <c r="C12" s="375">
        <v>5</v>
      </c>
      <c r="D12" s="730" t="s">
        <v>948</v>
      </c>
      <c r="E12" s="731"/>
      <c r="F12" s="732"/>
      <c r="G12" s="247">
        <v>15.857142857142858</v>
      </c>
      <c r="H12" s="247">
        <v>1295.4199829873728</v>
      </c>
      <c r="I12" s="247">
        <v>81.737125560087421</v>
      </c>
      <c r="J12" s="244" t="s">
        <v>931</v>
      </c>
      <c r="K12" s="695"/>
      <c r="L12" s="691"/>
      <c r="M12" s="131"/>
      <c r="P12" s="257"/>
      <c r="Q12" s="257"/>
      <c r="R12" s="257"/>
    </row>
    <row r="13" spans="1:18" ht="15.75" customHeight="1">
      <c r="A13" s="684"/>
      <c r="B13" s="685"/>
      <c r="C13" s="166" t="s">
        <v>749</v>
      </c>
      <c r="D13" s="730" t="s">
        <v>949</v>
      </c>
      <c r="E13" s="731"/>
      <c r="F13" s="732"/>
      <c r="G13" s="247">
        <v>19.857142857142858</v>
      </c>
      <c r="H13" s="247">
        <v>1083.1321008412128</v>
      </c>
      <c r="I13" s="247">
        <v>54.563946926182709</v>
      </c>
      <c r="J13" s="246" t="s">
        <v>414</v>
      </c>
      <c r="K13" s="690"/>
      <c r="L13" s="691"/>
      <c r="M13" s="131"/>
      <c r="P13" s="257"/>
      <c r="Q13" s="257"/>
      <c r="R13" s="257"/>
    </row>
    <row r="14" spans="1:18" ht="15.75" customHeight="1">
      <c r="A14" s="684"/>
      <c r="B14" s="685"/>
      <c r="C14" s="166" t="s">
        <v>750</v>
      </c>
      <c r="D14" s="730" t="s">
        <v>950</v>
      </c>
      <c r="E14" s="731"/>
      <c r="F14" s="732"/>
      <c r="G14" s="247">
        <v>20</v>
      </c>
      <c r="H14" s="247">
        <v>1284.7893347097499</v>
      </c>
      <c r="I14" s="247">
        <v>64.239466735487483</v>
      </c>
      <c r="J14" s="245" t="s">
        <v>951</v>
      </c>
      <c r="K14" s="722" t="s">
        <v>952</v>
      </c>
      <c r="L14" s="723"/>
      <c r="M14" s="131"/>
      <c r="P14" s="257"/>
      <c r="Q14" s="257"/>
      <c r="R14" s="257"/>
    </row>
    <row r="15" spans="1:18" ht="15.75" customHeight="1">
      <c r="A15" s="684"/>
      <c r="B15" s="685"/>
      <c r="C15" s="166" t="s">
        <v>751</v>
      </c>
      <c r="D15" s="730" t="s">
        <v>953</v>
      </c>
      <c r="E15" s="731"/>
      <c r="F15" s="732"/>
      <c r="G15" s="247">
        <v>18</v>
      </c>
      <c r="H15" s="247">
        <v>1181.1458004749588</v>
      </c>
      <c r="I15" s="247">
        <v>65.619211137497715</v>
      </c>
      <c r="J15" s="245" t="s">
        <v>951</v>
      </c>
      <c r="K15" s="724"/>
      <c r="L15" s="725"/>
      <c r="M15" s="131"/>
      <c r="P15" s="257"/>
      <c r="Q15" s="257"/>
      <c r="R15" s="257"/>
    </row>
    <row r="16" spans="1:18" ht="15.75" customHeight="1">
      <c r="A16" s="684"/>
      <c r="B16" s="685"/>
      <c r="C16" s="166" t="s">
        <v>752</v>
      </c>
      <c r="D16" s="730" t="s">
        <v>954</v>
      </c>
      <c r="E16" s="731"/>
      <c r="F16" s="732"/>
      <c r="G16" s="247">
        <v>17.142857142857142</v>
      </c>
      <c r="H16" s="247">
        <v>1186.5475804998678</v>
      </c>
      <c r="I16" s="247">
        <v>69.240766767371909</v>
      </c>
      <c r="J16" s="246" t="s">
        <v>414</v>
      </c>
      <c r="K16" s="724"/>
      <c r="L16" s="725"/>
      <c r="M16" s="152"/>
      <c r="P16" s="257"/>
      <c r="Q16" s="257"/>
      <c r="R16" s="257"/>
    </row>
    <row r="17" spans="1:18" ht="15.75" customHeight="1">
      <c r="A17" s="684"/>
      <c r="B17" s="685"/>
      <c r="C17" s="166" t="s">
        <v>753</v>
      </c>
      <c r="D17" s="730" t="s">
        <v>955</v>
      </c>
      <c r="E17" s="731"/>
      <c r="F17" s="732"/>
      <c r="G17" s="247">
        <v>18</v>
      </c>
      <c r="H17" s="247">
        <v>1268.3272880951624</v>
      </c>
      <c r="I17" s="247">
        <v>70.462627116397911</v>
      </c>
      <c r="J17" s="245" t="s">
        <v>951</v>
      </c>
      <c r="K17" s="726"/>
      <c r="L17" s="727"/>
      <c r="M17" s="152"/>
      <c r="P17" s="257"/>
      <c r="Q17" s="257"/>
      <c r="R17" s="257"/>
    </row>
    <row r="18" spans="1:18" s="162" customFormat="1" ht="15.75" customHeight="1">
      <c r="A18" s="678" t="s">
        <v>187</v>
      </c>
      <c r="B18" s="678"/>
      <c r="C18" s="374" t="s">
        <v>754</v>
      </c>
      <c r="D18" s="678" t="s">
        <v>12</v>
      </c>
      <c r="E18" s="679"/>
      <c r="F18" s="679"/>
      <c r="G18" s="535" t="s">
        <v>956</v>
      </c>
      <c r="H18" s="535" t="s">
        <v>957</v>
      </c>
      <c r="I18" s="535" t="s">
        <v>958</v>
      </c>
      <c r="J18" s="224" t="s">
        <v>959</v>
      </c>
      <c r="K18" s="678" t="s">
        <v>960</v>
      </c>
      <c r="L18" s="679"/>
      <c r="M18" s="155"/>
    </row>
    <row r="19" spans="1:18" ht="15.75" customHeight="1">
      <c r="A19" s="684">
        <v>6</v>
      </c>
      <c r="B19" s="685" t="s">
        <v>131</v>
      </c>
      <c r="C19" s="375">
        <v>1</v>
      </c>
      <c r="D19" s="730" t="s">
        <v>961</v>
      </c>
      <c r="E19" s="731"/>
      <c r="F19" s="732"/>
      <c r="G19" s="247">
        <v>17.142857142857142</v>
      </c>
      <c r="H19" s="247">
        <v>1376.4817065802256</v>
      </c>
      <c r="I19" s="247">
        <v>80.30284548511132</v>
      </c>
      <c r="J19" s="244" t="s">
        <v>962</v>
      </c>
      <c r="K19" s="718"/>
      <c r="L19" s="691"/>
      <c r="M19" s="152"/>
      <c r="P19" s="257"/>
      <c r="Q19" s="257"/>
      <c r="R19" s="257"/>
    </row>
    <row r="20" spans="1:18" ht="15.75" customHeight="1">
      <c r="A20" s="684"/>
      <c r="B20" s="685"/>
      <c r="C20" s="375">
        <v>2</v>
      </c>
      <c r="D20" s="730" t="s">
        <v>963</v>
      </c>
      <c r="E20" s="731"/>
      <c r="F20" s="732"/>
      <c r="G20" s="247">
        <v>16.142857142857142</v>
      </c>
      <c r="H20" s="247">
        <v>1265.706343532752</v>
      </c>
      <c r="I20" s="247">
        <v>78.435162924107289</v>
      </c>
      <c r="J20" s="245" t="s">
        <v>951</v>
      </c>
      <c r="K20" s="718" t="s">
        <v>964</v>
      </c>
      <c r="L20" s="691"/>
      <c r="M20" s="152"/>
      <c r="P20" s="257"/>
      <c r="Q20" s="257"/>
      <c r="R20" s="257"/>
    </row>
    <row r="21" spans="1:18" ht="15.75" customHeight="1">
      <c r="A21" s="684"/>
      <c r="B21" s="685"/>
      <c r="C21" s="375">
        <v>3</v>
      </c>
      <c r="D21" s="730" t="s">
        <v>965</v>
      </c>
      <c r="E21" s="731"/>
      <c r="F21" s="732"/>
      <c r="G21" s="247">
        <v>15</v>
      </c>
      <c r="H21" s="247">
        <v>1148.3185274109685</v>
      </c>
      <c r="I21" s="247">
        <v>76.554568494064569</v>
      </c>
      <c r="J21" s="244" t="s">
        <v>962</v>
      </c>
      <c r="K21" s="718"/>
      <c r="L21" s="691"/>
      <c r="M21" s="152"/>
      <c r="P21" s="257"/>
      <c r="Q21" s="257"/>
      <c r="R21" s="257"/>
    </row>
    <row r="22" spans="1:18" ht="15.75" customHeight="1">
      <c r="A22" s="684"/>
      <c r="B22" s="685"/>
      <c r="C22" s="375">
        <v>4</v>
      </c>
      <c r="D22" s="730" t="s">
        <v>966</v>
      </c>
      <c r="E22" s="731"/>
      <c r="F22" s="732"/>
      <c r="G22" s="247">
        <v>17</v>
      </c>
      <c r="H22" s="247">
        <v>1276.9340338178361</v>
      </c>
      <c r="I22" s="247">
        <v>75.113766695166831</v>
      </c>
      <c r="J22" s="246" t="s">
        <v>414</v>
      </c>
      <c r="K22" s="718"/>
      <c r="L22" s="691"/>
      <c r="M22" s="152"/>
      <c r="P22" s="257"/>
      <c r="Q22" s="257"/>
      <c r="R22" s="257"/>
    </row>
    <row r="23" spans="1:18" ht="15.75" customHeight="1">
      <c r="A23" s="684"/>
      <c r="B23" s="685"/>
      <c r="C23" s="375">
        <v>5</v>
      </c>
      <c r="D23" s="730" t="s">
        <v>967</v>
      </c>
      <c r="E23" s="731"/>
      <c r="F23" s="732"/>
      <c r="G23" s="247">
        <v>17</v>
      </c>
      <c r="H23" s="247">
        <v>1230.6446369617897</v>
      </c>
      <c r="I23" s="247">
        <v>72.390860997752341</v>
      </c>
      <c r="J23" s="245" t="s">
        <v>951</v>
      </c>
      <c r="K23" s="718" t="s">
        <v>968</v>
      </c>
      <c r="L23" s="691"/>
      <c r="M23" s="152"/>
      <c r="P23" s="257"/>
      <c r="Q23" s="257"/>
      <c r="R23" s="257"/>
    </row>
    <row r="24" spans="1:18" ht="15.75" customHeight="1">
      <c r="A24" s="684"/>
      <c r="B24" s="685"/>
      <c r="C24" s="166" t="s">
        <v>749</v>
      </c>
      <c r="D24" s="730" t="s">
        <v>969</v>
      </c>
      <c r="E24" s="731"/>
      <c r="F24" s="732"/>
      <c r="G24" s="247">
        <v>20</v>
      </c>
      <c r="H24" s="247">
        <v>1232.8712977410801</v>
      </c>
      <c r="I24" s="247">
        <v>61.643564887054005</v>
      </c>
      <c r="J24" s="246" t="s">
        <v>414</v>
      </c>
      <c r="K24" s="728"/>
      <c r="L24" s="729"/>
      <c r="M24" s="152"/>
      <c r="P24" s="257"/>
      <c r="Q24" s="257"/>
      <c r="R24" s="257"/>
    </row>
    <row r="25" spans="1:18" ht="15.75" customHeight="1">
      <c r="A25" s="684"/>
      <c r="B25" s="685"/>
      <c r="C25" s="166" t="s">
        <v>750</v>
      </c>
      <c r="D25" s="730" t="s">
        <v>970</v>
      </c>
      <c r="E25" s="731"/>
      <c r="F25" s="732"/>
      <c r="G25" s="247">
        <v>19</v>
      </c>
      <c r="H25" s="247">
        <v>1232.1685696337522</v>
      </c>
      <c r="I25" s="247">
        <v>64.850977349144856</v>
      </c>
      <c r="J25" s="246" t="s">
        <v>414</v>
      </c>
      <c r="K25" s="728"/>
      <c r="L25" s="729"/>
      <c r="M25" s="152"/>
      <c r="P25" s="257"/>
      <c r="Q25" s="257"/>
      <c r="R25" s="257"/>
    </row>
    <row r="26" spans="1:18" ht="15.75" customHeight="1">
      <c r="A26" s="684"/>
      <c r="B26" s="685"/>
      <c r="C26" s="166" t="s">
        <v>751</v>
      </c>
      <c r="D26" s="730" t="s">
        <v>971</v>
      </c>
      <c r="E26" s="731"/>
      <c r="F26" s="732"/>
      <c r="G26" s="247">
        <v>19</v>
      </c>
      <c r="H26" s="247">
        <v>1281.1805981585453</v>
      </c>
      <c r="I26" s="247">
        <v>67.430557797818182</v>
      </c>
      <c r="J26" s="246" t="s">
        <v>414</v>
      </c>
      <c r="K26" s="728"/>
      <c r="L26" s="729"/>
      <c r="M26" s="152"/>
      <c r="P26" s="257"/>
      <c r="Q26" s="257"/>
      <c r="R26" s="257"/>
    </row>
    <row r="27" spans="1:18" ht="15.75" customHeight="1">
      <c r="A27" s="684"/>
      <c r="B27" s="685"/>
      <c r="C27" s="166" t="s">
        <v>752</v>
      </c>
      <c r="D27" s="730" t="s">
        <v>972</v>
      </c>
      <c r="E27" s="731"/>
      <c r="F27" s="732"/>
      <c r="G27" s="247">
        <v>18</v>
      </c>
      <c r="H27" s="247">
        <v>1275.3750669022852</v>
      </c>
      <c r="I27" s="247">
        <v>70.854170383460286</v>
      </c>
      <c r="J27" s="245" t="s">
        <v>951</v>
      </c>
      <c r="K27" s="728" t="s">
        <v>973</v>
      </c>
      <c r="L27" s="729"/>
      <c r="M27" s="152"/>
      <c r="P27" s="257"/>
      <c r="Q27" s="257"/>
      <c r="R27" s="257"/>
    </row>
    <row r="28" spans="1:18" ht="15.75" customHeight="1">
      <c r="A28" s="684"/>
      <c r="B28" s="685"/>
      <c r="C28" s="166" t="s">
        <v>753</v>
      </c>
      <c r="D28" s="730" t="s">
        <v>974</v>
      </c>
      <c r="E28" s="731"/>
      <c r="F28" s="732"/>
      <c r="G28" s="247">
        <v>18</v>
      </c>
      <c r="H28" s="247">
        <v>1275.4435829458857</v>
      </c>
      <c r="I28" s="247">
        <v>70.857976830327004</v>
      </c>
      <c r="J28" s="244" t="s">
        <v>962</v>
      </c>
      <c r="K28" s="728"/>
      <c r="L28" s="729"/>
      <c r="M28" s="152"/>
      <c r="P28" s="257"/>
      <c r="Q28" s="257"/>
      <c r="R28" s="257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9">
    <mergeCell ref="D28:F28"/>
    <mergeCell ref="K11:L11"/>
    <mergeCell ref="A19:A28"/>
    <mergeCell ref="B19:B28"/>
    <mergeCell ref="D15:F15"/>
    <mergeCell ref="D16:F16"/>
    <mergeCell ref="D17:F17"/>
    <mergeCell ref="K19:L19"/>
    <mergeCell ref="A8:A17"/>
    <mergeCell ref="B8:B17"/>
    <mergeCell ref="A18:B18"/>
    <mergeCell ref="D18:F18"/>
    <mergeCell ref="D8:F8"/>
    <mergeCell ref="D27:F27"/>
    <mergeCell ref="D19:F19"/>
    <mergeCell ref="D20:F20"/>
    <mergeCell ref="A1:L2"/>
    <mergeCell ref="D9:F9"/>
    <mergeCell ref="D11:F11"/>
    <mergeCell ref="D14:F14"/>
    <mergeCell ref="D13:F13"/>
    <mergeCell ref="D10:F10"/>
    <mergeCell ref="D12:F12"/>
    <mergeCell ref="A3:L4"/>
    <mergeCell ref="A5:A6"/>
    <mergeCell ref="A7:B7"/>
    <mergeCell ref="D7:F7"/>
    <mergeCell ref="K7:L7"/>
    <mergeCell ref="K8:L9"/>
    <mergeCell ref="K12:L12"/>
    <mergeCell ref="K13:L13"/>
    <mergeCell ref="K10:L10"/>
    <mergeCell ref="D21:F21"/>
    <mergeCell ref="D24:F24"/>
    <mergeCell ref="D25:F25"/>
    <mergeCell ref="D26:F26"/>
    <mergeCell ref="D22:F22"/>
    <mergeCell ref="D23:F23"/>
    <mergeCell ref="K24:L24"/>
    <mergeCell ref="K25:L25"/>
    <mergeCell ref="K26:L26"/>
    <mergeCell ref="K27:L27"/>
    <mergeCell ref="K28:L28"/>
    <mergeCell ref="K14:L17"/>
    <mergeCell ref="K22:L22"/>
    <mergeCell ref="K23:L23"/>
    <mergeCell ref="K20:L20"/>
    <mergeCell ref="K21:L21"/>
    <mergeCell ref="K18:L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3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72" t="s">
        <v>204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120"/>
    </row>
    <row r="2" spans="1:13" s="121" customFormat="1" ht="15.75" customHeight="1">
      <c r="A2" s="572"/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</row>
    <row r="3" spans="1:13" ht="15.75" customHeight="1">
      <c r="A3" s="701" t="s">
        <v>205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152"/>
    </row>
    <row r="4" spans="1:13" s="121" customFormat="1" ht="15.75" customHeight="1">
      <c r="A4" s="701"/>
      <c r="B4" s="701"/>
      <c r="C4" s="701"/>
      <c r="D4" s="701"/>
      <c r="E4" s="701"/>
      <c r="F4" s="701"/>
      <c r="G4" s="701"/>
      <c r="H4" s="701"/>
      <c r="I4" s="701"/>
      <c r="J4" s="701"/>
      <c r="K4" s="701"/>
      <c r="L4" s="701"/>
      <c r="M4" s="131"/>
    </row>
    <row r="5" spans="1:13" s="154" customFormat="1" ht="16.399999999999999" customHeight="1">
      <c r="A5" s="737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7">
        <v>7</v>
      </c>
      <c r="I5" s="167">
        <v>8</v>
      </c>
      <c r="J5" s="156">
        <v>9</v>
      </c>
      <c r="K5" s="153"/>
      <c r="L5" s="153"/>
      <c r="M5" s="153"/>
    </row>
    <row r="6" spans="1:13" ht="16.399999999999999" customHeight="1">
      <c r="A6" s="739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8" t="s">
        <v>208</v>
      </c>
      <c r="I6" s="170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50" t="s">
        <v>187</v>
      </c>
      <c r="B7" s="751"/>
      <c r="C7" s="163" t="s">
        <v>47</v>
      </c>
      <c r="D7" s="750" t="s">
        <v>12</v>
      </c>
      <c r="E7" s="752"/>
      <c r="F7" s="751"/>
      <c r="G7" s="444" t="s">
        <v>816</v>
      </c>
      <c r="H7" s="444" t="s">
        <v>817</v>
      </c>
      <c r="I7" s="444" t="s">
        <v>818</v>
      </c>
      <c r="J7" s="224" t="s">
        <v>819</v>
      </c>
      <c r="K7" s="750" t="s">
        <v>820</v>
      </c>
      <c r="L7" s="751"/>
      <c r="M7" s="153"/>
    </row>
    <row r="8" spans="1:13" ht="15.75" customHeight="1">
      <c r="A8" s="737">
        <v>7</v>
      </c>
      <c r="B8" s="740" t="s">
        <v>135</v>
      </c>
      <c r="C8" s="313">
        <v>1</v>
      </c>
      <c r="D8" s="734" t="s">
        <v>828</v>
      </c>
      <c r="E8" s="735"/>
      <c r="F8" s="736"/>
      <c r="G8" s="242">
        <v>12.285714285714286</v>
      </c>
      <c r="H8" s="242">
        <v>1293.7857992402096</v>
      </c>
      <c r="I8" s="242">
        <v>105.38750828447668</v>
      </c>
      <c r="J8" s="246" t="s">
        <v>414</v>
      </c>
      <c r="K8" s="743"/>
      <c r="L8" s="721"/>
      <c r="M8" s="131"/>
    </row>
    <row r="9" spans="1:13" ht="15.75" customHeight="1">
      <c r="A9" s="738"/>
      <c r="B9" s="741"/>
      <c r="C9" s="313">
        <v>2</v>
      </c>
      <c r="D9" s="734" t="s">
        <v>664</v>
      </c>
      <c r="E9" s="735"/>
      <c r="F9" s="736"/>
      <c r="G9" s="242">
        <v>17.285714285714285</v>
      </c>
      <c r="H9" s="242">
        <v>1452.1584068808122</v>
      </c>
      <c r="I9" s="242">
        <v>84.066415890948136</v>
      </c>
      <c r="J9" s="244" t="s">
        <v>931</v>
      </c>
      <c r="K9" s="743"/>
      <c r="L9" s="721"/>
      <c r="M9" s="131"/>
    </row>
    <row r="10" spans="1:13" ht="15.75" customHeight="1">
      <c r="A10" s="738"/>
      <c r="B10" s="741"/>
      <c r="C10" s="313">
        <v>3</v>
      </c>
      <c r="D10" s="734" t="s">
        <v>349</v>
      </c>
      <c r="E10" s="735"/>
      <c r="F10" s="736"/>
      <c r="G10" s="242">
        <v>17.857142857142858</v>
      </c>
      <c r="H10" s="242">
        <v>1461.7207594141494</v>
      </c>
      <c r="I10" s="242">
        <v>81.877386218195468</v>
      </c>
      <c r="J10" s="245" t="s">
        <v>932</v>
      </c>
      <c r="K10" s="743" t="s">
        <v>975</v>
      </c>
      <c r="L10" s="721"/>
      <c r="M10" s="131"/>
    </row>
    <row r="11" spans="1:13" ht="15.75" customHeight="1">
      <c r="A11" s="738"/>
      <c r="B11" s="741"/>
      <c r="C11" s="313">
        <v>4</v>
      </c>
      <c r="D11" s="734" t="s">
        <v>395</v>
      </c>
      <c r="E11" s="735"/>
      <c r="F11" s="736"/>
      <c r="G11" s="242">
        <v>18</v>
      </c>
      <c r="H11" s="242">
        <v>1450.4694270999319</v>
      </c>
      <c r="I11" s="242">
        <v>80.581634838885094</v>
      </c>
      <c r="J11" s="246" t="s">
        <v>414</v>
      </c>
      <c r="K11" s="743"/>
      <c r="L11" s="721"/>
      <c r="M11" s="131"/>
    </row>
    <row r="12" spans="1:13" ht="15.75" customHeight="1">
      <c r="A12" s="738"/>
      <c r="B12" s="741"/>
      <c r="C12" s="313">
        <v>5</v>
      </c>
      <c r="D12" s="734" t="s">
        <v>929</v>
      </c>
      <c r="E12" s="735"/>
      <c r="F12" s="736"/>
      <c r="G12" s="242">
        <v>17.571428571428573</v>
      </c>
      <c r="H12" s="242">
        <v>1328.8323301576772</v>
      </c>
      <c r="I12" s="242">
        <v>75.697781572999546</v>
      </c>
      <c r="J12" s="246" t="s">
        <v>414</v>
      </c>
      <c r="K12" s="728"/>
      <c r="L12" s="729"/>
      <c r="M12" s="131"/>
    </row>
    <row r="13" spans="1:13" ht="15.75" customHeight="1">
      <c r="A13" s="738"/>
      <c r="B13" s="741"/>
      <c r="C13" s="166" t="s">
        <v>523</v>
      </c>
      <c r="D13" s="734" t="s">
        <v>891</v>
      </c>
      <c r="E13" s="735"/>
      <c r="F13" s="736"/>
      <c r="G13" s="242">
        <v>20</v>
      </c>
      <c r="H13" s="242">
        <v>1009.7623502496675</v>
      </c>
      <c r="I13" s="242">
        <v>50.488117512483385</v>
      </c>
      <c r="J13" s="245" t="s">
        <v>932</v>
      </c>
      <c r="K13" s="744" t="s">
        <v>976</v>
      </c>
      <c r="L13" s="745"/>
      <c r="M13" s="131"/>
    </row>
    <row r="14" spans="1:13" ht="15.75" customHeight="1">
      <c r="A14" s="738"/>
      <c r="B14" s="741"/>
      <c r="C14" s="166" t="s">
        <v>524</v>
      </c>
      <c r="D14" s="734" t="s">
        <v>875</v>
      </c>
      <c r="E14" s="735"/>
      <c r="F14" s="736"/>
      <c r="G14" s="242">
        <v>20</v>
      </c>
      <c r="H14" s="242">
        <v>1059.0707148552779</v>
      </c>
      <c r="I14" s="242">
        <v>52.953535742763883</v>
      </c>
      <c r="J14" s="244" t="s">
        <v>931</v>
      </c>
      <c r="K14" s="746"/>
      <c r="L14" s="747"/>
      <c r="M14" s="131"/>
    </row>
    <row r="15" spans="1:13" ht="15.75" customHeight="1">
      <c r="A15" s="738"/>
      <c r="B15" s="741"/>
      <c r="C15" s="166" t="s">
        <v>525</v>
      </c>
      <c r="D15" s="734" t="s">
        <v>894</v>
      </c>
      <c r="E15" s="735"/>
      <c r="F15" s="736"/>
      <c r="G15" s="242">
        <v>19.857142857142858</v>
      </c>
      <c r="H15" s="242">
        <v>1073.7429263141473</v>
      </c>
      <c r="I15" s="242">
        <v>54.085179861109346</v>
      </c>
      <c r="J15" s="246" t="s">
        <v>414</v>
      </c>
      <c r="K15" s="746"/>
      <c r="L15" s="747"/>
      <c r="M15" s="131"/>
    </row>
    <row r="16" spans="1:13" ht="15.75" customHeight="1">
      <c r="A16" s="738"/>
      <c r="B16" s="741"/>
      <c r="C16" s="166" t="s">
        <v>526</v>
      </c>
      <c r="D16" s="734" t="s">
        <v>881</v>
      </c>
      <c r="E16" s="735"/>
      <c r="F16" s="736"/>
      <c r="G16" s="242">
        <v>19</v>
      </c>
      <c r="H16" s="242">
        <v>1076.6652652015682</v>
      </c>
      <c r="I16" s="242">
        <v>56.666592905345695</v>
      </c>
      <c r="J16" s="246" t="s">
        <v>414</v>
      </c>
      <c r="K16" s="748"/>
      <c r="L16" s="749"/>
      <c r="M16" s="152"/>
    </row>
    <row r="17" spans="1:13" ht="15.75" customHeight="1">
      <c r="A17" s="739"/>
      <c r="B17" s="742"/>
      <c r="C17" s="166" t="s">
        <v>527</v>
      </c>
      <c r="D17" s="734" t="s">
        <v>886</v>
      </c>
      <c r="E17" s="735"/>
      <c r="F17" s="736"/>
      <c r="G17" s="242">
        <v>18.857142857142858</v>
      </c>
      <c r="H17" s="242">
        <v>1363.4882260596546</v>
      </c>
      <c r="I17" s="242">
        <v>72.338979316422922</v>
      </c>
      <c r="J17" s="245" t="s">
        <v>932</v>
      </c>
      <c r="K17" s="743" t="s">
        <v>975</v>
      </c>
      <c r="L17" s="721"/>
      <c r="M17" s="152"/>
    </row>
    <row r="18" spans="1:13" s="162" customFormat="1" ht="15.75" customHeight="1">
      <c r="A18" s="703" t="s">
        <v>187</v>
      </c>
      <c r="B18" s="705"/>
      <c r="C18" s="314" t="s">
        <v>528</v>
      </c>
      <c r="D18" s="703" t="s">
        <v>12</v>
      </c>
      <c r="E18" s="704"/>
      <c r="F18" s="705"/>
      <c r="G18" s="535" t="s">
        <v>934</v>
      </c>
      <c r="H18" s="535" t="s">
        <v>935</v>
      </c>
      <c r="I18" s="535" t="s">
        <v>936</v>
      </c>
      <c r="J18" s="224" t="s">
        <v>937</v>
      </c>
      <c r="K18" s="703" t="s">
        <v>938</v>
      </c>
      <c r="L18" s="705"/>
      <c r="M18" s="155"/>
    </row>
    <row r="19" spans="1:13" ht="15.75" customHeight="1">
      <c r="A19" s="737">
        <v>8</v>
      </c>
      <c r="B19" s="740" t="s">
        <v>136</v>
      </c>
      <c r="C19" s="313">
        <v>1</v>
      </c>
      <c r="D19" s="734" t="s">
        <v>977</v>
      </c>
      <c r="E19" s="735" t="s">
        <v>399</v>
      </c>
      <c r="F19" s="736" t="s">
        <v>399</v>
      </c>
      <c r="G19" s="242">
        <v>19</v>
      </c>
      <c r="H19" s="242">
        <v>2439.4395951526008</v>
      </c>
      <c r="I19" s="242">
        <v>128.39155763961054</v>
      </c>
      <c r="J19" s="246" t="s">
        <v>414</v>
      </c>
      <c r="K19" s="719"/>
      <c r="L19" s="721"/>
      <c r="M19" s="152"/>
    </row>
    <row r="20" spans="1:13" ht="15.75" customHeight="1">
      <c r="A20" s="738"/>
      <c r="B20" s="741"/>
      <c r="C20" s="313">
        <v>2</v>
      </c>
      <c r="D20" s="734" t="s">
        <v>397</v>
      </c>
      <c r="E20" s="735" t="s">
        <v>397</v>
      </c>
      <c r="F20" s="736" t="s">
        <v>397</v>
      </c>
      <c r="G20" s="242">
        <v>19</v>
      </c>
      <c r="H20" s="242">
        <v>2434.8750614600908</v>
      </c>
      <c r="I20" s="242">
        <v>128.1513190242153</v>
      </c>
      <c r="J20" s="244" t="s">
        <v>931</v>
      </c>
      <c r="K20" s="719"/>
      <c r="L20" s="721"/>
      <c r="M20" s="152"/>
    </row>
    <row r="21" spans="1:13" ht="15.75" customHeight="1">
      <c r="A21" s="738"/>
      <c r="B21" s="741"/>
      <c r="C21" s="313">
        <v>3</v>
      </c>
      <c r="D21" s="734" t="s">
        <v>978</v>
      </c>
      <c r="E21" s="735"/>
      <c r="F21" s="736"/>
      <c r="G21" s="242">
        <v>20</v>
      </c>
      <c r="H21" s="242">
        <v>2449.0656514270681</v>
      </c>
      <c r="I21" s="242">
        <v>122.45328257135341</v>
      </c>
      <c r="J21" s="245" t="s">
        <v>932</v>
      </c>
      <c r="K21" s="753" t="s">
        <v>933</v>
      </c>
      <c r="L21" s="754"/>
      <c r="M21" s="152"/>
    </row>
    <row r="22" spans="1:13" ht="15.75" customHeight="1">
      <c r="A22" s="738"/>
      <c r="B22" s="741"/>
      <c r="C22" s="313">
        <v>4</v>
      </c>
      <c r="D22" s="734" t="s">
        <v>396</v>
      </c>
      <c r="E22" s="735"/>
      <c r="F22" s="736" t="s">
        <v>396</v>
      </c>
      <c r="G22" s="242">
        <v>19.428571428571427</v>
      </c>
      <c r="H22" s="242">
        <v>2117.046893292928</v>
      </c>
      <c r="I22" s="242">
        <v>109.04912716863048</v>
      </c>
      <c r="J22" s="246" t="s">
        <v>414</v>
      </c>
      <c r="K22" s="719"/>
      <c r="L22" s="721"/>
      <c r="M22" s="152"/>
    </row>
    <row r="23" spans="1:13" ht="15.75" customHeight="1">
      <c r="A23" s="738"/>
      <c r="B23" s="741"/>
      <c r="C23" s="313">
        <v>5</v>
      </c>
      <c r="D23" s="734" t="s">
        <v>838</v>
      </c>
      <c r="E23" s="735"/>
      <c r="F23" s="736"/>
      <c r="G23" s="242">
        <v>20</v>
      </c>
      <c r="H23" s="242">
        <v>2125.5752311647079</v>
      </c>
      <c r="I23" s="242">
        <v>106.27876155823544</v>
      </c>
      <c r="J23" s="246" t="s">
        <v>414</v>
      </c>
      <c r="K23" s="719"/>
      <c r="L23" s="721"/>
      <c r="M23" s="152"/>
    </row>
    <row r="24" spans="1:13" ht="15.75" customHeight="1">
      <c r="A24" s="738"/>
      <c r="B24" s="741"/>
      <c r="C24" s="166" t="s">
        <v>523</v>
      </c>
      <c r="D24" s="734"/>
      <c r="E24" s="735"/>
      <c r="F24" s="736"/>
      <c r="G24" s="242"/>
      <c r="H24" s="242"/>
      <c r="I24" s="242"/>
      <c r="J24" s="246"/>
      <c r="K24" s="719"/>
      <c r="L24" s="721"/>
      <c r="M24" s="152"/>
    </row>
    <row r="25" spans="1:13" ht="15.75" customHeight="1">
      <c r="A25" s="738"/>
      <c r="B25" s="741"/>
      <c r="C25" s="166" t="s">
        <v>524</v>
      </c>
      <c r="D25" s="734"/>
      <c r="E25" s="735"/>
      <c r="F25" s="736"/>
      <c r="G25" s="242"/>
      <c r="H25" s="242"/>
      <c r="I25" s="242"/>
      <c r="J25" s="246"/>
      <c r="K25" s="706"/>
      <c r="L25" s="707"/>
      <c r="M25" s="152"/>
    </row>
    <row r="26" spans="1:13" ht="15.75" customHeight="1">
      <c r="A26" s="738"/>
      <c r="B26" s="741"/>
      <c r="C26" s="166" t="s">
        <v>525</v>
      </c>
      <c r="D26" s="734"/>
      <c r="E26" s="735"/>
      <c r="F26" s="736"/>
      <c r="G26" s="242"/>
      <c r="H26" s="242"/>
      <c r="I26" s="242"/>
      <c r="J26" s="246"/>
      <c r="K26" s="706"/>
      <c r="L26" s="707"/>
      <c r="M26" s="152"/>
    </row>
    <row r="27" spans="1:13" ht="15.75" customHeight="1">
      <c r="A27" s="738"/>
      <c r="B27" s="741"/>
      <c r="C27" s="166" t="s">
        <v>526</v>
      </c>
      <c r="D27" s="734"/>
      <c r="E27" s="735"/>
      <c r="F27" s="736"/>
      <c r="G27" s="506"/>
      <c r="H27" s="506"/>
      <c r="I27" s="506"/>
      <c r="J27" s="506"/>
      <c r="K27" s="706"/>
      <c r="L27" s="707"/>
      <c r="M27" s="152"/>
    </row>
    <row r="28" spans="1:13" ht="15.75" customHeight="1">
      <c r="A28" s="739"/>
      <c r="B28" s="742"/>
      <c r="C28" s="166" t="s">
        <v>527</v>
      </c>
      <c r="D28" s="734"/>
      <c r="E28" s="735"/>
      <c r="F28" s="736"/>
      <c r="G28" s="506"/>
      <c r="H28" s="506"/>
      <c r="I28" s="506"/>
      <c r="J28" s="506"/>
      <c r="K28" s="706"/>
      <c r="L28" s="707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0">
    <mergeCell ref="D27:F27"/>
    <mergeCell ref="K27:L27"/>
    <mergeCell ref="D26:F26"/>
    <mergeCell ref="K26:L26"/>
    <mergeCell ref="A18:B18"/>
    <mergeCell ref="D18:F18"/>
    <mergeCell ref="K18:L18"/>
    <mergeCell ref="A19:A28"/>
    <mergeCell ref="B19:B28"/>
    <mergeCell ref="D20:F20"/>
    <mergeCell ref="D19:F19"/>
    <mergeCell ref="D21:F21"/>
    <mergeCell ref="D28:F28"/>
    <mergeCell ref="K28:L28"/>
    <mergeCell ref="K21:L21"/>
    <mergeCell ref="K24:L24"/>
    <mergeCell ref="A1:L2"/>
    <mergeCell ref="K8:L8"/>
    <mergeCell ref="D8:F8"/>
    <mergeCell ref="D9:F9"/>
    <mergeCell ref="D16:F16"/>
    <mergeCell ref="D11:F11"/>
    <mergeCell ref="D13:F13"/>
    <mergeCell ref="D14:F14"/>
    <mergeCell ref="D12:F12"/>
    <mergeCell ref="K9:L9"/>
    <mergeCell ref="A3:L4"/>
    <mergeCell ref="K12:L12"/>
    <mergeCell ref="A5:A6"/>
    <mergeCell ref="A7:B7"/>
    <mergeCell ref="D7:F7"/>
    <mergeCell ref="K7:L7"/>
    <mergeCell ref="A8:A17"/>
    <mergeCell ref="B8:B17"/>
    <mergeCell ref="D10:F10"/>
    <mergeCell ref="K17:L17"/>
    <mergeCell ref="D15:F15"/>
    <mergeCell ref="K10:L10"/>
    <mergeCell ref="K11:L11"/>
    <mergeCell ref="K13:L16"/>
    <mergeCell ref="D25:F25"/>
    <mergeCell ref="K25:L25"/>
    <mergeCell ref="D17:F17"/>
    <mergeCell ref="D23:F23"/>
    <mergeCell ref="D24:F24"/>
    <mergeCell ref="D22:F22"/>
    <mergeCell ref="K19:L19"/>
    <mergeCell ref="K20:L20"/>
    <mergeCell ref="K22:L22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J23" sqref="J23"/>
    </sheetView>
  </sheetViews>
  <sheetFormatPr defaultColWidth="12.54296875" defaultRowHeight="15.75" customHeight="1"/>
  <cols>
    <col min="1" max="1" width="6.453125" style="120" customWidth="1"/>
    <col min="2" max="10" width="11.54296875" style="120" customWidth="1"/>
    <col min="11" max="12" width="12.81640625" style="120" customWidth="1"/>
    <col min="13" max="13" width="12.54296875" style="121"/>
    <col min="14" max="16384" width="12.54296875" style="120"/>
  </cols>
  <sheetData>
    <row r="1" spans="1:13" ht="15.75" customHeight="1">
      <c r="A1" s="572" t="s">
        <v>204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120"/>
    </row>
    <row r="2" spans="1:13" s="121" customFormat="1" ht="15.75" customHeight="1">
      <c r="A2" s="572"/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</row>
    <row r="3" spans="1:13" ht="15.75" customHeight="1">
      <c r="A3" s="701" t="s">
        <v>205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152"/>
    </row>
    <row r="4" spans="1:13" s="121" customFormat="1" ht="15.75" customHeight="1">
      <c r="A4" s="701"/>
      <c r="B4" s="701"/>
      <c r="C4" s="701"/>
      <c r="D4" s="701"/>
      <c r="E4" s="701"/>
      <c r="F4" s="701"/>
      <c r="G4" s="701"/>
      <c r="H4" s="701"/>
      <c r="I4" s="701"/>
      <c r="J4" s="701"/>
      <c r="K4" s="701"/>
      <c r="L4" s="701"/>
      <c r="M4" s="131"/>
    </row>
    <row r="5" spans="1:13" s="154" customFormat="1" ht="16.399999999999999" customHeight="1">
      <c r="A5" s="737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7">
        <v>9</v>
      </c>
      <c r="K5" s="153"/>
      <c r="L5" s="153"/>
      <c r="M5" s="153"/>
    </row>
    <row r="6" spans="1:13" ht="16.399999999999999" customHeight="1">
      <c r="A6" s="739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70" t="s">
        <v>137</v>
      </c>
      <c r="K6" s="155"/>
      <c r="L6" s="155"/>
      <c r="M6" s="131"/>
    </row>
    <row r="7" spans="1:13" s="154" customFormat="1" ht="15.75" customHeight="1">
      <c r="A7" s="750" t="s">
        <v>187</v>
      </c>
      <c r="B7" s="751"/>
      <c r="C7" s="289" t="s">
        <v>461</v>
      </c>
      <c r="D7" s="750" t="s">
        <v>12</v>
      </c>
      <c r="E7" s="752"/>
      <c r="F7" s="751"/>
      <c r="G7" s="444" t="s">
        <v>816</v>
      </c>
      <c r="H7" s="444" t="s">
        <v>817</v>
      </c>
      <c r="I7" s="444" t="s">
        <v>818</v>
      </c>
      <c r="J7" s="224" t="s">
        <v>819</v>
      </c>
      <c r="K7" s="750" t="s">
        <v>820</v>
      </c>
      <c r="L7" s="751"/>
      <c r="M7" s="153"/>
    </row>
    <row r="8" spans="1:13" ht="15.75" customHeight="1">
      <c r="A8" s="737">
        <f>J5</f>
        <v>9</v>
      </c>
      <c r="B8" s="740" t="str">
        <f>J6</f>
        <v>微波小吃</v>
      </c>
      <c r="C8" s="375">
        <v>1</v>
      </c>
      <c r="D8" s="719" t="s">
        <v>402</v>
      </c>
      <c r="E8" s="720"/>
      <c r="F8" s="721"/>
      <c r="G8" s="242">
        <v>7</v>
      </c>
      <c r="H8" s="242">
        <v>1477.1806310161078</v>
      </c>
      <c r="I8" s="242">
        <v>211.02580443087251</v>
      </c>
      <c r="J8" s="244" t="s">
        <v>931</v>
      </c>
      <c r="K8" s="755" t="s">
        <v>979</v>
      </c>
      <c r="L8" s="756"/>
      <c r="M8" s="131"/>
    </row>
    <row r="9" spans="1:13" ht="15.75" customHeight="1">
      <c r="A9" s="738"/>
      <c r="B9" s="741"/>
      <c r="C9" s="375">
        <v>2</v>
      </c>
      <c r="D9" s="719" t="s">
        <v>482</v>
      </c>
      <c r="E9" s="720"/>
      <c r="F9" s="721"/>
      <c r="G9" s="242">
        <v>7</v>
      </c>
      <c r="H9" s="242">
        <v>1473.4288686892828</v>
      </c>
      <c r="I9" s="242">
        <v>210.48983838418332</v>
      </c>
      <c r="J9" s="245" t="s">
        <v>932</v>
      </c>
      <c r="K9" s="757"/>
      <c r="L9" s="758"/>
      <c r="M9" s="131"/>
    </row>
    <row r="10" spans="1:13" ht="15.75" customHeight="1">
      <c r="A10" s="738"/>
      <c r="B10" s="741"/>
      <c r="C10" s="375">
        <v>3</v>
      </c>
      <c r="D10" s="719" t="s">
        <v>401</v>
      </c>
      <c r="E10" s="720"/>
      <c r="F10" s="721"/>
      <c r="G10" s="242">
        <v>7</v>
      </c>
      <c r="H10" s="242">
        <v>1329.1826415773969</v>
      </c>
      <c r="I10" s="242">
        <v>189.88323451105671</v>
      </c>
      <c r="J10" s="245" t="s">
        <v>932</v>
      </c>
      <c r="K10" s="759"/>
      <c r="L10" s="760"/>
      <c r="M10" s="131"/>
    </row>
    <row r="11" spans="1:13" ht="15.75" customHeight="1">
      <c r="A11" s="738"/>
      <c r="B11" s="741"/>
      <c r="C11" s="375">
        <v>4</v>
      </c>
      <c r="D11" s="719" t="s">
        <v>351</v>
      </c>
      <c r="E11" s="720"/>
      <c r="F11" s="721"/>
      <c r="G11" s="242">
        <v>18</v>
      </c>
      <c r="H11" s="242">
        <v>1327.2742319436106</v>
      </c>
      <c r="I11" s="242">
        <v>73.737457330200598</v>
      </c>
      <c r="J11" s="244" t="s">
        <v>931</v>
      </c>
      <c r="K11" s="706"/>
      <c r="L11" s="707"/>
      <c r="M11" s="131"/>
    </row>
    <row r="12" spans="1:13" ht="15.75" customHeight="1">
      <c r="A12" s="738"/>
      <c r="B12" s="741"/>
      <c r="C12" s="375">
        <v>5</v>
      </c>
      <c r="D12" s="719"/>
      <c r="E12" s="720"/>
      <c r="F12" s="721"/>
      <c r="G12" s="537"/>
      <c r="H12" s="537"/>
      <c r="I12" s="537"/>
      <c r="J12" s="537"/>
      <c r="K12" s="706"/>
      <c r="L12" s="707"/>
      <c r="M12" s="131"/>
    </row>
    <row r="13" spans="1:13" ht="15.75" customHeight="1">
      <c r="A13" s="738"/>
      <c r="B13" s="741"/>
      <c r="C13" s="166" t="s">
        <v>749</v>
      </c>
      <c r="D13" s="719" t="s">
        <v>744</v>
      </c>
      <c r="E13" s="720"/>
      <c r="F13" s="721"/>
      <c r="G13" s="242">
        <v>20</v>
      </c>
      <c r="H13" s="242">
        <v>1077.7224514087736</v>
      </c>
      <c r="I13" s="242">
        <v>53.886122570438673</v>
      </c>
      <c r="J13" s="243" t="s">
        <v>930</v>
      </c>
      <c r="K13" s="761"/>
      <c r="L13" s="762"/>
      <c r="M13" s="131"/>
    </row>
    <row r="14" spans="1:13" ht="15.75" customHeight="1">
      <c r="A14" s="738"/>
      <c r="B14" s="741"/>
      <c r="C14" s="166" t="s">
        <v>750</v>
      </c>
      <c r="D14" s="719" t="s">
        <v>839</v>
      </c>
      <c r="E14" s="720"/>
      <c r="F14" s="721"/>
      <c r="G14" s="242">
        <v>20</v>
      </c>
      <c r="H14" s="242">
        <v>1084.4890551321664</v>
      </c>
      <c r="I14" s="242">
        <v>54.224452756608329</v>
      </c>
      <c r="J14" s="243" t="s">
        <v>930</v>
      </c>
      <c r="K14" s="761"/>
      <c r="L14" s="762"/>
      <c r="M14" s="131"/>
    </row>
    <row r="15" spans="1:13" ht="15.75" customHeight="1">
      <c r="A15" s="738"/>
      <c r="B15" s="741"/>
      <c r="C15" s="166" t="s">
        <v>751</v>
      </c>
      <c r="D15" s="719" t="s">
        <v>698</v>
      </c>
      <c r="E15" s="720"/>
      <c r="F15" s="721"/>
      <c r="G15" s="242">
        <v>18</v>
      </c>
      <c r="H15" s="242">
        <v>1257.3002711574143</v>
      </c>
      <c r="I15" s="242">
        <v>69.850015064300791</v>
      </c>
      <c r="J15" s="245" t="s">
        <v>932</v>
      </c>
      <c r="K15" s="763" t="s">
        <v>933</v>
      </c>
      <c r="L15" s="764"/>
      <c r="M15" s="131"/>
    </row>
    <row r="16" spans="1:13" ht="15.75" customHeight="1">
      <c r="A16" s="738"/>
      <c r="B16" s="741"/>
      <c r="C16" s="166" t="s">
        <v>752</v>
      </c>
      <c r="D16" s="719" t="s">
        <v>403</v>
      </c>
      <c r="E16" s="720"/>
      <c r="F16" s="721"/>
      <c r="G16" s="242">
        <v>17.142857142857142</v>
      </c>
      <c r="H16" s="242">
        <v>1208.3003246753253</v>
      </c>
      <c r="I16" s="242">
        <v>70.485628342246045</v>
      </c>
      <c r="J16" s="245" t="s">
        <v>932</v>
      </c>
      <c r="K16" s="765"/>
      <c r="L16" s="766"/>
      <c r="M16" s="152"/>
    </row>
    <row r="17" spans="1:13" ht="15.75" customHeight="1">
      <c r="A17" s="739"/>
      <c r="B17" s="742"/>
      <c r="C17" s="166" t="s">
        <v>753</v>
      </c>
      <c r="D17" s="719"/>
      <c r="E17" s="720"/>
      <c r="F17" s="721"/>
      <c r="G17" s="530"/>
      <c r="H17" s="530"/>
      <c r="I17" s="530"/>
      <c r="J17" s="530"/>
      <c r="K17" s="706"/>
      <c r="L17" s="707"/>
      <c r="M17" s="152"/>
    </row>
    <row r="18" spans="1:13" s="162" customFormat="1" ht="15.75" customHeight="1">
      <c r="A18" s="703" t="s">
        <v>187</v>
      </c>
      <c r="B18" s="705"/>
      <c r="C18" s="292" t="s">
        <v>461</v>
      </c>
      <c r="D18" s="703" t="s">
        <v>12</v>
      </c>
      <c r="E18" s="704"/>
      <c r="F18" s="705"/>
      <c r="G18" s="292" t="s">
        <v>456</v>
      </c>
      <c r="H18" s="292" t="s">
        <v>457</v>
      </c>
      <c r="I18" s="292" t="s">
        <v>458</v>
      </c>
      <c r="J18" s="224" t="s">
        <v>459</v>
      </c>
      <c r="K18" s="703" t="s">
        <v>460</v>
      </c>
      <c r="L18" s="705"/>
      <c r="M18" s="155"/>
    </row>
    <row r="19" spans="1:13" ht="15.75" customHeight="1">
      <c r="A19" s="737"/>
      <c r="B19" s="740"/>
      <c r="C19" s="291">
        <v>1</v>
      </c>
      <c r="D19" s="719"/>
      <c r="E19" s="720"/>
      <c r="F19" s="721"/>
      <c r="G19" s="290"/>
      <c r="H19" s="290"/>
      <c r="I19" s="290"/>
      <c r="J19" s="290"/>
      <c r="K19" s="719"/>
      <c r="L19" s="721"/>
      <c r="M19" s="152"/>
    </row>
    <row r="20" spans="1:13" ht="15.75" customHeight="1">
      <c r="A20" s="738"/>
      <c r="B20" s="741"/>
      <c r="C20" s="291">
        <v>2</v>
      </c>
      <c r="D20" s="706"/>
      <c r="E20" s="708"/>
      <c r="F20" s="707"/>
      <c r="G20" s="290"/>
      <c r="H20" s="290"/>
      <c r="I20" s="290"/>
      <c r="J20" s="290"/>
      <c r="K20" s="706"/>
      <c r="L20" s="707"/>
      <c r="M20" s="152"/>
    </row>
    <row r="21" spans="1:13" ht="15.75" customHeight="1">
      <c r="A21" s="738"/>
      <c r="B21" s="741"/>
      <c r="C21" s="291">
        <v>3</v>
      </c>
      <c r="D21" s="706"/>
      <c r="E21" s="708"/>
      <c r="F21" s="707"/>
      <c r="G21" s="290"/>
      <c r="H21" s="290"/>
      <c r="I21" s="290"/>
      <c r="J21" s="290"/>
      <c r="K21" s="706"/>
      <c r="L21" s="707"/>
      <c r="M21" s="152"/>
    </row>
    <row r="22" spans="1:13" ht="15.75" customHeight="1">
      <c r="A22" s="738"/>
      <c r="B22" s="741"/>
      <c r="C22" s="291">
        <v>4</v>
      </c>
      <c r="D22" s="706"/>
      <c r="E22" s="708"/>
      <c r="F22" s="707"/>
      <c r="G22" s="290"/>
      <c r="H22" s="290"/>
      <c r="I22" s="290"/>
      <c r="J22" s="290"/>
      <c r="K22" s="706"/>
      <c r="L22" s="707"/>
      <c r="M22" s="152"/>
    </row>
    <row r="23" spans="1:13" ht="15.75" customHeight="1">
      <c r="A23" s="738"/>
      <c r="B23" s="741"/>
      <c r="C23" s="291">
        <v>5</v>
      </c>
      <c r="D23" s="706"/>
      <c r="E23" s="708"/>
      <c r="F23" s="707"/>
      <c r="G23" s="290"/>
      <c r="H23" s="290"/>
      <c r="I23" s="290"/>
      <c r="J23" s="290"/>
      <c r="K23" s="706"/>
      <c r="L23" s="707"/>
      <c r="M23" s="152"/>
    </row>
    <row r="24" spans="1:13" ht="15.75" customHeight="1">
      <c r="A24" s="738"/>
      <c r="B24" s="741"/>
      <c r="C24" s="166" t="s">
        <v>462</v>
      </c>
      <c r="D24" s="719"/>
      <c r="E24" s="720"/>
      <c r="F24" s="721"/>
      <c r="G24" s="290"/>
      <c r="H24" s="290"/>
      <c r="I24" s="290"/>
      <c r="J24" s="290"/>
      <c r="K24" s="719"/>
      <c r="L24" s="721"/>
      <c r="M24" s="152"/>
    </row>
    <row r="25" spans="1:13" ht="15.75" customHeight="1">
      <c r="A25" s="738"/>
      <c r="B25" s="741"/>
      <c r="C25" s="166" t="s">
        <v>463</v>
      </c>
      <c r="D25" s="706"/>
      <c r="E25" s="708"/>
      <c r="F25" s="707"/>
      <c r="G25" s="290"/>
      <c r="H25" s="290"/>
      <c r="I25" s="290"/>
      <c r="J25" s="290"/>
      <c r="K25" s="706"/>
      <c r="L25" s="707"/>
      <c r="M25" s="152"/>
    </row>
    <row r="26" spans="1:13" ht="15.75" customHeight="1">
      <c r="A26" s="738"/>
      <c r="B26" s="741"/>
      <c r="C26" s="166" t="s">
        <v>464</v>
      </c>
      <c r="D26" s="706"/>
      <c r="E26" s="708"/>
      <c r="F26" s="707"/>
      <c r="G26" s="290"/>
      <c r="H26" s="290"/>
      <c r="I26" s="290"/>
      <c r="J26" s="290"/>
      <c r="K26" s="706"/>
      <c r="L26" s="707"/>
      <c r="M26" s="152"/>
    </row>
    <row r="27" spans="1:13" ht="15.75" customHeight="1">
      <c r="A27" s="738"/>
      <c r="B27" s="741"/>
      <c r="C27" s="166" t="s">
        <v>465</v>
      </c>
      <c r="D27" s="706"/>
      <c r="E27" s="708"/>
      <c r="F27" s="707"/>
      <c r="G27" s="290"/>
      <c r="H27" s="290"/>
      <c r="I27" s="290"/>
      <c r="J27" s="290"/>
      <c r="K27" s="706"/>
      <c r="L27" s="707"/>
      <c r="M27" s="152"/>
    </row>
    <row r="28" spans="1:13" ht="15.75" customHeight="1">
      <c r="A28" s="739"/>
      <c r="B28" s="742"/>
      <c r="C28" s="166" t="s">
        <v>466</v>
      </c>
      <c r="D28" s="706"/>
      <c r="E28" s="708"/>
      <c r="F28" s="707"/>
      <c r="G28" s="290"/>
      <c r="H28" s="290"/>
      <c r="I28" s="290"/>
      <c r="J28" s="290"/>
      <c r="K28" s="706"/>
      <c r="L28" s="707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50">
    <mergeCell ref="D16:F16"/>
    <mergeCell ref="K14:L14"/>
    <mergeCell ref="D27:F27"/>
    <mergeCell ref="K27:L27"/>
    <mergeCell ref="K15:L16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K8:L10"/>
    <mergeCell ref="A8:A17"/>
    <mergeCell ref="B8:B17"/>
    <mergeCell ref="D8:F8"/>
    <mergeCell ref="D9:F9"/>
    <mergeCell ref="D10:F10"/>
    <mergeCell ref="D11:F11"/>
    <mergeCell ref="K11:L11"/>
    <mergeCell ref="D13:F13"/>
    <mergeCell ref="D14:F14"/>
    <mergeCell ref="D12:F12"/>
    <mergeCell ref="K12:L12"/>
    <mergeCell ref="D15:F15"/>
    <mergeCell ref="D17:F17"/>
    <mergeCell ref="K17:L17"/>
    <mergeCell ref="K13:L1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4296875" defaultRowHeight="15.75" customHeight="1"/>
  <cols>
    <col min="1" max="1" width="7.54296875" style="184" customWidth="1"/>
    <col min="2" max="2" width="14.81640625" style="184" customWidth="1"/>
    <col min="3" max="3" width="12.81640625" style="184" customWidth="1"/>
    <col min="4" max="4" width="2.54296875" style="184" customWidth="1"/>
    <col min="5" max="5" width="7.54296875" style="184" customWidth="1"/>
    <col min="6" max="6" width="12.81640625" style="184" customWidth="1"/>
    <col min="7" max="7" width="9.453125" style="184" customWidth="1"/>
    <col min="8" max="8" width="12.81640625" style="184" customWidth="1"/>
    <col min="9" max="9" width="9.453125" style="184" customWidth="1"/>
    <col min="10" max="10" width="12.81640625" style="184" customWidth="1"/>
    <col min="11" max="11" width="9.453125" style="184" customWidth="1"/>
    <col min="12" max="12" width="12.81640625" style="184" customWidth="1"/>
    <col min="13" max="13" width="9.453125" style="184" customWidth="1"/>
    <col min="14" max="16384" width="12.54296875" style="184"/>
  </cols>
  <sheetData>
    <row r="1" spans="1:14" ht="15.75" customHeight="1">
      <c r="A1" s="769" t="s">
        <v>236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</row>
    <row r="2" spans="1:14" s="185" customFormat="1" ht="15.75" customHeight="1">
      <c r="A2" s="769"/>
      <c r="B2" s="769"/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</row>
    <row r="3" spans="1:14" ht="15.75" customHeight="1">
      <c r="A3" s="770" t="s">
        <v>237</v>
      </c>
      <c r="B3" s="770"/>
      <c r="C3" s="770"/>
      <c r="D3" s="770"/>
      <c r="E3" s="770"/>
      <c r="F3" s="770"/>
      <c r="G3" s="770"/>
      <c r="H3" s="770"/>
      <c r="I3" s="770"/>
      <c r="J3" s="770"/>
      <c r="K3" s="770"/>
      <c r="L3" s="770"/>
      <c r="M3" s="770"/>
      <c r="N3" s="186"/>
    </row>
    <row r="4" spans="1:14" s="185" customFormat="1" ht="15.75" customHeight="1">
      <c r="A4" s="770"/>
      <c r="B4" s="770"/>
      <c r="C4" s="770"/>
      <c r="D4" s="770"/>
      <c r="E4" s="770"/>
      <c r="F4" s="770"/>
      <c r="G4" s="770"/>
      <c r="H4" s="770"/>
      <c r="I4" s="770"/>
      <c r="J4" s="770"/>
      <c r="K4" s="770"/>
      <c r="L4" s="770"/>
      <c r="M4" s="770"/>
      <c r="N4" s="187"/>
    </row>
    <row r="5" spans="1:14" ht="15.75" customHeight="1">
      <c r="A5" s="188" t="s">
        <v>238</v>
      </c>
      <c r="B5" s="189">
        <v>212376150</v>
      </c>
    </row>
    <row r="6" spans="1:14" ht="15.75" customHeight="1">
      <c r="A6" s="771" t="s">
        <v>239</v>
      </c>
      <c r="B6" s="772" t="s">
        <v>10</v>
      </c>
      <c r="C6" s="772"/>
      <c r="D6" s="773"/>
      <c r="E6" s="771" t="s">
        <v>239</v>
      </c>
      <c r="F6" s="775">
        <v>1</v>
      </c>
      <c r="G6" s="775"/>
      <c r="H6" s="775">
        <v>2</v>
      </c>
      <c r="I6" s="775"/>
      <c r="J6" s="775">
        <v>3</v>
      </c>
      <c r="K6" s="775"/>
      <c r="L6" s="775">
        <v>4</v>
      </c>
      <c r="M6" s="775"/>
    </row>
    <row r="7" spans="1:14" ht="31.4" customHeight="1">
      <c r="A7" s="771"/>
      <c r="B7" s="772"/>
      <c r="C7" s="772"/>
      <c r="D7" s="774"/>
      <c r="E7" s="771"/>
      <c r="F7" s="767" t="s">
        <v>250</v>
      </c>
      <c r="G7" s="767"/>
      <c r="H7" s="767" t="s">
        <v>240</v>
      </c>
      <c r="I7" s="767"/>
      <c r="J7" s="767" t="s">
        <v>241</v>
      </c>
      <c r="K7" s="767"/>
      <c r="L7" s="767" t="s">
        <v>242</v>
      </c>
      <c r="M7" s="767"/>
    </row>
    <row r="8" spans="1:14" ht="15.75" customHeight="1">
      <c r="A8" s="771"/>
      <c r="B8" s="217" t="s">
        <v>11</v>
      </c>
      <c r="C8" s="217" t="s">
        <v>243</v>
      </c>
      <c r="D8" s="774"/>
      <c r="E8" s="771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5" customFormat="1" ht="19.399999999999999" customHeight="1">
      <c r="A9" s="190" t="s">
        <v>244</v>
      </c>
      <c r="B9" s="191">
        <v>47927.00699999994</v>
      </c>
      <c r="C9" s="192">
        <f>B9/$B$5</f>
        <v>2.256703824793883E-4</v>
      </c>
      <c r="D9" s="774"/>
      <c r="E9" s="190" t="s">
        <v>244</v>
      </c>
      <c r="F9" s="193">
        <v>1423.9050000000002</v>
      </c>
      <c r="G9" s="194">
        <f>IFERROR(F9/$B$9,"")</f>
        <v>2.9709866923256903E-2</v>
      </c>
      <c r="H9" s="193">
        <v>5535.9419999999991</v>
      </c>
      <c r="I9" s="194">
        <f>IFERROR(H9/$B$9,"")</f>
        <v>0.11550777623146812</v>
      </c>
      <c r="J9" s="193">
        <v>6691.5360000000019</v>
      </c>
      <c r="K9" s="194">
        <f>IFERROR(J9/$B$9,"")</f>
        <v>0.13961931735065389</v>
      </c>
      <c r="L9" s="193">
        <v>17258.763000000006</v>
      </c>
      <c r="M9" s="194">
        <f>IFERROR(L9/$B$9,"")</f>
        <v>0.36010516993059943</v>
      </c>
    </row>
    <row r="10" spans="1:14" s="195" customFormat="1" ht="19.399999999999999" customHeight="1">
      <c r="A10" s="196" t="s">
        <v>245</v>
      </c>
      <c r="B10" s="197">
        <v>69974.579191980054</v>
      </c>
      <c r="C10" s="192">
        <f>B10/$B$5</f>
        <v>3.2948416849999424E-4</v>
      </c>
      <c r="D10" s="774"/>
      <c r="E10" s="196" t="s">
        <v>245</v>
      </c>
      <c r="F10" s="193">
        <v>1179.8078200000007</v>
      </c>
      <c r="G10" s="194">
        <f>IFERROR(F10/$B$10,"")</f>
        <v>1.6860520400746062E-2</v>
      </c>
      <c r="H10" s="193">
        <v>3563.9139100000007</v>
      </c>
      <c r="I10" s="194">
        <f>IFERROR(H10/$B$10,"")</f>
        <v>5.0931551874319365E-2</v>
      </c>
      <c r="J10" s="193">
        <v>3130.998689999999</v>
      </c>
      <c r="K10" s="194">
        <f>IFERROR(J10/$B$10,"")</f>
        <v>4.4744801986016804E-2</v>
      </c>
      <c r="L10" s="193">
        <v>14381.948886699534</v>
      </c>
      <c r="M10" s="194">
        <f>IFERROR(L10/$B$10,"")</f>
        <v>0.20553105217312806</v>
      </c>
    </row>
    <row r="11" spans="1:14" ht="15.75" customHeight="1">
      <c r="D11" s="774"/>
      <c r="E11" s="771" t="s">
        <v>239</v>
      </c>
      <c r="F11" s="775">
        <v>5</v>
      </c>
      <c r="G11" s="775"/>
      <c r="H11" s="775">
        <v>6</v>
      </c>
      <c r="I11" s="775"/>
      <c r="J11" s="775">
        <v>7</v>
      </c>
      <c r="K11" s="775"/>
      <c r="L11" s="776">
        <v>8</v>
      </c>
      <c r="M11" s="776"/>
    </row>
    <row r="12" spans="1:14" ht="31.4" customHeight="1">
      <c r="D12" s="774"/>
      <c r="E12" s="771"/>
      <c r="F12" s="767" t="s">
        <v>246</v>
      </c>
      <c r="G12" s="767"/>
      <c r="H12" s="767" t="s">
        <v>247</v>
      </c>
      <c r="I12" s="767"/>
      <c r="J12" s="767" t="s">
        <v>248</v>
      </c>
      <c r="K12" s="767"/>
      <c r="L12" s="768" t="s">
        <v>249</v>
      </c>
      <c r="M12" s="768"/>
    </row>
    <row r="13" spans="1:14" ht="15.75" customHeight="1">
      <c r="D13" s="774"/>
      <c r="E13" s="771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5" customFormat="1" ht="19.399999999999999" customHeight="1">
      <c r="D14" s="774"/>
      <c r="E14" s="190" t="s">
        <v>244</v>
      </c>
      <c r="F14" s="193">
        <v>12460.915000000001</v>
      </c>
      <c r="G14" s="194">
        <f>IFERROR(F14/$B$9,"")</f>
        <v>0.25999777119401629</v>
      </c>
      <c r="H14" s="193">
        <v>1494.27</v>
      </c>
      <c r="I14" s="194">
        <f>IFERROR(H14/$B$9,"")</f>
        <v>3.1178037051218365E-2</v>
      </c>
      <c r="J14" s="193">
        <v>3061.675999999999</v>
      </c>
      <c r="K14" s="194">
        <f>IFERROR(J14/$B$9,"")</f>
        <v>6.3882061318788444E-2</v>
      </c>
      <c r="L14" s="193">
        <v>0</v>
      </c>
      <c r="M14" s="194">
        <f>IFERROR(L14/$B$9,"")</f>
        <v>0</v>
      </c>
    </row>
    <row r="15" spans="1:14" s="195" customFormat="1" ht="19.399999999999999" customHeight="1">
      <c r="D15" s="774"/>
      <c r="E15" s="196" t="s">
        <v>245</v>
      </c>
      <c r="F15" s="193">
        <v>30846.731825280494</v>
      </c>
      <c r="G15" s="194">
        <f>IFERROR(F15/$B$10,"")</f>
        <v>0.44082768601795191</v>
      </c>
      <c r="H15" s="193">
        <v>12704.309300000044</v>
      </c>
      <c r="I15" s="194">
        <f>IFERROR(H15/$B$10,"")</f>
        <v>0.18155606574131589</v>
      </c>
      <c r="J15" s="193">
        <v>3994.7131600000112</v>
      </c>
      <c r="K15" s="194">
        <f>IFERROR(J15/$B$10,"")</f>
        <v>5.7088062638293857E-2</v>
      </c>
      <c r="L15" s="193">
        <v>0</v>
      </c>
      <c r="M15" s="19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249"/>
  <sheetViews>
    <sheetView topLeftCell="A227" zoomScale="110" zoomScaleNormal="110" zoomScaleSheetLayoutView="115" workbookViewId="0">
      <selection activeCell="C245" sqref="C245:C246"/>
    </sheetView>
  </sheetViews>
  <sheetFormatPr defaultColWidth="12.54296875" defaultRowHeight="15.75" customHeight="1"/>
  <cols>
    <col min="1" max="1" width="7.54296875" style="184" customWidth="1"/>
    <col min="2" max="2" width="14.81640625" style="184" customWidth="1"/>
    <col min="3" max="3" width="12.81640625" style="184" customWidth="1"/>
    <col min="4" max="4" width="2.54296875" style="184" customWidth="1"/>
    <col min="5" max="5" width="7.54296875" style="184" customWidth="1"/>
    <col min="6" max="6" width="12.81640625" style="184" customWidth="1"/>
    <col min="7" max="7" width="9.453125" style="184" customWidth="1"/>
    <col min="8" max="8" width="12.81640625" style="184" customWidth="1"/>
    <col min="9" max="9" width="9.453125" style="184" customWidth="1"/>
    <col min="10" max="10" width="12.81640625" style="184" customWidth="1"/>
    <col min="11" max="11" width="9.453125" style="184" customWidth="1"/>
    <col min="12" max="12" width="12.81640625" style="184" customWidth="1"/>
    <col min="13" max="13" width="9.453125" style="184" customWidth="1"/>
    <col min="14" max="16384" width="12.54296875" style="184"/>
  </cols>
  <sheetData>
    <row r="1" spans="1:14" ht="15.75" customHeight="1">
      <c r="A1" s="769" t="s">
        <v>236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</row>
    <row r="2" spans="1:14" s="185" customFormat="1" ht="15.75" customHeight="1">
      <c r="A2" s="769"/>
      <c r="B2" s="769"/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</row>
    <row r="3" spans="1:14" ht="15.75" customHeight="1">
      <c r="A3" s="770" t="s">
        <v>421</v>
      </c>
      <c r="B3" s="770"/>
      <c r="C3" s="770"/>
      <c r="D3" s="770"/>
      <c r="E3" s="770"/>
      <c r="F3" s="770"/>
      <c r="G3" s="770"/>
      <c r="H3" s="770"/>
      <c r="I3" s="770"/>
      <c r="J3" s="770"/>
      <c r="K3" s="770"/>
      <c r="L3" s="770"/>
      <c r="M3" s="770"/>
      <c r="N3" s="186"/>
    </row>
    <row r="4" spans="1:14" s="185" customFormat="1" ht="15.75" customHeight="1">
      <c r="A4" s="770"/>
      <c r="B4" s="770"/>
      <c r="C4" s="770"/>
      <c r="D4" s="770"/>
      <c r="E4" s="770"/>
      <c r="F4" s="770"/>
      <c r="G4" s="770"/>
      <c r="H4" s="770"/>
      <c r="I4" s="770"/>
      <c r="J4" s="770"/>
      <c r="K4" s="770"/>
      <c r="L4" s="770"/>
      <c r="M4" s="770"/>
      <c r="N4" s="187"/>
    </row>
    <row r="5" spans="1:14" ht="15.75" customHeight="1">
      <c r="A5" s="188" t="s">
        <v>238</v>
      </c>
      <c r="B5" s="189">
        <v>75872986</v>
      </c>
    </row>
    <row r="6" spans="1:14" ht="15.75" customHeight="1">
      <c r="A6" s="771" t="s">
        <v>239</v>
      </c>
      <c r="B6" s="772" t="s">
        <v>10</v>
      </c>
      <c r="C6" s="772"/>
      <c r="D6" s="773"/>
      <c r="E6" s="771" t="s">
        <v>239</v>
      </c>
      <c r="F6" s="775">
        <v>1</v>
      </c>
      <c r="G6" s="775"/>
      <c r="H6" s="775">
        <v>2</v>
      </c>
      <c r="I6" s="775"/>
      <c r="J6" s="775">
        <v>3</v>
      </c>
      <c r="K6" s="775"/>
      <c r="L6" s="775">
        <v>4</v>
      </c>
      <c r="M6" s="775"/>
    </row>
    <row r="7" spans="1:14" ht="31.4" customHeight="1">
      <c r="A7" s="771"/>
      <c r="B7" s="772"/>
      <c r="C7" s="772"/>
      <c r="D7" s="774"/>
      <c r="E7" s="771"/>
      <c r="F7" s="767" t="s">
        <v>250</v>
      </c>
      <c r="G7" s="767"/>
      <c r="H7" s="767" t="s">
        <v>240</v>
      </c>
      <c r="I7" s="767"/>
      <c r="J7" s="767" t="s">
        <v>241</v>
      </c>
      <c r="K7" s="767"/>
      <c r="L7" s="767" t="s">
        <v>747</v>
      </c>
      <c r="M7" s="767"/>
    </row>
    <row r="8" spans="1:14" ht="15.75" customHeight="1">
      <c r="A8" s="771"/>
      <c r="B8" s="218" t="s">
        <v>11</v>
      </c>
      <c r="C8" s="218" t="s">
        <v>243</v>
      </c>
      <c r="D8" s="774"/>
      <c r="E8" s="771"/>
      <c r="F8" s="218" t="s">
        <v>11</v>
      </c>
      <c r="G8" s="218" t="s">
        <v>243</v>
      </c>
      <c r="H8" s="218" t="s">
        <v>11</v>
      </c>
      <c r="I8" s="218" t="s">
        <v>243</v>
      </c>
      <c r="J8" s="218" t="s">
        <v>11</v>
      </c>
      <c r="K8" s="218" t="s">
        <v>243</v>
      </c>
      <c r="L8" s="218" t="s">
        <v>11</v>
      </c>
      <c r="M8" s="218" t="s">
        <v>243</v>
      </c>
    </row>
    <row r="9" spans="1:14" s="195" customFormat="1" ht="19.399999999999999" customHeight="1">
      <c r="A9" s="190" t="s">
        <v>244</v>
      </c>
      <c r="B9" s="191">
        <v>18257.814999999991</v>
      </c>
      <c r="C9" s="192">
        <f>B9/$B$5</f>
        <v>2.4063656859372835E-4</v>
      </c>
      <c r="D9" s="774"/>
      <c r="E9" s="190" t="s">
        <v>244</v>
      </c>
      <c r="F9" s="193">
        <v>552.57299999999998</v>
      </c>
      <c r="G9" s="194">
        <f>IFERROR(F9/$B$9,"")</f>
        <v>3.0265012543943523E-2</v>
      </c>
      <c r="H9" s="193">
        <v>1893.9470000000001</v>
      </c>
      <c r="I9" s="194">
        <f>IFERROR(H9/$B$9,"")</f>
        <v>0.10373349713533635</v>
      </c>
      <c r="J9" s="193">
        <v>2015.6379999999999</v>
      </c>
      <c r="K9" s="194">
        <f>IFERROR(J9/$B$9,"")</f>
        <v>0.11039864299205578</v>
      </c>
      <c r="L9" s="193">
        <v>6004.951</v>
      </c>
      <c r="M9" s="194">
        <f>IFERROR(L9/$B$9,"")</f>
        <v>0.32889757071150094</v>
      </c>
    </row>
    <row r="10" spans="1:14" s="195" customFormat="1" ht="19.399999999999999" customHeight="1">
      <c r="A10" s="196" t="s">
        <v>245</v>
      </c>
      <c r="B10" s="197">
        <v>22782.319846732516</v>
      </c>
      <c r="C10" s="192">
        <f>B10/$B$5</f>
        <v>3.0026918733279477E-4</v>
      </c>
      <c r="D10" s="774"/>
      <c r="E10" s="196" t="s">
        <v>245</v>
      </c>
      <c r="F10" s="193">
        <v>733.22632000000021</v>
      </c>
      <c r="G10" s="194">
        <f>IFERROR(F10/$B$10,"")</f>
        <v>3.2184006059644575E-2</v>
      </c>
      <c r="H10" s="193">
        <v>2126.0029800000007</v>
      </c>
      <c r="I10" s="194">
        <f>IFERROR(H10/$B$10,"")</f>
        <v>9.3318107826710892E-2</v>
      </c>
      <c r="J10" s="193">
        <v>833.94599999999934</v>
      </c>
      <c r="K10" s="194">
        <f>IFERROR(J10/$B$10,"")</f>
        <v>3.6604964095419169E-2</v>
      </c>
      <c r="L10" s="193">
        <v>7270.6642214520316</v>
      </c>
      <c r="M10" s="194">
        <f>IFERROR(L10/$B$10,"")</f>
        <v>0.31913625435711734</v>
      </c>
    </row>
    <row r="11" spans="1:14" ht="15.75" customHeight="1">
      <c r="D11" s="774"/>
      <c r="E11" s="771" t="s">
        <v>239</v>
      </c>
      <c r="F11" s="775">
        <v>5</v>
      </c>
      <c r="G11" s="775"/>
      <c r="H11" s="775">
        <v>6</v>
      </c>
      <c r="I11" s="775"/>
      <c r="J11" s="775">
        <v>7</v>
      </c>
      <c r="K11" s="775"/>
      <c r="L11" s="776">
        <v>8</v>
      </c>
      <c r="M11" s="776"/>
    </row>
    <row r="12" spans="1:14" ht="31.4" customHeight="1">
      <c r="D12" s="774"/>
      <c r="E12" s="771"/>
      <c r="F12" s="767" t="s">
        <v>246</v>
      </c>
      <c r="G12" s="767"/>
      <c r="H12" s="767" t="s">
        <v>247</v>
      </c>
      <c r="I12" s="767"/>
      <c r="J12" s="767" t="s">
        <v>189</v>
      </c>
      <c r="K12" s="767"/>
      <c r="L12" s="768" t="s">
        <v>249</v>
      </c>
      <c r="M12" s="768"/>
    </row>
    <row r="13" spans="1:14" ht="15.75" customHeight="1">
      <c r="D13" s="774"/>
      <c r="E13" s="771"/>
      <c r="F13" s="218" t="s">
        <v>11</v>
      </c>
      <c r="G13" s="218" t="s">
        <v>243</v>
      </c>
      <c r="H13" s="218" t="s">
        <v>11</v>
      </c>
      <c r="I13" s="218" t="s">
        <v>243</v>
      </c>
      <c r="J13" s="218" t="s">
        <v>11</v>
      </c>
      <c r="K13" s="218" t="s">
        <v>243</v>
      </c>
      <c r="L13" s="218" t="s">
        <v>11</v>
      </c>
      <c r="M13" s="218" t="s">
        <v>243</v>
      </c>
    </row>
    <row r="14" spans="1:14" s="195" customFormat="1" ht="19.399999999999999" customHeight="1">
      <c r="D14" s="774"/>
      <c r="E14" s="190" t="s">
        <v>244</v>
      </c>
      <c r="F14" s="193">
        <v>6580.9920000000002</v>
      </c>
      <c r="G14" s="194">
        <f>IFERROR(F14/$B$9,"")</f>
        <v>0.3604479506446967</v>
      </c>
      <c r="H14" s="193">
        <v>0</v>
      </c>
      <c r="I14" s="194">
        <f>IFERROR(H14/$B$9,"")</f>
        <v>0</v>
      </c>
      <c r="J14" s="193">
        <v>1209.7139999999999</v>
      </c>
      <c r="K14" s="194">
        <f>IFERROR(J14/$B$9,"")</f>
        <v>6.6257325972467154E-2</v>
      </c>
      <c r="L14" s="193">
        <v>0</v>
      </c>
      <c r="M14" s="194">
        <f>IFERROR(L14/$B$9,"")</f>
        <v>0</v>
      </c>
    </row>
    <row r="15" spans="1:14" s="195" customFormat="1" ht="19.399999999999999" customHeight="1" thickBot="1">
      <c r="D15" s="774"/>
      <c r="E15" s="196" t="s">
        <v>245</v>
      </c>
      <c r="F15" s="193">
        <v>9515.0165852805003</v>
      </c>
      <c r="G15" s="194">
        <f>IFERROR(F15/$B$10,"")</f>
        <v>0.41764915290859467</v>
      </c>
      <c r="H15" s="193">
        <v>415.10627999999923</v>
      </c>
      <c r="I15" s="194">
        <f>IFERROR(H15/$B$10,"")</f>
        <v>1.8220544825663772E-2</v>
      </c>
      <c r="J15" s="193">
        <v>1888.3574600000009</v>
      </c>
      <c r="K15" s="194">
        <f>IFERROR(J15/$B$10,"")</f>
        <v>8.2886969926850212E-2</v>
      </c>
      <c r="L15" s="193">
        <v>0</v>
      </c>
      <c r="M15" s="194">
        <f>IFERROR(L15/$B$10,"")</f>
        <v>0</v>
      </c>
    </row>
    <row r="16" spans="1:14" ht="15.75" customHeight="1">
      <c r="A16" s="777" t="s">
        <v>424</v>
      </c>
      <c r="B16" s="778"/>
      <c r="C16" s="778"/>
      <c r="D16" s="778"/>
      <c r="E16" s="778"/>
      <c r="F16" s="778"/>
      <c r="G16" s="778"/>
      <c r="H16" s="778"/>
      <c r="I16" s="778"/>
      <c r="J16" s="778"/>
      <c r="K16" s="778"/>
      <c r="L16" s="778"/>
      <c r="M16" s="779"/>
    </row>
    <row r="17" spans="1:13" ht="15.75" customHeight="1">
      <c r="A17" s="780"/>
      <c r="B17" s="770"/>
      <c r="C17" s="770"/>
      <c r="D17" s="770"/>
      <c r="E17" s="770"/>
      <c r="F17" s="770"/>
      <c r="G17" s="770"/>
      <c r="H17" s="770"/>
      <c r="I17" s="770"/>
      <c r="J17" s="770"/>
      <c r="K17" s="770"/>
      <c r="L17" s="770"/>
      <c r="M17" s="781"/>
    </row>
    <row r="18" spans="1:13" ht="15.75" customHeight="1">
      <c r="A18" s="270" t="s">
        <v>425</v>
      </c>
      <c r="B18" s="288">
        <v>48523585</v>
      </c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271"/>
    </row>
    <row r="19" spans="1:13" ht="15.75" customHeight="1">
      <c r="A19" s="782" t="s">
        <v>426</v>
      </c>
      <c r="B19" s="772" t="s">
        <v>10</v>
      </c>
      <c r="C19" s="772"/>
      <c r="D19" s="773"/>
      <c r="E19" s="771" t="s">
        <v>426</v>
      </c>
      <c r="F19" s="775">
        <v>1</v>
      </c>
      <c r="G19" s="775"/>
      <c r="H19" s="775">
        <v>2</v>
      </c>
      <c r="I19" s="775"/>
      <c r="J19" s="775">
        <v>3</v>
      </c>
      <c r="K19" s="775"/>
      <c r="L19" s="775">
        <v>4</v>
      </c>
      <c r="M19" s="784"/>
    </row>
    <row r="20" spans="1:13" ht="15.75" customHeight="1">
      <c r="A20" s="782"/>
      <c r="B20" s="772"/>
      <c r="C20" s="772"/>
      <c r="D20" s="774"/>
      <c r="E20" s="771"/>
      <c r="F20" s="767" t="s">
        <v>427</v>
      </c>
      <c r="G20" s="767"/>
      <c r="H20" s="767" t="s">
        <v>428</v>
      </c>
      <c r="I20" s="767"/>
      <c r="J20" s="767" t="s">
        <v>429</v>
      </c>
      <c r="K20" s="767"/>
      <c r="L20" s="767" t="s">
        <v>747</v>
      </c>
      <c r="M20" s="785"/>
    </row>
    <row r="21" spans="1:13" ht="15.75" customHeight="1">
      <c r="A21" s="782"/>
      <c r="B21" s="269" t="s">
        <v>11</v>
      </c>
      <c r="C21" s="269" t="s">
        <v>430</v>
      </c>
      <c r="D21" s="774"/>
      <c r="E21" s="771"/>
      <c r="F21" s="269" t="s">
        <v>11</v>
      </c>
      <c r="G21" s="269" t="s">
        <v>430</v>
      </c>
      <c r="H21" s="269" t="s">
        <v>11</v>
      </c>
      <c r="I21" s="269" t="s">
        <v>430</v>
      </c>
      <c r="J21" s="269" t="s">
        <v>11</v>
      </c>
      <c r="K21" s="269" t="s">
        <v>430</v>
      </c>
      <c r="L21" s="269" t="s">
        <v>11</v>
      </c>
      <c r="M21" s="272" t="s">
        <v>430</v>
      </c>
    </row>
    <row r="22" spans="1:13" ht="15.75" customHeight="1">
      <c r="A22" s="273" t="s">
        <v>431</v>
      </c>
      <c r="B22" s="274">
        <v>11676.691000000003</v>
      </c>
      <c r="C22" s="192">
        <f>B22/$B$18</f>
        <v>2.4063949520630024E-4</v>
      </c>
      <c r="D22" s="774"/>
      <c r="E22" s="190" t="s">
        <v>432</v>
      </c>
      <c r="F22" s="275">
        <v>165.98000000000002</v>
      </c>
      <c r="G22" s="194">
        <f>IFERROR(F22/$B$9,"")</f>
        <v>9.0909016221272978E-3</v>
      </c>
      <c r="H22" s="275">
        <v>1611.5420000000004</v>
      </c>
      <c r="I22" s="194">
        <f>IFERROR(H22/$B$9,"")</f>
        <v>8.8265874092820037E-2</v>
      </c>
      <c r="J22" s="275">
        <v>1228.9280000000001</v>
      </c>
      <c r="K22" s="194">
        <f>IFERROR(J22/$B$9,"")</f>
        <v>6.7309697244714153E-2</v>
      </c>
      <c r="L22" s="275">
        <v>3775.8909999999996</v>
      </c>
      <c r="M22" s="276">
        <f>IFERROR(L22/$B$9,"")</f>
        <v>0.20680957715915083</v>
      </c>
    </row>
    <row r="23" spans="1:13" ht="15.75" customHeight="1">
      <c r="A23" s="277" t="s">
        <v>433</v>
      </c>
      <c r="B23" s="278">
        <v>18680.446015247508</v>
      </c>
      <c r="C23" s="192">
        <f>B23/$B$18</f>
        <v>3.8497662559861369E-4</v>
      </c>
      <c r="D23" s="774"/>
      <c r="E23" s="196" t="s">
        <v>433</v>
      </c>
      <c r="F23" s="275">
        <v>0</v>
      </c>
      <c r="G23" s="194">
        <f>IFERROR(F23/$B$10,"")</f>
        <v>0</v>
      </c>
      <c r="H23" s="275">
        <v>644.21809999999959</v>
      </c>
      <c r="I23" s="194">
        <f>IFERROR(H23/$B$10,"")</f>
        <v>2.8277107174947972E-2</v>
      </c>
      <c r="J23" s="275">
        <v>874.41625999999883</v>
      </c>
      <c r="K23" s="194">
        <f>IFERROR(J23/$B$10,"")</f>
        <v>3.8381352991381575E-2</v>
      </c>
      <c r="L23" s="275">
        <v>3059.7451552474977</v>
      </c>
      <c r="M23" s="276">
        <f>IFERROR(L23/$B$10,"")</f>
        <v>0.13430349393002364</v>
      </c>
    </row>
    <row r="24" spans="1:13" ht="15.75" customHeight="1">
      <c r="A24" s="279"/>
      <c r="B24" s="186"/>
      <c r="C24" s="186"/>
      <c r="D24" s="774"/>
      <c r="E24" s="771" t="s">
        <v>434</v>
      </c>
      <c r="F24" s="775">
        <v>5</v>
      </c>
      <c r="G24" s="775"/>
      <c r="H24" s="775">
        <v>6</v>
      </c>
      <c r="I24" s="775"/>
      <c r="J24" s="775">
        <v>7</v>
      </c>
      <c r="K24" s="775"/>
      <c r="L24" s="776">
        <v>8</v>
      </c>
      <c r="M24" s="794"/>
    </row>
    <row r="25" spans="1:13" ht="15.75" customHeight="1">
      <c r="A25" s="279"/>
      <c r="B25" s="186"/>
      <c r="C25" s="186"/>
      <c r="D25" s="774"/>
      <c r="E25" s="771"/>
      <c r="F25" s="767" t="s">
        <v>435</v>
      </c>
      <c r="G25" s="767"/>
      <c r="H25" s="767" t="s">
        <v>436</v>
      </c>
      <c r="I25" s="767"/>
      <c r="J25" s="767" t="s">
        <v>437</v>
      </c>
      <c r="K25" s="767"/>
      <c r="L25" s="768" t="s">
        <v>438</v>
      </c>
      <c r="M25" s="795"/>
    </row>
    <row r="26" spans="1:13" ht="15.75" customHeight="1">
      <c r="A26" s="279"/>
      <c r="B26" s="186"/>
      <c r="C26" s="186"/>
      <c r="D26" s="774"/>
      <c r="E26" s="771"/>
      <c r="F26" s="269" t="s">
        <v>11</v>
      </c>
      <c r="G26" s="269" t="s">
        <v>439</v>
      </c>
      <c r="H26" s="269" t="s">
        <v>11</v>
      </c>
      <c r="I26" s="269" t="s">
        <v>439</v>
      </c>
      <c r="J26" s="269" t="s">
        <v>11</v>
      </c>
      <c r="K26" s="269" t="s">
        <v>439</v>
      </c>
      <c r="L26" s="269" t="s">
        <v>11</v>
      </c>
      <c r="M26" s="272" t="s">
        <v>439</v>
      </c>
    </row>
    <row r="27" spans="1:13" ht="15.75" customHeight="1">
      <c r="A27" s="280"/>
      <c r="B27" s="281"/>
      <c r="C27" s="281"/>
      <c r="D27" s="774"/>
      <c r="E27" s="190" t="s">
        <v>432</v>
      </c>
      <c r="F27" s="275">
        <v>3919.5130000000004</v>
      </c>
      <c r="G27" s="194">
        <f>IFERROR(F27/$B$9,"")</f>
        <v>0.21467590727587074</v>
      </c>
      <c r="H27" s="275">
        <v>0</v>
      </c>
      <c r="I27" s="194">
        <f>IFERROR(H27/$B$9,"")</f>
        <v>0</v>
      </c>
      <c r="J27" s="275">
        <v>974.8370000000001</v>
      </c>
      <c r="K27" s="194">
        <f>IFERROR(J27/$B$9,"")</f>
        <v>5.3392862179839184E-2</v>
      </c>
      <c r="L27" s="275">
        <v>0</v>
      </c>
      <c r="M27" s="276">
        <f>IFERROR(L27/$B$9,"")</f>
        <v>0</v>
      </c>
    </row>
    <row r="28" spans="1:13" ht="15.75" customHeight="1" thickBot="1">
      <c r="A28" s="282"/>
      <c r="B28" s="283"/>
      <c r="C28" s="283"/>
      <c r="D28" s="783"/>
      <c r="E28" s="284" t="s">
        <v>433</v>
      </c>
      <c r="F28" s="285">
        <v>10050.147089999993</v>
      </c>
      <c r="G28" s="286">
        <f>IFERROR(F28/$B$10,"")</f>
        <v>0.44113800339965836</v>
      </c>
      <c r="H28" s="285">
        <v>2190.4281100000026</v>
      </c>
      <c r="I28" s="286">
        <f>IFERROR(H28/$B$10,"")</f>
        <v>9.6145964271244222E-2</v>
      </c>
      <c r="J28" s="285">
        <v>1689.3357000000103</v>
      </c>
      <c r="K28" s="286">
        <f>IFERROR(J28/$B$10,"")</f>
        <v>7.4151171231243082E-2</v>
      </c>
      <c r="L28" s="285">
        <v>0</v>
      </c>
      <c r="M28" s="287">
        <f>IFERROR(L28/$B$10,"")</f>
        <v>0</v>
      </c>
    </row>
    <row r="29" spans="1:13" ht="15.75" customHeight="1">
      <c r="A29" s="777" t="s">
        <v>467</v>
      </c>
      <c r="B29" s="778"/>
      <c r="C29" s="778"/>
      <c r="D29" s="778"/>
      <c r="E29" s="778"/>
      <c r="F29" s="778"/>
      <c r="G29" s="778"/>
      <c r="H29" s="778"/>
      <c r="I29" s="778"/>
      <c r="J29" s="778"/>
      <c r="K29" s="778"/>
      <c r="L29" s="778"/>
      <c r="M29" s="779"/>
    </row>
    <row r="30" spans="1:13" ht="15.75" customHeight="1">
      <c r="A30" s="780"/>
      <c r="B30" s="770"/>
      <c r="C30" s="770"/>
      <c r="D30" s="770"/>
      <c r="E30" s="770"/>
      <c r="F30" s="770"/>
      <c r="G30" s="770"/>
      <c r="H30" s="770"/>
      <c r="I30" s="770"/>
      <c r="J30" s="770"/>
      <c r="K30" s="770"/>
      <c r="L30" s="770"/>
      <c r="M30" s="781"/>
    </row>
    <row r="31" spans="1:13" ht="15.75" customHeight="1">
      <c r="A31" s="270" t="s">
        <v>468</v>
      </c>
      <c r="B31" s="288">
        <v>48655452</v>
      </c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271"/>
    </row>
    <row r="32" spans="1:13" ht="15.75" customHeight="1">
      <c r="A32" s="782" t="s">
        <v>469</v>
      </c>
      <c r="B32" s="772" t="s">
        <v>10</v>
      </c>
      <c r="C32" s="772"/>
      <c r="D32" s="773"/>
      <c r="E32" s="771" t="s">
        <v>469</v>
      </c>
      <c r="F32" s="775">
        <v>1</v>
      </c>
      <c r="G32" s="775"/>
      <c r="H32" s="775">
        <v>2</v>
      </c>
      <c r="I32" s="775"/>
      <c r="J32" s="775">
        <v>3</v>
      </c>
      <c r="K32" s="775"/>
      <c r="L32" s="775">
        <v>4</v>
      </c>
      <c r="M32" s="784"/>
    </row>
    <row r="33" spans="1:13" ht="15.75" customHeight="1">
      <c r="A33" s="782"/>
      <c r="B33" s="772"/>
      <c r="C33" s="772"/>
      <c r="D33" s="774"/>
      <c r="E33" s="771"/>
      <c r="F33" s="767" t="s">
        <v>470</v>
      </c>
      <c r="G33" s="767"/>
      <c r="H33" s="767" t="s">
        <v>471</v>
      </c>
      <c r="I33" s="767"/>
      <c r="J33" s="767" t="s">
        <v>472</v>
      </c>
      <c r="K33" s="767"/>
      <c r="L33" s="767" t="s">
        <v>747</v>
      </c>
      <c r="M33" s="785"/>
    </row>
    <row r="34" spans="1:13" ht="15.75" customHeight="1">
      <c r="A34" s="782"/>
      <c r="B34" s="305" t="s">
        <v>11</v>
      </c>
      <c r="C34" s="305" t="s">
        <v>473</v>
      </c>
      <c r="D34" s="774"/>
      <c r="E34" s="771"/>
      <c r="F34" s="305" t="s">
        <v>11</v>
      </c>
      <c r="G34" s="305" t="s">
        <v>473</v>
      </c>
      <c r="H34" s="305" t="s">
        <v>11</v>
      </c>
      <c r="I34" s="305" t="s">
        <v>473</v>
      </c>
      <c r="J34" s="305" t="s">
        <v>11</v>
      </c>
      <c r="K34" s="305" t="s">
        <v>473</v>
      </c>
      <c r="L34" s="305" t="s">
        <v>11</v>
      </c>
      <c r="M34" s="272" t="s">
        <v>473</v>
      </c>
    </row>
    <row r="35" spans="1:13" ht="15.75" customHeight="1">
      <c r="A35" s="273" t="s">
        <v>474</v>
      </c>
      <c r="B35" s="274">
        <v>9800.9250000000029</v>
      </c>
      <c r="C35" s="192">
        <f>B35/$B$5</f>
        <v>1.2917542219835663E-4</v>
      </c>
      <c r="D35" s="774"/>
      <c r="E35" s="190" t="s">
        <v>474</v>
      </c>
      <c r="F35" s="275">
        <v>705.35199999999998</v>
      </c>
      <c r="G35" s="194">
        <f>IFERROR(F35/$B$9,"")</f>
        <v>3.8632881316849818E-2</v>
      </c>
      <c r="H35" s="275">
        <v>1195.5910000000001</v>
      </c>
      <c r="I35" s="194">
        <f>IFERROR(H35/$B$9,"")</f>
        <v>6.5483794199908407E-2</v>
      </c>
      <c r="J35" s="275">
        <v>1614.134</v>
      </c>
      <c r="K35" s="194">
        <f>IFERROR(J35/$B$9,"")</f>
        <v>8.8407840697257628E-2</v>
      </c>
      <c r="L35" s="275">
        <v>4035.8779999999997</v>
      </c>
      <c r="M35" s="276">
        <f>IFERROR(L35/$B$9,"")</f>
        <v>0.22104934243226812</v>
      </c>
    </row>
    <row r="36" spans="1:13" ht="15.75" customHeight="1" thickBot="1">
      <c r="A36" s="277" t="s">
        <v>475</v>
      </c>
      <c r="B36" s="278">
        <v>15896.425820000022</v>
      </c>
      <c r="C36" s="192">
        <f>B36/$B$5</f>
        <v>2.0951364455328042E-4</v>
      </c>
      <c r="D36" s="774"/>
      <c r="E36" s="196" t="s">
        <v>475</v>
      </c>
      <c r="F36" s="285">
        <v>446.58150000000035</v>
      </c>
      <c r="G36" s="194">
        <f>IFERROR(F36/$B$10,"")</f>
        <v>1.9602108257823003E-2</v>
      </c>
      <c r="H36" s="275">
        <v>793.69283000000019</v>
      </c>
      <c r="I36" s="194">
        <f>IFERROR(H36/$B$10,"")</f>
        <v>3.4838104079810514E-2</v>
      </c>
      <c r="J36" s="275">
        <v>666.6480400000014</v>
      </c>
      <c r="K36" s="194">
        <f>IFERROR(J36/$B$10,"")</f>
        <v>2.9261639924505464E-2</v>
      </c>
      <c r="L36" s="275">
        <v>1637.1258600000046</v>
      </c>
      <c r="M36" s="276">
        <f>IFERROR(L36/$B$10,"")</f>
        <v>7.1859488893744258E-2</v>
      </c>
    </row>
    <row r="37" spans="1:13" ht="15.75" customHeight="1">
      <c r="A37" s="279"/>
      <c r="B37" s="186"/>
      <c r="C37" s="186"/>
      <c r="D37" s="774"/>
      <c r="E37" s="771" t="s">
        <v>469</v>
      </c>
      <c r="F37" s="775">
        <v>5</v>
      </c>
      <c r="G37" s="775"/>
      <c r="H37" s="775">
        <v>6</v>
      </c>
      <c r="I37" s="775"/>
      <c r="J37" s="775">
        <v>7</v>
      </c>
      <c r="K37" s="775"/>
      <c r="L37" s="776">
        <v>8</v>
      </c>
      <c r="M37" s="794"/>
    </row>
    <row r="38" spans="1:13" ht="15.75" customHeight="1">
      <c r="A38" s="279"/>
      <c r="B38" s="186"/>
      <c r="C38" s="186"/>
      <c r="D38" s="774"/>
      <c r="E38" s="771"/>
      <c r="F38" s="767" t="s">
        <v>476</v>
      </c>
      <c r="G38" s="767"/>
      <c r="H38" s="767" t="s">
        <v>477</v>
      </c>
      <c r="I38" s="767"/>
      <c r="J38" s="767" t="s">
        <v>478</v>
      </c>
      <c r="K38" s="767"/>
      <c r="L38" s="768" t="s">
        <v>479</v>
      </c>
      <c r="M38" s="795"/>
    </row>
    <row r="39" spans="1:13" ht="15.75" customHeight="1">
      <c r="A39" s="279"/>
      <c r="B39" s="186"/>
      <c r="C39" s="186"/>
      <c r="D39" s="774"/>
      <c r="E39" s="771"/>
      <c r="F39" s="305" t="s">
        <v>11</v>
      </c>
      <c r="G39" s="305" t="s">
        <v>473</v>
      </c>
      <c r="H39" s="305" t="s">
        <v>11</v>
      </c>
      <c r="I39" s="305" t="s">
        <v>473</v>
      </c>
      <c r="J39" s="305" t="s">
        <v>11</v>
      </c>
      <c r="K39" s="305" t="s">
        <v>473</v>
      </c>
      <c r="L39" s="305" t="s">
        <v>11</v>
      </c>
      <c r="M39" s="272" t="s">
        <v>473</v>
      </c>
    </row>
    <row r="40" spans="1:13" ht="15.75" customHeight="1">
      <c r="A40" s="280"/>
      <c r="B40" s="281"/>
      <c r="C40" s="281"/>
      <c r="D40" s="774"/>
      <c r="E40" s="190" t="s">
        <v>474</v>
      </c>
      <c r="F40" s="275">
        <v>1269.0300000000002</v>
      </c>
      <c r="G40" s="194">
        <f>IFERROR(F40/$B$9,"")</f>
        <v>6.9506126554574069E-2</v>
      </c>
      <c r="H40" s="275">
        <v>361.74299999999999</v>
      </c>
      <c r="I40" s="194">
        <f>IFERROR(H40/$B$9,"")</f>
        <v>1.9813049918623898E-2</v>
      </c>
      <c r="J40" s="275">
        <v>619.197</v>
      </c>
      <c r="K40" s="194">
        <f>IFERROR(J40/$B$9,"")</f>
        <v>3.3914080080228677E-2</v>
      </c>
      <c r="L40" s="275">
        <v>0</v>
      </c>
      <c r="M40" s="276">
        <f>IFERROR(L40/$B$9,"")</f>
        <v>0</v>
      </c>
    </row>
    <row r="41" spans="1:13" ht="15.75" customHeight="1" thickBot="1">
      <c r="A41" s="282"/>
      <c r="B41" s="283"/>
      <c r="C41" s="283"/>
      <c r="D41" s="783"/>
      <c r="E41" s="284" t="s">
        <v>475</v>
      </c>
      <c r="F41" s="285">
        <v>6394.8248599999997</v>
      </c>
      <c r="G41" s="286">
        <f>IFERROR(F41/$B$10,"")</f>
        <v>0.28069243619706086</v>
      </c>
      <c r="H41" s="285">
        <v>5540.5327300000126</v>
      </c>
      <c r="I41" s="286">
        <f>IFERROR(H41/$B$10,"")</f>
        <v>0.24319440545448431</v>
      </c>
      <c r="J41" s="285">
        <v>417.01999999999981</v>
      </c>
      <c r="K41" s="286">
        <f>IFERROR(J41/$B$10,"")</f>
        <v>1.8304545050964578E-2</v>
      </c>
      <c r="L41" s="285">
        <v>0</v>
      </c>
      <c r="M41" s="287">
        <f>IFERROR(L41/$B$10,"")</f>
        <v>0</v>
      </c>
    </row>
    <row r="42" spans="1:13" ht="15.75" customHeight="1">
      <c r="A42" s="777" t="s">
        <v>600</v>
      </c>
      <c r="B42" s="778"/>
      <c r="C42" s="778"/>
      <c r="D42" s="778"/>
      <c r="E42" s="778"/>
      <c r="F42" s="778"/>
      <c r="G42" s="778"/>
      <c r="H42" s="778"/>
      <c r="I42" s="778"/>
      <c r="J42" s="778"/>
      <c r="K42" s="778"/>
      <c r="L42" s="778"/>
      <c r="M42" s="779"/>
    </row>
    <row r="43" spans="1:13" ht="15.75" customHeight="1">
      <c r="A43" s="780"/>
      <c r="B43" s="770"/>
      <c r="C43" s="770"/>
      <c r="D43" s="770"/>
      <c r="E43" s="770"/>
      <c r="F43" s="770"/>
      <c r="G43" s="770"/>
      <c r="H43" s="770"/>
      <c r="I43" s="770"/>
      <c r="J43" s="770"/>
      <c r="K43" s="770"/>
      <c r="L43" s="770"/>
      <c r="M43" s="781"/>
    </row>
    <row r="44" spans="1:13" ht="15.75" customHeight="1">
      <c r="A44" s="270" t="s">
        <v>601</v>
      </c>
      <c r="B44" s="288">
        <v>46287577</v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271"/>
    </row>
    <row r="45" spans="1:13" ht="15.75" customHeight="1">
      <c r="A45" s="782" t="s">
        <v>602</v>
      </c>
      <c r="B45" s="772" t="s">
        <v>10</v>
      </c>
      <c r="C45" s="772"/>
      <c r="D45" s="773"/>
      <c r="E45" s="771" t="s">
        <v>602</v>
      </c>
      <c r="F45" s="775">
        <v>1</v>
      </c>
      <c r="G45" s="775"/>
      <c r="H45" s="775">
        <v>2</v>
      </c>
      <c r="I45" s="775"/>
      <c r="J45" s="775">
        <v>3</v>
      </c>
      <c r="K45" s="775"/>
      <c r="L45" s="775">
        <v>4</v>
      </c>
      <c r="M45" s="784"/>
    </row>
    <row r="46" spans="1:13" ht="15.75" customHeight="1">
      <c r="A46" s="782"/>
      <c r="B46" s="772"/>
      <c r="C46" s="772"/>
      <c r="D46" s="774"/>
      <c r="E46" s="771"/>
      <c r="F46" s="767" t="s">
        <v>603</v>
      </c>
      <c r="G46" s="767"/>
      <c r="H46" s="767" t="s">
        <v>604</v>
      </c>
      <c r="I46" s="767"/>
      <c r="J46" s="767" t="s">
        <v>605</v>
      </c>
      <c r="K46" s="767"/>
      <c r="L46" s="767" t="s">
        <v>747</v>
      </c>
      <c r="M46" s="785"/>
    </row>
    <row r="47" spans="1:13" ht="15.75" customHeight="1">
      <c r="A47" s="782"/>
      <c r="B47" s="332" t="s">
        <v>11</v>
      </c>
      <c r="C47" s="332" t="s">
        <v>606</v>
      </c>
      <c r="D47" s="774"/>
      <c r="E47" s="771"/>
      <c r="F47" s="332" t="s">
        <v>11</v>
      </c>
      <c r="G47" s="332" t="s">
        <v>606</v>
      </c>
      <c r="H47" s="332" t="s">
        <v>11</v>
      </c>
      <c r="I47" s="332" t="s">
        <v>606</v>
      </c>
      <c r="J47" s="332" t="s">
        <v>11</v>
      </c>
      <c r="K47" s="332" t="s">
        <v>606</v>
      </c>
      <c r="L47" s="332" t="s">
        <v>11</v>
      </c>
      <c r="M47" s="272" t="s">
        <v>606</v>
      </c>
    </row>
    <row r="48" spans="1:13" ht="15.75" customHeight="1">
      <c r="A48" s="273" t="s">
        <v>607</v>
      </c>
      <c r="B48" s="274">
        <v>9587.904999999997</v>
      </c>
      <c r="C48" s="192">
        <v>2.07137759662814E-4</v>
      </c>
      <c r="D48" s="774"/>
      <c r="E48" s="190" t="s">
        <v>607</v>
      </c>
      <c r="F48" s="275">
        <v>0</v>
      </c>
      <c r="G48" s="194">
        <v>0</v>
      </c>
      <c r="H48" s="275">
        <v>834.86200000000008</v>
      </c>
      <c r="I48" s="194">
        <v>4.5726282142742734E-2</v>
      </c>
      <c r="J48" s="275">
        <v>2231.3200000000002</v>
      </c>
      <c r="K48" s="194">
        <v>0.12221177616270081</v>
      </c>
      <c r="L48" s="275">
        <v>4146.4030000000002</v>
      </c>
      <c r="M48" s="276">
        <v>0.22710291456014875</v>
      </c>
    </row>
    <row r="49" spans="1:13" ht="15.75" customHeight="1">
      <c r="A49" s="277" t="s">
        <v>608</v>
      </c>
      <c r="B49" s="278">
        <v>14733.35162000003</v>
      </c>
      <c r="C49" s="192">
        <v>3.1830034265997612E-4</v>
      </c>
      <c r="D49" s="774"/>
      <c r="E49" s="196" t="s">
        <v>608</v>
      </c>
      <c r="F49" s="275">
        <v>0</v>
      </c>
      <c r="G49" s="194">
        <v>0</v>
      </c>
      <c r="H49" s="275">
        <v>0</v>
      </c>
      <c r="I49" s="194">
        <v>0</v>
      </c>
      <c r="J49" s="275">
        <v>1459.6556299999991</v>
      </c>
      <c r="K49" s="194">
        <v>6.4069666294731861E-2</v>
      </c>
      <c r="L49" s="275">
        <v>2414.4136500000041</v>
      </c>
      <c r="M49" s="276">
        <v>0.10597751529444373</v>
      </c>
    </row>
    <row r="50" spans="1:13" ht="15.75" customHeight="1">
      <c r="A50" s="279"/>
      <c r="B50" s="186"/>
      <c r="C50" s="186"/>
      <c r="D50" s="774"/>
      <c r="E50" s="771" t="s">
        <v>602</v>
      </c>
      <c r="F50" s="775">
        <v>5</v>
      </c>
      <c r="G50" s="775"/>
      <c r="H50" s="775">
        <v>6</v>
      </c>
      <c r="I50" s="775"/>
      <c r="J50" s="775">
        <v>7</v>
      </c>
      <c r="K50" s="775"/>
      <c r="L50" s="776">
        <v>8</v>
      </c>
      <c r="M50" s="794"/>
    </row>
    <row r="51" spans="1:13" ht="15.75" customHeight="1">
      <c r="A51" s="279"/>
      <c r="B51" s="186"/>
      <c r="C51" s="186"/>
      <c r="D51" s="774"/>
      <c r="E51" s="771"/>
      <c r="F51" s="767" t="s">
        <v>609</v>
      </c>
      <c r="G51" s="767"/>
      <c r="H51" s="767" t="s">
        <v>610</v>
      </c>
      <c r="I51" s="767"/>
      <c r="J51" s="767" t="s">
        <v>611</v>
      </c>
      <c r="K51" s="767"/>
      <c r="L51" s="768" t="s">
        <v>612</v>
      </c>
      <c r="M51" s="795"/>
    </row>
    <row r="52" spans="1:13" ht="15.75" customHeight="1">
      <c r="A52" s="279"/>
      <c r="B52" s="186"/>
      <c r="C52" s="186"/>
      <c r="D52" s="774"/>
      <c r="E52" s="771"/>
      <c r="F52" s="332" t="s">
        <v>11</v>
      </c>
      <c r="G52" s="332" t="s">
        <v>606</v>
      </c>
      <c r="H52" s="332" t="s">
        <v>11</v>
      </c>
      <c r="I52" s="332" t="s">
        <v>606</v>
      </c>
      <c r="J52" s="332" t="s">
        <v>11</v>
      </c>
      <c r="K52" s="332" t="s">
        <v>606</v>
      </c>
      <c r="L52" s="332" t="s">
        <v>11</v>
      </c>
      <c r="M52" s="272" t="s">
        <v>606</v>
      </c>
    </row>
    <row r="53" spans="1:13" ht="15.75" customHeight="1">
      <c r="A53" s="280"/>
      <c r="B53" s="281"/>
      <c r="C53" s="281"/>
      <c r="D53" s="774"/>
      <c r="E53" s="190" t="s">
        <v>607</v>
      </c>
      <c r="F53" s="275">
        <v>825.84</v>
      </c>
      <c r="G53" s="194">
        <v>4.523213758053745E-2</v>
      </c>
      <c r="H53" s="275">
        <v>1291.5520000000001</v>
      </c>
      <c r="I53" s="194">
        <v>7.0739680514891878E-2</v>
      </c>
      <c r="J53" s="275">
        <v>257.928</v>
      </c>
      <c r="K53" s="194">
        <v>1.4126991647138506E-2</v>
      </c>
      <c r="L53" s="275">
        <v>0</v>
      </c>
      <c r="M53" s="276">
        <v>0</v>
      </c>
    </row>
    <row r="54" spans="1:13" ht="15.75" customHeight="1" thickBot="1">
      <c r="A54" s="282"/>
      <c r="B54" s="283"/>
      <c r="C54" s="283"/>
      <c r="D54" s="783"/>
      <c r="E54" s="284" t="s">
        <v>608</v>
      </c>
      <c r="F54" s="285">
        <v>5870.1435299999976</v>
      </c>
      <c r="G54" s="286">
        <v>0.25766223850298126</v>
      </c>
      <c r="H54" s="285">
        <v>4989.1388100000286</v>
      </c>
      <c r="I54" s="286">
        <v>0.21899169371531671</v>
      </c>
      <c r="J54" s="285">
        <v>0</v>
      </c>
      <c r="K54" s="286">
        <v>0</v>
      </c>
      <c r="L54" s="285">
        <v>0</v>
      </c>
      <c r="M54" s="287">
        <v>0</v>
      </c>
    </row>
    <row r="55" spans="1:13" ht="15.75" customHeight="1">
      <c r="A55" s="777" t="s">
        <v>613</v>
      </c>
      <c r="B55" s="778"/>
      <c r="C55" s="778"/>
      <c r="D55" s="778"/>
      <c r="E55" s="778"/>
      <c r="F55" s="778"/>
      <c r="G55" s="778"/>
      <c r="H55" s="778"/>
      <c r="I55" s="778"/>
      <c r="J55" s="778"/>
      <c r="K55" s="778"/>
      <c r="L55" s="778"/>
      <c r="M55" s="779"/>
    </row>
    <row r="56" spans="1:13" ht="15.75" customHeight="1">
      <c r="A56" s="780"/>
      <c r="B56" s="770"/>
      <c r="C56" s="770"/>
      <c r="D56" s="770"/>
      <c r="E56" s="770"/>
      <c r="F56" s="770"/>
      <c r="G56" s="770"/>
      <c r="H56" s="770"/>
      <c r="I56" s="770"/>
      <c r="J56" s="770"/>
      <c r="K56" s="770"/>
      <c r="L56" s="770"/>
      <c r="M56" s="781"/>
    </row>
    <row r="57" spans="1:13" ht="15.75" customHeight="1">
      <c r="A57" s="270" t="s">
        <v>601</v>
      </c>
      <c r="B57" s="288">
        <v>48362935</v>
      </c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271"/>
    </row>
    <row r="58" spans="1:13" ht="15.75" customHeight="1">
      <c r="A58" s="782" t="s">
        <v>602</v>
      </c>
      <c r="B58" s="772" t="s">
        <v>10</v>
      </c>
      <c r="C58" s="772"/>
      <c r="D58" s="773"/>
      <c r="E58" s="771" t="s">
        <v>616</v>
      </c>
      <c r="F58" s="775">
        <v>1</v>
      </c>
      <c r="G58" s="775"/>
      <c r="H58" s="775">
        <v>2</v>
      </c>
      <c r="I58" s="775"/>
      <c r="J58" s="775">
        <v>3</v>
      </c>
      <c r="K58" s="775"/>
      <c r="L58" s="775">
        <v>4</v>
      </c>
      <c r="M58" s="784"/>
    </row>
    <row r="59" spans="1:13" ht="15.75" customHeight="1">
      <c r="A59" s="782"/>
      <c r="B59" s="772"/>
      <c r="C59" s="772"/>
      <c r="D59" s="774"/>
      <c r="E59" s="771"/>
      <c r="F59" s="767" t="s">
        <v>617</v>
      </c>
      <c r="G59" s="767"/>
      <c r="H59" s="767" t="s">
        <v>618</v>
      </c>
      <c r="I59" s="767"/>
      <c r="J59" s="767" t="s">
        <v>619</v>
      </c>
      <c r="K59" s="767"/>
      <c r="L59" s="767" t="s">
        <v>747</v>
      </c>
      <c r="M59" s="785"/>
    </row>
    <row r="60" spans="1:13" ht="15.75" customHeight="1">
      <c r="A60" s="782"/>
      <c r="B60" s="332" t="s">
        <v>11</v>
      </c>
      <c r="C60" s="332" t="s">
        <v>606</v>
      </c>
      <c r="D60" s="774"/>
      <c r="E60" s="771"/>
      <c r="F60" s="333" t="s">
        <v>11</v>
      </c>
      <c r="G60" s="333" t="s">
        <v>620</v>
      </c>
      <c r="H60" s="333" t="s">
        <v>11</v>
      </c>
      <c r="I60" s="333" t="s">
        <v>620</v>
      </c>
      <c r="J60" s="333" t="s">
        <v>11</v>
      </c>
      <c r="K60" s="333" t="s">
        <v>620</v>
      </c>
      <c r="L60" s="333" t="s">
        <v>11</v>
      </c>
      <c r="M60" s="272" t="s">
        <v>620</v>
      </c>
    </row>
    <row r="61" spans="1:13" ht="15.75" customHeight="1">
      <c r="A61" s="273" t="s">
        <v>607</v>
      </c>
      <c r="B61" s="274">
        <v>10199.575000000004</v>
      </c>
      <c r="C61" s="192">
        <f>B61/$B$57</f>
        <v>2.1089652644116832E-4</v>
      </c>
      <c r="D61" s="774"/>
      <c r="E61" s="190" t="s">
        <v>621</v>
      </c>
      <c r="F61" s="275">
        <v>0</v>
      </c>
      <c r="G61" s="194">
        <f>IFERROR(F61/$B$9,"")</f>
        <v>0</v>
      </c>
      <c r="H61" s="275">
        <v>277.08100000000002</v>
      </c>
      <c r="I61" s="194">
        <f>IFERROR(H61/$B$9,"")</f>
        <v>1.5176021884327349E-2</v>
      </c>
      <c r="J61" s="275">
        <v>1993.0930000000003</v>
      </c>
      <c r="K61" s="194">
        <f>IFERROR(J61/$B$9,"")</f>
        <v>0.10916382929720786</v>
      </c>
      <c r="L61" s="275">
        <v>5007.6209999999992</v>
      </c>
      <c r="M61" s="276">
        <f>IFERROR(L61/$B$9,"")</f>
        <v>0.27427274293227322</v>
      </c>
    </row>
    <row r="62" spans="1:13" ht="15.75" customHeight="1">
      <c r="A62" s="277" t="s">
        <v>608</v>
      </c>
      <c r="B62" s="278">
        <v>38331.075293114794</v>
      </c>
      <c r="C62" s="192">
        <f>B62/$B$57</f>
        <v>7.9257132126316966E-4</v>
      </c>
      <c r="D62" s="774"/>
      <c r="E62" s="196" t="s">
        <v>622</v>
      </c>
      <c r="F62" s="275">
        <v>0</v>
      </c>
      <c r="G62" s="194">
        <f>IFERROR(F62/$B$62,"")</f>
        <v>0</v>
      </c>
      <c r="H62" s="275">
        <v>1230.5148299999994</v>
      </c>
      <c r="I62" s="194">
        <f>IFERROR(H62/$B$62,"")</f>
        <v>3.210227786698773E-2</v>
      </c>
      <c r="J62" s="275">
        <v>1139.0088600000024</v>
      </c>
      <c r="K62" s="194">
        <f>IFERROR(J62/$B$62,"")</f>
        <v>2.9715024984039426E-2</v>
      </c>
      <c r="L62" s="275">
        <v>2998.8652431147748</v>
      </c>
      <c r="M62" s="276">
        <f>IFERROR(L62/$B$62,"")</f>
        <v>7.8235875727009532E-2</v>
      </c>
    </row>
    <row r="63" spans="1:13" ht="15.75" customHeight="1">
      <c r="A63" s="279"/>
      <c r="B63" s="186"/>
      <c r="C63" s="186"/>
      <c r="D63" s="774"/>
      <c r="E63" s="771" t="s">
        <v>616</v>
      </c>
      <c r="F63" s="786">
        <v>5</v>
      </c>
      <c r="G63" s="787"/>
      <c r="H63" s="786">
        <v>6</v>
      </c>
      <c r="I63" s="787"/>
      <c r="J63" s="786">
        <v>7</v>
      </c>
      <c r="K63" s="787"/>
      <c r="L63" s="788">
        <v>8</v>
      </c>
      <c r="M63" s="789"/>
    </row>
    <row r="64" spans="1:13" ht="15.75" customHeight="1">
      <c r="A64" s="279"/>
      <c r="B64" s="186"/>
      <c r="C64" s="186"/>
      <c r="D64" s="774"/>
      <c r="E64" s="771"/>
      <c r="F64" s="790" t="s">
        <v>623</v>
      </c>
      <c r="G64" s="791"/>
      <c r="H64" s="790" t="s">
        <v>624</v>
      </c>
      <c r="I64" s="791"/>
      <c r="J64" s="790" t="s">
        <v>625</v>
      </c>
      <c r="K64" s="791"/>
      <c r="L64" s="792" t="s">
        <v>626</v>
      </c>
      <c r="M64" s="793"/>
    </row>
    <row r="65" spans="1:13" ht="15.75" customHeight="1">
      <c r="A65" s="279"/>
      <c r="B65" s="186"/>
      <c r="C65" s="186"/>
      <c r="D65" s="774"/>
      <c r="E65" s="771"/>
      <c r="F65" s="333" t="s">
        <v>11</v>
      </c>
      <c r="G65" s="333" t="s">
        <v>620</v>
      </c>
      <c r="H65" s="333" t="s">
        <v>11</v>
      </c>
      <c r="I65" s="333" t="s">
        <v>620</v>
      </c>
      <c r="J65" s="333" t="s">
        <v>11</v>
      </c>
      <c r="K65" s="333" t="s">
        <v>620</v>
      </c>
      <c r="L65" s="333" t="s">
        <v>11</v>
      </c>
      <c r="M65" s="272" t="s">
        <v>620</v>
      </c>
    </row>
    <row r="66" spans="1:13" ht="15.75" customHeight="1">
      <c r="A66" s="280"/>
      <c r="B66" s="281"/>
      <c r="C66" s="281"/>
      <c r="D66" s="774"/>
      <c r="E66" s="190" t="s">
        <v>621</v>
      </c>
      <c r="F66" s="275">
        <v>1790.1419999999998</v>
      </c>
      <c r="G66" s="194">
        <f>IFERROR(F66/$B$9,"")</f>
        <v>9.8047986574516216E-2</v>
      </c>
      <c r="H66" s="275">
        <v>1131.6379999999999</v>
      </c>
      <c r="I66" s="194">
        <f>IFERROR(H66/$B$9,"")</f>
        <v>6.1981020182316472E-2</v>
      </c>
      <c r="J66" s="275">
        <v>0</v>
      </c>
      <c r="K66" s="194">
        <f>IFERROR(J66/$B$9,"")</f>
        <v>0</v>
      </c>
      <c r="L66" s="275">
        <v>0</v>
      </c>
      <c r="M66" s="276">
        <f>IFERROR(L66/$B$9,"")</f>
        <v>0</v>
      </c>
    </row>
    <row r="67" spans="1:13" ht="15.75" customHeight="1" thickBot="1">
      <c r="A67" s="282"/>
      <c r="B67" s="283"/>
      <c r="C67" s="283"/>
      <c r="D67" s="783"/>
      <c r="E67" s="284" t="s">
        <v>622</v>
      </c>
      <c r="F67" s="285">
        <v>27345.851710000003</v>
      </c>
      <c r="G67" s="286">
        <f>IFERROR(F67/$B$62,"")</f>
        <v>0.71341206842981497</v>
      </c>
      <c r="H67" s="285">
        <v>5616.8346500000025</v>
      </c>
      <c r="I67" s="286">
        <f>IFERROR(H67/$B$62,"")</f>
        <v>0.14653475299214797</v>
      </c>
      <c r="J67" s="285">
        <v>0</v>
      </c>
      <c r="K67" s="286">
        <f>IFERROR(J67/$B$62,"")</f>
        <v>0</v>
      </c>
      <c r="L67" s="285">
        <v>0</v>
      </c>
      <c r="M67" s="287">
        <f>IFERROR(L67/$B$62,"")</f>
        <v>0</v>
      </c>
    </row>
    <row r="68" spans="1:13" ht="15.75" customHeight="1">
      <c r="A68" s="777" t="s">
        <v>636</v>
      </c>
      <c r="B68" s="778"/>
      <c r="C68" s="778"/>
      <c r="D68" s="778"/>
      <c r="E68" s="778"/>
      <c r="F68" s="778"/>
      <c r="G68" s="778"/>
      <c r="H68" s="778"/>
      <c r="I68" s="778"/>
      <c r="J68" s="778"/>
      <c r="K68" s="778"/>
      <c r="L68" s="778"/>
      <c r="M68" s="779"/>
    </row>
    <row r="69" spans="1:13" ht="15.75" customHeight="1">
      <c r="A69" s="780"/>
      <c r="B69" s="770"/>
      <c r="C69" s="770"/>
      <c r="D69" s="770"/>
      <c r="E69" s="770"/>
      <c r="F69" s="770"/>
      <c r="G69" s="770"/>
      <c r="H69" s="770"/>
      <c r="I69" s="770"/>
      <c r="J69" s="770"/>
      <c r="K69" s="770"/>
      <c r="L69" s="770"/>
      <c r="M69" s="781"/>
    </row>
    <row r="70" spans="1:13" ht="15.75" customHeight="1">
      <c r="A70" s="270" t="s">
        <v>637</v>
      </c>
      <c r="B70" s="288">
        <v>50470102</v>
      </c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271"/>
    </row>
    <row r="71" spans="1:13" ht="15.75" customHeight="1">
      <c r="A71" s="782" t="s">
        <v>638</v>
      </c>
      <c r="B71" s="772" t="s">
        <v>10</v>
      </c>
      <c r="C71" s="772"/>
      <c r="D71" s="773"/>
      <c r="E71" s="771" t="s">
        <v>638</v>
      </c>
      <c r="F71" s="775">
        <v>1</v>
      </c>
      <c r="G71" s="775"/>
      <c r="H71" s="775">
        <v>2</v>
      </c>
      <c r="I71" s="775"/>
      <c r="J71" s="775">
        <v>3</v>
      </c>
      <c r="K71" s="775"/>
      <c r="L71" s="775">
        <v>4</v>
      </c>
      <c r="M71" s="784"/>
    </row>
    <row r="72" spans="1:13" ht="15.75" customHeight="1">
      <c r="A72" s="782"/>
      <c r="B72" s="772"/>
      <c r="C72" s="772"/>
      <c r="D72" s="774"/>
      <c r="E72" s="771"/>
      <c r="F72" s="767" t="s">
        <v>639</v>
      </c>
      <c r="G72" s="767"/>
      <c r="H72" s="767" t="s">
        <v>640</v>
      </c>
      <c r="I72" s="767"/>
      <c r="J72" s="767" t="s">
        <v>641</v>
      </c>
      <c r="K72" s="767"/>
      <c r="L72" s="767" t="s">
        <v>747</v>
      </c>
      <c r="M72" s="785"/>
    </row>
    <row r="73" spans="1:13" ht="15.75" customHeight="1">
      <c r="A73" s="782"/>
      <c r="B73" s="337" t="s">
        <v>11</v>
      </c>
      <c r="C73" s="337" t="s">
        <v>642</v>
      </c>
      <c r="D73" s="774"/>
      <c r="E73" s="771"/>
      <c r="F73" s="337" t="s">
        <v>11</v>
      </c>
      <c r="G73" s="337" t="s">
        <v>642</v>
      </c>
      <c r="H73" s="337" t="s">
        <v>11</v>
      </c>
      <c r="I73" s="337" t="s">
        <v>642</v>
      </c>
      <c r="J73" s="337" t="s">
        <v>11</v>
      </c>
      <c r="K73" s="337" t="s">
        <v>642</v>
      </c>
      <c r="L73" s="337" t="s">
        <v>11</v>
      </c>
      <c r="M73" s="272" t="s">
        <v>642</v>
      </c>
    </row>
    <row r="74" spans="1:13" ht="15.75" customHeight="1">
      <c r="A74" s="273" t="s">
        <v>643</v>
      </c>
      <c r="B74" s="274">
        <v>11260.655999999997</v>
      </c>
      <c r="C74" s="192">
        <f>B74/$B$70</f>
        <v>2.2311538027008538E-4</v>
      </c>
      <c r="D74" s="774"/>
      <c r="E74" s="190" t="s">
        <v>643</v>
      </c>
      <c r="F74" s="275">
        <v>0</v>
      </c>
      <c r="G74" s="194">
        <f>IFERROR(F74/$B$74,"")</f>
        <v>0</v>
      </c>
      <c r="H74" s="275">
        <v>766.85</v>
      </c>
      <c r="I74" s="194">
        <f>IFERROR(H74/$B$74,"")</f>
        <v>6.809994018110492E-2</v>
      </c>
      <c r="J74" s="275">
        <v>2647.3230000000008</v>
      </c>
      <c r="K74" s="194">
        <f>IFERROR(J74/$B$74,"")</f>
        <v>0.23509491809358188</v>
      </c>
      <c r="L74" s="275">
        <v>4766.7250000000004</v>
      </c>
      <c r="M74" s="276">
        <f>IFERROR(L74/$B$74,"")</f>
        <v>0.42330793161606228</v>
      </c>
    </row>
    <row r="75" spans="1:13" ht="15.75" customHeight="1">
      <c r="A75" s="277" t="s">
        <v>644</v>
      </c>
      <c r="B75" s="278">
        <v>30667.696349999991</v>
      </c>
      <c r="C75" s="192">
        <f>B75/$B$70</f>
        <v>6.0764086329764084E-4</v>
      </c>
      <c r="D75" s="774"/>
      <c r="E75" s="196" t="s">
        <v>644</v>
      </c>
      <c r="F75" s="275">
        <v>0</v>
      </c>
      <c r="G75" s="194">
        <f>IFERROR(F75/$B$75,"")</f>
        <v>0</v>
      </c>
      <c r="H75" s="275">
        <v>264.93571999999978</v>
      </c>
      <c r="I75" s="194">
        <f>IFERROR(H75/$B$75,"")</f>
        <v>8.6389181951059667E-3</v>
      </c>
      <c r="J75" s="275">
        <v>1098.7587799999997</v>
      </c>
      <c r="K75" s="194">
        <f>IFERROR(J75/$B$75,"")</f>
        <v>3.5827887672430274E-2</v>
      </c>
      <c r="L75" s="275">
        <v>2446.1784400000056</v>
      </c>
      <c r="M75" s="276">
        <f>IFERROR(L75/$B$75,"")</f>
        <v>7.9764010054182183E-2</v>
      </c>
    </row>
    <row r="76" spans="1:13" ht="15.75" customHeight="1">
      <c r="A76" s="279"/>
      <c r="B76" s="186"/>
      <c r="C76" s="186"/>
      <c r="D76" s="774"/>
      <c r="E76" s="771" t="s">
        <v>638</v>
      </c>
      <c r="F76" s="786">
        <v>5</v>
      </c>
      <c r="G76" s="787"/>
      <c r="H76" s="786">
        <v>6</v>
      </c>
      <c r="I76" s="787"/>
      <c r="J76" s="786">
        <v>7</v>
      </c>
      <c r="K76" s="787"/>
      <c r="L76" s="788">
        <v>8</v>
      </c>
      <c r="M76" s="789"/>
    </row>
    <row r="77" spans="1:13" ht="15.75" customHeight="1">
      <c r="A77" s="279"/>
      <c r="B77" s="186"/>
      <c r="C77" s="186"/>
      <c r="D77" s="774"/>
      <c r="E77" s="771"/>
      <c r="F77" s="790" t="s">
        <v>645</v>
      </c>
      <c r="G77" s="791"/>
      <c r="H77" s="790" t="s">
        <v>646</v>
      </c>
      <c r="I77" s="791"/>
      <c r="J77" s="790" t="s">
        <v>647</v>
      </c>
      <c r="K77" s="791"/>
      <c r="L77" s="792" t="s">
        <v>648</v>
      </c>
      <c r="M77" s="793"/>
    </row>
    <row r="78" spans="1:13" ht="15.75" customHeight="1">
      <c r="A78" s="279"/>
      <c r="B78" s="186"/>
      <c r="C78" s="186"/>
      <c r="D78" s="774"/>
      <c r="E78" s="771"/>
      <c r="F78" s="337" t="s">
        <v>11</v>
      </c>
      <c r="G78" s="337" t="s">
        <v>642</v>
      </c>
      <c r="H78" s="337" t="s">
        <v>11</v>
      </c>
      <c r="I78" s="337" t="s">
        <v>642</v>
      </c>
      <c r="J78" s="337" t="s">
        <v>11</v>
      </c>
      <c r="K78" s="337" t="s">
        <v>642</v>
      </c>
      <c r="L78" s="337" t="s">
        <v>11</v>
      </c>
      <c r="M78" s="272" t="s">
        <v>642</v>
      </c>
    </row>
    <row r="79" spans="1:13" ht="15.75" customHeight="1">
      <c r="A79" s="280"/>
      <c r="B79" s="281"/>
      <c r="C79" s="281"/>
      <c r="D79" s="774"/>
      <c r="E79" s="190" t="s">
        <v>643</v>
      </c>
      <c r="F79" s="275">
        <v>2196.7870000000003</v>
      </c>
      <c r="G79" s="194">
        <f>IFERROR(F79/$B$74,"")</f>
        <v>0.1950851708816965</v>
      </c>
      <c r="H79" s="275">
        <v>882.97099999999989</v>
      </c>
      <c r="I79" s="194">
        <f>IFERROR(H79/$B$74,"")</f>
        <v>7.8412039227554783E-2</v>
      </c>
      <c r="J79" s="275">
        <v>0</v>
      </c>
      <c r="K79" s="194">
        <f>IFERROR(J79/$B$74,"")</f>
        <v>0</v>
      </c>
      <c r="L79" s="275">
        <v>0</v>
      </c>
      <c r="M79" s="276">
        <f>IFERROR(L79/$B$74,"")</f>
        <v>0</v>
      </c>
    </row>
    <row r="80" spans="1:13" ht="15.75" customHeight="1" thickBot="1">
      <c r="A80" s="282"/>
      <c r="B80" s="283"/>
      <c r="C80" s="283"/>
      <c r="D80" s="783"/>
      <c r="E80" s="284" t="s">
        <v>644</v>
      </c>
      <c r="F80" s="285">
        <v>21773.092659999995</v>
      </c>
      <c r="G80" s="286">
        <f>IFERROR(F80/$B$75,"")</f>
        <v>0.70996831361283519</v>
      </c>
      <c r="H80" s="285">
        <v>5084.7307499999924</v>
      </c>
      <c r="I80" s="286">
        <f>IFERROR(H80/$B$75,"")</f>
        <v>0.16580087046544642</v>
      </c>
      <c r="J80" s="285">
        <v>0</v>
      </c>
      <c r="K80" s="286">
        <f>IFERROR(J80/$B$75,"")</f>
        <v>0</v>
      </c>
      <c r="L80" s="285">
        <v>0</v>
      </c>
      <c r="M80" s="287">
        <f>IFERROR(L80/$B$75,"")</f>
        <v>0</v>
      </c>
    </row>
    <row r="81" spans="1:13" ht="15.75" customHeight="1">
      <c r="A81" s="777" t="s">
        <v>681</v>
      </c>
      <c r="B81" s="778"/>
      <c r="C81" s="778"/>
      <c r="D81" s="778"/>
      <c r="E81" s="778"/>
      <c r="F81" s="778"/>
      <c r="G81" s="778"/>
      <c r="H81" s="778"/>
      <c r="I81" s="778"/>
      <c r="J81" s="778"/>
      <c r="K81" s="778"/>
      <c r="L81" s="778"/>
      <c r="M81" s="779"/>
    </row>
    <row r="82" spans="1:13" ht="15.75" customHeight="1">
      <c r="A82" s="780"/>
      <c r="B82" s="770"/>
      <c r="C82" s="770"/>
      <c r="D82" s="770"/>
      <c r="E82" s="770"/>
      <c r="F82" s="770"/>
      <c r="G82" s="770"/>
      <c r="H82" s="770"/>
      <c r="I82" s="770"/>
      <c r="J82" s="770"/>
      <c r="K82" s="770"/>
      <c r="L82" s="770"/>
      <c r="M82" s="781"/>
    </row>
    <row r="83" spans="1:13" ht="15.75" customHeight="1">
      <c r="A83" s="270" t="s">
        <v>682</v>
      </c>
      <c r="B83" s="288">
        <v>52767858</v>
      </c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271"/>
    </row>
    <row r="84" spans="1:13" ht="15.75" customHeight="1">
      <c r="A84" s="782" t="s">
        <v>683</v>
      </c>
      <c r="B84" s="772" t="s">
        <v>10</v>
      </c>
      <c r="C84" s="772"/>
      <c r="D84" s="773"/>
      <c r="E84" s="771" t="s">
        <v>683</v>
      </c>
      <c r="F84" s="775">
        <v>1</v>
      </c>
      <c r="G84" s="775"/>
      <c r="H84" s="775">
        <v>2</v>
      </c>
      <c r="I84" s="775"/>
      <c r="J84" s="775">
        <v>3</v>
      </c>
      <c r="K84" s="775"/>
      <c r="L84" s="775">
        <v>4</v>
      </c>
      <c r="M84" s="784"/>
    </row>
    <row r="85" spans="1:13" ht="15.75" customHeight="1">
      <c r="A85" s="782"/>
      <c r="B85" s="772"/>
      <c r="C85" s="772"/>
      <c r="D85" s="774"/>
      <c r="E85" s="771"/>
      <c r="F85" s="767" t="s">
        <v>684</v>
      </c>
      <c r="G85" s="767"/>
      <c r="H85" s="767" t="s">
        <v>685</v>
      </c>
      <c r="I85" s="767"/>
      <c r="J85" s="767" t="s">
        <v>686</v>
      </c>
      <c r="K85" s="767"/>
      <c r="L85" s="767" t="s">
        <v>747</v>
      </c>
      <c r="M85" s="785"/>
    </row>
    <row r="86" spans="1:13" ht="15.75" customHeight="1">
      <c r="A86" s="782"/>
      <c r="B86" s="347" t="s">
        <v>11</v>
      </c>
      <c r="C86" s="347" t="s">
        <v>687</v>
      </c>
      <c r="D86" s="774"/>
      <c r="E86" s="771"/>
      <c r="F86" s="347" t="s">
        <v>11</v>
      </c>
      <c r="G86" s="347" t="s">
        <v>687</v>
      </c>
      <c r="H86" s="347" t="s">
        <v>11</v>
      </c>
      <c r="I86" s="347" t="s">
        <v>687</v>
      </c>
      <c r="J86" s="347" t="s">
        <v>11</v>
      </c>
      <c r="K86" s="347" t="s">
        <v>687</v>
      </c>
      <c r="L86" s="347" t="s">
        <v>11</v>
      </c>
      <c r="M86" s="272" t="s">
        <v>687</v>
      </c>
    </row>
    <row r="87" spans="1:13" ht="15.75" customHeight="1">
      <c r="A87" s="273" t="s">
        <v>688</v>
      </c>
      <c r="B87" s="274">
        <v>11250.800999999999</v>
      </c>
      <c r="C87" s="192">
        <f>B87/$B$83</f>
        <v>2.1321314577521793E-4</v>
      </c>
      <c r="D87" s="774"/>
      <c r="E87" s="190" t="s">
        <v>688</v>
      </c>
      <c r="F87" s="275">
        <v>0</v>
      </c>
      <c r="G87" s="194">
        <f>IFERROR(F87/$B$87,"")</f>
        <v>0</v>
      </c>
      <c r="H87" s="275">
        <v>318.62400000000002</v>
      </c>
      <c r="I87" s="194">
        <f>IFERROR(H87/$B$87,"")</f>
        <v>2.8320116941007136E-2</v>
      </c>
      <c r="J87" s="275">
        <v>3141.2160000000003</v>
      </c>
      <c r="K87" s="194">
        <f>IFERROR(J87/$B$87,"")</f>
        <v>0.27919932100834427</v>
      </c>
      <c r="L87" s="275">
        <v>5274.1350000000002</v>
      </c>
      <c r="M87" s="276">
        <f>IFERROR(L87/$B$87,"")</f>
        <v>0.46877862296204514</v>
      </c>
    </row>
    <row r="88" spans="1:13" ht="15.75" customHeight="1">
      <c r="A88" s="277" t="s">
        <v>689</v>
      </c>
      <c r="B88" s="278">
        <v>29022.845779999985</v>
      </c>
      <c r="C88" s="192">
        <f>B88/$B$83</f>
        <v>5.5000992801337487E-4</v>
      </c>
      <c r="D88" s="774"/>
      <c r="E88" s="196" t="s">
        <v>689</v>
      </c>
      <c r="F88" s="275">
        <v>0</v>
      </c>
      <c r="G88" s="194">
        <f>IFERROR(F88/$B$88,"")</f>
        <v>0</v>
      </c>
      <c r="H88" s="275">
        <v>952.74906999999962</v>
      </c>
      <c r="I88" s="194">
        <f>IFERROR(H88/$B$88,"")</f>
        <v>3.2827555134395239E-2</v>
      </c>
      <c r="J88" s="275">
        <v>1550.483820000004</v>
      </c>
      <c r="K88" s="194">
        <f>IFERROR(J88/$B$88,"")</f>
        <v>5.3422873544277397E-2</v>
      </c>
      <c r="L88" s="275">
        <v>2058.8515699999925</v>
      </c>
      <c r="M88" s="276">
        <f>IFERROR(L88/$B$88,"")</f>
        <v>7.0938997009685853E-2</v>
      </c>
    </row>
    <row r="89" spans="1:13" ht="15.75" customHeight="1">
      <c r="A89" s="279"/>
      <c r="B89" s="186"/>
      <c r="C89" s="186"/>
      <c r="D89" s="774"/>
      <c r="E89" s="771" t="s">
        <v>683</v>
      </c>
      <c r="F89" s="786">
        <v>5</v>
      </c>
      <c r="G89" s="787"/>
      <c r="H89" s="786">
        <v>6</v>
      </c>
      <c r="I89" s="787"/>
      <c r="J89" s="786">
        <v>7</v>
      </c>
      <c r="K89" s="787"/>
      <c r="L89" s="788">
        <v>8</v>
      </c>
      <c r="M89" s="789"/>
    </row>
    <row r="90" spans="1:13" ht="15.75" customHeight="1">
      <c r="A90" s="279"/>
      <c r="B90" s="186"/>
      <c r="C90" s="186"/>
      <c r="D90" s="774"/>
      <c r="E90" s="771"/>
      <c r="F90" s="790" t="s">
        <v>690</v>
      </c>
      <c r="G90" s="791"/>
      <c r="H90" s="790" t="s">
        <v>691</v>
      </c>
      <c r="I90" s="791"/>
      <c r="J90" s="790" t="s">
        <v>692</v>
      </c>
      <c r="K90" s="791"/>
      <c r="L90" s="792" t="s">
        <v>693</v>
      </c>
      <c r="M90" s="793"/>
    </row>
    <row r="91" spans="1:13" ht="15.75" customHeight="1">
      <c r="A91" s="279"/>
      <c r="B91" s="186"/>
      <c r="C91" s="186"/>
      <c r="D91" s="774"/>
      <c r="E91" s="771"/>
      <c r="F91" s="347" t="s">
        <v>11</v>
      </c>
      <c r="G91" s="347" t="s">
        <v>687</v>
      </c>
      <c r="H91" s="347" t="s">
        <v>11</v>
      </c>
      <c r="I91" s="347" t="s">
        <v>687</v>
      </c>
      <c r="J91" s="347" t="s">
        <v>11</v>
      </c>
      <c r="K91" s="347" t="s">
        <v>687</v>
      </c>
      <c r="L91" s="347" t="s">
        <v>11</v>
      </c>
      <c r="M91" s="272" t="s">
        <v>687</v>
      </c>
    </row>
    <row r="92" spans="1:13" ht="15.75" customHeight="1">
      <c r="A92" s="280"/>
      <c r="B92" s="281"/>
      <c r="C92" s="281"/>
      <c r="D92" s="774"/>
      <c r="E92" s="190" t="s">
        <v>688</v>
      </c>
      <c r="F92" s="275">
        <v>2015.4880000000001</v>
      </c>
      <c r="G92" s="194">
        <f>IFERROR(F92/$B$87,"")</f>
        <v>0.17914173399742828</v>
      </c>
      <c r="H92" s="275">
        <v>501.33799999999997</v>
      </c>
      <c r="I92" s="194">
        <f>IFERROR(H92/$B$87,"")</f>
        <v>4.4560205091175288E-2</v>
      </c>
      <c r="J92" s="275">
        <v>0</v>
      </c>
      <c r="K92" s="194">
        <f>IFERROR(J92/$B$87,"")</f>
        <v>0</v>
      </c>
      <c r="L92" s="275">
        <v>0</v>
      </c>
      <c r="M92" s="276">
        <f>IFERROR(L92/$B$87,"")</f>
        <v>0</v>
      </c>
    </row>
    <row r="93" spans="1:13" ht="15.75" customHeight="1" thickBot="1">
      <c r="A93" s="282"/>
      <c r="B93" s="283"/>
      <c r="C93" s="283"/>
      <c r="D93" s="783"/>
      <c r="E93" s="284" t="s">
        <v>689</v>
      </c>
      <c r="F93" s="285">
        <v>18726.078090000003</v>
      </c>
      <c r="G93" s="286">
        <f>IFERROR(F93/$B$88,"")</f>
        <v>0.64521853687085307</v>
      </c>
      <c r="H93" s="285">
        <v>5734.6832299999887</v>
      </c>
      <c r="I93" s="286">
        <f>IFERROR(H93/$B$88,"")</f>
        <v>0.19759203744078854</v>
      </c>
      <c r="J93" s="285">
        <v>0</v>
      </c>
      <c r="K93" s="286">
        <f>IFERROR(J93/$B$88,"")</f>
        <v>0</v>
      </c>
      <c r="L93" s="285">
        <v>0</v>
      </c>
      <c r="M93" s="287">
        <f>IFERROR(L93/$B$88,"")</f>
        <v>0</v>
      </c>
    </row>
    <row r="94" spans="1:13" ht="15.75" customHeight="1">
      <c r="A94" s="777" t="s">
        <v>699</v>
      </c>
      <c r="B94" s="778"/>
      <c r="C94" s="778"/>
      <c r="D94" s="778"/>
      <c r="E94" s="778"/>
      <c r="F94" s="778"/>
      <c r="G94" s="778"/>
      <c r="H94" s="778"/>
      <c r="I94" s="778"/>
      <c r="J94" s="778"/>
      <c r="K94" s="778"/>
      <c r="L94" s="778"/>
      <c r="M94" s="779"/>
    </row>
    <row r="95" spans="1:13" ht="15.75" customHeight="1">
      <c r="A95" s="780"/>
      <c r="B95" s="770"/>
      <c r="C95" s="770"/>
      <c r="D95" s="770"/>
      <c r="E95" s="770"/>
      <c r="F95" s="770"/>
      <c r="G95" s="770"/>
      <c r="H95" s="770"/>
      <c r="I95" s="770"/>
      <c r="J95" s="770"/>
      <c r="K95" s="770"/>
      <c r="L95" s="770"/>
      <c r="M95" s="781"/>
    </row>
    <row r="96" spans="1:13" ht="15.75" customHeight="1">
      <c r="A96" s="270" t="s">
        <v>700</v>
      </c>
      <c r="B96" s="288">
        <v>47691357</v>
      </c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271"/>
    </row>
    <row r="97" spans="1:13" ht="15.75" customHeight="1">
      <c r="A97" s="782" t="s">
        <v>701</v>
      </c>
      <c r="B97" s="772" t="s">
        <v>10</v>
      </c>
      <c r="C97" s="772"/>
      <c r="D97" s="773"/>
      <c r="E97" s="771" t="s">
        <v>701</v>
      </c>
      <c r="F97" s="775">
        <v>1</v>
      </c>
      <c r="G97" s="775"/>
      <c r="H97" s="775">
        <v>2</v>
      </c>
      <c r="I97" s="775"/>
      <c r="J97" s="775">
        <v>3</v>
      </c>
      <c r="K97" s="775"/>
      <c r="L97" s="775">
        <v>4</v>
      </c>
      <c r="M97" s="784"/>
    </row>
    <row r="98" spans="1:13" ht="15.75" customHeight="1">
      <c r="A98" s="782"/>
      <c r="B98" s="772"/>
      <c r="C98" s="772"/>
      <c r="D98" s="774"/>
      <c r="E98" s="771"/>
      <c r="F98" s="767" t="s">
        <v>702</v>
      </c>
      <c r="G98" s="767"/>
      <c r="H98" s="767" t="s">
        <v>703</v>
      </c>
      <c r="I98" s="767"/>
      <c r="J98" s="767" t="s">
        <v>704</v>
      </c>
      <c r="K98" s="767"/>
      <c r="L98" s="767" t="s">
        <v>747</v>
      </c>
      <c r="M98" s="785"/>
    </row>
    <row r="99" spans="1:13" ht="15.75" customHeight="1">
      <c r="A99" s="782"/>
      <c r="B99" s="352" t="s">
        <v>11</v>
      </c>
      <c r="C99" s="352" t="s">
        <v>705</v>
      </c>
      <c r="D99" s="774"/>
      <c r="E99" s="771"/>
      <c r="F99" s="352" t="s">
        <v>11</v>
      </c>
      <c r="G99" s="352" t="s">
        <v>705</v>
      </c>
      <c r="H99" s="352" t="s">
        <v>11</v>
      </c>
      <c r="I99" s="352" t="s">
        <v>705</v>
      </c>
      <c r="J99" s="352" t="s">
        <v>11</v>
      </c>
      <c r="K99" s="352" t="s">
        <v>705</v>
      </c>
      <c r="L99" s="352" t="s">
        <v>11</v>
      </c>
      <c r="M99" s="272" t="s">
        <v>705</v>
      </c>
    </row>
    <row r="100" spans="1:13" ht="15.75" customHeight="1">
      <c r="A100" s="273" t="s">
        <v>706</v>
      </c>
      <c r="B100" s="274">
        <v>10039.797000000002</v>
      </c>
      <c r="C100" s="192">
        <f>B100/B96</f>
        <v>2.1051606898080092E-4</v>
      </c>
      <c r="D100" s="774"/>
      <c r="E100" s="190" t="s">
        <v>706</v>
      </c>
      <c r="F100" s="275">
        <v>0</v>
      </c>
      <c r="G100" s="194">
        <f>IFERROR(F100/B100,"")</f>
        <v>0</v>
      </c>
      <c r="H100" s="275">
        <v>271.83799999999997</v>
      </c>
      <c r="I100" s="194">
        <f>IFERROR(H100/B100,"")</f>
        <v>2.7076045461875364E-2</v>
      </c>
      <c r="J100" s="275">
        <v>4273.6259999999993</v>
      </c>
      <c r="K100" s="194">
        <f>IFERROR(J100/B100,"")</f>
        <v>0.42566856680468723</v>
      </c>
      <c r="L100" s="275">
        <v>2693.489</v>
      </c>
      <c r="M100" s="276">
        <f>IFERROR(L100/B100,"")</f>
        <v>0.26828122122389519</v>
      </c>
    </row>
    <row r="101" spans="1:13" ht="15.75" customHeight="1">
      <c r="A101" s="277" t="s">
        <v>707</v>
      </c>
      <c r="B101" s="278">
        <v>24074.689549999996</v>
      </c>
      <c r="C101" s="192">
        <f>B101/B96</f>
        <v>5.0480194031803278E-4</v>
      </c>
      <c r="D101" s="774"/>
      <c r="E101" s="196" t="s">
        <v>707</v>
      </c>
      <c r="F101" s="275">
        <v>0</v>
      </c>
      <c r="G101" s="194">
        <f>IFERROR(F101/B101,"")</f>
        <v>0</v>
      </c>
      <c r="H101" s="275">
        <v>286.94316000000009</v>
      </c>
      <c r="I101" s="194">
        <f>IFERROR(H101/B101,"")</f>
        <v>1.191887269840205E-2</v>
      </c>
      <c r="J101" s="275">
        <v>1513.2548000000006</v>
      </c>
      <c r="K101" s="194">
        <f>IFERROR(J101/B101,"")</f>
        <v>6.2856669318919672E-2</v>
      </c>
      <c r="L101" s="275">
        <v>697.97637999999438</v>
      </c>
      <c r="M101" s="276">
        <f>IFERROR(L101/B101,"")</f>
        <v>2.8992123804977354E-2</v>
      </c>
    </row>
    <row r="102" spans="1:13" ht="15.75" customHeight="1">
      <c r="A102" s="279"/>
      <c r="B102" s="186"/>
      <c r="C102" s="186"/>
      <c r="D102" s="774"/>
      <c r="E102" s="771" t="s">
        <v>701</v>
      </c>
      <c r="F102" s="786">
        <v>5</v>
      </c>
      <c r="G102" s="787"/>
      <c r="H102" s="786">
        <v>6</v>
      </c>
      <c r="I102" s="787"/>
      <c r="J102" s="786">
        <v>7</v>
      </c>
      <c r="K102" s="787"/>
      <c r="L102" s="788">
        <v>8</v>
      </c>
      <c r="M102" s="789"/>
    </row>
    <row r="103" spans="1:13" ht="15.75" customHeight="1">
      <c r="A103" s="279"/>
      <c r="B103" s="186"/>
      <c r="C103" s="186"/>
      <c r="D103" s="774"/>
      <c r="E103" s="771"/>
      <c r="F103" s="790" t="s">
        <v>708</v>
      </c>
      <c r="G103" s="791"/>
      <c r="H103" s="790" t="s">
        <v>709</v>
      </c>
      <c r="I103" s="791"/>
      <c r="J103" s="790" t="s">
        <v>710</v>
      </c>
      <c r="K103" s="791"/>
      <c r="L103" s="792" t="s">
        <v>711</v>
      </c>
      <c r="M103" s="793"/>
    </row>
    <row r="104" spans="1:13" ht="15.75" customHeight="1">
      <c r="A104" s="279"/>
      <c r="B104" s="186"/>
      <c r="C104" s="186"/>
      <c r="D104" s="774"/>
      <c r="E104" s="771"/>
      <c r="F104" s="352" t="s">
        <v>11</v>
      </c>
      <c r="G104" s="352" t="s">
        <v>705</v>
      </c>
      <c r="H104" s="352" t="s">
        <v>11</v>
      </c>
      <c r="I104" s="352" t="s">
        <v>705</v>
      </c>
      <c r="J104" s="352" t="s">
        <v>11</v>
      </c>
      <c r="K104" s="352" t="s">
        <v>705</v>
      </c>
      <c r="L104" s="352" t="s">
        <v>11</v>
      </c>
      <c r="M104" s="272" t="s">
        <v>705</v>
      </c>
    </row>
    <row r="105" spans="1:13" ht="15.75" customHeight="1">
      <c r="A105" s="280"/>
      <c r="B105" s="281"/>
      <c r="C105" s="281"/>
      <c r="D105" s="774"/>
      <c r="E105" s="190" t="s">
        <v>706</v>
      </c>
      <c r="F105" s="275">
        <v>2055.0280000000002</v>
      </c>
      <c r="G105" s="194">
        <f>IFERROR(F105/B100,"")</f>
        <v>0.20468820236106366</v>
      </c>
      <c r="H105" s="275">
        <v>745.81600000000014</v>
      </c>
      <c r="I105" s="194">
        <f>IFERROR(H105/B100,"")</f>
        <v>7.4285964148478295E-2</v>
      </c>
      <c r="J105" s="275">
        <v>0</v>
      </c>
      <c r="K105" s="194">
        <f>IFERROR(J105/B100,"")</f>
        <v>0</v>
      </c>
      <c r="L105" s="275">
        <v>0</v>
      </c>
      <c r="M105" s="276">
        <f>IFERROR(L105/B100,"")</f>
        <v>0</v>
      </c>
    </row>
    <row r="106" spans="1:13" ht="15.75" customHeight="1" thickBot="1">
      <c r="A106" s="282"/>
      <c r="B106" s="283"/>
      <c r="C106" s="283"/>
      <c r="D106" s="783"/>
      <c r="E106" s="284" t="s">
        <v>707</v>
      </c>
      <c r="F106" s="285">
        <v>16573.329590000001</v>
      </c>
      <c r="G106" s="286">
        <f>IFERROR(F106/B101,"")</f>
        <v>0.68841301382430509</v>
      </c>
      <c r="H106" s="285">
        <v>5003.1856200000038</v>
      </c>
      <c r="I106" s="286">
        <f>IFERROR(H106/B101,"")</f>
        <v>0.20781932035339598</v>
      </c>
      <c r="J106" s="285">
        <v>0</v>
      </c>
      <c r="K106" s="286">
        <f>IFERROR(J106/B101,"")</f>
        <v>0</v>
      </c>
      <c r="L106" s="285">
        <v>0</v>
      </c>
      <c r="M106" s="287">
        <f>IFERROR(L106/B101,"")</f>
        <v>0</v>
      </c>
    </row>
    <row r="107" spans="1:13" ht="15.75" customHeight="1">
      <c r="A107" s="777" t="s">
        <v>731</v>
      </c>
      <c r="B107" s="778"/>
      <c r="C107" s="778"/>
      <c r="D107" s="778"/>
      <c r="E107" s="778"/>
      <c r="F107" s="778"/>
      <c r="G107" s="778"/>
      <c r="H107" s="778"/>
      <c r="I107" s="778"/>
      <c r="J107" s="778"/>
      <c r="K107" s="778"/>
      <c r="L107" s="778"/>
      <c r="M107" s="779"/>
    </row>
    <row r="108" spans="1:13" ht="15.75" customHeight="1">
      <c r="A108" s="780"/>
      <c r="B108" s="770"/>
      <c r="C108" s="770"/>
      <c r="D108" s="770"/>
      <c r="E108" s="770"/>
      <c r="F108" s="770"/>
      <c r="G108" s="770"/>
      <c r="H108" s="770"/>
      <c r="I108" s="770"/>
      <c r="J108" s="770"/>
      <c r="K108" s="770"/>
      <c r="L108" s="770"/>
      <c r="M108" s="781"/>
    </row>
    <row r="109" spans="1:13" ht="15.75" customHeight="1">
      <c r="A109" s="270" t="s">
        <v>732</v>
      </c>
      <c r="B109" s="369">
        <v>50444409</v>
      </c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271"/>
    </row>
    <row r="110" spans="1:13" ht="15.75" customHeight="1">
      <c r="A110" s="782" t="s">
        <v>733</v>
      </c>
      <c r="B110" s="772" t="s">
        <v>10</v>
      </c>
      <c r="C110" s="772"/>
      <c r="D110" s="773"/>
      <c r="E110" s="771" t="s">
        <v>733</v>
      </c>
      <c r="F110" s="775">
        <v>1</v>
      </c>
      <c r="G110" s="775"/>
      <c r="H110" s="775">
        <v>2</v>
      </c>
      <c r="I110" s="775"/>
      <c r="J110" s="775">
        <v>3</v>
      </c>
      <c r="K110" s="775"/>
      <c r="L110" s="775">
        <v>4</v>
      </c>
      <c r="M110" s="784"/>
    </row>
    <row r="111" spans="1:13" ht="15.75" customHeight="1">
      <c r="A111" s="782"/>
      <c r="B111" s="772"/>
      <c r="C111" s="772"/>
      <c r="D111" s="774"/>
      <c r="E111" s="771"/>
      <c r="F111" s="767" t="s">
        <v>734</v>
      </c>
      <c r="G111" s="767"/>
      <c r="H111" s="767" t="s">
        <v>735</v>
      </c>
      <c r="I111" s="767"/>
      <c r="J111" s="767" t="s">
        <v>736</v>
      </c>
      <c r="K111" s="767"/>
      <c r="L111" s="767" t="s">
        <v>747</v>
      </c>
      <c r="M111" s="785"/>
    </row>
    <row r="112" spans="1:13" ht="15.75" customHeight="1">
      <c r="A112" s="782"/>
      <c r="B112" s="368" t="s">
        <v>11</v>
      </c>
      <c r="C112" s="368" t="s">
        <v>737</v>
      </c>
      <c r="D112" s="774"/>
      <c r="E112" s="771"/>
      <c r="F112" s="368" t="s">
        <v>11</v>
      </c>
      <c r="G112" s="368" t="s">
        <v>737</v>
      </c>
      <c r="H112" s="368" t="s">
        <v>11</v>
      </c>
      <c r="I112" s="368" t="s">
        <v>737</v>
      </c>
      <c r="J112" s="368" t="s">
        <v>11</v>
      </c>
      <c r="K112" s="368" t="s">
        <v>737</v>
      </c>
      <c r="L112" s="368" t="s">
        <v>11</v>
      </c>
      <c r="M112" s="272" t="s">
        <v>737</v>
      </c>
    </row>
    <row r="113" spans="1:13" ht="15.75" customHeight="1">
      <c r="A113" s="273" t="s">
        <v>738</v>
      </c>
      <c r="B113" s="274">
        <v>10637.800000000001</v>
      </c>
      <c r="C113" s="192">
        <f>B113/B109</f>
        <v>2.1088164597190544E-4</v>
      </c>
      <c r="D113" s="774"/>
      <c r="E113" s="190" t="s">
        <v>738</v>
      </c>
      <c r="F113" s="275">
        <v>0</v>
      </c>
      <c r="G113" s="194">
        <f>IFERROR(F113/B113,"")</f>
        <v>0</v>
      </c>
      <c r="H113" s="275">
        <v>136.82900000000001</v>
      </c>
      <c r="I113" s="194">
        <f>IFERROR(H113/B113,"")</f>
        <v>1.2862527966308823E-2</v>
      </c>
      <c r="J113" s="275">
        <v>3185.3060000000005</v>
      </c>
      <c r="K113" s="194">
        <f>IFERROR(J113/B113,"")</f>
        <v>0.29943277745398489</v>
      </c>
      <c r="L113" s="275">
        <v>4151.8950000000004</v>
      </c>
      <c r="M113" s="276">
        <f>IFERROR(L113/B113,"")</f>
        <v>0.39029639587132681</v>
      </c>
    </row>
    <row r="114" spans="1:13" ht="15.75" customHeight="1">
      <c r="A114" s="277" t="s">
        <v>739</v>
      </c>
      <c r="B114" s="278">
        <v>22192.718089999984</v>
      </c>
      <c r="C114" s="192">
        <f>B114/B109</f>
        <v>4.3994405980650865E-4</v>
      </c>
      <c r="D114" s="774"/>
      <c r="E114" s="196" t="s">
        <v>739</v>
      </c>
      <c r="F114" s="275">
        <v>0</v>
      </c>
      <c r="G114" s="194">
        <f>IFERROR(F114/B114,"")</f>
        <v>0</v>
      </c>
      <c r="H114" s="275">
        <v>431.16616000000005</v>
      </c>
      <c r="I114" s="194">
        <f>IFERROR(H114/B114,"")</f>
        <v>1.942827184355949E-2</v>
      </c>
      <c r="J114" s="275">
        <v>1784.5664799999979</v>
      </c>
      <c r="K114" s="194">
        <f>IFERROR(J114/B114,"")</f>
        <v>8.0412253819604082E-2</v>
      </c>
      <c r="L114" s="275">
        <v>2934.7442599999968</v>
      </c>
      <c r="M114" s="276">
        <f>IFERROR(L114/B114,"")</f>
        <v>0.13223906364684501</v>
      </c>
    </row>
    <row r="115" spans="1:13" ht="15.75" customHeight="1">
      <c r="A115" s="279"/>
      <c r="B115" s="186"/>
      <c r="C115" s="186"/>
      <c r="D115" s="774"/>
      <c r="E115" s="771" t="s">
        <v>733</v>
      </c>
      <c r="F115" s="786">
        <v>5</v>
      </c>
      <c r="G115" s="787"/>
      <c r="H115" s="786">
        <v>6</v>
      </c>
      <c r="I115" s="787"/>
      <c r="J115" s="786">
        <v>7</v>
      </c>
      <c r="K115" s="787"/>
      <c r="L115" s="788">
        <v>8</v>
      </c>
      <c r="M115" s="789"/>
    </row>
    <row r="116" spans="1:13" ht="15.75" customHeight="1">
      <c r="A116" s="279"/>
      <c r="B116" s="186"/>
      <c r="C116" s="186"/>
      <c r="D116" s="774"/>
      <c r="E116" s="771"/>
      <c r="F116" s="790" t="s">
        <v>740</v>
      </c>
      <c r="G116" s="791"/>
      <c r="H116" s="790" t="s">
        <v>741</v>
      </c>
      <c r="I116" s="791"/>
      <c r="J116" s="790" t="s">
        <v>742</v>
      </c>
      <c r="K116" s="791"/>
      <c r="L116" s="792" t="s">
        <v>743</v>
      </c>
      <c r="M116" s="793"/>
    </row>
    <row r="117" spans="1:13" ht="15.75" customHeight="1">
      <c r="A117" s="279"/>
      <c r="B117" s="186"/>
      <c r="C117" s="186"/>
      <c r="D117" s="774"/>
      <c r="E117" s="771"/>
      <c r="F117" s="368" t="s">
        <v>11</v>
      </c>
      <c r="G117" s="368" t="s">
        <v>737</v>
      </c>
      <c r="H117" s="368" t="s">
        <v>11</v>
      </c>
      <c r="I117" s="368" t="s">
        <v>737</v>
      </c>
      <c r="J117" s="368" t="s">
        <v>11</v>
      </c>
      <c r="K117" s="368" t="s">
        <v>737</v>
      </c>
      <c r="L117" s="368" t="s">
        <v>11</v>
      </c>
      <c r="M117" s="272" t="s">
        <v>737</v>
      </c>
    </row>
    <row r="118" spans="1:13" ht="15.75" customHeight="1">
      <c r="A118" s="280"/>
      <c r="B118" s="281"/>
      <c r="C118" s="281"/>
      <c r="D118" s="774"/>
      <c r="E118" s="190" t="s">
        <v>738</v>
      </c>
      <c r="F118" s="275">
        <v>2466.5980000000004</v>
      </c>
      <c r="G118" s="194">
        <f>IFERROR(F118/B113,"")</f>
        <v>0.23187106356577489</v>
      </c>
      <c r="H118" s="275">
        <v>697.17200000000003</v>
      </c>
      <c r="I118" s="194">
        <f>IFERROR(H118/B113,"")</f>
        <v>6.5537235142604663E-2</v>
      </c>
      <c r="J118" s="275">
        <v>0</v>
      </c>
      <c r="K118" s="194">
        <f>IFERROR(J118/B113,"")</f>
        <v>0</v>
      </c>
      <c r="L118" s="275">
        <v>0</v>
      </c>
      <c r="M118" s="276">
        <f>IFERROR(L118/B113,"")</f>
        <v>0</v>
      </c>
    </row>
    <row r="119" spans="1:13" ht="15.75" customHeight="1" thickBot="1">
      <c r="A119" s="282"/>
      <c r="B119" s="283"/>
      <c r="C119" s="283"/>
      <c r="D119" s="783"/>
      <c r="E119" s="284" t="s">
        <v>739</v>
      </c>
      <c r="F119" s="285">
        <v>10862.057839999987</v>
      </c>
      <c r="G119" s="286">
        <f>IFERROR(F119/B114,"")</f>
        <v>0.48944242863583343</v>
      </c>
      <c r="H119" s="285">
        <v>6180.1833500000057</v>
      </c>
      <c r="I119" s="286">
        <f>IFERROR(H119/B114,"")</f>
        <v>0.27847798205415814</v>
      </c>
      <c r="J119" s="285">
        <v>0</v>
      </c>
      <c r="K119" s="286">
        <f>IFERROR(J119/B114,"")</f>
        <v>0</v>
      </c>
      <c r="L119" s="285">
        <v>0</v>
      </c>
      <c r="M119" s="287">
        <f>IFERROR(L119/B114,"")</f>
        <v>0</v>
      </c>
    </row>
    <row r="120" spans="1:13" ht="15.75" customHeight="1">
      <c r="A120" s="777" t="s">
        <v>755</v>
      </c>
      <c r="B120" s="778"/>
      <c r="C120" s="778"/>
      <c r="D120" s="778"/>
      <c r="E120" s="778"/>
      <c r="F120" s="778"/>
      <c r="G120" s="778"/>
      <c r="H120" s="778"/>
      <c r="I120" s="778"/>
      <c r="J120" s="778"/>
      <c r="K120" s="778"/>
      <c r="L120" s="778"/>
      <c r="M120" s="779"/>
    </row>
    <row r="121" spans="1:13" ht="15.75" customHeight="1">
      <c r="A121" s="780"/>
      <c r="B121" s="770"/>
      <c r="C121" s="770"/>
      <c r="D121" s="770"/>
      <c r="E121" s="770"/>
      <c r="F121" s="770"/>
      <c r="G121" s="770"/>
      <c r="H121" s="770"/>
      <c r="I121" s="770"/>
      <c r="J121" s="770"/>
      <c r="K121" s="770"/>
      <c r="L121" s="770"/>
      <c r="M121" s="781"/>
    </row>
    <row r="122" spans="1:13" ht="15.75" customHeight="1">
      <c r="A122" s="270" t="s">
        <v>732</v>
      </c>
      <c r="B122" s="369">
        <v>50896038</v>
      </c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271"/>
    </row>
    <row r="123" spans="1:13" ht="15.75" customHeight="1">
      <c r="A123" s="782" t="s">
        <v>733</v>
      </c>
      <c r="B123" s="772" t="s">
        <v>10</v>
      </c>
      <c r="C123" s="772"/>
      <c r="D123" s="773"/>
      <c r="E123" s="771" t="s">
        <v>733</v>
      </c>
      <c r="F123" s="775">
        <v>1</v>
      </c>
      <c r="G123" s="775"/>
      <c r="H123" s="775">
        <v>2</v>
      </c>
      <c r="I123" s="775"/>
      <c r="J123" s="775">
        <v>3</v>
      </c>
      <c r="K123" s="775"/>
      <c r="L123" s="775">
        <v>4</v>
      </c>
      <c r="M123" s="784"/>
    </row>
    <row r="124" spans="1:13" ht="15.75" customHeight="1">
      <c r="A124" s="782"/>
      <c r="B124" s="772"/>
      <c r="C124" s="772"/>
      <c r="D124" s="774"/>
      <c r="E124" s="771"/>
      <c r="F124" s="767" t="s">
        <v>321</v>
      </c>
      <c r="G124" s="767"/>
      <c r="H124" s="767" t="s">
        <v>240</v>
      </c>
      <c r="I124" s="767"/>
      <c r="J124" s="767" t="s">
        <v>736</v>
      </c>
      <c r="K124" s="767"/>
      <c r="L124" s="767" t="s">
        <v>747</v>
      </c>
      <c r="M124" s="785"/>
    </row>
    <row r="125" spans="1:13" ht="15.75" customHeight="1">
      <c r="A125" s="782"/>
      <c r="B125" s="385" t="s">
        <v>11</v>
      </c>
      <c r="C125" s="385" t="s">
        <v>737</v>
      </c>
      <c r="D125" s="774"/>
      <c r="E125" s="771"/>
      <c r="F125" s="385" t="s">
        <v>11</v>
      </c>
      <c r="G125" s="385" t="s">
        <v>737</v>
      </c>
      <c r="H125" s="385" t="s">
        <v>11</v>
      </c>
      <c r="I125" s="385" t="s">
        <v>737</v>
      </c>
      <c r="J125" s="385" t="s">
        <v>11</v>
      </c>
      <c r="K125" s="385" t="s">
        <v>737</v>
      </c>
      <c r="L125" s="385" t="s">
        <v>11</v>
      </c>
      <c r="M125" s="272" t="s">
        <v>737</v>
      </c>
    </row>
    <row r="126" spans="1:13" ht="15.75" customHeight="1">
      <c r="A126" s="273" t="s">
        <v>431</v>
      </c>
      <c r="B126" s="274">
        <v>125923.71199999998</v>
      </c>
      <c r="C126" s="192">
        <f>B126/B122</f>
        <v>2.4741358453088231E-3</v>
      </c>
      <c r="D126" s="774"/>
      <c r="E126" s="190" t="s">
        <v>431</v>
      </c>
      <c r="F126" s="275">
        <v>0</v>
      </c>
      <c r="G126" s="194">
        <f>IFERROR(F126/B126,"")</f>
        <v>0</v>
      </c>
      <c r="H126" s="275">
        <v>413.55200000000002</v>
      </c>
      <c r="I126" s="194">
        <f>IFERROR(H126/B126,"")</f>
        <v>3.2841471509353222E-3</v>
      </c>
      <c r="J126" s="275">
        <v>2539.8149999999996</v>
      </c>
      <c r="K126" s="194">
        <f>IFERROR(J126/B126,"")</f>
        <v>2.0169473720723859E-2</v>
      </c>
      <c r="L126" s="275">
        <v>3379.052000000001</v>
      </c>
      <c r="M126" s="276">
        <f>IFERROR(L126/B126,"")</f>
        <v>2.683412001069347E-2</v>
      </c>
    </row>
    <row r="127" spans="1:13" ht="15.75" customHeight="1">
      <c r="A127" s="277" t="s">
        <v>739</v>
      </c>
      <c r="B127" s="278">
        <v>119028.51714747345</v>
      </c>
      <c r="C127" s="192">
        <f>B127/B122</f>
        <v>2.3386597822697606E-3</v>
      </c>
      <c r="D127" s="774"/>
      <c r="E127" s="196" t="s">
        <v>739</v>
      </c>
      <c r="F127" s="275">
        <v>0</v>
      </c>
      <c r="G127" s="194">
        <f>IFERROR(F127/B127,"")</f>
        <v>0</v>
      </c>
      <c r="H127" s="275">
        <v>1857.0376799999999</v>
      </c>
      <c r="I127" s="194">
        <f>IFERROR(H127/B127,"")</f>
        <v>1.5601619884915268E-2</v>
      </c>
      <c r="J127" s="275">
        <v>916.46043999999961</v>
      </c>
      <c r="K127" s="194">
        <f>IFERROR(J127/B127,"")</f>
        <v>7.6995031271752069E-3</v>
      </c>
      <c r="L127" s="275">
        <v>2305.2656700000025</v>
      </c>
      <c r="M127" s="276">
        <f>IFERROR(L127/B127,"")</f>
        <v>1.936733923303299E-2</v>
      </c>
    </row>
    <row r="128" spans="1:13" ht="15.75" customHeight="1">
      <c r="A128" s="279"/>
      <c r="B128" s="186"/>
      <c r="C128" s="186"/>
      <c r="D128" s="774"/>
      <c r="E128" s="771" t="s">
        <v>733</v>
      </c>
      <c r="F128" s="786">
        <v>5</v>
      </c>
      <c r="G128" s="787"/>
      <c r="H128" s="786">
        <v>6</v>
      </c>
      <c r="I128" s="787"/>
      <c r="J128" s="786">
        <v>7</v>
      </c>
      <c r="K128" s="787"/>
      <c r="L128" s="788">
        <v>8</v>
      </c>
      <c r="M128" s="789"/>
    </row>
    <row r="129" spans="1:13" ht="15.75" customHeight="1">
      <c r="A129" s="279"/>
      <c r="B129" s="186"/>
      <c r="C129" s="186"/>
      <c r="D129" s="774"/>
      <c r="E129" s="771"/>
      <c r="F129" s="790" t="s">
        <v>740</v>
      </c>
      <c r="G129" s="791"/>
      <c r="H129" s="790" t="s">
        <v>436</v>
      </c>
      <c r="I129" s="791"/>
      <c r="J129" s="790" t="s">
        <v>248</v>
      </c>
      <c r="K129" s="791"/>
      <c r="L129" s="792" t="s">
        <v>743</v>
      </c>
      <c r="M129" s="793"/>
    </row>
    <row r="130" spans="1:13" ht="15.75" customHeight="1">
      <c r="A130" s="279"/>
      <c r="B130" s="186"/>
      <c r="C130" s="186"/>
      <c r="D130" s="774"/>
      <c r="E130" s="771"/>
      <c r="F130" s="385" t="s">
        <v>11</v>
      </c>
      <c r="G130" s="385" t="s">
        <v>737</v>
      </c>
      <c r="H130" s="385" t="s">
        <v>11</v>
      </c>
      <c r="I130" s="385" t="s">
        <v>737</v>
      </c>
      <c r="J130" s="385" t="s">
        <v>11</v>
      </c>
      <c r="K130" s="385" t="s">
        <v>737</v>
      </c>
      <c r="L130" s="385" t="s">
        <v>11</v>
      </c>
      <c r="M130" s="272" t="s">
        <v>737</v>
      </c>
    </row>
    <row r="131" spans="1:13" ht="15.75" customHeight="1">
      <c r="A131" s="280"/>
      <c r="B131" s="281"/>
      <c r="C131" s="281"/>
      <c r="D131" s="774"/>
      <c r="E131" s="190" t="s">
        <v>431</v>
      </c>
      <c r="F131" s="275">
        <v>1678.1869999999997</v>
      </c>
      <c r="G131" s="194">
        <f>IFERROR(F131/B126,"")</f>
        <v>1.332701342222186E-2</v>
      </c>
      <c r="H131" s="275">
        <v>737.43200000000002</v>
      </c>
      <c r="I131" s="194">
        <f>IFERROR(H131/B126,"")</f>
        <v>5.8561806056034952E-3</v>
      </c>
      <c r="J131" s="275">
        <v>0</v>
      </c>
      <c r="K131" s="194">
        <f>IFERROR(J131/B126,"")</f>
        <v>0</v>
      </c>
      <c r="L131" s="275">
        <v>0</v>
      </c>
      <c r="M131" s="276">
        <f>IFERROR(L131/B126,"")</f>
        <v>0</v>
      </c>
    </row>
    <row r="132" spans="1:13" ht="15.75" customHeight="1" thickBot="1">
      <c r="A132" s="282"/>
      <c r="B132" s="283"/>
      <c r="C132" s="283"/>
      <c r="D132" s="783"/>
      <c r="E132" s="284" t="s">
        <v>739</v>
      </c>
      <c r="F132" s="285">
        <v>8281.5108900000032</v>
      </c>
      <c r="G132" s="286">
        <f>IFERROR(F132/B127,"")</f>
        <v>6.9575855336745998E-2</v>
      </c>
      <c r="H132" s="285">
        <v>5034.3212100000064</v>
      </c>
      <c r="I132" s="286">
        <f>IFERROR(H132/B127,"")</f>
        <v>4.229508466246458E-2</v>
      </c>
      <c r="J132" s="285">
        <v>935.0999999999998</v>
      </c>
      <c r="K132" s="286">
        <f>IFERROR(J132/B127,"")</f>
        <v>7.856100558166523E-3</v>
      </c>
      <c r="L132" s="285">
        <v>0</v>
      </c>
      <c r="M132" s="287">
        <f>IFERROR(L132/B127,"")</f>
        <v>0</v>
      </c>
    </row>
    <row r="133" spans="1:13" ht="15.75" customHeight="1">
      <c r="A133" s="777" t="s">
        <v>823</v>
      </c>
      <c r="B133" s="778"/>
      <c r="C133" s="778"/>
      <c r="D133" s="778"/>
      <c r="E133" s="778"/>
      <c r="F133" s="778"/>
      <c r="G133" s="778"/>
      <c r="H133" s="778"/>
      <c r="I133" s="778"/>
      <c r="J133" s="778"/>
      <c r="K133" s="778"/>
      <c r="L133" s="778"/>
      <c r="M133" s="779"/>
    </row>
    <row r="134" spans="1:13" ht="15.75" customHeight="1">
      <c r="A134" s="780"/>
      <c r="B134" s="770"/>
      <c r="C134" s="770"/>
      <c r="D134" s="770"/>
      <c r="E134" s="770"/>
      <c r="F134" s="770"/>
      <c r="G134" s="770"/>
      <c r="H134" s="770"/>
      <c r="I134" s="770"/>
      <c r="J134" s="770"/>
      <c r="K134" s="770"/>
      <c r="L134" s="770"/>
      <c r="M134" s="781"/>
    </row>
    <row r="135" spans="1:13" ht="15.75" customHeight="1">
      <c r="A135" s="270" t="s">
        <v>238</v>
      </c>
      <c r="B135" s="369">
        <v>51190043</v>
      </c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271"/>
    </row>
    <row r="136" spans="1:13" ht="15.75" customHeight="1">
      <c r="A136" s="782" t="s">
        <v>197</v>
      </c>
      <c r="B136" s="772" t="s">
        <v>10</v>
      </c>
      <c r="C136" s="772"/>
      <c r="D136" s="773"/>
      <c r="E136" s="771" t="s">
        <v>197</v>
      </c>
      <c r="F136" s="775">
        <v>1</v>
      </c>
      <c r="G136" s="775"/>
      <c r="H136" s="775">
        <v>2</v>
      </c>
      <c r="I136" s="775"/>
      <c r="J136" s="775">
        <v>3</v>
      </c>
      <c r="K136" s="775"/>
      <c r="L136" s="775">
        <v>4</v>
      </c>
      <c r="M136" s="784"/>
    </row>
    <row r="137" spans="1:13" ht="15.75" customHeight="1">
      <c r="A137" s="782"/>
      <c r="B137" s="772"/>
      <c r="C137" s="772"/>
      <c r="D137" s="774"/>
      <c r="E137" s="771"/>
      <c r="F137" s="767" t="s">
        <v>250</v>
      </c>
      <c r="G137" s="767"/>
      <c r="H137" s="767" t="s">
        <v>240</v>
      </c>
      <c r="I137" s="767"/>
      <c r="J137" s="767" t="s">
        <v>164</v>
      </c>
      <c r="K137" s="767"/>
      <c r="L137" s="767" t="s">
        <v>747</v>
      </c>
      <c r="M137" s="785"/>
    </row>
    <row r="138" spans="1:13" ht="15.75" customHeight="1">
      <c r="A138" s="782"/>
      <c r="B138" s="446" t="s">
        <v>11</v>
      </c>
      <c r="C138" s="446" t="s">
        <v>41</v>
      </c>
      <c r="D138" s="774"/>
      <c r="E138" s="771"/>
      <c r="F138" s="446" t="s">
        <v>11</v>
      </c>
      <c r="G138" s="446" t="s">
        <v>41</v>
      </c>
      <c r="H138" s="446" t="s">
        <v>11</v>
      </c>
      <c r="I138" s="446" t="s">
        <v>41</v>
      </c>
      <c r="J138" s="446" t="s">
        <v>11</v>
      </c>
      <c r="K138" s="446" t="s">
        <v>41</v>
      </c>
      <c r="L138" s="446" t="s">
        <v>11</v>
      </c>
      <c r="M138" s="272" t="s">
        <v>41</v>
      </c>
    </row>
    <row r="139" spans="1:13" ht="15.75" customHeight="1">
      <c r="A139" s="273" t="s">
        <v>244</v>
      </c>
      <c r="B139" s="274">
        <v>126488</v>
      </c>
      <c r="C139" s="192">
        <f>B139/B135</f>
        <v>2.4709492820703433E-3</v>
      </c>
      <c r="D139" s="774"/>
      <c r="E139" s="190" t="s">
        <v>244</v>
      </c>
      <c r="F139" s="275">
        <v>0</v>
      </c>
      <c r="G139" s="194">
        <f>IFERROR(F139/B139,"")</f>
        <v>0</v>
      </c>
      <c r="H139" s="275">
        <v>134.22499999999999</v>
      </c>
      <c r="I139" s="194">
        <f>IFERROR(H139/B139,"")</f>
        <v>1.0611678578205047E-3</v>
      </c>
      <c r="J139" s="275">
        <v>4376.1360000000004</v>
      </c>
      <c r="K139" s="194">
        <f>IFERROR(J139/B139,"")</f>
        <v>3.4597242426159004E-2</v>
      </c>
      <c r="L139" s="275">
        <v>2683.2860000000001</v>
      </c>
      <c r="M139" s="276">
        <f>IFERROR(L139/B139,"")</f>
        <v>2.1213759408007085E-2</v>
      </c>
    </row>
    <row r="140" spans="1:13" ht="15.75" customHeight="1">
      <c r="A140" s="277" t="s">
        <v>245</v>
      </c>
      <c r="B140" s="278">
        <v>115508.24525041386</v>
      </c>
      <c r="C140" s="192">
        <f>B140/B135</f>
        <v>2.2564592346682316E-3</v>
      </c>
      <c r="D140" s="774"/>
      <c r="E140" s="196" t="s">
        <v>245</v>
      </c>
      <c r="F140" s="275">
        <v>0</v>
      </c>
      <c r="G140" s="194">
        <f>IFERROR(F140/B140,"")</f>
        <v>0</v>
      </c>
      <c r="H140" s="275">
        <v>1567.3288099999995</v>
      </c>
      <c r="I140" s="194">
        <f>IFERROR(H140/B140,"")</f>
        <v>1.3568977752212748E-2</v>
      </c>
      <c r="J140" s="275">
        <v>0</v>
      </c>
      <c r="K140" s="194">
        <f>IFERROR(J140/B140,"")</f>
        <v>0</v>
      </c>
      <c r="L140" s="275">
        <v>3126.5364695081889</v>
      </c>
      <c r="M140" s="276">
        <f>IFERROR(L140/B140,"")</f>
        <v>2.7067647532261221E-2</v>
      </c>
    </row>
    <row r="141" spans="1:13" ht="15.75" customHeight="1">
      <c r="A141" s="279"/>
      <c r="B141" s="186"/>
      <c r="C141" s="186"/>
      <c r="D141" s="774"/>
      <c r="E141" s="771" t="s">
        <v>197</v>
      </c>
      <c r="F141" s="786">
        <v>5</v>
      </c>
      <c r="G141" s="787"/>
      <c r="H141" s="786">
        <v>6</v>
      </c>
      <c r="I141" s="787"/>
      <c r="J141" s="786">
        <v>7</v>
      </c>
      <c r="K141" s="787"/>
      <c r="L141" s="788">
        <v>8</v>
      </c>
      <c r="M141" s="789"/>
    </row>
    <row r="142" spans="1:13" ht="15.75" customHeight="1">
      <c r="A142" s="279"/>
      <c r="B142" s="186"/>
      <c r="C142" s="186"/>
      <c r="D142" s="774"/>
      <c r="E142" s="771"/>
      <c r="F142" s="790" t="s">
        <v>188</v>
      </c>
      <c r="G142" s="791"/>
      <c r="H142" s="790" t="s">
        <v>165</v>
      </c>
      <c r="I142" s="791"/>
      <c r="J142" s="790" t="s">
        <v>189</v>
      </c>
      <c r="K142" s="791"/>
      <c r="L142" s="792" t="s">
        <v>249</v>
      </c>
      <c r="M142" s="793"/>
    </row>
    <row r="143" spans="1:13" ht="15.75" customHeight="1">
      <c r="A143" s="279"/>
      <c r="B143" s="186"/>
      <c r="C143" s="186"/>
      <c r="D143" s="774"/>
      <c r="E143" s="771"/>
      <c r="F143" s="446" t="s">
        <v>11</v>
      </c>
      <c r="G143" s="446" t="s">
        <v>41</v>
      </c>
      <c r="H143" s="446" t="s">
        <v>11</v>
      </c>
      <c r="I143" s="446" t="s">
        <v>41</v>
      </c>
      <c r="J143" s="446" t="s">
        <v>11</v>
      </c>
      <c r="K143" s="446" t="s">
        <v>41</v>
      </c>
      <c r="L143" s="446" t="s">
        <v>11</v>
      </c>
      <c r="M143" s="272" t="s">
        <v>41</v>
      </c>
    </row>
    <row r="144" spans="1:13" ht="15.75" customHeight="1">
      <c r="A144" s="280"/>
      <c r="B144" s="281"/>
      <c r="C144" s="281"/>
      <c r="D144" s="774"/>
      <c r="E144" s="190" t="s">
        <v>244</v>
      </c>
      <c r="F144" s="275">
        <v>1998.4399999999998</v>
      </c>
      <c r="G144" s="194">
        <f>IFERROR(F144/B139,"")</f>
        <v>1.5799443425463282E-2</v>
      </c>
      <c r="H144" s="275">
        <v>929.51</v>
      </c>
      <c r="I144" s="194">
        <f>IFERROR(H144/B139,"")</f>
        <v>7.3486022389475684E-3</v>
      </c>
      <c r="J144" s="275">
        <v>0</v>
      </c>
      <c r="K144" s="194">
        <f>IFERROR(J144/B139,"")</f>
        <v>0</v>
      </c>
      <c r="L144" s="275">
        <v>0</v>
      </c>
      <c r="M144" s="276">
        <f>IFERROR(L144/B139,"")</f>
        <v>0</v>
      </c>
    </row>
    <row r="145" spans="1:13" ht="15.75" customHeight="1" thickBot="1">
      <c r="A145" s="282"/>
      <c r="B145" s="283"/>
      <c r="C145" s="283"/>
      <c r="D145" s="783"/>
      <c r="E145" s="284" t="s">
        <v>245</v>
      </c>
      <c r="F145" s="285">
        <v>9727.9645499999788</v>
      </c>
      <c r="G145" s="286">
        <f>IFERROR(F145/B140,"")</f>
        <v>8.421878913414732E-2</v>
      </c>
      <c r="H145" s="285">
        <v>5044.1673599999995</v>
      </c>
      <c r="I145" s="286">
        <f>IFERROR(H145/B140,"")</f>
        <v>4.3669327233433378E-2</v>
      </c>
      <c r="J145" s="285">
        <v>1022.6864000000024</v>
      </c>
      <c r="K145" s="286">
        <f>IFERROR(J145/B140,"")</f>
        <v>8.8537956557377291E-3</v>
      </c>
      <c r="L145" s="285">
        <v>0</v>
      </c>
      <c r="M145" s="287">
        <f>IFERROR(L145/B140,"")</f>
        <v>0</v>
      </c>
    </row>
    <row r="146" spans="1:13" ht="15.75" customHeight="1">
      <c r="A146" s="777" t="s">
        <v>827</v>
      </c>
      <c r="B146" s="778"/>
      <c r="C146" s="778"/>
      <c r="D146" s="778"/>
      <c r="E146" s="778"/>
      <c r="F146" s="778"/>
      <c r="G146" s="778"/>
      <c r="H146" s="778"/>
      <c r="I146" s="778"/>
      <c r="J146" s="778"/>
      <c r="K146" s="778"/>
      <c r="L146" s="778"/>
      <c r="M146" s="779"/>
    </row>
    <row r="147" spans="1:13" ht="15.75" customHeight="1">
      <c r="A147" s="780"/>
      <c r="B147" s="770"/>
      <c r="C147" s="770"/>
      <c r="D147" s="770"/>
      <c r="E147" s="770"/>
      <c r="F147" s="770"/>
      <c r="G147" s="770"/>
      <c r="H147" s="770"/>
      <c r="I147" s="770"/>
      <c r="J147" s="770"/>
      <c r="K147" s="770"/>
      <c r="L147" s="770"/>
      <c r="M147" s="781"/>
    </row>
    <row r="148" spans="1:13" ht="15.75" customHeight="1">
      <c r="A148" s="270" t="s">
        <v>238</v>
      </c>
      <c r="B148" s="369">
        <v>49497330</v>
      </c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271"/>
    </row>
    <row r="149" spans="1:13" ht="15.75" customHeight="1">
      <c r="A149" s="782" t="s">
        <v>197</v>
      </c>
      <c r="B149" s="772" t="s">
        <v>10</v>
      </c>
      <c r="C149" s="772"/>
      <c r="D149" s="773"/>
      <c r="E149" s="771" t="s">
        <v>197</v>
      </c>
      <c r="F149" s="775">
        <v>1</v>
      </c>
      <c r="G149" s="775"/>
      <c r="H149" s="775">
        <v>2</v>
      </c>
      <c r="I149" s="775"/>
      <c r="J149" s="775">
        <v>3</v>
      </c>
      <c r="K149" s="775"/>
      <c r="L149" s="775">
        <v>4</v>
      </c>
      <c r="M149" s="784"/>
    </row>
    <row r="150" spans="1:13" ht="15.75" customHeight="1">
      <c r="A150" s="782"/>
      <c r="B150" s="772"/>
      <c r="C150" s="772"/>
      <c r="D150" s="774"/>
      <c r="E150" s="771"/>
      <c r="F150" s="767" t="s">
        <v>250</v>
      </c>
      <c r="G150" s="767"/>
      <c r="H150" s="767" t="s">
        <v>240</v>
      </c>
      <c r="I150" s="767"/>
      <c r="J150" s="767" t="s">
        <v>164</v>
      </c>
      <c r="K150" s="767"/>
      <c r="L150" s="767" t="s">
        <v>747</v>
      </c>
      <c r="M150" s="785"/>
    </row>
    <row r="151" spans="1:13" ht="15.75" customHeight="1">
      <c r="A151" s="782"/>
      <c r="B151" s="449" t="s">
        <v>11</v>
      </c>
      <c r="C151" s="449" t="s">
        <v>41</v>
      </c>
      <c r="D151" s="774"/>
      <c r="E151" s="771"/>
      <c r="F151" s="449" t="s">
        <v>11</v>
      </c>
      <c r="G151" s="449" t="s">
        <v>41</v>
      </c>
      <c r="H151" s="449" t="s">
        <v>11</v>
      </c>
      <c r="I151" s="449" t="s">
        <v>41</v>
      </c>
      <c r="J151" s="449" t="s">
        <v>11</v>
      </c>
      <c r="K151" s="449" t="s">
        <v>41</v>
      </c>
      <c r="L151" s="449" t="s">
        <v>11</v>
      </c>
      <c r="M151" s="272" t="s">
        <v>41</v>
      </c>
    </row>
    <row r="152" spans="1:13" ht="15.75" customHeight="1">
      <c r="A152" s="273" t="s">
        <v>244</v>
      </c>
      <c r="B152" s="274">
        <v>121653.17465</v>
      </c>
      <c r="C152" s="192">
        <f>B152/B148</f>
        <v>2.4577724626762697E-3</v>
      </c>
      <c r="D152" s="774"/>
      <c r="E152" s="190" t="s">
        <v>244</v>
      </c>
      <c r="F152" s="275">
        <v>0</v>
      </c>
      <c r="G152" s="194">
        <f>IFERROR(F152/B152,"")</f>
        <v>0</v>
      </c>
      <c r="H152" s="275">
        <v>278.36500000000001</v>
      </c>
      <c r="I152" s="194">
        <f>IFERROR(H152/B152,"")</f>
        <v>2.2881852512346254E-3</v>
      </c>
      <c r="J152" s="275">
        <v>1647.2909999999999</v>
      </c>
      <c r="K152" s="194">
        <f>IFERROR(J152/B152,"")</f>
        <v>1.3540879674856886E-2</v>
      </c>
      <c r="L152" s="275">
        <v>4182.6130000000003</v>
      </c>
      <c r="M152" s="276">
        <f>IFERROR(L152/B152,"")</f>
        <v>3.4381453768333702E-2</v>
      </c>
    </row>
    <row r="153" spans="1:13" ht="15.75" customHeight="1">
      <c r="A153" s="277" t="s">
        <v>245</v>
      </c>
      <c r="B153" s="278">
        <v>118133.70914207518</v>
      </c>
      <c r="C153" s="192">
        <f>B153/B148</f>
        <v>2.3866683140701768E-3</v>
      </c>
      <c r="D153" s="774"/>
      <c r="E153" s="196" t="s">
        <v>245</v>
      </c>
      <c r="F153" s="275">
        <v>0</v>
      </c>
      <c r="G153" s="194">
        <f>IFERROR(F153/B153,"")</f>
        <v>0</v>
      </c>
      <c r="H153" s="275">
        <v>439.30235999999979</v>
      </c>
      <c r="I153" s="194">
        <f>IFERROR(H153/B153,"")</f>
        <v>3.7186876056830363E-3</v>
      </c>
      <c r="J153" s="275">
        <v>403.64119999999946</v>
      </c>
      <c r="K153" s="194">
        <f>IFERROR(J153/B153,"")</f>
        <v>3.4168164441070298E-3</v>
      </c>
      <c r="L153" s="275">
        <v>2938.0159700000004</v>
      </c>
      <c r="M153" s="276">
        <f>IFERROR(L153/B153,"")</f>
        <v>2.4870259228604714E-2</v>
      </c>
    </row>
    <row r="154" spans="1:13" ht="15.75" customHeight="1">
      <c r="A154" s="279"/>
      <c r="B154" s="186"/>
      <c r="C154" s="186"/>
      <c r="D154" s="774"/>
      <c r="E154" s="771" t="s">
        <v>197</v>
      </c>
      <c r="F154" s="786">
        <v>5</v>
      </c>
      <c r="G154" s="787"/>
      <c r="H154" s="786">
        <v>6</v>
      </c>
      <c r="I154" s="787"/>
      <c r="J154" s="786">
        <v>7</v>
      </c>
      <c r="K154" s="787"/>
      <c r="L154" s="788">
        <v>8</v>
      </c>
      <c r="M154" s="789"/>
    </row>
    <row r="155" spans="1:13" ht="15.75" customHeight="1">
      <c r="A155" s="279"/>
      <c r="B155" s="186"/>
      <c r="C155" s="186"/>
      <c r="D155" s="774"/>
      <c r="E155" s="771"/>
      <c r="F155" s="790" t="s">
        <v>188</v>
      </c>
      <c r="G155" s="791"/>
      <c r="H155" s="790" t="s">
        <v>165</v>
      </c>
      <c r="I155" s="791"/>
      <c r="J155" s="790" t="s">
        <v>189</v>
      </c>
      <c r="K155" s="791"/>
      <c r="L155" s="792" t="s">
        <v>249</v>
      </c>
      <c r="M155" s="793"/>
    </row>
    <row r="156" spans="1:13" ht="15.75" customHeight="1">
      <c r="A156" s="279"/>
      <c r="B156" s="186"/>
      <c r="C156" s="186"/>
      <c r="D156" s="774"/>
      <c r="E156" s="771"/>
      <c r="F156" s="449" t="s">
        <v>11</v>
      </c>
      <c r="G156" s="449" t="s">
        <v>41</v>
      </c>
      <c r="H156" s="449" t="s">
        <v>11</v>
      </c>
      <c r="I156" s="449" t="s">
        <v>41</v>
      </c>
      <c r="J156" s="449" t="s">
        <v>11</v>
      </c>
      <c r="K156" s="449" t="s">
        <v>41</v>
      </c>
      <c r="L156" s="449" t="s">
        <v>11</v>
      </c>
      <c r="M156" s="272" t="s">
        <v>41</v>
      </c>
    </row>
    <row r="157" spans="1:13" ht="15.75" customHeight="1">
      <c r="A157" s="280"/>
      <c r="B157" s="281"/>
      <c r="C157" s="281"/>
      <c r="D157" s="774"/>
      <c r="E157" s="190" t="s">
        <v>244</v>
      </c>
      <c r="F157" s="275">
        <v>2506.0449999999996</v>
      </c>
      <c r="G157" s="194">
        <f>IFERROR(F157/B152,"")</f>
        <v>2.0599914529234192E-2</v>
      </c>
      <c r="H157" s="275">
        <v>1135.7530000000002</v>
      </c>
      <c r="I157" s="194">
        <f>IFERROR(H157/B152,"")</f>
        <v>9.3359914631705836E-3</v>
      </c>
      <c r="J157" s="275">
        <v>290.55100000000004</v>
      </c>
      <c r="K157" s="194">
        <f>IFERROR(J157/B152,"")</f>
        <v>2.3883552635262039E-3</v>
      </c>
      <c r="L157" s="275">
        <v>0</v>
      </c>
      <c r="M157" s="276">
        <f>IFERROR(L157/B152,"")</f>
        <v>0</v>
      </c>
    </row>
    <row r="158" spans="1:13" ht="15.75" customHeight="1" thickBot="1">
      <c r="A158" s="282"/>
      <c r="B158" s="283"/>
      <c r="C158" s="283"/>
      <c r="D158" s="783"/>
      <c r="E158" s="284" t="s">
        <v>245</v>
      </c>
      <c r="F158" s="285">
        <v>7689.4863200000027</v>
      </c>
      <c r="G158" s="286">
        <f>IFERROR(F158/B153,"")</f>
        <v>6.5091381417239108E-2</v>
      </c>
      <c r="H158" s="285">
        <v>5591.6998200000153</v>
      </c>
      <c r="I158" s="286">
        <f>IFERROR(H158/B153,"")</f>
        <v>4.7333651509029302E-2</v>
      </c>
      <c r="J158" s="285">
        <v>1252.1805999999999</v>
      </c>
      <c r="K158" s="286">
        <f>IFERROR(J158/B153,"")</f>
        <v>1.0599689191965073E-2</v>
      </c>
      <c r="L158" s="285">
        <v>0</v>
      </c>
      <c r="M158" s="287">
        <f>IFERROR(L158/B153,"")</f>
        <v>0</v>
      </c>
    </row>
    <row r="159" spans="1:13" ht="15.75" customHeight="1">
      <c r="A159" s="777" t="s">
        <v>830</v>
      </c>
      <c r="B159" s="778"/>
      <c r="C159" s="778"/>
      <c r="D159" s="778"/>
      <c r="E159" s="778"/>
      <c r="F159" s="778"/>
      <c r="G159" s="778"/>
      <c r="H159" s="778"/>
      <c r="I159" s="778"/>
      <c r="J159" s="778"/>
      <c r="K159" s="778"/>
      <c r="L159" s="778"/>
      <c r="M159" s="779"/>
    </row>
    <row r="160" spans="1:13" ht="15.75" customHeight="1">
      <c r="A160" s="780"/>
      <c r="B160" s="770"/>
      <c r="C160" s="770"/>
      <c r="D160" s="770"/>
      <c r="E160" s="770"/>
      <c r="F160" s="770"/>
      <c r="G160" s="770"/>
      <c r="H160" s="770"/>
      <c r="I160" s="770"/>
      <c r="J160" s="770"/>
      <c r="K160" s="770"/>
      <c r="L160" s="770"/>
      <c r="M160" s="781"/>
    </row>
    <row r="161" spans="1:13" ht="15.75" customHeight="1">
      <c r="A161" s="270" t="s">
        <v>238</v>
      </c>
      <c r="B161" s="369">
        <v>52649495</v>
      </c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271"/>
    </row>
    <row r="162" spans="1:13" ht="15.75" customHeight="1">
      <c r="A162" s="782" t="s">
        <v>197</v>
      </c>
      <c r="B162" s="772" t="s">
        <v>10</v>
      </c>
      <c r="C162" s="772"/>
      <c r="D162" s="773"/>
      <c r="E162" s="771" t="s">
        <v>197</v>
      </c>
      <c r="F162" s="775">
        <v>1</v>
      </c>
      <c r="G162" s="775"/>
      <c r="H162" s="775">
        <v>2</v>
      </c>
      <c r="I162" s="775"/>
      <c r="J162" s="775">
        <v>3</v>
      </c>
      <c r="K162" s="775"/>
      <c r="L162" s="775">
        <v>4</v>
      </c>
      <c r="M162" s="784"/>
    </row>
    <row r="163" spans="1:13" ht="15.75" customHeight="1">
      <c r="A163" s="782"/>
      <c r="B163" s="772"/>
      <c r="C163" s="772"/>
      <c r="D163" s="774"/>
      <c r="E163" s="771"/>
      <c r="F163" s="767" t="s">
        <v>250</v>
      </c>
      <c r="G163" s="767"/>
      <c r="H163" s="767" t="s">
        <v>240</v>
      </c>
      <c r="I163" s="767"/>
      <c r="J163" s="767" t="s">
        <v>164</v>
      </c>
      <c r="K163" s="767"/>
      <c r="L163" s="767" t="s">
        <v>747</v>
      </c>
      <c r="M163" s="785"/>
    </row>
    <row r="164" spans="1:13" ht="15.75" customHeight="1">
      <c r="A164" s="782"/>
      <c r="B164" s="465" t="s">
        <v>11</v>
      </c>
      <c r="C164" s="465" t="s">
        <v>41</v>
      </c>
      <c r="D164" s="774"/>
      <c r="E164" s="771"/>
      <c r="F164" s="465" t="s">
        <v>11</v>
      </c>
      <c r="G164" s="465" t="s">
        <v>41</v>
      </c>
      <c r="H164" s="465" t="s">
        <v>11</v>
      </c>
      <c r="I164" s="465" t="s">
        <v>41</v>
      </c>
      <c r="J164" s="465" t="s">
        <v>11</v>
      </c>
      <c r="K164" s="465" t="s">
        <v>41</v>
      </c>
      <c r="L164" s="465" t="s">
        <v>11</v>
      </c>
      <c r="M164" s="272" t="s">
        <v>41</v>
      </c>
    </row>
    <row r="165" spans="1:13" ht="15.75" customHeight="1">
      <c r="A165" s="273" t="s">
        <v>244</v>
      </c>
      <c r="B165" s="274">
        <v>129274</v>
      </c>
      <c r="C165" s="192">
        <f>B165/B161</f>
        <v>2.4553701797139743E-3</v>
      </c>
      <c r="D165" s="774"/>
      <c r="E165" s="190" t="s">
        <v>244</v>
      </c>
      <c r="F165" s="275">
        <v>0</v>
      </c>
      <c r="G165" s="194">
        <f>IFERROR(F165/B165,"")</f>
        <v>0</v>
      </c>
      <c r="H165" s="275">
        <v>308.69000000000005</v>
      </c>
      <c r="I165" s="194">
        <f>IFERROR(H165/B165,"")</f>
        <v>2.3878738184012257E-3</v>
      </c>
      <c r="J165" s="275">
        <v>721.21400000000006</v>
      </c>
      <c r="K165" s="194">
        <f>IFERROR(J165/B165,"")</f>
        <v>5.5789563253245047E-3</v>
      </c>
      <c r="L165" s="275">
        <v>4567.991</v>
      </c>
      <c r="M165" s="276">
        <f>IFERROR(L165/B165,"")</f>
        <v>3.5335728762164086E-2</v>
      </c>
    </row>
    <row r="166" spans="1:13" ht="15.75" customHeight="1">
      <c r="A166" s="277" t="s">
        <v>245</v>
      </c>
      <c r="B166" s="278">
        <v>118981.92926777399</v>
      </c>
      <c r="C166" s="192">
        <f>B166/B161</f>
        <v>2.2598873791244149E-3</v>
      </c>
      <c r="D166" s="774"/>
      <c r="E166" s="196" t="s">
        <v>245</v>
      </c>
      <c r="F166" s="275">
        <v>0</v>
      </c>
      <c r="G166" s="194">
        <f>IFERROR(F166/B166,"")</f>
        <v>0</v>
      </c>
      <c r="H166" s="275">
        <v>0</v>
      </c>
      <c r="I166" s="194">
        <f>IFERROR(H166/B166,"")</f>
        <v>0</v>
      </c>
      <c r="J166" s="275">
        <v>638.26473999999939</v>
      </c>
      <c r="K166" s="194">
        <f>IFERROR(J166/B166,"")</f>
        <v>5.3643838516314263E-3</v>
      </c>
      <c r="L166" s="275">
        <v>4112.5036300000047</v>
      </c>
      <c r="M166" s="276">
        <f>IFERROR(L166/B166,"")</f>
        <v>3.4564102761728104E-2</v>
      </c>
    </row>
    <row r="167" spans="1:13" ht="15.75" customHeight="1">
      <c r="A167" s="279"/>
      <c r="B167" s="186"/>
      <c r="C167" s="186"/>
      <c r="D167" s="774"/>
      <c r="E167" s="771" t="s">
        <v>197</v>
      </c>
      <c r="F167" s="786">
        <v>5</v>
      </c>
      <c r="G167" s="787"/>
      <c r="H167" s="786">
        <v>6</v>
      </c>
      <c r="I167" s="787"/>
      <c r="J167" s="786">
        <v>7</v>
      </c>
      <c r="K167" s="787"/>
      <c r="L167" s="788">
        <v>8</v>
      </c>
      <c r="M167" s="789"/>
    </row>
    <row r="168" spans="1:13" ht="15.75" customHeight="1">
      <c r="A168" s="279"/>
      <c r="B168" s="186"/>
      <c r="C168" s="186"/>
      <c r="D168" s="774"/>
      <c r="E168" s="771"/>
      <c r="F168" s="790" t="s">
        <v>188</v>
      </c>
      <c r="G168" s="791"/>
      <c r="H168" s="790" t="s">
        <v>165</v>
      </c>
      <c r="I168" s="791"/>
      <c r="J168" s="790" t="s">
        <v>189</v>
      </c>
      <c r="K168" s="791"/>
      <c r="L168" s="792" t="s">
        <v>249</v>
      </c>
      <c r="M168" s="793"/>
    </row>
    <row r="169" spans="1:13" ht="15.75" customHeight="1">
      <c r="A169" s="279"/>
      <c r="B169" s="186"/>
      <c r="C169" s="186"/>
      <c r="D169" s="774"/>
      <c r="E169" s="771"/>
      <c r="F169" s="465" t="s">
        <v>11</v>
      </c>
      <c r="G169" s="465" t="s">
        <v>41</v>
      </c>
      <c r="H169" s="465" t="s">
        <v>11</v>
      </c>
      <c r="I169" s="465" t="s">
        <v>41</v>
      </c>
      <c r="J169" s="465" t="s">
        <v>11</v>
      </c>
      <c r="K169" s="465" t="s">
        <v>41</v>
      </c>
      <c r="L169" s="465" t="s">
        <v>11</v>
      </c>
      <c r="M169" s="272" t="s">
        <v>41</v>
      </c>
    </row>
    <row r="170" spans="1:13" ht="15.75" customHeight="1">
      <c r="A170" s="280"/>
      <c r="B170" s="281"/>
      <c r="C170" s="281"/>
      <c r="D170" s="774"/>
      <c r="E170" s="190" t="s">
        <v>244</v>
      </c>
      <c r="F170" s="275">
        <v>2919.8290000000006</v>
      </c>
      <c r="G170" s="194">
        <f>IFERROR(F170/B165,"")</f>
        <v>2.2586359206027511E-2</v>
      </c>
      <c r="H170" s="275">
        <v>1754.818</v>
      </c>
      <c r="I170" s="194">
        <f>IFERROR(H170/B165,"")</f>
        <v>1.3574407846898834E-2</v>
      </c>
      <c r="J170" s="275">
        <v>504.61500000000001</v>
      </c>
      <c r="K170" s="194">
        <f>IFERROR(J170/B165,"")</f>
        <v>3.9034531305598961E-3</v>
      </c>
      <c r="L170" s="275">
        <v>0</v>
      </c>
      <c r="M170" s="276">
        <f>IFERROR(L170/B165,"")</f>
        <v>0</v>
      </c>
    </row>
    <row r="171" spans="1:13" ht="15.75" customHeight="1" thickBot="1">
      <c r="A171" s="282"/>
      <c r="B171" s="283"/>
      <c r="C171" s="283"/>
      <c r="D171" s="783"/>
      <c r="E171" s="284" t="s">
        <v>245</v>
      </c>
      <c r="F171" s="285">
        <v>7286.3094799999935</v>
      </c>
      <c r="G171" s="286">
        <f>IFERROR(F171/B166,"")</f>
        <v>6.1238790838580526E-2</v>
      </c>
      <c r="H171" s="285">
        <v>3621.9585500000039</v>
      </c>
      <c r="I171" s="286">
        <f>IFERROR(H171/B166,"")</f>
        <v>3.0441249123206175E-2</v>
      </c>
      <c r="J171" s="285">
        <v>1091.537080000001</v>
      </c>
      <c r="K171" s="286">
        <f>IFERROR(J171/B166,"")</f>
        <v>9.1739736169805207E-3</v>
      </c>
      <c r="L171" s="285">
        <v>0</v>
      </c>
      <c r="M171" s="287">
        <f>IFERROR(L171/B166,"")</f>
        <v>0</v>
      </c>
    </row>
    <row r="172" spans="1:13" ht="15.75" customHeight="1">
      <c r="A172" s="777" t="s">
        <v>862</v>
      </c>
      <c r="B172" s="778"/>
      <c r="C172" s="778"/>
      <c r="D172" s="778"/>
      <c r="E172" s="778"/>
      <c r="F172" s="778"/>
      <c r="G172" s="778"/>
      <c r="H172" s="778"/>
      <c r="I172" s="778"/>
      <c r="J172" s="778"/>
      <c r="K172" s="778"/>
      <c r="L172" s="778"/>
      <c r="M172" s="779"/>
    </row>
    <row r="173" spans="1:13" ht="15.75" customHeight="1">
      <c r="A173" s="780"/>
      <c r="B173" s="770"/>
      <c r="C173" s="770"/>
      <c r="D173" s="770"/>
      <c r="E173" s="770"/>
      <c r="F173" s="770"/>
      <c r="G173" s="770"/>
      <c r="H173" s="770"/>
      <c r="I173" s="770"/>
      <c r="J173" s="770"/>
      <c r="K173" s="770"/>
      <c r="L173" s="770"/>
      <c r="M173" s="781"/>
    </row>
    <row r="174" spans="1:13" ht="15.75" customHeight="1">
      <c r="A174" s="270" t="s">
        <v>238</v>
      </c>
      <c r="B174" s="369">
        <v>49899447</v>
      </c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271"/>
    </row>
    <row r="175" spans="1:13" ht="15.75" customHeight="1">
      <c r="A175" s="782" t="s">
        <v>197</v>
      </c>
      <c r="B175" s="772" t="s">
        <v>10</v>
      </c>
      <c r="C175" s="772"/>
      <c r="D175" s="773"/>
      <c r="E175" s="771" t="s">
        <v>197</v>
      </c>
      <c r="F175" s="775">
        <v>1</v>
      </c>
      <c r="G175" s="775"/>
      <c r="H175" s="775">
        <v>2</v>
      </c>
      <c r="I175" s="775"/>
      <c r="J175" s="775">
        <v>3</v>
      </c>
      <c r="K175" s="775"/>
      <c r="L175" s="775">
        <v>4</v>
      </c>
      <c r="M175" s="784"/>
    </row>
    <row r="176" spans="1:13" ht="15.75" customHeight="1">
      <c r="A176" s="782"/>
      <c r="B176" s="772"/>
      <c r="C176" s="772"/>
      <c r="D176" s="774"/>
      <c r="E176" s="771"/>
      <c r="F176" s="767" t="s">
        <v>250</v>
      </c>
      <c r="G176" s="767"/>
      <c r="H176" s="767" t="s">
        <v>240</v>
      </c>
      <c r="I176" s="767"/>
      <c r="J176" s="767" t="s">
        <v>164</v>
      </c>
      <c r="K176" s="767"/>
      <c r="L176" s="767" t="s">
        <v>747</v>
      </c>
      <c r="M176" s="785"/>
    </row>
    <row r="177" spans="1:13" ht="15.75" customHeight="1">
      <c r="A177" s="782"/>
      <c r="B177" s="476" t="s">
        <v>11</v>
      </c>
      <c r="C177" s="476" t="s">
        <v>41</v>
      </c>
      <c r="D177" s="774"/>
      <c r="E177" s="771"/>
      <c r="F177" s="476" t="s">
        <v>11</v>
      </c>
      <c r="G177" s="476" t="s">
        <v>41</v>
      </c>
      <c r="H177" s="476" t="s">
        <v>11</v>
      </c>
      <c r="I177" s="476" t="s">
        <v>41</v>
      </c>
      <c r="J177" s="476" t="s">
        <v>11</v>
      </c>
      <c r="K177" s="476" t="s">
        <v>41</v>
      </c>
      <c r="L177" s="476" t="s">
        <v>11</v>
      </c>
      <c r="M177" s="272" t="s">
        <v>41</v>
      </c>
    </row>
    <row r="178" spans="1:13" ht="15.75" customHeight="1">
      <c r="A178" s="273" t="s">
        <v>244</v>
      </c>
      <c r="B178" s="274">
        <v>122397.80100000001</v>
      </c>
      <c r="C178" s="192">
        <f>B178/B174</f>
        <v>2.4528889268051407E-3</v>
      </c>
      <c r="D178" s="774"/>
      <c r="E178" s="190" t="s">
        <v>244</v>
      </c>
      <c r="F178" s="275">
        <v>0</v>
      </c>
      <c r="G178" s="194">
        <f>IFERROR(F178/B178,"")</f>
        <v>0</v>
      </c>
      <c r="H178" s="275">
        <v>280.89300000000003</v>
      </c>
      <c r="I178" s="194">
        <f>IFERROR(H178/B178,"")</f>
        <v>2.2949186807694364E-3</v>
      </c>
      <c r="J178" s="275">
        <v>1185.7960000000003</v>
      </c>
      <c r="K178" s="194">
        <f>IFERROR(J178/B178,"")</f>
        <v>9.6880498694580323E-3</v>
      </c>
      <c r="L178" s="275">
        <v>2752.3570000000004</v>
      </c>
      <c r="M178" s="276">
        <f>IFERROR(L178/B178,"")</f>
        <v>2.2486980791427785E-2</v>
      </c>
    </row>
    <row r="179" spans="1:13" ht="15.75" customHeight="1">
      <c r="A179" s="277" t="s">
        <v>245</v>
      </c>
      <c r="B179" s="278">
        <v>110502.30436585688</v>
      </c>
      <c r="C179" s="192">
        <f>B179/B174</f>
        <v>2.2144995788401598E-3</v>
      </c>
      <c r="D179" s="774"/>
      <c r="E179" s="196" t="s">
        <v>245</v>
      </c>
      <c r="F179" s="275">
        <v>0</v>
      </c>
      <c r="G179" s="194">
        <f>IFERROR(F179/B179,"")</f>
        <v>0</v>
      </c>
      <c r="H179" s="275">
        <v>0</v>
      </c>
      <c r="I179" s="194">
        <f>IFERROR(H179/B179,"")</f>
        <v>0</v>
      </c>
      <c r="J179" s="275">
        <v>335.43429000000094</v>
      </c>
      <c r="K179" s="194">
        <f>IFERROR(J179/B179,"")</f>
        <v>3.0355411312458004E-3</v>
      </c>
      <c r="L179" s="275">
        <v>2469.7383400000108</v>
      </c>
      <c r="M179" s="276">
        <f>IFERROR(L179/B179,"")</f>
        <v>2.2350107123767032E-2</v>
      </c>
    </row>
    <row r="180" spans="1:13" ht="15.75" customHeight="1">
      <c r="A180" s="279"/>
      <c r="B180" s="186"/>
      <c r="C180" s="186"/>
      <c r="D180" s="774"/>
      <c r="E180" s="771" t="s">
        <v>197</v>
      </c>
      <c r="F180" s="786">
        <v>5</v>
      </c>
      <c r="G180" s="787"/>
      <c r="H180" s="786">
        <v>6</v>
      </c>
      <c r="I180" s="787"/>
      <c r="J180" s="786">
        <v>7</v>
      </c>
      <c r="K180" s="787"/>
      <c r="L180" s="788">
        <v>8</v>
      </c>
      <c r="M180" s="789"/>
    </row>
    <row r="181" spans="1:13" ht="15.75" customHeight="1">
      <c r="A181" s="279"/>
      <c r="B181" s="186"/>
      <c r="C181" s="186"/>
      <c r="D181" s="774"/>
      <c r="E181" s="771"/>
      <c r="F181" s="790" t="s">
        <v>188</v>
      </c>
      <c r="G181" s="791"/>
      <c r="H181" s="790" t="s">
        <v>165</v>
      </c>
      <c r="I181" s="791"/>
      <c r="J181" s="790" t="s">
        <v>189</v>
      </c>
      <c r="K181" s="791"/>
      <c r="L181" s="792" t="s">
        <v>249</v>
      </c>
      <c r="M181" s="793"/>
    </row>
    <row r="182" spans="1:13" ht="15.75" customHeight="1">
      <c r="A182" s="279"/>
      <c r="B182" s="186"/>
      <c r="C182" s="186"/>
      <c r="D182" s="774"/>
      <c r="E182" s="771"/>
      <c r="F182" s="476" t="s">
        <v>11</v>
      </c>
      <c r="G182" s="476" t="s">
        <v>41</v>
      </c>
      <c r="H182" s="476" t="s">
        <v>11</v>
      </c>
      <c r="I182" s="476" t="s">
        <v>41</v>
      </c>
      <c r="J182" s="476" t="s">
        <v>11</v>
      </c>
      <c r="K182" s="476" t="s">
        <v>41</v>
      </c>
      <c r="L182" s="476" t="s">
        <v>11</v>
      </c>
      <c r="M182" s="272" t="s">
        <v>41</v>
      </c>
    </row>
    <row r="183" spans="1:13" ht="15.75" customHeight="1">
      <c r="A183" s="280"/>
      <c r="B183" s="281"/>
      <c r="C183" s="281"/>
      <c r="D183" s="774"/>
      <c r="E183" s="190" t="s">
        <v>244</v>
      </c>
      <c r="F183" s="275">
        <v>4668.351999999999</v>
      </c>
      <c r="G183" s="194">
        <f>IFERROR(F183/B178,"")</f>
        <v>3.814081594488776E-2</v>
      </c>
      <c r="H183" s="275">
        <v>1295.3419999999999</v>
      </c>
      <c r="I183" s="194">
        <f>IFERROR(H183/B178,"")</f>
        <v>1.0583049608873282E-2</v>
      </c>
      <c r="J183" s="275">
        <v>336.41</v>
      </c>
      <c r="K183" s="194">
        <f>IFERROR(J183/B178,"")</f>
        <v>2.7484970910547652E-3</v>
      </c>
      <c r="L183" s="275">
        <v>0</v>
      </c>
      <c r="M183" s="276">
        <f>IFERROR(L183/B178,"")</f>
        <v>0</v>
      </c>
    </row>
    <row r="184" spans="1:13" ht="15.75" customHeight="1" thickBot="1">
      <c r="A184" s="282"/>
      <c r="B184" s="283"/>
      <c r="C184" s="283"/>
      <c r="D184" s="783"/>
      <c r="E184" s="284" t="s">
        <v>245</v>
      </c>
      <c r="F184" s="285">
        <v>8778.6225899999881</v>
      </c>
      <c r="G184" s="286">
        <f>IFERROR(F184/B179,"")</f>
        <v>7.9442891624551648E-2</v>
      </c>
      <c r="H184" s="285">
        <v>3397.7179399999904</v>
      </c>
      <c r="I184" s="286">
        <f>IFERROR(H184/B179,"")</f>
        <v>3.0747937425364868E-2</v>
      </c>
      <c r="J184" s="285">
        <v>1368.9606800000008</v>
      </c>
      <c r="K184" s="286">
        <f>IFERROR(J184/B179,"")</f>
        <v>1.2388526084194346E-2</v>
      </c>
      <c r="L184" s="285">
        <v>0</v>
      </c>
      <c r="M184" s="287">
        <f>IFERROR(L184/B179,"")</f>
        <v>0</v>
      </c>
    </row>
    <row r="185" spans="1:13" ht="15.75" customHeight="1">
      <c r="A185" s="777" t="s">
        <v>866</v>
      </c>
      <c r="B185" s="778"/>
      <c r="C185" s="778"/>
      <c r="D185" s="778"/>
      <c r="E185" s="778"/>
      <c r="F185" s="778"/>
      <c r="G185" s="778"/>
      <c r="H185" s="778"/>
      <c r="I185" s="778"/>
      <c r="J185" s="778"/>
      <c r="K185" s="778"/>
      <c r="L185" s="778"/>
      <c r="M185" s="779"/>
    </row>
    <row r="186" spans="1:13" ht="15.75" customHeight="1">
      <c r="A186" s="780"/>
      <c r="B186" s="770"/>
      <c r="C186" s="770"/>
      <c r="D186" s="770"/>
      <c r="E186" s="770"/>
      <c r="F186" s="770"/>
      <c r="G186" s="770"/>
      <c r="H186" s="770"/>
      <c r="I186" s="770"/>
      <c r="J186" s="770"/>
      <c r="K186" s="770"/>
      <c r="L186" s="770"/>
      <c r="M186" s="781"/>
    </row>
    <row r="187" spans="1:13" ht="15.75" customHeight="1">
      <c r="A187" s="270" t="s">
        <v>238</v>
      </c>
      <c r="B187" s="369">
        <v>50932396</v>
      </c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271"/>
    </row>
    <row r="188" spans="1:13" ht="15.75" customHeight="1">
      <c r="A188" s="782" t="s">
        <v>197</v>
      </c>
      <c r="B188" s="772" t="s">
        <v>10</v>
      </c>
      <c r="C188" s="772"/>
      <c r="D188" s="773"/>
      <c r="E188" s="771" t="s">
        <v>197</v>
      </c>
      <c r="F188" s="775">
        <v>1</v>
      </c>
      <c r="G188" s="775"/>
      <c r="H188" s="775">
        <v>2</v>
      </c>
      <c r="I188" s="775"/>
      <c r="J188" s="775">
        <v>3</v>
      </c>
      <c r="K188" s="775"/>
      <c r="L188" s="775">
        <v>4</v>
      </c>
      <c r="M188" s="784"/>
    </row>
    <row r="189" spans="1:13" ht="15.75" customHeight="1">
      <c r="A189" s="782"/>
      <c r="B189" s="772"/>
      <c r="C189" s="772"/>
      <c r="D189" s="774"/>
      <c r="E189" s="771"/>
      <c r="F189" s="767" t="s">
        <v>250</v>
      </c>
      <c r="G189" s="767"/>
      <c r="H189" s="767" t="s">
        <v>240</v>
      </c>
      <c r="I189" s="767"/>
      <c r="J189" s="767" t="s">
        <v>164</v>
      </c>
      <c r="K189" s="767"/>
      <c r="L189" s="767" t="s">
        <v>747</v>
      </c>
      <c r="M189" s="785"/>
    </row>
    <row r="190" spans="1:13" ht="15.75" customHeight="1">
      <c r="A190" s="782"/>
      <c r="B190" s="484" t="s">
        <v>11</v>
      </c>
      <c r="C190" s="484" t="s">
        <v>41</v>
      </c>
      <c r="D190" s="774"/>
      <c r="E190" s="771"/>
      <c r="F190" s="484" t="s">
        <v>11</v>
      </c>
      <c r="G190" s="484" t="s">
        <v>41</v>
      </c>
      <c r="H190" s="484" t="s">
        <v>11</v>
      </c>
      <c r="I190" s="484" t="s">
        <v>41</v>
      </c>
      <c r="J190" s="484" t="s">
        <v>11</v>
      </c>
      <c r="K190" s="484" t="s">
        <v>41</v>
      </c>
      <c r="L190" s="484" t="s">
        <v>11</v>
      </c>
      <c r="M190" s="272" t="s">
        <v>41</v>
      </c>
    </row>
    <row r="191" spans="1:13" ht="15.75" customHeight="1">
      <c r="A191" s="273" t="s">
        <v>244</v>
      </c>
      <c r="B191" s="274">
        <v>125026</v>
      </c>
      <c r="C191" s="192">
        <f>B191/B187</f>
        <v>2.4547441278827721E-3</v>
      </c>
      <c r="D191" s="774"/>
      <c r="E191" s="190" t="s">
        <v>244</v>
      </c>
      <c r="F191" s="275">
        <v>0</v>
      </c>
      <c r="G191" s="194">
        <f>IFERROR(F191/B191,"")</f>
        <v>0</v>
      </c>
      <c r="H191" s="275">
        <v>0</v>
      </c>
      <c r="I191" s="194">
        <f>IFERROR(H191/B191,"")</f>
        <v>0</v>
      </c>
      <c r="J191" s="275">
        <v>2703.6120000000001</v>
      </c>
      <c r="K191" s="194">
        <f>IFERROR(J191/B191,"")</f>
        <v>2.1624398125189962E-2</v>
      </c>
      <c r="L191" s="275">
        <v>6391.12</v>
      </c>
      <c r="M191" s="276">
        <f>IFERROR(L191/B191,"")</f>
        <v>5.1118327387903319E-2</v>
      </c>
    </row>
    <row r="192" spans="1:13" ht="15.75" customHeight="1">
      <c r="A192" s="277" t="s">
        <v>245</v>
      </c>
      <c r="B192" s="278">
        <v>115976.36212522408</v>
      </c>
      <c r="C192" s="192">
        <f>B192/B187</f>
        <v>2.2770647217386767E-3</v>
      </c>
      <c r="D192" s="774"/>
      <c r="E192" s="196" t="s">
        <v>245</v>
      </c>
      <c r="F192" s="275">
        <v>0</v>
      </c>
      <c r="G192" s="194">
        <f>IFERROR(F192/B192,"")</f>
        <v>0</v>
      </c>
      <c r="H192" s="275">
        <v>0</v>
      </c>
      <c r="I192" s="194">
        <f>IFERROR(H192/B192,"")</f>
        <v>0</v>
      </c>
      <c r="J192" s="275">
        <v>0</v>
      </c>
      <c r="K192" s="194">
        <f>IFERROR(J192/B192,"")</f>
        <v>0</v>
      </c>
      <c r="L192" s="275">
        <v>13832.589219999996</v>
      </c>
      <c r="M192" s="276">
        <f>IFERROR(L192/B192,"")</f>
        <v>0.11927076316693244</v>
      </c>
    </row>
    <row r="193" spans="1:13" ht="15.75" customHeight="1">
      <c r="A193" s="279"/>
      <c r="B193" s="186"/>
      <c r="C193" s="186"/>
      <c r="D193" s="774"/>
      <c r="E193" s="771" t="s">
        <v>197</v>
      </c>
      <c r="F193" s="786">
        <v>5</v>
      </c>
      <c r="G193" s="787"/>
      <c r="H193" s="786">
        <v>6</v>
      </c>
      <c r="I193" s="787"/>
      <c r="J193" s="786">
        <v>7</v>
      </c>
      <c r="K193" s="787"/>
      <c r="L193" s="788">
        <v>8</v>
      </c>
      <c r="M193" s="789"/>
    </row>
    <row r="194" spans="1:13" ht="15.75" customHeight="1">
      <c r="A194" s="279"/>
      <c r="B194" s="186"/>
      <c r="C194" s="186"/>
      <c r="D194" s="774"/>
      <c r="E194" s="771"/>
      <c r="F194" s="790" t="s">
        <v>188</v>
      </c>
      <c r="G194" s="791"/>
      <c r="H194" s="790" t="s">
        <v>165</v>
      </c>
      <c r="I194" s="791"/>
      <c r="J194" s="790" t="s">
        <v>189</v>
      </c>
      <c r="K194" s="791"/>
      <c r="L194" s="792" t="s">
        <v>249</v>
      </c>
      <c r="M194" s="793"/>
    </row>
    <row r="195" spans="1:13" ht="15.75" customHeight="1">
      <c r="A195" s="279"/>
      <c r="B195" s="186"/>
      <c r="C195" s="186"/>
      <c r="D195" s="774"/>
      <c r="E195" s="771"/>
      <c r="F195" s="484" t="s">
        <v>11</v>
      </c>
      <c r="G195" s="484" t="s">
        <v>41</v>
      </c>
      <c r="H195" s="484" t="s">
        <v>11</v>
      </c>
      <c r="I195" s="484" t="s">
        <v>41</v>
      </c>
      <c r="J195" s="484" t="s">
        <v>11</v>
      </c>
      <c r="K195" s="484" t="s">
        <v>41</v>
      </c>
      <c r="L195" s="484" t="s">
        <v>11</v>
      </c>
      <c r="M195" s="272" t="s">
        <v>41</v>
      </c>
    </row>
    <row r="196" spans="1:13" ht="15.75" customHeight="1">
      <c r="A196" s="280"/>
      <c r="B196" s="281"/>
      <c r="C196" s="281"/>
      <c r="D196" s="774"/>
      <c r="E196" s="190" t="s">
        <v>244</v>
      </c>
      <c r="F196" s="275">
        <v>3607.0949999999998</v>
      </c>
      <c r="G196" s="194">
        <f>IFERROR(F196/B191,"")</f>
        <v>2.8850759042119239E-2</v>
      </c>
      <c r="H196" s="275">
        <v>1671.3330000000001</v>
      </c>
      <c r="I196" s="194">
        <f>IFERROR(H196/B191,"")</f>
        <v>1.3367883480236112E-2</v>
      </c>
      <c r="J196" s="275">
        <v>0</v>
      </c>
      <c r="K196" s="194">
        <f>IFERROR(J196/B191,"")</f>
        <v>0</v>
      </c>
      <c r="L196" s="275">
        <v>0</v>
      </c>
      <c r="M196" s="276">
        <f>IFERROR(L196/B191,"")</f>
        <v>0</v>
      </c>
    </row>
    <row r="197" spans="1:13" ht="15.75" customHeight="1" thickBot="1">
      <c r="A197" s="282"/>
      <c r="B197" s="283"/>
      <c r="C197" s="283"/>
      <c r="D197" s="783"/>
      <c r="E197" s="284" t="s">
        <v>245</v>
      </c>
      <c r="F197" s="285">
        <v>11873.359339999959</v>
      </c>
      <c r="G197" s="286">
        <f>IFERROR(F197/B192,"")</f>
        <v>0.10237740796852933</v>
      </c>
      <c r="H197" s="285">
        <v>7203.390679999995</v>
      </c>
      <c r="I197" s="286">
        <f>IFERROR(H197/B192,"")</f>
        <v>6.2110852142630756E-2</v>
      </c>
      <c r="J197" s="285">
        <v>0</v>
      </c>
      <c r="K197" s="286">
        <f>IFERROR(J197/B192,"")</f>
        <v>0</v>
      </c>
      <c r="L197" s="285">
        <v>0</v>
      </c>
      <c r="M197" s="287">
        <f>IFERROR(L197/B192,"")</f>
        <v>0</v>
      </c>
    </row>
    <row r="198" spans="1:13" ht="15.75" customHeight="1">
      <c r="A198" s="777" t="s">
        <v>874</v>
      </c>
      <c r="B198" s="778"/>
      <c r="C198" s="778"/>
      <c r="D198" s="778"/>
      <c r="E198" s="778"/>
      <c r="F198" s="778"/>
      <c r="G198" s="778"/>
      <c r="H198" s="778"/>
      <c r="I198" s="778"/>
      <c r="J198" s="778"/>
      <c r="K198" s="778"/>
      <c r="L198" s="778"/>
      <c r="M198" s="779"/>
    </row>
    <row r="199" spans="1:13" ht="15.75" customHeight="1">
      <c r="A199" s="780"/>
      <c r="B199" s="770"/>
      <c r="C199" s="770"/>
      <c r="D199" s="770"/>
      <c r="E199" s="770"/>
      <c r="F199" s="770"/>
      <c r="G199" s="770"/>
      <c r="H199" s="770"/>
      <c r="I199" s="770"/>
      <c r="J199" s="770"/>
      <c r="K199" s="770"/>
      <c r="L199" s="770"/>
      <c r="M199" s="781"/>
    </row>
    <row r="200" spans="1:13" ht="15.75" customHeight="1">
      <c r="A200" s="270" t="s">
        <v>238</v>
      </c>
      <c r="B200" s="369">
        <v>48568543</v>
      </c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271"/>
    </row>
    <row r="201" spans="1:13" ht="15.75" customHeight="1">
      <c r="A201" s="782" t="s">
        <v>197</v>
      </c>
      <c r="B201" s="772" t="s">
        <v>10</v>
      </c>
      <c r="C201" s="772"/>
      <c r="D201" s="773"/>
      <c r="E201" s="771" t="s">
        <v>197</v>
      </c>
      <c r="F201" s="775">
        <v>1</v>
      </c>
      <c r="G201" s="775"/>
      <c r="H201" s="775">
        <v>2</v>
      </c>
      <c r="I201" s="775"/>
      <c r="J201" s="775">
        <v>3</v>
      </c>
      <c r="K201" s="775"/>
      <c r="L201" s="775">
        <v>4</v>
      </c>
      <c r="M201" s="784"/>
    </row>
    <row r="202" spans="1:13" ht="15.75" customHeight="1">
      <c r="A202" s="782"/>
      <c r="B202" s="772"/>
      <c r="C202" s="772"/>
      <c r="D202" s="774"/>
      <c r="E202" s="771"/>
      <c r="F202" s="767" t="s">
        <v>250</v>
      </c>
      <c r="G202" s="767"/>
      <c r="H202" s="767" t="s">
        <v>240</v>
      </c>
      <c r="I202" s="767"/>
      <c r="J202" s="767" t="s">
        <v>164</v>
      </c>
      <c r="K202" s="767"/>
      <c r="L202" s="767" t="s">
        <v>747</v>
      </c>
      <c r="M202" s="785"/>
    </row>
    <row r="203" spans="1:13" ht="15.75" customHeight="1">
      <c r="A203" s="782"/>
      <c r="B203" s="498" t="s">
        <v>11</v>
      </c>
      <c r="C203" s="498" t="s">
        <v>41</v>
      </c>
      <c r="D203" s="774"/>
      <c r="E203" s="771"/>
      <c r="F203" s="498" t="s">
        <v>11</v>
      </c>
      <c r="G203" s="498" t="s">
        <v>41</v>
      </c>
      <c r="H203" s="498" t="s">
        <v>11</v>
      </c>
      <c r="I203" s="498" t="s">
        <v>41</v>
      </c>
      <c r="J203" s="498" t="s">
        <v>11</v>
      </c>
      <c r="K203" s="498" t="s">
        <v>41</v>
      </c>
      <c r="L203" s="498" t="s">
        <v>11</v>
      </c>
      <c r="M203" s="272" t="s">
        <v>41</v>
      </c>
    </row>
    <row r="204" spans="1:13" ht="15.75" customHeight="1">
      <c r="A204" s="273" t="s">
        <v>244</v>
      </c>
      <c r="B204" s="274">
        <v>118904</v>
      </c>
      <c r="C204" s="192">
        <f>B204/B200</f>
        <v>2.4481689722502071E-3</v>
      </c>
      <c r="D204" s="774"/>
      <c r="E204" s="190" t="s">
        <v>244</v>
      </c>
      <c r="F204" s="275">
        <v>0</v>
      </c>
      <c r="G204" s="194">
        <f>IFERROR(F204/B204,"")</f>
        <v>0</v>
      </c>
      <c r="H204" s="275">
        <v>644.82600000000002</v>
      </c>
      <c r="I204" s="194">
        <f>IFERROR(H204/B204,"")</f>
        <v>5.4230808046827695E-3</v>
      </c>
      <c r="J204" s="275">
        <v>1959.9749999999999</v>
      </c>
      <c r="K204" s="194">
        <f>IFERROR(J204/B204,"")</f>
        <v>1.6483675906613739E-2</v>
      </c>
      <c r="L204" s="275">
        <v>5007.1060000000007</v>
      </c>
      <c r="M204" s="276">
        <f>IFERROR(L204/B204,"")</f>
        <v>4.2110492498149771E-2</v>
      </c>
    </row>
    <row r="205" spans="1:13" ht="15.75" customHeight="1">
      <c r="A205" s="277" t="s">
        <v>245</v>
      </c>
      <c r="B205" s="278">
        <v>107634.69212281464</v>
      </c>
      <c r="C205" s="192">
        <f>B205/B200</f>
        <v>2.2161400255061108E-3</v>
      </c>
      <c r="D205" s="774"/>
      <c r="E205" s="196" t="s">
        <v>245</v>
      </c>
      <c r="F205" s="275">
        <v>0</v>
      </c>
      <c r="G205" s="194">
        <f>IFERROR(F205/B205,"")</f>
        <v>0</v>
      </c>
      <c r="H205" s="275">
        <v>0</v>
      </c>
      <c r="I205" s="194">
        <f>IFERROR(H205/B205,"")</f>
        <v>0</v>
      </c>
      <c r="J205" s="275">
        <v>0</v>
      </c>
      <c r="K205" s="194">
        <f>IFERROR(J205/B205,"")</f>
        <v>0</v>
      </c>
      <c r="L205" s="275">
        <v>14266.462739999961</v>
      </c>
      <c r="M205" s="276">
        <f>IFERROR(L205/B205,"")</f>
        <v>0.13254520878567172</v>
      </c>
    </row>
    <row r="206" spans="1:13" ht="15.75" customHeight="1">
      <c r="A206" s="279"/>
      <c r="B206" s="186"/>
      <c r="C206" s="186"/>
      <c r="D206" s="774"/>
      <c r="E206" s="771" t="s">
        <v>197</v>
      </c>
      <c r="F206" s="786">
        <v>5</v>
      </c>
      <c r="G206" s="787"/>
      <c r="H206" s="786">
        <v>6</v>
      </c>
      <c r="I206" s="787"/>
      <c r="J206" s="786">
        <v>7</v>
      </c>
      <c r="K206" s="787"/>
      <c r="L206" s="788">
        <v>8</v>
      </c>
      <c r="M206" s="789"/>
    </row>
    <row r="207" spans="1:13" ht="15.75" customHeight="1">
      <c r="A207" s="279"/>
      <c r="B207" s="186"/>
      <c r="C207" s="186"/>
      <c r="D207" s="774"/>
      <c r="E207" s="771"/>
      <c r="F207" s="790" t="s">
        <v>188</v>
      </c>
      <c r="G207" s="791"/>
      <c r="H207" s="790" t="s">
        <v>165</v>
      </c>
      <c r="I207" s="791"/>
      <c r="J207" s="790" t="s">
        <v>189</v>
      </c>
      <c r="K207" s="791"/>
      <c r="L207" s="792" t="s">
        <v>249</v>
      </c>
      <c r="M207" s="793"/>
    </row>
    <row r="208" spans="1:13" ht="15.75" customHeight="1">
      <c r="A208" s="279"/>
      <c r="B208" s="186"/>
      <c r="C208" s="186"/>
      <c r="D208" s="774"/>
      <c r="E208" s="771"/>
      <c r="F208" s="498" t="s">
        <v>11</v>
      </c>
      <c r="G208" s="498" t="s">
        <v>41</v>
      </c>
      <c r="H208" s="498" t="s">
        <v>11</v>
      </c>
      <c r="I208" s="498" t="s">
        <v>41</v>
      </c>
      <c r="J208" s="498" t="s">
        <v>11</v>
      </c>
      <c r="K208" s="498" t="s">
        <v>41</v>
      </c>
      <c r="L208" s="498" t="s">
        <v>11</v>
      </c>
      <c r="M208" s="272" t="s">
        <v>41</v>
      </c>
    </row>
    <row r="209" spans="1:13" ht="15.75" customHeight="1">
      <c r="A209" s="280"/>
      <c r="B209" s="281"/>
      <c r="C209" s="281"/>
      <c r="D209" s="774"/>
      <c r="E209" s="190" t="s">
        <v>244</v>
      </c>
      <c r="F209" s="275">
        <v>4790.9799999999996</v>
      </c>
      <c r="G209" s="194">
        <f>IFERROR(F209/B204,"")</f>
        <v>4.0292841283724679E-2</v>
      </c>
      <c r="H209" s="275">
        <v>1516.2709999999997</v>
      </c>
      <c r="I209" s="194">
        <f>IFERROR(H209/B204,"")</f>
        <v>1.2752060485770031E-2</v>
      </c>
      <c r="J209" s="275">
        <v>0</v>
      </c>
      <c r="K209" s="194">
        <f>IFERROR(J209/B204,"")</f>
        <v>0</v>
      </c>
      <c r="L209" s="275">
        <v>0</v>
      </c>
      <c r="M209" s="276">
        <f>IFERROR(L209/B204,"")</f>
        <v>0</v>
      </c>
    </row>
    <row r="210" spans="1:13" ht="15.75" customHeight="1" thickBot="1">
      <c r="A210" s="282"/>
      <c r="B210" s="283"/>
      <c r="C210" s="283"/>
      <c r="D210" s="783"/>
      <c r="E210" s="284" t="s">
        <v>245</v>
      </c>
      <c r="F210" s="285">
        <v>10972.051010000034</v>
      </c>
      <c r="G210" s="286">
        <f>IFERROR(F210/B205,"")</f>
        <v>0.10193786774138371</v>
      </c>
      <c r="H210" s="285">
        <v>3627.1672599999574</v>
      </c>
      <c r="I210" s="286">
        <f>IFERROR(H210/B205,"")</f>
        <v>3.3698867794978625E-2</v>
      </c>
      <c r="J210" s="285">
        <v>0</v>
      </c>
      <c r="K210" s="286">
        <f>IFERROR(J210/B205,"")</f>
        <v>0</v>
      </c>
      <c r="L210" s="285">
        <v>0</v>
      </c>
      <c r="M210" s="287">
        <f>IFERROR(L210/B205,"")</f>
        <v>0</v>
      </c>
    </row>
    <row r="211" spans="1:13" ht="15.75" customHeight="1">
      <c r="A211" s="777" t="s">
        <v>880</v>
      </c>
      <c r="B211" s="778"/>
      <c r="C211" s="778"/>
      <c r="D211" s="778"/>
      <c r="E211" s="778"/>
      <c r="F211" s="778"/>
      <c r="G211" s="778"/>
      <c r="H211" s="778"/>
      <c r="I211" s="778"/>
      <c r="J211" s="778"/>
      <c r="K211" s="778"/>
      <c r="L211" s="778"/>
      <c r="M211" s="779"/>
    </row>
    <row r="212" spans="1:13" ht="15.75" customHeight="1">
      <c r="A212" s="780"/>
      <c r="B212" s="770"/>
      <c r="C212" s="770"/>
      <c r="D212" s="770"/>
      <c r="E212" s="770"/>
      <c r="F212" s="770"/>
      <c r="G212" s="770"/>
      <c r="H212" s="770"/>
      <c r="I212" s="770"/>
      <c r="J212" s="770"/>
      <c r="K212" s="770"/>
      <c r="L212" s="770"/>
      <c r="M212" s="781"/>
    </row>
    <row r="213" spans="1:13" ht="15.75" customHeight="1">
      <c r="A213" s="270" t="s">
        <v>238</v>
      </c>
      <c r="B213" s="369">
        <v>49954974</v>
      </c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271"/>
    </row>
    <row r="214" spans="1:13" ht="15.75" customHeight="1">
      <c r="A214" s="782" t="s">
        <v>197</v>
      </c>
      <c r="B214" s="772" t="s">
        <v>10</v>
      </c>
      <c r="C214" s="772"/>
      <c r="D214" s="773"/>
      <c r="E214" s="771" t="s">
        <v>197</v>
      </c>
      <c r="F214" s="775">
        <v>1</v>
      </c>
      <c r="G214" s="775"/>
      <c r="H214" s="775">
        <v>2</v>
      </c>
      <c r="I214" s="775"/>
      <c r="J214" s="775">
        <v>3</v>
      </c>
      <c r="K214" s="775"/>
      <c r="L214" s="775">
        <v>4</v>
      </c>
      <c r="M214" s="784"/>
    </row>
    <row r="215" spans="1:13" ht="15.75" customHeight="1">
      <c r="A215" s="782"/>
      <c r="B215" s="772"/>
      <c r="C215" s="772"/>
      <c r="D215" s="774"/>
      <c r="E215" s="771"/>
      <c r="F215" s="767" t="s">
        <v>250</v>
      </c>
      <c r="G215" s="767"/>
      <c r="H215" s="767" t="s">
        <v>240</v>
      </c>
      <c r="I215" s="767"/>
      <c r="J215" s="767" t="s">
        <v>164</v>
      </c>
      <c r="K215" s="767"/>
      <c r="L215" s="767" t="s">
        <v>747</v>
      </c>
      <c r="M215" s="785"/>
    </row>
    <row r="216" spans="1:13" ht="15.75" customHeight="1">
      <c r="A216" s="782"/>
      <c r="B216" s="504" t="s">
        <v>11</v>
      </c>
      <c r="C216" s="504" t="s">
        <v>41</v>
      </c>
      <c r="D216" s="774"/>
      <c r="E216" s="771"/>
      <c r="F216" s="504" t="s">
        <v>11</v>
      </c>
      <c r="G216" s="504" t="s">
        <v>41</v>
      </c>
      <c r="H216" s="504" t="s">
        <v>11</v>
      </c>
      <c r="I216" s="504" t="s">
        <v>41</v>
      </c>
      <c r="J216" s="504" t="s">
        <v>11</v>
      </c>
      <c r="K216" s="504" t="s">
        <v>41</v>
      </c>
      <c r="L216" s="504" t="s">
        <v>11</v>
      </c>
      <c r="M216" s="272" t="s">
        <v>41</v>
      </c>
    </row>
    <row r="217" spans="1:13" ht="15.75" customHeight="1">
      <c r="A217" s="273" t="s">
        <v>244</v>
      </c>
      <c r="B217" s="274">
        <v>122936</v>
      </c>
      <c r="C217" s="192">
        <f>B217/B213</f>
        <v>2.4609361221967605E-3</v>
      </c>
      <c r="D217" s="774"/>
      <c r="E217" s="190" t="s">
        <v>244</v>
      </c>
      <c r="F217" s="275">
        <v>0</v>
      </c>
      <c r="G217" s="194">
        <f>IFERROR(F217/B217,"")</f>
        <v>0</v>
      </c>
      <c r="H217" s="275">
        <v>1501.0600000000002</v>
      </c>
      <c r="I217" s="194">
        <f>IFERROR(H217/B217,"")</f>
        <v>1.2210093056549751E-2</v>
      </c>
      <c r="J217" s="275">
        <v>2748.6741000000002</v>
      </c>
      <c r="K217" s="194">
        <f>IFERROR(J217/B217,"")</f>
        <v>2.2358577633890805E-2</v>
      </c>
      <c r="L217" s="275">
        <v>6482.1190000000006</v>
      </c>
      <c r="M217" s="276">
        <f>IFERROR(L217/B217,"")</f>
        <v>5.2727589965510517E-2</v>
      </c>
    </row>
    <row r="218" spans="1:13" ht="15.75" customHeight="1">
      <c r="A218" s="277" t="s">
        <v>245</v>
      </c>
      <c r="B218" s="278">
        <v>110726.85705083513</v>
      </c>
      <c r="C218" s="192">
        <f>B218/B213</f>
        <v>2.2165331734700757E-3</v>
      </c>
      <c r="D218" s="774"/>
      <c r="E218" s="196" t="s">
        <v>245</v>
      </c>
      <c r="F218" s="275">
        <v>0</v>
      </c>
      <c r="G218" s="194">
        <f>IFERROR(F218/B218,"")</f>
        <v>0</v>
      </c>
      <c r="H218" s="275">
        <v>1280.8224000000021</v>
      </c>
      <c r="I218" s="194">
        <f>IFERROR(H218/B218,"")</f>
        <v>1.1567405001046598E-2</v>
      </c>
      <c r="J218" s="275">
        <v>1314.0638399999846</v>
      </c>
      <c r="K218" s="194">
        <f>IFERROR(J218/B218,"")</f>
        <v>1.1867616177317242E-2</v>
      </c>
      <c r="L218" s="275">
        <v>11296.346420000025</v>
      </c>
      <c r="M218" s="276">
        <f>IFERROR(L218/B218,"")</f>
        <v>0.10201993193768545</v>
      </c>
    </row>
    <row r="219" spans="1:13" ht="15.75" customHeight="1">
      <c r="A219" s="279"/>
      <c r="B219" s="186"/>
      <c r="C219" s="186"/>
      <c r="D219" s="774"/>
      <c r="E219" s="771" t="s">
        <v>197</v>
      </c>
      <c r="F219" s="786">
        <v>5</v>
      </c>
      <c r="G219" s="787"/>
      <c r="H219" s="786">
        <v>6</v>
      </c>
      <c r="I219" s="787"/>
      <c r="J219" s="786">
        <v>7</v>
      </c>
      <c r="K219" s="787"/>
      <c r="L219" s="788">
        <v>8</v>
      </c>
      <c r="M219" s="789"/>
    </row>
    <row r="220" spans="1:13" ht="15.75" customHeight="1">
      <c r="A220" s="279"/>
      <c r="B220" s="186"/>
      <c r="C220" s="186"/>
      <c r="D220" s="774"/>
      <c r="E220" s="771"/>
      <c r="F220" s="790" t="s">
        <v>188</v>
      </c>
      <c r="G220" s="791"/>
      <c r="H220" s="790" t="s">
        <v>165</v>
      </c>
      <c r="I220" s="791"/>
      <c r="J220" s="790" t="s">
        <v>189</v>
      </c>
      <c r="K220" s="791"/>
      <c r="L220" s="792" t="s">
        <v>249</v>
      </c>
      <c r="M220" s="793"/>
    </row>
    <row r="221" spans="1:13" ht="15.75" customHeight="1">
      <c r="A221" s="279"/>
      <c r="B221" s="186"/>
      <c r="C221" s="186"/>
      <c r="D221" s="774"/>
      <c r="E221" s="771"/>
      <c r="F221" s="504" t="s">
        <v>11</v>
      </c>
      <c r="G221" s="504" t="s">
        <v>41</v>
      </c>
      <c r="H221" s="504" t="s">
        <v>11</v>
      </c>
      <c r="I221" s="504" t="s">
        <v>41</v>
      </c>
      <c r="J221" s="504" t="s">
        <v>11</v>
      </c>
      <c r="K221" s="504" t="s">
        <v>41</v>
      </c>
      <c r="L221" s="504" t="s">
        <v>11</v>
      </c>
      <c r="M221" s="272" t="s">
        <v>41</v>
      </c>
    </row>
    <row r="222" spans="1:13" ht="15.75" customHeight="1">
      <c r="A222" s="280"/>
      <c r="B222" s="281"/>
      <c r="C222" s="281"/>
      <c r="D222" s="774"/>
      <c r="E222" s="190" t="s">
        <v>244</v>
      </c>
      <c r="F222" s="275">
        <v>2195.3139999999999</v>
      </c>
      <c r="G222" s="194">
        <f>IFERROR(F222/B217,"")</f>
        <v>1.7857372942018609E-2</v>
      </c>
      <c r="H222" s="275">
        <v>1509.8239999999998</v>
      </c>
      <c r="I222" s="194">
        <f>IFERROR(H222/B217,"")</f>
        <v>1.2281382182599075E-2</v>
      </c>
      <c r="J222" s="275">
        <v>0</v>
      </c>
      <c r="K222" s="194">
        <f>IFERROR(J222/B217,"")</f>
        <v>0</v>
      </c>
      <c r="L222" s="275">
        <v>0</v>
      </c>
      <c r="M222" s="276">
        <f>IFERROR(L222/B217,"")</f>
        <v>0</v>
      </c>
    </row>
    <row r="223" spans="1:13" ht="15.75" customHeight="1" thickBot="1">
      <c r="A223" s="282"/>
      <c r="B223" s="283"/>
      <c r="C223" s="283"/>
      <c r="D223" s="783"/>
      <c r="E223" s="284" t="s">
        <v>245</v>
      </c>
      <c r="F223" s="285">
        <v>9630.2537600000069</v>
      </c>
      <c r="G223" s="286">
        <f>IFERROR(F223/B218,"")</f>
        <v>8.697306160851942E-2</v>
      </c>
      <c r="H223" s="285">
        <v>5050.8231600000054</v>
      </c>
      <c r="I223" s="286">
        <f>IFERROR(H223/B218,"")</f>
        <v>4.5615158729567777E-2</v>
      </c>
      <c r="J223" s="285">
        <v>0</v>
      </c>
      <c r="K223" s="286">
        <f>IFERROR(J223/B218,"")</f>
        <v>0</v>
      </c>
      <c r="L223" s="285">
        <v>0</v>
      </c>
      <c r="M223" s="287">
        <f>IFERROR(L223/B218,"")</f>
        <v>0</v>
      </c>
    </row>
    <row r="224" spans="1:13" ht="15.75" customHeight="1">
      <c r="A224" s="777" t="s">
        <v>900</v>
      </c>
      <c r="B224" s="778"/>
      <c r="C224" s="778"/>
      <c r="D224" s="778"/>
      <c r="E224" s="778"/>
      <c r="F224" s="778"/>
      <c r="G224" s="778"/>
      <c r="H224" s="778"/>
      <c r="I224" s="778"/>
      <c r="J224" s="778"/>
      <c r="K224" s="778"/>
      <c r="L224" s="778"/>
      <c r="M224" s="779"/>
    </row>
    <row r="225" spans="1:13" ht="15.75" customHeight="1">
      <c r="A225" s="780"/>
      <c r="B225" s="770"/>
      <c r="C225" s="770"/>
      <c r="D225" s="770"/>
      <c r="E225" s="770"/>
      <c r="F225" s="770"/>
      <c r="G225" s="770"/>
      <c r="H225" s="770"/>
      <c r="I225" s="770"/>
      <c r="J225" s="770"/>
      <c r="K225" s="770"/>
      <c r="L225" s="770"/>
      <c r="M225" s="781"/>
    </row>
    <row r="226" spans="1:13" ht="15.75" customHeight="1">
      <c r="A226" s="270" t="s">
        <v>238</v>
      </c>
      <c r="B226" s="369">
        <v>47582302</v>
      </c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271"/>
    </row>
    <row r="227" spans="1:13" ht="15.75" customHeight="1">
      <c r="A227" s="782" t="s">
        <v>197</v>
      </c>
      <c r="B227" s="772" t="s">
        <v>10</v>
      </c>
      <c r="C227" s="772"/>
      <c r="D227" s="773"/>
      <c r="E227" s="771" t="s">
        <v>197</v>
      </c>
      <c r="F227" s="775">
        <v>1</v>
      </c>
      <c r="G227" s="775"/>
      <c r="H227" s="775">
        <v>2</v>
      </c>
      <c r="I227" s="775"/>
      <c r="J227" s="775">
        <v>3</v>
      </c>
      <c r="K227" s="775"/>
      <c r="L227" s="775">
        <v>4</v>
      </c>
      <c r="M227" s="784"/>
    </row>
    <row r="228" spans="1:13" ht="15.75" customHeight="1">
      <c r="A228" s="782"/>
      <c r="B228" s="772"/>
      <c r="C228" s="772"/>
      <c r="D228" s="774"/>
      <c r="E228" s="771"/>
      <c r="F228" s="767" t="s">
        <v>250</v>
      </c>
      <c r="G228" s="767"/>
      <c r="H228" s="767" t="s">
        <v>240</v>
      </c>
      <c r="I228" s="767"/>
      <c r="J228" s="767" t="s">
        <v>164</v>
      </c>
      <c r="K228" s="767"/>
      <c r="L228" s="767" t="s">
        <v>747</v>
      </c>
      <c r="M228" s="785"/>
    </row>
    <row r="229" spans="1:13" ht="15.75" customHeight="1">
      <c r="A229" s="782"/>
      <c r="B229" s="531" t="s">
        <v>11</v>
      </c>
      <c r="C229" s="531" t="s">
        <v>41</v>
      </c>
      <c r="D229" s="774"/>
      <c r="E229" s="771"/>
      <c r="F229" s="531" t="s">
        <v>11</v>
      </c>
      <c r="G229" s="531" t="s">
        <v>41</v>
      </c>
      <c r="H229" s="531" t="s">
        <v>11</v>
      </c>
      <c r="I229" s="531" t="s">
        <v>41</v>
      </c>
      <c r="J229" s="531" t="s">
        <v>11</v>
      </c>
      <c r="K229" s="531" t="s">
        <v>41</v>
      </c>
      <c r="L229" s="531" t="s">
        <v>11</v>
      </c>
      <c r="M229" s="272" t="s">
        <v>41</v>
      </c>
    </row>
    <row r="230" spans="1:13" ht="15.75" customHeight="1">
      <c r="A230" s="273" t="s">
        <v>244</v>
      </c>
      <c r="B230" s="274">
        <v>116707.33200000001</v>
      </c>
      <c r="C230" s="192">
        <f>B230/B226</f>
        <v>2.4527466535772063E-3</v>
      </c>
      <c r="D230" s="774"/>
      <c r="E230" s="190" t="s">
        <v>244</v>
      </c>
      <c r="F230" s="275">
        <v>0</v>
      </c>
      <c r="G230" s="194">
        <f>IFERROR(F230/B230,"")</f>
        <v>0</v>
      </c>
      <c r="H230" s="275">
        <v>655.30500000000006</v>
      </c>
      <c r="I230" s="194">
        <f>IFERROR(H230/B230,"")</f>
        <v>5.6149428555182807E-3</v>
      </c>
      <c r="J230" s="275">
        <v>2194.0420000000004</v>
      </c>
      <c r="K230" s="194">
        <f>IFERROR(J230/B230,"")</f>
        <v>1.879952152449171E-2</v>
      </c>
      <c r="L230" s="275">
        <v>6503.0510000000004</v>
      </c>
      <c r="M230" s="276">
        <f>IFERROR(L230/B230,"")</f>
        <v>5.572101502585973E-2</v>
      </c>
    </row>
    <row r="231" spans="1:13" ht="15.75" customHeight="1">
      <c r="A231" s="277" t="s">
        <v>245</v>
      </c>
      <c r="B231" s="278">
        <v>104435.35944224003</v>
      </c>
      <c r="C231" s="192">
        <f>B231/B226</f>
        <v>2.1948362112081091E-3</v>
      </c>
      <c r="D231" s="774"/>
      <c r="E231" s="196" t="s">
        <v>245</v>
      </c>
      <c r="F231" s="275">
        <v>0</v>
      </c>
      <c r="G231" s="194">
        <f>IFERROR(F231/B231,"")</f>
        <v>0</v>
      </c>
      <c r="H231" s="275">
        <v>0</v>
      </c>
      <c r="I231" s="194">
        <f>IFERROR(H231/B231,"")</f>
        <v>0</v>
      </c>
      <c r="J231" s="275">
        <v>6120.2293400000053</v>
      </c>
      <c r="K231" s="194">
        <f>IFERROR(J231/B231,"")</f>
        <v>5.8603038019751488E-2</v>
      </c>
      <c r="L231" s="275">
        <v>5601.6356299999961</v>
      </c>
      <c r="M231" s="276">
        <f>IFERROR(L231/B231,"")</f>
        <v>5.3637347158249478E-2</v>
      </c>
    </row>
    <row r="232" spans="1:13" ht="15.75" customHeight="1">
      <c r="A232" s="279"/>
      <c r="B232" s="186"/>
      <c r="C232" s="186"/>
      <c r="D232" s="774"/>
      <c r="E232" s="771" t="s">
        <v>197</v>
      </c>
      <c r="F232" s="786">
        <v>5</v>
      </c>
      <c r="G232" s="787"/>
      <c r="H232" s="786">
        <v>6</v>
      </c>
      <c r="I232" s="787"/>
      <c r="J232" s="786">
        <v>7</v>
      </c>
      <c r="K232" s="787"/>
      <c r="L232" s="788">
        <v>8</v>
      </c>
      <c r="M232" s="789"/>
    </row>
    <row r="233" spans="1:13" ht="15.75" customHeight="1">
      <c r="A233" s="279"/>
      <c r="B233" s="186"/>
      <c r="C233" s="186"/>
      <c r="D233" s="774"/>
      <c r="E233" s="771"/>
      <c r="F233" s="790" t="s">
        <v>188</v>
      </c>
      <c r="G233" s="791"/>
      <c r="H233" s="790" t="s">
        <v>165</v>
      </c>
      <c r="I233" s="791"/>
      <c r="J233" s="790" t="s">
        <v>189</v>
      </c>
      <c r="K233" s="791"/>
      <c r="L233" s="792" t="s">
        <v>249</v>
      </c>
      <c r="M233" s="793"/>
    </row>
    <row r="234" spans="1:13" ht="15.75" customHeight="1">
      <c r="A234" s="279"/>
      <c r="B234" s="186"/>
      <c r="C234" s="186"/>
      <c r="D234" s="774"/>
      <c r="E234" s="771"/>
      <c r="F234" s="531" t="s">
        <v>11</v>
      </c>
      <c r="G234" s="531" t="s">
        <v>41</v>
      </c>
      <c r="H234" s="531" t="s">
        <v>11</v>
      </c>
      <c r="I234" s="531" t="s">
        <v>41</v>
      </c>
      <c r="J234" s="531" t="s">
        <v>11</v>
      </c>
      <c r="K234" s="531" t="s">
        <v>41</v>
      </c>
      <c r="L234" s="531" t="s">
        <v>11</v>
      </c>
      <c r="M234" s="272" t="s">
        <v>41</v>
      </c>
    </row>
    <row r="235" spans="1:13" ht="15.75" customHeight="1">
      <c r="A235" s="280"/>
      <c r="B235" s="281"/>
      <c r="C235" s="281"/>
      <c r="D235" s="774"/>
      <c r="E235" s="190" t="s">
        <v>244</v>
      </c>
      <c r="F235" s="275">
        <v>2881.55</v>
      </c>
      <c r="G235" s="194">
        <f>IFERROR(F235/B230,"")</f>
        <v>2.4690393916296537E-2</v>
      </c>
      <c r="H235" s="275">
        <v>2465.4870000000001</v>
      </c>
      <c r="I235" s="194">
        <f>IFERROR(H235/B230,"")</f>
        <v>2.1125382251048288E-2</v>
      </c>
      <c r="J235" s="275">
        <v>0</v>
      </c>
      <c r="K235" s="194">
        <f>IFERROR(J235/B230,"")</f>
        <v>0</v>
      </c>
      <c r="L235" s="275">
        <v>0</v>
      </c>
      <c r="M235" s="276">
        <f>IFERROR(L235/B230,"")</f>
        <v>0</v>
      </c>
    </row>
    <row r="236" spans="1:13" ht="15.75" customHeight="1" thickBot="1">
      <c r="A236" s="282"/>
      <c r="B236" s="283"/>
      <c r="C236" s="283"/>
      <c r="D236" s="783"/>
      <c r="E236" s="284" t="s">
        <v>245</v>
      </c>
      <c r="F236" s="285">
        <v>12214.969340000049</v>
      </c>
      <c r="G236" s="286">
        <f>IFERROR(F236/B231,"")</f>
        <v>0.11696200793712756</v>
      </c>
      <c r="H236" s="285">
        <v>5285.9332799999956</v>
      </c>
      <c r="I236" s="286">
        <f>IFERROR(H236/B231,"")</f>
        <v>5.061440213573911E-2</v>
      </c>
      <c r="J236" s="285">
        <v>0</v>
      </c>
      <c r="K236" s="286">
        <f>IFERROR(J236/B231,"")</f>
        <v>0</v>
      </c>
      <c r="L236" s="285">
        <v>0</v>
      </c>
      <c r="M236" s="287">
        <f>IFERROR(L236/B231,"")</f>
        <v>0</v>
      </c>
    </row>
    <row r="237" spans="1:13" ht="15.75" customHeight="1">
      <c r="A237" s="777" t="s">
        <v>980</v>
      </c>
      <c r="B237" s="778"/>
      <c r="C237" s="778"/>
      <c r="D237" s="778"/>
      <c r="E237" s="778"/>
      <c r="F237" s="778"/>
      <c r="G237" s="778"/>
      <c r="H237" s="778"/>
      <c r="I237" s="778"/>
      <c r="J237" s="778"/>
      <c r="K237" s="778"/>
      <c r="L237" s="778"/>
      <c r="M237" s="779"/>
    </row>
    <row r="238" spans="1:13" ht="15.75" customHeight="1">
      <c r="A238" s="780"/>
      <c r="B238" s="770"/>
      <c r="C238" s="770"/>
      <c r="D238" s="770"/>
      <c r="E238" s="770"/>
      <c r="F238" s="770"/>
      <c r="G238" s="770"/>
      <c r="H238" s="770"/>
      <c r="I238" s="770"/>
      <c r="J238" s="770"/>
      <c r="K238" s="770"/>
      <c r="L238" s="770"/>
      <c r="M238" s="781"/>
    </row>
    <row r="239" spans="1:13" ht="15.75" customHeight="1">
      <c r="A239" s="270" t="s">
        <v>238</v>
      </c>
      <c r="B239" s="369">
        <v>49743811</v>
      </c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271"/>
    </row>
    <row r="240" spans="1:13" ht="15.75" customHeight="1">
      <c r="A240" s="782" t="s">
        <v>197</v>
      </c>
      <c r="B240" s="772" t="s">
        <v>10</v>
      </c>
      <c r="C240" s="772"/>
      <c r="D240" s="773"/>
      <c r="E240" s="771" t="s">
        <v>197</v>
      </c>
      <c r="F240" s="775">
        <v>1</v>
      </c>
      <c r="G240" s="775"/>
      <c r="H240" s="775">
        <v>2</v>
      </c>
      <c r="I240" s="775"/>
      <c r="J240" s="775">
        <v>3</v>
      </c>
      <c r="K240" s="775"/>
      <c r="L240" s="775">
        <v>4</v>
      </c>
      <c r="M240" s="784"/>
    </row>
    <row r="241" spans="1:13" ht="15.75" customHeight="1">
      <c r="A241" s="782"/>
      <c r="B241" s="772"/>
      <c r="C241" s="772"/>
      <c r="D241" s="774"/>
      <c r="E241" s="771"/>
      <c r="F241" s="767" t="s">
        <v>250</v>
      </c>
      <c r="G241" s="767"/>
      <c r="H241" s="767" t="s">
        <v>240</v>
      </c>
      <c r="I241" s="767"/>
      <c r="J241" s="767" t="s">
        <v>164</v>
      </c>
      <c r="K241" s="767"/>
      <c r="L241" s="767" t="s">
        <v>747</v>
      </c>
      <c r="M241" s="785"/>
    </row>
    <row r="242" spans="1:13" ht="15.75" customHeight="1">
      <c r="A242" s="782"/>
      <c r="B242" s="536" t="s">
        <v>11</v>
      </c>
      <c r="C242" s="536" t="s">
        <v>41</v>
      </c>
      <c r="D242" s="774"/>
      <c r="E242" s="771"/>
      <c r="F242" s="536" t="s">
        <v>11</v>
      </c>
      <c r="G242" s="536" t="s">
        <v>41</v>
      </c>
      <c r="H242" s="536" t="s">
        <v>11</v>
      </c>
      <c r="I242" s="536" t="s">
        <v>41</v>
      </c>
      <c r="J242" s="536" t="s">
        <v>11</v>
      </c>
      <c r="K242" s="536" t="s">
        <v>41</v>
      </c>
      <c r="L242" s="536" t="s">
        <v>11</v>
      </c>
      <c r="M242" s="272" t="s">
        <v>41</v>
      </c>
    </row>
    <row r="243" spans="1:13" ht="15.75" customHeight="1">
      <c r="A243" s="273" t="s">
        <v>244</v>
      </c>
      <c r="B243" s="274">
        <v>122573</v>
      </c>
      <c r="C243" s="192">
        <f>B243/B239</f>
        <v>2.464085431652995E-3</v>
      </c>
      <c r="D243" s="774"/>
      <c r="E243" s="190" t="s">
        <v>244</v>
      </c>
      <c r="F243" s="275">
        <v>0</v>
      </c>
      <c r="G243" s="194">
        <f>IFERROR(F243/B243,"")</f>
        <v>0</v>
      </c>
      <c r="H243" s="275">
        <v>811.54099999999994</v>
      </c>
      <c r="I243" s="194">
        <v>0.05</v>
      </c>
      <c r="J243" s="275">
        <v>6045.5380000000005</v>
      </c>
      <c r="K243" s="194">
        <v>0.4</v>
      </c>
      <c r="L243" s="275">
        <v>3624.6750000000002</v>
      </c>
      <c r="M243" s="276">
        <v>0.25</v>
      </c>
    </row>
    <row r="244" spans="1:13" ht="15.75" customHeight="1">
      <c r="A244" s="277" t="s">
        <v>245</v>
      </c>
      <c r="B244" s="278">
        <v>101215.76197099355</v>
      </c>
      <c r="C244" s="192">
        <f>B244/B239</f>
        <v>2.0347408036548217E-3</v>
      </c>
      <c r="D244" s="774"/>
      <c r="E244" s="196" t="s">
        <v>245</v>
      </c>
      <c r="F244" s="275">
        <v>0</v>
      </c>
      <c r="G244" s="194">
        <f>IFERROR(F244/B244,"")</f>
        <v>0</v>
      </c>
      <c r="H244" s="275">
        <v>0</v>
      </c>
      <c r="I244" s="194">
        <f>IFERROR(H244/B244,"")</f>
        <v>0</v>
      </c>
      <c r="J244" s="275">
        <v>4566.049100000002</v>
      </c>
      <c r="K244" s="194">
        <v>0.15</v>
      </c>
      <c r="L244" s="275">
        <v>12694.373069999985</v>
      </c>
      <c r="M244" s="276">
        <v>0.45</v>
      </c>
    </row>
    <row r="245" spans="1:13" ht="15.75" customHeight="1">
      <c r="A245" s="279"/>
      <c r="B245" s="895">
        <f>B243-B230</f>
        <v>5865.6679999999906</v>
      </c>
      <c r="C245" s="896">
        <f>C243-C230</f>
        <v>1.1338778075788754E-5</v>
      </c>
      <c r="D245" s="774"/>
      <c r="E245" s="771" t="s">
        <v>197</v>
      </c>
      <c r="F245" s="786">
        <v>5</v>
      </c>
      <c r="G245" s="787"/>
      <c r="H245" s="786">
        <v>6</v>
      </c>
      <c r="I245" s="787"/>
      <c r="J245" s="786">
        <v>7</v>
      </c>
      <c r="K245" s="787"/>
      <c r="L245" s="788">
        <v>8</v>
      </c>
      <c r="M245" s="789"/>
    </row>
    <row r="246" spans="1:13" ht="15.75" customHeight="1">
      <c r="A246" s="279"/>
      <c r="B246" s="895">
        <f>B244-B231</f>
        <v>-3219.5974712464813</v>
      </c>
      <c r="C246" s="896">
        <f>C244-C231</f>
        <v>-1.6009540755328741E-4</v>
      </c>
      <c r="D246" s="774"/>
      <c r="E246" s="771"/>
      <c r="F246" s="790" t="s">
        <v>188</v>
      </c>
      <c r="G246" s="791"/>
      <c r="H246" s="790" t="s">
        <v>165</v>
      </c>
      <c r="I246" s="791"/>
      <c r="J246" s="790" t="s">
        <v>189</v>
      </c>
      <c r="K246" s="791"/>
      <c r="L246" s="792" t="s">
        <v>249</v>
      </c>
      <c r="M246" s="793"/>
    </row>
    <row r="247" spans="1:13" ht="15.75" customHeight="1">
      <c r="A247" s="279"/>
      <c r="B247" s="186"/>
      <c r="C247" s="186"/>
      <c r="D247" s="774"/>
      <c r="E247" s="771"/>
      <c r="F247" s="536" t="s">
        <v>11</v>
      </c>
      <c r="G247" s="536" t="s">
        <v>41</v>
      </c>
      <c r="H247" s="536" t="s">
        <v>11</v>
      </c>
      <c r="I247" s="536" t="s">
        <v>41</v>
      </c>
      <c r="J247" s="536" t="s">
        <v>11</v>
      </c>
      <c r="K247" s="536" t="s">
        <v>41</v>
      </c>
      <c r="L247" s="536" t="s">
        <v>11</v>
      </c>
      <c r="M247" s="272" t="s">
        <v>41</v>
      </c>
    </row>
    <row r="248" spans="1:13" ht="15.75" customHeight="1">
      <c r="A248" s="280"/>
      <c r="B248" s="281"/>
      <c r="C248" s="281"/>
      <c r="D248" s="774"/>
      <c r="E248" s="190" t="s">
        <v>244</v>
      </c>
      <c r="F248" s="275">
        <v>2214.98</v>
      </c>
      <c r="G248" s="194">
        <v>0.15</v>
      </c>
      <c r="H248" s="275">
        <v>2466.8669999999997</v>
      </c>
      <c r="I248" s="194">
        <v>0.15</v>
      </c>
      <c r="J248" s="275">
        <v>0</v>
      </c>
      <c r="K248" s="194">
        <f>IFERROR(J248/B243,"")</f>
        <v>0</v>
      </c>
      <c r="L248" s="275">
        <v>0</v>
      </c>
      <c r="M248" s="276">
        <f>IFERROR(L248/B243,"")</f>
        <v>0</v>
      </c>
    </row>
    <row r="249" spans="1:13" ht="15.75" customHeight="1" thickBot="1">
      <c r="A249" s="282"/>
      <c r="B249" s="283"/>
      <c r="C249" s="283"/>
      <c r="D249" s="783"/>
      <c r="E249" s="284" t="s">
        <v>245</v>
      </c>
      <c r="F249" s="285">
        <v>6735.8776599999837</v>
      </c>
      <c r="G249" s="286">
        <v>0.25</v>
      </c>
      <c r="H249" s="285">
        <v>5140.3288799999918</v>
      </c>
      <c r="I249" s="286">
        <v>0.15</v>
      </c>
      <c r="J249" s="285">
        <v>0</v>
      </c>
      <c r="K249" s="286">
        <f>IFERROR(J249/B244,"")</f>
        <v>0</v>
      </c>
      <c r="L249" s="285">
        <v>0</v>
      </c>
      <c r="M249" s="287">
        <f>IFERROR(L249/B244,"")</f>
        <v>0</v>
      </c>
    </row>
  </sheetData>
  <mergeCells count="419"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20" customWidth="1"/>
    <col min="2" max="2" width="11.453125" style="176" customWidth="1"/>
    <col min="3" max="3" width="4" style="161" customWidth="1"/>
    <col min="4" max="17" width="9.54296875" style="120" customWidth="1"/>
    <col min="18" max="16384" width="12.54296875" style="120"/>
  </cols>
  <sheetData>
    <row r="1" spans="1:17" ht="15.75" customHeight="1">
      <c r="A1" s="572" t="s">
        <v>204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</row>
    <row r="2" spans="1:17" s="121" customFormat="1" ht="15.75" customHeight="1">
      <c r="A2" s="572"/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</row>
    <row r="3" spans="1:17" ht="15.75" customHeight="1">
      <c r="A3" s="701" t="s">
        <v>210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152"/>
    </row>
    <row r="4" spans="1:17" s="121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131"/>
    </row>
    <row r="5" spans="1:17" ht="15.75" customHeight="1">
      <c r="A5" s="591" t="s">
        <v>190</v>
      </c>
      <c r="B5" s="826">
        <v>1</v>
      </c>
      <c r="C5" s="826"/>
      <c r="D5" s="826">
        <v>2</v>
      </c>
      <c r="E5" s="826"/>
      <c r="F5" s="826">
        <v>3</v>
      </c>
      <c r="G5" s="826"/>
      <c r="H5" s="822">
        <v>4</v>
      </c>
      <c r="I5" s="822"/>
      <c r="J5" s="822">
        <v>5</v>
      </c>
      <c r="K5" s="822"/>
      <c r="L5" s="822">
        <v>6</v>
      </c>
      <c r="M5" s="822"/>
      <c r="N5" s="822">
        <v>7</v>
      </c>
      <c r="O5" s="822"/>
      <c r="P5" s="822">
        <v>8</v>
      </c>
      <c r="Q5" s="822"/>
    </row>
    <row r="6" spans="1:17" ht="15.75" customHeight="1">
      <c r="A6" s="591"/>
      <c r="B6" s="827" t="s">
        <v>321</v>
      </c>
      <c r="C6" s="827"/>
      <c r="D6" s="827" t="s">
        <v>211</v>
      </c>
      <c r="E6" s="827"/>
      <c r="F6" s="827" t="s">
        <v>164</v>
      </c>
      <c r="G6" s="827"/>
      <c r="H6" s="591" t="s">
        <v>747</v>
      </c>
      <c r="I6" s="591"/>
      <c r="J6" s="591" t="s">
        <v>188</v>
      </c>
      <c r="K6" s="591"/>
      <c r="L6" s="591" t="s">
        <v>165</v>
      </c>
      <c r="M6" s="591"/>
      <c r="N6" s="591" t="s">
        <v>189</v>
      </c>
      <c r="O6" s="591"/>
      <c r="P6" s="825" t="s">
        <v>214</v>
      </c>
      <c r="Q6" s="591"/>
    </row>
    <row r="8" spans="1:17" s="154" customFormat="1" ht="15.75" customHeight="1">
      <c r="A8" s="815" t="s">
        <v>981</v>
      </c>
      <c r="B8" s="816"/>
      <c r="C8" s="541" t="s">
        <v>982</v>
      </c>
      <c r="D8" s="817" t="s">
        <v>12</v>
      </c>
      <c r="E8" s="818"/>
      <c r="F8" s="819"/>
      <c r="G8" s="539" t="s">
        <v>983</v>
      </c>
      <c r="H8" s="540"/>
      <c r="I8" s="541"/>
      <c r="J8" s="171" t="s">
        <v>984</v>
      </c>
      <c r="K8" s="171" t="s">
        <v>985</v>
      </c>
      <c r="L8" s="171" t="s">
        <v>986</v>
      </c>
      <c r="M8" s="171" t="s">
        <v>11</v>
      </c>
      <c r="N8" s="388" t="s">
        <v>987</v>
      </c>
      <c r="O8" s="820" t="s">
        <v>988</v>
      </c>
      <c r="P8" s="821"/>
    </row>
    <row r="9" spans="1:17" ht="15.75" customHeight="1">
      <c r="A9" s="737">
        <v>1</v>
      </c>
      <c r="B9" s="802" t="s">
        <v>989</v>
      </c>
      <c r="C9" s="172">
        <v>1</v>
      </c>
      <c r="D9" s="545">
        <v>0</v>
      </c>
      <c r="E9" s="805"/>
      <c r="F9" s="806"/>
      <c r="G9" s="545">
        <v>0</v>
      </c>
      <c r="H9" s="805"/>
      <c r="I9" s="806"/>
      <c r="J9" s="4">
        <v>0</v>
      </c>
      <c r="K9" s="14">
        <v>0</v>
      </c>
      <c r="L9" s="4">
        <v>0</v>
      </c>
      <c r="M9" s="16">
        <v>0</v>
      </c>
      <c r="N9" s="173"/>
      <c r="O9" s="813"/>
      <c r="P9" s="814"/>
    </row>
    <row r="10" spans="1:17" ht="15.75" customHeight="1">
      <c r="A10" s="738"/>
      <c r="B10" s="803"/>
      <c r="C10" s="172">
        <v>2</v>
      </c>
      <c r="D10" s="545">
        <v>0</v>
      </c>
      <c r="E10" s="805"/>
      <c r="F10" s="806"/>
      <c r="G10" s="545">
        <v>0</v>
      </c>
      <c r="H10" s="805"/>
      <c r="I10" s="806"/>
      <c r="J10" s="4">
        <v>0</v>
      </c>
      <c r="K10" s="14">
        <v>0</v>
      </c>
      <c r="L10" s="4">
        <v>0</v>
      </c>
      <c r="M10" s="16">
        <v>0</v>
      </c>
      <c r="N10" s="173"/>
      <c r="O10" s="813"/>
      <c r="P10" s="814"/>
    </row>
    <row r="11" spans="1:17" ht="15.75" customHeight="1">
      <c r="A11" s="738"/>
      <c r="B11" s="803"/>
      <c r="C11" s="172">
        <v>3</v>
      </c>
      <c r="D11" s="545">
        <v>0</v>
      </c>
      <c r="E11" s="805"/>
      <c r="F11" s="806"/>
      <c r="G11" s="545">
        <v>0</v>
      </c>
      <c r="H11" s="805"/>
      <c r="I11" s="806"/>
      <c r="J11" s="4">
        <v>0</v>
      </c>
      <c r="K11" s="14">
        <v>0</v>
      </c>
      <c r="L11" s="4">
        <v>0</v>
      </c>
      <c r="M11" s="16">
        <v>0</v>
      </c>
      <c r="N11" s="173"/>
      <c r="O11" s="813"/>
      <c r="P11" s="814"/>
    </row>
    <row r="12" spans="1:17" ht="15.75" customHeight="1">
      <c r="A12" s="738"/>
      <c r="B12" s="803"/>
      <c r="C12" s="172">
        <v>4</v>
      </c>
      <c r="D12" s="545">
        <v>0</v>
      </c>
      <c r="E12" s="805"/>
      <c r="F12" s="806"/>
      <c r="G12" s="545">
        <v>0</v>
      </c>
      <c r="H12" s="805"/>
      <c r="I12" s="806"/>
      <c r="J12" s="4">
        <v>0</v>
      </c>
      <c r="K12" s="14">
        <v>0</v>
      </c>
      <c r="L12" s="4">
        <v>0</v>
      </c>
      <c r="M12" s="16">
        <v>0</v>
      </c>
      <c r="N12" s="173"/>
      <c r="O12" s="813"/>
      <c r="P12" s="814"/>
    </row>
    <row r="13" spans="1:17" ht="15.75" customHeight="1" thickBot="1">
      <c r="A13" s="738"/>
      <c r="B13" s="803"/>
      <c r="C13" s="174">
        <v>5</v>
      </c>
      <c r="D13" s="810">
        <v>0</v>
      </c>
      <c r="E13" s="811"/>
      <c r="F13" s="812"/>
      <c r="G13" s="810">
        <v>0</v>
      </c>
      <c r="H13" s="811"/>
      <c r="I13" s="812"/>
      <c r="J13" s="4">
        <v>0</v>
      </c>
      <c r="K13" s="14">
        <v>0</v>
      </c>
      <c r="L13" s="4">
        <v>0</v>
      </c>
      <c r="M13" s="16">
        <v>0</v>
      </c>
      <c r="N13" s="175"/>
      <c r="O13" s="823"/>
      <c r="P13" s="824"/>
    </row>
    <row r="14" spans="1:17" ht="15.75" customHeight="1" thickTop="1" thickBot="1">
      <c r="A14" s="739"/>
      <c r="B14" s="804"/>
      <c r="C14" s="796"/>
      <c r="D14" s="797"/>
      <c r="E14" s="797"/>
      <c r="F14" s="797"/>
      <c r="G14" s="797"/>
      <c r="H14" s="797"/>
      <c r="I14" s="798"/>
      <c r="J14" s="386" t="s">
        <v>990</v>
      </c>
      <c r="K14" s="250">
        <v>0</v>
      </c>
      <c r="L14" s="386" t="s">
        <v>991</v>
      </c>
      <c r="M14" s="252">
        <v>0</v>
      </c>
      <c r="N14" s="799"/>
      <c r="O14" s="800"/>
      <c r="P14" s="801"/>
    </row>
    <row r="15" spans="1:17" ht="15.75" customHeight="1" thickTop="1"/>
    <row r="16" spans="1:17" ht="15.75" customHeight="1">
      <c r="A16" s="815" t="s">
        <v>981</v>
      </c>
      <c r="B16" s="816"/>
      <c r="C16" s="541" t="s">
        <v>982</v>
      </c>
      <c r="D16" s="817" t="s">
        <v>12</v>
      </c>
      <c r="E16" s="818"/>
      <c r="F16" s="819"/>
      <c r="G16" s="539" t="s">
        <v>983</v>
      </c>
      <c r="H16" s="540"/>
      <c r="I16" s="541"/>
      <c r="J16" s="171" t="s">
        <v>984</v>
      </c>
      <c r="K16" s="171" t="s">
        <v>985</v>
      </c>
      <c r="L16" s="171" t="s">
        <v>986</v>
      </c>
      <c r="M16" s="171" t="s">
        <v>11</v>
      </c>
      <c r="N16" s="388" t="s">
        <v>987</v>
      </c>
      <c r="O16" s="820" t="s">
        <v>988</v>
      </c>
      <c r="P16" s="821"/>
    </row>
    <row r="17" spans="1:16" ht="15.75" customHeight="1">
      <c r="A17" s="737">
        <v>2</v>
      </c>
      <c r="B17" s="802" t="s">
        <v>992</v>
      </c>
      <c r="C17" s="172">
        <v>1</v>
      </c>
      <c r="D17" s="545" t="s">
        <v>345</v>
      </c>
      <c r="E17" s="805"/>
      <c r="F17" s="806"/>
      <c r="G17" s="545" t="s">
        <v>879</v>
      </c>
      <c r="H17" s="805"/>
      <c r="I17" s="806"/>
      <c r="J17" s="389">
        <v>846.44</v>
      </c>
      <c r="K17" s="14">
        <v>3.6852773171181137E-2</v>
      </c>
      <c r="L17" s="4">
        <v>0.2</v>
      </c>
      <c r="M17" s="348">
        <v>169.28800000000001</v>
      </c>
      <c r="N17" s="173"/>
      <c r="O17" s="813" t="s">
        <v>758</v>
      </c>
      <c r="P17" s="814"/>
    </row>
    <row r="18" spans="1:16" ht="15.75" customHeight="1">
      <c r="A18" s="738"/>
      <c r="B18" s="803"/>
      <c r="C18" s="172">
        <v>2</v>
      </c>
      <c r="D18" s="545" t="s">
        <v>761</v>
      </c>
      <c r="E18" s="805"/>
      <c r="F18" s="806"/>
      <c r="G18" s="545" t="s">
        <v>993</v>
      </c>
      <c r="H18" s="805"/>
      <c r="I18" s="806"/>
      <c r="J18" s="389">
        <v>316.52999999999997</v>
      </c>
      <c r="K18" s="14">
        <v>8.8370448921880521E-2</v>
      </c>
      <c r="L18" s="4">
        <v>0.5</v>
      </c>
      <c r="M18" s="348">
        <v>158.26499999999999</v>
      </c>
      <c r="N18" s="173"/>
      <c r="O18" s="813" t="s">
        <v>758</v>
      </c>
      <c r="P18" s="814"/>
    </row>
    <row r="19" spans="1:16" ht="15.75" customHeight="1">
      <c r="A19" s="738"/>
      <c r="B19" s="803"/>
      <c r="C19" s="172">
        <v>3</v>
      </c>
      <c r="D19" s="545" t="s">
        <v>358</v>
      </c>
      <c r="E19" s="805"/>
      <c r="F19" s="806"/>
      <c r="G19" s="545" t="s">
        <v>994</v>
      </c>
      <c r="H19" s="805"/>
      <c r="I19" s="806"/>
      <c r="J19" s="389">
        <v>139.33000000000001</v>
      </c>
      <c r="K19" s="14">
        <v>0.12121212121212122</v>
      </c>
      <c r="L19" s="4">
        <v>1</v>
      </c>
      <c r="M19" s="348">
        <v>139.33000000000001</v>
      </c>
      <c r="N19" s="173"/>
      <c r="O19" s="813" t="s">
        <v>758</v>
      </c>
      <c r="P19" s="814"/>
    </row>
    <row r="20" spans="1:16" ht="15.75" customHeight="1">
      <c r="A20" s="738"/>
      <c r="B20" s="803"/>
      <c r="C20" s="172">
        <v>4</v>
      </c>
      <c r="D20" s="545" t="s">
        <v>354</v>
      </c>
      <c r="E20" s="805"/>
      <c r="F20" s="806"/>
      <c r="G20" s="545" t="s">
        <v>913</v>
      </c>
      <c r="H20" s="805"/>
      <c r="I20" s="806"/>
      <c r="J20" s="389">
        <v>111.17</v>
      </c>
      <c r="K20" s="14">
        <v>4.1352502515610567E-3</v>
      </c>
      <c r="L20" s="4">
        <v>1.2</v>
      </c>
      <c r="M20" s="348">
        <v>133.404</v>
      </c>
      <c r="N20" s="173"/>
      <c r="O20" s="813" t="s">
        <v>758</v>
      </c>
      <c r="P20" s="814"/>
    </row>
    <row r="21" spans="1:16" ht="15.75" customHeight="1" thickBot="1">
      <c r="A21" s="738"/>
      <c r="B21" s="803"/>
      <c r="C21" s="174">
        <v>5</v>
      </c>
      <c r="D21" s="545" t="s">
        <v>382</v>
      </c>
      <c r="E21" s="805"/>
      <c r="F21" s="806"/>
      <c r="G21" s="545" t="s">
        <v>995</v>
      </c>
      <c r="H21" s="805"/>
      <c r="I21" s="806"/>
      <c r="J21" s="389">
        <v>116.39</v>
      </c>
      <c r="K21" s="14">
        <v>5.092592592592593E-2</v>
      </c>
      <c r="L21" s="4">
        <v>1.1000000000000001</v>
      </c>
      <c r="M21" s="348">
        <v>128.02900000000002</v>
      </c>
      <c r="N21" s="175"/>
      <c r="O21" s="813" t="s">
        <v>758</v>
      </c>
      <c r="P21" s="814"/>
    </row>
    <row r="22" spans="1:16" ht="15.75" customHeight="1" thickTop="1" thickBot="1">
      <c r="A22" s="739"/>
      <c r="B22" s="804"/>
      <c r="C22" s="807"/>
      <c r="D22" s="808"/>
      <c r="E22" s="808"/>
      <c r="F22" s="808"/>
      <c r="G22" s="808"/>
      <c r="H22" s="808"/>
      <c r="I22" s="809"/>
      <c r="J22" s="386" t="s">
        <v>990</v>
      </c>
      <c r="K22" s="250">
        <v>5.9418958498201075E-3</v>
      </c>
      <c r="L22" s="386" t="s">
        <v>991</v>
      </c>
      <c r="M22" s="252">
        <v>728.31600000000003</v>
      </c>
      <c r="N22" s="799"/>
      <c r="O22" s="800"/>
      <c r="P22" s="801"/>
    </row>
    <row r="23" spans="1:16" ht="15.75" customHeight="1" thickTop="1"/>
    <row r="24" spans="1:16" ht="15.75" customHeight="1">
      <c r="A24" s="815" t="s">
        <v>981</v>
      </c>
      <c r="B24" s="816"/>
      <c r="C24" s="541" t="s">
        <v>982</v>
      </c>
      <c r="D24" s="817" t="s">
        <v>12</v>
      </c>
      <c r="E24" s="818"/>
      <c r="F24" s="819"/>
      <c r="G24" s="539" t="s">
        <v>983</v>
      </c>
      <c r="H24" s="540"/>
      <c r="I24" s="541"/>
      <c r="J24" s="171" t="s">
        <v>984</v>
      </c>
      <c r="K24" s="171" t="s">
        <v>985</v>
      </c>
      <c r="L24" s="171" t="s">
        <v>986</v>
      </c>
      <c r="M24" s="171" t="s">
        <v>11</v>
      </c>
      <c r="N24" s="388" t="s">
        <v>987</v>
      </c>
      <c r="O24" s="820" t="s">
        <v>988</v>
      </c>
      <c r="P24" s="821"/>
    </row>
    <row r="25" spans="1:16" ht="15.75" customHeight="1">
      <c r="A25" s="737">
        <v>3</v>
      </c>
      <c r="B25" s="802" t="s">
        <v>996</v>
      </c>
      <c r="C25" s="172">
        <v>1</v>
      </c>
      <c r="D25" s="545" t="s">
        <v>997</v>
      </c>
      <c r="E25" s="805"/>
      <c r="F25" s="806"/>
      <c r="G25" s="545" t="s">
        <v>998</v>
      </c>
      <c r="H25" s="805"/>
      <c r="I25" s="806"/>
      <c r="J25" s="389">
        <v>362.63</v>
      </c>
      <c r="K25" s="14">
        <v>1.0647359454855196E-2</v>
      </c>
      <c r="L25" s="4">
        <v>0.5</v>
      </c>
      <c r="M25" s="348">
        <v>181.315</v>
      </c>
      <c r="N25" s="173"/>
      <c r="O25" s="813" t="s">
        <v>999</v>
      </c>
      <c r="P25" s="814"/>
    </row>
    <row r="26" spans="1:16" ht="15.75" customHeight="1">
      <c r="A26" s="738"/>
      <c r="B26" s="803"/>
      <c r="C26" s="172">
        <v>2</v>
      </c>
      <c r="D26" s="545" t="s">
        <v>836</v>
      </c>
      <c r="E26" s="805"/>
      <c r="F26" s="806"/>
      <c r="G26" s="545" t="s">
        <v>841</v>
      </c>
      <c r="H26" s="805"/>
      <c r="I26" s="806"/>
      <c r="J26" s="389">
        <v>103.97</v>
      </c>
      <c r="K26" s="14">
        <v>1.2931690247984176E-2</v>
      </c>
      <c r="L26" s="4">
        <v>1.7</v>
      </c>
      <c r="M26" s="348">
        <v>176.749</v>
      </c>
      <c r="N26" s="173"/>
      <c r="O26" s="813" t="s">
        <v>999</v>
      </c>
      <c r="P26" s="814"/>
    </row>
    <row r="27" spans="1:16" ht="15.75" customHeight="1">
      <c r="A27" s="738"/>
      <c r="B27" s="803"/>
      <c r="C27" s="172">
        <v>3</v>
      </c>
      <c r="D27" s="545" t="s">
        <v>836</v>
      </c>
      <c r="E27" s="805"/>
      <c r="F27" s="806"/>
      <c r="G27" s="545" t="s">
        <v>882</v>
      </c>
      <c r="H27" s="805"/>
      <c r="I27" s="806"/>
      <c r="J27" s="389">
        <v>278.12</v>
      </c>
      <c r="K27" s="14">
        <v>1.3312034078807242E-2</v>
      </c>
      <c r="L27" s="4">
        <v>0.60000000000000009</v>
      </c>
      <c r="M27" s="348">
        <v>166.87200000000001</v>
      </c>
      <c r="N27" s="173"/>
      <c r="O27" s="813" t="s">
        <v>999</v>
      </c>
      <c r="P27" s="814"/>
    </row>
    <row r="28" spans="1:16" ht="15.75" customHeight="1">
      <c r="A28" s="738"/>
      <c r="B28" s="803"/>
      <c r="C28" s="172">
        <v>4</v>
      </c>
      <c r="D28" s="545" t="s">
        <v>863</v>
      </c>
      <c r="E28" s="805"/>
      <c r="F28" s="806"/>
      <c r="G28" s="545" t="s">
        <v>1000</v>
      </c>
      <c r="H28" s="805"/>
      <c r="I28" s="806"/>
      <c r="J28" s="389">
        <v>258.37</v>
      </c>
      <c r="K28" s="14">
        <v>1.3495276653171389E-2</v>
      </c>
      <c r="L28" s="4">
        <v>0.6</v>
      </c>
      <c r="M28" s="348">
        <v>155.02199999999999</v>
      </c>
      <c r="N28" s="173"/>
      <c r="O28" s="813" t="s">
        <v>999</v>
      </c>
      <c r="P28" s="814"/>
    </row>
    <row r="29" spans="1:16" ht="15.75" customHeight="1" thickBot="1">
      <c r="A29" s="738"/>
      <c r="B29" s="803"/>
      <c r="C29" s="174">
        <v>5</v>
      </c>
      <c r="D29" s="810" t="s">
        <v>351</v>
      </c>
      <c r="E29" s="811"/>
      <c r="F29" s="812"/>
      <c r="G29" s="810" t="s">
        <v>419</v>
      </c>
      <c r="H29" s="811"/>
      <c r="I29" s="812"/>
      <c r="J29" s="389">
        <v>127.48</v>
      </c>
      <c r="K29" s="14">
        <v>1.0307595839167146E-2</v>
      </c>
      <c r="L29" s="4">
        <v>1.2</v>
      </c>
      <c r="M29" s="348">
        <v>152.976</v>
      </c>
      <c r="N29" s="175"/>
      <c r="O29" s="813" t="s">
        <v>999</v>
      </c>
      <c r="P29" s="814"/>
    </row>
    <row r="30" spans="1:16" ht="15.75" customHeight="1" thickTop="1" thickBot="1">
      <c r="A30" s="739"/>
      <c r="B30" s="804"/>
      <c r="C30" s="796"/>
      <c r="D30" s="797"/>
      <c r="E30" s="797"/>
      <c r="F30" s="797"/>
      <c r="G30" s="797"/>
      <c r="H30" s="797"/>
      <c r="I30" s="798"/>
      <c r="J30" s="386" t="s">
        <v>990</v>
      </c>
      <c r="K30" s="250">
        <v>6.7954117138358354E-3</v>
      </c>
      <c r="L30" s="386" t="s">
        <v>991</v>
      </c>
      <c r="M30" s="252">
        <v>832.93399999999986</v>
      </c>
      <c r="N30" s="799"/>
      <c r="O30" s="800"/>
      <c r="P30" s="801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76" customWidth="1"/>
    <col min="2" max="2" width="11.453125" style="111" customWidth="1"/>
    <col min="3" max="3" width="4" style="109" customWidth="1"/>
    <col min="4" max="17" width="9.54296875" style="76" customWidth="1"/>
    <col min="18" max="16384" width="12.54296875" style="76"/>
  </cols>
  <sheetData>
    <row r="1" spans="1:17" s="120" customFormat="1" ht="15.75" customHeight="1">
      <c r="A1" s="572" t="s">
        <v>204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</row>
    <row r="2" spans="1:17" s="121" customFormat="1" ht="15.75" customHeight="1">
      <c r="A2" s="572"/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</row>
    <row r="3" spans="1:17" s="120" customFormat="1" ht="15.75" customHeight="1">
      <c r="A3" s="701" t="s">
        <v>210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152"/>
    </row>
    <row r="4" spans="1:17" s="121" customFormat="1" ht="15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131"/>
    </row>
    <row r="5" spans="1:17" s="120" customFormat="1" ht="15.75" customHeight="1">
      <c r="A5" s="591" t="s">
        <v>190</v>
      </c>
      <c r="B5" s="822">
        <v>1</v>
      </c>
      <c r="C5" s="822"/>
      <c r="D5" s="822">
        <v>2</v>
      </c>
      <c r="E5" s="822"/>
      <c r="F5" s="822">
        <v>3</v>
      </c>
      <c r="G5" s="822"/>
      <c r="H5" s="826">
        <v>4</v>
      </c>
      <c r="I5" s="826"/>
      <c r="J5" s="826">
        <v>5</v>
      </c>
      <c r="K5" s="826"/>
      <c r="L5" s="826">
        <v>6</v>
      </c>
      <c r="M5" s="826"/>
      <c r="N5" s="826">
        <v>7</v>
      </c>
      <c r="O5" s="826"/>
      <c r="P5" s="822">
        <v>8</v>
      </c>
      <c r="Q5" s="822"/>
    </row>
    <row r="6" spans="1:17" s="120" customFormat="1" ht="15.75" customHeight="1">
      <c r="A6" s="591"/>
      <c r="B6" s="591" t="s">
        <v>322</v>
      </c>
      <c r="C6" s="591"/>
      <c r="D6" s="591" t="s">
        <v>211</v>
      </c>
      <c r="E6" s="591"/>
      <c r="F6" s="591" t="s">
        <v>164</v>
      </c>
      <c r="G6" s="591"/>
      <c r="H6" s="827" t="s">
        <v>747</v>
      </c>
      <c r="I6" s="827"/>
      <c r="J6" s="827" t="s">
        <v>188</v>
      </c>
      <c r="K6" s="827"/>
      <c r="L6" s="827" t="s">
        <v>165</v>
      </c>
      <c r="M6" s="827"/>
      <c r="N6" s="827" t="s">
        <v>189</v>
      </c>
      <c r="O6" s="827"/>
      <c r="P6" s="825" t="s">
        <v>214</v>
      </c>
      <c r="Q6" s="591"/>
    </row>
    <row r="7" spans="1:17" s="120" customFormat="1" ht="15.75" customHeight="1">
      <c r="B7" s="176"/>
      <c r="C7" s="161"/>
    </row>
    <row r="8" spans="1:17" s="110" customFormat="1" ht="15.75" customHeight="1">
      <c r="A8" s="828" t="s">
        <v>981</v>
      </c>
      <c r="B8" s="829"/>
      <c r="C8" s="117" t="s">
        <v>982</v>
      </c>
      <c r="D8" s="830" t="s">
        <v>12</v>
      </c>
      <c r="E8" s="831"/>
      <c r="F8" s="832"/>
      <c r="G8" s="115" t="s">
        <v>983</v>
      </c>
      <c r="H8" s="116"/>
      <c r="I8" s="117"/>
      <c r="J8" s="114" t="s">
        <v>984</v>
      </c>
      <c r="K8" s="114" t="s">
        <v>985</v>
      </c>
      <c r="L8" s="114" t="s">
        <v>986</v>
      </c>
      <c r="M8" s="118" t="s">
        <v>11</v>
      </c>
      <c r="N8" s="388" t="s">
        <v>987</v>
      </c>
      <c r="O8" s="833" t="s">
        <v>988</v>
      </c>
      <c r="P8" s="834"/>
    </row>
    <row r="9" spans="1:17" ht="15.75" customHeight="1">
      <c r="A9" s="829">
        <v>4</v>
      </c>
      <c r="B9" s="836" t="s">
        <v>747</v>
      </c>
      <c r="C9" s="112">
        <v>1</v>
      </c>
      <c r="D9" s="545" t="s">
        <v>351</v>
      </c>
      <c r="E9" s="805"/>
      <c r="F9" s="806"/>
      <c r="G9" s="545" t="s">
        <v>419</v>
      </c>
      <c r="H9" s="805"/>
      <c r="I9" s="806"/>
      <c r="J9" s="389">
        <v>127.48</v>
      </c>
      <c r="K9" s="14">
        <v>1.0036130068245682E-2</v>
      </c>
      <c r="L9" s="4">
        <v>1.4</v>
      </c>
      <c r="M9" s="348">
        <v>178.47200000000001</v>
      </c>
      <c r="N9" s="4"/>
      <c r="O9" s="813" t="s">
        <v>1001</v>
      </c>
      <c r="P9" s="842"/>
      <c r="Q9" s="268"/>
    </row>
    <row r="10" spans="1:17" ht="15.75" customHeight="1">
      <c r="A10" s="829"/>
      <c r="B10" s="836"/>
      <c r="C10" s="112">
        <v>2</v>
      </c>
      <c r="D10" s="545" t="s">
        <v>929</v>
      </c>
      <c r="E10" s="805"/>
      <c r="F10" s="806"/>
      <c r="G10" s="545" t="s">
        <v>1002</v>
      </c>
      <c r="H10" s="805"/>
      <c r="I10" s="806"/>
      <c r="J10" s="389">
        <v>77.8</v>
      </c>
      <c r="K10" s="14">
        <v>1.1858511022768341E-2</v>
      </c>
      <c r="L10" s="4">
        <v>2.1</v>
      </c>
      <c r="M10" s="348">
        <v>163.38</v>
      </c>
      <c r="N10" s="4"/>
      <c r="O10" s="813" t="s">
        <v>1001</v>
      </c>
      <c r="P10" s="842"/>
      <c r="Q10" s="268"/>
    </row>
    <row r="11" spans="1:17" ht="15.75" customHeight="1">
      <c r="A11" s="829"/>
      <c r="B11" s="836"/>
      <c r="C11" s="112">
        <v>3</v>
      </c>
      <c r="D11" s="545" t="s">
        <v>364</v>
      </c>
      <c r="E11" s="805"/>
      <c r="F11" s="806"/>
      <c r="G11" s="545" t="s">
        <v>1003</v>
      </c>
      <c r="H11" s="805"/>
      <c r="I11" s="806"/>
      <c r="J11" s="389">
        <v>178.5</v>
      </c>
      <c r="K11" s="14">
        <v>9.9162626707800794E-3</v>
      </c>
      <c r="L11" s="4">
        <v>0.9</v>
      </c>
      <c r="M11" s="348">
        <v>160.65</v>
      </c>
      <c r="N11" s="4"/>
      <c r="O11" s="813" t="s">
        <v>1001</v>
      </c>
      <c r="P11" s="842"/>
      <c r="Q11" s="268"/>
    </row>
    <row r="12" spans="1:17" ht="15.75" customHeight="1">
      <c r="A12" s="829"/>
      <c r="B12" s="836"/>
      <c r="C12" s="112">
        <v>4</v>
      </c>
      <c r="D12" s="545" t="s">
        <v>883</v>
      </c>
      <c r="E12" s="805"/>
      <c r="F12" s="806"/>
      <c r="G12" s="545" t="s">
        <v>885</v>
      </c>
      <c r="H12" s="805"/>
      <c r="I12" s="806"/>
      <c r="J12" s="389">
        <v>105.09</v>
      </c>
      <c r="K12" s="14">
        <v>8.4296183068830657E-3</v>
      </c>
      <c r="L12" s="4">
        <v>1.5</v>
      </c>
      <c r="M12" s="348">
        <v>157.63499999999999</v>
      </c>
      <c r="N12" s="4"/>
      <c r="O12" s="813" t="s">
        <v>1001</v>
      </c>
      <c r="P12" s="842"/>
      <c r="Q12" s="268"/>
    </row>
    <row r="13" spans="1:17" ht="15.75" customHeight="1" thickBot="1">
      <c r="A13" s="829"/>
      <c r="B13" s="836"/>
      <c r="C13" s="113">
        <v>5</v>
      </c>
      <c r="D13" s="545" t="s">
        <v>883</v>
      </c>
      <c r="E13" s="805"/>
      <c r="F13" s="806"/>
      <c r="G13" s="545" t="s">
        <v>884</v>
      </c>
      <c r="H13" s="805"/>
      <c r="I13" s="806"/>
      <c r="J13" s="389">
        <v>151.08000000000001</v>
      </c>
      <c r="K13" s="14">
        <v>8.3181527046473532E-3</v>
      </c>
      <c r="L13" s="4">
        <v>1</v>
      </c>
      <c r="M13" s="348">
        <v>151.08000000000001</v>
      </c>
      <c r="N13" s="27"/>
      <c r="O13" s="813" t="s">
        <v>1001</v>
      </c>
      <c r="P13" s="842"/>
      <c r="Q13" s="268"/>
    </row>
    <row r="14" spans="1:17" ht="15.75" customHeight="1" thickTop="1" thickBot="1">
      <c r="A14" s="829"/>
      <c r="B14" s="836"/>
      <c r="C14" s="844"/>
      <c r="D14" s="844"/>
      <c r="E14" s="844"/>
      <c r="F14" s="844"/>
      <c r="G14" s="844"/>
      <c r="H14" s="844"/>
      <c r="I14" s="844"/>
      <c r="J14" s="251" t="s">
        <v>990</v>
      </c>
      <c r="K14" s="250">
        <v>6.6182356636453376E-3</v>
      </c>
      <c r="L14" s="251" t="s">
        <v>991</v>
      </c>
      <c r="M14" s="252">
        <v>811.21699999999998</v>
      </c>
      <c r="N14" s="843"/>
      <c r="O14" s="843"/>
      <c r="P14" s="843"/>
      <c r="Q14" s="268"/>
    </row>
    <row r="15" spans="1:17" ht="15.75" customHeight="1" thickTop="1">
      <c r="A15" s="538"/>
      <c r="D15" s="538"/>
      <c r="E15" s="538"/>
      <c r="F15" s="538"/>
      <c r="G15" s="538"/>
      <c r="H15" s="538"/>
      <c r="I15" s="538"/>
      <c r="J15" s="538"/>
      <c r="K15" s="538"/>
      <c r="L15" s="538"/>
      <c r="M15" s="538"/>
      <c r="N15" s="538"/>
      <c r="O15" s="538"/>
      <c r="P15" s="538"/>
      <c r="Q15" s="268"/>
    </row>
    <row r="16" spans="1:17" ht="15.75" customHeight="1">
      <c r="A16" s="828" t="s">
        <v>981</v>
      </c>
      <c r="B16" s="829"/>
      <c r="C16" s="117" t="s">
        <v>982</v>
      </c>
      <c r="D16" s="830" t="s">
        <v>12</v>
      </c>
      <c r="E16" s="831"/>
      <c r="F16" s="832"/>
      <c r="G16" s="115" t="s">
        <v>983</v>
      </c>
      <c r="H16" s="116"/>
      <c r="I16" s="117"/>
      <c r="J16" s="114" t="s">
        <v>984</v>
      </c>
      <c r="K16" s="114" t="s">
        <v>985</v>
      </c>
      <c r="L16" s="114" t="s">
        <v>986</v>
      </c>
      <c r="M16" s="118" t="s">
        <v>11</v>
      </c>
      <c r="N16" s="388" t="s">
        <v>987</v>
      </c>
      <c r="O16" s="833" t="s">
        <v>988</v>
      </c>
      <c r="P16" s="834"/>
      <c r="Q16" s="268"/>
    </row>
    <row r="17" spans="1:17" ht="15.75" customHeight="1">
      <c r="A17" s="829">
        <v>5</v>
      </c>
      <c r="B17" s="835" t="s">
        <v>212</v>
      </c>
      <c r="C17" s="112">
        <v>1</v>
      </c>
      <c r="D17" s="545" t="s">
        <v>354</v>
      </c>
      <c r="E17" s="805"/>
      <c r="F17" s="806"/>
      <c r="G17" s="545" t="s">
        <v>1004</v>
      </c>
      <c r="H17" s="805"/>
      <c r="I17" s="806"/>
      <c r="J17" s="389">
        <v>136.88999999999999</v>
      </c>
      <c r="K17" s="14">
        <v>1.9561815336463222E-2</v>
      </c>
      <c r="L17" s="4">
        <v>1.2</v>
      </c>
      <c r="M17" s="348">
        <v>164.26799999999997</v>
      </c>
      <c r="N17" s="4"/>
      <c r="O17" s="813" t="s">
        <v>774</v>
      </c>
      <c r="P17" s="842"/>
      <c r="Q17" s="268"/>
    </row>
    <row r="18" spans="1:17" ht="15.75" customHeight="1">
      <c r="A18" s="829"/>
      <c r="B18" s="836"/>
      <c r="C18" s="112">
        <v>2</v>
      </c>
      <c r="D18" s="545" t="s">
        <v>395</v>
      </c>
      <c r="E18" s="805"/>
      <c r="F18" s="806"/>
      <c r="G18" s="545" t="s">
        <v>1005</v>
      </c>
      <c r="H18" s="805"/>
      <c r="I18" s="806"/>
      <c r="J18" s="389">
        <v>253.08</v>
      </c>
      <c r="K18" s="14">
        <v>1.1121408711770159E-2</v>
      </c>
      <c r="L18" s="4">
        <v>0.60000000000000009</v>
      </c>
      <c r="M18" s="348">
        <v>151.84800000000004</v>
      </c>
      <c r="N18" s="4"/>
      <c r="O18" s="813" t="s">
        <v>1006</v>
      </c>
      <c r="P18" s="842"/>
      <c r="Q18" s="268"/>
    </row>
    <row r="19" spans="1:17" ht="15.75" customHeight="1">
      <c r="A19" s="829"/>
      <c r="B19" s="836"/>
      <c r="C19" s="112">
        <v>3</v>
      </c>
      <c r="D19" s="545" t="s">
        <v>354</v>
      </c>
      <c r="E19" s="805"/>
      <c r="F19" s="806"/>
      <c r="G19" s="545" t="s">
        <v>868</v>
      </c>
      <c r="H19" s="805"/>
      <c r="I19" s="806"/>
      <c r="J19" s="389">
        <v>136.88999999999999</v>
      </c>
      <c r="K19" s="14">
        <v>3.9822175883690285E-3</v>
      </c>
      <c r="L19" s="4">
        <v>1.1000000000000001</v>
      </c>
      <c r="M19" s="348">
        <v>150.57900000000001</v>
      </c>
      <c r="N19" s="4"/>
      <c r="O19" s="813" t="s">
        <v>774</v>
      </c>
      <c r="P19" s="842"/>
      <c r="Q19" s="268"/>
    </row>
    <row r="20" spans="1:17" ht="15.75" customHeight="1">
      <c r="A20" s="829"/>
      <c r="B20" s="836"/>
      <c r="C20" s="112">
        <v>4</v>
      </c>
      <c r="D20" s="545" t="s">
        <v>354</v>
      </c>
      <c r="E20" s="805"/>
      <c r="F20" s="806"/>
      <c r="G20" s="545" t="s">
        <v>876</v>
      </c>
      <c r="H20" s="805"/>
      <c r="I20" s="806"/>
      <c r="J20" s="389">
        <v>206.71</v>
      </c>
      <c r="K20" s="14">
        <v>1.5057649285837207E-2</v>
      </c>
      <c r="L20" s="4">
        <v>0.70000000000000007</v>
      </c>
      <c r="M20" s="348">
        <v>144.69700000000003</v>
      </c>
      <c r="N20" s="4"/>
      <c r="O20" s="813" t="s">
        <v>774</v>
      </c>
      <c r="P20" s="842"/>
      <c r="Q20" s="268"/>
    </row>
    <row r="21" spans="1:17" ht="15.75" customHeight="1" thickBot="1">
      <c r="A21" s="829"/>
      <c r="B21" s="836"/>
      <c r="C21" s="113">
        <v>5</v>
      </c>
      <c r="D21" s="545" t="s">
        <v>836</v>
      </c>
      <c r="E21" s="805"/>
      <c r="F21" s="806"/>
      <c r="G21" s="545" t="s">
        <v>882</v>
      </c>
      <c r="H21" s="805"/>
      <c r="I21" s="806"/>
      <c r="J21" s="389">
        <v>278.12</v>
      </c>
      <c r="K21" s="14">
        <v>1.0333994708994709E-2</v>
      </c>
      <c r="L21" s="4">
        <v>0.5</v>
      </c>
      <c r="M21" s="348">
        <v>139.06</v>
      </c>
      <c r="N21" s="4"/>
      <c r="O21" s="813" t="s">
        <v>1006</v>
      </c>
      <c r="P21" s="842"/>
      <c r="Q21" s="268"/>
    </row>
    <row r="22" spans="1:17" ht="15.75" customHeight="1" thickTop="1" thickBot="1">
      <c r="A22" s="829"/>
      <c r="B22" s="836"/>
      <c r="C22" s="837"/>
      <c r="D22" s="837"/>
      <c r="E22" s="837"/>
      <c r="F22" s="837"/>
      <c r="G22" s="837"/>
      <c r="H22" s="837"/>
      <c r="I22" s="838"/>
      <c r="J22" s="119" t="s">
        <v>990</v>
      </c>
      <c r="K22" s="250">
        <v>6.1224902711037501E-3</v>
      </c>
      <c r="L22" s="119" t="s">
        <v>991</v>
      </c>
      <c r="M22" s="252">
        <v>750.452</v>
      </c>
      <c r="N22" s="839"/>
      <c r="O22" s="840"/>
      <c r="P22" s="841"/>
      <c r="Q22" s="268"/>
    </row>
    <row r="23" spans="1:17" ht="15.75" customHeight="1" thickTop="1">
      <c r="A23" s="538"/>
      <c r="D23" s="538"/>
      <c r="E23" s="538"/>
      <c r="F23" s="538"/>
      <c r="G23" s="538"/>
      <c r="H23" s="538"/>
      <c r="I23" s="538"/>
      <c r="J23" s="538"/>
      <c r="K23" s="538"/>
      <c r="L23" s="538"/>
      <c r="M23" s="538"/>
      <c r="N23" s="538"/>
      <c r="O23" s="538"/>
      <c r="P23" s="538"/>
      <c r="Q23" s="268"/>
    </row>
    <row r="24" spans="1:17" ht="15.75" customHeight="1">
      <c r="A24" s="828" t="s">
        <v>981</v>
      </c>
      <c r="B24" s="829"/>
      <c r="C24" s="117" t="s">
        <v>982</v>
      </c>
      <c r="D24" s="830" t="s">
        <v>12</v>
      </c>
      <c r="E24" s="831"/>
      <c r="F24" s="832"/>
      <c r="G24" s="115" t="s">
        <v>983</v>
      </c>
      <c r="H24" s="116"/>
      <c r="I24" s="117"/>
      <c r="J24" s="114" t="s">
        <v>984</v>
      </c>
      <c r="K24" s="114" t="s">
        <v>985</v>
      </c>
      <c r="L24" s="114" t="s">
        <v>986</v>
      </c>
      <c r="M24" s="118" t="s">
        <v>11</v>
      </c>
      <c r="N24" s="388" t="s">
        <v>987</v>
      </c>
      <c r="O24" s="833" t="s">
        <v>988</v>
      </c>
      <c r="P24" s="834"/>
      <c r="Q24" s="268"/>
    </row>
    <row r="25" spans="1:17" ht="15.75" customHeight="1">
      <c r="A25" s="829">
        <v>6</v>
      </c>
      <c r="B25" s="835" t="s">
        <v>213</v>
      </c>
      <c r="C25" s="112">
        <v>1</v>
      </c>
      <c r="D25" s="545" t="s">
        <v>828</v>
      </c>
      <c r="E25" s="805"/>
      <c r="F25" s="806"/>
      <c r="G25" s="545" t="s">
        <v>483</v>
      </c>
      <c r="H25" s="805"/>
      <c r="I25" s="806"/>
      <c r="J25" s="389">
        <v>13.45</v>
      </c>
      <c r="K25" s="14">
        <v>1.1379800853485065E-2</v>
      </c>
      <c r="L25" s="4">
        <v>16</v>
      </c>
      <c r="M25" s="348">
        <v>215.2</v>
      </c>
      <c r="N25" s="4"/>
      <c r="O25" s="813" t="s">
        <v>762</v>
      </c>
      <c r="P25" s="842"/>
      <c r="Q25" s="268"/>
    </row>
    <row r="26" spans="1:17" ht="15.75" customHeight="1">
      <c r="A26" s="829"/>
      <c r="B26" s="836"/>
      <c r="C26" s="112">
        <v>2</v>
      </c>
      <c r="D26" s="545" t="s">
        <v>383</v>
      </c>
      <c r="E26" s="805"/>
      <c r="F26" s="806"/>
      <c r="G26" s="545" t="s">
        <v>417</v>
      </c>
      <c r="H26" s="805"/>
      <c r="I26" s="806"/>
      <c r="J26" s="389">
        <v>930.36</v>
      </c>
      <c r="K26" s="14">
        <v>2.0874647740319385E-2</v>
      </c>
      <c r="L26" s="4">
        <v>0.2</v>
      </c>
      <c r="M26" s="348">
        <v>186.072</v>
      </c>
      <c r="N26" s="4"/>
      <c r="O26" s="813" t="s">
        <v>1007</v>
      </c>
      <c r="P26" s="842"/>
      <c r="Q26" s="268"/>
    </row>
    <row r="27" spans="1:17" ht="15.75" customHeight="1">
      <c r="A27" s="829"/>
      <c r="B27" s="836"/>
      <c r="C27" s="112">
        <v>3</v>
      </c>
      <c r="D27" s="545" t="s">
        <v>357</v>
      </c>
      <c r="E27" s="805"/>
      <c r="F27" s="806"/>
      <c r="G27" s="545" t="s">
        <v>356</v>
      </c>
      <c r="H27" s="805"/>
      <c r="I27" s="806"/>
      <c r="J27" s="389">
        <v>510.06</v>
      </c>
      <c r="K27" s="14">
        <v>7.4548978678992102E-3</v>
      </c>
      <c r="L27" s="4">
        <v>0.3</v>
      </c>
      <c r="M27" s="348">
        <v>153.018</v>
      </c>
      <c r="N27" s="4"/>
      <c r="O27" s="813" t="s">
        <v>1008</v>
      </c>
      <c r="P27" s="842"/>
      <c r="Q27" s="268"/>
    </row>
    <row r="28" spans="1:17" ht="15.75" customHeight="1">
      <c r="A28" s="829"/>
      <c r="B28" s="836"/>
      <c r="C28" s="112">
        <v>4</v>
      </c>
      <c r="D28" s="545" t="s">
        <v>351</v>
      </c>
      <c r="E28" s="805"/>
      <c r="F28" s="806"/>
      <c r="G28" s="545" t="s">
        <v>350</v>
      </c>
      <c r="H28" s="805"/>
      <c r="I28" s="806"/>
      <c r="J28" s="389">
        <v>758.19</v>
      </c>
      <c r="K28" s="14">
        <v>1.1280315848843769E-2</v>
      </c>
      <c r="L28" s="4">
        <v>0.2</v>
      </c>
      <c r="M28" s="348">
        <v>151.63800000000001</v>
      </c>
      <c r="N28" s="4"/>
      <c r="O28" s="813" t="s">
        <v>1007</v>
      </c>
      <c r="P28" s="842"/>
      <c r="Q28" s="268"/>
    </row>
    <row r="29" spans="1:17" ht="15.75" customHeight="1" thickBot="1">
      <c r="A29" s="829"/>
      <c r="B29" s="836"/>
      <c r="C29" s="113">
        <v>5</v>
      </c>
      <c r="D29" s="545" t="s">
        <v>422</v>
      </c>
      <c r="E29" s="805"/>
      <c r="F29" s="806"/>
      <c r="G29" s="545" t="s">
        <v>423</v>
      </c>
      <c r="H29" s="805"/>
      <c r="I29" s="806"/>
      <c r="J29" s="389">
        <v>444.88</v>
      </c>
      <c r="K29" s="14">
        <v>1.5475085112968121E-2</v>
      </c>
      <c r="L29" s="4">
        <v>0.3</v>
      </c>
      <c r="M29" s="348">
        <v>133.464</v>
      </c>
      <c r="N29" s="4"/>
      <c r="O29" s="813" t="s">
        <v>1009</v>
      </c>
      <c r="P29" s="842"/>
      <c r="Q29" s="268"/>
    </row>
    <row r="30" spans="1:17" ht="15.75" customHeight="1" thickTop="1" thickBot="1">
      <c r="A30" s="829"/>
      <c r="B30" s="836"/>
      <c r="C30" s="837"/>
      <c r="D30" s="837"/>
      <c r="E30" s="837"/>
      <c r="F30" s="837"/>
      <c r="G30" s="837"/>
      <c r="H30" s="837"/>
      <c r="I30" s="838"/>
      <c r="J30" s="119" t="s">
        <v>990</v>
      </c>
      <c r="K30" s="250">
        <v>6.8480986840495058E-3</v>
      </c>
      <c r="L30" s="119" t="s">
        <v>991</v>
      </c>
      <c r="M30" s="252">
        <v>839.39200000000005</v>
      </c>
      <c r="N30" s="839"/>
      <c r="O30" s="840"/>
      <c r="P30" s="841"/>
      <c r="Q30" s="268"/>
    </row>
    <row r="31" spans="1:17" ht="15.75" customHeight="1" thickTop="1">
      <c r="A31" s="538"/>
      <c r="D31" s="538"/>
      <c r="E31" s="538"/>
      <c r="F31" s="538"/>
      <c r="G31" s="538"/>
      <c r="H31" s="538"/>
      <c r="I31" s="538"/>
      <c r="J31" s="538"/>
      <c r="K31" s="538"/>
      <c r="L31" s="538"/>
      <c r="M31" s="538"/>
      <c r="N31" s="538"/>
      <c r="O31" s="538"/>
      <c r="P31" s="538"/>
      <c r="Q31" s="268"/>
    </row>
    <row r="32" spans="1:17" ht="15.75" customHeight="1">
      <c r="A32" s="828" t="s">
        <v>981</v>
      </c>
      <c r="B32" s="829"/>
      <c r="C32" s="117" t="s">
        <v>982</v>
      </c>
      <c r="D32" s="830" t="s">
        <v>12</v>
      </c>
      <c r="E32" s="831"/>
      <c r="F32" s="832"/>
      <c r="G32" s="115" t="s">
        <v>983</v>
      </c>
      <c r="H32" s="116"/>
      <c r="I32" s="117"/>
      <c r="J32" s="114" t="s">
        <v>984</v>
      </c>
      <c r="K32" s="114" t="s">
        <v>985</v>
      </c>
      <c r="L32" s="114" t="s">
        <v>986</v>
      </c>
      <c r="M32" s="118" t="s">
        <v>11</v>
      </c>
      <c r="N32" s="118" t="s">
        <v>13</v>
      </c>
      <c r="O32" s="833" t="s">
        <v>988</v>
      </c>
      <c r="P32" s="834"/>
      <c r="Q32" s="268"/>
    </row>
    <row r="33" spans="1:17" ht="15.75" customHeight="1">
      <c r="A33" s="829">
        <v>7</v>
      </c>
      <c r="B33" s="835" t="s">
        <v>1010</v>
      </c>
      <c r="C33" s="112">
        <v>1</v>
      </c>
      <c r="D33" s="545">
        <v>0</v>
      </c>
      <c r="E33" s="805"/>
      <c r="F33" s="806"/>
      <c r="G33" s="545">
        <v>0</v>
      </c>
      <c r="H33" s="805"/>
      <c r="I33" s="806"/>
      <c r="J33" s="4">
        <v>0</v>
      </c>
      <c r="K33" s="14">
        <v>0</v>
      </c>
      <c r="L33" s="4">
        <v>0</v>
      </c>
      <c r="M33" s="348">
        <v>0</v>
      </c>
      <c r="N33" s="4"/>
      <c r="O33" s="813" t="s">
        <v>1011</v>
      </c>
      <c r="P33" s="842"/>
      <c r="Q33" s="268"/>
    </row>
    <row r="34" spans="1:17" ht="15.75" customHeight="1">
      <c r="A34" s="829"/>
      <c r="B34" s="836"/>
      <c r="C34" s="112">
        <v>2</v>
      </c>
      <c r="D34" s="545">
        <v>0</v>
      </c>
      <c r="E34" s="805"/>
      <c r="F34" s="806"/>
      <c r="G34" s="545">
        <v>0</v>
      </c>
      <c r="H34" s="805"/>
      <c r="I34" s="806"/>
      <c r="J34" s="4">
        <v>0</v>
      </c>
      <c r="K34" s="14">
        <v>0</v>
      </c>
      <c r="L34" s="4">
        <v>0</v>
      </c>
      <c r="M34" s="348">
        <v>0</v>
      </c>
      <c r="N34" s="4"/>
      <c r="O34" s="813"/>
      <c r="P34" s="842"/>
      <c r="Q34" s="268"/>
    </row>
    <row r="35" spans="1:17" ht="15.75" customHeight="1">
      <c r="A35" s="829"/>
      <c r="B35" s="836"/>
      <c r="C35" s="112">
        <v>3</v>
      </c>
      <c r="D35" s="545">
        <v>0</v>
      </c>
      <c r="E35" s="805"/>
      <c r="F35" s="806"/>
      <c r="G35" s="545">
        <v>0</v>
      </c>
      <c r="H35" s="805"/>
      <c r="I35" s="806"/>
      <c r="J35" s="4">
        <v>0</v>
      </c>
      <c r="K35" s="14">
        <v>0</v>
      </c>
      <c r="L35" s="4">
        <v>0</v>
      </c>
      <c r="M35" s="348">
        <v>0</v>
      </c>
      <c r="N35" s="4"/>
      <c r="O35" s="813"/>
      <c r="P35" s="842"/>
      <c r="Q35" s="268"/>
    </row>
    <row r="36" spans="1:17" ht="15.75" customHeight="1">
      <c r="A36" s="829"/>
      <c r="B36" s="836"/>
      <c r="C36" s="112">
        <v>4</v>
      </c>
      <c r="D36" s="545">
        <v>0</v>
      </c>
      <c r="E36" s="805"/>
      <c r="F36" s="806"/>
      <c r="G36" s="545">
        <v>0</v>
      </c>
      <c r="H36" s="805"/>
      <c r="I36" s="806"/>
      <c r="J36" s="4">
        <v>0</v>
      </c>
      <c r="K36" s="14">
        <v>0</v>
      </c>
      <c r="L36" s="4">
        <v>0</v>
      </c>
      <c r="M36" s="348">
        <v>0</v>
      </c>
      <c r="N36" s="4"/>
      <c r="O36" s="813"/>
      <c r="P36" s="842"/>
      <c r="Q36" s="268"/>
    </row>
    <row r="37" spans="1:17" ht="15.75" customHeight="1" thickBot="1">
      <c r="A37" s="829"/>
      <c r="B37" s="836"/>
      <c r="C37" s="113">
        <v>5</v>
      </c>
      <c r="D37" s="545">
        <v>0</v>
      </c>
      <c r="E37" s="805"/>
      <c r="F37" s="806"/>
      <c r="G37" s="545">
        <v>0</v>
      </c>
      <c r="H37" s="805"/>
      <c r="I37" s="806"/>
      <c r="J37" s="4">
        <v>0</v>
      </c>
      <c r="K37" s="14">
        <v>0</v>
      </c>
      <c r="L37" s="4">
        <v>0</v>
      </c>
      <c r="M37" s="348">
        <v>0</v>
      </c>
      <c r="N37" s="4"/>
      <c r="O37" s="813"/>
      <c r="P37" s="842"/>
      <c r="Q37" s="268"/>
    </row>
    <row r="38" spans="1:17" ht="15.75" customHeight="1" thickTop="1" thickBot="1">
      <c r="A38" s="829"/>
      <c r="B38" s="836"/>
      <c r="C38" s="837"/>
      <c r="D38" s="837"/>
      <c r="E38" s="837"/>
      <c r="F38" s="837"/>
      <c r="G38" s="837"/>
      <c r="H38" s="837"/>
      <c r="I38" s="838"/>
      <c r="J38" s="119" t="s">
        <v>990</v>
      </c>
      <c r="K38" s="250">
        <v>0</v>
      </c>
      <c r="L38" s="119" t="s">
        <v>991</v>
      </c>
      <c r="M38" s="252">
        <v>0</v>
      </c>
      <c r="N38" s="839"/>
      <c r="O38" s="840"/>
      <c r="P38" s="841"/>
      <c r="Q38" s="268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4296875" defaultRowHeight="15.75" customHeight="1"/>
  <cols>
    <col min="1" max="1" width="5.453125" style="184" customWidth="1"/>
    <col min="2" max="2" width="11.453125" style="391" customWidth="1"/>
    <col min="3" max="3" width="4" style="392" customWidth="1"/>
    <col min="4" max="17" width="9.54296875" style="184" customWidth="1"/>
    <col min="18" max="16384" width="12.54296875" style="184"/>
  </cols>
  <sheetData>
    <row r="1" spans="1:23" ht="15.75" customHeight="1">
      <c r="A1" s="769" t="s">
        <v>764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</row>
    <row r="2" spans="1:23" s="185" customFormat="1" ht="15.75" customHeight="1">
      <c r="A2" s="769"/>
      <c r="B2" s="769"/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  <c r="N2" s="769"/>
      <c r="O2" s="769"/>
      <c r="P2" s="769"/>
      <c r="Q2" s="769"/>
      <c r="R2" s="184"/>
      <c r="S2" s="184"/>
      <c r="T2" s="184"/>
      <c r="U2" s="184"/>
      <c r="V2" s="184"/>
      <c r="W2" s="184"/>
    </row>
    <row r="3" spans="1:23" ht="15.75" customHeight="1">
      <c r="A3" s="770" t="s">
        <v>765</v>
      </c>
      <c r="B3" s="770"/>
      <c r="C3" s="770"/>
      <c r="D3" s="770"/>
      <c r="E3" s="770"/>
      <c r="F3" s="770"/>
      <c r="G3" s="770"/>
      <c r="H3" s="770"/>
      <c r="I3" s="770"/>
      <c r="J3" s="770"/>
      <c r="K3" s="770"/>
      <c r="L3" s="770"/>
      <c r="M3" s="770"/>
      <c r="N3" s="186"/>
    </row>
    <row r="4" spans="1:23" s="185" customFormat="1" ht="15.75" customHeight="1">
      <c r="A4" s="770"/>
      <c r="B4" s="770"/>
      <c r="C4" s="770"/>
      <c r="D4" s="770"/>
      <c r="E4" s="770"/>
      <c r="F4" s="770"/>
      <c r="G4" s="770"/>
      <c r="H4" s="770"/>
      <c r="I4" s="770"/>
      <c r="J4" s="770"/>
      <c r="K4" s="770"/>
      <c r="L4" s="770"/>
      <c r="M4" s="770"/>
      <c r="N4" s="187"/>
      <c r="R4" s="184"/>
      <c r="S4" s="184"/>
      <c r="T4" s="184"/>
      <c r="U4" s="184"/>
      <c r="V4" s="184"/>
      <c r="W4" s="184"/>
    </row>
    <row r="5" spans="1:23" ht="15.75" customHeight="1">
      <c r="A5" s="772" t="s">
        <v>756</v>
      </c>
      <c r="B5" s="846">
        <v>1</v>
      </c>
      <c r="C5" s="846"/>
      <c r="D5" s="846">
        <v>2</v>
      </c>
      <c r="E5" s="846"/>
      <c r="F5" s="846">
        <v>3</v>
      </c>
      <c r="G5" s="846"/>
      <c r="H5" s="775">
        <v>4</v>
      </c>
      <c r="I5" s="775"/>
      <c r="J5" s="775">
        <v>5</v>
      </c>
      <c r="K5" s="775"/>
      <c r="L5" s="775">
        <v>6</v>
      </c>
      <c r="M5" s="775"/>
      <c r="N5" s="775">
        <v>7</v>
      </c>
      <c r="O5" s="775"/>
      <c r="P5" s="775">
        <v>8</v>
      </c>
      <c r="Q5" s="775"/>
    </row>
    <row r="6" spans="1:23" ht="15.75" customHeight="1">
      <c r="A6" s="772"/>
      <c r="B6" s="847" t="s">
        <v>766</v>
      </c>
      <c r="C6" s="847"/>
      <c r="D6" s="847" t="s">
        <v>767</v>
      </c>
      <c r="E6" s="847"/>
      <c r="F6" s="847" t="s">
        <v>768</v>
      </c>
      <c r="G6" s="847"/>
      <c r="H6" s="845" t="s">
        <v>769</v>
      </c>
      <c r="I6" s="772"/>
      <c r="J6" s="772" t="s">
        <v>770</v>
      </c>
      <c r="K6" s="772"/>
      <c r="L6" s="772" t="s">
        <v>771</v>
      </c>
      <c r="M6" s="772"/>
      <c r="N6" s="772" t="s">
        <v>772</v>
      </c>
      <c r="O6" s="772"/>
      <c r="P6" s="845" t="s">
        <v>773</v>
      </c>
      <c r="Q6" s="772"/>
    </row>
    <row r="8" spans="1:23" s="390" customFormat="1" ht="15.75" customHeight="1">
      <c r="A8" s="815" t="s">
        <v>981</v>
      </c>
      <c r="B8" s="816"/>
      <c r="C8" s="541" t="s">
        <v>982</v>
      </c>
      <c r="D8" s="817" t="s">
        <v>12</v>
      </c>
      <c r="E8" s="818"/>
      <c r="F8" s="819"/>
      <c r="G8" s="539" t="s">
        <v>983</v>
      </c>
      <c r="H8" s="540"/>
      <c r="I8" s="541"/>
      <c r="J8" s="171" t="s">
        <v>984</v>
      </c>
      <c r="K8" s="388" t="s">
        <v>1012</v>
      </c>
      <c r="L8" s="171" t="s">
        <v>986</v>
      </c>
      <c r="M8" s="171" t="s">
        <v>11</v>
      </c>
      <c r="N8" s="388" t="s">
        <v>987</v>
      </c>
      <c r="O8" s="820" t="s">
        <v>988</v>
      </c>
      <c r="P8" s="821"/>
      <c r="R8" s="184"/>
      <c r="S8" s="184"/>
      <c r="T8" s="184"/>
      <c r="U8" s="184"/>
      <c r="V8" s="184"/>
      <c r="W8" s="184"/>
    </row>
    <row r="9" spans="1:23" ht="15.75" customHeight="1">
      <c r="A9" s="737">
        <v>1</v>
      </c>
      <c r="B9" s="802" t="s">
        <v>989</v>
      </c>
      <c r="C9" s="172">
        <v>1</v>
      </c>
      <c r="D9" s="545">
        <v>0</v>
      </c>
      <c r="E9" s="805"/>
      <c r="F9" s="806"/>
      <c r="G9" s="545">
        <v>0</v>
      </c>
      <c r="H9" s="805"/>
      <c r="I9" s="806"/>
      <c r="J9" s="4">
        <v>0</v>
      </c>
      <c r="K9" s="14">
        <v>0</v>
      </c>
      <c r="L9" s="389">
        <v>0</v>
      </c>
      <c r="M9" s="16">
        <v>0</v>
      </c>
      <c r="N9" s="173"/>
      <c r="O9" s="813"/>
      <c r="P9" s="814"/>
    </row>
    <row r="10" spans="1:23" ht="15.75" customHeight="1">
      <c r="A10" s="738"/>
      <c r="B10" s="803"/>
      <c r="C10" s="172">
        <v>2</v>
      </c>
      <c r="D10" s="545">
        <v>0</v>
      </c>
      <c r="E10" s="805"/>
      <c r="F10" s="806"/>
      <c r="G10" s="545">
        <v>0</v>
      </c>
      <c r="H10" s="805"/>
      <c r="I10" s="806"/>
      <c r="J10" s="4">
        <v>0</v>
      </c>
      <c r="K10" s="14">
        <v>0</v>
      </c>
      <c r="L10" s="389">
        <v>0</v>
      </c>
      <c r="M10" s="16">
        <v>0</v>
      </c>
      <c r="N10" s="173"/>
      <c r="O10" s="813"/>
      <c r="P10" s="814"/>
    </row>
    <row r="11" spans="1:23" ht="15.75" customHeight="1">
      <c r="A11" s="738"/>
      <c r="B11" s="803"/>
      <c r="C11" s="172">
        <v>3</v>
      </c>
      <c r="D11" s="545">
        <v>0</v>
      </c>
      <c r="E11" s="805"/>
      <c r="F11" s="806"/>
      <c r="G11" s="545">
        <v>0</v>
      </c>
      <c r="H11" s="805"/>
      <c r="I11" s="806"/>
      <c r="J11" s="4">
        <v>0</v>
      </c>
      <c r="K11" s="14">
        <v>0</v>
      </c>
      <c r="L11" s="389">
        <v>0</v>
      </c>
      <c r="M11" s="16">
        <v>0</v>
      </c>
      <c r="N11" s="173"/>
      <c r="O11" s="813"/>
      <c r="P11" s="814"/>
    </row>
    <row r="12" spans="1:23" ht="15.75" customHeight="1">
      <c r="A12" s="738"/>
      <c r="B12" s="803"/>
      <c r="C12" s="172">
        <v>4</v>
      </c>
      <c r="D12" s="545">
        <v>0</v>
      </c>
      <c r="E12" s="805"/>
      <c r="F12" s="806"/>
      <c r="G12" s="545">
        <v>0</v>
      </c>
      <c r="H12" s="805"/>
      <c r="I12" s="806"/>
      <c r="J12" s="4">
        <v>0</v>
      </c>
      <c r="K12" s="14">
        <v>0</v>
      </c>
      <c r="L12" s="389">
        <v>0</v>
      </c>
      <c r="M12" s="16">
        <v>0</v>
      </c>
      <c r="N12" s="173"/>
      <c r="O12" s="813"/>
      <c r="P12" s="814"/>
    </row>
    <row r="13" spans="1:23" ht="15.75" customHeight="1" thickBot="1">
      <c r="A13" s="738"/>
      <c r="B13" s="803"/>
      <c r="C13" s="174">
        <v>5</v>
      </c>
      <c r="D13" s="810">
        <v>0</v>
      </c>
      <c r="E13" s="811"/>
      <c r="F13" s="812"/>
      <c r="G13" s="810">
        <v>0</v>
      </c>
      <c r="H13" s="811"/>
      <c r="I13" s="812"/>
      <c r="J13" s="4">
        <v>0</v>
      </c>
      <c r="K13" s="14">
        <v>0</v>
      </c>
      <c r="L13" s="389">
        <v>0</v>
      </c>
      <c r="M13" s="16">
        <v>0</v>
      </c>
      <c r="N13" s="175"/>
      <c r="O13" s="823"/>
      <c r="P13" s="824"/>
    </row>
    <row r="14" spans="1:23" ht="15.75" customHeight="1" thickTop="1" thickBot="1">
      <c r="A14" s="739"/>
      <c r="B14" s="804"/>
      <c r="C14" s="796"/>
      <c r="D14" s="797"/>
      <c r="E14" s="797"/>
      <c r="F14" s="797"/>
      <c r="G14" s="797"/>
      <c r="H14" s="797"/>
      <c r="I14" s="798"/>
      <c r="J14" s="386" t="s">
        <v>990</v>
      </c>
      <c r="K14" s="250">
        <v>0</v>
      </c>
      <c r="L14" s="386" t="s">
        <v>991</v>
      </c>
      <c r="M14" s="252">
        <v>0</v>
      </c>
      <c r="N14" s="799"/>
      <c r="O14" s="800"/>
      <c r="P14" s="801"/>
    </row>
    <row r="15" spans="1:23" ht="15.75" customHeight="1" thickTop="1">
      <c r="A15" s="120"/>
      <c r="B15" s="176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15" t="s">
        <v>981</v>
      </c>
      <c r="B16" s="816"/>
      <c r="C16" s="541" t="s">
        <v>982</v>
      </c>
      <c r="D16" s="817" t="s">
        <v>12</v>
      </c>
      <c r="E16" s="818"/>
      <c r="F16" s="819"/>
      <c r="G16" s="539" t="s">
        <v>983</v>
      </c>
      <c r="H16" s="540"/>
      <c r="I16" s="541"/>
      <c r="J16" s="171" t="s">
        <v>984</v>
      </c>
      <c r="K16" s="388" t="s">
        <v>1012</v>
      </c>
      <c r="L16" s="171" t="s">
        <v>986</v>
      </c>
      <c r="M16" s="171" t="s">
        <v>11</v>
      </c>
      <c r="N16" s="388" t="s">
        <v>987</v>
      </c>
      <c r="O16" s="820" t="s">
        <v>988</v>
      </c>
      <c r="P16" s="821"/>
    </row>
    <row r="17" spans="1:16" ht="15.75" customHeight="1">
      <c r="A17" s="737">
        <v>2</v>
      </c>
      <c r="B17" s="802" t="s">
        <v>992</v>
      </c>
      <c r="C17" s="172">
        <v>1</v>
      </c>
      <c r="D17" s="545" t="s">
        <v>380</v>
      </c>
      <c r="E17" s="805"/>
      <c r="F17" s="806"/>
      <c r="G17" s="545" t="s">
        <v>1013</v>
      </c>
      <c r="H17" s="805"/>
      <c r="I17" s="806"/>
      <c r="J17" s="389">
        <v>418.41</v>
      </c>
      <c r="K17" s="14">
        <v>3.2668056796743082E-2</v>
      </c>
      <c r="L17" s="389">
        <v>0.32899999999999957</v>
      </c>
      <c r="M17" s="348">
        <v>137.65688999999983</v>
      </c>
      <c r="N17" s="173"/>
      <c r="O17" s="813" t="s">
        <v>758</v>
      </c>
      <c r="P17" s="814"/>
    </row>
    <row r="18" spans="1:16" ht="15.75" customHeight="1">
      <c r="A18" s="738"/>
      <c r="B18" s="803"/>
      <c r="C18" s="172">
        <v>2</v>
      </c>
      <c r="D18" s="545" t="s">
        <v>354</v>
      </c>
      <c r="E18" s="805"/>
      <c r="F18" s="806"/>
      <c r="G18" s="545" t="s">
        <v>1014</v>
      </c>
      <c r="H18" s="805"/>
      <c r="I18" s="806"/>
      <c r="J18" s="389">
        <v>436.5</v>
      </c>
      <c r="K18" s="14">
        <v>0.12866817155756222</v>
      </c>
      <c r="L18" s="389">
        <v>0.28500000000000031</v>
      </c>
      <c r="M18" s="348">
        <v>124.40250000000012</v>
      </c>
      <c r="N18" s="173"/>
      <c r="O18" s="813" t="s">
        <v>758</v>
      </c>
      <c r="P18" s="814"/>
    </row>
    <row r="19" spans="1:16" ht="15.75" customHeight="1">
      <c r="A19" s="738"/>
      <c r="B19" s="803"/>
      <c r="C19" s="172">
        <v>3</v>
      </c>
      <c r="D19" s="545">
        <v>0</v>
      </c>
      <c r="E19" s="805"/>
      <c r="F19" s="806"/>
      <c r="G19" s="545">
        <v>0</v>
      </c>
      <c r="H19" s="805"/>
      <c r="I19" s="806"/>
      <c r="J19" s="389">
        <v>0</v>
      </c>
      <c r="K19" s="14">
        <v>0</v>
      </c>
      <c r="L19" s="389">
        <v>0</v>
      </c>
      <c r="M19" s="348">
        <v>0</v>
      </c>
      <c r="N19" s="173"/>
      <c r="O19" s="813"/>
      <c r="P19" s="814"/>
    </row>
    <row r="20" spans="1:16" ht="15.75" customHeight="1">
      <c r="A20" s="738"/>
      <c r="B20" s="803"/>
      <c r="C20" s="172">
        <v>4</v>
      </c>
      <c r="D20" s="545">
        <v>0</v>
      </c>
      <c r="E20" s="805"/>
      <c r="F20" s="806"/>
      <c r="G20" s="545">
        <v>0</v>
      </c>
      <c r="H20" s="805"/>
      <c r="I20" s="806"/>
      <c r="J20" s="389">
        <v>0</v>
      </c>
      <c r="K20" s="14">
        <v>0</v>
      </c>
      <c r="L20" s="389">
        <v>0</v>
      </c>
      <c r="M20" s="348">
        <v>0</v>
      </c>
      <c r="N20" s="173"/>
      <c r="O20" s="813"/>
      <c r="P20" s="814"/>
    </row>
    <row r="21" spans="1:16" ht="15.75" customHeight="1" thickBot="1">
      <c r="A21" s="738"/>
      <c r="B21" s="803"/>
      <c r="C21" s="174">
        <v>5</v>
      </c>
      <c r="D21" s="545">
        <v>0</v>
      </c>
      <c r="E21" s="805"/>
      <c r="F21" s="806"/>
      <c r="G21" s="545">
        <v>0</v>
      </c>
      <c r="H21" s="805"/>
      <c r="I21" s="806"/>
      <c r="J21" s="389">
        <v>0</v>
      </c>
      <c r="K21" s="14">
        <v>0</v>
      </c>
      <c r="L21" s="389">
        <v>0</v>
      </c>
      <c r="M21" s="348">
        <v>0</v>
      </c>
      <c r="N21" s="175"/>
      <c r="O21" s="823"/>
      <c r="P21" s="824"/>
    </row>
    <row r="22" spans="1:16" ht="15.75" customHeight="1" thickTop="1" thickBot="1">
      <c r="A22" s="739"/>
      <c r="B22" s="804"/>
      <c r="C22" s="807"/>
      <c r="D22" s="808"/>
      <c r="E22" s="808"/>
      <c r="F22" s="808"/>
      <c r="G22" s="808"/>
      <c r="H22" s="808"/>
      <c r="I22" s="809"/>
      <c r="J22" s="386" t="s">
        <v>990</v>
      </c>
      <c r="K22" s="250">
        <v>2.5891164073348675E-3</v>
      </c>
      <c r="L22" s="386" t="s">
        <v>991</v>
      </c>
      <c r="M22" s="252">
        <v>262.05938999999995</v>
      </c>
      <c r="N22" s="799"/>
      <c r="O22" s="800"/>
      <c r="P22" s="801"/>
    </row>
    <row r="23" spans="1:16" ht="15.75" customHeight="1" thickTop="1">
      <c r="A23" s="120"/>
      <c r="B23" s="176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15" t="s">
        <v>981</v>
      </c>
      <c r="B24" s="816"/>
      <c r="C24" s="541" t="s">
        <v>982</v>
      </c>
      <c r="D24" s="817" t="s">
        <v>12</v>
      </c>
      <c r="E24" s="818"/>
      <c r="F24" s="819"/>
      <c r="G24" s="539" t="s">
        <v>983</v>
      </c>
      <c r="H24" s="540"/>
      <c r="I24" s="541"/>
      <c r="J24" s="171" t="s">
        <v>984</v>
      </c>
      <c r="K24" s="388" t="s">
        <v>1012</v>
      </c>
      <c r="L24" s="171" t="s">
        <v>986</v>
      </c>
      <c r="M24" s="171" t="s">
        <v>11</v>
      </c>
      <c r="N24" s="388" t="s">
        <v>987</v>
      </c>
      <c r="O24" s="820" t="s">
        <v>988</v>
      </c>
      <c r="P24" s="821"/>
    </row>
    <row r="25" spans="1:16" ht="15.75" customHeight="1">
      <c r="A25" s="737">
        <v>3</v>
      </c>
      <c r="B25" s="802" t="s">
        <v>996</v>
      </c>
      <c r="C25" s="172">
        <v>1</v>
      </c>
      <c r="D25" s="545" t="s">
        <v>836</v>
      </c>
      <c r="E25" s="805"/>
      <c r="F25" s="806"/>
      <c r="G25" s="545" t="s">
        <v>841</v>
      </c>
      <c r="H25" s="805"/>
      <c r="I25" s="806"/>
      <c r="J25" s="389">
        <v>103.97</v>
      </c>
      <c r="K25" s="14">
        <v>2.3226616446955409E-2</v>
      </c>
      <c r="L25" s="389">
        <v>2.5899999999999976</v>
      </c>
      <c r="M25" s="348">
        <v>269.28229999999974</v>
      </c>
      <c r="N25" s="173"/>
      <c r="O25" s="813" t="s">
        <v>888</v>
      </c>
      <c r="P25" s="814"/>
    </row>
    <row r="26" spans="1:16" ht="15.75" customHeight="1">
      <c r="A26" s="738"/>
      <c r="B26" s="803"/>
      <c r="C26" s="172">
        <v>2</v>
      </c>
      <c r="D26" s="545" t="s">
        <v>839</v>
      </c>
      <c r="E26" s="805"/>
      <c r="F26" s="806"/>
      <c r="G26" s="545" t="s">
        <v>902</v>
      </c>
      <c r="H26" s="805"/>
      <c r="I26" s="806"/>
      <c r="J26" s="389">
        <v>448.48</v>
      </c>
      <c r="K26" s="14">
        <v>2.4958402662229547E-2</v>
      </c>
      <c r="L26" s="389">
        <v>0.37499999999999895</v>
      </c>
      <c r="M26" s="348">
        <v>168.17999999999952</v>
      </c>
      <c r="N26" s="173"/>
      <c r="O26" s="813" t="s">
        <v>888</v>
      </c>
      <c r="P26" s="814"/>
    </row>
    <row r="27" spans="1:16" ht="15.75" customHeight="1">
      <c r="A27" s="738"/>
      <c r="B27" s="803"/>
      <c r="C27" s="172">
        <v>3</v>
      </c>
      <c r="D27" s="545" t="s">
        <v>883</v>
      </c>
      <c r="E27" s="805"/>
      <c r="F27" s="806"/>
      <c r="G27" s="545" t="s">
        <v>884</v>
      </c>
      <c r="H27" s="805"/>
      <c r="I27" s="806"/>
      <c r="J27" s="389">
        <v>151.08000000000001</v>
      </c>
      <c r="K27" s="14">
        <v>1.0430892860677195E-2</v>
      </c>
      <c r="L27" s="389">
        <v>1.0539999999999878</v>
      </c>
      <c r="M27" s="348">
        <v>159.2383199999982</v>
      </c>
      <c r="N27" s="173"/>
      <c r="O27" s="813" t="s">
        <v>888</v>
      </c>
      <c r="P27" s="814"/>
    </row>
    <row r="28" spans="1:16" ht="15.75" customHeight="1">
      <c r="A28" s="738"/>
      <c r="B28" s="803"/>
      <c r="C28" s="172">
        <v>4</v>
      </c>
      <c r="D28" s="545" t="s">
        <v>881</v>
      </c>
      <c r="E28" s="805"/>
      <c r="F28" s="806"/>
      <c r="G28" s="545" t="s">
        <v>1015</v>
      </c>
      <c r="H28" s="805"/>
      <c r="I28" s="806"/>
      <c r="J28" s="389">
        <v>59.58</v>
      </c>
      <c r="K28" s="14">
        <v>1.074298835492872E-2</v>
      </c>
      <c r="L28" s="389">
        <v>2.6200000000000161</v>
      </c>
      <c r="M28" s="348">
        <v>156.09960000000098</v>
      </c>
      <c r="N28" s="173"/>
      <c r="O28" s="813" t="s">
        <v>888</v>
      </c>
      <c r="P28" s="814"/>
    </row>
    <row r="29" spans="1:16" ht="15.75" customHeight="1" thickBot="1">
      <c r="A29" s="738"/>
      <c r="B29" s="803"/>
      <c r="C29" s="174">
        <v>5</v>
      </c>
      <c r="D29" s="810" t="s">
        <v>894</v>
      </c>
      <c r="E29" s="811"/>
      <c r="F29" s="812"/>
      <c r="G29" s="810" t="s">
        <v>903</v>
      </c>
      <c r="H29" s="811"/>
      <c r="I29" s="812"/>
      <c r="J29" s="389">
        <v>74.56</v>
      </c>
      <c r="K29" s="14">
        <v>6.3990692262943048E-3</v>
      </c>
      <c r="L29" s="389">
        <v>1.979999999999984</v>
      </c>
      <c r="M29" s="348">
        <v>147.62879999999882</v>
      </c>
      <c r="N29" s="175"/>
      <c r="O29" s="823" t="s">
        <v>888</v>
      </c>
      <c r="P29" s="824"/>
    </row>
    <row r="30" spans="1:16" ht="15.75" customHeight="1" thickTop="1" thickBot="1">
      <c r="A30" s="739"/>
      <c r="B30" s="804"/>
      <c r="C30" s="796"/>
      <c r="D30" s="797"/>
      <c r="E30" s="797"/>
      <c r="F30" s="797"/>
      <c r="G30" s="797"/>
      <c r="H30" s="797"/>
      <c r="I30" s="798"/>
      <c r="J30" s="386" t="s">
        <v>990</v>
      </c>
      <c r="K30" s="250">
        <v>8.8961343813036015E-3</v>
      </c>
      <c r="L30" s="386" t="s">
        <v>991</v>
      </c>
      <c r="M30" s="252">
        <v>900.42901999999731</v>
      </c>
      <c r="N30" s="799"/>
      <c r="O30" s="800"/>
      <c r="P30" s="801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4296875" defaultRowHeight="15.75" customHeight="1"/>
  <cols>
    <col min="1" max="1" width="5.453125" style="394" customWidth="1"/>
    <col min="2" max="2" width="11.453125" style="395" customWidth="1"/>
    <col min="3" max="3" width="4" style="396" customWidth="1"/>
    <col min="4" max="17" width="9.54296875" style="394" customWidth="1"/>
    <col min="18" max="16384" width="12.54296875" style="394"/>
  </cols>
  <sheetData>
    <row r="1" spans="1:23" s="184" customFormat="1" ht="15.75" customHeight="1">
      <c r="A1" s="769" t="s">
        <v>764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</row>
    <row r="2" spans="1:23" s="185" customFormat="1" ht="15.75" customHeight="1">
      <c r="A2" s="769"/>
      <c r="B2" s="769"/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  <c r="N2" s="769"/>
      <c r="O2" s="769"/>
      <c r="P2" s="769"/>
      <c r="Q2" s="769"/>
    </row>
    <row r="3" spans="1:23" s="184" customFormat="1" ht="15.75" customHeight="1">
      <c r="A3" s="770" t="s">
        <v>765</v>
      </c>
      <c r="B3" s="770"/>
      <c r="C3" s="770"/>
      <c r="D3" s="770"/>
      <c r="E3" s="770"/>
      <c r="F3" s="770"/>
      <c r="G3" s="770"/>
      <c r="H3" s="770"/>
      <c r="I3" s="770"/>
      <c r="J3" s="770"/>
      <c r="K3" s="770"/>
      <c r="L3" s="770"/>
      <c r="M3" s="770"/>
      <c r="N3" s="186"/>
    </row>
    <row r="4" spans="1:23" s="185" customFormat="1" ht="15.75" customHeight="1">
      <c r="A4" s="770"/>
      <c r="B4" s="770"/>
      <c r="C4" s="770"/>
      <c r="D4" s="770"/>
      <c r="E4" s="770"/>
      <c r="F4" s="770"/>
      <c r="G4" s="770"/>
      <c r="H4" s="770"/>
      <c r="I4" s="770"/>
      <c r="J4" s="770"/>
      <c r="K4" s="770"/>
      <c r="L4" s="770"/>
      <c r="M4" s="770"/>
      <c r="N4" s="187"/>
    </row>
    <row r="5" spans="1:23" s="184" customFormat="1" ht="15.75" customHeight="1">
      <c r="A5" s="772" t="s">
        <v>756</v>
      </c>
      <c r="B5" s="775">
        <v>1</v>
      </c>
      <c r="C5" s="775"/>
      <c r="D5" s="775">
        <v>2</v>
      </c>
      <c r="E5" s="775"/>
      <c r="F5" s="775">
        <v>3</v>
      </c>
      <c r="G5" s="775"/>
      <c r="H5" s="846">
        <v>4</v>
      </c>
      <c r="I5" s="846"/>
      <c r="J5" s="846">
        <v>5</v>
      </c>
      <c r="K5" s="846"/>
      <c r="L5" s="846">
        <v>6</v>
      </c>
      <c r="M5" s="846"/>
      <c r="N5" s="846">
        <v>7</v>
      </c>
      <c r="O5" s="846"/>
      <c r="P5" s="775">
        <v>8</v>
      </c>
      <c r="Q5" s="775"/>
    </row>
    <row r="6" spans="1:23" s="184" customFormat="1" ht="15.75" customHeight="1">
      <c r="A6" s="772"/>
      <c r="B6" s="772" t="s">
        <v>766</v>
      </c>
      <c r="C6" s="772"/>
      <c r="D6" s="772" t="s">
        <v>767</v>
      </c>
      <c r="E6" s="772"/>
      <c r="F6" s="772" t="s">
        <v>768</v>
      </c>
      <c r="G6" s="772"/>
      <c r="H6" s="848" t="s">
        <v>769</v>
      </c>
      <c r="I6" s="847"/>
      <c r="J6" s="847" t="s">
        <v>770</v>
      </c>
      <c r="K6" s="847"/>
      <c r="L6" s="847" t="s">
        <v>771</v>
      </c>
      <c r="M6" s="847"/>
      <c r="N6" s="847" t="s">
        <v>772</v>
      </c>
      <c r="O6" s="847"/>
      <c r="P6" s="845" t="s">
        <v>773</v>
      </c>
      <c r="Q6" s="772"/>
    </row>
    <row r="7" spans="1:23" s="184" customFormat="1" ht="15.75" customHeight="1">
      <c r="B7" s="391"/>
      <c r="C7" s="392"/>
    </row>
    <row r="8" spans="1:23" s="393" customFormat="1" ht="15.75" customHeight="1">
      <c r="A8" s="828" t="s">
        <v>981</v>
      </c>
      <c r="B8" s="829"/>
      <c r="C8" s="117" t="s">
        <v>982</v>
      </c>
      <c r="D8" s="830" t="s">
        <v>12</v>
      </c>
      <c r="E8" s="831"/>
      <c r="F8" s="832"/>
      <c r="G8" s="115" t="s">
        <v>983</v>
      </c>
      <c r="H8" s="116"/>
      <c r="I8" s="117"/>
      <c r="J8" s="114" t="s">
        <v>984</v>
      </c>
      <c r="K8" s="114" t="s">
        <v>1012</v>
      </c>
      <c r="L8" s="114" t="s">
        <v>986</v>
      </c>
      <c r="M8" s="118" t="s">
        <v>11</v>
      </c>
      <c r="N8" s="388" t="s">
        <v>987</v>
      </c>
      <c r="O8" s="833" t="s">
        <v>988</v>
      </c>
      <c r="P8" s="834"/>
      <c r="R8" s="184"/>
      <c r="S8" s="184"/>
      <c r="T8" s="184"/>
      <c r="U8" s="184"/>
      <c r="V8" s="184"/>
      <c r="W8" s="184"/>
    </row>
    <row r="9" spans="1:23" ht="15.75" customHeight="1">
      <c r="A9" s="829">
        <v>4</v>
      </c>
      <c r="B9" s="836" t="s">
        <v>747</v>
      </c>
      <c r="C9" s="112">
        <v>1</v>
      </c>
      <c r="D9" s="545" t="s">
        <v>894</v>
      </c>
      <c r="E9" s="805"/>
      <c r="F9" s="806"/>
      <c r="G9" s="545" t="s">
        <v>903</v>
      </c>
      <c r="H9" s="805"/>
      <c r="I9" s="806"/>
      <c r="J9" s="389">
        <v>74.56</v>
      </c>
      <c r="K9" s="14">
        <v>8.4703537618335059E-3</v>
      </c>
      <c r="L9" s="389">
        <v>2.5499999999999772</v>
      </c>
      <c r="M9" s="348">
        <v>190.12799999999828</v>
      </c>
      <c r="N9" s="4"/>
      <c r="O9" s="813" t="s">
        <v>614</v>
      </c>
      <c r="P9" s="842"/>
      <c r="R9" s="184"/>
      <c r="S9" s="184"/>
      <c r="T9" s="184"/>
      <c r="U9" s="184"/>
      <c r="V9" s="184"/>
      <c r="W9" s="184"/>
    </row>
    <row r="10" spans="1:23" ht="15.75" customHeight="1">
      <c r="A10" s="829"/>
      <c r="B10" s="836"/>
      <c r="C10" s="112">
        <v>2</v>
      </c>
      <c r="D10" s="545" t="s">
        <v>929</v>
      </c>
      <c r="E10" s="805"/>
      <c r="F10" s="806"/>
      <c r="G10" s="545" t="s">
        <v>1016</v>
      </c>
      <c r="H10" s="805"/>
      <c r="I10" s="806"/>
      <c r="J10" s="389">
        <v>240.51</v>
      </c>
      <c r="K10" s="14">
        <v>4.6165145315287094E-3</v>
      </c>
      <c r="L10" s="389">
        <v>0.70400000000000207</v>
      </c>
      <c r="M10" s="348">
        <v>169.31904000000048</v>
      </c>
      <c r="N10" s="4"/>
      <c r="O10" s="813" t="s">
        <v>614</v>
      </c>
      <c r="P10" s="842"/>
      <c r="R10" s="184"/>
      <c r="S10" s="184"/>
      <c r="T10" s="184"/>
      <c r="U10" s="184"/>
      <c r="V10" s="184"/>
      <c r="W10" s="184"/>
    </row>
    <row r="11" spans="1:23" ht="15.75" customHeight="1">
      <c r="A11" s="829"/>
      <c r="B11" s="836"/>
      <c r="C11" s="112">
        <v>3</v>
      </c>
      <c r="D11" s="545" t="s">
        <v>864</v>
      </c>
      <c r="E11" s="805"/>
      <c r="F11" s="806"/>
      <c r="G11" s="545" t="s">
        <v>870</v>
      </c>
      <c r="H11" s="805"/>
      <c r="I11" s="806"/>
      <c r="J11" s="389">
        <v>72.13</v>
      </c>
      <c r="K11" s="14">
        <v>7.7466237060395534E-3</v>
      </c>
      <c r="L11" s="389">
        <v>2.2599999999999794</v>
      </c>
      <c r="M11" s="348">
        <v>163.01379999999853</v>
      </c>
      <c r="N11" s="4"/>
      <c r="O11" s="813" t="s">
        <v>614</v>
      </c>
      <c r="P11" s="842"/>
      <c r="R11" s="184"/>
      <c r="S11" s="184"/>
      <c r="T11" s="184"/>
      <c r="U11" s="184"/>
      <c r="V11" s="184"/>
      <c r="W11" s="184"/>
    </row>
    <row r="12" spans="1:23" ht="15.75" customHeight="1">
      <c r="A12" s="829"/>
      <c r="B12" s="836"/>
      <c r="C12" s="112">
        <v>4</v>
      </c>
      <c r="D12" s="545" t="s">
        <v>894</v>
      </c>
      <c r="E12" s="805"/>
      <c r="F12" s="806"/>
      <c r="G12" s="545" t="s">
        <v>903</v>
      </c>
      <c r="H12" s="805"/>
      <c r="I12" s="806"/>
      <c r="J12" s="389">
        <v>74.56</v>
      </c>
      <c r="K12" s="14">
        <v>4.9037727015105812E-3</v>
      </c>
      <c r="L12" s="389">
        <v>1.9900000000000091</v>
      </c>
      <c r="M12" s="348">
        <v>148.37440000000069</v>
      </c>
      <c r="N12" s="4"/>
      <c r="O12" s="813" t="s">
        <v>614</v>
      </c>
      <c r="P12" s="842"/>
      <c r="R12" s="184"/>
      <c r="S12" s="184"/>
      <c r="T12" s="184"/>
      <c r="U12" s="184"/>
      <c r="V12" s="184"/>
      <c r="W12" s="184"/>
    </row>
    <row r="13" spans="1:23" ht="15.75" customHeight="1" thickBot="1">
      <c r="A13" s="829"/>
      <c r="B13" s="836"/>
      <c r="C13" s="113">
        <v>5</v>
      </c>
      <c r="D13" s="545" t="s">
        <v>396</v>
      </c>
      <c r="E13" s="805"/>
      <c r="F13" s="806"/>
      <c r="G13" s="545" t="s">
        <v>1017</v>
      </c>
      <c r="H13" s="805"/>
      <c r="I13" s="806"/>
      <c r="J13" s="389">
        <v>371.13</v>
      </c>
      <c r="K13" s="14">
        <v>4.4096031357177944E-3</v>
      </c>
      <c r="L13" s="389">
        <v>0.3960000000000008</v>
      </c>
      <c r="M13" s="348">
        <v>146.96748000000031</v>
      </c>
      <c r="N13" s="4"/>
      <c r="O13" s="813" t="s">
        <v>614</v>
      </c>
      <c r="P13" s="842"/>
      <c r="R13" s="184"/>
      <c r="S13" s="184"/>
      <c r="T13" s="184"/>
      <c r="U13" s="184"/>
      <c r="V13" s="184"/>
      <c r="W13" s="184"/>
    </row>
    <row r="14" spans="1:23" ht="15.75" customHeight="1" thickTop="1" thickBot="1">
      <c r="A14" s="829"/>
      <c r="B14" s="836"/>
      <c r="C14" s="844"/>
      <c r="D14" s="844"/>
      <c r="E14" s="844"/>
      <c r="F14" s="844"/>
      <c r="G14" s="844"/>
      <c r="H14" s="844"/>
      <c r="I14" s="844"/>
      <c r="J14" s="251" t="s">
        <v>990</v>
      </c>
      <c r="K14" s="250">
        <v>8.0797961115420397E-3</v>
      </c>
      <c r="L14" s="251" t="s">
        <v>991</v>
      </c>
      <c r="M14" s="252">
        <v>817.80271999999832</v>
      </c>
      <c r="N14" s="843"/>
      <c r="O14" s="843"/>
      <c r="P14" s="843"/>
      <c r="R14" s="184"/>
      <c r="S14" s="184"/>
      <c r="T14" s="184"/>
      <c r="U14" s="184"/>
      <c r="V14" s="184"/>
      <c r="W14" s="184"/>
    </row>
    <row r="15" spans="1:23" ht="15.75" customHeight="1" thickTop="1">
      <c r="A15" s="538"/>
      <c r="B15" s="111"/>
      <c r="C15" s="109"/>
      <c r="D15" s="538"/>
      <c r="E15" s="538"/>
      <c r="F15" s="538"/>
      <c r="G15" s="538"/>
      <c r="H15" s="538"/>
      <c r="I15" s="538"/>
      <c r="J15" s="538"/>
      <c r="K15" s="538"/>
      <c r="L15" s="538"/>
      <c r="M15" s="538"/>
      <c r="N15" s="538"/>
      <c r="O15" s="538"/>
      <c r="P15" s="538"/>
      <c r="R15" s="184"/>
      <c r="S15" s="184"/>
      <c r="T15" s="184"/>
      <c r="U15" s="184"/>
      <c r="V15" s="184"/>
      <c r="W15" s="184"/>
    </row>
    <row r="16" spans="1:23" ht="15.75" customHeight="1">
      <c r="A16" s="828" t="s">
        <v>981</v>
      </c>
      <c r="B16" s="829"/>
      <c r="C16" s="117" t="s">
        <v>982</v>
      </c>
      <c r="D16" s="830" t="s">
        <v>12</v>
      </c>
      <c r="E16" s="831"/>
      <c r="F16" s="832"/>
      <c r="G16" s="115" t="s">
        <v>983</v>
      </c>
      <c r="H16" s="116"/>
      <c r="I16" s="117"/>
      <c r="J16" s="114" t="s">
        <v>984</v>
      </c>
      <c r="K16" s="114" t="s">
        <v>1012</v>
      </c>
      <c r="L16" s="114" t="s">
        <v>986</v>
      </c>
      <c r="M16" s="118" t="s">
        <v>11</v>
      </c>
      <c r="N16" s="388" t="s">
        <v>987</v>
      </c>
      <c r="O16" s="833" t="s">
        <v>988</v>
      </c>
      <c r="P16" s="834"/>
      <c r="R16" s="184"/>
      <c r="S16" s="184"/>
      <c r="T16" s="184"/>
      <c r="U16" s="184"/>
      <c r="V16" s="184"/>
      <c r="W16" s="184"/>
    </row>
    <row r="17" spans="1:23" ht="15.75" customHeight="1">
      <c r="A17" s="829">
        <v>5</v>
      </c>
      <c r="B17" s="835" t="s">
        <v>212</v>
      </c>
      <c r="C17" s="112">
        <v>1</v>
      </c>
      <c r="D17" s="545" t="s">
        <v>354</v>
      </c>
      <c r="E17" s="805"/>
      <c r="F17" s="806"/>
      <c r="G17" s="545" t="s">
        <v>887</v>
      </c>
      <c r="H17" s="805"/>
      <c r="I17" s="806"/>
      <c r="J17" s="389">
        <v>276.66000000000003</v>
      </c>
      <c r="K17" s="14">
        <v>1.0840640794384975E-2</v>
      </c>
      <c r="L17" s="389">
        <v>0.60699999999999787</v>
      </c>
      <c r="M17" s="348">
        <v>167.93261999999945</v>
      </c>
      <c r="N17" s="4"/>
      <c r="O17" s="813" t="s">
        <v>1018</v>
      </c>
      <c r="P17" s="814"/>
      <c r="R17" s="184"/>
      <c r="S17" s="184"/>
      <c r="T17" s="184"/>
      <c r="U17" s="184"/>
      <c r="V17" s="184"/>
      <c r="W17" s="184"/>
    </row>
    <row r="18" spans="1:23" ht="15.75" customHeight="1">
      <c r="A18" s="829"/>
      <c r="B18" s="836"/>
      <c r="C18" s="112">
        <v>2</v>
      </c>
      <c r="D18" s="545" t="s">
        <v>393</v>
      </c>
      <c r="E18" s="805"/>
      <c r="F18" s="806"/>
      <c r="G18" s="545" t="s">
        <v>418</v>
      </c>
      <c r="H18" s="805"/>
      <c r="I18" s="806"/>
      <c r="J18" s="389">
        <v>420.33</v>
      </c>
      <c r="K18" s="14">
        <v>4.6406622350431848E-3</v>
      </c>
      <c r="L18" s="389">
        <v>0.36999999999999317</v>
      </c>
      <c r="M18" s="348">
        <v>155.52209999999712</v>
      </c>
      <c r="N18" s="4"/>
      <c r="O18" s="813" t="s">
        <v>774</v>
      </c>
      <c r="P18" s="814"/>
      <c r="R18" s="184"/>
      <c r="S18" s="184"/>
      <c r="T18" s="184"/>
      <c r="U18" s="184"/>
      <c r="V18" s="184"/>
      <c r="W18" s="184"/>
    </row>
    <row r="19" spans="1:23" ht="15.75" customHeight="1">
      <c r="A19" s="829"/>
      <c r="B19" s="836"/>
      <c r="C19" s="112">
        <v>3</v>
      </c>
      <c r="D19" s="545" t="s">
        <v>839</v>
      </c>
      <c r="E19" s="805"/>
      <c r="F19" s="806"/>
      <c r="G19" s="545" t="s">
        <v>902</v>
      </c>
      <c r="H19" s="805"/>
      <c r="I19" s="806"/>
      <c r="J19" s="389">
        <v>448.48</v>
      </c>
      <c r="K19" s="14">
        <v>1.6270337922402862E-2</v>
      </c>
      <c r="L19" s="389">
        <v>0.32499999999999718</v>
      </c>
      <c r="M19" s="348">
        <v>145.75599999999872</v>
      </c>
      <c r="N19" s="4"/>
      <c r="O19" s="813" t="s">
        <v>774</v>
      </c>
      <c r="P19" s="814"/>
      <c r="R19" s="184"/>
      <c r="S19" s="184"/>
      <c r="T19" s="184"/>
      <c r="U19" s="184"/>
      <c r="V19" s="184"/>
      <c r="W19" s="184"/>
    </row>
    <row r="20" spans="1:23" ht="15.75" customHeight="1">
      <c r="A20" s="829"/>
      <c r="B20" s="836"/>
      <c r="C20" s="112">
        <v>4</v>
      </c>
      <c r="D20" s="545" t="s">
        <v>354</v>
      </c>
      <c r="E20" s="805"/>
      <c r="F20" s="806"/>
      <c r="G20" s="545" t="s">
        <v>868</v>
      </c>
      <c r="H20" s="805"/>
      <c r="I20" s="806"/>
      <c r="J20" s="389">
        <v>136.88999999999999</v>
      </c>
      <c r="K20" s="14">
        <v>4.0831920532963979E-3</v>
      </c>
      <c r="L20" s="389">
        <v>1.0259999999999991</v>
      </c>
      <c r="M20" s="348">
        <v>140.44913999999989</v>
      </c>
      <c r="N20" s="4"/>
      <c r="O20" s="813" t="s">
        <v>774</v>
      </c>
      <c r="P20" s="842"/>
      <c r="R20" s="184"/>
      <c r="S20" s="184"/>
      <c r="T20" s="184"/>
      <c r="U20" s="184"/>
      <c r="V20" s="184"/>
      <c r="W20" s="184"/>
    </row>
    <row r="21" spans="1:23" ht="15.75" customHeight="1" thickBot="1">
      <c r="A21" s="829"/>
      <c r="B21" s="836"/>
      <c r="C21" s="113">
        <v>5</v>
      </c>
      <c r="D21" s="545" t="s">
        <v>349</v>
      </c>
      <c r="E21" s="805"/>
      <c r="F21" s="806"/>
      <c r="G21" s="545" t="s">
        <v>904</v>
      </c>
      <c r="H21" s="805"/>
      <c r="I21" s="806"/>
      <c r="J21" s="389">
        <v>318.05</v>
      </c>
      <c r="K21" s="14">
        <v>1.3174404015056405E-2</v>
      </c>
      <c r="L21" s="389">
        <v>0.41999999999999815</v>
      </c>
      <c r="M21" s="348">
        <v>133.58099999999942</v>
      </c>
      <c r="N21" s="4"/>
      <c r="O21" s="813" t="s">
        <v>774</v>
      </c>
      <c r="P21" s="842"/>
      <c r="R21" s="184"/>
      <c r="S21" s="184"/>
      <c r="T21" s="184"/>
      <c r="U21" s="184"/>
      <c r="V21" s="184"/>
      <c r="W21" s="184"/>
    </row>
    <row r="22" spans="1:23" ht="15.75" customHeight="1" thickTop="1" thickBot="1">
      <c r="A22" s="829"/>
      <c r="B22" s="836"/>
      <c r="C22" s="837"/>
      <c r="D22" s="837"/>
      <c r="E22" s="837"/>
      <c r="F22" s="837"/>
      <c r="G22" s="837"/>
      <c r="H22" s="837"/>
      <c r="I22" s="838"/>
      <c r="J22" s="119" t="s">
        <v>990</v>
      </c>
      <c r="K22" s="250">
        <v>7.3431335745216524E-3</v>
      </c>
      <c r="L22" s="119" t="s">
        <v>991</v>
      </c>
      <c r="M22" s="252">
        <v>743.24085999999465</v>
      </c>
      <c r="N22" s="839"/>
      <c r="O22" s="840"/>
      <c r="P22" s="841"/>
      <c r="R22" s="184"/>
      <c r="S22" s="184"/>
      <c r="T22" s="184"/>
      <c r="U22" s="184"/>
      <c r="V22" s="184"/>
      <c r="W22" s="184"/>
    </row>
    <row r="23" spans="1:23" ht="15.75" customHeight="1" thickTop="1">
      <c r="A23" s="538"/>
      <c r="B23" s="111"/>
      <c r="C23" s="109"/>
      <c r="D23" s="538"/>
      <c r="E23" s="538"/>
      <c r="F23" s="538"/>
      <c r="G23" s="538"/>
      <c r="H23" s="538"/>
      <c r="I23" s="538"/>
      <c r="J23" s="538"/>
      <c r="K23" s="538"/>
      <c r="L23" s="538"/>
      <c r="M23" s="538"/>
      <c r="N23" s="538"/>
      <c r="O23" s="538"/>
      <c r="P23" s="538"/>
      <c r="R23" s="184"/>
      <c r="S23" s="184"/>
      <c r="T23" s="184"/>
      <c r="U23" s="184"/>
      <c r="V23" s="184"/>
      <c r="W23" s="184"/>
    </row>
    <row r="24" spans="1:23" ht="15.75" customHeight="1">
      <c r="A24" s="828" t="s">
        <v>981</v>
      </c>
      <c r="B24" s="829"/>
      <c r="C24" s="117" t="s">
        <v>982</v>
      </c>
      <c r="D24" s="830" t="s">
        <v>12</v>
      </c>
      <c r="E24" s="831"/>
      <c r="F24" s="832"/>
      <c r="G24" s="115" t="s">
        <v>983</v>
      </c>
      <c r="H24" s="116"/>
      <c r="I24" s="117"/>
      <c r="J24" s="114" t="s">
        <v>984</v>
      </c>
      <c r="K24" s="114" t="s">
        <v>1012</v>
      </c>
      <c r="L24" s="114" t="s">
        <v>986</v>
      </c>
      <c r="M24" s="118" t="s">
        <v>11</v>
      </c>
      <c r="N24" s="388" t="s">
        <v>987</v>
      </c>
      <c r="O24" s="833" t="s">
        <v>988</v>
      </c>
      <c r="P24" s="834"/>
      <c r="R24" s="184"/>
      <c r="S24" s="184"/>
      <c r="T24" s="184"/>
      <c r="U24" s="184"/>
      <c r="V24" s="184"/>
      <c r="W24" s="184"/>
    </row>
    <row r="25" spans="1:23" ht="15.75" customHeight="1">
      <c r="A25" s="829">
        <v>6</v>
      </c>
      <c r="B25" s="835" t="s">
        <v>213</v>
      </c>
      <c r="C25" s="112">
        <v>1</v>
      </c>
      <c r="D25" s="545" t="s">
        <v>383</v>
      </c>
      <c r="E25" s="805"/>
      <c r="F25" s="806"/>
      <c r="G25" s="545" t="s">
        <v>417</v>
      </c>
      <c r="H25" s="805"/>
      <c r="I25" s="806"/>
      <c r="J25" s="389">
        <v>930.36</v>
      </c>
      <c r="K25" s="14">
        <v>2.7367694034360686E-2</v>
      </c>
      <c r="L25" s="389">
        <v>0.31699999999999984</v>
      </c>
      <c r="M25" s="348">
        <v>294.92411999999985</v>
      </c>
      <c r="N25" s="4"/>
      <c r="O25" s="813" t="s">
        <v>1019</v>
      </c>
      <c r="P25" s="842"/>
      <c r="R25" s="184"/>
      <c r="S25" s="184"/>
      <c r="T25" s="184"/>
      <c r="U25" s="184"/>
      <c r="V25" s="184"/>
      <c r="W25" s="184"/>
    </row>
    <row r="26" spans="1:23" ht="15.75" customHeight="1">
      <c r="A26" s="829"/>
      <c r="B26" s="836"/>
      <c r="C26" s="112">
        <v>2</v>
      </c>
      <c r="D26" s="545" t="s">
        <v>357</v>
      </c>
      <c r="E26" s="805"/>
      <c r="F26" s="806"/>
      <c r="G26" s="545" t="s">
        <v>356</v>
      </c>
      <c r="H26" s="805"/>
      <c r="I26" s="806"/>
      <c r="J26" s="389">
        <v>510.06</v>
      </c>
      <c r="K26" s="14">
        <v>8.6012697112431598E-3</v>
      </c>
      <c r="L26" s="389">
        <v>0.3360000000000028</v>
      </c>
      <c r="M26" s="348">
        <v>171.38016000000144</v>
      </c>
      <c r="N26" s="4"/>
      <c r="O26" s="813" t="s">
        <v>865</v>
      </c>
      <c r="P26" s="842"/>
      <c r="R26" s="184"/>
      <c r="S26" s="184"/>
      <c r="T26" s="184"/>
      <c r="U26" s="184"/>
      <c r="V26" s="184"/>
      <c r="W26" s="184"/>
    </row>
    <row r="27" spans="1:23" ht="15.75" customHeight="1">
      <c r="A27" s="829"/>
      <c r="B27" s="836"/>
      <c r="C27" s="112">
        <v>3</v>
      </c>
      <c r="D27" s="545" t="s">
        <v>422</v>
      </c>
      <c r="E27" s="805"/>
      <c r="F27" s="806"/>
      <c r="G27" s="545" t="s">
        <v>423</v>
      </c>
      <c r="H27" s="805"/>
      <c r="I27" s="806"/>
      <c r="J27" s="389">
        <v>444.88</v>
      </c>
      <c r="K27" s="14">
        <v>1.768435101768439E-2</v>
      </c>
      <c r="L27" s="389">
        <v>0.31800000000000067</v>
      </c>
      <c r="M27" s="348">
        <v>141.4718400000003</v>
      </c>
      <c r="N27" s="4"/>
      <c r="O27" s="813" t="s">
        <v>865</v>
      </c>
      <c r="P27" s="842"/>
      <c r="R27" s="184"/>
      <c r="S27" s="184"/>
      <c r="T27" s="184"/>
      <c r="U27" s="184"/>
      <c r="V27" s="184"/>
      <c r="W27" s="184"/>
    </row>
    <row r="28" spans="1:23" ht="15.75" customHeight="1">
      <c r="A28" s="829"/>
      <c r="B28" s="836"/>
      <c r="C28" s="112">
        <v>4</v>
      </c>
      <c r="D28" s="545" t="s">
        <v>351</v>
      </c>
      <c r="E28" s="805"/>
      <c r="F28" s="806"/>
      <c r="G28" s="545" t="s">
        <v>350</v>
      </c>
      <c r="H28" s="805"/>
      <c r="I28" s="806"/>
      <c r="J28" s="389">
        <v>758.19</v>
      </c>
      <c r="K28" s="14">
        <v>8.2493125572868069E-3</v>
      </c>
      <c r="L28" s="389">
        <v>0.16199999999999831</v>
      </c>
      <c r="M28" s="348">
        <v>122.82677999999876</v>
      </c>
      <c r="N28" s="4"/>
      <c r="O28" s="813" t="s">
        <v>889</v>
      </c>
      <c r="P28" s="842"/>
      <c r="R28" s="184"/>
      <c r="S28" s="184"/>
      <c r="T28" s="184"/>
      <c r="U28" s="184"/>
      <c r="V28" s="184"/>
      <c r="W28" s="184"/>
    </row>
    <row r="29" spans="1:23" ht="15.75" customHeight="1" thickBot="1">
      <c r="A29" s="829"/>
      <c r="B29" s="836"/>
      <c r="C29" s="113">
        <v>5</v>
      </c>
      <c r="D29" s="545">
        <v>0</v>
      </c>
      <c r="E29" s="805"/>
      <c r="F29" s="806"/>
      <c r="G29" s="545">
        <v>0</v>
      </c>
      <c r="H29" s="805"/>
      <c r="I29" s="806"/>
      <c r="J29" s="389">
        <v>0</v>
      </c>
      <c r="K29" s="14">
        <v>0</v>
      </c>
      <c r="L29" s="389">
        <v>0</v>
      </c>
      <c r="M29" s="348">
        <v>0</v>
      </c>
      <c r="N29" s="4"/>
      <c r="O29" s="813"/>
      <c r="P29" s="842"/>
      <c r="R29" s="184"/>
      <c r="S29" s="184"/>
      <c r="T29" s="184"/>
      <c r="U29" s="184"/>
      <c r="V29" s="184"/>
      <c r="W29" s="184"/>
    </row>
    <row r="30" spans="1:23" ht="15.75" customHeight="1" thickTop="1" thickBot="1">
      <c r="A30" s="829"/>
      <c r="B30" s="836"/>
      <c r="C30" s="837"/>
      <c r="D30" s="837"/>
      <c r="E30" s="837"/>
      <c r="F30" s="837"/>
      <c r="G30" s="837"/>
      <c r="H30" s="837"/>
      <c r="I30" s="838"/>
      <c r="J30" s="119" t="s">
        <v>990</v>
      </c>
      <c r="K30" s="250">
        <v>7.218271994132463E-3</v>
      </c>
      <c r="L30" s="119" t="s">
        <v>991</v>
      </c>
      <c r="M30" s="252">
        <v>730.60290000000032</v>
      </c>
      <c r="N30" s="839"/>
      <c r="O30" s="840"/>
      <c r="P30" s="841"/>
      <c r="R30" s="184"/>
      <c r="S30" s="184"/>
      <c r="T30" s="184"/>
      <c r="U30" s="184"/>
      <c r="V30" s="184"/>
      <c r="W30" s="184"/>
    </row>
    <row r="31" spans="1:23" ht="15.75" customHeight="1" thickTop="1">
      <c r="A31" s="538"/>
      <c r="B31" s="111"/>
      <c r="C31" s="109"/>
      <c r="D31" s="538"/>
      <c r="E31" s="538"/>
      <c r="F31" s="538"/>
      <c r="G31" s="538"/>
      <c r="H31" s="538"/>
      <c r="I31" s="538"/>
      <c r="J31" s="538"/>
      <c r="K31" s="538"/>
      <c r="L31" s="538"/>
      <c r="M31" s="538"/>
      <c r="N31" s="538"/>
      <c r="O31" s="538"/>
      <c r="P31" s="538"/>
      <c r="R31" s="184"/>
      <c r="S31" s="184"/>
      <c r="T31" s="184"/>
      <c r="U31" s="184"/>
      <c r="V31" s="184"/>
      <c r="W31" s="184"/>
    </row>
    <row r="32" spans="1:23" ht="15.75" customHeight="1">
      <c r="A32" s="828" t="s">
        <v>981</v>
      </c>
      <c r="B32" s="829"/>
      <c r="C32" s="117" t="s">
        <v>982</v>
      </c>
      <c r="D32" s="830" t="s">
        <v>12</v>
      </c>
      <c r="E32" s="831"/>
      <c r="F32" s="832"/>
      <c r="G32" s="115" t="s">
        <v>983</v>
      </c>
      <c r="H32" s="116"/>
      <c r="I32" s="117"/>
      <c r="J32" s="114" t="s">
        <v>984</v>
      </c>
      <c r="K32" s="114" t="s">
        <v>1012</v>
      </c>
      <c r="L32" s="114" t="s">
        <v>986</v>
      </c>
      <c r="M32" s="118" t="s">
        <v>11</v>
      </c>
      <c r="N32" s="118" t="s">
        <v>13</v>
      </c>
      <c r="O32" s="833" t="s">
        <v>988</v>
      </c>
      <c r="P32" s="834"/>
      <c r="R32" s="184"/>
      <c r="S32" s="184"/>
      <c r="T32" s="184"/>
      <c r="U32" s="184"/>
      <c r="V32" s="184"/>
      <c r="W32" s="184"/>
    </row>
    <row r="33" spans="1:23" ht="15.75" customHeight="1">
      <c r="A33" s="829">
        <v>7</v>
      </c>
      <c r="B33" s="835" t="s">
        <v>1010</v>
      </c>
      <c r="C33" s="112">
        <v>1</v>
      </c>
      <c r="D33" s="545" t="s">
        <v>1020</v>
      </c>
      <c r="E33" s="805"/>
      <c r="F33" s="806"/>
      <c r="G33" s="545" t="s">
        <v>1021</v>
      </c>
      <c r="H33" s="805"/>
      <c r="I33" s="806"/>
      <c r="J33" s="389">
        <v>1760</v>
      </c>
      <c r="K33" s="14">
        <v>2.5056947608200479E-2</v>
      </c>
      <c r="L33" s="389">
        <v>8.8000000000000078E-2</v>
      </c>
      <c r="M33" s="348">
        <v>154.88000000000014</v>
      </c>
      <c r="N33" s="4"/>
      <c r="O33" s="813" t="s">
        <v>1022</v>
      </c>
      <c r="P33" s="842"/>
      <c r="R33" s="184"/>
      <c r="S33" s="184"/>
      <c r="T33" s="184"/>
      <c r="U33" s="184"/>
      <c r="V33" s="184"/>
      <c r="W33" s="184"/>
    </row>
    <row r="34" spans="1:23" ht="15.75" customHeight="1">
      <c r="A34" s="829"/>
      <c r="B34" s="836"/>
      <c r="C34" s="112">
        <v>2</v>
      </c>
      <c r="D34" s="545" t="s">
        <v>348</v>
      </c>
      <c r="E34" s="805"/>
      <c r="F34" s="806"/>
      <c r="G34" s="545" t="s">
        <v>840</v>
      </c>
      <c r="H34" s="805"/>
      <c r="I34" s="806"/>
      <c r="J34" s="389">
        <v>1760</v>
      </c>
      <c r="K34" s="14">
        <v>4.3737574552683935E-2</v>
      </c>
      <c r="L34" s="389">
        <v>8.8000000000000078E-2</v>
      </c>
      <c r="M34" s="348">
        <v>154.88000000000014</v>
      </c>
      <c r="N34" s="4"/>
      <c r="O34" s="813" t="s">
        <v>1022</v>
      </c>
      <c r="P34" s="842"/>
      <c r="R34" s="184"/>
      <c r="S34" s="184"/>
      <c r="T34" s="184"/>
      <c r="U34" s="184"/>
      <c r="V34" s="184"/>
      <c r="W34" s="184"/>
    </row>
    <row r="35" spans="1:23" ht="15.75" customHeight="1">
      <c r="A35" s="829"/>
      <c r="B35" s="836"/>
      <c r="C35" s="112">
        <v>3</v>
      </c>
      <c r="D35" s="545" t="s">
        <v>615</v>
      </c>
      <c r="E35" s="805"/>
      <c r="F35" s="806"/>
      <c r="G35" s="545" t="s">
        <v>822</v>
      </c>
      <c r="H35" s="805"/>
      <c r="I35" s="806"/>
      <c r="J35" s="389">
        <v>919.94</v>
      </c>
      <c r="K35" s="14">
        <v>4.3175891046073632E-2</v>
      </c>
      <c r="L35" s="389">
        <v>0.1490000000000001</v>
      </c>
      <c r="M35" s="348">
        <v>137.0710600000001</v>
      </c>
      <c r="N35" s="4"/>
      <c r="O35" s="813" t="s">
        <v>1022</v>
      </c>
      <c r="P35" s="842"/>
      <c r="R35" s="184"/>
      <c r="S35" s="184"/>
      <c r="T35" s="184"/>
      <c r="U35" s="184"/>
      <c r="V35" s="184"/>
      <c r="W35" s="184"/>
    </row>
    <row r="36" spans="1:23" ht="15.75" customHeight="1">
      <c r="A36" s="829"/>
      <c r="B36" s="836"/>
      <c r="C36" s="112">
        <v>4</v>
      </c>
      <c r="D36" s="545">
        <v>0</v>
      </c>
      <c r="E36" s="805"/>
      <c r="F36" s="806"/>
      <c r="G36" s="545">
        <v>0</v>
      </c>
      <c r="H36" s="805"/>
      <c r="I36" s="806"/>
      <c r="J36" s="389">
        <v>0</v>
      </c>
      <c r="K36" s="14">
        <v>0</v>
      </c>
      <c r="L36" s="389">
        <v>0</v>
      </c>
      <c r="M36" s="348">
        <v>0</v>
      </c>
      <c r="N36" s="4"/>
      <c r="O36" s="813"/>
      <c r="P36" s="842"/>
      <c r="R36" s="184"/>
      <c r="S36" s="184"/>
      <c r="T36" s="184"/>
      <c r="U36" s="184"/>
      <c r="V36" s="184"/>
      <c r="W36" s="184"/>
    </row>
    <row r="37" spans="1:23" ht="15.75" customHeight="1" thickBot="1">
      <c r="A37" s="829"/>
      <c r="B37" s="836"/>
      <c r="C37" s="113">
        <v>5</v>
      </c>
      <c r="D37" s="545">
        <v>0</v>
      </c>
      <c r="E37" s="805"/>
      <c r="F37" s="806"/>
      <c r="G37" s="545">
        <v>0</v>
      </c>
      <c r="H37" s="805"/>
      <c r="I37" s="806"/>
      <c r="J37" s="389">
        <v>0</v>
      </c>
      <c r="K37" s="14">
        <v>0</v>
      </c>
      <c r="L37" s="389">
        <v>0</v>
      </c>
      <c r="M37" s="348">
        <v>0</v>
      </c>
      <c r="N37" s="4"/>
      <c r="O37" s="813"/>
      <c r="P37" s="842"/>
      <c r="R37" s="184"/>
      <c r="S37" s="184"/>
      <c r="T37" s="184"/>
      <c r="U37" s="184"/>
      <c r="V37" s="184"/>
      <c r="W37" s="184"/>
    </row>
    <row r="38" spans="1:23" ht="15.75" customHeight="1" thickTop="1" thickBot="1">
      <c r="A38" s="829"/>
      <c r="B38" s="836"/>
      <c r="C38" s="837"/>
      <c r="D38" s="837"/>
      <c r="E38" s="837"/>
      <c r="F38" s="837"/>
      <c r="G38" s="837"/>
      <c r="H38" s="837"/>
      <c r="I38" s="838"/>
      <c r="J38" s="119" t="s">
        <v>990</v>
      </c>
      <c r="K38" s="250">
        <v>4.4146390967056432E-3</v>
      </c>
      <c r="L38" s="119" t="s">
        <v>991</v>
      </c>
      <c r="M38" s="252">
        <v>446.83106000000038</v>
      </c>
      <c r="N38" s="839"/>
      <c r="O38" s="840"/>
      <c r="P38" s="841"/>
      <c r="R38" s="184"/>
      <c r="S38" s="184"/>
      <c r="T38" s="184"/>
      <c r="U38" s="184"/>
      <c r="V38" s="184"/>
      <c r="W38" s="184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N22" sqref="N22"/>
    </sheetView>
  </sheetViews>
  <sheetFormatPr defaultColWidth="12.54296875" defaultRowHeight="15.75" customHeight="1"/>
  <cols>
    <col min="1" max="1" width="5.453125" style="120" customWidth="1"/>
    <col min="2" max="2" width="7.81640625" style="177" customWidth="1"/>
    <col min="3" max="3" width="4" style="161" customWidth="1"/>
    <col min="4" max="17" width="8.54296875" style="120" customWidth="1"/>
    <col min="18" max="16384" width="12.54296875" style="120"/>
  </cols>
  <sheetData>
    <row r="1" spans="1:17" ht="15.75" customHeight="1">
      <c r="A1" s="572" t="s">
        <v>204</v>
      </c>
      <c r="B1" s="572"/>
      <c r="C1" s="572"/>
      <c r="D1" s="572"/>
      <c r="E1" s="572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572"/>
      <c r="Q1" s="572"/>
    </row>
    <row r="2" spans="1:17" s="121" customFormat="1" ht="15.75" customHeight="1">
      <c r="A2" s="572"/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</row>
    <row r="3" spans="1:17" ht="15.75" customHeight="1">
      <c r="A3" s="701" t="s">
        <v>215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</row>
    <row r="4" spans="1:17" s="121" customFormat="1" ht="15.75" customHeight="1">
      <c r="A4" s="854"/>
      <c r="B4" s="854"/>
      <c r="C4" s="854"/>
      <c r="D4" s="854"/>
      <c r="E4" s="854"/>
      <c r="F4" s="854"/>
      <c r="G4" s="854"/>
      <c r="H4" s="854"/>
      <c r="I4" s="854"/>
      <c r="J4" s="854"/>
      <c r="K4" s="854"/>
      <c r="L4" s="854"/>
      <c r="M4" s="854"/>
      <c r="N4" s="854"/>
      <c r="O4" s="854"/>
      <c r="P4" s="854"/>
      <c r="Q4" s="854"/>
    </row>
    <row r="5" spans="1:17" ht="15.75" customHeight="1">
      <c r="A5" s="591" t="s">
        <v>190</v>
      </c>
      <c r="B5" s="822">
        <v>1</v>
      </c>
      <c r="C5" s="822"/>
      <c r="D5" s="822">
        <v>2</v>
      </c>
      <c r="E5" s="822"/>
      <c r="F5" s="822">
        <v>3</v>
      </c>
      <c r="G5" s="822"/>
      <c r="H5" s="822">
        <v>4</v>
      </c>
      <c r="I5" s="822"/>
      <c r="J5" s="822">
        <v>5</v>
      </c>
      <c r="K5" s="822"/>
      <c r="L5" s="822">
        <v>6</v>
      </c>
      <c r="M5" s="822"/>
      <c r="N5" s="822">
        <v>7</v>
      </c>
      <c r="O5" s="822"/>
      <c r="P5" s="826">
        <v>8</v>
      </c>
      <c r="Q5" s="826"/>
    </row>
    <row r="6" spans="1:17" ht="15.75" customHeight="1">
      <c r="A6" s="591"/>
      <c r="B6" s="591" t="s">
        <v>323</v>
      </c>
      <c r="C6" s="591"/>
      <c r="D6" s="591" t="s">
        <v>216</v>
      </c>
      <c r="E6" s="591"/>
      <c r="F6" s="591" t="s">
        <v>164</v>
      </c>
      <c r="G6" s="591"/>
      <c r="H6" s="591" t="s">
        <v>747</v>
      </c>
      <c r="I6" s="591"/>
      <c r="J6" s="591" t="s">
        <v>188</v>
      </c>
      <c r="K6" s="591"/>
      <c r="L6" s="591" t="s">
        <v>165</v>
      </c>
      <c r="M6" s="591"/>
      <c r="N6" s="591" t="s">
        <v>189</v>
      </c>
      <c r="O6" s="591"/>
      <c r="P6" s="827" t="s">
        <v>217</v>
      </c>
      <c r="Q6" s="827"/>
    </row>
    <row r="8" spans="1:17" s="154" customFormat="1" ht="15.75" customHeight="1">
      <c r="A8" s="164" t="s">
        <v>192</v>
      </c>
      <c r="B8" s="181" t="s">
        <v>18</v>
      </c>
      <c r="C8" s="852" t="s">
        <v>12</v>
      </c>
      <c r="D8" s="852"/>
      <c r="E8" s="852"/>
      <c r="F8" s="852" t="s">
        <v>53</v>
      </c>
      <c r="G8" s="852"/>
      <c r="H8" s="852"/>
      <c r="I8" s="181" t="s">
        <v>54</v>
      </c>
      <c r="J8" s="182" t="s">
        <v>19</v>
      </c>
      <c r="K8" s="181" t="s">
        <v>57</v>
      </c>
      <c r="L8" s="181" t="s">
        <v>2</v>
      </c>
      <c r="M8" s="855" t="s">
        <v>50</v>
      </c>
      <c r="N8" s="856"/>
      <c r="O8" s="856"/>
      <c r="P8" s="856"/>
      <c r="Q8" s="856"/>
    </row>
    <row r="9" spans="1:17" ht="15.75" customHeight="1">
      <c r="A9" s="852" t="s">
        <v>191</v>
      </c>
      <c r="B9" s="156">
        <v>1</v>
      </c>
      <c r="C9" s="709"/>
      <c r="D9" s="691"/>
      <c r="E9" s="691"/>
      <c r="F9" s="709"/>
      <c r="G9" s="691"/>
      <c r="H9" s="691"/>
      <c r="I9" s="165"/>
      <c r="J9" s="179"/>
      <c r="K9" s="179"/>
      <c r="L9" s="180">
        <f>K9-J9</f>
        <v>0</v>
      </c>
      <c r="M9" s="709"/>
      <c r="N9" s="709"/>
      <c r="O9" s="709"/>
      <c r="P9" s="709"/>
      <c r="Q9" s="709"/>
    </row>
    <row r="10" spans="1:17" ht="15.75" customHeight="1">
      <c r="A10" s="853"/>
      <c r="B10" s="156">
        <v>2</v>
      </c>
      <c r="C10" s="709"/>
      <c r="D10" s="691"/>
      <c r="E10" s="691"/>
      <c r="F10" s="709"/>
      <c r="G10" s="691"/>
      <c r="H10" s="691"/>
      <c r="I10" s="165"/>
      <c r="J10" s="179"/>
      <c r="K10" s="179"/>
      <c r="L10" s="180">
        <f>K10-J10</f>
        <v>0</v>
      </c>
      <c r="M10" s="709"/>
      <c r="N10" s="709"/>
      <c r="O10" s="709"/>
      <c r="P10" s="709"/>
      <c r="Q10" s="709"/>
    </row>
    <row r="11" spans="1:17" ht="15.75" customHeight="1">
      <c r="A11" s="853"/>
      <c r="B11" s="156">
        <v>3</v>
      </c>
      <c r="C11" s="709"/>
      <c r="D11" s="691"/>
      <c r="E11" s="691"/>
      <c r="F11" s="709"/>
      <c r="G11" s="691"/>
      <c r="H11" s="691"/>
      <c r="I11" s="165"/>
      <c r="J11" s="179"/>
      <c r="K11" s="179"/>
      <c r="L11" s="180">
        <f>K11-J11</f>
        <v>0</v>
      </c>
      <c r="M11" s="709"/>
      <c r="N11" s="709"/>
      <c r="O11" s="709"/>
      <c r="P11" s="709"/>
      <c r="Q11" s="709"/>
    </row>
    <row r="12" spans="1:17" ht="15.75" customHeight="1">
      <c r="A12" s="853"/>
      <c r="B12" s="156">
        <v>4</v>
      </c>
      <c r="C12" s="709"/>
      <c r="D12" s="691"/>
      <c r="E12" s="691"/>
      <c r="F12" s="709"/>
      <c r="G12" s="691"/>
      <c r="H12" s="691"/>
      <c r="I12" s="165"/>
      <c r="J12" s="179"/>
      <c r="K12" s="179"/>
      <c r="L12" s="180">
        <f>K12-J12</f>
        <v>0</v>
      </c>
      <c r="M12" s="709"/>
      <c r="N12" s="709"/>
      <c r="O12" s="709"/>
      <c r="P12" s="709"/>
      <c r="Q12" s="709"/>
    </row>
    <row r="13" spans="1:17" ht="15.75" customHeight="1">
      <c r="A13" s="853"/>
      <c r="B13" s="156">
        <v>5</v>
      </c>
      <c r="C13" s="709"/>
      <c r="D13" s="691"/>
      <c r="E13" s="691"/>
      <c r="F13" s="709"/>
      <c r="G13" s="691"/>
      <c r="H13" s="691"/>
      <c r="I13" s="165"/>
      <c r="J13" s="179"/>
      <c r="K13" s="179"/>
      <c r="L13" s="180">
        <f>K13-J13</f>
        <v>0</v>
      </c>
      <c r="M13" s="709"/>
      <c r="N13" s="709"/>
      <c r="O13" s="709"/>
      <c r="P13" s="709"/>
      <c r="Q13" s="709"/>
    </row>
    <row r="14" spans="1:17" ht="15.75" customHeight="1">
      <c r="A14" s="850"/>
      <c r="B14" s="850"/>
      <c r="C14" s="850"/>
      <c r="D14" s="850"/>
      <c r="E14" s="850"/>
      <c r="F14" s="850"/>
      <c r="G14" s="850"/>
      <c r="H14" s="850"/>
      <c r="I14" s="850"/>
      <c r="J14" s="850"/>
      <c r="K14" s="850"/>
      <c r="L14" s="850"/>
      <c r="M14" s="850"/>
      <c r="N14" s="850"/>
      <c r="O14" s="851"/>
    </row>
    <row r="15" spans="1:17" s="154" customFormat="1" ht="15.75" customHeight="1">
      <c r="A15" s="164" t="s">
        <v>192</v>
      </c>
      <c r="B15" s="164" t="s">
        <v>18</v>
      </c>
      <c r="C15" s="849" t="s">
        <v>12</v>
      </c>
      <c r="D15" s="849"/>
      <c r="E15" s="849"/>
      <c r="F15" s="849" t="s">
        <v>53</v>
      </c>
      <c r="G15" s="849"/>
      <c r="H15" s="849"/>
      <c r="I15" s="164" t="s">
        <v>54</v>
      </c>
      <c r="J15" s="178" t="s">
        <v>19</v>
      </c>
      <c r="K15" s="164" t="s">
        <v>57</v>
      </c>
      <c r="L15" s="164" t="s">
        <v>2</v>
      </c>
      <c r="M15" s="849" t="s">
        <v>50</v>
      </c>
      <c r="N15" s="849"/>
      <c r="O15" s="849"/>
      <c r="P15" s="849"/>
      <c r="Q15" s="849"/>
    </row>
    <row r="16" spans="1:17" ht="15.75" customHeight="1">
      <c r="A16" s="849" t="s">
        <v>193</v>
      </c>
      <c r="B16" s="156">
        <v>1</v>
      </c>
      <c r="C16" s="709"/>
      <c r="D16" s="691"/>
      <c r="E16" s="691"/>
      <c r="F16" s="709"/>
      <c r="G16" s="691"/>
      <c r="H16" s="691"/>
      <c r="I16" s="165"/>
      <c r="J16" s="179"/>
      <c r="K16" s="179"/>
      <c r="L16" s="180">
        <f>K16-J16</f>
        <v>0</v>
      </c>
      <c r="M16" s="709"/>
      <c r="N16" s="709"/>
      <c r="O16" s="709"/>
      <c r="P16" s="709"/>
      <c r="Q16" s="709"/>
    </row>
    <row r="17" spans="1:17" ht="15.75" customHeight="1">
      <c r="A17" s="849"/>
      <c r="B17" s="156">
        <v>2</v>
      </c>
      <c r="C17" s="709"/>
      <c r="D17" s="691"/>
      <c r="E17" s="691"/>
      <c r="F17" s="709"/>
      <c r="G17" s="691"/>
      <c r="H17" s="691"/>
      <c r="I17" s="165"/>
      <c r="J17" s="179"/>
      <c r="K17" s="179"/>
      <c r="L17" s="180">
        <f>K17-J17</f>
        <v>0</v>
      </c>
      <c r="M17" s="709"/>
      <c r="N17" s="709"/>
      <c r="O17" s="709"/>
      <c r="P17" s="709"/>
      <c r="Q17" s="709"/>
    </row>
    <row r="18" spans="1:17" ht="15.75" customHeight="1">
      <c r="A18" s="849"/>
      <c r="B18" s="156">
        <v>3</v>
      </c>
      <c r="C18" s="709"/>
      <c r="D18" s="691"/>
      <c r="E18" s="691"/>
      <c r="F18" s="709"/>
      <c r="G18" s="691"/>
      <c r="H18" s="691"/>
      <c r="I18" s="165"/>
      <c r="J18" s="179"/>
      <c r="K18" s="179"/>
      <c r="L18" s="180">
        <f>K18-J18</f>
        <v>0</v>
      </c>
      <c r="M18" s="709"/>
      <c r="N18" s="709"/>
      <c r="O18" s="709"/>
      <c r="P18" s="709"/>
      <c r="Q18" s="709"/>
    </row>
    <row r="19" spans="1:17" ht="15.75" customHeight="1">
      <c r="A19" s="849"/>
      <c r="B19" s="156">
        <v>4</v>
      </c>
      <c r="C19" s="709"/>
      <c r="D19" s="691"/>
      <c r="E19" s="691"/>
      <c r="F19" s="709"/>
      <c r="G19" s="691"/>
      <c r="H19" s="691"/>
      <c r="I19" s="165"/>
      <c r="J19" s="179"/>
      <c r="K19" s="179"/>
      <c r="L19" s="180">
        <f>K19-J19</f>
        <v>0</v>
      </c>
      <c r="M19" s="709"/>
      <c r="N19" s="709"/>
      <c r="O19" s="709"/>
      <c r="P19" s="709"/>
      <c r="Q19" s="709"/>
    </row>
    <row r="20" spans="1:17" ht="15.75" customHeight="1">
      <c r="A20" s="849"/>
      <c r="B20" s="156">
        <v>5</v>
      </c>
      <c r="C20" s="709"/>
      <c r="D20" s="691"/>
      <c r="E20" s="691"/>
      <c r="F20" s="709"/>
      <c r="G20" s="691"/>
      <c r="H20" s="691"/>
      <c r="I20" s="165"/>
      <c r="J20" s="179"/>
      <c r="K20" s="179"/>
      <c r="L20" s="180">
        <f>K20-J20</f>
        <v>0</v>
      </c>
      <c r="M20" s="709"/>
      <c r="N20" s="709"/>
      <c r="O20" s="709"/>
      <c r="P20" s="709"/>
      <c r="Q20" s="709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tabSelected="1"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N14" sqref="N14"/>
    </sheetView>
  </sheetViews>
  <sheetFormatPr defaultColWidth="8.81640625" defaultRowHeight="14"/>
  <cols>
    <col min="1" max="1" width="8.81640625" style="397"/>
    <col min="2" max="2" width="12.453125" style="397" customWidth="1"/>
    <col min="3" max="3" width="8.81640625" style="397"/>
    <col min="4" max="4" width="11.54296875" style="397" customWidth="1"/>
    <col min="5" max="5" width="39.26953125" style="397" bestFit="1" customWidth="1"/>
    <col min="6" max="6" width="11.453125" style="397" bestFit="1" customWidth="1"/>
    <col min="7" max="7" width="14.1796875" style="397" customWidth="1"/>
    <col min="8" max="8" width="14" style="397" customWidth="1"/>
    <col min="9" max="9" width="16.81640625" style="397" customWidth="1"/>
    <col min="10" max="10" width="14" style="397" customWidth="1"/>
    <col min="11" max="11" width="11.54296875" style="397" bestFit="1" customWidth="1"/>
    <col min="12" max="12" width="13.453125" style="397" bestFit="1" customWidth="1"/>
    <col min="13" max="13" width="19.1796875" style="397" bestFit="1" customWidth="1"/>
    <col min="14" max="14" width="15.26953125" style="397" bestFit="1" customWidth="1"/>
    <col min="15" max="15" width="12.54296875" style="397" bestFit="1" customWidth="1"/>
    <col min="16" max="16" width="9.7265625" style="397" bestFit="1" customWidth="1"/>
    <col min="17" max="17" width="12.1796875" style="397" bestFit="1" customWidth="1"/>
    <col min="18" max="18" width="10.7265625" style="397" customWidth="1"/>
    <col min="19" max="19" width="13.453125" style="397" bestFit="1" customWidth="1"/>
    <col min="20" max="20" width="12.453125" style="397" bestFit="1" customWidth="1"/>
    <col min="21" max="21" width="25.26953125" style="397" bestFit="1" customWidth="1"/>
    <col min="22" max="23" width="88.26953125" style="397" customWidth="1"/>
    <col min="24" max="24" width="7.453125" style="397" bestFit="1" customWidth="1"/>
    <col min="25" max="25" width="69.54296875" style="397" bestFit="1" customWidth="1"/>
    <col min="26" max="26" width="11.453125" style="397" bestFit="1" customWidth="1"/>
    <col min="27" max="27" width="21.54296875" style="397" customWidth="1"/>
    <col min="28" max="28" width="19.453125" style="397" bestFit="1" customWidth="1"/>
    <col min="29" max="34" width="14.453125" style="397" customWidth="1"/>
    <col min="35" max="35" width="11.453125" style="397" bestFit="1" customWidth="1"/>
    <col min="36" max="16384" width="8.81640625" style="397"/>
  </cols>
  <sheetData>
    <row r="2" spans="2:35" ht="41.15" customHeight="1">
      <c r="B2" s="868" t="s">
        <v>775</v>
      </c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AA2" s="398"/>
      <c r="AB2" s="398"/>
    </row>
    <row r="3" spans="2:35" ht="17.149999999999999" customHeight="1">
      <c r="B3" s="870" t="s">
        <v>776</v>
      </c>
      <c r="C3" s="871"/>
      <c r="D3" s="864" t="s">
        <v>168</v>
      </c>
      <c r="E3" s="864"/>
      <c r="F3" s="864"/>
      <c r="G3" s="864" t="s">
        <v>182</v>
      </c>
      <c r="H3" s="864"/>
      <c r="I3" s="864"/>
      <c r="J3" s="864"/>
      <c r="K3" s="864"/>
      <c r="L3" s="864"/>
      <c r="M3" s="864"/>
      <c r="N3" s="864"/>
      <c r="O3" s="864"/>
      <c r="P3" s="864"/>
      <c r="Q3" s="864"/>
      <c r="R3" s="864"/>
      <c r="S3" s="864"/>
      <c r="T3" s="864" t="s">
        <v>169</v>
      </c>
      <c r="U3" s="876" t="s">
        <v>777</v>
      </c>
      <c r="V3" s="879" t="s">
        <v>778</v>
      </c>
      <c r="W3" s="879" t="s">
        <v>779</v>
      </c>
      <c r="X3" s="882" t="s">
        <v>780</v>
      </c>
      <c r="Y3" s="866" t="s">
        <v>170</v>
      </c>
      <c r="AA3" s="864" t="s">
        <v>781</v>
      </c>
      <c r="AB3" s="864"/>
      <c r="AC3" s="864"/>
      <c r="AD3" s="864"/>
      <c r="AE3" s="864"/>
      <c r="AF3" s="864"/>
      <c r="AG3" s="864"/>
      <c r="AH3" s="864"/>
      <c r="AI3" s="864"/>
    </row>
    <row r="4" spans="2:35" ht="17.149999999999999" customHeight="1">
      <c r="B4" s="872"/>
      <c r="C4" s="873"/>
      <c r="D4" s="865" t="s">
        <v>167</v>
      </c>
      <c r="E4" s="864" t="s">
        <v>171</v>
      </c>
      <c r="F4" s="864"/>
      <c r="G4" s="864" t="s">
        <v>183</v>
      </c>
      <c r="H4" s="864"/>
      <c r="I4" s="864"/>
      <c r="J4" s="864"/>
      <c r="K4" s="864"/>
      <c r="L4" s="864"/>
      <c r="M4" s="864"/>
      <c r="N4" s="864"/>
      <c r="O4" s="864" t="s">
        <v>172</v>
      </c>
      <c r="P4" s="864"/>
      <c r="Q4" s="864"/>
      <c r="R4" s="864"/>
      <c r="S4" s="864"/>
      <c r="T4" s="864"/>
      <c r="U4" s="877"/>
      <c r="V4" s="880"/>
      <c r="W4" s="880"/>
      <c r="X4" s="883"/>
      <c r="Y4" s="866"/>
      <c r="AA4" s="864"/>
      <c r="AB4" s="864"/>
      <c r="AC4" s="864"/>
      <c r="AD4" s="864"/>
      <c r="AE4" s="864"/>
      <c r="AF4" s="864"/>
      <c r="AG4" s="864"/>
      <c r="AH4" s="864"/>
      <c r="AI4" s="864"/>
    </row>
    <row r="5" spans="2:35" ht="17.149999999999999" customHeight="1">
      <c r="B5" s="872"/>
      <c r="C5" s="873"/>
      <c r="D5" s="865"/>
      <c r="E5" s="865" t="s">
        <v>173</v>
      </c>
      <c r="F5" s="866" t="s">
        <v>782</v>
      </c>
      <c r="G5" s="867" t="s">
        <v>184</v>
      </c>
      <c r="H5" s="867"/>
      <c r="I5" s="867"/>
      <c r="J5" s="867"/>
      <c r="K5" s="867"/>
      <c r="L5" s="867"/>
      <c r="M5" s="867"/>
      <c r="N5" s="867"/>
      <c r="O5" s="867" t="s">
        <v>166</v>
      </c>
      <c r="P5" s="867"/>
      <c r="Q5" s="867" t="s">
        <v>174</v>
      </c>
      <c r="R5" s="867"/>
      <c r="S5" s="867"/>
      <c r="T5" s="864"/>
      <c r="U5" s="877"/>
      <c r="V5" s="880"/>
      <c r="W5" s="880"/>
      <c r="X5" s="883"/>
      <c r="Y5" s="866"/>
      <c r="AA5" s="864"/>
      <c r="AB5" s="864"/>
      <c r="AC5" s="864"/>
      <c r="AD5" s="864"/>
      <c r="AE5" s="864"/>
      <c r="AF5" s="864"/>
      <c r="AG5" s="864"/>
      <c r="AH5" s="864"/>
      <c r="AI5" s="864"/>
    </row>
    <row r="6" spans="2:35" ht="38.5" customHeight="1">
      <c r="B6" s="874"/>
      <c r="C6" s="875"/>
      <c r="D6" s="865"/>
      <c r="E6" s="865"/>
      <c r="F6" s="866"/>
      <c r="G6" s="399" t="s">
        <v>175</v>
      </c>
      <c r="H6" s="399" t="s">
        <v>783</v>
      </c>
      <c r="I6" s="399" t="s">
        <v>784</v>
      </c>
      <c r="J6" s="399" t="s">
        <v>176</v>
      </c>
      <c r="K6" s="399" t="s">
        <v>785</v>
      </c>
      <c r="L6" s="399" t="s">
        <v>177</v>
      </c>
      <c r="M6" s="399" t="s">
        <v>185</v>
      </c>
      <c r="N6" s="399" t="s">
        <v>178</v>
      </c>
      <c r="O6" s="400" t="s">
        <v>179</v>
      </c>
      <c r="P6" s="400" t="s">
        <v>180</v>
      </c>
      <c r="Q6" s="400" t="s">
        <v>179</v>
      </c>
      <c r="R6" s="400" t="s">
        <v>180</v>
      </c>
      <c r="S6" s="399" t="s">
        <v>181</v>
      </c>
      <c r="T6" s="864"/>
      <c r="U6" s="878"/>
      <c r="V6" s="881"/>
      <c r="W6" s="881"/>
      <c r="X6" s="884"/>
      <c r="Y6" s="866"/>
      <c r="AA6" s="225" t="s">
        <v>786</v>
      </c>
      <c r="AB6" s="225" t="s">
        <v>787</v>
      </c>
      <c r="AC6" s="387" t="s">
        <v>788</v>
      </c>
      <c r="AD6" s="387" t="s">
        <v>789</v>
      </c>
      <c r="AE6" s="387" t="s">
        <v>790</v>
      </c>
      <c r="AF6" s="387" t="s">
        <v>791</v>
      </c>
      <c r="AG6" s="387" t="s">
        <v>792</v>
      </c>
      <c r="AH6" s="387" t="s">
        <v>793</v>
      </c>
      <c r="AI6" s="387" t="s">
        <v>794</v>
      </c>
    </row>
    <row r="7" spans="2:35" s="413" customFormat="1" ht="27" customHeight="1">
      <c r="B7" s="857" t="s">
        <v>1030</v>
      </c>
      <c r="C7" s="858"/>
      <c r="D7" s="401">
        <v>1</v>
      </c>
      <c r="E7" s="402" t="s">
        <v>483</v>
      </c>
      <c r="F7" s="403">
        <v>968.39999999999986</v>
      </c>
      <c r="G7" s="403">
        <v>10008</v>
      </c>
      <c r="H7" s="403">
        <v>10080</v>
      </c>
      <c r="I7" s="404">
        <v>1.0071942446043165</v>
      </c>
      <c r="J7" s="403">
        <v>0</v>
      </c>
      <c r="K7" s="404">
        <v>0</v>
      </c>
      <c r="L7" s="403">
        <v>13.45</v>
      </c>
      <c r="M7" s="404">
        <v>1.0071942446043165</v>
      </c>
      <c r="N7" s="405">
        <v>968.4</v>
      </c>
      <c r="O7" s="403">
        <v>72</v>
      </c>
      <c r="P7" s="404">
        <v>7.1942446043165471E-3</v>
      </c>
      <c r="Q7" s="406">
        <v>72</v>
      </c>
      <c r="R7" s="404">
        <v>7.1942446043165471E-3</v>
      </c>
      <c r="S7" s="403">
        <v>968.4</v>
      </c>
      <c r="T7" s="414" t="s">
        <v>346</v>
      </c>
      <c r="U7" s="407" t="s">
        <v>213</v>
      </c>
      <c r="V7" s="450" t="s">
        <v>762</v>
      </c>
      <c r="W7" s="450" t="s">
        <v>905</v>
      </c>
      <c r="X7" s="408">
        <v>1</v>
      </c>
      <c r="Y7" s="409" t="s">
        <v>828</v>
      </c>
      <c r="Z7" s="410" t="s">
        <v>795</v>
      </c>
      <c r="AA7" s="411">
        <f>SUM(X7:X26)</f>
        <v>20</v>
      </c>
      <c r="AB7" s="412">
        <f>SUMIF($U$7:$U$26,TRIM(AB6),$X$7:$X$26)</f>
        <v>0</v>
      </c>
      <c r="AC7" s="412">
        <f>SUMIF($U$7:$U$26,TRIM(AC6),$X$7:$X$26)</f>
        <v>1</v>
      </c>
      <c r="AD7" s="412">
        <f t="shared" ref="AD7:AI7" ca="1" si="0">SUMIF($U$7:$U$9710,TRIM(AD6),$X$7:$X$26)</f>
        <v>8</v>
      </c>
      <c r="AE7" s="412">
        <f t="shared" ca="1" si="0"/>
        <v>5</v>
      </c>
      <c r="AF7" s="412">
        <f t="shared" ca="1" si="0"/>
        <v>3</v>
      </c>
      <c r="AG7" s="412">
        <f t="shared" ca="1" si="0"/>
        <v>3</v>
      </c>
      <c r="AH7" s="412">
        <f t="shared" ca="1" si="0"/>
        <v>0</v>
      </c>
      <c r="AI7" s="412">
        <f t="shared" ca="1" si="0"/>
        <v>0</v>
      </c>
    </row>
    <row r="8" spans="2:35" s="413" customFormat="1" ht="27" customHeight="1">
      <c r="B8" s="859"/>
      <c r="C8" s="860"/>
      <c r="D8" s="401">
        <v>2</v>
      </c>
      <c r="E8" s="402" t="s">
        <v>841</v>
      </c>
      <c r="F8" s="403">
        <v>873.34800000000007</v>
      </c>
      <c r="G8" s="403">
        <v>862.89</v>
      </c>
      <c r="H8" s="403">
        <v>879.2</v>
      </c>
      <c r="I8" s="404">
        <v>1.0189015981179526</v>
      </c>
      <c r="J8" s="403">
        <v>1.8</v>
      </c>
      <c r="K8" s="404">
        <v>2.0860132809512222E-3</v>
      </c>
      <c r="L8" s="403">
        <v>103.97</v>
      </c>
      <c r="M8" s="404">
        <v>1.0209876113989036</v>
      </c>
      <c r="N8" s="405">
        <v>1695.7507000000062</v>
      </c>
      <c r="O8" s="403">
        <v>8.4</v>
      </c>
      <c r="P8" s="404">
        <v>9.7347286444390366E-3</v>
      </c>
      <c r="Q8" s="406">
        <v>18.110000000000014</v>
      </c>
      <c r="R8" s="404">
        <v>2.0987611398903702E-2</v>
      </c>
      <c r="S8" s="403">
        <v>1882.8967000000014</v>
      </c>
      <c r="T8" s="414" t="s">
        <v>352</v>
      </c>
      <c r="U8" s="407" t="s">
        <v>416</v>
      </c>
      <c r="V8" s="450" t="s">
        <v>906</v>
      </c>
      <c r="W8" s="450" t="s">
        <v>907</v>
      </c>
      <c r="X8" s="408">
        <v>1</v>
      </c>
      <c r="Y8" s="409" t="s">
        <v>836</v>
      </c>
      <c r="AA8" s="411"/>
      <c r="AB8" s="415">
        <f>SUMIF($U$7:$U$26,TRIM(AB6),$F$7:$F$26)</f>
        <v>0</v>
      </c>
      <c r="AC8" s="415">
        <f>SUMIF($U$7:$U$26,TRIM(AC6),$F$7:$F$26)</f>
        <v>811.54099999999994</v>
      </c>
      <c r="AD8" s="415">
        <f t="shared" ref="AD8:AI8" ca="1" si="1">SUMIF($U$7:$U$176,TRIM(AD6),$F$7:$F$26)</f>
        <v>6045.5380000000005</v>
      </c>
      <c r="AE8" s="415">
        <f t="shared" ca="1" si="1"/>
        <v>3624.6750000000002</v>
      </c>
      <c r="AF8" s="415">
        <f t="shared" ca="1" si="1"/>
        <v>2214.98</v>
      </c>
      <c r="AG8" s="415">
        <f t="shared" ca="1" si="1"/>
        <v>2466.8669999999997</v>
      </c>
      <c r="AH8" s="415">
        <f t="shared" ca="1" si="1"/>
        <v>0</v>
      </c>
      <c r="AI8" s="415">
        <f t="shared" ca="1" si="1"/>
        <v>0</v>
      </c>
    </row>
    <row r="9" spans="2:35" s="413" customFormat="1" ht="27" customHeight="1">
      <c r="B9" s="859"/>
      <c r="C9" s="860"/>
      <c r="D9" s="401">
        <v>3</v>
      </c>
      <c r="E9" s="402" t="s">
        <v>868</v>
      </c>
      <c r="F9" s="403">
        <v>848.71799999999996</v>
      </c>
      <c r="G9" s="403">
        <v>1855.6659999999999</v>
      </c>
      <c r="H9" s="403">
        <v>1867.0000000000002</v>
      </c>
      <c r="I9" s="404">
        <v>1.0061077801716474</v>
      </c>
      <c r="J9" s="403">
        <v>0</v>
      </c>
      <c r="K9" s="404">
        <v>0</v>
      </c>
      <c r="L9" s="403">
        <v>136.88999999999999</v>
      </c>
      <c r="M9" s="404">
        <v>1.0061077801716474</v>
      </c>
      <c r="N9" s="405">
        <v>1551.5112600000391</v>
      </c>
      <c r="O9" s="403">
        <v>6.2</v>
      </c>
      <c r="P9" s="404">
        <v>3.3411184986953473E-3</v>
      </c>
      <c r="Q9" s="406">
        <v>11.334000000000287</v>
      </c>
      <c r="R9" s="404">
        <v>6.1077801716474239E-3</v>
      </c>
      <c r="S9" s="403">
        <v>1551.5112600000391</v>
      </c>
      <c r="T9" s="401" t="s">
        <v>346</v>
      </c>
      <c r="U9" s="407" t="s">
        <v>212</v>
      </c>
      <c r="V9" s="450" t="s">
        <v>926</v>
      </c>
      <c r="W9" s="450" t="s">
        <v>910</v>
      </c>
      <c r="X9" s="408">
        <v>1</v>
      </c>
      <c r="Y9" s="409" t="s">
        <v>354</v>
      </c>
      <c r="AB9" s="894">
        <f>AB7/$AA$7</f>
        <v>0</v>
      </c>
      <c r="AC9" s="894">
        <f t="shared" ref="AC9:AI9" si="2">AC7/$AA$7</f>
        <v>0.05</v>
      </c>
      <c r="AD9" s="894">
        <f t="shared" ca="1" si="2"/>
        <v>0.4</v>
      </c>
      <c r="AE9" s="894">
        <f t="shared" ca="1" si="2"/>
        <v>0.25</v>
      </c>
      <c r="AF9" s="894">
        <f t="shared" ca="1" si="2"/>
        <v>0.15</v>
      </c>
      <c r="AG9" s="894">
        <f t="shared" ca="1" si="2"/>
        <v>0.15</v>
      </c>
      <c r="AH9" s="894">
        <f t="shared" ca="1" si="2"/>
        <v>0</v>
      </c>
      <c r="AI9" s="894">
        <f t="shared" ca="1" si="2"/>
        <v>0</v>
      </c>
    </row>
    <row r="10" spans="2:35" s="413" customFormat="1" ht="27" customHeight="1">
      <c r="B10" s="859"/>
      <c r="C10" s="860"/>
      <c r="D10" s="401">
        <v>4</v>
      </c>
      <c r="E10" s="402" t="s">
        <v>356</v>
      </c>
      <c r="F10" s="403">
        <v>816.096</v>
      </c>
      <c r="G10" s="403">
        <v>262.428</v>
      </c>
      <c r="H10" s="403">
        <v>266.2</v>
      </c>
      <c r="I10" s="404">
        <v>1.0143734662459798</v>
      </c>
      <c r="J10" s="403">
        <v>0</v>
      </c>
      <c r="K10" s="404">
        <v>0</v>
      </c>
      <c r="L10" s="403">
        <v>510.06</v>
      </c>
      <c r="M10" s="404">
        <v>1.0143734662459798</v>
      </c>
      <c r="N10" s="405">
        <v>1923.9463199999957</v>
      </c>
      <c r="O10" s="403">
        <v>1.5999999999999999</v>
      </c>
      <c r="P10" s="404">
        <v>6.096910390659533E-3</v>
      </c>
      <c r="Q10" s="406">
        <v>3.7719999999999914</v>
      </c>
      <c r="R10" s="404">
        <v>1.4373466245979818E-2</v>
      </c>
      <c r="S10" s="403">
        <v>1923.9463199999957</v>
      </c>
      <c r="T10" s="407" t="s">
        <v>346</v>
      </c>
      <c r="U10" s="407" t="s">
        <v>213</v>
      </c>
      <c r="V10" s="450" t="s">
        <v>1023</v>
      </c>
      <c r="W10" s="450" t="s">
        <v>910</v>
      </c>
      <c r="X10" s="408">
        <v>1</v>
      </c>
      <c r="Y10" s="409" t="s">
        <v>357</v>
      </c>
    </row>
    <row r="11" spans="2:35" s="413" customFormat="1" ht="27" customHeight="1">
      <c r="B11" s="859"/>
      <c r="C11" s="860"/>
      <c r="D11" s="401">
        <v>5</v>
      </c>
      <c r="E11" s="402" t="s">
        <v>913</v>
      </c>
      <c r="F11" s="403">
        <v>811.54099999999994</v>
      </c>
      <c r="G11" s="403">
        <v>1908.9970000000003</v>
      </c>
      <c r="H11" s="403">
        <v>1920.8999999999999</v>
      </c>
      <c r="I11" s="404">
        <v>1.0062352114749262</v>
      </c>
      <c r="J11" s="403">
        <v>0</v>
      </c>
      <c r="K11" s="404">
        <v>0</v>
      </c>
      <c r="L11" s="403">
        <v>111.17</v>
      </c>
      <c r="M11" s="404">
        <v>1.0062352114749262</v>
      </c>
      <c r="N11" s="405">
        <v>1323.2565099999517</v>
      </c>
      <c r="O11" s="403">
        <v>7.3000000000000007</v>
      </c>
      <c r="P11" s="404">
        <v>3.8239976280738E-3</v>
      </c>
      <c r="Q11" s="406">
        <v>11.902999999999565</v>
      </c>
      <c r="R11" s="404">
        <v>6.2352114749261332E-3</v>
      </c>
      <c r="S11" s="403">
        <v>1323.2565099999517</v>
      </c>
      <c r="T11" s="407" t="s">
        <v>352</v>
      </c>
      <c r="U11" s="407" t="s">
        <v>353</v>
      </c>
      <c r="V11" s="450" t="s">
        <v>914</v>
      </c>
      <c r="W11" s="450" t="s">
        <v>915</v>
      </c>
      <c r="X11" s="408">
        <v>1</v>
      </c>
      <c r="Y11" s="409" t="s">
        <v>354</v>
      </c>
    </row>
    <row r="12" spans="2:35" s="413" customFormat="1" ht="27" customHeight="1">
      <c r="B12" s="859"/>
      <c r="C12" s="860"/>
      <c r="D12" s="401">
        <v>6</v>
      </c>
      <c r="E12" s="402" t="s">
        <v>912</v>
      </c>
      <c r="F12" s="403">
        <v>801.61199999999997</v>
      </c>
      <c r="G12" s="403">
        <v>455.59999999999997</v>
      </c>
      <c r="H12" s="403">
        <v>466.7</v>
      </c>
      <c r="I12" s="404">
        <v>1.0243634767339773</v>
      </c>
      <c r="J12" s="403">
        <v>0</v>
      </c>
      <c r="K12" s="404">
        <v>0</v>
      </c>
      <c r="L12" s="403">
        <v>95.43</v>
      </c>
      <c r="M12" s="404">
        <v>1.0243634767339773</v>
      </c>
      <c r="N12" s="405">
        <v>1059.2730000000022</v>
      </c>
      <c r="O12" s="403">
        <v>8.4</v>
      </c>
      <c r="P12" s="404">
        <v>1.843722563652327E-2</v>
      </c>
      <c r="Q12" s="406">
        <v>11.100000000000023</v>
      </c>
      <c r="R12" s="404">
        <v>2.4363476733977225E-2</v>
      </c>
      <c r="S12" s="403">
        <v>1059.2730000000022</v>
      </c>
      <c r="T12" s="407" t="s">
        <v>352</v>
      </c>
      <c r="U12" s="407" t="s">
        <v>416</v>
      </c>
      <c r="V12" s="450" t="s">
        <v>908</v>
      </c>
      <c r="W12" s="450" t="s">
        <v>909</v>
      </c>
      <c r="X12" s="408">
        <v>1</v>
      </c>
      <c r="Y12" s="409" t="s">
        <v>386</v>
      </c>
    </row>
    <row r="13" spans="2:35" s="413" customFormat="1" ht="27" customHeight="1">
      <c r="B13" s="859"/>
      <c r="C13" s="860"/>
      <c r="D13" s="401">
        <v>7</v>
      </c>
      <c r="E13" s="402" t="s">
        <v>1002</v>
      </c>
      <c r="F13" s="403">
        <v>793.56</v>
      </c>
      <c r="G13" s="403">
        <v>1434.144</v>
      </c>
      <c r="H13" s="403">
        <v>1452.1</v>
      </c>
      <c r="I13" s="404">
        <v>1.0125203605774593</v>
      </c>
      <c r="J13" s="403">
        <v>0</v>
      </c>
      <c r="K13" s="404">
        <v>0</v>
      </c>
      <c r="L13" s="403">
        <v>77.8</v>
      </c>
      <c r="M13" s="404">
        <v>1.0125203605774593</v>
      </c>
      <c r="N13" s="405">
        <v>1396.9767999999924</v>
      </c>
      <c r="O13" s="403">
        <v>10.200000000000001</v>
      </c>
      <c r="P13" s="404">
        <v>7.1122565098065476E-3</v>
      </c>
      <c r="Q13" s="406">
        <v>17.955999999999904</v>
      </c>
      <c r="R13" s="404">
        <v>1.2520360577459378E-2</v>
      </c>
      <c r="S13" s="403">
        <v>1396.9767999999924</v>
      </c>
      <c r="T13" s="401" t="s">
        <v>344</v>
      </c>
      <c r="U13" s="407" t="s">
        <v>747</v>
      </c>
      <c r="V13" s="450" t="s">
        <v>1024</v>
      </c>
      <c r="W13" s="450" t="s">
        <v>919</v>
      </c>
      <c r="X13" s="408">
        <v>1</v>
      </c>
      <c r="Y13" s="409" t="s">
        <v>929</v>
      </c>
      <c r="AB13" s="413">
        <v>1</v>
      </c>
      <c r="AC13" s="416" t="s">
        <v>757</v>
      </c>
    </row>
    <row r="14" spans="2:35" s="413" customFormat="1" ht="27" customHeight="1">
      <c r="B14" s="859"/>
      <c r="C14" s="860"/>
      <c r="D14" s="401">
        <v>8</v>
      </c>
      <c r="E14" s="402" t="s">
        <v>884</v>
      </c>
      <c r="F14" s="403">
        <v>755.4</v>
      </c>
      <c r="G14" s="403">
        <v>781.53899999999999</v>
      </c>
      <c r="H14" s="403">
        <v>791.7</v>
      </c>
      <c r="I14" s="404">
        <v>1.0130012705699909</v>
      </c>
      <c r="J14" s="403">
        <v>0</v>
      </c>
      <c r="K14" s="404">
        <v>0</v>
      </c>
      <c r="L14" s="403">
        <v>151.08000000000001</v>
      </c>
      <c r="M14" s="404">
        <v>1.0130012705699909</v>
      </c>
      <c r="N14" s="405">
        <v>1535.123880000009</v>
      </c>
      <c r="O14" s="403">
        <v>4.9999999999999991</v>
      </c>
      <c r="P14" s="404">
        <v>6.3976333874573108E-3</v>
      </c>
      <c r="Q14" s="406">
        <v>10.161000000000058</v>
      </c>
      <c r="R14" s="404">
        <v>1.3001270569990824E-2</v>
      </c>
      <c r="S14" s="403">
        <v>1535.123880000009</v>
      </c>
      <c r="T14" s="407" t="s">
        <v>344</v>
      </c>
      <c r="U14" s="407" t="s">
        <v>747</v>
      </c>
      <c r="V14" s="450" t="s">
        <v>918</v>
      </c>
      <c r="W14" s="450" t="s">
        <v>919</v>
      </c>
      <c r="X14" s="408">
        <v>1</v>
      </c>
      <c r="Y14" s="409" t="s">
        <v>883</v>
      </c>
      <c r="AB14" s="413">
        <v>2</v>
      </c>
      <c r="AC14" s="416" t="s">
        <v>353</v>
      </c>
    </row>
    <row r="15" spans="2:35" s="413" customFormat="1" ht="27" customHeight="1">
      <c r="B15" s="859"/>
      <c r="C15" s="860"/>
      <c r="D15" s="401">
        <v>9</v>
      </c>
      <c r="E15" s="402" t="s">
        <v>882</v>
      </c>
      <c r="F15" s="403">
        <v>750.92399999999998</v>
      </c>
      <c r="G15" s="403">
        <v>295.84800000000001</v>
      </c>
      <c r="H15" s="403">
        <v>299.69999999999993</v>
      </c>
      <c r="I15" s="404">
        <v>1.013020199561937</v>
      </c>
      <c r="J15" s="403">
        <v>0.8</v>
      </c>
      <c r="K15" s="404">
        <v>2.7040912901219547E-3</v>
      </c>
      <c r="L15" s="403">
        <v>278.12</v>
      </c>
      <c r="M15" s="404">
        <v>1.015724290852059</v>
      </c>
      <c r="N15" s="405">
        <v>1071.3182399999773</v>
      </c>
      <c r="O15" s="403">
        <v>2.7</v>
      </c>
      <c r="P15" s="404">
        <v>9.1263081041615974E-3</v>
      </c>
      <c r="Q15" s="406">
        <v>4.65199999999993</v>
      </c>
      <c r="R15" s="404">
        <v>1.5724290852058929E-2</v>
      </c>
      <c r="S15" s="403">
        <v>1293.8142399999806</v>
      </c>
      <c r="T15" s="407" t="s">
        <v>352</v>
      </c>
      <c r="U15" s="407" t="s">
        <v>416</v>
      </c>
      <c r="V15" s="450" t="s">
        <v>911</v>
      </c>
      <c r="W15" s="450" t="s">
        <v>910</v>
      </c>
      <c r="X15" s="408">
        <v>1</v>
      </c>
      <c r="Y15" s="409" t="s">
        <v>836</v>
      </c>
      <c r="AB15" s="413">
        <v>3</v>
      </c>
      <c r="AC15" s="416" t="s">
        <v>416</v>
      </c>
    </row>
    <row r="16" spans="2:35" s="413" customFormat="1" ht="27" customHeight="1">
      <c r="B16" s="859"/>
      <c r="C16" s="860"/>
      <c r="D16" s="401">
        <v>10</v>
      </c>
      <c r="E16" s="402" t="s">
        <v>870</v>
      </c>
      <c r="F16" s="403">
        <v>742.93900000000008</v>
      </c>
      <c r="G16" s="403">
        <v>1931.5450000000001</v>
      </c>
      <c r="H16" s="403">
        <v>1953.6999999999998</v>
      </c>
      <c r="I16" s="404">
        <v>1.0114700925942703</v>
      </c>
      <c r="J16" s="403">
        <v>0</v>
      </c>
      <c r="K16" s="404">
        <v>0</v>
      </c>
      <c r="L16" s="403">
        <v>72.13</v>
      </c>
      <c r="M16" s="404">
        <v>1.0114700925942703</v>
      </c>
      <c r="N16" s="405">
        <v>1598.0401499999816</v>
      </c>
      <c r="O16" s="403">
        <v>10.3</v>
      </c>
      <c r="P16" s="404">
        <v>5.3325187867743181E-3</v>
      </c>
      <c r="Q16" s="406">
        <v>22.154999999999745</v>
      </c>
      <c r="R16" s="404">
        <v>1.1470092594270257E-2</v>
      </c>
      <c r="S16" s="403">
        <v>1598.0401499999816</v>
      </c>
      <c r="T16" s="407" t="s">
        <v>352</v>
      </c>
      <c r="U16" s="407" t="s">
        <v>416</v>
      </c>
      <c r="V16" s="450" t="s">
        <v>908</v>
      </c>
      <c r="W16" s="450" t="s">
        <v>909</v>
      </c>
      <c r="X16" s="408">
        <v>1</v>
      </c>
      <c r="Y16" s="409" t="s">
        <v>864</v>
      </c>
      <c r="AB16" s="413">
        <v>4</v>
      </c>
      <c r="AC16" s="416" t="s">
        <v>796</v>
      </c>
    </row>
    <row r="17" spans="2:29" s="413" customFormat="1" ht="27" customHeight="1">
      <c r="B17" s="859"/>
      <c r="C17" s="860"/>
      <c r="D17" s="401">
        <v>11</v>
      </c>
      <c r="E17" s="402" t="s">
        <v>419</v>
      </c>
      <c r="F17" s="403">
        <v>739.38400000000001</v>
      </c>
      <c r="G17" s="403">
        <v>955.79199999999992</v>
      </c>
      <c r="H17" s="403">
        <v>966.00000000000011</v>
      </c>
      <c r="I17" s="404">
        <v>1.010680147981988</v>
      </c>
      <c r="J17" s="403">
        <v>0</v>
      </c>
      <c r="K17" s="404">
        <v>0</v>
      </c>
      <c r="L17" s="403">
        <v>127.48</v>
      </c>
      <c r="M17" s="404">
        <v>1.010680147981988</v>
      </c>
      <c r="N17" s="405">
        <v>1301.3158400000252</v>
      </c>
      <c r="O17" s="403">
        <v>5.8000000000000007</v>
      </c>
      <c r="P17" s="404">
        <v>6.0682658988566564E-3</v>
      </c>
      <c r="Q17" s="406">
        <v>10.208000000000197</v>
      </c>
      <c r="R17" s="404">
        <v>1.0680147981987921E-2</v>
      </c>
      <c r="S17" s="403">
        <v>1301.3158400000252</v>
      </c>
      <c r="T17" s="407" t="s">
        <v>352</v>
      </c>
      <c r="U17" s="407" t="s">
        <v>416</v>
      </c>
      <c r="V17" s="450" t="s">
        <v>908</v>
      </c>
      <c r="W17" s="450" t="s">
        <v>909</v>
      </c>
      <c r="X17" s="408">
        <v>1</v>
      </c>
      <c r="Y17" s="409" t="s">
        <v>351</v>
      </c>
      <c r="AB17" s="413">
        <v>5</v>
      </c>
      <c r="AC17" s="416" t="s">
        <v>212</v>
      </c>
    </row>
    <row r="18" spans="2:29" s="413" customFormat="1" ht="27" customHeight="1">
      <c r="B18" s="859"/>
      <c r="C18" s="860"/>
      <c r="D18" s="401">
        <v>12</v>
      </c>
      <c r="E18" s="402" t="s">
        <v>885</v>
      </c>
      <c r="F18" s="403">
        <v>725.12100000000009</v>
      </c>
      <c r="G18" s="403">
        <v>1231.5160000000001</v>
      </c>
      <c r="H18" s="403">
        <v>1244.8</v>
      </c>
      <c r="I18" s="404">
        <v>1.0107867051666399</v>
      </c>
      <c r="J18" s="403">
        <v>0</v>
      </c>
      <c r="K18" s="404">
        <v>0</v>
      </c>
      <c r="L18" s="403">
        <v>105.09</v>
      </c>
      <c r="M18" s="404">
        <v>1.0107867051666399</v>
      </c>
      <c r="N18" s="405">
        <v>1396.0155599999873</v>
      </c>
      <c r="O18" s="403">
        <v>6.9</v>
      </c>
      <c r="P18" s="404">
        <v>5.6028504704770379E-3</v>
      </c>
      <c r="Q18" s="406">
        <v>13.283999999999878</v>
      </c>
      <c r="R18" s="404">
        <v>1.0786705166640041E-2</v>
      </c>
      <c r="S18" s="403">
        <v>1396.0155599999873</v>
      </c>
      <c r="T18" s="401" t="s">
        <v>344</v>
      </c>
      <c r="U18" s="407" t="s">
        <v>747</v>
      </c>
      <c r="V18" s="450" t="s">
        <v>1025</v>
      </c>
      <c r="W18" s="450" t="s">
        <v>919</v>
      </c>
      <c r="X18" s="408">
        <v>1</v>
      </c>
      <c r="Y18" s="409" t="s">
        <v>883</v>
      </c>
      <c r="AB18" s="413">
        <v>6</v>
      </c>
      <c r="AC18" s="416" t="s">
        <v>213</v>
      </c>
    </row>
    <row r="19" spans="2:29" s="413" customFormat="1" ht="27" customHeight="1">
      <c r="B19" s="859"/>
      <c r="C19" s="860"/>
      <c r="D19" s="401">
        <v>13</v>
      </c>
      <c r="E19" s="402" t="s">
        <v>1026</v>
      </c>
      <c r="F19" s="403">
        <v>716.59500000000003</v>
      </c>
      <c r="G19" s="403">
        <v>718.77099999999996</v>
      </c>
      <c r="H19" s="403">
        <v>734.7</v>
      </c>
      <c r="I19" s="404">
        <v>1.0221614394570733</v>
      </c>
      <c r="J19" s="403">
        <v>0</v>
      </c>
      <c r="K19" s="404">
        <v>0</v>
      </c>
      <c r="L19" s="403">
        <v>70.95</v>
      </c>
      <c r="M19" s="404">
        <v>1.0221614394570733</v>
      </c>
      <c r="N19" s="405">
        <v>1130.1625500000061</v>
      </c>
      <c r="O19" s="403">
        <v>10.1</v>
      </c>
      <c r="P19" s="404">
        <v>1.4051763357174956E-2</v>
      </c>
      <c r="Q19" s="406">
        <v>15.929000000000087</v>
      </c>
      <c r="R19" s="404">
        <v>2.2161439457073377E-2</v>
      </c>
      <c r="S19" s="403">
        <v>1130.1625500000061</v>
      </c>
      <c r="T19" s="407" t="s">
        <v>352</v>
      </c>
      <c r="U19" s="407" t="s">
        <v>416</v>
      </c>
      <c r="V19" s="450" t="s">
        <v>908</v>
      </c>
      <c r="W19" s="450" t="s">
        <v>909</v>
      </c>
      <c r="X19" s="408">
        <v>1</v>
      </c>
      <c r="Y19" s="409" t="s">
        <v>388</v>
      </c>
      <c r="AB19" s="413">
        <v>7</v>
      </c>
      <c r="AC19" s="416" t="s">
        <v>798</v>
      </c>
    </row>
    <row r="20" spans="2:29" s="413" customFormat="1" ht="27" customHeight="1">
      <c r="B20" s="859"/>
      <c r="C20" s="860"/>
      <c r="D20" s="401">
        <v>14</v>
      </c>
      <c r="E20" s="402" t="s">
        <v>878</v>
      </c>
      <c r="F20" s="403">
        <v>714.42</v>
      </c>
      <c r="G20" s="403">
        <v>660.96</v>
      </c>
      <c r="H20" s="403">
        <v>676.4</v>
      </c>
      <c r="I20" s="404">
        <v>1.0233599612684579</v>
      </c>
      <c r="J20" s="403">
        <v>0</v>
      </c>
      <c r="K20" s="404">
        <v>0</v>
      </c>
      <c r="L20" s="403">
        <v>72.900000000000006</v>
      </c>
      <c r="M20" s="404">
        <v>1.0233599612684579</v>
      </c>
      <c r="N20" s="405">
        <v>1125.5759999999957</v>
      </c>
      <c r="O20" s="403">
        <v>9.7999999999999989</v>
      </c>
      <c r="P20" s="404">
        <v>1.482691842168966E-2</v>
      </c>
      <c r="Q20" s="406">
        <v>15.439999999999941</v>
      </c>
      <c r="R20" s="404">
        <v>2.3359961268457911E-2</v>
      </c>
      <c r="S20" s="403">
        <v>1125.5759999999957</v>
      </c>
      <c r="T20" s="407" t="s">
        <v>352</v>
      </c>
      <c r="U20" s="407" t="s">
        <v>416</v>
      </c>
      <c r="V20" s="450" t="s">
        <v>908</v>
      </c>
      <c r="W20" s="450" t="s">
        <v>909</v>
      </c>
      <c r="X20" s="408">
        <v>1</v>
      </c>
      <c r="Y20" s="409" t="s">
        <v>378</v>
      </c>
      <c r="AB20" s="413">
        <v>8</v>
      </c>
      <c r="AC20" s="417" t="s">
        <v>799</v>
      </c>
    </row>
    <row r="21" spans="2:29" s="413" customFormat="1" ht="27" customHeight="1">
      <c r="B21" s="859"/>
      <c r="C21" s="860"/>
      <c r="D21" s="401">
        <v>15</v>
      </c>
      <c r="E21" s="402" t="s">
        <v>1027</v>
      </c>
      <c r="F21" s="403">
        <v>706.31600000000014</v>
      </c>
      <c r="G21" s="403">
        <v>662.84</v>
      </c>
      <c r="H21" s="403">
        <v>679.30000000000007</v>
      </c>
      <c r="I21" s="404">
        <v>1.0248325387725545</v>
      </c>
      <c r="J21" s="403">
        <v>0</v>
      </c>
      <c r="K21" s="404">
        <v>0</v>
      </c>
      <c r="L21" s="403">
        <v>75.14</v>
      </c>
      <c r="M21" s="404">
        <v>1.0248325387725545</v>
      </c>
      <c r="N21" s="405">
        <v>1236.8044000000027</v>
      </c>
      <c r="O21" s="403">
        <v>9.4</v>
      </c>
      <c r="P21" s="404">
        <v>1.4181401243135598E-2</v>
      </c>
      <c r="Q21" s="406">
        <v>16.460000000000036</v>
      </c>
      <c r="R21" s="404">
        <v>2.4832538772554515E-2</v>
      </c>
      <c r="S21" s="403">
        <v>1236.8044000000027</v>
      </c>
      <c r="T21" s="407" t="s">
        <v>352</v>
      </c>
      <c r="U21" s="407" t="s">
        <v>416</v>
      </c>
      <c r="V21" s="450" t="s">
        <v>908</v>
      </c>
      <c r="W21" s="450" t="s">
        <v>909</v>
      </c>
      <c r="X21" s="408">
        <v>1</v>
      </c>
      <c r="Y21" s="409" t="s">
        <v>354</v>
      </c>
      <c r="AC21" s="416"/>
    </row>
    <row r="22" spans="2:29" s="413" customFormat="1" ht="27" customHeight="1">
      <c r="B22" s="859"/>
      <c r="C22" s="860"/>
      <c r="D22" s="401">
        <v>16</v>
      </c>
      <c r="E22" s="402" t="s">
        <v>901</v>
      </c>
      <c r="F22" s="403">
        <v>688.54800000000012</v>
      </c>
      <c r="G22" s="403">
        <v>2149</v>
      </c>
      <c r="H22" s="403">
        <v>2162.9</v>
      </c>
      <c r="I22" s="404">
        <v>1.0064681247091671</v>
      </c>
      <c r="J22" s="403">
        <v>0</v>
      </c>
      <c r="K22" s="404">
        <v>0</v>
      </c>
      <c r="L22" s="403">
        <v>81.97</v>
      </c>
      <c r="M22" s="404">
        <v>1.0064681247091671</v>
      </c>
      <c r="N22" s="405">
        <v>1139.3830000000075</v>
      </c>
      <c r="O22" s="403">
        <v>8.4</v>
      </c>
      <c r="P22" s="404">
        <v>3.9087947882736158E-3</v>
      </c>
      <c r="Q22" s="406">
        <v>13.900000000000091</v>
      </c>
      <c r="R22" s="404">
        <v>6.468124709167097E-3</v>
      </c>
      <c r="S22" s="403">
        <v>1139.3830000000075</v>
      </c>
      <c r="T22" s="407" t="s">
        <v>352</v>
      </c>
      <c r="U22" s="407" t="s">
        <v>747</v>
      </c>
      <c r="V22" s="450" t="s">
        <v>908</v>
      </c>
      <c r="W22" s="450" t="s">
        <v>909</v>
      </c>
      <c r="X22" s="408">
        <v>1</v>
      </c>
      <c r="Y22" s="409" t="s">
        <v>349</v>
      </c>
      <c r="AC22" s="416"/>
    </row>
    <row r="23" spans="2:29" s="413" customFormat="1" ht="27" customHeight="1">
      <c r="B23" s="859"/>
      <c r="C23" s="860"/>
      <c r="D23" s="401">
        <v>17</v>
      </c>
      <c r="E23" s="402" t="s">
        <v>1005</v>
      </c>
      <c r="F23" s="403">
        <v>683.31600000000003</v>
      </c>
      <c r="G23" s="403">
        <v>373.40000000000003</v>
      </c>
      <c r="H23" s="403">
        <v>377.90000000000003</v>
      </c>
      <c r="I23" s="404">
        <v>1.0120514193893948</v>
      </c>
      <c r="J23" s="403">
        <v>0.5</v>
      </c>
      <c r="K23" s="404">
        <v>1.339046598821639E-3</v>
      </c>
      <c r="L23" s="403">
        <v>253.08</v>
      </c>
      <c r="M23" s="404">
        <v>1.0133904659882165</v>
      </c>
      <c r="N23" s="405">
        <v>1138.8600000000001</v>
      </c>
      <c r="O23" s="403">
        <v>2.7</v>
      </c>
      <c r="P23" s="404">
        <v>7.2308516336368504E-3</v>
      </c>
      <c r="Q23" s="406">
        <v>5</v>
      </c>
      <c r="R23" s="404">
        <v>1.3390465988216388E-2</v>
      </c>
      <c r="S23" s="403">
        <v>1265.4000000000001</v>
      </c>
      <c r="T23" s="407" t="s">
        <v>346</v>
      </c>
      <c r="U23" s="407" t="s">
        <v>212</v>
      </c>
      <c r="V23" s="450" t="s">
        <v>911</v>
      </c>
      <c r="W23" s="450" t="s">
        <v>910</v>
      </c>
      <c r="X23" s="408">
        <v>1</v>
      </c>
      <c r="Y23" s="409" t="s">
        <v>395</v>
      </c>
      <c r="AB23" s="418">
        <v>1</v>
      </c>
      <c r="AC23" s="416" t="s">
        <v>352</v>
      </c>
    </row>
    <row r="24" spans="2:29" s="413" customFormat="1" ht="27" customHeight="1">
      <c r="B24" s="859"/>
      <c r="C24" s="860"/>
      <c r="D24" s="401">
        <v>18</v>
      </c>
      <c r="E24" s="402" t="s">
        <v>1028</v>
      </c>
      <c r="F24" s="403">
        <v>682.94600000000003</v>
      </c>
      <c r="G24" s="403">
        <v>132.24</v>
      </c>
      <c r="H24" s="403">
        <v>135.9</v>
      </c>
      <c r="I24" s="404">
        <v>1.0276769509981851</v>
      </c>
      <c r="J24" s="403">
        <v>0</v>
      </c>
      <c r="K24" s="404">
        <v>0</v>
      </c>
      <c r="L24" s="403">
        <v>310.43</v>
      </c>
      <c r="M24" s="404">
        <v>1.0276769509981851</v>
      </c>
      <c r="N24" s="405">
        <v>1136.1737999999989</v>
      </c>
      <c r="O24" s="403">
        <v>2.2000000000000002</v>
      </c>
      <c r="P24" s="404">
        <v>1.663641863278887E-2</v>
      </c>
      <c r="Q24" s="406">
        <v>3.6599999999999966</v>
      </c>
      <c r="R24" s="404">
        <v>2.7676950998185089E-2</v>
      </c>
      <c r="S24" s="403">
        <v>1136.1737999999989</v>
      </c>
      <c r="T24" s="407" t="s">
        <v>346</v>
      </c>
      <c r="U24" s="407" t="s">
        <v>212</v>
      </c>
      <c r="V24" s="450" t="s">
        <v>911</v>
      </c>
      <c r="W24" s="450" t="s">
        <v>910</v>
      </c>
      <c r="X24" s="408">
        <v>1</v>
      </c>
      <c r="Y24" s="409" t="s">
        <v>345</v>
      </c>
      <c r="AB24" s="413">
        <v>2</v>
      </c>
      <c r="AC24" s="416" t="s">
        <v>420</v>
      </c>
    </row>
    <row r="25" spans="2:29" s="413" customFormat="1" ht="27" customHeight="1">
      <c r="B25" s="859"/>
      <c r="C25" s="860"/>
      <c r="D25" s="401">
        <v>19</v>
      </c>
      <c r="E25" s="402" t="s">
        <v>350</v>
      </c>
      <c r="F25" s="403">
        <v>682.37099999999998</v>
      </c>
      <c r="G25" s="403">
        <v>122.01599999999999</v>
      </c>
      <c r="H25" s="403">
        <v>123.5</v>
      </c>
      <c r="I25" s="404">
        <v>1.0121623393653292</v>
      </c>
      <c r="J25" s="403">
        <v>0</v>
      </c>
      <c r="K25" s="404">
        <v>0</v>
      </c>
      <c r="L25" s="403">
        <v>758.19</v>
      </c>
      <c r="M25" s="404">
        <v>1.0121623393653292</v>
      </c>
      <c r="N25" s="405">
        <v>1125.1539600000067</v>
      </c>
      <c r="O25" s="403">
        <v>0.9</v>
      </c>
      <c r="P25" s="404">
        <v>7.3760818253343829E-3</v>
      </c>
      <c r="Q25" s="406">
        <v>1.4840000000000089</v>
      </c>
      <c r="R25" s="404">
        <v>1.2162339365329211E-2</v>
      </c>
      <c r="S25" s="403">
        <v>1125.1539600000067</v>
      </c>
      <c r="T25" s="407" t="s">
        <v>346</v>
      </c>
      <c r="U25" s="407" t="s">
        <v>213</v>
      </c>
      <c r="V25" s="450" t="s">
        <v>762</v>
      </c>
      <c r="W25" s="450" t="s">
        <v>905</v>
      </c>
      <c r="X25" s="408">
        <v>1</v>
      </c>
      <c r="Y25" s="409" t="s">
        <v>351</v>
      </c>
      <c r="AB25" s="419">
        <v>3</v>
      </c>
      <c r="AC25" s="416" t="s">
        <v>344</v>
      </c>
    </row>
    <row r="26" spans="2:29" s="413" customFormat="1" ht="27" customHeight="1">
      <c r="B26" s="861"/>
      <c r="C26" s="862"/>
      <c r="D26" s="401">
        <v>20</v>
      </c>
      <c r="E26" s="402" t="s">
        <v>1029</v>
      </c>
      <c r="F26" s="403">
        <v>662.04599999999994</v>
      </c>
      <c r="G26" s="403">
        <v>170.57500000000002</v>
      </c>
      <c r="H26" s="403">
        <v>174.29999999999998</v>
      </c>
      <c r="I26" s="404">
        <v>1.0218379012164736</v>
      </c>
      <c r="J26" s="403">
        <v>0</v>
      </c>
      <c r="K26" s="404">
        <v>0</v>
      </c>
      <c r="L26" s="403">
        <v>300.93</v>
      </c>
      <c r="M26" s="404">
        <v>1.0218379012164736</v>
      </c>
      <c r="N26" s="405">
        <v>1120.9642499999898</v>
      </c>
      <c r="O26" s="403">
        <v>2.2000000000000002</v>
      </c>
      <c r="P26" s="404">
        <v>1.289755239630661E-2</v>
      </c>
      <c r="Q26" s="406">
        <v>3.7249999999999659</v>
      </c>
      <c r="R26" s="404">
        <v>2.1837901216473488E-2</v>
      </c>
      <c r="S26" s="403">
        <v>1120.9642499999898</v>
      </c>
      <c r="T26" s="407" t="s">
        <v>344</v>
      </c>
      <c r="U26" s="407" t="s">
        <v>747</v>
      </c>
      <c r="V26" s="450" t="s">
        <v>911</v>
      </c>
      <c r="W26" s="450" t="s">
        <v>910</v>
      </c>
      <c r="X26" s="408">
        <v>1</v>
      </c>
      <c r="Y26" s="409" t="s">
        <v>761</v>
      </c>
      <c r="AB26" s="419">
        <v>4</v>
      </c>
      <c r="AC26" s="416" t="s">
        <v>346</v>
      </c>
    </row>
    <row r="27" spans="2:29" ht="29.5" customHeight="1">
      <c r="C27" s="863"/>
      <c r="AB27" s="413"/>
      <c r="AC27" s="416"/>
    </row>
    <row r="28" spans="2:29">
      <c r="C28" s="863"/>
    </row>
    <row r="29" spans="2:29">
      <c r="C29" s="863"/>
    </row>
    <row r="30" spans="2:29">
      <c r="C30" s="863"/>
    </row>
    <row r="31" spans="2:29">
      <c r="C31" s="863"/>
    </row>
    <row r="32" spans="2:29">
      <c r="C32" s="863"/>
    </row>
    <row r="33" spans="3:3">
      <c r="C33" s="863"/>
    </row>
    <row r="34" spans="3:3">
      <c r="C34" s="863"/>
    </row>
    <row r="35" spans="3:3">
      <c r="C35" s="863"/>
    </row>
    <row r="36" spans="3:3">
      <c r="C36" s="863"/>
    </row>
    <row r="67" ht="14.15" customHeight="1"/>
    <row r="77" ht="14.15" customHeight="1"/>
    <row r="87" ht="14.15" customHeight="1"/>
    <row r="112" spans="26:26">
      <c r="Z112" s="420" t="s">
        <v>800</v>
      </c>
    </row>
    <row r="113" spans="26:26">
      <c r="Z113" s="413" t="s">
        <v>801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13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Y26"/>
    </sheetView>
  </sheetViews>
  <sheetFormatPr defaultColWidth="8.81640625" defaultRowHeight="14"/>
  <cols>
    <col min="1" max="1" width="8.81640625" style="397"/>
    <col min="2" max="2" width="12.453125" style="397" customWidth="1"/>
    <col min="3" max="3" width="8.81640625" style="397"/>
    <col min="4" max="4" width="11.54296875" style="397" customWidth="1"/>
    <col min="5" max="5" width="39.26953125" style="397" bestFit="1" customWidth="1"/>
    <col min="6" max="6" width="13.453125" style="397" bestFit="1" customWidth="1"/>
    <col min="7" max="7" width="14.1796875" style="397" customWidth="1"/>
    <col min="8" max="8" width="14" style="397" customWidth="1"/>
    <col min="9" max="9" width="16.81640625" style="397" customWidth="1"/>
    <col min="10" max="10" width="14" style="397" customWidth="1"/>
    <col min="11" max="11" width="11.7265625" style="397" bestFit="1" customWidth="1"/>
    <col min="12" max="12" width="13.453125" style="397" bestFit="1" customWidth="1"/>
    <col min="13" max="13" width="19.26953125" style="397" bestFit="1" customWidth="1"/>
    <col min="14" max="14" width="15.453125" style="397" bestFit="1" customWidth="1"/>
    <col min="15" max="15" width="12.7265625" style="397" bestFit="1" customWidth="1"/>
    <col min="16" max="16" width="9.81640625" style="397" bestFit="1" customWidth="1"/>
    <col min="17" max="17" width="12.26953125" style="397" bestFit="1" customWidth="1"/>
    <col min="18" max="18" width="10.7265625" style="397" customWidth="1"/>
    <col min="19" max="19" width="10.7265625" style="397" bestFit="1" customWidth="1"/>
    <col min="20" max="20" width="12.453125" style="397" bestFit="1" customWidth="1"/>
    <col min="21" max="21" width="25.26953125" style="397" bestFit="1" customWidth="1"/>
    <col min="22" max="23" width="88.26953125" style="397" customWidth="1"/>
    <col min="24" max="24" width="7.453125" style="397" bestFit="1" customWidth="1"/>
    <col min="25" max="25" width="69.54296875" style="397" bestFit="1" customWidth="1"/>
    <col min="26" max="26" width="11.453125" style="397" bestFit="1" customWidth="1"/>
    <col min="27" max="27" width="21.54296875" style="397" customWidth="1"/>
    <col min="28" max="28" width="19.453125" style="397" bestFit="1" customWidth="1"/>
    <col min="29" max="34" width="14.453125" style="397" customWidth="1"/>
    <col min="35" max="35" width="11.453125" style="397" bestFit="1" customWidth="1"/>
    <col min="36" max="16384" width="8.81640625" style="397"/>
  </cols>
  <sheetData>
    <row r="2" spans="2:35" ht="41.15" customHeight="1">
      <c r="B2" s="868" t="s">
        <v>802</v>
      </c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AA2" s="398"/>
      <c r="AB2" s="398"/>
    </row>
    <row r="3" spans="2:35" ht="17.149999999999999" customHeight="1">
      <c r="B3" s="870" t="s">
        <v>776</v>
      </c>
      <c r="C3" s="871"/>
      <c r="D3" s="864" t="s">
        <v>168</v>
      </c>
      <c r="E3" s="864"/>
      <c r="F3" s="864"/>
      <c r="G3" s="864" t="s">
        <v>182</v>
      </c>
      <c r="H3" s="864"/>
      <c r="I3" s="864"/>
      <c r="J3" s="864"/>
      <c r="K3" s="864"/>
      <c r="L3" s="864"/>
      <c r="M3" s="864"/>
      <c r="N3" s="864"/>
      <c r="O3" s="864"/>
      <c r="P3" s="864"/>
      <c r="Q3" s="864"/>
      <c r="R3" s="864"/>
      <c r="S3" s="864"/>
      <c r="T3" s="864" t="s">
        <v>169</v>
      </c>
      <c r="U3" s="876" t="s">
        <v>777</v>
      </c>
      <c r="V3" s="885" t="s">
        <v>803</v>
      </c>
      <c r="W3" s="885" t="s">
        <v>779</v>
      </c>
      <c r="X3" s="882" t="s">
        <v>804</v>
      </c>
      <c r="Y3" s="866" t="s">
        <v>170</v>
      </c>
      <c r="AA3" s="864" t="s">
        <v>805</v>
      </c>
      <c r="AB3" s="864"/>
      <c r="AC3" s="864"/>
      <c r="AD3" s="864"/>
      <c r="AE3" s="864"/>
      <c r="AF3" s="864"/>
      <c r="AG3" s="864"/>
      <c r="AH3" s="864"/>
      <c r="AI3" s="864"/>
    </row>
    <row r="4" spans="2:35" ht="17.149999999999999" customHeight="1">
      <c r="B4" s="872"/>
      <c r="C4" s="873"/>
      <c r="D4" s="865" t="s">
        <v>167</v>
      </c>
      <c r="E4" s="864" t="s">
        <v>171</v>
      </c>
      <c r="F4" s="864"/>
      <c r="G4" s="864" t="s">
        <v>183</v>
      </c>
      <c r="H4" s="864"/>
      <c r="I4" s="864"/>
      <c r="J4" s="864"/>
      <c r="K4" s="864"/>
      <c r="L4" s="864"/>
      <c r="M4" s="864"/>
      <c r="N4" s="864"/>
      <c r="O4" s="864" t="s">
        <v>172</v>
      </c>
      <c r="P4" s="864"/>
      <c r="Q4" s="864"/>
      <c r="R4" s="864"/>
      <c r="S4" s="864"/>
      <c r="T4" s="864"/>
      <c r="U4" s="877"/>
      <c r="V4" s="883"/>
      <c r="W4" s="886"/>
      <c r="X4" s="883"/>
      <c r="Y4" s="866"/>
      <c r="AA4" s="864"/>
      <c r="AB4" s="864"/>
      <c r="AC4" s="864"/>
      <c r="AD4" s="864"/>
      <c r="AE4" s="864"/>
      <c r="AF4" s="864"/>
      <c r="AG4" s="864"/>
      <c r="AH4" s="864"/>
      <c r="AI4" s="864"/>
    </row>
    <row r="5" spans="2:35" ht="17.149999999999999" customHeight="1">
      <c r="B5" s="872"/>
      <c r="C5" s="873"/>
      <c r="D5" s="865"/>
      <c r="E5" s="865" t="s">
        <v>173</v>
      </c>
      <c r="F5" s="866" t="s">
        <v>831</v>
      </c>
      <c r="G5" s="867" t="s">
        <v>184</v>
      </c>
      <c r="H5" s="867"/>
      <c r="I5" s="867"/>
      <c r="J5" s="867"/>
      <c r="K5" s="867"/>
      <c r="L5" s="867"/>
      <c r="M5" s="867"/>
      <c r="N5" s="867"/>
      <c r="O5" s="867" t="s">
        <v>166</v>
      </c>
      <c r="P5" s="867"/>
      <c r="Q5" s="867" t="s">
        <v>174</v>
      </c>
      <c r="R5" s="867"/>
      <c r="S5" s="867"/>
      <c r="T5" s="864"/>
      <c r="U5" s="877"/>
      <c r="V5" s="883"/>
      <c r="W5" s="886"/>
      <c r="X5" s="883"/>
      <c r="Y5" s="866"/>
      <c r="AA5" s="864"/>
      <c r="AB5" s="864"/>
      <c r="AC5" s="864"/>
      <c r="AD5" s="864"/>
      <c r="AE5" s="864"/>
      <c r="AF5" s="864"/>
      <c r="AG5" s="864"/>
      <c r="AH5" s="864"/>
      <c r="AI5" s="864"/>
    </row>
    <row r="6" spans="2:35" ht="38.5" customHeight="1">
      <c r="B6" s="874"/>
      <c r="C6" s="875"/>
      <c r="D6" s="865"/>
      <c r="E6" s="865"/>
      <c r="F6" s="866"/>
      <c r="G6" s="399" t="s">
        <v>175</v>
      </c>
      <c r="H6" s="399" t="s">
        <v>806</v>
      </c>
      <c r="I6" s="399" t="s">
        <v>807</v>
      </c>
      <c r="J6" s="399" t="s">
        <v>176</v>
      </c>
      <c r="K6" s="399" t="s">
        <v>808</v>
      </c>
      <c r="L6" s="399" t="s">
        <v>177</v>
      </c>
      <c r="M6" s="399" t="s">
        <v>185</v>
      </c>
      <c r="N6" s="399" t="s">
        <v>178</v>
      </c>
      <c r="O6" s="400" t="s">
        <v>179</v>
      </c>
      <c r="P6" s="400" t="s">
        <v>180</v>
      </c>
      <c r="Q6" s="400" t="s">
        <v>179</v>
      </c>
      <c r="R6" s="400" t="s">
        <v>180</v>
      </c>
      <c r="S6" s="399" t="s">
        <v>181</v>
      </c>
      <c r="T6" s="864"/>
      <c r="U6" s="878"/>
      <c r="V6" s="884"/>
      <c r="W6" s="887"/>
      <c r="X6" s="884"/>
      <c r="Y6" s="866"/>
      <c r="AA6" s="225" t="s">
        <v>809</v>
      </c>
      <c r="AB6" s="225" t="s">
        <v>757</v>
      </c>
      <c r="AC6" s="387" t="s">
        <v>810</v>
      </c>
      <c r="AD6" s="387" t="s">
        <v>759</v>
      </c>
      <c r="AE6" s="387" t="s">
        <v>811</v>
      </c>
      <c r="AF6" s="387" t="s">
        <v>812</v>
      </c>
      <c r="AG6" s="387" t="s">
        <v>813</v>
      </c>
      <c r="AH6" s="387" t="s">
        <v>763</v>
      </c>
      <c r="AI6" s="387" t="s">
        <v>814</v>
      </c>
    </row>
    <row r="7" spans="2:35" s="413" customFormat="1" ht="27" customHeight="1">
      <c r="B7" s="857" t="s">
        <v>1030</v>
      </c>
      <c r="C7" s="858"/>
      <c r="D7" s="401">
        <v>1</v>
      </c>
      <c r="E7" s="402" t="s">
        <v>356</v>
      </c>
      <c r="F7" s="403">
        <v>1923.9463199999957</v>
      </c>
      <c r="G7" s="403">
        <v>262.428</v>
      </c>
      <c r="H7" s="403">
        <v>266.2</v>
      </c>
      <c r="I7" s="404">
        <v>1.0143734662459798</v>
      </c>
      <c r="J7" s="403">
        <v>0</v>
      </c>
      <c r="K7" s="404">
        <v>0</v>
      </c>
      <c r="L7" s="403">
        <v>510.06</v>
      </c>
      <c r="M7" s="404">
        <v>1.0143734662459798</v>
      </c>
      <c r="N7" s="405">
        <v>1923.9463199999957</v>
      </c>
      <c r="O7" s="403">
        <v>1.5999999999999999</v>
      </c>
      <c r="P7" s="404">
        <v>6.096910390659533E-3</v>
      </c>
      <c r="Q7" s="403">
        <v>816.096</v>
      </c>
      <c r="R7" s="406">
        <v>3.7719999999999914</v>
      </c>
      <c r="S7" s="404">
        <v>1.4373466245979818E-2</v>
      </c>
      <c r="T7" s="407" t="s">
        <v>346</v>
      </c>
      <c r="U7" s="407" t="s">
        <v>213</v>
      </c>
      <c r="V7" s="450" t="s">
        <v>916</v>
      </c>
      <c r="W7" s="450" t="s">
        <v>917</v>
      </c>
      <c r="X7" s="408">
        <v>1</v>
      </c>
      <c r="Y7" s="409" t="s">
        <v>357</v>
      </c>
      <c r="Z7" s="410" t="s">
        <v>795</v>
      </c>
      <c r="AA7" s="411">
        <f>SUM(X7:X26)</f>
        <v>20</v>
      </c>
      <c r="AB7" s="412">
        <f>SUMIF($U$7:$U$26,TRIM(AB6),$X$7:$X$26)</f>
        <v>0</v>
      </c>
      <c r="AC7" s="412">
        <f>SUMIF($U$7:$U$26,TRIM(AC6),$X$7:$X$26)</f>
        <v>0</v>
      </c>
      <c r="AD7" s="412">
        <f t="shared" ref="AD7:AI7" ca="1" si="0">SUMIF($U$7:$U$9710,TRIM(AD6),$X$7:$X$26)</f>
        <v>3</v>
      </c>
      <c r="AE7" s="412">
        <f t="shared" ca="1" si="0"/>
        <v>9</v>
      </c>
      <c r="AF7" s="412">
        <f t="shared" ca="1" si="0"/>
        <v>5</v>
      </c>
      <c r="AG7" s="412">
        <f t="shared" ca="1" si="0"/>
        <v>3</v>
      </c>
      <c r="AH7" s="412">
        <f t="shared" ca="1" si="0"/>
        <v>0</v>
      </c>
      <c r="AI7" s="412">
        <f t="shared" ca="1" si="0"/>
        <v>0</v>
      </c>
    </row>
    <row r="8" spans="2:35" s="413" customFormat="1" ht="27" customHeight="1">
      <c r="B8" s="859"/>
      <c r="C8" s="860"/>
      <c r="D8" s="401">
        <v>2</v>
      </c>
      <c r="E8" s="402" t="s">
        <v>841</v>
      </c>
      <c r="F8" s="403">
        <v>1882.8967000000014</v>
      </c>
      <c r="G8" s="403">
        <v>862.89</v>
      </c>
      <c r="H8" s="403">
        <v>879.2</v>
      </c>
      <c r="I8" s="404">
        <v>1.0189015981179526</v>
      </c>
      <c r="J8" s="403">
        <v>1.8</v>
      </c>
      <c r="K8" s="404">
        <v>2.0860132809512222E-3</v>
      </c>
      <c r="L8" s="403">
        <v>103.97</v>
      </c>
      <c r="M8" s="404">
        <v>1.0209876113989036</v>
      </c>
      <c r="N8" s="405">
        <v>1695.7507000000062</v>
      </c>
      <c r="O8" s="403">
        <v>8.4</v>
      </c>
      <c r="P8" s="404">
        <v>9.7347286444390366E-3</v>
      </c>
      <c r="Q8" s="403">
        <v>873.34800000000007</v>
      </c>
      <c r="R8" s="406">
        <v>18.110000000000014</v>
      </c>
      <c r="S8" s="404">
        <v>2.0987611398903702E-2</v>
      </c>
      <c r="T8" s="414" t="s">
        <v>352</v>
      </c>
      <c r="U8" s="407" t="s">
        <v>416</v>
      </c>
      <c r="V8" s="450" t="s">
        <v>922</v>
      </c>
      <c r="W8" s="451" t="s">
        <v>909</v>
      </c>
      <c r="X8" s="408">
        <v>1</v>
      </c>
      <c r="Y8" s="409" t="s">
        <v>836</v>
      </c>
      <c r="AA8" s="411"/>
      <c r="AB8" s="415">
        <f>SUMIF($U$7:$U$26,TRIM(AB6),$F$7:$F$26)</f>
        <v>0</v>
      </c>
      <c r="AC8" s="415">
        <f>SUMIF($U$7:$U$26,TRIM(AC6),$F$7:$F$26)</f>
        <v>0</v>
      </c>
      <c r="AD8" s="415">
        <f t="shared" ref="AD8:AI8" ca="1" si="1">SUMIF($U$7:$U$176,TRIM(AD6),$F$7:$F$26)</f>
        <v>4566.049100000002</v>
      </c>
      <c r="AE8" s="415">
        <f t="shared" ca="1" si="1"/>
        <v>12694.373069999985</v>
      </c>
      <c r="AF8" s="415">
        <f t="shared" ca="1" si="1"/>
        <v>6735.8776599999837</v>
      </c>
      <c r="AG8" s="415">
        <f t="shared" ca="1" si="1"/>
        <v>5140.3288799999918</v>
      </c>
      <c r="AH8" s="415">
        <f t="shared" ca="1" si="1"/>
        <v>0</v>
      </c>
      <c r="AI8" s="415">
        <f t="shared" ca="1" si="1"/>
        <v>0</v>
      </c>
    </row>
    <row r="9" spans="2:35" s="413" customFormat="1" ht="27" customHeight="1">
      <c r="B9" s="859"/>
      <c r="C9" s="860"/>
      <c r="D9" s="401">
        <v>3</v>
      </c>
      <c r="E9" s="402" t="s">
        <v>417</v>
      </c>
      <c r="F9" s="403">
        <v>1812.3412799999937</v>
      </c>
      <c r="G9" s="403">
        <v>74.052000000000007</v>
      </c>
      <c r="H9" s="403">
        <v>76</v>
      </c>
      <c r="I9" s="404">
        <v>1.0263058391400637</v>
      </c>
      <c r="J9" s="403">
        <v>0</v>
      </c>
      <c r="K9" s="404">
        <v>0</v>
      </c>
      <c r="L9" s="403">
        <v>930.36</v>
      </c>
      <c r="M9" s="404">
        <v>1.0263058391400637</v>
      </c>
      <c r="N9" s="405">
        <v>1812.3412799999937</v>
      </c>
      <c r="O9" s="403">
        <v>0.6</v>
      </c>
      <c r="P9" s="404">
        <v>8.1024145195268179E-3</v>
      </c>
      <c r="Q9" s="403">
        <v>558.21600000000001</v>
      </c>
      <c r="R9" s="406">
        <v>1.9479999999999933</v>
      </c>
      <c r="S9" s="404">
        <v>2.6305839140063646E-2</v>
      </c>
      <c r="T9" s="401" t="s">
        <v>346</v>
      </c>
      <c r="U9" s="407" t="s">
        <v>213</v>
      </c>
      <c r="V9" s="450" t="s">
        <v>920</v>
      </c>
      <c r="W9" s="451" t="s">
        <v>921</v>
      </c>
      <c r="X9" s="408">
        <v>1</v>
      </c>
      <c r="Y9" s="409" t="s">
        <v>383</v>
      </c>
      <c r="AB9" s="894">
        <f>AB7/$AA$7</f>
        <v>0</v>
      </c>
      <c r="AC9" s="894">
        <f t="shared" ref="AC9:AI9" si="2">AC7/$AA$7</f>
        <v>0</v>
      </c>
      <c r="AD9" s="894">
        <f t="shared" ca="1" si="2"/>
        <v>0.15</v>
      </c>
      <c r="AE9" s="894">
        <f t="shared" ca="1" si="2"/>
        <v>0.45</v>
      </c>
      <c r="AF9" s="894">
        <f t="shared" ca="1" si="2"/>
        <v>0.25</v>
      </c>
      <c r="AG9" s="894">
        <f t="shared" ca="1" si="2"/>
        <v>0.15</v>
      </c>
      <c r="AH9" s="894">
        <f t="shared" ca="1" si="2"/>
        <v>0</v>
      </c>
      <c r="AI9" s="894">
        <f t="shared" ca="1" si="2"/>
        <v>0</v>
      </c>
    </row>
    <row r="10" spans="2:35" s="413" customFormat="1" ht="27" customHeight="1">
      <c r="B10" s="859"/>
      <c r="C10" s="860"/>
      <c r="D10" s="401">
        <v>4</v>
      </c>
      <c r="E10" s="402" t="s">
        <v>870</v>
      </c>
      <c r="F10" s="403">
        <v>1598.0401499999816</v>
      </c>
      <c r="G10" s="403">
        <v>1931.5450000000001</v>
      </c>
      <c r="H10" s="403">
        <v>1953.6999999999998</v>
      </c>
      <c r="I10" s="404">
        <v>1.0114700925942703</v>
      </c>
      <c r="J10" s="403">
        <v>0</v>
      </c>
      <c r="K10" s="404">
        <v>0</v>
      </c>
      <c r="L10" s="403">
        <v>72.13</v>
      </c>
      <c r="M10" s="404">
        <v>1.0114700925942703</v>
      </c>
      <c r="N10" s="405">
        <v>1598.0401499999816</v>
      </c>
      <c r="O10" s="403">
        <v>10.3</v>
      </c>
      <c r="P10" s="404">
        <v>5.3325187867743181E-3</v>
      </c>
      <c r="Q10" s="403">
        <v>742.93900000000008</v>
      </c>
      <c r="R10" s="406">
        <v>22.154999999999745</v>
      </c>
      <c r="S10" s="404">
        <v>1.1470092594270257E-2</v>
      </c>
      <c r="T10" s="407" t="s">
        <v>344</v>
      </c>
      <c r="U10" s="407" t="s">
        <v>747</v>
      </c>
      <c r="V10" s="450" t="s">
        <v>906</v>
      </c>
      <c r="W10" s="450" t="s">
        <v>907</v>
      </c>
      <c r="X10" s="408">
        <v>1</v>
      </c>
      <c r="Y10" s="409" t="s">
        <v>864</v>
      </c>
    </row>
    <row r="11" spans="2:35" s="413" customFormat="1" ht="27" customHeight="1">
      <c r="B11" s="859"/>
      <c r="C11" s="860"/>
      <c r="D11" s="401">
        <v>5</v>
      </c>
      <c r="E11" s="402" t="s">
        <v>868</v>
      </c>
      <c r="F11" s="403">
        <v>1551.5112600000391</v>
      </c>
      <c r="G11" s="403">
        <v>1855.6659999999999</v>
      </c>
      <c r="H11" s="403">
        <v>1867.0000000000002</v>
      </c>
      <c r="I11" s="404">
        <v>1.0061077801716474</v>
      </c>
      <c r="J11" s="403">
        <v>0</v>
      </c>
      <c r="K11" s="404">
        <v>0</v>
      </c>
      <c r="L11" s="403">
        <v>136.88999999999999</v>
      </c>
      <c r="M11" s="404">
        <v>1.0061077801716474</v>
      </c>
      <c r="N11" s="405">
        <v>1551.5112600000391</v>
      </c>
      <c r="O11" s="403">
        <v>6.2</v>
      </c>
      <c r="P11" s="404">
        <v>3.3411184986953473E-3</v>
      </c>
      <c r="Q11" s="403">
        <v>848.71799999999996</v>
      </c>
      <c r="R11" s="406">
        <v>11.334000000000287</v>
      </c>
      <c r="S11" s="404">
        <v>6.1077801716474239E-3</v>
      </c>
      <c r="T11" s="407" t="s">
        <v>346</v>
      </c>
      <c r="U11" s="407" t="s">
        <v>212</v>
      </c>
      <c r="V11" s="450" t="s">
        <v>926</v>
      </c>
      <c r="W11" s="451" t="s">
        <v>910</v>
      </c>
      <c r="X11" s="408">
        <v>1</v>
      </c>
      <c r="Y11" s="409" t="s">
        <v>354</v>
      </c>
    </row>
    <row r="12" spans="2:35" s="413" customFormat="1" ht="27" customHeight="1">
      <c r="B12" s="859"/>
      <c r="C12" s="860"/>
      <c r="D12" s="401">
        <v>6</v>
      </c>
      <c r="E12" s="402" t="s">
        <v>884</v>
      </c>
      <c r="F12" s="403">
        <v>1535.123880000009</v>
      </c>
      <c r="G12" s="403">
        <v>781.53899999999999</v>
      </c>
      <c r="H12" s="403">
        <v>791.7</v>
      </c>
      <c r="I12" s="404">
        <v>1.0130012705699909</v>
      </c>
      <c r="J12" s="403">
        <v>0</v>
      </c>
      <c r="K12" s="404">
        <v>0</v>
      </c>
      <c r="L12" s="403">
        <v>151.08000000000001</v>
      </c>
      <c r="M12" s="404">
        <v>1.0130012705699909</v>
      </c>
      <c r="N12" s="405">
        <v>1535.123880000009</v>
      </c>
      <c r="O12" s="403">
        <v>4.9999999999999991</v>
      </c>
      <c r="P12" s="404">
        <v>6.3976333874573108E-3</v>
      </c>
      <c r="Q12" s="403">
        <v>755.4</v>
      </c>
      <c r="R12" s="406">
        <v>10.161000000000058</v>
      </c>
      <c r="S12" s="404">
        <v>1.3001270569990824E-2</v>
      </c>
      <c r="T12" s="407" t="s">
        <v>344</v>
      </c>
      <c r="U12" s="407" t="s">
        <v>747</v>
      </c>
      <c r="V12" s="450" t="s">
        <v>918</v>
      </c>
      <c r="W12" s="450" t="s">
        <v>919</v>
      </c>
      <c r="X12" s="408">
        <v>1</v>
      </c>
      <c r="Y12" s="409" t="s">
        <v>883</v>
      </c>
    </row>
    <row r="13" spans="2:35" s="413" customFormat="1" ht="27" customHeight="1">
      <c r="B13" s="859"/>
      <c r="C13" s="860"/>
      <c r="D13" s="401">
        <v>7</v>
      </c>
      <c r="E13" s="402" t="s">
        <v>903</v>
      </c>
      <c r="F13" s="403">
        <v>1457.6480000000136</v>
      </c>
      <c r="G13" s="403">
        <v>2207.25</v>
      </c>
      <c r="H13" s="403">
        <v>2226.8000000000002</v>
      </c>
      <c r="I13" s="404">
        <v>1.0088571752180315</v>
      </c>
      <c r="J13" s="403">
        <v>0</v>
      </c>
      <c r="K13" s="404">
        <v>0</v>
      </c>
      <c r="L13" s="403">
        <v>74.56</v>
      </c>
      <c r="M13" s="404">
        <v>1.0088571752180315</v>
      </c>
      <c r="N13" s="405">
        <v>1457.6480000000136</v>
      </c>
      <c r="O13" s="403">
        <v>7.8000000000000007</v>
      </c>
      <c r="P13" s="404">
        <v>3.5338090383961948E-3</v>
      </c>
      <c r="Q13" s="403">
        <v>581.56799999999998</v>
      </c>
      <c r="R13" s="406">
        <v>19.550000000000182</v>
      </c>
      <c r="S13" s="404">
        <v>8.8571752180315703E-3</v>
      </c>
      <c r="T13" s="401" t="s">
        <v>344</v>
      </c>
      <c r="U13" s="407" t="s">
        <v>747</v>
      </c>
      <c r="V13" s="450" t="s">
        <v>906</v>
      </c>
      <c r="W13" s="451" t="s">
        <v>907</v>
      </c>
      <c r="X13" s="408">
        <v>1</v>
      </c>
      <c r="Y13" s="409" t="s">
        <v>894</v>
      </c>
      <c r="AB13" s="413">
        <v>1</v>
      </c>
      <c r="AC13" s="416" t="s">
        <v>757</v>
      </c>
    </row>
    <row r="14" spans="2:35" s="413" customFormat="1" ht="27" customHeight="1">
      <c r="B14" s="859"/>
      <c r="C14" s="860"/>
      <c r="D14" s="401">
        <v>8</v>
      </c>
      <c r="E14" s="402" t="s">
        <v>902</v>
      </c>
      <c r="F14" s="403">
        <v>1446.3479999999975</v>
      </c>
      <c r="G14" s="403">
        <v>128.57499999999999</v>
      </c>
      <c r="H14" s="403">
        <v>131.1</v>
      </c>
      <c r="I14" s="404">
        <v>1.0196383433793506</v>
      </c>
      <c r="J14" s="403">
        <v>0.7</v>
      </c>
      <c r="K14" s="404">
        <v>5.4442932140773871E-3</v>
      </c>
      <c r="L14" s="403">
        <v>448.48</v>
      </c>
      <c r="M14" s="404">
        <v>1.025082636593428</v>
      </c>
      <c r="N14" s="405">
        <v>1132.4120000000025</v>
      </c>
      <c r="O14" s="403">
        <v>1.3</v>
      </c>
      <c r="P14" s="404">
        <v>1.0110830254715148E-2</v>
      </c>
      <c r="Q14" s="403">
        <v>583.02400000000011</v>
      </c>
      <c r="R14" s="406">
        <v>3.2249999999999943</v>
      </c>
      <c r="S14" s="404">
        <v>2.508263659342792E-2</v>
      </c>
      <c r="T14" s="407" t="s">
        <v>352</v>
      </c>
      <c r="U14" s="407" t="s">
        <v>416</v>
      </c>
      <c r="V14" s="450" t="s">
        <v>922</v>
      </c>
      <c r="W14" s="450" t="s">
        <v>909</v>
      </c>
      <c r="X14" s="408">
        <v>1</v>
      </c>
      <c r="Y14" s="409" t="s">
        <v>839</v>
      </c>
      <c r="AB14" s="413">
        <v>2</v>
      </c>
      <c r="AC14" s="416" t="s">
        <v>353</v>
      </c>
    </row>
    <row r="15" spans="2:35" s="413" customFormat="1" ht="27" customHeight="1">
      <c r="B15" s="859"/>
      <c r="C15" s="860"/>
      <c r="D15" s="401">
        <v>9</v>
      </c>
      <c r="E15" s="402" t="s">
        <v>1016</v>
      </c>
      <c r="F15" s="403">
        <v>1425.7432799999992</v>
      </c>
      <c r="G15" s="403">
        <v>717.072</v>
      </c>
      <c r="H15" s="403">
        <v>723</v>
      </c>
      <c r="I15" s="404">
        <v>1.0082669522725751</v>
      </c>
      <c r="J15" s="403">
        <v>0</v>
      </c>
      <c r="K15" s="404">
        <v>0</v>
      </c>
      <c r="L15" s="403">
        <v>240.51</v>
      </c>
      <c r="M15" s="404">
        <v>1.0082669522725751</v>
      </c>
      <c r="N15" s="405">
        <v>1425.7432799999992</v>
      </c>
      <c r="O15" s="403">
        <v>2.5000000000000004</v>
      </c>
      <c r="P15" s="404">
        <v>3.4864002499051705E-3</v>
      </c>
      <c r="Q15" s="403">
        <v>601.27499999999998</v>
      </c>
      <c r="R15" s="406">
        <v>5.9279999999999973</v>
      </c>
      <c r="S15" s="404">
        <v>8.2669522725751354E-3</v>
      </c>
      <c r="T15" s="407" t="s">
        <v>344</v>
      </c>
      <c r="U15" s="407" t="s">
        <v>747</v>
      </c>
      <c r="V15" s="450" t="s">
        <v>1024</v>
      </c>
      <c r="W15" s="450" t="s">
        <v>919</v>
      </c>
      <c r="X15" s="408">
        <v>1</v>
      </c>
      <c r="Y15" s="409" t="s">
        <v>929</v>
      </c>
      <c r="AB15" s="413">
        <v>3</v>
      </c>
      <c r="AC15" s="416" t="s">
        <v>416</v>
      </c>
    </row>
    <row r="16" spans="2:35" s="413" customFormat="1" ht="27" customHeight="1">
      <c r="B16" s="859"/>
      <c r="C16" s="860"/>
      <c r="D16" s="401">
        <v>10</v>
      </c>
      <c r="E16" s="402" t="s">
        <v>423</v>
      </c>
      <c r="F16" s="403">
        <v>1404.0412800000026</v>
      </c>
      <c r="G16" s="403">
        <v>142.34399999999999</v>
      </c>
      <c r="H16" s="403">
        <v>145.5</v>
      </c>
      <c r="I16" s="404">
        <v>1.0221716405327939</v>
      </c>
      <c r="J16" s="403">
        <v>0</v>
      </c>
      <c r="K16" s="404">
        <v>0</v>
      </c>
      <c r="L16" s="403">
        <v>444.88</v>
      </c>
      <c r="M16" s="404">
        <v>1.0221716405327939</v>
      </c>
      <c r="N16" s="405">
        <v>1404.0412800000026</v>
      </c>
      <c r="O16" s="403">
        <v>1.2000000000000002</v>
      </c>
      <c r="P16" s="404">
        <v>8.4302815714044858E-3</v>
      </c>
      <c r="Q16" s="403">
        <v>533.85599999999999</v>
      </c>
      <c r="R16" s="406">
        <v>3.1560000000000059</v>
      </c>
      <c r="S16" s="404">
        <v>2.2171640532793836E-2</v>
      </c>
      <c r="T16" s="407" t="s">
        <v>346</v>
      </c>
      <c r="U16" s="407" t="s">
        <v>213</v>
      </c>
      <c r="V16" s="450" t="s">
        <v>916</v>
      </c>
      <c r="W16" s="450" t="s">
        <v>917</v>
      </c>
      <c r="X16" s="408">
        <v>1</v>
      </c>
      <c r="Y16" s="409" t="s">
        <v>422</v>
      </c>
      <c r="AB16" s="413">
        <v>4</v>
      </c>
      <c r="AC16" s="416" t="s">
        <v>796</v>
      </c>
    </row>
    <row r="17" spans="2:29" s="413" customFormat="1" ht="27" customHeight="1">
      <c r="B17" s="859"/>
      <c r="C17" s="860"/>
      <c r="D17" s="401">
        <v>11</v>
      </c>
      <c r="E17" s="402" t="s">
        <v>1002</v>
      </c>
      <c r="F17" s="403">
        <v>1396.9767999999924</v>
      </c>
      <c r="G17" s="403">
        <v>1434.144</v>
      </c>
      <c r="H17" s="403">
        <v>1452.1</v>
      </c>
      <c r="I17" s="404">
        <v>1.0125203605774593</v>
      </c>
      <c r="J17" s="403">
        <v>0</v>
      </c>
      <c r="K17" s="404">
        <v>0</v>
      </c>
      <c r="L17" s="403">
        <v>77.8</v>
      </c>
      <c r="M17" s="404">
        <v>1.0125203605774593</v>
      </c>
      <c r="N17" s="405">
        <v>1396.9767999999924</v>
      </c>
      <c r="O17" s="403">
        <v>10.200000000000001</v>
      </c>
      <c r="P17" s="404">
        <v>7.1122565098065476E-3</v>
      </c>
      <c r="Q17" s="403">
        <v>793.56</v>
      </c>
      <c r="R17" s="406">
        <v>17.955999999999904</v>
      </c>
      <c r="S17" s="404">
        <v>1.2520360577459378E-2</v>
      </c>
      <c r="T17" s="407" t="s">
        <v>344</v>
      </c>
      <c r="U17" s="407" t="s">
        <v>747</v>
      </c>
      <c r="V17" s="450" t="s">
        <v>1024</v>
      </c>
      <c r="W17" s="450" t="s">
        <v>919</v>
      </c>
      <c r="X17" s="408">
        <v>1</v>
      </c>
      <c r="Y17" s="409" t="s">
        <v>929</v>
      </c>
      <c r="AB17" s="413">
        <v>5</v>
      </c>
      <c r="AC17" s="416" t="s">
        <v>212</v>
      </c>
    </row>
    <row r="18" spans="2:29" s="413" customFormat="1" ht="27" customHeight="1">
      <c r="B18" s="859"/>
      <c r="C18" s="860"/>
      <c r="D18" s="401">
        <v>12</v>
      </c>
      <c r="E18" s="402" t="s">
        <v>885</v>
      </c>
      <c r="F18" s="403">
        <v>1396.0155599999873</v>
      </c>
      <c r="G18" s="403">
        <v>1231.5160000000001</v>
      </c>
      <c r="H18" s="403">
        <v>1244.8</v>
      </c>
      <c r="I18" s="404">
        <v>1.0107867051666399</v>
      </c>
      <c r="J18" s="403">
        <v>0</v>
      </c>
      <c r="K18" s="404">
        <v>0</v>
      </c>
      <c r="L18" s="403">
        <v>105.09</v>
      </c>
      <c r="M18" s="404">
        <v>1.0107867051666399</v>
      </c>
      <c r="N18" s="405">
        <v>1396.0155599999873</v>
      </c>
      <c r="O18" s="403">
        <v>6.9</v>
      </c>
      <c r="P18" s="404">
        <v>5.6028504704770379E-3</v>
      </c>
      <c r="Q18" s="403">
        <v>725.12100000000009</v>
      </c>
      <c r="R18" s="406">
        <v>13.283999999999878</v>
      </c>
      <c r="S18" s="404">
        <v>1.0786705166640041E-2</v>
      </c>
      <c r="T18" s="401" t="s">
        <v>344</v>
      </c>
      <c r="U18" s="407" t="s">
        <v>747</v>
      </c>
      <c r="V18" s="450" t="s">
        <v>906</v>
      </c>
      <c r="W18" s="451" t="s">
        <v>907</v>
      </c>
      <c r="X18" s="408">
        <v>1</v>
      </c>
      <c r="Y18" s="409" t="s">
        <v>883</v>
      </c>
      <c r="AB18" s="413">
        <v>6</v>
      </c>
      <c r="AC18" s="416" t="s">
        <v>213</v>
      </c>
    </row>
    <row r="19" spans="2:29" s="413" customFormat="1" ht="27" customHeight="1">
      <c r="B19" s="859"/>
      <c r="C19" s="860"/>
      <c r="D19" s="401">
        <v>13</v>
      </c>
      <c r="E19" s="402" t="s">
        <v>418</v>
      </c>
      <c r="F19" s="403">
        <v>1366.0725</v>
      </c>
      <c r="G19" s="403">
        <v>517.65</v>
      </c>
      <c r="H19" s="403">
        <v>520.9</v>
      </c>
      <c r="I19" s="404">
        <v>1.0062783734183329</v>
      </c>
      <c r="J19" s="403">
        <v>0</v>
      </c>
      <c r="K19" s="404">
        <v>0</v>
      </c>
      <c r="L19" s="403">
        <v>420.33</v>
      </c>
      <c r="M19" s="404">
        <v>1.0062783734183329</v>
      </c>
      <c r="N19" s="405">
        <v>1366.0725</v>
      </c>
      <c r="O19" s="403">
        <v>1.4999999999999998</v>
      </c>
      <c r="P19" s="404">
        <v>2.8977108084613152E-3</v>
      </c>
      <c r="Q19" s="403">
        <v>630.495</v>
      </c>
      <c r="R19" s="406">
        <v>3.25</v>
      </c>
      <c r="S19" s="404">
        <v>6.2783734183328504E-3</v>
      </c>
      <c r="T19" s="407" t="s">
        <v>346</v>
      </c>
      <c r="U19" s="407" t="s">
        <v>212</v>
      </c>
      <c r="V19" s="450" t="s">
        <v>1031</v>
      </c>
      <c r="W19" s="451" t="s">
        <v>925</v>
      </c>
      <c r="X19" s="408">
        <v>1</v>
      </c>
      <c r="Y19" s="409" t="s">
        <v>393</v>
      </c>
      <c r="AB19" s="413">
        <v>7</v>
      </c>
      <c r="AC19" s="416" t="s">
        <v>798</v>
      </c>
    </row>
    <row r="20" spans="2:29" s="413" customFormat="1" ht="27" customHeight="1">
      <c r="B20" s="859"/>
      <c r="C20" s="860"/>
      <c r="D20" s="401">
        <v>14</v>
      </c>
      <c r="E20" s="402" t="s">
        <v>913</v>
      </c>
      <c r="F20" s="403">
        <v>1323.2565099999517</v>
      </c>
      <c r="G20" s="403">
        <v>1908.9970000000003</v>
      </c>
      <c r="H20" s="403">
        <v>1920.8999999999999</v>
      </c>
      <c r="I20" s="404">
        <v>1.0062352114749262</v>
      </c>
      <c r="J20" s="403">
        <v>0</v>
      </c>
      <c r="K20" s="404">
        <v>0</v>
      </c>
      <c r="L20" s="403">
        <v>111.17</v>
      </c>
      <c r="M20" s="404">
        <v>1.0062352114749262</v>
      </c>
      <c r="N20" s="405">
        <v>1323.2565099999517</v>
      </c>
      <c r="O20" s="403">
        <v>7.3000000000000007</v>
      </c>
      <c r="P20" s="404">
        <v>3.8239976280738E-3</v>
      </c>
      <c r="Q20" s="403">
        <v>811.54099999999994</v>
      </c>
      <c r="R20" s="406">
        <v>11.902999999999565</v>
      </c>
      <c r="S20" s="404">
        <v>6.2352114749261332E-3</v>
      </c>
      <c r="T20" s="407" t="s">
        <v>344</v>
      </c>
      <c r="U20" s="407" t="s">
        <v>747</v>
      </c>
      <c r="V20" s="450" t="s">
        <v>923</v>
      </c>
      <c r="W20" s="450" t="s">
        <v>915</v>
      </c>
      <c r="X20" s="408">
        <v>1</v>
      </c>
      <c r="Y20" s="409" t="s">
        <v>354</v>
      </c>
      <c r="AB20" s="413">
        <v>8</v>
      </c>
      <c r="AC20" s="417" t="s">
        <v>799</v>
      </c>
    </row>
    <row r="21" spans="2:29" s="413" customFormat="1" ht="27" customHeight="1">
      <c r="B21" s="859"/>
      <c r="C21" s="860"/>
      <c r="D21" s="401">
        <v>15</v>
      </c>
      <c r="E21" s="402" t="s">
        <v>419</v>
      </c>
      <c r="F21" s="403">
        <v>1301.3158400000252</v>
      </c>
      <c r="G21" s="403">
        <v>955.79199999999992</v>
      </c>
      <c r="H21" s="403">
        <v>966.00000000000011</v>
      </c>
      <c r="I21" s="404">
        <v>1.010680147981988</v>
      </c>
      <c r="J21" s="403">
        <v>0</v>
      </c>
      <c r="K21" s="404">
        <v>0</v>
      </c>
      <c r="L21" s="403">
        <v>127.48</v>
      </c>
      <c r="M21" s="404">
        <v>1.010680147981988</v>
      </c>
      <c r="N21" s="405">
        <v>1301.3158400000252</v>
      </c>
      <c r="O21" s="403">
        <v>5.8000000000000007</v>
      </c>
      <c r="P21" s="404">
        <v>6.0682658988566564E-3</v>
      </c>
      <c r="Q21" s="403">
        <v>739.38400000000001</v>
      </c>
      <c r="R21" s="406">
        <v>10.208000000000197</v>
      </c>
      <c r="S21" s="404">
        <v>1.0680147981987921E-2</v>
      </c>
      <c r="T21" s="407" t="s">
        <v>344</v>
      </c>
      <c r="U21" s="407" t="s">
        <v>747</v>
      </c>
      <c r="V21" s="450" t="s">
        <v>906</v>
      </c>
      <c r="W21" s="450" t="s">
        <v>907</v>
      </c>
      <c r="X21" s="408">
        <v>1</v>
      </c>
      <c r="Y21" s="409" t="s">
        <v>351</v>
      </c>
      <c r="AC21" s="416"/>
    </row>
    <row r="22" spans="2:29" s="413" customFormat="1" ht="27" customHeight="1">
      <c r="B22" s="859"/>
      <c r="C22" s="860"/>
      <c r="D22" s="401">
        <v>16</v>
      </c>
      <c r="E22" s="402" t="s">
        <v>882</v>
      </c>
      <c r="F22" s="403">
        <v>1293.8142399999806</v>
      </c>
      <c r="G22" s="403">
        <v>295.84800000000001</v>
      </c>
      <c r="H22" s="403">
        <v>299.69999999999993</v>
      </c>
      <c r="I22" s="404">
        <v>1.013020199561937</v>
      </c>
      <c r="J22" s="403">
        <v>0.8</v>
      </c>
      <c r="K22" s="404">
        <v>2.7040912901219547E-3</v>
      </c>
      <c r="L22" s="403">
        <v>278.12</v>
      </c>
      <c r="M22" s="404">
        <v>1.015724290852059</v>
      </c>
      <c r="N22" s="405">
        <v>1071.3182399999773</v>
      </c>
      <c r="O22" s="403">
        <v>2.7</v>
      </c>
      <c r="P22" s="404">
        <v>9.1263081041615974E-3</v>
      </c>
      <c r="Q22" s="403">
        <v>750.92399999999998</v>
      </c>
      <c r="R22" s="406">
        <v>4.65199999999993</v>
      </c>
      <c r="S22" s="404">
        <v>1.5724290852058929E-2</v>
      </c>
      <c r="T22" s="407" t="s">
        <v>346</v>
      </c>
      <c r="U22" s="407" t="s">
        <v>212</v>
      </c>
      <c r="V22" s="450" t="s">
        <v>924</v>
      </c>
      <c r="W22" s="450" t="s">
        <v>925</v>
      </c>
      <c r="X22" s="408">
        <v>1</v>
      </c>
      <c r="Y22" s="409" t="s">
        <v>836</v>
      </c>
      <c r="AC22" s="416"/>
    </row>
    <row r="23" spans="2:29" s="413" customFormat="1" ht="27" customHeight="1">
      <c r="B23" s="859"/>
      <c r="C23" s="860"/>
      <c r="D23" s="401">
        <v>17</v>
      </c>
      <c r="E23" s="402" t="s">
        <v>1005</v>
      </c>
      <c r="F23" s="403">
        <v>1265.4000000000001</v>
      </c>
      <c r="G23" s="403">
        <v>373.40000000000003</v>
      </c>
      <c r="H23" s="403">
        <v>377.90000000000003</v>
      </c>
      <c r="I23" s="404">
        <v>1.0120514193893948</v>
      </c>
      <c r="J23" s="403">
        <v>0.5</v>
      </c>
      <c r="K23" s="404">
        <v>1.339046598821639E-3</v>
      </c>
      <c r="L23" s="403">
        <v>253.08</v>
      </c>
      <c r="M23" s="404">
        <v>1.0133904659882165</v>
      </c>
      <c r="N23" s="405">
        <v>1138.8600000000001</v>
      </c>
      <c r="O23" s="403">
        <v>2.7</v>
      </c>
      <c r="P23" s="404">
        <v>7.2308516336368504E-3</v>
      </c>
      <c r="Q23" s="403">
        <v>683.31600000000003</v>
      </c>
      <c r="R23" s="406">
        <v>5</v>
      </c>
      <c r="S23" s="404">
        <v>1.3390465988216388E-2</v>
      </c>
      <c r="T23" s="407" t="s">
        <v>346</v>
      </c>
      <c r="U23" s="407" t="s">
        <v>212</v>
      </c>
      <c r="V23" s="450" t="s">
        <v>924</v>
      </c>
      <c r="W23" s="451" t="s">
        <v>925</v>
      </c>
      <c r="X23" s="408">
        <v>1</v>
      </c>
      <c r="Y23" s="409" t="s">
        <v>395</v>
      </c>
      <c r="AB23" s="418">
        <v>1</v>
      </c>
      <c r="AC23" s="416" t="s">
        <v>352</v>
      </c>
    </row>
    <row r="24" spans="2:29" s="413" customFormat="1" ht="27" customHeight="1">
      <c r="B24" s="859"/>
      <c r="C24" s="860"/>
      <c r="D24" s="401">
        <v>18</v>
      </c>
      <c r="E24" s="402" t="s">
        <v>1032</v>
      </c>
      <c r="F24" s="403">
        <v>1260.2530500000244</v>
      </c>
      <c r="G24" s="403">
        <v>510.96699999999998</v>
      </c>
      <c r="H24" s="403">
        <v>515.30000000000007</v>
      </c>
      <c r="I24" s="404">
        <v>1.0084799996868683</v>
      </c>
      <c r="J24" s="403">
        <v>0</v>
      </c>
      <c r="K24" s="404">
        <v>0</v>
      </c>
      <c r="L24" s="403">
        <v>290.85000000000002</v>
      </c>
      <c r="M24" s="404">
        <v>1.0084799996868683</v>
      </c>
      <c r="N24" s="405">
        <v>1260.2530500000244</v>
      </c>
      <c r="O24" s="403">
        <v>2.2000000000000002</v>
      </c>
      <c r="P24" s="404">
        <v>4.3055618073182811E-3</v>
      </c>
      <c r="Q24" s="403">
        <v>639.87000000000012</v>
      </c>
      <c r="R24" s="406">
        <v>4.3330000000000837</v>
      </c>
      <c r="S24" s="404">
        <v>8.4799996868683957E-3</v>
      </c>
      <c r="T24" s="407" t="s">
        <v>344</v>
      </c>
      <c r="U24" s="407" t="s">
        <v>747</v>
      </c>
      <c r="V24" s="450" t="s">
        <v>1033</v>
      </c>
      <c r="W24" s="451" t="s">
        <v>1034</v>
      </c>
      <c r="X24" s="408">
        <v>1</v>
      </c>
      <c r="Y24" s="409" t="s">
        <v>1035</v>
      </c>
      <c r="AB24" s="413">
        <v>2</v>
      </c>
      <c r="AC24" s="416" t="s">
        <v>420</v>
      </c>
    </row>
    <row r="25" spans="2:29" s="413" customFormat="1" ht="27" customHeight="1">
      <c r="B25" s="859"/>
      <c r="C25" s="860"/>
      <c r="D25" s="401">
        <v>19</v>
      </c>
      <c r="E25" s="402" t="s">
        <v>887</v>
      </c>
      <c r="F25" s="403">
        <v>1259.0796599999653</v>
      </c>
      <c r="G25" s="403">
        <v>369.24900000000008</v>
      </c>
      <c r="H25" s="403">
        <v>373.79999999999995</v>
      </c>
      <c r="I25" s="404">
        <v>1.0123250164523123</v>
      </c>
      <c r="J25" s="403">
        <v>0</v>
      </c>
      <c r="K25" s="404">
        <v>0</v>
      </c>
      <c r="L25" s="403">
        <v>276.66000000000003</v>
      </c>
      <c r="M25" s="404">
        <v>1.0123250164523123</v>
      </c>
      <c r="N25" s="405">
        <v>1259.0796599999653</v>
      </c>
      <c r="O25" s="403">
        <v>1.5</v>
      </c>
      <c r="P25" s="404">
        <v>4.0622994239659406E-3</v>
      </c>
      <c r="Q25" s="403">
        <v>414.99</v>
      </c>
      <c r="R25" s="406">
        <v>4.550999999999874</v>
      </c>
      <c r="S25" s="404">
        <v>1.2325016452312322E-2</v>
      </c>
      <c r="T25" s="407" t="s">
        <v>346</v>
      </c>
      <c r="U25" s="407" t="s">
        <v>212</v>
      </c>
      <c r="V25" s="450" t="s">
        <v>924</v>
      </c>
      <c r="W25" s="450" t="s">
        <v>925</v>
      </c>
      <c r="X25" s="408">
        <v>1</v>
      </c>
      <c r="Y25" s="409" t="s">
        <v>354</v>
      </c>
      <c r="AB25" s="419">
        <v>3</v>
      </c>
      <c r="AC25" s="416" t="s">
        <v>344</v>
      </c>
    </row>
    <row r="26" spans="2:29" s="413" customFormat="1" ht="27" customHeight="1">
      <c r="B26" s="861"/>
      <c r="C26" s="862"/>
      <c r="D26" s="401">
        <v>20</v>
      </c>
      <c r="E26" s="402" t="s">
        <v>1027</v>
      </c>
      <c r="F26" s="403">
        <v>1236.8044000000027</v>
      </c>
      <c r="G26" s="403">
        <v>662.84</v>
      </c>
      <c r="H26" s="403">
        <v>679.30000000000007</v>
      </c>
      <c r="I26" s="404">
        <v>1.0248325387725545</v>
      </c>
      <c r="J26" s="403">
        <v>0</v>
      </c>
      <c r="K26" s="404">
        <v>0</v>
      </c>
      <c r="L26" s="403">
        <v>75.14</v>
      </c>
      <c r="M26" s="404">
        <v>1.0248325387725545</v>
      </c>
      <c r="N26" s="405">
        <v>1236.8044000000027</v>
      </c>
      <c r="O26" s="403">
        <v>9.4</v>
      </c>
      <c r="P26" s="404">
        <v>1.4181401243135598E-2</v>
      </c>
      <c r="Q26" s="403">
        <v>706.31600000000014</v>
      </c>
      <c r="R26" s="406">
        <v>16.460000000000036</v>
      </c>
      <c r="S26" s="404">
        <v>2.4832538772554515E-2</v>
      </c>
      <c r="T26" s="407" t="s">
        <v>352</v>
      </c>
      <c r="U26" s="407" t="s">
        <v>416</v>
      </c>
      <c r="V26" s="450" t="s">
        <v>922</v>
      </c>
      <c r="W26" s="451" t="s">
        <v>909</v>
      </c>
      <c r="X26" s="408">
        <v>1</v>
      </c>
      <c r="Y26" s="409" t="s">
        <v>354</v>
      </c>
      <c r="AB26" s="419">
        <v>4</v>
      </c>
      <c r="AC26" s="416" t="s">
        <v>346</v>
      </c>
    </row>
    <row r="27" spans="2:29" ht="29.5" customHeight="1">
      <c r="C27" s="863"/>
      <c r="AB27" s="413"/>
      <c r="AC27" s="416"/>
    </row>
    <row r="28" spans="2:29">
      <c r="C28" s="863"/>
    </row>
    <row r="29" spans="2:29">
      <c r="C29" s="863"/>
    </row>
    <row r="30" spans="2:29">
      <c r="C30" s="863"/>
    </row>
    <row r="31" spans="2:29">
      <c r="C31" s="863"/>
    </row>
    <row r="32" spans="2:29">
      <c r="C32" s="863"/>
    </row>
    <row r="33" spans="3:3">
      <c r="C33" s="863"/>
    </row>
    <row r="34" spans="3:3">
      <c r="C34" s="863"/>
    </row>
    <row r="35" spans="3:3">
      <c r="C35" s="863"/>
    </row>
    <row r="36" spans="3:3">
      <c r="C36" s="863"/>
    </row>
    <row r="67" ht="14.15" customHeight="1"/>
    <row r="77" ht="14.15" customHeight="1"/>
    <row r="87" ht="14.15" customHeight="1"/>
    <row r="112" spans="26:26">
      <c r="Z112" s="420" t="s">
        <v>800</v>
      </c>
    </row>
    <row r="113" spans="26:26">
      <c r="Z113" s="413" t="s">
        <v>801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8"/>
  <sheetViews>
    <sheetView topLeftCell="A7" zoomScale="75" zoomScaleNormal="75" workbookViewId="0">
      <selection activeCell="K40" sqref="K40"/>
    </sheetView>
  </sheetViews>
  <sheetFormatPr defaultColWidth="8.26953125" defaultRowHeight="15.5"/>
  <cols>
    <col min="1" max="1" width="18.453125" style="421" customWidth="1"/>
    <col min="2" max="2" width="21.1796875" style="421" bestFit="1" customWidth="1"/>
    <col min="3" max="6" width="14.26953125" style="421" customWidth="1"/>
    <col min="7" max="10" width="18.453125" style="421" customWidth="1"/>
    <col min="11" max="11" width="17.1796875" style="421" bestFit="1" customWidth="1"/>
    <col min="12" max="12" width="16" style="421" customWidth="1"/>
    <col min="13" max="13" width="23.26953125" style="421" bestFit="1" customWidth="1"/>
    <col min="14" max="15" width="13.26953125" style="421" bestFit="1" customWidth="1"/>
    <col min="16" max="16" width="8.26953125" style="421"/>
    <col min="17" max="17" width="12.81640625" style="421" bestFit="1" customWidth="1"/>
    <col min="18" max="16384" width="8.26953125" style="421"/>
  </cols>
  <sheetData>
    <row r="1" spans="1:18" ht="27" customHeight="1">
      <c r="A1" s="888" t="s">
        <v>842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  <c r="M1" s="888"/>
      <c r="N1" s="888"/>
      <c r="O1" s="888"/>
    </row>
    <row r="2" spans="1:18" ht="16.5" customHeight="1">
      <c r="A2" s="889" t="s">
        <v>843</v>
      </c>
      <c r="B2" s="889" t="s">
        <v>844</v>
      </c>
      <c r="C2" s="889" t="s">
        <v>845</v>
      </c>
      <c r="D2" s="889" t="s">
        <v>846</v>
      </c>
      <c r="E2" s="889" t="s">
        <v>847</v>
      </c>
      <c r="F2" s="889" t="s">
        <v>848</v>
      </c>
      <c r="G2" s="889" t="s">
        <v>849</v>
      </c>
      <c r="H2" s="889"/>
      <c r="I2" s="889" t="s">
        <v>850</v>
      </c>
      <c r="J2" s="889"/>
      <c r="K2" s="889" t="s">
        <v>851</v>
      </c>
      <c r="L2" s="889"/>
      <c r="M2" s="890" t="s">
        <v>852</v>
      </c>
      <c r="N2" s="890"/>
      <c r="O2" s="890"/>
    </row>
    <row r="3" spans="1:18" ht="37.5" customHeight="1">
      <c r="A3" s="889"/>
      <c r="B3" s="889"/>
      <c r="C3" s="889"/>
      <c r="D3" s="889"/>
      <c r="E3" s="889"/>
      <c r="F3" s="889"/>
      <c r="G3" s="477" t="s">
        <v>853</v>
      </c>
      <c r="H3" s="477" t="s">
        <v>854</v>
      </c>
      <c r="I3" s="477" t="s">
        <v>853</v>
      </c>
      <c r="J3" s="477" t="s">
        <v>854</v>
      </c>
      <c r="K3" s="477" t="s">
        <v>855</v>
      </c>
      <c r="L3" s="477" t="s">
        <v>856</v>
      </c>
      <c r="M3" s="477" t="s">
        <v>857</v>
      </c>
      <c r="N3" s="422" t="s">
        <v>858</v>
      </c>
      <c r="O3" s="422" t="s">
        <v>859</v>
      </c>
    </row>
    <row r="4" spans="1:18" ht="18">
      <c r="A4" s="423">
        <v>45986</v>
      </c>
      <c r="B4" s="507">
        <v>8318316</v>
      </c>
      <c r="C4" s="507">
        <v>20466</v>
      </c>
      <c r="D4" s="503">
        <f t="shared" ref="D4:D24" si="0">C4/B4</f>
        <v>2.4603537542935371E-3</v>
      </c>
      <c r="E4" s="509">
        <v>16281.741198774615</v>
      </c>
      <c r="F4" s="427">
        <f t="shared" ref="F4:F24" si="1">E4/B4</f>
        <v>1.957336220308848E-3</v>
      </c>
      <c r="G4" s="507">
        <v>1516.3430000000001</v>
      </c>
      <c r="H4" s="428">
        <f t="shared" ref="H4:H38" si="2">G4/C4</f>
        <v>7.4090833577640972E-2</v>
      </c>
      <c r="I4" s="512">
        <v>1718.658220000008</v>
      </c>
      <c r="J4" s="511">
        <f t="shared" ref="J4:J38" si="3">I4/E4</f>
        <v>0.10555739702639153</v>
      </c>
      <c r="K4" s="513">
        <v>3243.489</v>
      </c>
      <c r="L4" s="514">
        <f t="shared" ref="L4:L38" si="4">K4/C4</f>
        <v>0.15848182351216653</v>
      </c>
      <c r="M4" s="891">
        <f>SUM(B4:B10)</f>
        <v>49954974</v>
      </c>
      <c r="N4" s="892">
        <f>SUM(C4:C10)</f>
        <v>122936</v>
      </c>
      <c r="O4" s="892">
        <f>SUM(E4:E10)</f>
        <v>110726.85705083513</v>
      </c>
    </row>
    <row r="5" spans="1:18" ht="18">
      <c r="A5" s="432">
        <f t="shared" ref="A5:A38" si="5">A4+1</f>
        <v>45987</v>
      </c>
      <c r="B5" s="452">
        <v>7756470</v>
      </c>
      <c r="C5" s="452">
        <v>19247</v>
      </c>
      <c r="D5" s="503">
        <f t="shared" si="0"/>
        <v>2.4814122919317679E-3</v>
      </c>
      <c r="E5" s="453">
        <v>16063.685379109198</v>
      </c>
      <c r="F5" s="427">
        <f t="shared" si="1"/>
        <v>2.0710046424609646E-3</v>
      </c>
      <c r="G5" s="452">
        <v>1488.4550000000002</v>
      </c>
      <c r="H5" s="428">
        <f t="shared" si="2"/>
        <v>7.7334389775029877E-2</v>
      </c>
      <c r="I5" s="429">
        <v>1847.1848900000048</v>
      </c>
      <c r="J5" s="428">
        <f t="shared" si="3"/>
        <v>0.11499135138704013</v>
      </c>
      <c r="K5" s="454">
        <v>3538.0310000000004</v>
      </c>
      <c r="L5" s="455">
        <f t="shared" si="4"/>
        <v>0.18382246583883205</v>
      </c>
      <c r="M5" s="891"/>
      <c r="N5" s="892"/>
      <c r="O5" s="892"/>
    </row>
    <row r="6" spans="1:18" ht="18">
      <c r="A6" s="432">
        <f t="shared" si="5"/>
        <v>45988</v>
      </c>
      <c r="B6" s="452">
        <v>6880716</v>
      </c>
      <c r="C6" s="452">
        <v>16921</v>
      </c>
      <c r="D6" s="503">
        <f t="shared" si="0"/>
        <v>2.4591917469054094E-3</v>
      </c>
      <c r="E6" s="453">
        <v>15903.341798785403</v>
      </c>
      <c r="F6" s="427">
        <f t="shared" si="1"/>
        <v>2.3112917026055723E-3</v>
      </c>
      <c r="G6" s="452">
        <v>1451.518</v>
      </c>
      <c r="H6" s="428">
        <f t="shared" si="2"/>
        <v>8.5782045978370081E-2</v>
      </c>
      <c r="I6" s="429">
        <v>1573.5087099999989</v>
      </c>
      <c r="J6" s="428">
        <f t="shared" si="3"/>
        <v>9.8942016709983163E-2</v>
      </c>
      <c r="K6" s="454">
        <v>3132.4360000000001</v>
      </c>
      <c r="L6" s="455">
        <f t="shared" si="4"/>
        <v>0.18512121033035872</v>
      </c>
      <c r="M6" s="891"/>
      <c r="N6" s="892"/>
      <c r="O6" s="892"/>
    </row>
    <row r="7" spans="1:18" ht="18">
      <c r="A7" s="432">
        <f t="shared" si="5"/>
        <v>45989</v>
      </c>
      <c r="B7" s="452">
        <v>5979636</v>
      </c>
      <c r="C7" s="452">
        <v>14597</v>
      </c>
      <c r="D7" s="503">
        <f t="shared" si="0"/>
        <v>2.4411184894866512E-3</v>
      </c>
      <c r="E7" s="453">
        <v>15829.072100280455</v>
      </c>
      <c r="F7" s="427">
        <f t="shared" si="1"/>
        <v>2.6471631551285824E-3</v>
      </c>
      <c r="G7" s="452">
        <v>1394.6921</v>
      </c>
      <c r="H7" s="428">
        <f t="shared" si="2"/>
        <v>9.554648900458998E-2</v>
      </c>
      <c r="I7" s="429">
        <v>1323.0198300000034</v>
      </c>
      <c r="J7" s="428">
        <f t="shared" si="3"/>
        <v>8.3581641527589137E-2</v>
      </c>
      <c r="K7" s="454">
        <v>2651.4429999999998</v>
      </c>
      <c r="L7" s="455">
        <f t="shared" si="4"/>
        <v>0.18164300883743234</v>
      </c>
      <c r="M7" s="891"/>
      <c r="N7" s="892"/>
      <c r="O7" s="892"/>
    </row>
    <row r="8" spans="1:18" ht="18">
      <c r="A8" s="432">
        <f t="shared" si="5"/>
        <v>45990</v>
      </c>
      <c r="B8" s="452">
        <v>6214482</v>
      </c>
      <c r="C8" s="452">
        <v>15485</v>
      </c>
      <c r="D8" s="503">
        <f t="shared" si="0"/>
        <v>2.4917603752010226E-3</v>
      </c>
      <c r="E8" s="453">
        <v>15886.458218507583</v>
      </c>
      <c r="F8" s="427">
        <f t="shared" si="1"/>
        <v>2.5563608066621777E-3</v>
      </c>
      <c r="G8" s="452">
        <v>1485.0889999999999</v>
      </c>
      <c r="H8" s="428">
        <f t="shared" si="2"/>
        <v>9.5905004843396827E-2</v>
      </c>
      <c r="I8" s="429">
        <v>1344.904479999997</v>
      </c>
      <c r="J8" s="428">
        <f t="shared" si="3"/>
        <v>8.4657288711035367E-2</v>
      </c>
      <c r="K8" s="454">
        <v>2813.5970000000011</v>
      </c>
      <c r="L8" s="455">
        <f t="shared" si="4"/>
        <v>0.18169822408782701</v>
      </c>
      <c r="M8" s="891"/>
      <c r="N8" s="892"/>
      <c r="O8" s="892"/>
      <c r="P8" s="433"/>
      <c r="Q8" s="433"/>
    </row>
    <row r="9" spans="1:18" ht="18">
      <c r="A9" s="432">
        <f t="shared" si="5"/>
        <v>45991</v>
      </c>
      <c r="B9" s="452">
        <v>7543855</v>
      </c>
      <c r="C9" s="452">
        <v>18496</v>
      </c>
      <c r="D9" s="503">
        <f t="shared" si="0"/>
        <v>2.4517968598282975E-3</v>
      </c>
      <c r="E9" s="453">
        <v>15022.165937373034</v>
      </c>
      <c r="F9" s="427">
        <f t="shared" si="1"/>
        <v>1.9913115956461296E-3</v>
      </c>
      <c r="G9" s="452">
        <v>1513.62</v>
      </c>
      <c r="H9" s="428">
        <f t="shared" si="2"/>
        <v>8.1834991349480968E-2</v>
      </c>
      <c r="I9" s="429">
        <v>1808.1150600000008</v>
      </c>
      <c r="J9" s="428">
        <f t="shared" si="3"/>
        <v>0.12036313987862862</v>
      </c>
      <c r="K9" s="454">
        <v>3558.8510000000001</v>
      </c>
      <c r="L9" s="455">
        <f t="shared" si="4"/>
        <v>0.19241192690311421</v>
      </c>
      <c r="M9" s="891"/>
      <c r="N9" s="892"/>
      <c r="O9" s="892"/>
    </row>
    <row r="10" spans="1:18" ht="18.5" thickBot="1">
      <c r="A10" s="432">
        <f t="shared" si="5"/>
        <v>45992</v>
      </c>
      <c r="B10" s="515">
        <v>7261499</v>
      </c>
      <c r="C10" s="515">
        <v>17724</v>
      </c>
      <c r="D10" s="503">
        <f t="shared" si="0"/>
        <v>2.4408183489386969E-3</v>
      </c>
      <c r="E10" s="517">
        <v>15740.392418004834</v>
      </c>
      <c r="F10" s="427">
        <f t="shared" si="1"/>
        <v>2.1676505660890174E-3</v>
      </c>
      <c r="G10" s="515">
        <v>1561.5250000000001</v>
      </c>
      <c r="H10" s="488">
        <f t="shared" si="2"/>
        <v>8.8102290679304904E-2</v>
      </c>
      <c r="I10" s="489">
        <v>1342.3432099999959</v>
      </c>
      <c r="J10" s="488">
        <f t="shared" si="3"/>
        <v>8.5280161660044818E-2</v>
      </c>
      <c r="K10" s="518">
        <v>3142.170000000001</v>
      </c>
      <c r="L10" s="519">
        <f t="shared" si="4"/>
        <v>0.17728334461746789</v>
      </c>
      <c r="M10" s="891"/>
      <c r="N10" s="892"/>
      <c r="O10" s="892"/>
    </row>
    <row r="11" spans="1:18" ht="18">
      <c r="A11" s="432">
        <f t="shared" si="5"/>
        <v>45993</v>
      </c>
      <c r="B11" s="424">
        <v>7236654</v>
      </c>
      <c r="C11" s="424">
        <v>17660</v>
      </c>
      <c r="D11" s="503">
        <f t="shared" si="0"/>
        <v>2.4403543405557321E-3</v>
      </c>
      <c r="E11" s="426">
        <v>15368.912016474487</v>
      </c>
      <c r="F11" s="427">
        <f t="shared" si="1"/>
        <v>2.1237594082119289E-3</v>
      </c>
      <c r="G11" s="424">
        <v>1468.518</v>
      </c>
      <c r="H11" s="428">
        <f t="shared" si="2"/>
        <v>8.3155039637599099E-2</v>
      </c>
      <c r="I11" s="429">
        <v>1615.4171899999928</v>
      </c>
      <c r="J11" s="428">
        <f t="shared" si="3"/>
        <v>0.10510940450881424</v>
      </c>
      <c r="K11" s="430">
        <v>2777.7230000000004</v>
      </c>
      <c r="L11" s="431">
        <f t="shared" si="4"/>
        <v>0.15728895809739527</v>
      </c>
      <c r="M11" s="891">
        <f>SUM(B11:B17)</f>
        <v>47582302</v>
      </c>
      <c r="N11" s="892">
        <f>SUM(C11:C17)</f>
        <v>116707.33200000001</v>
      </c>
      <c r="O11" s="892">
        <f>SUM(E11:E17)</f>
        <v>104435.35944224003</v>
      </c>
    </row>
    <row r="12" spans="1:18" ht="18">
      <c r="A12" s="432">
        <f t="shared" si="5"/>
        <v>45994</v>
      </c>
      <c r="B12" s="424">
        <v>6888543</v>
      </c>
      <c r="C12" s="424">
        <v>16806.167000000001</v>
      </c>
      <c r="D12" s="503">
        <f t="shared" si="0"/>
        <v>2.4397273850217675E-3</v>
      </c>
      <c r="E12" s="426">
        <v>15330.114731498068</v>
      </c>
      <c r="F12" s="427">
        <f t="shared" si="1"/>
        <v>2.2254509743929985E-3</v>
      </c>
      <c r="G12" s="424">
        <v>1577.9150000000002</v>
      </c>
      <c r="H12" s="428">
        <f t="shared" si="2"/>
        <v>9.3889046800498893E-2</v>
      </c>
      <c r="I12" s="429">
        <v>1787.2988400000004</v>
      </c>
      <c r="J12" s="428">
        <f t="shared" si="3"/>
        <v>0.11658744055761835</v>
      </c>
      <c r="K12" s="430">
        <v>3085.6879999999996</v>
      </c>
      <c r="L12" s="431">
        <f t="shared" si="4"/>
        <v>0.18360450660760419</v>
      </c>
      <c r="M12" s="891"/>
      <c r="N12" s="892"/>
      <c r="O12" s="892"/>
    </row>
    <row r="13" spans="1:18" ht="18">
      <c r="A13" s="432">
        <f t="shared" si="5"/>
        <v>45995</v>
      </c>
      <c r="B13" s="424">
        <v>6535954</v>
      </c>
      <c r="C13" s="424">
        <v>16156.165000000012</v>
      </c>
      <c r="D13" s="503">
        <f t="shared" si="0"/>
        <v>2.4718908670409876E-3</v>
      </c>
      <c r="E13" s="426">
        <v>15663.999577474271</v>
      </c>
      <c r="F13" s="427">
        <f t="shared" si="1"/>
        <v>2.3965896298343394E-3</v>
      </c>
      <c r="G13" s="424">
        <v>1455.2670000000001</v>
      </c>
      <c r="H13" s="428">
        <f t="shared" si="2"/>
        <v>9.0075027087183068E-2</v>
      </c>
      <c r="I13" s="429">
        <v>1546.5034999999932</v>
      </c>
      <c r="J13" s="428">
        <f t="shared" si="3"/>
        <v>9.8729797096263575E-2</v>
      </c>
      <c r="K13" s="430">
        <v>3345.1859999999983</v>
      </c>
      <c r="L13" s="431">
        <f t="shared" si="4"/>
        <v>0.20705322086027197</v>
      </c>
      <c r="M13" s="891"/>
      <c r="N13" s="892"/>
      <c r="O13" s="892"/>
    </row>
    <row r="14" spans="1:18" ht="18">
      <c r="A14" s="432">
        <f t="shared" si="5"/>
        <v>45996</v>
      </c>
      <c r="B14" s="424">
        <v>6075465</v>
      </c>
      <c r="C14" s="424">
        <v>14940</v>
      </c>
      <c r="D14" s="503">
        <f t="shared" si="0"/>
        <v>2.4590710340689974E-3</v>
      </c>
      <c r="E14" s="426">
        <v>15405.288757771003</v>
      </c>
      <c r="F14" s="427">
        <f t="shared" si="1"/>
        <v>2.5356559140363747E-3</v>
      </c>
      <c r="G14" s="424">
        <v>1451.2930000000001</v>
      </c>
      <c r="H14" s="428">
        <f t="shared" si="2"/>
        <v>9.7141432396251684E-2</v>
      </c>
      <c r="I14" s="429">
        <v>1305.0970199999972</v>
      </c>
      <c r="J14" s="428">
        <f t="shared" si="3"/>
        <v>8.471746557438968E-2</v>
      </c>
      <c r="K14" s="430">
        <v>2873.9709999999991</v>
      </c>
      <c r="L14" s="431">
        <f t="shared" si="4"/>
        <v>0.1923675368139223</v>
      </c>
      <c r="M14" s="891"/>
      <c r="N14" s="892"/>
      <c r="O14" s="892"/>
    </row>
    <row r="15" spans="1:18" ht="18">
      <c r="A15" s="432">
        <f t="shared" si="5"/>
        <v>45997</v>
      </c>
      <c r="B15" s="424">
        <v>6262543</v>
      </c>
      <c r="C15" s="424">
        <v>15475</v>
      </c>
      <c r="D15" s="503">
        <f t="shared" si="0"/>
        <v>2.4710409174036811E-3</v>
      </c>
      <c r="E15" s="426">
        <v>13555.74259173166</v>
      </c>
      <c r="F15" s="427">
        <f t="shared" si="1"/>
        <v>2.1645747728569146E-3</v>
      </c>
      <c r="G15" s="424">
        <v>1317.5630000000001</v>
      </c>
      <c r="H15" s="428">
        <f t="shared" si="2"/>
        <v>8.5141389337641357E-2</v>
      </c>
      <c r="I15" s="429">
        <v>1569.8210000000004</v>
      </c>
      <c r="J15" s="428">
        <f t="shared" si="3"/>
        <v>0.11580486936639786</v>
      </c>
      <c r="K15" s="430">
        <v>2823.7730000000001</v>
      </c>
      <c r="L15" s="431">
        <f t="shared" si="4"/>
        <v>0.18247321486268175</v>
      </c>
      <c r="M15" s="891"/>
      <c r="N15" s="892"/>
      <c r="O15" s="892"/>
      <c r="P15" s="434"/>
      <c r="Q15" s="434"/>
      <c r="R15" s="434"/>
    </row>
    <row r="16" spans="1:18" ht="18">
      <c r="A16" s="432">
        <f t="shared" si="5"/>
        <v>45998</v>
      </c>
      <c r="B16" s="424">
        <v>7283314</v>
      </c>
      <c r="C16" s="424">
        <v>17841</v>
      </c>
      <c r="D16" s="503">
        <f t="shared" si="0"/>
        <v>2.4495717196869448E-3</v>
      </c>
      <c r="E16" s="426">
        <v>15085.303306493555</v>
      </c>
      <c r="F16" s="427">
        <f t="shared" si="1"/>
        <v>2.0712141899269418E-3</v>
      </c>
      <c r="G16" s="424">
        <v>1471.3390000000002</v>
      </c>
      <c r="H16" s="428">
        <f t="shared" si="2"/>
        <v>8.2469536460960724E-2</v>
      </c>
      <c r="I16" s="429">
        <v>1593.0897400000028</v>
      </c>
      <c r="J16" s="428">
        <f t="shared" si="3"/>
        <v>0.10560541658544235</v>
      </c>
      <c r="K16" s="430">
        <v>3064.2290000000003</v>
      </c>
      <c r="L16" s="431">
        <f t="shared" si="4"/>
        <v>0.17175208788745028</v>
      </c>
      <c r="M16" s="891"/>
      <c r="N16" s="892"/>
      <c r="O16" s="892"/>
    </row>
    <row r="17" spans="1:17" ht="18">
      <c r="A17" s="432">
        <f t="shared" si="5"/>
        <v>45999</v>
      </c>
      <c r="B17" s="424">
        <v>7299829</v>
      </c>
      <c r="C17" s="424">
        <v>17829</v>
      </c>
      <c r="D17" s="503">
        <f t="shared" si="0"/>
        <v>2.4423859791784163E-3</v>
      </c>
      <c r="E17" s="426">
        <v>14025.998460796985</v>
      </c>
      <c r="F17" s="427">
        <f t="shared" si="1"/>
        <v>1.9214146606443775E-3</v>
      </c>
      <c r="G17" s="424">
        <v>1485.3820000000001</v>
      </c>
      <c r="H17" s="428">
        <f t="shared" si="2"/>
        <v>8.331269280385889E-2</v>
      </c>
      <c r="I17" s="429">
        <v>1618.6063800000065</v>
      </c>
      <c r="J17" s="428">
        <f t="shared" si="3"/>
        <v>0.11540043901502282</v>
      </c>
      <c r="K17" s="430">
        <v>2804.4780000000001</v>
      </c>
      <c r="L17" s="431">
        <f t="shared" si="4"/>
        <v>0.15729867070503115</v>
      </c>
      <c r="M17" s="891"/>
      <c r="N17" s="892"/>
      <c r="O17" s="892"/>
      <c r="P17" s="435"/>
      <c r="Q17" s="435"/>
    </row>
    <row r="18" spans="1:17" ht="18">
      <c r="A18" s="432">
        <f t="shared" si="5"/>
        <v>46000</v>
      </c>
      <c r="B18" s="424">
        <v>7768298</v>
      </c>
      <c r="C18" s="424">
        <v>19049</v>
      </c>
      <c r="D18" s="503">
        <f t="shared" si="0"/>
        <v>2.4521458883271473E-3</v>
      </c>
      <c r="E18" s="426">
        <v>14452.306598236863</v>
      </c>
      <c r="F18" s="427">
        <f t="shared" si="1"/>
        <v>1.8604212400498621E-3</v>
      </c>
      <c r="G18" s="424">
        <v>1480.941</v>
      </c>
      <c r="H18" s="428">
        <f t="shared" si="2"/>
        <v>7.7743766076959417E-2</v>
      </c>
      <c r="I18" s="429">
        <v>1570.3910899999987</v>
      </c>
      <c r="J18" s="428">
        <f t="shared" si="3"/>
        <v>0.10866023906464742</v>
      </c>
      <c r="K18" s="430">
        <v>3100.8519999999999</v>
      </c>
      <c r="L18" s="431">
        <f t="shared" si="4"/>
        <v>0.16278292823770277</v>
      </c>
      <c r="M18" s="891">
        <f>SUM(B18:B24)</f>
        <v>49743811</v>
      </c>
      <c r="N18" s="892">
        <f>SUM(C18:C24)</f>
        <v>122573</v>
      </c>
      <c r="O18" s="892">
        <f>SUM(E18:E24)</f>
        <v>101215.76197099355</v>
      </c>
    </row>
    <row r="19" spans="1:17" ht="18">
      <c r="A19" s="432">
        <f t="shared" si="5"/>
        <v>46001</v>
      </c>
      <c r="B19" s="424">
        <v>7532086</v>
      </c>
      <c r="C19" s="424">
        <v>18600</v>
      </c>
      <c r="D19" s="503">
        <f t="shared" si="0"/>
        <v>2.4694354259895599E-3</v>
      </c>
      <c r="E19" s="426">
        <v>14551.960468697871</v>
      </c>
      <c r="F19" s="427">
        <f t="shared" si="1"/>
        <v>1.9319960590861377E-3</v>
      </c>
      <c r="G19" s="424">
        <v>1519.569</v>
      </c>
      <c r="H19" s="428">
        <f t="shared" si="2"/>
        <v>8.1697258064516123E-2</v>
      </c>
      <c r="I19" s="429">
        <v>1526.8413800000026</v>
      </c>
      <c r="J19" s="428">
        <f t="shared" si="3"/>
        <v>0.10492341449692148</v>
      </c>
      <c r="K19" s="430">
        <v>2392.8180000000002</v>
      </c>
      <c r="L19" s="431">
        <f t="shared" si="4"/>
        <v>0.12864612903225808</v>
      </c>
      <c r="M19" s="891"/>
      <c r="N19" s="892"/>
      <c r="O19" s="892"/>
    </row>
    <row r="20" spans="1:17" ht="18">
      <c r="A20" s="432">
        <f t="shared" si="5"/>
        <v>46002</v>
      </c>
      <c r="B20" s="424">
        <v>6664969</v>
      </c>
      <c r="C20" s="424">
        <v>16470</v>
      </c>
      <c r="D20" s="503">
        <f t="shared" si="0"/>
        <v>2.4711292730693873E-3</v>
      </c>
      <c r="E20" s="426">
        <v>15071.78440104384</v>
      </c>
      <c r="F20" s="427">
        <f t="shared" si="1"/>
        <v>2.2613435112817238E-3</v>
      </c>
      <c r="G20" s="424">
        <v>1379.3509999999999</v>
      </c>
      <c r="H20" s="428">
        <f t="shared" si="2"/>
        <v>8.3749301760777162E-2</v>
      </c>
      <c r="I20" s="429">
        <v>1740.591629999996</v>
      </c>
      <c r="J20" s="428">
        <f t="shared" si="3"/>
        <v>0.11548676544759003</v>
      </c>
      <c r="K20" s="430">
        <v>2634.9190000000003</v>
      </c>
      <c r="L20" s="431">
        <f t="shared" si="4"/>
        <v>0.15998293867638133</v>
      </c>
      <c r="M20" s="891"/>
      <c r="N20" s="892"/>
      <c r="O20" s="892"/>
    </row>
    <row r="21" spans="1:17" ht="18">
      <c r="A21" s="432">
        <f t="shared" si="5"/>
        <v>46003</v>
      </c>
      <c r="B21" s="424">
        <v>6216944</v>
      </c>
      <c r="C21" s="424">
        <v>15286</v>
      </c>
      <c r="D21" s="503">
        <f t="shared" si="0"/>
        <v>2.4587643060642013E-3</v>
      </c>
      <c r="E21" s="426">
        <v>14205.521514822361</v>
      </c>
      <c r="F21" s="427">
        <f t="shared" si="1"/>
        <v>2.2849685496318388E-3</v>
      </c>
      <c r="G21" s="424">
        <v>1439.0830000000001</v>
      </c>
      <c r="H21" s="428">
        <f t="shared" si="2"/>
        <v>9.4143857124165911E-2</v>
      </c>
      <c r="I21" s="429">
        <v>1511.7476799999993</v>
      </c>
      <c r="J21" s="428">
        <f t="shared" si="3"/>
        <v>0.10641972407859913</v>
      </c>
      <c r="K21" s="430">
        <v>2399.2720000000008</v>
      </c>
      <c r="L21" s="431">
        <f t="shared" si="4"/>
        <v>0.15695878581708758</v>
      </c>
      <c r="M21" s="891"/>
      <c r="N21" s="892"/>
      <c r="O21" s="892"/>
    </row>
    <row r="22" spans="1:17" ht="18">
      <c r="A22" s="432">
        <f t="shared" si="5"/>
        <v>46004</v>
      </c>
      <c r="B22" s="424">
        <v>6402844</v>
      </c>
      <c r="C22" s="424">
        <v>15878</v>
      </c>
      <c r="D22" s="503">
        <f t="shared" si="0"/>
        <v>2.4798355230894269E-3</v>
      </c>
      <c r="E22" s="426">
        <v>13898.014396730701</v>
      </c>
      <c r="F22" s="427">
        <f t="shared" si="1"/>
        <v>2.1706001890301717E-3</v>
      </c>
      <c r="G22" s="424">
        <v>1436.8599999999997</v>
      </c>
      <c r="H22" s="428">
        <f t="shared" si="2"/>
        <v>9.049376495780323E-2</v>
      </c>
      <c r="I22" s="429">
        <v>1355.976350000002</v>
      </c>
      <c r="J22" s="428">
        <f t="shared" si="3"/>
        <v>9.7566192643963226E-2</v>
      </c>
      <c r="K22" s="430">
        <v>2762.2929999999997</v>
      </c>
      <c r="L22" s="431">
        <f t="shared" si="4"/>
        <v>0.17396983247260359</v>
      </c>
      <c r="M22" s="891"/>
      <c r="N22" s="892"/>
      <c r="O22" s="892"/>
    </row>
    <row r="23" spans="1:17" ht="18">
      <c r="A23" s="432">
        <f t="shared" si="5"/>
        <v>46005</v>
      </c>
      <c r="B23" s="424">
        <v>7638376</v>
      </c>
      <c r="C23" s="424">
        <v>18783</v>
      </c>
      <c r="D23" s="503">
        <f t="shared" si="0"/>
        <v>2.4590305583281052E-3</v>
      </c>
      <c r="E23" s="426">
        <v>13955.876678807999</v>
      </c>
      <c r="F23" s="427">
        <f t="shared" si="1"/>
        <v>1.8270738019191513E-3</v>
      </c>
      <c r="G23" s="424">
        <v>1594.37</v>
      </c>
      <c r="H23" s="428">
        <f t="shared" si="2"/>
        <v>8.4883671404993866E-2</v>
      </c>
      <c r="I23" s="429">
        <v>1411.9775799999993</v>
      </c>
      <c r="J23" s="428">
        <f t="shared" si="3"/>
        <v>0.10117440935431075</v>
      </c>
      <c r="K23" s="430">
        <v>2752.4159999999997</v>
      </c>
      <c r="L23" s="431">
        <f t="shared" si="4"/>
        <v>0.1465376137997125</v>
      </c>
      <c r="M23" s="891"/>
      <c r="N23" s="892"/>
      <c r="O23" s="892"/>
    </row>
    <row r="24" spans="1:17" ht="18.5" thickBot="1">
      <c r="A24" s="432">
        <f t="shared" si="5"/>
        <v>46006</v>
      </c>
      <c r="B24" s="485">
        <v>7520294</v>
      </c>
      <c r="C24" s="485">
        <v>18507</v>
      </c>
      <c r="D24" s="503">
        <f t="shared" si="0"/>
        <v>2.4609410217206933E-3</v>
      </c>
      <c r="E24" s="486">
        <v>15080.297912653916</v>
      </c>
      <c r="F24" s="427">
        <f t="shared" si="1"/>
        <v>2.0052803670513302E-3</v>
      </c>
      <c r="G24" s="485">
        <v>1439.3319999999999</v>
      </c>
      <c r="H24" s="488">
        <f t="shared" si="2"/>
        <v>7.7772302372075428E-2</v>
      </c>
      <c r="I24" s="489">
        <v>1392.3948699999994</v>
      </c>
      <c r="J24" s="488">
        <f t="shared" si="3"/>
        <v>9.2332053256828389E-2</v>
      </c>
      <c r="K24" s="490">
        <v>3096.5819999999999</v>
      </c>
      <c r="L24" s="491">
        <f t="shared" si="4"/>
        <v>0.1673195007294537</v>
      </c>
      <c r="M24" s="891"/>
      <c r="N24" s="892"/>
      <c r="O24" s="892"/>
    </row>
    <row r="25" spans="1:17" ht="18">
      <c r="A25" s="432">
        <f t="shared" si="5"/>
        <v>46007</v>
      </c>
      <c r="B25" s="452"/>
      <c r="C25" s="452"/>
      <c r="D25" s="503" t="e">
        <f t="shared" ref="D25:D38" si="6">C25/B25</f>
        <v>#DIV/0!</v>
      </c>
      <c r="E25" s="453"/>
      <c r="F25" s="427" t="e">
        <f t="shared" ref="F25:F38" si="7">E25/B25</f>
        <v>#DIV/0!</v>
      </c>
      <c r="G25" s="452"/>
      <c r="H25" s="428" t="e">
        <f t="shared" ref="H25" si="8">G25/C25</f>
        <v>#DIV/0!</v>
      </c>
      <c r="I25" s="429"/>
      <c r="J25" s="428" t="e">
        <f t="shared" si="3"/>
        <v>#DIV/0!</v>
      </c>
      <c r="K25" s="454"/>
      <c r="L25" s="455" t="e">
        <f t="shared" si="4"/>
        <v>#DIV/0!</v>
      </c>
      <c r="M25" s="891">
        <f>SUM(B25:B31)</f>
        <v>0</v>
      </c>
      <c r="N25" s="892">
        <f>SUM(C25:C31)</f>
        <v>0</v>
      </c>
      <c r="O25" s="892">
        <f>SUM(E25:E31)</f>
        <v>0</v>
      </c>
    </row>
    <row r="26" spans="1:17" ht="18">
      <c r="A26" s="432">
        <f t="shared" si="5"/>
        <v>46008</v>
      </c>
      <c r="B26" s="452"/>
      <c r="C26" s="452"/>
      <c r="D26" s="503" t="e">
        <f t="shared" si="6"/>
        <v>#DIV/0!</v>
      </c>
      <c r="E26" s="453"/>
      <c r="F26" s="427" t="e">
        <f t="shared" si="7"/>
        <v>#DIV/0!</v>
      </c>
      <c r="G26" s="452"/>
      <c r="H26" s="428" t="e">
        <f t="shared" si="2"/>
        <v>#DIV/0!</v>
      </c>
      <c r="I26" s="429"/>
      <c r="J26" s="428" t="e">
        <f t="shared" ref="J26" si="9">I26/E26</f>
        <v>#DIV/0!</v>
      </c>
      <c r="K26" s="454"/>
      <c r="L26" s="455" t="e">
        <f t="shared" si="4"/>
        <v>#DIV/0!</v>
      </c>
      <c r="M26" s="891"/>
      <c r="N26" s="892"/>
      <c r="O26" s="892"/>
    </row>
    <row r="27" spans="1:17" ht="18">
      <c r="A27" s="432">
        <f t="shared" si="5"/>
        <v>46009</v>
      </c>
      <c r="B27" s="452"/>
      <c r="C27" s="452"/>
      <c r="D27" s="503" t="e">
        <f t="shared" si="6"/>
        <v>#DIV/0!</v>
      </c>
      <c r="E27" s="453"/>
      <c r="F27" s="427" t="e">
        <f t="shared" si="7"/>
        <v>#DIV/0!</v>
      </c>
      <c r="G27" s="452"/>
      <c r="H27" s="428" t="e">
        <f t="shared" si="2"/>
        <v>#DIV/0!</v>
      </c>
      <c r="I27" s="429"/>
      <c r="J27" s="428" t="e">
        <f t="shared" si="3"/>
        <v>#DIV/0!</v>
      </c>
      <c r="K27" s="454"/>
      <c r="L27" s="455" t="e">
        <f t="shared" si="4"/>
        <v>#DIV/0!</v>
      </c>
      <c r="M27" s="891"/>
      <c r="N27" s="892"/>
      <c r="O27" s="892"/>
    </row>
    <row r="28" spans="1:17" ht="18">
      <c r="A28" s="432">
        <f t="shared" si="5"/>
        <v>46010</v>
      </c>
      <c r="B28" s="452"/>
      <c r="C28" s="452"/>
      <c r="D28" s="503" t="e">
        <f t="shared" si="6"/>
        <v>#DIV/0!</v>
      </c>
      <c r="E28" s="453"/>
      <c r="F28" s="427" t="e">
        <f t="shared" si="7"/>
        <v>#DIV/0!</v>
      </c>
      <c r="G28" s="452"/>
      <c r="H28" s="428" t="e">
        <f t="shared" si="2"/>
        <v>#DIV/0!</v>
      </c>
      <c r="I28" s="429"/>
      <c r="J28" s="428" t="e">
        <f t="shared" si="3"/>
        <v>#DIV/0!</v>
      </c>
      <c r="K28" s="454"/>
      <c r="L28" s="455" t="e">
        <f t="shared" si="4"/>
        <v>#DIV/0!</v>
      </c>
      <c r="M28" s="891"/>
      <c r="N28" s="892"/>
      <c r="O28" s="892"/>
    </row>
    <row r="29" spans="1:17" ht="18">
      <c r="A29" s="432">
        <f t="shared" si="5"/>
        <v>46011</v>
      </c>
      <c r="B29" s="452"/>
      <c r="C29" s="452"/>
      <c r="D29" s="503" t="e">
        <f t="shared" si="6"/>
        <v>#DIV/0!</v>
      </c>
      <c r="E29" s="453"/>
      <c r="F29" s="427" t="e">
        <f t="shared" si="7"/>
        <v>#DIV/0!</v>
      </c>
      <c r="G29" s="452"/>
      <c r="H29" s="428" t="e">
        <f t="shared" si="2"/>
        <v>#DIV/0!</v>
      </c>
      <c r="I29" s="429"/>
      <c r="J29" s="428" t="e">
        <f t="shared" si="3"/>
        <v>#DIV/0!</v>
      </c>
      <c r="K29" s="454"/>
      <c r="L29" s="455" t="e">
        <f t="shared" si="4"/>
        <v>#DIV/0!</v>
      </c>
      <c r="M29" s="891"/>
      <c r="N29" s="892"/>
      <c r="O29" s="892"/>
    </row>
    <row r="30" spans="1:17" ht="18">
      <c r="A30" s="432">
        <f t="shared" si="5"/>
        <v>46012</v>
      </c>
      <c r="B30" s="452"/>
      <c r="C30" s="452"/>
      <c r="D30" s="503" t="e">
        <f t="shared" si="6"/>
        <v>#DIV/0!</v>
      </c>
      <c r="E30" s="453"/>
      <c r="F30" s="427" t="e">
        <f t="shared" si="7"/>
        <v>#DIV/0!</v>
      </c>
      <c r="G30" s="452"/>
      <c r="H30" s="428" t="e">
        <f t="shared" si="2"/>
        <v>#DIV/0!</v>
      </c>
      <c r="I30" s="429"/>
      <c r="J30" s="428" t="e">
        <f t="shared" si="3"/>
        <v>#DIV/0!</v>
      </c>
      <c r="K30" s="454"/>
      <c r="L30" s="455" t="e">
        <f t="shared" si="4"/>
        <v>#DIV/0!</v>
      </c>
      <c r="M30" s="891"/>
      <c r="N30" s="892"/>
      <c r="O30" s="892"/>
    </row>
    <row r="31" spans="1:17" ht="18">
      <c r="A31" s="432">
        <f t="shared" si="5"/>
        <v>46013</v>
      </c>
      <c r="B31" s="452"/>
      <c r="C31" s="452"/>
      <c r="D31" s="503" t="e">
        <f t="shared" si="6"/>
        <v>#DIV/0!</v>
      </c>
      <c r="E31" s="453"/>
      <c r="F31" s="427" t="e">
        <f t="shared" si="7"/>
        <v>#DIV/0!</v>
      </c>
      <c r="G31" s="452"/>
      <c r="H31" s="428" t="e">
        <f t="shared" si="2"/>
        <v>#DIV/0!</v>
      </c>
      <c r="I31" s="429"/>
      <c r="J31" s="428" t="e">
        <f t="shared" si="3"/>
        <v>#DIV/0!</v>
      </c>
      <c r="K31" s="454"/>
      <c r="L31" s="455" t="e">
        <f t="shared" si="4"/>
        <v>#DIV/0!</v>
      </c>
      <c r="M31" s="891"/>
      <c r="N31" s="892"/>
      <c r="O31" s="892"/>
    </row>
    <row r="32" spans="1:17" ht="18">
      <c r="A32" s="432">
        <f t="shared" si="5"/>
        <v>46014</v>
      </c>
      <c r="B32" s="507"/>
      <c r="C32" s="507"/>
      <c r="D32" s="508" t="e">
        <f t="shared" si="6"/>
        <v>#DIV/0!</v>
      </c>
      <c r="E32" s="509"/>
      <c r="F32" s="510" t="e">
        <f t="shared" si="7"/>
        <v>#DIV/0!</v>
      </c>
      <c r="G32" s="507"/>
      <c r="H32" s="511" t="e">
        <f t="shared" si="2"/>
        <v>#DIV/0!</v>
      </c>
      <c r="I32" s="512"/>
      <c r="J32" s="511" t="e">
        <f t="shared" si="3"/>
        <v>#DIV/0!</v>
      </c>
      <c r="K32" s="513"/>
      <c r="L32" s="514" t="e">
        <f t="shared" si="4"/>
        <v>#DIV/0!</v>
      </c>
      <c r="M32" s="891">
        <f>SUM(B32:B38)</f>
        <v>0</v>
      </c>
      <c r="N32" s="892">
        <f>SUM(C32:C38)</f>
        <v>0</v>
      </c>
      <c r="O32" s="892">
        <f>SUM(E32:E38)</f>
        <v>0</v>
      </c>
    </row>
    <row r="33" spans="1:15" ht="18">
      <c r="A33" s="432">
        <f t="shared" si="5"/>
        <v>46015</v>
      </c>
      <c r="B33" s="452"/>
      <c r="C33" s="452"/>
      <c r="D33" s="503" t="e">
        <f t="shared" si="6"/>
        <v>#DIV/0!</v>
      </c>
      <c r="E33" s="453"/>
      <c r="F33" s="427" t="e">
        <f t="shared" si="7"/>
        <v>#DIV/0!</v>
      </c>
      <c r="G33" s="452"/>
      <c r="H33" s="428" t="e">
        <f t="shared" si="2"/>
        <v>#DIV/0!</v>
      </c>
      <c r="I33" s="429"/>
      <c r="J33" s="428" t="e">
        <f t="shared" si="3"/>
        <v>#DIV/0!</v>
      </c>
      <c r="K33" s="454"/>
      <c r="L33" s="455" t="e">
        <f t="shared" si="4"/>
        <v>#DIV/0!</v>
      </c>
      <c r="M33" s="891"/>
      <c r="N33" s="892"/>
      <c r="O33" s="892"/>
    </row>
    <row r="34" spans="1:15" ht="18">
      <c r="A34" s="432">
        <f t="shared" si="5"/>
        <v>46016</v>
      </c>
      <c r="B34" s="452"/>
      <c r="C34" s="452"/>
      <c r="D34" s="503" t="e">
        <f t="shared" si="6"/>
        <v>#DIV/0!</v>
      </c>
      <c r="E34" s="453"/>
      <c r="F34" s="427" t="e">
        <f t="shared" si="7"/>
        <v>#DIV/0!</v>
      </c>
      <c r="G34" s="452"/>
      <c r="H34" s="428" t="e">
        <f t="shared" si="2"/>
        <v>#DIV/0!</v>
      </c>
      <c r="I34" s="429"/>
      <c r="J34" s="428" t="e">
        <f t="shared" si="3"/>
        <v>#DIV/0!</v>
      </c>
      <c r="K34" s="454"/>
      <c r="L34" s="455" t="e">
        <f t="shared" si="4"/>
        <v>#DIV/0!</v>
      </c>
      <c r="M34" s="891"/>
      <c r="N34" s="892"/>
      <c r="O34" s="892"/>
    </row>
    <row r="35" spans="1:15" ht="18">
      <c r="A35" s="432">
        <f t="shared" si="5"/>
        <v>46017</v>
      </c>
      <c r="B35" s="452"/>
      <c r="C35" s="452"/>
      <c r="D35" s="503" t="e">
        <f t="shared" si="6"/>
        <v>#DIV/0!</v>
      </c>
      <c r="E35" s="453"/>
      <c r="F35" s="427" t="e">
        <f t="shared" si="7"/>
        <v>#DIV/0!</v>
      </c>
      <c r="G35" s="452"/>
      <c r="H35" s="428" t="e">
        <f t="shared" si="2"/>
        <v>#DIV/0!</v>
      </c>
      <c r="I35" s="429"/>
      <c r="J35" s="428" t="e">
        <f t="shared" si="3"/>
        <v>#DIV/0!</v>
      </c>
      <c r="K35" s="454"/>
      <c r="L35" s="455" t="e">
        <f t="shared" si="4"/>
        <v>#DIV/0!</v>
      </c>
      <c r="M35" s="891"/>
      <c r="N35" s="892"/>
      <c r="O35" s="892"/>
    </row>
    <row r="36" spans="1:15" ht="18">
      <c r="A36" s="432">
        <f t="shared" si="5"/>
        <v>46018</v>
      </c>
      <c r="B36" s="452"/>
      <c r="C36" s="452"/>
      <c r="D36" s="503" t="e">
        <f t="shared" si="6"/>
        <v>#DIV/0!</v>
      </c>
      <c r="E36" s="453"/>
      <c r="F36" s="427" t="e">
        <f t="shared" si="7"/>
        <v>#DIV/0!</v>
      </c>
      <c r="G36" s="452"/>
      <c r="H36" s="428" t="e">
        <f t="shared" si="2"/>
        <v>#DIV/0!</v>
      </c>
      <c r="I36" s="429"/>
      <c r="J36" s="428" t="e">
        <f t="shared" si="3"/>
        <v>#DIV/0!</v>
      </c>
      <c r="K36" s="454"/>
      <c r="L36" s="455" t="e">
        <f t="shared" si="4"/>
        <v>#DIV/0!</v>
      </c>
      <c r="M36" s="891"/>
      <c r="N36" s="892"/>
      <c r="O36" s="892"/>
    </row>
    <row r="37" spans="1:15" ht="18">
      <c r="A37" s="432">
        <f t="shared" si="5"/>
        <v>46019</v>
      </c>
      <c r="B37" s="452"/>
      <c r="C37" s="452"/>
      <c r="D37" s="503" t="e">
        <f t="shared" si="6"/>
        <v>#DIV/0!</v>
      </c>
      <c r="E37" s="453"/>
      <c r="F37" s="427" t="e">
        <f t="shared" si="7"/>
        <v>#DIV/0!</v>
      </c>
      <c r="G37" s="452"/>
      <c r="H37" s="428" t="e">
        <f t="shared" si="2"/>
        <v>#DIV/0!</v>
      </c>
      <c r="I37" s="429"/>
      <c r="J37" s="428" t="e">
        <f t="shared" si="3"/>
        <v>#DIV/0!</v>
      </c>
      <c r="K37" s="454"/>
      <c r="L37" s="455" t="e">
        <f t="shared" si="4"/>
        <v>#DIV/0!</v>
      </c>
      <c r="M37" s="891"/>
      <c r="N37" s="892"/>
      <c r="O37" s="892"/>
    </row>
    <row r="38" spans="1:15" ht="18.5" thickBot="1">
      <c r="A38" s="432">
        <f t="shared" si="5"/>
        <v>46020</v>
      </c>
      <c r="B38" s="515"/>
      <c r="C38" s="515"/>
      <c r="D38" s="516" t="e">
        <f t="shared" si="6"/>
        <v>#DIV/0!</v>
      </c>
      <c r="E38" s="517"/>
      <c r="F38" s="487" t="e">
        <f t="shared" si="7"/>
        <v>#DIV/0!</v>
      </c>
      <c r="G38" s="515"/>
      <c r="H38" s="488" t="e">
        <f t="shared" si="2"/>
        <v>#DIV/0!</v>
      </c>
      <c r="I38" s="489"/>
      <c r="J38" s="488" t="e">
        <f t="shared" si="3"/>
        <v>#DIV/0!</v>
      </c>
      <c r="K38" s="518"/>
      <c r="L38" s="519" t="e">
        <f t="shared" si="4"/>
        <v>#DIV/0!</v>
      </c>
      <c r="M38" s="891"/>
      <c r="N38" s="892"/>
      <c r="O38" s="892"/>
    </row>
    <row r="39" spans="1:15" ht="18">
      <c r="A39" s="432" t="s">
        <v>860</v>
      </c>
      <c r="B39" s="424">
        <f>AVERAGE(B4:B32)</f>
        <v>7013385.0952380951</v>
      </c>
      <c r="C39" s="424">
        <f>AVERAGE(C4:C33)</f>
        <v>17248.396761904765</v>
      </c>
      <c r="D39" s="425">
        <f t="shared" ref="D39:D40" si="10">C39/B39</f>
        <v>2.4593540106069428E-3</v>
      </c>
      <c r="E39" s="426">
        <f>AVERAGE(E4:E33)</f>
        <v>15065.618022098512</v>
      </c>
      <c r="F39" s="438">
        <f t="shared" ref="F39:F40" si="11">E39/B39</f>
        <v>2.1481235975945013E-3</v>
      </c>
      <c r="G39" s="424">
        <f>AVERAGE(G4:G33)</f>
        <v>1472.7630999999997</v>
      </c>
      <c r="H39" s="439">
        <f t="shared" ref="H39:H40" si="12">G39/C39</f>
        <v>8.5385506857818844E-2</v>
      </c>
      <c r="I39" s="480">
        <f>AVERAGE(I4:I33)</f>
        <v>1547.7851738095237</v>
      </c>
      <c r="J39" s="439">
        <f t="shared" ref="J39:J40" si="13">I39/E39</f>
        <v>0.10273625493087674</v>
      </c>
      <c r="K39" s="430">
        <f>AVERAGE(K4:K33)</f>
        <v>2952.1055714285717</v>
      </c>
      <c r="L39" s="431">
        <f t="shared" ref="L39:L40" si="14">K39/C39</f>
        <v>0.17115246200439133</v>
      </c>
      <c r="M39" s="481"/>
      <c r="N39" s="482"/>
      <c r="O39" s="482"/>
    </row>
    <row r="40" spans="1:15" ht="18">
      <c r="A40" s="432" t="s">
        <v>861</v>
      </c>
      <c r="B40" s="424">
        <f>SUM(B4:B38)</f>
        <v>147281087</v>
      </c>
      <c r="C40" s="424">
        <f>SUM(C4:C38)</f>
        <v>362216.33200000005</v>
      </c>
      <c r="D40" s="425">
        <f t="shared" si="10"/>
        <v>2.4593540106069428E-3</v>
      </c>
      <c r="E40" s="424">
        <f>SUM(E4:E38)</f>
        <v>316377.97846406873</v>
      </c>
      <c r="F40" s="438">
        <f t="shared" si="11"/>
        <v>2.1481235975945013E-3</v>
      </c>
      <c r="G40" s="424">
        <f>SUM(G4:G38)</f>
        <v>30928.025099999995</v>
      </c>
      <c r="H40" s="439">
        <f t="shared" si="12"/>
        <v>8.5385506857818858E-2</v>
      </c>
      <c r="I40" s="424">
        <f>SUM(I4:I38)</f>
        <v>32503.488649999996</v>
      </c>
      <c r="J40" s="439">
        <f t="shared" si="13"/>
        <v>0.10273625493087674</v>
      </c>
      <c r="K40" s="424">
        <f>SUM(K4:K38)</f>
        <v>61994.217000000004</v>
      </c>
      <c r="L40" s="431">
        <f t="shared" si="14"/>
        <v>0.17115246200439133</v>
      </c>
      <c r="M40" s="431"/>
      <c r="N40" s="436"/>
      <c r="O40" s="437"/>
    </row>
    <row r="41" spans="1:15" ht="18">
      <c r="A41" s="440"/>
      <c r="B41" s="440"/>
      <c r="C41" s="440"/>
      <c r="D41" s="440"/>
      <c r="E41" s="440"/>
      <c r="F41" s="440"/>
      <c r="G41" s="440"/>
      <c r="H41" s="440"/>
      <c r="I41" s="440"/>
      <c r="J41" s="440"/>
      <c r="K41" s="440"/>
      <c r="L41" s="440"/>
      <c r="M41" s="440"/>
    </row>
    <row r="42" spans="1:15" ht="18">
      <c r="A42" s="440"/>
      <c r="B42" s="440"/>
      <c r="C42" s="440"/>
      <c r="D42" s="440"/>
      <c r="E42" s="440"/>
      <c r="F42" s="440"/>
      <c r="G42" s="440"/>
      <c r="H42" s="440"/>
      <c r="I42" s="440"/>
      <c r="J42" s="440"/>
      <c r="K42" s="440"/>
      <c r="L42" s="440"/>
      <c r="M42" s="440"/>
    </row>
    <row r="43" spans="1:15" ht="18">
      <c r="A43" s="440"/>
      <c r="B43" s="440"/>
      <c r="C43" s="440"/>
      <c r="D43" s="440"/>
      <c r="E43" s="440"/>
      <c r="F43" s="440"/>
      <c r="G43" s="440"/>
      <c r="H43" s="440"/>
      <c r="I43" s="440"/>
      <c r="J43" s="440"/>
      <c r="K43" s="440"/>
      <c r="L43" s="440"/>
      <c r="M43" s="440"/>
    </row>
    <row r="44" spans="1:15" ht="18">
      <c r="A44" s="440"/>
      <c r="B44" s="440"/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</row>
    <row r="45" spans="1:15" ht="18">
      <c r="A45" s="440"/>
      <c r="B45" s="440"/>
      <c r="C45" s="440"/>
      <c r="D45" s="440"/>
      <c r="E45" s="440"/>
      <c r="F45" s="440"/>
      <c r="G45" s="440"/>
      <c r="H45" s="440"/>
      <c r="I45" s="440"/>
      <c r="J45" s="440"/>
      <c r="K45" s="440"/>
      <c r="L45" s="440"/>
      <c r="M45" s="440"/>
    </row>
    <row r="46" spans="1:15" ht="18">
      <c r="A46" s="440"/>
      <c r="B46" s="440"/>
      <c r="C46" s="440"/>
      <c r="D46" s="440"/>
      <c r="E46" s="440"/>
      <c r="F46" s="440"/>
      <c r="G46" s="440"/>
      <c r="H46" s="440"/>
      <c r="I46" s="440"/>
      <c r="J46" s="440"/>
      <c r="K46" s="440"/>
      <c r="L46" s="440"/>
      <c r="M46" s="440"/>
    </row>
    <row r="47" spans="1:15" ht="18">
      <c r="A47" s="440"/>
      <c r="B47" s="440"/>
      <c r="C47" s="440"/>
      <c r="D47" s="440"/>
      <c r="E47" s="440"/>
      <c r="F47" s="440"/>
      <c r="G47" s="440"/>
      <c r="H47" s="440"/>
      <c r="I47" s="440"/>
      <c r="J47" s="440"/>
      <c r="K47" s="440"/>
      <c r="L47" s="440"/>
      <c r="M47" s="440"/>
    </row>
    <row r="48" spans="1:15" ht="18">
      <c r="A48" s="440"/>
      <c r="B48" s="440"/>
      <c r="C48" s="440"/>
      <c r="D48" s="440"/>
      <c r="E48" s="440"/>
      <c r="F48" s="440"/>
      <c r="G48" s="440"/>
      <c r="H48" s="440"/>
      <c r="I48" s="440"/>
      <c r="J48" s="440"/>
      <c r="K48" s="440"/>
      <c r="L48" s="440"/>
      <c r="M48" s="440"/>
    </row>
    <row r="49" spans="1:13" ht="18">
      <c r="A49" s="440"/>
      <c r="B49" s="440"/>
      <c r="C49" s="440"/>
      <c r="D49" s="440"/>
      <c r="E49" s="440"/>
      <c r="F49" s="440"/>
      <c r="G49" s="440"/>
      <c r="H49" s="440"/>
      <c r="I49" s="440"/>
      <c r="J49" s="440"/>
      <c r="K49" s="440"/>
      <c r="L49" s="440"/>
      <c r="M49" s="440"/>
    </row>
    <row r="50" spans="1:13" ht="18">
      <c r="A50" s="440"/>
      <c r="B50" s="440"/>
      <c r="C50" s="440"/>
      <c r="D50" s="440"/>
      <c r="E50" s="440"/>
      <c r="F50" s="440"/>
      <c r="G50" s="440"/>
      <c r="H50" s="440"/>
      <c r="I50" s="440"/>
      <c r="J50" s="440"/>
      <c r="K50" s="440"/>
      <c r="L50" s="440"/>
      <c r="M50" s="440"/>
    </row>
    <row r="51" spans="1:13" ht="18">
      <c r="A51" s="440"/>
      <c r="B51" s="440"/>
      <c r="C51" s="440"/>
      <c r="D51" s="440"/>
      <c r="E51" s="440"/>
      <c r="F51" s="440"/>
      <c r="G51" s="440"/>
      <c r="H51" s="440"/>
      <c r="I51" s="440"/>
      <c r="J51" s="440"/>
      <c r="K51" s="440"/>
      <c r="L51" s="440"/>
      <c r="M51" s="440"/>
    </row>
    <row r="52" spans="1:13" ht="18">
      <c r="A52" s="440"/>
      <c r="B52" s="440"/>
      <c r="C52" s="440"/>
      <c r="D52" s="440"/>
      <c r="E52" s="440"/>
      <c r="F52" s="440"/>
      <c r="G52" s="440"/>
      <c r="H52" s="440"/>
      <c r="I52" s="440"/>
      <c r="J52" s="440"/>
      <c r="K52" s="440"/>
      <c r="L52" s="440"/>
      <c r="M52" s="440"/>
    </row>
    <row r="53" spans="1:13" ht="18">
      <c r="A53" s="440"/>
      <c r="B53" s="440"/>
      <c r="C53" s="440"/>
      <c r="D53" s="440"/>
      <c r="E53" s="440"/>
      <c r="F53" s="440"/>
      <c r="G53" s="440"/>
      <c r="H53" s="440"/>
      <c r="I53" s="440"/>
      <c r="J53" s="440"/>
      <c r="K53" s="440"/>
      <c r="L53" s="440"/>
      <c r="M53" s="440"/>
    </row>
    <row r="54" spans="1:13" ht="18">
      <c r="A54" s="440"/>
      <c r="B54" s="440"/>
      <c r="C54" s="440"/>
      <c r="D54" s="440"/>
      <c r="E54" s="440"/>
      <c r="F54" s="440"/>
      <c r="G54" s="440"/>
      <c r="H54" s="440"/>
      <c r="I54" s="440"/>
      <c r="J54" s="440"/>
      <c r="K54" s="440"/>
      <c r="L54" s="440"/>
      <c r="M54" s="440"/>
    </row>
    <row r="55" spans="1:13" ht="18">
      <c r="A55" s="440"/>
      <c r="B55" s="440"/>
      <c r="C55" s="440"/>
      <c r="D55" s="440"/>
      <c r="E55" s="440"/>
      <c r="F55" s="440"/>
      <c r="G55" s="440"/>
      <c r="H55" s="440"/>
      <c r="I55" s="440"/>
      <c r="J55" s="440"/>
      <c r="K55" s="440"/>
      <c r="L55" s="440"/>
      <c r="M55" s="440"/>
    </row>
    <row r="56" spans="1:13" ht="18">
      <c r="A56" s="440"/>
      <c r="B56" s="440"/>
      <c r="C56" s="440"/>
      <c r="D56" s="440"/>
      <c r="E56" s="440"/>
      <c r="F56" s="440"/>
      <c r="G56" s="440"/>
      <c r="H56" s="440"/>
      <c r="I56" s="440"/>
      <c r="J56" s="440"/>
      <c r="K56" s="440"/>
      <c r="L56" s="440"/>
      <c r="M56" s="440"/>
    </row>
    <row r="57" spans="1:13" ht="18">
      <c r="A57" s="440"/>
      <c r="B57" s="440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</row>
    <row r="58" spans="1:13" ht="18">
      <c r="A58" s="440"/>
      <c r="B58" s="440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</row>
    <row r="59" spans="1:13" ht="18">
      <c r="A59" s="440"/>
      <c r="B59" s="440"/>
      <c r="C59" s="440"/>
      <c r="D59" s="440"/>
      <c r="E59" s="440"/>
      <c r="F59" s="440"/>
      <c r="G59" s="440"/>
      <c r="H59" s="440"/>
      <c r="I59" s="440"/>
      <c r="J59" s="440"/>
      <c r="K59" s="440"/>
      <c r="L59" s="440"/>
      <c r="M59" s="440"/>
    </row>
    <row r="60" spans="1:13" ht="18">
      <c r="A60" s="440"/>
      <c r="B60" s="440"/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</row>
    <row r="61" spans="1:13" ht="18">
      <c r="A61" s="440"/>
      <c r="B61" s="440"/>
      <c r="C61" s="440"/>
      <c r="D61" s="440"/>
      <c r="E61" s="440"/>
      <c r="F61" s="440"/>
      <c r="G61" s="440"/>
      <c r="H61" s="440"/>
      <c r="I61" s="440"/>
      <c r="J61" s="440"/>
      <c r="K61" s="440"/>
      <c r="L61" s="440"/>
      <c r="M61" s="440"/>
    </row>
    <row r="62" spans="1:13" ht="18">
      <c r="A62" s="440"/>
      <c r="B62" s="440"/>
      <c r="C62" s="440"/>
      <c r="D62" s="440"/>
      <c r="E62" s="440"/>
      <c r="F62" s="440"/>
      <c r="G62" s="440"/>
      <c r="H62" s="440"/>
      <c r="I62" s="440"/>
      <c r="J62" s="440"/>
      <c r="K62" s="440"/>
      <c r="L62" s="440"/>
      <c r="M62" s="440"/>
    </row>
    <row r="63" spans="1:13" ht="18">
      <c r="A63" s="440"/>
      <c r="B63" s="440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</row>
    <row r="64" spans="1:13" ht="18">
      <c r="A64" s="440"/>
      <c r="B64" s="440"/>
      <c r="C64" s="440"/>
      <c r="D64" s="440"/>
      <c r="E64" s="440"/>
      <c r="F64" s="440"/>
      <c r="G64" s="440"/>
      <c r="H64" s="440"/>
      <c r="I64" s="440"/>
      <c r="J64" s="440"/>
      <c r="K64" s="440"/>
      <c r="L64" s="440"/>
      <c r="M64" s="440"/>
    </row>
    <row r="65" spans="1:13" ht="18">
      <c r="A65" s="440"/>
      <c r="B65" s="440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440"/>
    </row>
    <row r="66" spans="1:13" ht="18">
      <c r="A66" s="440"/>
      <c r="B66" s="440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</row>
    <row r="67" spans="1:13" ht="18">
      <c r="A67" s="440"/>
      <c r="B67" s="440"/>
      <c r="C67" s="440"/>
      <c r="D67" s="440"/>
      <c r="E67" s="440"/>
      <c r="F67" s="440"/>
      <c r="G67" s="440"/>
      <c r="H67" s="440"/>
      <c r="I67" s="440"/>
      <c r="J67" s="440"/>
      <c r="K67" s="440"/>
      <c r="L67" s="440"/>
      <c r="M67" s="440"/>
    </row>
    <row r="68" spans="1:13" ht="18">
      <c r="A68" s="440"/>
      <c r="B68" s="440"/>
      <c r="C68" s="440"/>
      <c r="D68" s="440"/>
      <c r="E68" s="440"/>
      <c r="F68" s="440"/>
      <c r="G68" s="440"/>
      <c r="H68" s="440"/>
      <c r="I68" s="440"/>
      <c r="J68" s="440"/>
      <c r="K68" s="440"/>
      <c r="L68" s="440"/>
      <c r="M68" s="440"/>
    </row>
  </sheetData>
  <mergeCells count="26">
    <mergeCell ref="M32:M38"/>
    <mergeCell ref="N32:N38"/>
    <mergeCell ref="O32:O38"/>
    <mergeCell ref="M4:M10"/>
    <mergeCell ref="N4:N10"/>
    <mergeCell ref="O4:O10"/>
    <mergeCell ref="M11:M17"/>
    <mergeCell ref="N11:N17"/>
    <mergeCell ref="O11:O17"/>
    <mergeCell ref="M25:M31"/>
    <mergeCell ref="N25:N31"/>
    <mergeCell ref="O25:O31"/>
    <mergeCell ref="M18:M24"/>
    <mergeCell ref="N18:N24"/>
    <mergeCell ref="O18:O24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39:J40 H39:H40">
    <cfRule type="cellIs" dxfId="51" priority="123" operator="greaterThan">
      <formula>0.16</formula>
    </cfRule>
  </conditionalFormatting>
  <conditionalFormatting sqref="L40:M40 L39">
    <cfRule type="cellIs" dxfId="50" priority="121" operator="greaterThan">
      <formula>0.15</formula>
    </cfRule>
  </conditionalFormatting>
  <conditionalFormatting sqref="D39:D40">
    <cfRule type="cellIs" dxfId="49" priority="122" operator="greaterThan">
      <formula>0.0025</formula>
    </cfRule>
  </conditionalFormatting>
  <conditionalFormatting sqref="D11:D13">
    <cfRule type="cellIs" dxfId="48" priority="56" operator="greaterThan">
      <formula>0.0025</formula>
    </cfRule>
  </conditionalFormatting>
  <conditionalFormatting sqref="H11:H13 J11:J13">
    <cfRule type="cellIs" dxfId="47" priority="57" operator="greaterThan">
      <formula>0.16</formula>
    </cfRule>
  </conditionalFormatting>
  <conditionalFormatting sqref="L11:L13">
    <cfRule type="cellIs" dxfId="46" priority="55" operator="greaterThan">
      <formula>0.15</formula>
    </cfRule>
  </conditionalFormatting>
  <conditionalFormatting sqref="L14">
    <cfRule type="cellIs" dxfId="45" priority="52" operator="greaterThan">
      <formula>0.15</formula>
    </cfRule>
  </conditionalFormatting>
  <conditionalFormatting sqref="D14">
    <cfRule type="cellIs" dxfId="44" priority="53" operator="greaterThan">
      <formula>0.0025</formula>
    </cfRule>
  </conditionalFormatting>
  <conditionalFormatting sqref="H14 J14">
    <cfRule type="cellIs" dxfId="43" priority="54" operator="greaterThan">
      <formula>0.16</formula>
    </cfRule>
  </conditionalFormatting>
  <conditionalFormatting sqref="L16:L17">
    <cfRule type="cellIs" dxfId="42" priority="49" operator="greaterThan">
      <formula>0.15</formula>
    </cfRule>
  </conditionalFormatting>
  <conditionalFormatting sqref="D16:D17">
    <cfRule type="cellIs" dxfId="41" priority="50" operator="greaterThan">
      <formula>0.0025</formula>
    </cfRule>
  </conditionalFormatting>
  <conditionalFormatting sqref="H16:H17 J16:J17">
    <cfRule type="cellIs" dxfId="40" priority="51" operator="greaterThan">
      <formula>0.16</formula>
    </cfRule>
  </conditionalFormatting>
  <conditionalFormatting sqref="L15">
    <cfRule type="cellIs" dxfId="39" priority="46" operator="greaterThan">
      <formula>0.15</formula>
    </cfRule>
  </conditionalFormatting>
  <conditionalFormatting sqref="D15">
    <cfRule type="cellIs" dxfId="38" priority="47" operator="greaterThan">
      <formula>0.0025</formula>
    </cfRule>
  </conditionalFormatting>
  <conditionalFormatting sqref="H15 J15">
    <cfRule type="cellIs" dxfId="37" priority="48" operator="greaterThan">
      <formula>0.16</formula>
    </cfRule>
  </conditionalFormatting>
  <conditionalFormatting sqref="D18:D20">
    <cfRule type="cellIs" dxfId="36" priority="44" operator="greaterThan">
      <formula>0.0025</formula>
    </cfRule>
  </conditionalFormatting>
  <conditionalFormatting sqref="H18:H20 J18:J20">
    <cfRule type="cellIs" dxfId="35" priority="45" operator="greaterThan">
      <formula>0.16</formula>
    </cfRule>
  </conditionalFormatting>
  <conditionalFormatting sqref="L18:L20">
    <cfRule type="cellIs" dxfId="34" priority="43" operator="greaterThan">
      <formula>0.15</formula>
    </cfRule>
  </conditionalFormatting>
  <conditionalFormatting sqref="L21">
    <cfRule type="cellIs" dxfId="33" priority="40" operator="greaterThan">
      <formula>0.15</formula>
    </cfRule>
  </conditionalFormatting>
  <conditionalFormatting sqref="D21">
    <cfRule type="cellIs" dxfId="32" priority="41" operator="greaterThan">
      <formula>0.0025</formula>
    </cfRule>
  </conditionalFormatting>
  <conditionalFormatting sqref="H21 J21">
    <cfRule type="cellIs" dxfId="31" priority="42" operator="greaterThan">
      <formula>0.16</formula>
    </cfRule>
  </conditionalFormatting>
  <conditionalFormatting sqref="L23:L24">
    <cfRule type="cellIs" dxfId="30" priority="37" operator="greaterThan">
      <formula>0.15</formula>
    </cfRule>
  </conditionalFormatting>
  <conditionalFormatting sqref="D23:D24">
    <cfRule type="cellIs" dxfId="29" priority="38" operator="greaterThan">
      <formula>0.0025</formula>
    </cfRule>
  </conditionalFormatting>
  <conditionalFormatting sqref="H23:H24 J23:J24">
    <cfRule type="cellIs" dxfId="28" priority="39" operator="greaterThan">
      <formula>0.16</formula>
    </cfRule>
  </conditionalFormatting>
  <conditionalFormatting sqref="L22">
    <cfRule type="cellIs" dxfId="27" priority="34" operator="greaterThan">
      <formula>0.15</formula>
    </cfRule>
  </conditionalFormatting>
  <conditionalFormatting sqref="D22">
    <cfRule type="cellIs" dxfId="26" priority="35" operator="greaterThan">
      <formula>0.0025</formula>
    </cfRule>
  </conditionalFormatting>
  <conditionalFormatting sqref="H22 J22">
    <cfRule type="cellIs" dxfId="25" priority="36" operator="greaterThan">
      <formula>0.16</formula>
    </cfRule>
  </conditionalFormatting>
  <conditionalFormatting sqref="H25:H30">
    <cfRule type="cellIs" dxfId="24" priority="32" operator="greaterThan">
      <formula>0.16</formula>
    </cfRule>
  </conditionalFormatting>
  <conditionalFormatting sqref="L25:L30">
    <cfRule type="cellIs" dxfId="23" priority="30" operator="greaterThan">
      <formula>0.15</formula>
    </cfRule>
  </conditionalFormatting>
  <conditionalFormatting sqref="D4:D30">
    <cfRule type="cellIs" dxfId="22" priority="33" operator="greaterThan">
      <formula>0.0025</formula>
    </cfRule>
  </conditionalFormatting>
  <conditionalFormatting sqref="J25:J30">
    <cfRule type="cellIs" dxfId="21" priority="31" operator="greaterThan">
      <formula>0.16</formula>
    </cfRule>
  </conditionalFormatting>
  <conditionalFormatting sqref="H31">
    <cfRule type="cellIs" dxfId="20" priority="28" operator="greaterThan">
      <formula>0.16</formula>
    </cfRule>
  </conditionalFormatting>
  <conditionalFormatting sqref="L31">
    <cfRule type="cellIs" dxfId="19" priority="26" operator="greaterThan">
      <formula>0.15</formula>
    </cfRule>
  </conditionalFormatting>
  <conditionalFormatting sqref="D31">
    <cfRule type="cellIs" dxfId="18" priority="29" operator="greaterThan">
      <formula>0.0025</formula>
    </cfRule>
  </conditionalFormatting>
  <conditionalFormatting sqref="J31">
    <cfRule type="cellIs" dxfId="17" priority="27" operator="greaterThan">
      <formula>0.16</formula>
    </cfRule>
  </conditionalFormatting>
  <conditionalFormatting sqref="H32:H37">
    <cfRule type="cellIs" dxfId="16" priority="16" operator="greaterThan">
      <formula>0.16</formula>
    </cfRule>
  </conditionalFormatting>
  <conditionalFormatting sqref="L32:L37">
    <cfRule type="cellIs" dxfId="15" priority="14" operator="greaterThan">
      <formula>0.15</formula>
    </cfRule>
  </conditionalFormatting>
  <conditionalFormatting sqref="D32:D37">
    <cfRule type="cellIs" dxfId="14" priority="17" operator="greaterThan">
      <formula>0.0025</formula>
    </cfRule>
  </conditionalFormatting>
  <conditionalFormatting sqref="J32:J37">
    <cfRule type="cellIs" dxfId="13" priority="15" operator="greaterThan">
      <formula>0.16</formula>
    </cfRule>
  </conditionalFormatting>
  <conditionalFormatting sqref="H38">
    <cfRule type="cellIs" dxfId="12" priority="12" operator="greaterThan">
      <formula>0.16</formula>
    </cfRule>
  </conditionalFormatting>
  <conditionalFormatting sqref="L38">
    <cfRule type="cellIs" dxfId="11" priority="10" operator="greaterThan">
      <formula>0.15</formula>
    </cfRule>
  </conditionalFormatting>
  <conditionalFormatting sqref="D38">
    <cfRule type="cellIs" dxfId="10" priority="13" operator="greaterThan">
      <formula>0.0025</formula>
    </cfRule>
  </conditionalFormatting>
  <conditionalFormatting sqref="J38">
    <cfRule type="cellIs" dxfId="9" priority="11" operator="greaterThan">
      <formula>0.16</formula>
    </cfRule>
  </conditionalFormatting>
  <conditionalFormatting sqref="H5:H9">
    <cfRule type="cellIs" dxfId="8" priority="8" operator="greaterThan">
      <formula>0.16</formula>
    </cfRule>
  </conditionalFormatting>
  <conditionalFormatting sqref="L4:L9">
    <cfRule type="cellIs" dxfId="7" priority="6" operator="greaterThan">
      <formula>0.15</formula>
    </cfRule>
  </conditionalFormatting>
  <conditionalFormatting sqref="D4:D9">
    <cfRule type="cellIs" dxfId="6" priority="9" operator="greaterThan">
      <formula>0.0025</formula>
    </cfRule>
  </conditionalFormatting>
  <conditionalFormatting sqref="J4:J9">
    <cfRule type="cellIs" dxfId="5" priority="7" operator="greaterThan">
      <formula>0.16</formula>
    </cfRule>
  </conditionalFormatting>
  <conditionalFormatting sqref="H10">
    <cfRule type="cellIs" dxfId="4" priority="4" operator="greaterThan">
      <formula>0.16</formula>
    </cfRule>
  </conditionalFormatting>
  <conditionalFormatting sqref="L10">
    <cfRule type="cellIs" dxfId="3" priority="2" operator="greaterThan">
      <formula>0.15</formula>
    </cfRule>
  </conditionalFormatting>
  <conditionalFormatting sqref="D10">
    <cfRule type="cellIs" dxfId="2" priority="5" operator="greaterThan">
      <formula>0.0025</formula>
    </cfRule>
  </conditionalFormatting>
  <conditionalFormatting sqref="J10">
    <cfRule type="cellIs" dxfId="1" priority="3" operator="greaterThan">
      <formula>0.16</formula>
    </cfRule>
  </conditionalFormatting>
  <conditionalFormatting sqref="H4">
    <cfRule type="cellIs" dxfId="0" priority="1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265625" defaultRowHeight="14"/>
  <cols>
    <col min="1" max="2" width="8.7265625" style="210"/>
    <col min="3" max="3" width="14" style="210" bestFit="1" customWidth="1"/>
    <col min="4" max="4" width="0.26953125" style="210" customWidth="1"/>
    <col min="5" max="5" width="8.7265625" style="210"/>
    <col min="6" max="6" width="16.26953125" style="210" bestFit="1" customWidth="1"/>
    <col min="7" max="16384" width="8.7265625" style="210"/>
  </cols>
  <sheetData>
    <row r="2" spans="2:7" ht="15.5">
      <c r="B2" s="893" t="s">
        <v>252</v>
      </c>
      <c r="C2" s="893"/>
      <c r="D2" s="893"/>
      <c r="E2" s="893"/>
      <c r="F2" s="893"/>
    </row>
    <row r="3" spans="2:7" ht="14.5">
      <c r="B3" s="211" t="s">
        <v>253</v>
      </c>
      <c r="C3" s="211" t="s">
        <v>254</v>
      </c>
      <c r="D3" s="212"/>
      <c r="E3" s="211" t="s">
        <v>255</v>
      </c>
      <c r="F3" s="211" t="s">
        <v>256</v>
      </c>
      <c r="G3" s="212"/>
    </row>
    <row r="4" spans="2:7" ht="14.5">
      <c r="B4" s="213" t="s">
        <v>257</v>
      </c>
      <c r="C4" s="213" t="s">
        <v>258</v>
      </c>
      <c r="D4" s="212"/>
      <c r="E4" s="213" t="s">
        <v>259</v>
      </c>
      <c r="F4" s="213" t="s">
        <v>260</v>
      </c>
      <c r="G4" s="212"/>
    </row>
    <row r="5" spans="2:7" ht="14.5">
      <c r="B5" s="213" t="s">
        <v>261</v>
      </c>
      <c r="C5" s="213" t="s">
        <v>262</v>
      </c>
      <c r="D5" s="212"/>
      <c r="E5" s="213" t="s">
        <v>263</v>
      </c>
      <c r="F5" s="213" t="s">
        <v>264</v>
      </c>
      <c r="G5" s="212"/>
    </row>
    <row r="6" spans="2:7" ht="14.5">
      <c r="B6" s="213" t="s">
        <v>265</v>
      </c>
      <c r="C6" s="213" t="s">
        <v>266</v>
      </c>
      <c r="D6" s="212"/>
      <c r="E6" s="214" t="s">
        <v>267</v>
      </c>
      <c r="F6" s="214" t="s">
        <v>136</v>
      </c>
      <c r="G6" s="212"/>
    </row>
    <row r="7" spans="2:7" ht="14.5">
      <c r="B7" s="214" t="s">
        <v>268</v>
      </c>
      <c r="C7" s="214" t="s">
        <v>269</v>
      </c>
      <c r="D7" s="212"/>
      <c r="E7" s="213" t="s">
        <v>270</v>
      </c>
      <c r="F7" s="213" t="s">
        <v>271</v>
      </c>
      <c r="G7" s="212"/>
    </row>
    <row r="8" spans="2:7" ht="14.5">
      <c r="B8" s="213" t="s">
        <v>272</v>
      </c>
      <c r="C8" s="213" t="s">
        <v>273</v>
      </c>
      <c r="D8" s="212"/>
      <c r="E8" s="213" t="s">
        <v>274</v>
      </c>
      <c r="F8" s="213" t="s">
        <v>275</v>
      </c>
      <c r="G8" s="212"/>
    </row>
    <row r="9" spans="2:7" ht="14.5">
      <c r="B9" s="213" t="s">
        <v>276</v>
      </c>
      <c r="C9" s="213" t="s">
        <v>277</v>
      </c>
      <c r="D9" s="212"/>
      <c r="E9" s="214" t="s">
        <v>278</v>
      </c>
      <c r="F9" s="214" t="s">
        <v>135</v>
      </c>
      <c r="G9" s="212"/>
    </row>
    <row r="10" spans="2:7" ht="14.5">
      <c r="B10" s="213" t="s">
        <v>279</v>
      </c>
      <c r="C10" s="213" t="s">
        <v>280</v>
      </c>
      <c r="D10" s="212"/>
      <c r="E10" s="213" t="s">
        <v>281</v>
      </c>
      <c r="F10" s="213" t="s">
        <v>282</v>
      </c>
      <c r="G10" s="212"/>
    </row>
    <row r="11" spans="2:7" ht="14.5">
      <c r="B11" s="213" t="s">
        <v>283</v>
      </c>
      <c r="C11" s="213" t="s">
        <v>284</v>
      </c>
      <c r="D11" s="212"/>
      <c r="E11" s="213" t="s">
        <v>285</v>
      </c>
      <c r="F11" s="213" t="s">
        <v>275</v>
      </c>
      <c r="G11" s="212"/>
    </row>
    <row r="12" spans="2:7" ht="14.5">
      <c r="B12" s="213" t="s">
        <v>286</v>
      </c>
      <c r="C12" s="213" t="s">
        <v>287</v>
      </c>
      <c r="D12" s="212"/>
      <c r="E12" s="213" t="s">
        <v>288</v>
      </c>
      <c r="F12" s="213" t="s">
        <v>289</v>
      </c>
      <c r="G12" s="212"/>
    </row>
    <row r="13" spans="2:7" ht="14.5">
      <c r="B13" s="214" t="s">
        <v>290</v>
      </c>
      <c r="C13" s="214" t="s">
        <v>131</v>
      </c>
      <c r="D13" s="212"/>
      <c r="E13" s="213" t="s">
        <v>291</v>
      </c>
      <c r="F13" s="213" t="s">
        <v>292</v>
      </c>
      <c r="G13" s="212"/>
    </row>
    <row r="14" spans="2:7" ht="14.5">
      <c r="B14" s="213" t="s">
        <v>293</v>
      </c>
      <c r="C14" s="213" t="s">
        <v>294</v>
      </c>
      <c r="D14" s="212"/>
      <c r="E14" s="214" t="s">
        <v>295</v>
      </c>
      <c r="F14" s="214" t="s">
        <v>296</v>
      </c>
      <c r="G14" s="212"/>
    </row>
    <row r="15" spans="2:7" ht="14.5">
      <c r="B15" s="214" t="s">
        <v>297</v>
      </c>
      <c r="C15" s="214" t="s">
        <v>298</v>
      </c>
      <c r="D15" s="212"/>
      <c r="E15" s="213" t="s">
        <v>299</v>
      </c>
      <c r="F15" s="213" t="s">
        <v>296</v>
      </c>
      <c r="G15" s="212"/>
    </row>
    <row r="16" spans="2:7" ht="14.5">
      <c r="B16" s="213" t="s">
        <v>300</v>
      </c>
      <c r="C16" s="213" t="s">
        <v>301</v>
      </c>
      <c r="D16" s="212"/>
      <c r="E16" s="214" t="s">
        <v>302</v>
      </c>
      <c r="F16" s="214" t="s">
        <v>303</v>
      </c>
      <c r="G16" s="212"/>
    </row>
    <row r="17" spans="2:7" ht="14.5">
      <c r="B17" s="213" t="s">
        <v>304</v>
      </c>
      <c r="C17" s="213" t="s">
        <v>305</v>
      </c>
      <c r="D17" s="212"/>
      <c r="E17" s="213" t="s">
        <v>306</v>
      </c>
      <c r="F17" s="213" t="s">
        <v>307</v>
      </c>
      <c r="G17" s="212"/>
    </row>
    <row r="18" spans="2:7" ht="14.5">
      <c r="B18" s="213" t="s">
        <v>308</v>
      </c>
      <c r="C18" s="213" t="s">
        <v>309</v>
      </c>
      <c r="D18" s="212"/>
      <c r="E18" s="213" t="s">
        <v>310</v>
      </c>
      <c r="F18" s="213" t="s">
        <v>311</v>
      </c>
      <c r="G18" s="212"/>
    </row>
    <row r="19" spans="2:7" ht="14.5">
      <c r="B19" s="213" t="s">
        <v>312</v>
      </c>
      <c r="C19" s="213" t="s">
        <v>313</v>
      </c>
      <c r="D19" s="212"/>
      <c r="E19" s="213" t="s">
        <v>314</v>
      </c>
      <c r="F19" s="213" t="s">
        <v>315</v>
      </c>
      <c r="G19" s="212"/>
    </row>
    <row r="20" spans="2:7" ht="14.5">
      <c r="B20" s="213" t="s">
        <v>316</v>
      </c>
      <c r="C20" s="213" t="s">
        <v>317</v>
      </c>
      <c r="D20" s="212"/>
      <c r="G20" s="212"/>
    </row>
    <row r="21" spans="2:7" ht="14.5">
      <c r="D21" s="212"/>
      <c r="G21" s="212"/>
    </row>
    <row r="22" spans="2:7" ht="14.5">
      <c r="D22" s="212"/>
      <c r="G22" s="212"/>
    </row>
    <row r="23" spans="2:7" ht="14.5">
      <c r="D23" s="212"/>
      <c r="G23" s="212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FBF66D-5F01-47A2-A376-DF2A0899048B}"/>
</file>

<file path=customXml/itemProps2.xml><?xml version="1.0" encoding="utf-8"?>
<ds:datastoreItem xmlns:ds="http://schemas.openxmlformats.org/officeDocument/2006/customXml" ds:itemID="{0E9818FD-A8D1-4621-9248-F20EC48BA34C}"/>
</file>

<file path=customXml/itemProps3.xml><?xml version="1.0" encoding="utf-8"?>
<ds:datastoreItem xmlns:ds="http://schemas.openxmlformats.org/officeDocument/2006/customXml" ds:itemID="{AF2A804E-12D5-4B61-8AB6-B14D4F972B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2025-12-19T05:56:59Z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